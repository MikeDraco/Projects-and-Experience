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esktop\Spring_Classes\Sports Stats\"/>
    </mc:Choice>
  </mc:AlternateContent>
  <xr:revisionPtr revIDLastSave="0" documentId="13_ncr:1_{2B9DD556-C708-4F6E-A915-E46E788D084F}" xr6:coauthVersionLast="46" xr6:coauthVersionMax="46" xr10:uidLastSave="{00000000-0000-0000-0000-000000000000}"/>
  <bookViews>
    <workbookView xWindow="-110" yWindow="-110" windowWidth="19420" windowHeight="10420" activeTab="3" xr2:uid="{00000000-000D-0000-FFFF-FFFF00000000}"/>
  </bookViews>
  <sheets>
    <sheet name="My_Example" sheetId="1" r:id="rId1"/>
    <sheet name="Your_Example" sheetId="2" r:id="rId2"/>
    <sheet name="Your_Example_sol" sheetId="3" r:id="rId3"/>
    <sheet name="Bball with Simulation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1" i="5" l="1"/>
  <c r="R12" i="5"/>
  <c r="R13" i="5"/>
  <c r="R14" i="5"/>
  <c r="R15" i="5"/>
  <c r="R16" i="5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3" i="5"/>
  <c r="O4" i="5"/>
  <c r="O2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S18" i="5" l="1"/>
  <c r="D533" i="5"/>
  <c r="D532" i="5"/>
  <c r="D531" i="5"/>
  <c r="D530" i="5"/>
  <c r="D529" i="5"/>
  <c r="D528" i="5"/>
  <c r="D527" i="5"/>
  <c r="D526" i="5"/>
  <c r="D525" i="5"/>
  <c r="D524" i="5"/>
  <c r="D523" i="5"/>
  <c r="D522" i="5"/>
  <c r="D521" i="5"/>
  <c r="D520" i="5"/>
  <c r="D519" i="5"/>
  <c r="D518" i="5"/>
  <c r="D517" i="5"/>
  <c r="D516" i="5"/>
  <c r="D515" i="5"/>
  <c r="D514" i="5"/>
  <c r="D513" i="5"/>
  <c r="D512" i="5"/>
  <c r="D511" i="5"/>
  <c r="D510" i="5"/>
  <c r="D509" i="5"/>
  <c r="D508" i="5"/>
  <c r="D507" i="5"/>
  <c r="D506" i="5"/>
  <c r="D505" i="5"/>
  <c r="D504" i="5"/>
  <c r="D503" i="5"/>
  <c r="D502" i="5"/>
  <c r="D501" i="5"/>
  <c r="D500" i="5"/>
  <c r="D499" i="5"/>
  <c r="D498" i="5"/>
  <c r="D497" i="5"/>
  <c r="D496" i="5"/>
  <c r="D495" i="5"/>
  <c r="D494" i="5"/>
  <c r="D493" i="5"/>
  <c r="D492" i="5"/>
  <c r="D491" i="5"/>
  <c r="D490" i="5"/>
  <c r="D489" i="5"/>
  <c r="D488" i="5"/>
  <c r="D487" i="5"/>
  <c r="D486" i="5"/>
  <c r="D485" i="5"/>
  <c r="D484" i="5"/>
  <c r="D483" i="5"/>
  <c r="D482" i="5"/>
  <c r="D481" i="5"/>
  <c r="D480" i="5"/>
  <c r="D479" i="5"/>
  <c r="D478" i="5"/>
  <c r="D477" i="5"/>
  <c r="D476" i="5"/>
  <c r="D475" i="5"/>
  <c r="D474" i="5"/>
  <c r="D473" i="5"/>
  <c r="D472" i="5"/>
  <c r="D471" i="5"/>
  <c r="D470" i="5"/>
  <c r="D469" i="5"/>
  <c r="D468" i="5"/>
  <c r="D467" i="5"/>
  <c r="D466" i="5"/>
  <c r="D465" i="5"/>
  <c r="D464" i="5"/>
  <c r="D463" i="5"/>
  <c r="D462" i="5"/>
  <c r="D461" i="5"/>
  <c r="D460" i="5"/>
  <c r="D459" i="5"/>
  <c r="D458" i="5"/>
  <c r="D457" i="5"/>
  <c r="D456" i="5"/>
  <c r="D455" i="5"/>
  <c r="D454" i="5"/>
  <c r="D453" i="5"/>
  <c r="D452" i="5"/>
  <c r="D451" i="5"/>
  <c r="D450" i="5"/>
  <c r="D449" i="5"/>
  <c r="D448" i="5"/>
  <c r="D447" i="5"/>
  <c r="D446" i="5"/>
  <c r="D445" i="5"/>
  <c r="D444" i="5"/>
  <c r="D443" i="5"/>
  <c r="D442" i="5"/>
  <c r="D441" i="5"/>
  <c r="D440" i="5"/>
  <c r="D439" i="5"/>
  <c r="D438" i="5"/>
  <c r="D437" i="5"/>
  <c r="D436" i="5"/>
  <c r="D435" i="5"/>
  <c r="D434" i="5"/>
  <c r="D433" i="5"/>
  <c r="D432" i="5"/>
  <c r="D431" i="5"/>
  <c r="D430" i="5"/>
  <c r="D429" i="5"/>
  <c r="D428" i="5"/>
  <c r="D427" i="5"/>
  <c r="D426" i="5"/>
  <c r="D425" i="5"/>
  <c r="D424" i="5"/>
  <c r="D423" i="5"/>
  <c r="D422" i="5"/>
  <c r="D421" i="5"/>
  <c r="D420" i="5"/>
  <c r="D419" i="5"/>
  <c r="D418" i="5"/>
  <c r="D417" i="5"/>
  <c r="D416" i="5"/>
  <c r="D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D401" i="5"/>
  <c r="D400" i="5"/>
  <c r="D399" i="5"/>
  <c r="D398" i="5"/>
  <c r="D397" i="5"/>
  <c r="D396" i="5"/>
  <c r="D395" i="5"/>
  <c r="D394" i="5"/>
  <c r="D393" i="5"/>
  <c r="D392" i="5"/>
  <c r="D391" i="5"/>
  <c r="D390" i="5"/>
  <c r="D389" i="5"/>
  <c r="D388" i="5"/>
  <c r="D387" i="5"/>
  <c r="D386" i="5"/>
  <c r="D385" i="5"/>
  <c r="D384" i="5"/>
  <c r="D383" i="5"/>
  <c r="D382" i="5"/>
  <c r="D381" i="5"/>
  <c r="D380" i="5"/>
  <c r="D379" i="5"/>
  <c r="D378" i="5"/>
  <c r="D377" i="5"/>
  <c r="D376" i="5"/>
  <c r="D375" i="5"/>
  <c r="D374" i="5"/>
  <c r="D373" i="5"/>
  <c r="D372" i="5"/>
  <c r="D371" i="5"/>
  <c r="D370" i="5"/>
  <c r="D369" i="5"/>
  <c r="D368" i="5"/>
  <c r="D367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D317" i="5"/>
  <c r="D316" i="5"/>
  <c r="D315" i="5"/>
  <c r="D314" i="5"/>
  <c r="D313" i="5"/>
  <c r="D312" i="5"/>
  <c r="D311" i="5"/>
  <c r="D310" i="5"/>
  <c r="D309" i="5"/>
  <c r="D308" i="5"/>
  <c r="D307" i="5"/>
  <c r="D306" i="5"/>
  <c r="D305" i="5"/>
  <c r="D304" i="5"/>
  <c r="D303" i="5"/>
  <c r="D302" i="5"/>
  <c r="D301" i="5"/>
  <c r="D300" i="5"/>
  <c r="D299" i="5"/>
  <c r="D298" i="5"/>
  <c r="D297" i="5"/>
  <c r="D296" i="5"/>
  <c r="D295" i="5"/>
  <c r="D294" i="5"/>
  <c r="D293" i="5"/>
  <c r="D292" i="5"/>
  <c r="D291" i="5"/>
  <c r="D290" i="5"/>
  <c r="D289" i="5"/>
  <c r="D288" i="5"/>
  <c r="D287" i="5"/>
  <c r="D286" i="5"/>
  <c r="D285" i="5"/>
  <c r="D284" i="5"/>
  <c r="D283" i="5"/>
  <c r="D282" i="5"/>
  <c r="D281" i="5"/>
  <c r="D280" i="5"/>
  <c r="D279" i="5"/>
  <c r="D278" i="5"/>
  <c r="D277" i="5"/>
  <c r="D276" i="5"/>
  <c r="D275" i="5"/>
  <c r="D274" i="5"/>
  <c r="D273" i="5"/>
  <c r="D272" i="5"/>
  <c r="D271" i="5"/>
  <c r="D270" i="5"/>
  <c r="D269" i="5"/>
  <c r="D268" i="5"/>
  <c r="D267" i="5"/>
  <c r="D266" i="5"/>
  <c r="D265" i="5"/>
  <c r="D264" i="5"/>
  <c r="D263" i="5"/>
  <c r="D262" i="5"/>
  <c r="D261" i="5"/>
  <c r="D260" i="5"/>
  <c r="D259" i="5"/>
  <c r="D258" i="5"/>
  <c r="D257" i="5"/>
  <c r="D256" i="5"/>
  <c r="D255" i="5"/>
  <c r="D254" i="5"/>
  <c r="D253" i="5"/>
  <c r="D252" i="5"/>
  <c r="D251" i="5"/>
  <c r="D250" i="5"/>
  <c r="D249" i="5"/>
  <c r="D248" i="5"/>
  <c r="D247" i="5"/>
  <c r="D246" i="5"/>
  <c r="D245" i="5"/>
  <c r="D244" i="5"/>
  <c r="D243" i="5"/>
  <c r="D242" i="5"/>
  <c r="D241" i="5"/>
  <c r="D240" i="5"/>
  <c r="D239" i="5"/>
  <c r="D238" i="5"/>
  <c r="D237" i="5"/>
  <c r="D236" i="5"/>
  <c r="D235" i="5"/>
  <c r="D234" i="5"/>
  <c r="D233" i="5"/>
  <c r="D232" i="5"/>
  <c r="D231" i="5"/>
  <c r="D230" i="5"/>
  <c r="D229" i="5"/>
  <c r="D228" i="5"/>
  <c r="D227" i="5"/>
  <c r="D226" i="5"/>
  <c r="D225" i="5"/>
  <c r="D224" i="5"/>
  <c r="D223" i="5"/>
  <c r="D222" i="5"/>
  <c r="D221" i="5"/>
  <c r="D220" i="5"/>
  <c r="D219" i="5"/>
  <c r="D218" i="5"/>
  <c r="D217" i="5"/>
  <c r="D216" i="5"/>
  <c r="D215" i="5"/>
  <c r="D214" i="5"/>
  <c r="D213" i="5"/>
  <c r="D212" i="5"/>
  <c r="D211" i="5"/>
  <c r="D210" i="5"/>
  <c r="D209" i="5"/>
  <c r="D208" i="5"/>
  <c r="D207" i="5"/>
  <c r="D206" i="5"/>
  <c r="D205" i="5"/>
  <c r="D204" i="5"/>
  <c r="D203" i="5"/>
  <c r="D202" i="5"/>
  <c r="D201" i="5"/>
  <c r="D200" i="5"/>
  <c r="D199" i="5"/>
  <c r="D198" i="5"/>
  <c r="D197" i="5"/>
  <c r="D196" i="5"/>
  <c r="D195" i="5"/>
  <c r="D194" i="5"/>
  <c r="D193" i="5"/>
  <c r="D192" i="5"/>
  <c r="D191" i="5"/>
  <c r="D190" i="5"/>
  <c r="D189" i="5"/>
  <c r="D188" i="5"/>
  <c r="D187" i="5"/>
  <c r="D186" i="5"/>
  <c r="D185" i="5"/>
  <c r="D184" i="5"/>
  <c r="D18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D139" i="5"/>
  <c r="D138" i="5"/>
  <c r="D137" i="5"/>
  <c r="D136" i="5"/>
  <c r="D135" i="5"/>
  <c r="D134" i="5"/>
  <c r="D133" i="5"/>
  <c r="D132" i="5"/>
  <c r="D131" i="5"/>
  <c r="D130" i="5"/>
  <c r="D129" i="5"/>
  <c r="D128" i="5"/>
  <c r="D127" i="5"/>
  <c r="D126" i="5"/>
  <c r="D125" i="5"/>
  <c r="D124" i="5"/>
  <c r="D123" i="5"/>
  <c r="D122" i="5"/>
  <c r="D121" i="5"/>
  <c r="D120" i="5"/>
  <c r="D119" i="5"/>
  <c r="D118" i="5"/>
  <c r="D117" i="5"/>
  <c r="D116" i="5"/>
  <c r="D115" i="5"/>
  <c r="D114" i="5"/>
  <c r="D113" i="5"/>
  <c r="D112" i="5"/>
  <c r="D111" i="5"/>
  <c r="D110" i="5"/>
  <c r="D109" i="5"/>
  <c r="D108" i="5"/>
  <c r="D107" i="5"/>
  <c r="D106" i="5"/>
  <c r="D105" i="5"/>
  <c r="D104" i="5"/>
  <c r="D103" i="5"/>
  <c r="D102" i="5"/>
  <c r="D101" i="5"/>
  <c r="D100" i="5"/>
  <c r="D99" i="5"/>
  <c r="D98" i="5"/>
  <c r="D97" i="5"/>
  <c r="D96" i="5"/>
  <c r="D95" i="5"/>
  <c r="D94" i="5"/>
  <c r="D93" i="5"/>
  <c r="D92" i="5"/>
  <c r="D91" i="5"/>
  <c r="D90" i="5"/>
  <c r="D89" i="5"/>
  <c r="D88" i="5"/>
  <c r="D87" i="5"/>
  <c r="D86" i="5"/>
  <c r="D85" i="5"/>
  <c r="D84" i="5"/>
  <c r="D83" i="5"/>
  <c r="D82" i="5"/>
  <c r="D81" i="5"/>
  <c r="D80" i="5"/>
  <c r="D79" i="5"/>
  <c r="D78" i="5"/>
  <c r="D77" i="5"/>
  <c r="D76" i="5"/>
  <c r="D75" i="5"/>
  <c r="D74" i="5"/>
  <c r="D73" i="5"/>
  <c r="D72" i="5"/>
  <c r="D71" i="5"/>
  <c r="D70" i="5"/>
  <c r="D69" i="5"/>
  <c r="D68" i="5"/>
  <c r="D67" i="5"/>
  <c r="D66" i="5"/>
  <c r="D65" i="5"/>
  <c r="D64" i="5"/>
  <c r="D63" i="5"/>
  <c r="D62" i="5"/>
  <c r="D61" i="5"/>
  <c r="D60" i="5"/>
  <c r="D59" i="5"/>
  <c r="D58" i="5"/>
  <c r="D57" i="5"/>
  <c r="D56" i="5"/>
  <c r="D55" i="5"/>
  <c r="D54" i="5"/>
  <c r="D53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K21" i="5"/>
  <c r="H21" i="5"/>
  <c r="K20" i="5"/>
  <c r="H20" i="5"/>
  <c r="K19" i="5"/>
  <c r="H19" i="5"/>
  <c r="K18" i="5"/>
  <c r="H18" i="5"/>
  <c r="K17" i="5"/>
  <c r="H17" i="5"/>
  <c r="K16" i="5"/>
  <c r="H16" i="5"/>
  <c r="K15" i="5"/>
  <c r="H15" i="5"/>
  <c r="K14" i="5"/>
  <c r="H14" i="5"/>
  <c r="K13" i="5"/>
  <c r="H13" i="5"/>
  <c r="K12" i="5"/>
  <c r="H12" i="5"/>
  <c r="K11" i="5"/>
  <c r="H11" i="5"/>
  <c r="D11" i="5"/>
  <c r="K10" i="5"/>
  <c r="H10" i="5"/>
  <c r="K9" i="5"/>
  <c r="H9" i="5"/>
  <c r="K8" i="5"/>
  <c r="H8" i="5"/>
  <c r="D8" i="5"/>
  <c r="K7" i="5"/>
  <c r="H7" i="5"/>
  <c r="K6" i="5"/>
  <c r="H6" i="5"/>
  <c r="F6" i="5"/>
  <c r="K5" i="5"/>
  <c r="H5" i="5"/>
  <c r="F5" i="5"/>
  <c r="K4" i="5"/>
  <c r="H4" i="5"/>
  <c r="F4" i="5"/>
  <c r="A4" i="5"/>
  <c r="A5" i="5" s="1"/>
  <c r="A6" i="5" s="1"/>
  <c r="K3" i="5"/>
  <c r="H3" i="5"/>
  <c r="F3" i="5"/>
  <c r="K2" i="5"/>
  <c r="H2" i="5"/>
  <c r="Y23" i="3"/>
  <c r="Y24" i="3" s="1"/>
  <c r="AB19" i="3"/>
  <c r="Y14" i="3"/>
  <c r="X14" i="3"/>
  <c r="I11" i="5" l="1"/>
  <c r="J11" i="5" s="1"/>
  <c r="L11" i="5" s="1"/>
  <c r="I19" i="5"/>
  <c r="J19" i="5" s="1"/>
  <c r="L19" i="5" s="1"/>
  <c r="I7" i="5"/>
  <c r="J7" i="5" s="1"/>
  <c r="L7" i="5" s="1"/>
  <c r="I14" i="5"/>
  <c r="J14" i="5" s="1"/>
  <c r="L14" i="5" s="1"/>
  <c r="I8" i="5"/>
  <c r="J8" i="5" s="1"/>
  <c r="L8" i="5" s="1"/>
  <c r="I20" i="5"/>
  <c r="J20" i="5" s="1"/>
  <c r="L20" i="5" s="1"/>
  <c r="I5" i="5"/>
  <c r="J5" i="5" s="1"/>
  <c r="L5" i="5" s="1"/>
  <c r="I9" i="5"/>
  <c r="J9" i="5" s="1"/>
  <c r="L9" i="5" s="1"/>
  <c r="I12" i="5"/>
  <c r="J12" i="5" s="1"/>
  <c r="L12" i="5" s="1"/>
  <c r="I16" i="5"/>
  <c r="J16" i="5" s="1"/>
  <c r="L16" i="5" s="1"/>
  <c r="I2" i="5"/>
  <c r="J2" i="5" s="1"/>
  <c r="F8" i="5"/>
  <c r="I4" i="5"/>
  <c r="J4" i="5" s="1"/>
  <c r="L4" i="5" s="1"/>
  <c r="I6" i="5"/>
  <c r="J6" i="5" s="1"/>
  <c r="L6" i="5" s="1"/>
  <c r="I13" i="5"/>
  <c r="J13" i="5" s="1"/>
  <c r="L13" i="5" s="1"/>
  <c r="I17" i="5"/>
  <c r="J17" i="5" s="1"/>
  <c r="L17" i="5" s="1"/>
  <c r="I21" i="5"/>
  <c r="J21" i="5" s="1"/>
  <c r="L21" i="5" s="1"/>
  <c r="I10" i="5"/>
  <c r="J10" i="5" s="1"/>
  <c r="L10" i="5" s="1"/>
  <c r="I18" i="5"/>
  <c r="J18" i="5" s="1"/>
  <c r="L18" i="5" s="1"/>
  <c r="I3" i="5"/>
  <c r="J3" i="5" s="1"/>
  <c r="L3" i="5" s="1"/>
  <c r="D21" i="5"/>
  <c r="I15" i="5"/>
  <c r="J15" i="5" s="1"/>
  <c r="L15" i="5" s="1"/>
  <c r="E36" i="5"/>
  <c r="F36" i="5" s="1"/>
  <c r="AA19" i="3" l="1"/>
  <c r="R33" i="3" l="1"/>
  <c r="R15" i="3"/>
  <c r="S15" i="3" s="1"/>
  <c r="R30" i="3"/>
  <c r="S30" i="3" s="1"/>
  <c r="T30" i="3" s="1"/>
  <c r="R12" i="3"/>
  <c r="S12" i="3" s="1"/>
  <c r="T12" i="3" s="1"/>
  <c r="V12" i="3" l="1"/>
  <c r="U12" i="3"/>
  <c r="T15" i="3"/>
  <c r="V15" i="3" s="1"/>
  <c r="S20" i="3"/>
  <c r="S33" i="3"/>
  <c r="T33" i="3" s="1"/>
  <c r="V33" i="3" s="1"/>
  <c r="V30" i="3"/>
  <c r="U30" i="3"/>
  <c r="U15" i="3"/>
  <c r="T33" i="1"/>
  <c r="U33" i="1" s="1"/>
  <c r="G9" i="1"/>
  <c r="G11" i="1" s="1"/>
  <c r="G8" i="1"/>
  <c r="M11" i="1" l="1"/>
  <c r="L8" i="1"/>
  <c r="J8" i="1"/>
  <c r="J11" i="1" s="1"/>
  <c r="L11" i="1" s="1"/>
  <c r="J9" i="1"/>
  <c r="M9" i="1" s="1"/>
  <c r="S21" i="3"/>
  <c r="S22" i="3" s="1"/>
  <c r="L9" i="1"/>
  <c r="M8" i="1"/>
  <c r="U33" i="3"/>
  <c r="P3" i="5" l="1"/>
  <c r="L2" i="5"/>
  <c r="T18" i="5"/>
  <c r="R4" i="5"/>
  <c r="R5" i="5"/>
  <c r="R18" i="5"/>
  <c r="L2" i="5" a="1"/>
  <c r="M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<sst xmlns="http://schemas.openxmlformats.org/spreadsheetml/2006/main" count="422" uniqueCount="208">
  <si>
    <t>Decisions</t>
  </si>
  <si>
    <t>Jeter is a .300 hitter</t>
  </si>
  <si>
    <t>Derek Jeter</t>
  </si>
  <si>
    <t>Wade Boggs</t>
  </si>
  <si>
    <t>PLAYER</t>
  </si>
  <si>
    <t>YRS</t>
  </si>
  <si>
    <t>G</t>
  </si>
  <si>
    <t>AB</t>
  </si>
  <si>
    <t>R</t>
  </si>
  <si>
    <t>H</t>
  </si>
  <si>
    <t>2B</t>
  </si>
  <si>
    <t>3B</t>
  </si>
  <si>
    <t>HR</t>
  </si>
  <si>
    <t>RBI</t>
  </si>
  <si>
    <t>BB</t>
  </si>
  <si>
    <t>SO</t>
  </si>
  <si>
    <t>SB</t>
  </si>
  <si>
    <t>CS</t>
  </si>
  <si>
    <t>BA</t>
  </si>
  <si>
    <t>p*(Jeter)</t>
  </si>
  <si>
    <t>p*(Boggs)</t>
  </si>
  <si>
    <t>s(p*)</t>
  </si>
  <si>
    <t>Lower</t>
  </si>
  <si>
    <t>Upper</t>
  </si>
  <si>
    <t>diff</t>
  </si>
  <si>
    <t>s(p-delta)</t>
  </si>
  <si>
    <t>greater than 0 in entire range - yes, Boggs was at least 5 points higher with probability 2.5% or 5%</t>
  </si>
  <si>
    <t>Issues?</t>
  </si>
  <si>
    <t>Assumptions??</t>
  </si>
  <si>
    <t>assumes 10,000 idependent/identical AB's</t>
  </si>
  <si>
    <t>not ident</t>
  </si>
  <si>
    <t>not idep</t>
  </si>
  <si>
    <t>NO (pitcher, conditions, baserunners, outs)</t>
  </si>
  <si>
    <t>YES, mostly for pro's</t>
  </si>
  <si>
    <t>YEAR</t>
  </si>
  <si>
    <t>TEAM</t>
  </si>
  <si>
    <t>GP</t>
  </si>
  <si>
    <t>AVG</t>
  </si>
  <si>
    <t>OBP</t>
  </si>
  <si>
    <t>SLG</t>
  </si>
  <si>
    <t>OPS</t>
  </si>
  <si>
    <t>WAR</t>
  </si>
  <si>
    <t>NYY</t>
  </si>
  <si>
    <t>Total</t>
  </si>
  <si>
    <t>--</t>
  </si>
  <si>
    <t>Season Averages</t>
  </si>
  <si>
    <t>BOS</t>
  </si>
  <si>
    <t>TB</t>
  </si>
  <si>
    <t>age</t>
  </si>
  <si>
    <t>AGE</t>
  </si>
  <si>
    <t>Career</t>
  </si>
  <si>
    <t>FG</t>
  </si>
  <si>
    <t>FG%</t>
  </si>
  <si>
    <t>3PT</t>
  </si>
  <si>
    <t>3P%</t>
  </si>
  <si>
    <t>FT</t>
  </si>
  <si>
    <t>FT%</t>
  </si>
  <si>
    <t>OR</t>
  </si>
  <si>
    <t>DR</t>
  </si>
  <si>
    <t>REB</t>
  </si>
  <si>
    <t>AST</t>
  </si>
  <si>
    <t>BLK</t>
  </si>
  <si>
    <t>STL</t>
  </si>
  <si>
    <t>PF</t>
  </si>
  <si>
    <t>TO</t>
  </si>
  <si>
    <t>PTS</t>
  </si>
  <si>
    <t>282-687</t>
  </si>
  <si>
    <t>91-236</t>
  </si>
  <si>
    <t>125-159</t>
  </si>
  <si>
    <t>481-1149</t>
  </si>
  <si>
    <t>138-343</t>
  </si>
  <si>
    <t>149-189</t>
  </si>
  <si>
    <t>363-851</t>
  </si>
  <si>
    <t>106-259</t>
  </si>
  <si>
    <t>130-166</t>
  </si>
  <si>
    <t>359-799</t>
  </si>
  <si>
    <t>105-271</t>
  </si>
  <si>
    <t>135-176</t>
  </si>
  <si>
    <t>637-1322</t>
  </si>
  <si>
    <t>223-552</t>
  </si>
  <si>
    <t>282-342</t>
  </si>
  <si>
    <t>683-1484</t>
  </si>
  <si>
    <t>199-530</t>
  </si>
  <si>
    <t>292-369</t>
  </si>
  <si>
    <t>764-1609</t>
  </si>
  <si>
    <t>209-596</t>
  </si>
  <si>
    <t>362-448</t>
  </si>
  <si>
    <t>593-1303</t>
  </si>
  <si>
    <t>170-481</t>
  </si>
  <si>
    <t>385-457</t>
  </si>
  <si>
    <t>186-388</t>
  </si>
  <si>
    <t>36-106</t>
  </si>
  <si>
    <t>115-129</t>
  </si>
  <si>
    <t>4348-9592</t>
  </si>
  <si>
    <t>1277-3374</t>
  </si>
  <si>
    <t>1975-2435</t>
  </si>
  <si>
    <t>587-1366</t>
  </si>
  <si>
    <t>59-205</t>
  </si>
  <si>
    <t>391-448</t>
  </si>
  <si>
    <t>661-1390</t>
  </si>
  <si>
    <t>97-230</t>
  </si>
  <si>
    <t>452-524</t>
  </si>
  <si>
    <t>794-1668</t>
  </si>
  <si>
    <t>128-351</t>
  </si>
  <si>
    <t>756-840</t>
  </si>
  <si>
    <t>711-1538</t>
  </si>
  <si>
    <t>145-414</t>
  </si>
  <si>
    <t>594-675</t>
  </si>
  <si>
    <t>643-1297</t>
  </si>
  <si>
    <t>133-344</t>
  </si>
  <si>
    <t>431-501</t>
  </si>
  <si>
    <t>731-1433</t>
  </si>
  <si>
    <t>139-334</t>
  </si>
  <si>
    <t>679-750</t>
  </si>
  <si>
    <t>849-1688</t>
  </si>
  <si>
    <t>192-491</t>
  </si>
  <si>
    <t>703-805</t>
  </si>
  <si>
    <t>238-467</t>
  </si>
  <si>
    <t>64-159</t>
  </si>
  <si>
    <t>146-171</t>
  </si>
  <si>
    <t>698-1381</t>
  </si>
  <si>
    <t>186-482</t>
  </si>
  <si>
    <t>447-498</t>
  </si>
  <si>
    <t>551-1026</t>
  </si>
  <si>
    <t>117-312</t>
  </si>
  <si>
    <t>336-384</t>
  </si>
  <si>
    <t>630-1222</t>
  </si>
  <si>
    <t>173-413</t>
  </si>
  <si>
    <t>359-404</t>
  </si>
  <si>
    <t>721-1383</t>
  </si>
  <si>
    <t>137-388</t>
  </si>
  <si>
    <t>448-506</t>
  </si>
  <si>
    <t>166-319</t>
  </si>
  <si>
    <t>46-103</t>
  </si>
  <si>
    <t>117-134</t>
  </si>
  <si>
    <t>7980-16178</t>
  </si>
  <si>
    <t>1616-4226</t>
  </si>
  <si>
    <t>5859-6640</t>
  </si>
  <si>
    <t>Bradley Beal</t>
  </si>
  <si>
    <t>Kevin Durant</t>
  </si>
  <si>
    <t>p</t>
  </si>
  <si>
    <t>var(p)</t>
  </si>
  <si>
    <t>sd(p)</t>
  </si>
  <si>
    <t>career</t>
  </si>
  <si>
    <t>P</t>
  </si>
  <si>
    <t>n</t>
  </si>
  <si>
    <t>SD</t>
  </si>
  <si>
    <t>pdiff</t>
  </si>
  <si>
    <t>var sum</t>
  </si>
  <si>
    <t xml:space="preserve">SD </t>
  </si>
  <si>
    <t>Diff picture - greater than 0 mostly</t>
  </si>
  <si>
    <t xml:space="preserve">means that Durant is better </t>
  </si>
  <si>
    <t>at least one SD…. 68% + 16%</t>
  </si>
  <si>
    <t>at least 84% chance</t>
  </si>
  <si>
    <t xml:space="preserve">2021 difference analysis </t>
  </si>
  <si>
    <t>p(hit)</t>
  </si>
  <si>
    <t>3 pointer</t>
  </si>
  <si>
    <t>cumul</t>
  </si>
  <si>
    <t>binomial</t>
  </si>
  <si>
    <t>takes the number in D11</t>
  </si>
  <si>
    <t>looks it up in column A</t>
  </si>
  <si>
    <t>finds the perc in A that is lower</t>
  </si>
  <si>
    <t>20 of the same shot</t>
  </si>
  <si>
    <t>20 different shots</t>
  </si>
  <si>
    <t>variance</t>
  </si>
  <si>
    <t>average</t>
  </si>
  <si>
    <t>SD for 20 shots</t>
  </si>
  <si>
    <t>random</t>
  </si>
  <si>
    <t>perc type</t>
  </si>
  <si>
    <t>p(hit type)</t>
  </si>
  <si>
    <t>shot type</t>
  </si>
  <si>
    <t>out of 500</t>
  </si>
  <si>
    <t xml:space="preserve">random </t>
  </si>
  <si>
    <t>count &lt;</t>
  </si>
  <si>
    <t>perc</t>
  </si>
  <si>
    <t>rand# determines shot taken</t>
  </si>
  <si>
    <t>diffs</t>
  </si>
  <si>
    <t>sum</t>
  </si>
  <si>
    <t>P(hit)</t>
  </si>
  <si>
    <t>hit = 1</t>
  </si>
  <si>
    <t>MACRO</t>
  </si>
  <si>
    <t>z-score</t>
  </si>
  <si>
    <t>.48*.52/388</t>
  </si>
  <si>
    <t>set 1</t>
  </si>
  <si>
    <t>set 2</t>
  </si>
  <si>
    <t>same SD's</t>
  </si>
  <si>
    <t>set2 - set 1</t>
  </si>
  <si>
    <t>var(x+y)</t>
  </si>
  <si>
    <t>var(x-y)</t>
  </si>
  <si>
    <t>compare 4.1% better</t>
  </si>
  <si>
    <t xml:space="preserve">to zero better </t>
  </si>
  <si>
    <t>random #</t>
  </si>
  <si>
    <t>simulations</t>
  </si>
  <si>
    <t>goes over to column 2</t>
  </si>
  <si>
    <t>prints out the shot type</t>
  </si>
  <si>
    <t>see column A for cumulative probabilities</t>
  </si>
  <si>
    <t>At the rim</t>
  </si>
  <si>
    <t>In the paint</t>
  </si>
  <si>
    <t>Mid-range</t>
  </si>
  <si>
    <t>Michael Jordan 91/92 regular season 51.9% shooter</t>
  </si>
  <si>
    <t>random is &lt; .10 at the rim</t>
  </si>
  <si>
    <t>rand is betw .4 and .85, Mid-range</t>
  </si>
  <si>
    <t>random is betw .15 and .4, In the paint</t>
  </si>
  <si>
    <t>rand over .85 is 3-pointer</t>
  </si>
  <si>
    <t>mean</t>
  </si>
  <si>
    <t>Lower(-1SD)</t>
  </si>
  <si>
    <t>Upper(+1SD)</t>
  </si>
  <si>
    <t>All 51.9% shots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</si>
</sst>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_(* #,##0.0000_);_(* \(#,##0.0000\);_(* &quot;-&quot;??_);_(@_)"/>
    <numFmt numFmtId="165" formatCode="_(* #,##0.00000_);_(* \(#,##0.00000\);_(* &quot;-&quot;??_);_(@_)"/>
    <numFmt numFmtId="166" formatCode="0.000"/>
    <numFmt numFmtId="167" formatCode="0.0%"/>
    <numFmt numFmtId="168" formatCode="0.000%"/>
    <numFmt numFmtId="178" formatCode="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7"/>
      <color rgb="FF48494A"/>
      <name val="Arial"/>
      <family val="2"/>
    </font>
    <font>
      <sz val="7"/>
      <color rgb="FF6C6D6F"/>
      <name val="Arial"/>
      <family val="2"/>
    </font>
    <font>
      <b/>
      <sz val="7"/>
      <color rgb="FF151617"/>
      <name val="Arial"/>
      <family val="2"/>
    </font>
    <font>
      <sz val="11"/>
      <color rgb="FF2B2C2D"/>
      <name val="Arial"/>
      <family val="2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rgb="FFDCDDDF"/>
      </top>
      <bottom style="medium">
        <color rgb="FFDCDDDF"/>
      </bottom>
      <diagonal/>
    </border>
    <border>
      <left/>
      <right/>
      <top/>
      <bottom style="medium">
        <color rgb="FFF1F2F3"/>
      </bottom>
      <diagonal/>
    </border>
    <border>
      <left/>
      <right style="medium">
        <color rgb="FFDCDDDF"/>
      </right>
      <top style="medium">
        <color rgb="FFDCDDDF"/>
      </top>
      <bottom style="medium">
        <color rgb="FFDCDDDF"/>
      </bottom>
      <diagonal/>
    </border>
    <border>
      <left/>
      <right style="medium">
        <color rgb="FFDCDDDF"/>
      </right>
      <top/>
      <bottom style="medium">
        <color rgb="FFF1F2F3"/>
      </bottom>
      <diagonal/>
    </border>
    <border>
      <left/>
      <right style="medium">
        <color rgb="FFDCDDDF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108">
    <xf numFmtId="0" fontId="0" fillId="0" borderId="0" xfId="0"/>
    <xf numFmtId="0" fontId="0" fillId="0" borderId="0" xfId="0" applyAlignment="1">
      <alignment horizontal="left" vertical="center" wrapText="1"/>
    </xf>
    <xf numFmtId="0" fontId="2" fillId="0" borderId="0" xfId="2" applyAlignment="1">
      <alignment horizontal="left" vertical="center" wrapText="1"/>
    </xf>
    <xf numFmtId="0" fontId="0" fillId="0" borderId="0" xfId="0" applyAlignment="1">
      <alignment horizontal="right" vertical="center" wrapText="1"/>
    </xf>
    <xf numFmtId="0" fontId="2" fillId="0" borderId="0" xfId="2" applyAlignment="1">
      <alignment horizontal="right" vertical="center" wrapText="1"/>
    </xf>
    <xf numFmtId="0" fontId="0" fillId="2" borderId="0" xfId="0" applyFill="1"/>
    <xf numFmtId="0" fontId="2" fillId="2" borderId="0" xfId="2" applyFill="1" applyAlignment="1">
      <alignment horizontal="right" vertical="center" wrapText="1"/>
    </xf>
    <xf numFmtId="0" fontId="0" fillId="2" borderId="0" xfId="0" applyFill="1" applyAlignment="1">
      <alignment horizontal="right" vertical="center" wrapText="1"/>
    </xf>
    <xf numFmtId="164" fontId="0" fillId="0" borderId="0" xfId="0" applyNumberFormat="1"/>
    <xf numFmtId="165" fontId="0" fillId="0" borderId="0" xfId="0" applyNumberFormat="1"/>
    <xf numFmtId="164" fontId="0" fillId="0" borderId="0" xfId="0" applyNumberFormat="1" applyFill="1"/>
    <xf numFmtId="0" fontId="0" fillId="0" borderId="0" xfId="0" applyAlignment="1">
      <alignment vertical="center" wrapText="1"/>
    </xf>
    <xf numFmtId="166" fontId="0" fillId="2" borderId="0" xfId="0" applyNumberFormat="1" applyFill="1" applyAlignment="1">
      <alignment horizontal="right" vertical="center" wrapText="1"/>
    </xf>
    <xf numFmtId="164" fontId="0" fillId="2" borderId="0" xfId="1" applyNumberFormat="1" applyFont="1" applyFill="1"/>
    <xf numFmtId="0" fontId="0" fillId="0" borderId="1" xfId="0" applyBorder="1"/>
    <xf numFmtId="0" fontId="0" fillId="0" borderId="2" xfId="0" applyBorder="1"/>
    <xf numFmtId="164" fontId="0" fillId="0" borderId="3" xfId="0" applyNumberFormat="1" applyBorder="1"/>
    <xf numFmtId="164" fontId="0" fillId="3" borderId="4" xfId="0" applyNumberFormat="1" applyFill="1" applyBorder="1"/>
    <xf numFmtId="164" fontId="0" fillId="3" borderId="5" xfId="0" applyNumberFormat="1" applyFill="1" applyBorder="1"/>
    <xf numFmtId="164" fontId="0" fillId="0" borderId="6" xfId="0" applyNumberFormat="1" applyBorder="1"/>
    <xf numFmtId="0" fontId="4" fillId="0" borderId="8" xfId="0" applyFont="1" applyBorder="1" applyAlignment="1">
      <alignment horizontal="left" vertical="center"/>
    </xf>
    <xf numFmtId="0" fontId="3" fillId="0" borderId="7" xfId="0" applyFont="1" applyBorder="1" applyAlignment="1">
      <alignment horizontal="right" vertical="center"/>
    </xf>
    <xf numFmtId="0" fontId="4" fillId="0" borderId="8" xfId="0" applyFont="1" applyBorder="1" applyAlignment="1">
      <alignment horizontal="right" vertical="center"/>
    </xf>
    <xf numFmtId="0" fontId="5" fillId="0" borderId="8" xfId="0" applyFont="1" applyBorder="1" applyAlignment="1">
      <alignment horizontal="right" vertical="center"/>
    </xf>
    <xf numFmtId="0" fontId="6" fillId="0" borderId="0" xfId="0" applyFont="1" applyAlignment="1">
      <alignment vertical="center" wrapText="1"/>
    </xf>
    <xf numFmtId="0" fontId="3" fillId="0" borderId="9" xfId="0" applyFont="1" applyBorder="1" applyAlignment="1">
      <alignment horizontal="left" vertical="top"/>
    </xf>
    <xf numFmtId="0" fontId="4" fillId="0" borderId="10" xfId="0" applyFont="1" applyBorder="1" applyAlignment="1">
      <alignment horizontal="left" vertical="top"/>
    </xf>
    <xf numFmtId="0" fontId="6" fillId="0" borderId="11" xfId="0" applyFont="1" applyBorder="1" applyAlignment="1">
      <alignment vertical="top"/>
    </xf>
    <xf numFmtId="0" fontId="4" fillId="0" borderId="0" xfId="0" applyFont="1" applyFill="1" applyBorder="1" applyAlignment="1">
      <alignment horizontal="right" vertical="center"/>
    </xf>
    <xf numFmtId="0" fontId="6" fillId="2" borderId="11" xfId="0" applyFont="1" applyFill="1" applyBorder="1" applyAlignment="1">
      <alignment vertical="top"/>
    </xf>
    <xf numFmtId="0" fontId="5" fillId="2" borderId="8" xfId="0" applyFont="1" applyFill="1" applyBorder="1" applyAlignment="1">
      <alignment horizontal="right" vertical="center"/>
    </xf>
    <xf numFmtId="0" fontId="6" fillId="0" borderId="11" xfId="0" applyFont="1" applyFill="1" applyBorder="1" applyAlignment="1">
      <alignment vertical="top"/>
    </xf>
    <xf numFmtId="0" fontId="0" fillId="4" borderId="0" xfId="0" applyFill="1"/>
    <xf numFmtId="10" fontId="0" fillId="4" borderId="0" xfId="3" applyNumberFormat="1" applyFont="1" applyFill="1"/>
    <xf numFmtId="166" fontId="0" fillId="2" borderId="0" xfId="0" applyNumberFormat="1" applyFill="1" applyAlignment="1">
      <alignment vertical="center" wrapText="1"/>
    </xf>
    <xf numFmtId="0" fontId="0" fillId="2" borderId="0" xfId="0" applyFill="1" applyAlignment="1">
      <alignment vertical="center" wrapText="1"/>
    </xf>
    <xf numFmtId="10" fontId="0" fillId="0" borderId="0" xfId="0" applyNumberFormat="1"/>
    <xf numFmtId="0" fontId="0" fillId="3" borderId="1" xfId="0" applyFill="1" applyBorder="1"/>
    <xf numFmtId="0" fontId="0" fillId="0" borderId="12" xfId="0" applyBorder="1"/>
    <xf numFmtId="0" fontId="0" fillId="0" borderId="3" xfId="0" applyBorder="1"/>
    <xf numFmtId="0" fontId="0" fillId="0" borderId="0" xfId="0" applyBorder="1"/>
    <xf numFmtId="0" fontId="0" fillId="3" borderId="0" xfId="0" applyFill="1" applyBorder="1"/>
    <xf numFmtId="0" fontId="0" fillId="3" borderId="4" xfId="0" applyFill="1" applyBorder="1"/>
    <xf numFmtId="167" fontId="0" fillId="0" borderId="5" xfId="3" applyNumberFormat="1" applyFont="1" applyBorder="1"/>
    <xf numFmtId="0" fontId="0" fillId="0" borderId="13" xfId="0" applyBorder="1"/>
    <xf numFmtId="10" fontId="0" fillId="3" borderId="13" xfId="3" applyNumberFormat="1" applyFont="1" applyFill="1" applyBorder="1"/>
    <xf numFmtId="10" fontId="0" fillId="3" borderId="6" xfId="3" applyNumberFormat="1" applyFont="1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" fontId="4" fillId="0" borderId="10" xfId="0" applyNumberFormat="1" applyFont="1" applyBorder="1" applyAlignment="1">
      <alignment horizontal="left" vertical="top"/>
    </xf>
    <xf numFmtId="2" fontId="0" fillId="0" borderId="0" xfId="0" applyNumberFormat="1"/>
    <xf numFmtId="0" fontId="0" fillId="0" borderId="0" xfId="0" applyFont="1"/>
    <xf numFmtId="0" fontId="0" fillId="3" borderId="0" xfId="0" applyFill="1"/>
    <xf numFmtId="0" fontId="0" fillId="5" borderId="0" xfId="0" applyFill="1"/>
    <xf numFmtId="0" fontId="0" fillId="0" borderId="0" xfId="0" applyFill="1"/>
    <xf numFmtId="0" fontId="7" fillId="6" borderId="0" xfId="0" applyFont="1" applyFill="1"/>
    <xf numFmtId="167" fontId="0" fillId="4" borderId="0" xfId="3" applyNumberFormat="1" applyFont="1" applyFill="1"/>
    <xf numFmtId="9" fontId="0" fillId="4" borderId="0" xfId="3" applyFont="1" applyFill="1"/>
    <xf numFmtId="0" fontId="0" fillId="4" borderId="14" xfId="0" applyFill="1" applyBorder="1"/>
    <xf numFmtId="0" fontId="0" fillId="4" borderId="15" xfId="0" applyFill="1" applyBorder="1"/>
    <xf numFmtId="0" fontId="0" fillId="4" borderId="1" xfId="0" applyFill="1" applyBorder="1"/>
    <xf numFmtId="167" fontId="0" fillId="4" borderId="2" xfId="0" applyNumberFormat="1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3" fillId="4" borderId="0" xfId="0" quotePrefix="1" applyFont="1" applyFill="1" applyBorder="1" applyAlignment="1">
      <alignment horizontal="left" vertical="top"/>
    </xf>
    <xf numFmtId="0" fontId="0" fillId="4" borderId="0" xfId="0" applyFill="1" applyBorder="1"/>
    <xf numFmtId="0" fontId="7" fillId="0" borderId="12" xfId="0" applyFont="1" applyBorder="1"/>
    <xf numFmtId="0" fontId="7" fillId="0" borderId="2" xfId="0" applyFont="1" applyBorder="1"/>
    <xf numFmtId="9" fontId="0" fillId="0" borderId="0" xfId="3" applyFont="1" applyBorder="1"/>
    <xf numFmtId="9" fontId="0" fillId="0" borderId="13" xfId="3" applyFont="1" applyBorder="1"/>
    <xf numFmtId="0" fontId="7" fillId="3" borderId="1" xfId="0" applyFont="1" applyFill="1" applyBorder="1"/>
    <xf numFmtId="0" fontId="0" fillId="3" borderId="3" xfId="0" applyFill="1" applyBorder="1"/>
    <xf numFmtId="9" fontId="0" fillId="3" borderId="3" xfId="0" applyNumberFormat="1" applyFill="1" applyBorder="1"/>
    <xf numFmtId="9" fontId="0" fillId="3" borderId="5" xfId="0" applyNumberFormat="1" applyFill="1" applyBorder="1"/>
    <xf numFmtId="168" fontId="0" fillId="0" borderId="0" xfId="3" applyNumberFormat="1" applyFont="1"/>
    <xf numFmtId="168" fontId="0" fillId="0" borderId="0" xfId="0" applyNumberFormat="1"/>
    <xf numFmtId="9" fontId="0" fillId="5" borderId="0" xfId="3" applyFont="1" applyFill="1"/>
    <xf numFmtId="0" fontId="0" fillId="0" borderId="0" xfId="0" applyFill="1" applyBorder="1"/>
    <xf numFmtId="0" fontId="0" fillId="6" borderId="1" xfId="0" applyFill="1" applyBorder="1"/>
    <xf numFmtId="0" fontId="0" fillId="6" borderId="12" xfId="0" applyFill="1" applyBorder="1"/>
    <xf numFmtId="0" fontId="0" fillId="5" borderId="0" xfId="0" applyFill="1" applyBorder="1"/>
    <xf numFmtId="0" fontId="0" fillId="6" borderId="0" xfId="0" applyFill="1" applyBorder="1"/>
    <xf numFmtId="0" fontId="0" fillId="0" borderId="4" xfId="0" applyFill="1" applyBorder="1"/>
    <xf numFmtId="0" fontId="0" fillId="5" borderId="4" xfId="0" applyFill="1" applyBorder="1"/>
    <xf numFmtId="0" fontId="0" fillId="2" borderId="0" xfId="0" applyFill="1" applyBorder="1"/>
    <xf numFmtId="0" fontId="0" fillId="6" borderId="13" xfId="0" applyFill="1" applyBorder="1"/>
    <xf numFmtId="0" fontId="0" fillId="0" borderId="4" xfId="0" applyFont="1" applyBorder="1"/>
    <xf numFmtId="0" fontId="0" fillId="5" borderId="3" xfId="0" applyFill="1" applyBorder="1"/>
    <xf numFmtId="0" fontId="0" fillId="5" borderId="4" xfId="0" applyFont="1" applyFill="1" applyBorder="1"/>
    <xf numFmtId="0" fontId="0" fillId="0" borderId="3" xfId="0" applyFill="1" applyBorder="1"/>
    <xf numFmtId="0" fontId="0" fillId="2" borderId="3" xfId="0" applyFill="1" applyBorder="1"/>
    <xf numFmtId="0" fontId="0" fillId="2" borderId="5" xfId="0" applyFill="1" applyBorder="1"/>
    <xf numFmtId="0" fontId="0" fillId="2" borderId="13" xfId="0" applyFill="1" applyBorder="1"/>
    <xf numFmtId="0" fontId="0" fillId="0" borderId="6" xfId="0" applyFont="1" applyBorder="1"/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 wrapText="1"/>
    </xf>
    <xf numFmtId="0" fontId="2" fillId="0" borderId="0" xfId="2" applyAlignment="1">
      <alignment horizontal="left" vertical="center" wrapText="1" indent="1"/>
    </xf>
    <xf numFmtId="166" fontId="0" fillId="0" borderId="0" xfId="0" applyNumberFormat="1" applyAlignment="1">
      <alignment vertical="center" wrapText="1"/>
    </xf>
    <xf numFmtId="167" fontId="0" fillId="0" borderId="0" xfId="3" applyNumberFormat="1" applyFont="1" applyBorder="1"/>
    <xf numFmtId="167" fontId="0" fillId="0" borderId="13" xfId="3" applyNumberFormat="1" applyFont="1" applyBorder="1"/>
    <xf numFmtId="167" fontId="0" fillId="0" borderId="3" xfId="0" applyNumberFormat="1" applyBorder="1"/>
    <xf numFmtId="167" fontId="0" fillId="0" borderId="0" xfId="0" applyNumberFormat="1"/>
    <xf numFmtId="167" fontId="0" fillId="0" borderId="0" xfId="0" applyNumberFormat="1" applyFont="1"/>
    <xf numFmtId="178" fontId="0" fillId="6" borderId="0" xfId="0" applyNumberFormat="1" applyFill="1" applyBorder="1"/>
    <xf numFmtId="9" fontId="0" fillId="6" borderId="0" xfId="0" applyNumberFormat="1" applyFill="1" applyBorder="1"/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60960</xdr:colOff>
      <xdr:row>2</xdr:row>
      <xdr:rowOff>15240</xdr:rowOff>
    </xdr:from>
    <xdr:to>
      <xdr:col>37</xdr:col>
      <xdr:colOff>152400</xdr:colOff>
      <xdr:row>13</xdr:row>
      <xdr:rowOff>177114</xdr:rowOff>
    </xdr:to>
    <xdr:pic>
      <xdr:nvPicPr>
        <xdr:cNvPr id="7" name="Picture 6" descr="Appendix E: Solution Sheets | Introduction to Statistics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55980" y="381000"/>
          <a:ext cx="4488180" cy="21887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632460</xdr:colOff>
      <xdr:row>19</xdr:row>
      <xdr:rowOff>144780</xdr:rowOff>
    </xdr:from>
    <xdr:to>
      <xdr:col>22</xdr:col>
      <xdr:colOff>586740</xdr:colOff>
      <xdr:row>23</xdr:row>
      <xdr:rowOff>137166</xdr:rowOff>
    </xdr:to>
    <xdr:sp macro="" textlink="">
      <xdr:nvSpPr>
        <xdr:cNvPr id="2" name="Freefor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2016740" y="3749040"/>
          <a:ext cx="2598420" cy="754386"/>
        </a:xfrm>
        <a:custGeom>
          <a:avLst/>
          <a:gdLst>
            <a:gd name="connsiteX0" fmla="*/ 0 w 2598420"/>
            <a:gd name="connsiteY0" fmla="*/ 739140 h 754386"/>
            <a:gd name="connsiteX1" fmla="*/ 45720 w 2598420"/>
            <a:gd name="connsiteY1" fmla="*/ 731520 h 754386"/>
            <a:gd name="connsiteX2" fmla="*/ 68580 w 2598420"/>
            <a:gd name="connsiteY2" fmla="*/ 723900 h 754386"/>
            <a:gd name="connsiteX3" fmla="*/ 129540 w 2598420"/>
            <a:gd name="connsiteY3" fmla="*/ 716280 h 754386"/>
            <a:gd name="connsiteX4" fmla="*/ 220980 w 2598420"/>
            <a:gd name="connsiteY4" fmla="*/ 701040 h 754386"/>
            <a:gd name="connsiteX5" fmla="*/ 320040 w 2598420"/>
            <a:gd name="connsiteY5" fmla="*/ 693420 h 754386"/>
            <a:gd name="connsiteX6" fmla="*/ 365760 w 2598420"/>
            <a:gd name="connsiteY6" fmla="*/ 678180 h 754386"/>
            <a:gd name="connsiteX7" fmla="*/ 373380 w 2598420"/>
            <a:gd name="connsiteY7" fmla="*/ 655320 h 754386"/>
            <a:gd name="connsiteX8" fmla="*/ 449580 w 2598420"/>
            <a:gd name="connsiteY8" fmla="*/ 647700 h 754386"/>
            <a:gd name="connsiteX9" fmla="*/ 495300 w 2598420"/>
            <a:gd name="connsiteY9" fmla="*/ 617220 h 754386"/>
            <a:gd name="connsiteX10" fmla="*/ 541020 w 2598420"/>
            <a:gd name="connsiteY10" fmla="*/ 586740 h 754386"/>
            <a:gd name="connsiteX11" fmla="*/ 563880 w 2598420"/>
            <a:gd name="connsiteY11" fmla="*/ 563880 h 754386"/>
            <a:gd name="connsiteX12" fmla="*/ 594360 w 2598420"/>
            <a:gd name="connsiteY12" fmla="*/ 556260 h 754386"/>
            <a:gd name="connsiteX13" fmla="*/ 617220 w 2598420"/>
            <a:gd name="connsiteY13" fmla="*/ 541020 h 754386"/>
            <a:gd name="connsiteX14" fmla="*/ 685800 w 2598420"/>
            <a:gd name="connsiteY14" fmla="*/ 502920 h 754386"/>
            <a:gd name="connsiteX15" fmla="*/ 731520 w 2598420"/>
            <a:gd name="connsiteY15" fmla="*/ 472440 h 754386"/>
            <a:gd name="connsiteX16" fmla="*/ 762000 w 2598420"/>
            <a:gd name="connsiteY16" fmla="*/ 411480 h 754386"/>
            <a:gd name="connsiteX17" fmla="*/ 769620 w 2598420"/>
            <a:gd name="connsiteY17" fmla="*/ 388620 h 754386"/>
            <a:gd name="connsiteX18" fmla="*/ 807720 w 2598420"/>
            <a:gd name="connsiteY18" fmla="*/ 335280 h 754386"/>
            <a:gd name="connsiteX19" fmla="*/ 822960 w 2598420"/>
            <a:gd name="connsiteY19" fmla="*/ 304800 h 754386"/>
            <a:gd name="connsiteX20" fmla="*/ 868680 w 2598420"/>
            <a:gd name="connsiteY20" fmla="*/ 259080 h 754386"/>
            <a:gd name="connsiteX21" fmla="*/ 906780 w 2598420"/>
            <a:gd name="connsiteY21" fmla="*/ 213360 h 754386"/>
            <a:gd name="connsiteX22" fmla="*/ 944880 w 2598420"/>
            <a:gd name="connsiteY22" fmla="*/ 190500 h 754386"/>
            <a:gd name="connsiteX23" fmla="*/ 967740 w 2598420"/>
            <a:gd name="connsiteY23" fmla="*/ 175260 h 754386"/>
            <a:gd name="connsiteX24" fmla="*/ 1013460 w 2598420"/>
            <a:gd name="connsiteY24" fmla="*/ 114300 h 754386"/>
            <a:gd name="connsiteX25" fmla="*/ 1043940 w 2598420"/>
            <a:gd name="connsiteY25" fmla="*/ 99060 h 754386"/>
            <a:gd name="connsiteX26" fmla="*/ 1066800 w 2598420"/>
            <a:gd name="connsiteY26" fmla="*/ 83820 h 754386"/>
            <a:gd name="connsiteX27" fmla="*/ 1104900 w 2598420"/>
            <a:gd name="connsiteY27" fmla="*/ 53340 h 754386"/>
            <a:gd name="connsiteX28" fmla="*/ 1165860 w 2598420"/>
            <a:gd name="connsiteY28" fmla="*/ 15240 h 754386"/>
            <a:gd name="connsiteX29" fmla="*/ 1264920 w 2598420"/>
            <a:gd name="connsiteY29" fmla="*/ 0 h 754386"/>
            <a:gd name="connsiteX30" fmla="*/ 1463040 w 2598420"/>
            <a:gd name="connsiteY30" fmla="*/ 15240 h 754386"/>
            <a:gd name="connsiteX31" fmla="*/ 1600200 w 2598420"/>
            <a:gd name="connsiteY31" fmla="*/ 53340 h 754386"/>
            <a:gd name="connsiteX32" fmla="*/ 1653540 w 2598420"/>
            <a:gd name="connsiteY32" fmla="*/ 68580 h 754386"/>
            <a:gd name="connsiteX33" fmla="*/ 1706880 w 2598420"/>
            <a:gd name="connsiteY33" fmla="*/ 91440 h 754386"/>
            <a:gd name="connsiteX34" fmla="*/ 1752600 w 2598420"/>
            <a:gd name="connsiteY34" fmla="*/ 167640 h 754386"/>
            <a:gd name="connsiteX35" fmla="*/ 1828800 w 2598420"/>
            <a:gd name="connsiteY35" fmla="*/ 274320 h 754386"/>
            <a:gd name="connsiteX36" fmla="*/ 1859280 w 2598420"/>
            <a:gd name="connsiteY36" fmla="*/ 335280 h 754386"/>
            <a:gd name="connsiteX37" fmla="*/ 1897380 w 2598420"/>
            <a:gd name="connsiteY37" fmla="*/ 373380 h 754386"/>
            <a:gd name="connsiteX38" fmla="*/ 1912620 w 2598420"/>
            <a:gd name="connsiteY38" fmla="*/ 396240 h 754386"/>
            <a:gd name="connsiteX39" fmla="*/ 1935480 w 2598420"/>
            <a:gd name="connsiteY39" fmla="*/ 419100 h 754386"/>
            <a:gd name="connsiteX40" fmla="*/ 1950720 w 2598420"/>
            <a:gd name="connsiteY40" fmla="*/ 441960 h 754386"/>
            <a:gd name="connsiteX41" fmla="*/ 1996440 w 2598420"/>
            <a:gd name="connsiteY41" fmla="*/ 480060 h 754386"/>
            <a:gd name="connsiteX42" fmla="*/ 2019300 w 2598420"/>
            <a:gd name="connsiteY42" fmla="*/ 502920 h 754386"/>
            <a:gd name="connsiteX43" fmla="*/ 2049780 w 2598420"/>
            <a:gd name="connsiteY43" fmla="*/ 525780 h 754386"/>
            <a:gd name="connsiteX44" fmla="*/ 2133600 w 2598420"/>
            <a:gd name="connsiteY44" fmla="*/ 594360 h 754386"/>
            <a:gd name="connsiteX45" fmla="*/ 2156460 w 2598420"/>
            <a:gd name="connsiteY45" fmla="*/ 609600 h 754386"/>
            <a:gd name="connsiteX46" fmla="*/ 2179320 w 2598420"/>
            <a:gd name="connsiteY46" fmla="*/ 632460 h 754386"/>
            <a:gd name="connsiteX47" fmla="*/ 2240280 w 2598420"/>
            <a:gd name="connsiteY47" fmla="*/ 670560 h 754386"/>
            <a:gd name="connsiteX48" fmla="*/ 2377440 w 2598420"/>
            <a:gd name="connsiteY48" fmla="*/ 685800 h 754386"/>
            <a:gd name="connsiteX49" fmla="*/ 2453640 w 2598420"/>
            <a:gd name="connsiteY49" fmla="*/ 716280 h 754386"/>
            <a:gd name="connsiteX50" fmla="*/ 2491740 w 2598420"/>
            <a:gd name="connsiteY50" fmla="*/ 731520 h 754386"/>
            <a:gd name="connsiteX51" fmla="*/ 2545080 w 2598420"/>
            <a:gd name="connsiteY51" fmla="*/ 739140 h 754386"/>
            <a:gd name="connsiteX52" fmla="*/ 2598420 w 2598420"/>
            <a:gd name="connsiteY52" fmla="*/ 754380 h 75438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</a:cxnLst>
          <a:rect l="l" t="t" r="r" b="b"/>
          <a:pathLst>
            <a:path w="2598420" h="754386">
              <a:moveTo>
                <a:pt x="0" y="739140"/>
              </a:moveTo>
              <a:cubicBezTo>
                <a:pt x="15240" y="736600"/>
                <a:pt x="30638" y="734872"/>
                <a:pt x="45720" y="731520"/>
              </a:cubicBezTo>
              <a:cubicBezTo>
                <a:pt x="53561" y="729778"/>
                <a:pt x="60677" y="725337"/>
                <a:pt x="68580" y="723900"/>
              </a:cubicBezTo>
              <a:cubicBezTo>
                <a:pt x="88728" y="720237"/>
                <a:pt x="109300" y="719394"/>
                <a:pt x="129540" y="716280"/>
              </a:cubicBezTo>
              <a:cubicBezTo>
                <a:pt x="195032" y="706204"/>
                <a:pt x="141256" y="709012"/>
                <a:pt x="220980" y="701040"/>
              </a:cubicBezTo>
              <a:cubicBezTo>
                <a:pt x="253933" y="697745"/>
                <a:pt x="287020" y="695960"/>
                <a:pt x="320040" y="693420"/>
              </a:cubicBezTo>
              <a:cubicBezTo>
                <a:pt x="335280" y="688340"/>
                <a:pt x="360680" y="693420"/>
                <a:pt x="365760" y="678180"/>
              </a:cubicBezTo>
              <a:cubicBezTo>
                <a:pt x="368300" y="670560"/>
                <a:pt x="365831" y="658065"/>
                <a:pt x="373380" y="655320"/>
              </a:cubicBezTo>
              <a:cubicBezTo>
                <a:pt x="397370" y="646596"/>
                <a:pt x="424180" y="650240"/>
                <a:pt x="449580" y="647700"/>
              </a:cubicBezTo>
              <a:cubicBezTo>
                <a:pt x="493299" y="633127"/>
                <a:pt x="452491" y="650516"/>
                <a:pt x="495300" y="617220"/>
              </a:cubicBezTo>
              <a:cubicBezTo>
                <a:pt x="509758" y="605975"/>
                <a:pt x="528068" y="599692"/>
                <a:pt x="541020" y="586740"/>
              </a:cubicBezTo>
              <a:cubicBezTo>
                <a:pt x="548640" y="579120"/>
                <a:pt x="554524" y="569227"/>
                <a:pt x="563880" y="563880"/>
              </a:cubicBezTo>
              <a:cubicBezTo>
                <a:pt x="572973" y="558684"/>
                <a:pt x="584200" y="558800"/>
                <a:pt x="594360" y="556260"/>
              </a:cubicBezTo>
              <a:cubicBezTo>
                <a:pt x="601980" y="551180"/>
                <a:pt x="609269" y="545564"/>
                <a:pt x="617220" y="541020"/>
              </a:cubicBezTo>
              <a:cubicBezTo>
                <a:pt x="688499" y="500289"/>
                <a:pt x="602036" y="556224"/>
                <a:pt x="685800" y="502920"/>
              </a:cubicBezTo>
              <a:cubicBezTo>
                <a:pt x="701253" y="493086"/>
                <a:pt x="731520" y="472440"/>
                <a:pt x="731520" y="472440"/>
              </a:cubicBezTo>
              <a:cubicBezTo>
                <a:pt x="746751" y="396287"/>
                <a:pt x="725408" y="466368"/>
                <a:pt x="762000" y="411480"/>
              </a:cubicBezTo>
              <a:cubicBezTo>
                <a:pt x="766455" y="404797"/>
                <a:pt x="766028" y="395804"/>
                <a:pt x="769620" y="388620"/>
              </a:cubicBezTo>
              <a:cubicBezTo>
                <a:pt x="777680" y="372500"/>
                <a:pt x="799091" y="349086"/>
                <a:pt x="807720" y="335280"/>
              </a:cubicBezTo>
              <a:cubicBezTo>
                <a:pt x="813740" y="325647"/>
                <a:pt x="815864" y="313670"/>
                <a:pt x="822960" y="304800"/>
              </a:cubicBezTo>
              <a:cubicBezTo>
                <a:pt x="836424" y="287970"/>
                <a:pt x="856725" y="277013"/>
                <a:pt x="868680" y="259080"/>
              </a:cubicBezTo>
              <a:cubicBezTo>
                <a:pt x="881587" y="239719"/>
                <a:pt x="887223" y="228028"/>
                <a:pt x="906780" y="213360"/>
              </a:cubicBezTo>
              <a:cubicBezTo>
                <a:pt x="918628" y="204474"/>
                <a:pt x="932321" y="198350"/>
                <a:pt x="944880" y="190500"/>
              </a:cubicBezTo>
              <a:cubicBezTo>
                <a:pt x="952646" y="185646"/>
                <a:pt x="960120" y="180340"/>
                <a:pt x="967740" y="175260"/>
              </a:cubicBezTo>
              <a:cubicBezTo>
                <a:pt x="979771" y="157214"/>
                <a:pt x="998980" y="126970"/>
                <a:pt x="1013460" y="114300"/>
              </a:cubicBezTo>
              <a:cubicBezTo>
                <a:pt x="1022009" y="106820"/>
                <a:pt x="1034077" y="104696"/>
                <a:pt x="1043940" y="99060"/>
              </a:cubicBezTo>
              <a:cubicBezTo>
                <a:pt x="1051891" y="94516"/>
                <a:pt x="1059180" y="88900"/>
                <a:pt x="1066800" y="83820"/>
              </a:cubicBezTo>
              <a:cubicBezTo>
                <a:pt x="1080667" y="42219"/>
                <a:pt x="1062800" y="74390"/>
                <a:pt x="1104900" y="53340"/>
              </a:cubicBezTo>
              <a:cubicBezTo>
                <a:pt x="1157041" y="27270"/>
                <a:pt x="1112775" y="32935"/>
                <a:pt x="1165860" y="15240"/>
              </a:cubicBezTo>
              <a:cubicBezTo>
                <a:pt x="1186805" y="8258"/>
                <a:pt x="1249983" y="1867"/>
                <a:pt x="1264920" y="0"/>
              </a:cubicBezTo>
              <a:cubicBezTo>
                <a:pt x="1330960" y="5080"/>
                <a:pt x="1397628" y="4833"/>
                <a:pt x="1463040" y="15240"/>
              </a:cubicBezTo>
              <a:cubicBezTo>
                <a:pt x="1509902" y="22695"/>
                <a:pt x="1554506" y="40546"/>
                <a:pt x="1600200" y="53340"/>
              </a:cubicBezTo>
              <a:cubicBezTo>
                <a:pt x="1618007" y="58326"/>
                <a:pt x="1637001" y="60310"/>
                <a:pt x="1653540" y="68580"/>
              </a:cubicBezTo>
              <a:cubicBezTo>
                <a:pt x="1691204" y="87412"/>
                <a:pt x="1673244" y="80228"/>
                <a:pt x="1706880" y="91440"/>
              </a:cubicBezTo>
              <a:cubicBezTo>
                <a:pt x="1724554" y="144462"/>
                <a:pt x="1701278" y="82103"/>
                <a:pt x="1752600" y="167640"/>
              </a:cubicBezTo>
              <a:cubicBezTo>
                <a:pt x="1812778" y="267937"/>
                <a:pt x="1747986" y="193506"/>
                <a:pt x="1828800" y="274320"/>
              </a:cubicBezTo>
              <a:cubicBezTo>
                <a:pt x="1838469" y="298493"/>
                <a:pt x="1842460" y="316057"/>
                <a:pt x="1859280" y="335280"/>
              </a:cubicBezTo>
              <a:cubicBezTo>
                <a:pt x="1871107" y="348797"/>
                <a:pt x="1885553" y="359863"/>
                <a:pt x="1897380" y="373380"/>
              </a:cubicBezTo>
              <a:cubicBezTo>
                <a:pt x="1903411" y="380272"/>
                <a:pt x="1906757" y="389205"/>
                <a:pt x="1912620" y="396240"/>
              </a:cubicBezTo>
              <a:cubicBezTo>
                <a:pt x="1919519" y="404519"/>
                <a:pt x="1928581" y="410821"/>
                <a:pt x="1935480" y="419100"/>
              </a:cubicBezTo>
              <a:cubicBezTo>
                <a:pt x="1941343" y="426135"/>
                <a:pt x="1944857" y="434925"/>
                <a:pt x="1950720" y="441960"/>
              </a:cubicBezTo>
              <a:cubicBezTo>
                <a:pt x="1981077" y="478389"/>
                <a:pt x="1963746" y="452815"/>
                <a:pt x="1996440" y="480060"/>
              </a:cubicBezTo>
              <a:cubicBezTo>
                <a:pt x="2004719" y="486959"/>
                <a:pt x="2011118" y="495907"/>
                <a:pt x="2019300" y="502920"/>
              </a:cubicBezTo>
              <a:cubicBezTo>
                <a:pt x="2028943" y="511185"/>
                <a:pt x="2039863" y="517846"/>
                <a:pt x="2049780" y="525780"/>
              </a:cubicBezTo>
              <a:cubicBezTo>
                <a:pt x="2077970" y="548332"/>
                <a:pt x="2103563" y="574335"/>
                <a:pt x="2133600" y="594360"/>
              </a:cubicBezTo>
              <a:cubicBezTo>
                <a:pt x="2141220" y="599440"/>
                <a:pt x="2149425" y="603737"/>
                <a:pt x="2156460" y="609600"/>
              </a:cubicBezTo>
              <a:cubicBezTo>
                <a:pt x="2164739" y="616499"/>
                <a:pt x="2171138" y="625447"/>
                <a:pt x="2179320" y="632460"/>
              </a:cubicBezTo>
              <a:cubicBezTo>
                <a:pt x="2197967" y="648443"/>
                <a:pt x="2217152" y="661887"/>
                <a:pt x="2240280" y="670560"/>
              </a:cubicBezTo>
              <a:cubicBezTo>
                <a:pt x="2278554" y="684913"/>
                <a:pt x="2351518" y="683948"/>
                <a:pt x="2377440" y="685800"/>
              </a:cubicBezTo>
              <a:lnTo>
                <a:pt x="2453640" y="716280"/>
              </a:lnTo>
              <a:cubicBezTo>
                <a:pt x="2466340" y="721360"/>
                <a:pt x="2478199" y="729586"/>
                <a:pt x="2491740" y="731520"/>
              </a:cubicBezTo>
              <a:lnTo>
                <a:pt x="2545080" y="739140"/>
              </a:lnTo>
              <a:cubicBezTo>
                <a:pt x="2593210" y="755183"/>
                <a:pt x="2574736" y="754380"/>
                <a:pt x="2598420" y="754380"/>
              </a:cubicBezTo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396240</xdr:colOff>
      <xdr:row>8</xdr:row>
      <xdr:rowOff>106680</xdr:rowOff>
    </xdr:from>
    <xdr:to>
      <xdr:col>13</xdr:col>
      <xdr:colOff>236220</xdr:colOff>
      <xdr:row>10</xdr:row>
      <xdr:rowOff>76200</xdr:rowOff>
    </xdr:to>
    <xdr:sp macro="[0]!RandomShootingPercentage" textlink="">
      <xdr:nvSpPr>
        <xdr:cNvPr id="2" name="Smiley Fac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9204960" y="1584960"/>
          <a:ext cx="449580" cy="342900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17</xdr:col>
      <xdr:colOff>95250</xdr:colOff>
      <xdr:row>9</xdr:row>
      <xdr:rowOff>44450</xdr:rowOff>
    </xdr:from>
    <xdr:to>
      <xdr:col>20</xdr:col>
      <xdr:colOff>438150</xdr:colOff>
      <xdr:row>15</xdr:row>
      <xdr:rowOff>171450</xdr:rowOff>
    </xdr:to>
    <xdr:pic>
      <xdr:nvPicPr>
        <xdr:cNvPr id="3" name="Picture 2" descr="Image result for binomial distribution graph">
          <a:extLst>
            <a:ext uri="{FF2B5EF4-FFF2-40B4-BE49-F238E27FC236}">
              <a16:creationId xmlns:a16="http://schemas.microsoft.com/office/drawing/2014/main" id="{A6F539EC-C155-44ED-94ED-46CB72A3C4A5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992" t="7949" r="4201" b="10042"/>
        <a:stretch/>
      </xdr:blipFill>
      <xdr:spPr bwMode="auto">
        <a:xfrm>
          <a:off x="12820650" y="1720850"/>
          <a:ext cx="2774950" cy="1244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espn.com/mlb/history/leaders/_/sort/caughtStealing" TargetMode="External"/><Relationship Id="rId18" Type="http://schemas.openxmlformats.org/officeDocument/2006/relationships/hyperlink" Target="http://www.espn.com/mlb/team/_/name/nyy/new-york-yankees" TargetMode="External"/><Relationship Id="rId26" Type="http://schemas.openxmlformats.org/officeDocument/2006/relationships/hyperlink" Target="http://www.espn.com/mlb/team/_/name/nyy/new-york-yankees" TargetMode="External"/><Relationship Id="rId39" Type="http://schemas.openxmlformats.org/officeDocument/2006/relationships/hyperlink" Target="http://www.espn.com/mlb/team/_/name/bos/boston-red-sox" TargetMode="External"/><Relationship Id="rId3" Type="http://schemas.openxmlformats.org/officeDocument/2006/relationships/hyperlink" Target="http://www.espn.com/mlb/history/leaders/_/sort/gamesPlayed" TargetMode="External"/><Relationship Id="rId21" Type="http://schemas.openxmlformats.org/officeDocument/2006/relationships/hyperlink" Target="http://www.espn.com/mlb/team/_/name/nyy/new-york-yankees" TargetMode="External"/><Relationship Id="rId34" Type="http://schemas.openxmlformats.org/officeDocument/2006/relationships/hyperlink" Target="http://www.espn.com/mlb/team/_/name/nyy/new-york-yankees" TargetMode="External"/><Relationship Id="rId42" Type="http://schemas.openxmlformats.org/officeDocument/2006/relationships/hyperlink" Target="http://www.espn.com/mlb/team/_/name/bos/boston-red-sox" TargetMode="External"/><Relationship Id="rId47" Type="http://schemas.openxmlformats.org/officeDocument/2006/relationships/hyperlink" Target="http://www.espn.com/mlb/team/_/name/nyy/new-york-yankees" TargetMode="External"/><Relationship Id="rId50" Type="http://schemas.openxmlformats.org/officeDocument/2006/relationships/hyperlink" Target="http://www.espn.com/mlb/team/_/name/nyy/new-york-yankees" TargetMode="External"/><Relationship Id="rId7" Type="http://schemas.openxmlformats.org/officeDocument/2006/relationships/hyperlink" Target="http://www.espn.com/mlb/history/leaders/_/sort/triples" TargetMode="External"/><Relationship Id="rId12" Type="http://schemas.openxmlformats.org/officeDocument/2006/relationships/hyperlink" Target="http://www.espn.com/mlb/history/leaders/_/sort/stolenBases" TargetMode="External"/><Relationship Id="rId17" Type="http://schemas.openxmlformats.org/officeDocument/2006/relationships/hyperlink" Target="http://www.espn.com/mlb/team/_/name/nyy/new-york-yankees" TargetMode="External"/><Relationship Id="rId25" Type="http://schemas.openxmlformats.org/officeDocument/2006/relationships/hyperlink" Target="http://www.espn.com/mlb/team/_/name/nyy/new-york-yankees" TargetMode="External"/><Relationship Id="rId33" Type="http://schemas.openxmlformats.org/officeDocument/2006/relationships/hyperlink" Target="http://www.espn.com/mlb/team/_/name/nyy/new-york-yankees" TargetMode="External"/><Relationship Id="rId38" Type="http://schemas.openxmlformats.org/officeDocument/2006/relationships/hyperlink" Target="http://www.espn.com/mlb/team/_/name/bos/boston-red-sox" TargetMode="External"/><Relationship Id="rId46" Type="http://schemas.openxmlformats.org/officeDocument/2006/relationships/hyperlink" Target="http://www.espn.com/mlb/team/_/name/nyy/new-york-yankees" TargetMode="External"/><Relationship Id="rId2" Type="http://schemas.openxmlformats.org/officeDocument/2006/relationships/hyperlink" Target="http://www.espn.com/mlb/player/_/id/1098/wade-boggs" TargetMode="External"/><Relationship Id="rId16" Type="http://schemas.openxmlformats.org/officeDocument/2006/relationships/hyperlink" Target="http://www.espn.com/mlb/team/_/name/nyy/new-york-yankees" TargetMode="External"/><Relationship Id="rId20" Type="http://schemas.openxmlformats.org/officeDocument/2006/relationships/hyperlink" Target="http://www.espn.com/mlb/team/_/name/nyy/new-york-yankees" TargetMode="External"/><Relationship Id="rId29" Type="http://schemas.openxmlformats.org/officeDocument/2006/relationships/hyperlink" Target="http://www.espn.com/mlb/team/_/name/nyy/new-york-yankees" TargetMode="External"/><Relationship Id="rId41" Type="http://schemas.openxmlformats.org/officeDocument/2006/relationships/hyperlink" Target="http://www.espn.com/mlb/team/_/name/bos/boston-red-sox" TargetMode="External"/><Relationship Id="rId1" Type="http://schemas.openxmlformats.org/officeDocument/2006/relationships/hyperlink" Target="http://www.espn.com/mlb/player/_/id/3246/derek-jeter" TargetMode="External"/><Relationship Id="rId6" Type="http://schemas.openxmlformats.org/officeDocument/2006/relationships/hyperlink" Target="http://www.espn.com/mlb/history/leaders/_/sort/doubles" TargetMode="External"/><Relationship Id="rId11" Type="http://schemas.openxmlformats.org/officeDocument/2006/relationships/hyperlink" Target="http://www.espn.com/mlb/history/leaders/_/sort/strikeouts" TargetMode="External"/><Relationship Id="rId24" Type="http://schemas.openxmlformats.org/officeDocument/2006/relationships/hyperlink" Target="http://www.espn.com/mlb/team/_/name/nyy/new-york-yankees" TargetMode="External"/><Relationship Id="rId32" Type="http://schemas.openxmlformats.org/officeDocument/2006/relationships/hyperlink" Target="http://www.espn.com/mlb/team/_/name/nyy/new-york-yankees" TargetMode="External"/><Relationship Id="rId37" Type="http://schemas.openxmlformats.org/officeDocument/2006/relationships/hyperlink" Target="http://www.espn.com/mlb/team/_/name/bos/boston-red-sox" TargetMode="External"/><Relationship Id="rId40" Type="http://schemas.openxmlformats.org/officeDocument/2006/relationships/hyperlink" Target="http://www.espn.com/mlb/team/_/name/bos/boston-red-sox" TargetMode="External"/><Relationship Id="rId45" Type="http://schemas.openxmlformats.org/officeDocument/2006/relationships/hyperlink" Target="http://www.espn.com/mlb/team/_/name/bos/boston-red-sox" TargetMode="External"/><Relationship Id="rId53" Type="http://schemas.openxmlformats.org/officeDocument/2006/relationships/drawing" Target="../drawings/drawing1.xml"/><Relationship Id="rId5" Type="http://schemas.openxmlformats.org/officeDocument/2006/relationships/hyperlink" Target="http://www.espn.com/mlb/history/leaders/_/sort/runs" TargetMode="External"/><Relationship Id="rId15" Type="http://schemas.openxmlformats.org/officeDocument/2006/relationships/hyperlink" Target="http://www.espn.com/mlb/team/_/name/nyy/new-york-yankees" TargetMode="External"/><Relationship Id="rId23" Type="http://schemas.openxmlformats.org/officeDocument/2006/relationships/hyperlink" Target="http://www.espn.com/mlb/team/_/name/nyy/new-york-yankees" TargetMode="External"/><Relationship Id="rId28" Type="http://schemas.openxmlformats.org/officeDocument/2006/relationships/hyperlink" Target="http://www.espn.com/mlb/team/_/name/nyy/new-york-yankees" TargetMode="External"/><Relationship Id="rId36" Type="http://schemas.openxmlformats.org/officeDocument/2006/relationships/hyperlink" Target="http://www.espn.com/mlb/team/_/name/bos/boston-red-sox" TargetMode="External"/><Relationship Id="rId49" Type="http://schemas.openxmlformats.org/officeDocument/2006/relationships/hyperlink" Target="http://www.espn.com/mlb/team/_/name/nyy/new-york-yankees" TargetMode="External"/><Relationship Id="rId10" Type="http://schemas.openxmlformats.org/officeDocument/2006/relationships/hyperlink" Target="http://www.espn.com/mlb/history/leaders/_/sort/walks" TargetMode="External"/><Relationship Id="rId19" Type="http://schemas.openxmlformats.org/officeDocument/2006/relationships/hyperlink" Target="http://www.espn.com/mlb/team/_/name/nyy/new-york-yankees" TargetMode="External"/><Relationship Id="rId31" Type="http://schemas.openxmlformats.org/officeDocument/2006/relationships/hyperlink" Target="http://www.espn.com/mlb/team/_/name/nyy/new-york-yankees" TargetMode="External"/><Relationship Id="rId44" Type="http://schemas.openxmlformats.org/officeDocument/2006/relationships/hyperlink" Target="http://www.espn.com/mlb/team/_/name/bos/boston-red-sox" TargetMode="External"/><Relationship Id="rId52" Type="http://schemas.openxmlformats.org/officeDocument/2006/relationships/hyperlink" Target="http://www.espn.com/mlb/team/_/name/tb/tampa-bay-rays" TargetMode="External"/><Relationship Id="rId4" Type="http://schemas.openxmlformats.org/officeDocument/2006/relationships/hyperlink" Target="http://www.espn.com/mlb/history/leaders/_/sort/atBats" TargetMode="External"/><Relationship Id="rId9" Type="http://schemas.openxmlformats.org/officeDocument/2006/relationships/hyperlink" Target="http://www.espn.com/mlb/history/leaders/_/sort/RBIs" TargetMode="External"/><Relationship Id="rId14" Type="http://schemas.openxmlformats.org/officeDocument/2006/relationships/hyperlink" Target="http://www.espn.com/mlb/history/leaders" TargetMode="External"/><Relationship Id="rId22" Type="http://schemas.openxmlformats.org/officeDocument/2006/relationships/hyperlink" Target="http://www.espn.com/mlb/team/_/name/nyy/new-york-yankees" TargetMode="External"/><Relationship Id="rId27" Type="http://schemas.openxmlformats.org/officeDocument/2006/relationships/hyperlink" Target="http://www.espn.com/mlb/team/_/name/nyy/new-york-yankees" TargetMode="External"/><Relationship Id="rId30" Type="http://schemas.openxmlformats.org/officeDocument/2006/relationships/hyperlink" Target="http://www.espn.com/mlb/team/_/name/nyy/new-york-yankees" TargetMode="External"/><Relationship Id="rId35" Type="http://schemas.openxmlformats.org/officeDocument/2006/relationships/hyperlink" Target="http://www.espn.com/mlb/team/_/name/bos/boston-red-sox" TargetMode="External"/><Relationship Id="rId43" Type="http://schemas.openxmlformats.org/officeDocument/2006/relationships/hyperlink" Target="http://www.espn.com/mlb/team/_/name/bos/boston-red-sox" TargetMode="External"/><Relationship Id="rId48" Type="http://schemas.openxmlformats.org/officeDocument/2006/relationships/hyperlink" Target="http://www.espn.com/mlb/team/_/name/nyy/new-york-yankees" TargetMode="External"/><Relationship Id="rId8" Type="http://schemas.openxmlformats.org/officeDocument/2006/relationships/hyperlink" Target="http://www.espn.com/mlb/history/leaders/_/sort/homeRuns" TargetMode="External"/><Relationship Id="rId51" Type="http://schemas.openxmlformats.org/officeDocument/2006/relationships/hyperlink" Target="http://www.espn.com/mlb/team/_/name/tb/tampa-bay-ray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109"/>
  <sheetViews>
    <sheetView topLeftCell="D1" workbookViewId="0">
      <selection activeCell="M16" sqref="M16"/>
    </sheetView>
  </sheetViews>
  <sheetFormatPr defaultRowHeight="14.5" x14ac:dyDescent="0.35"/>
  <cols>
    <col min="5" max="5" width="11.1796875" customWidth="1"/>
    <col min="10" max="10" width="9.08984375" bestFit="1" customWidth="1"/>
    <col min="22" max="26" width="3.81640625" customWidth="1"/>
    <col min="27" max="27" width="6.54296875" customWidth="1"/>
    <col min="28" max="28" width="3.54296875" customWidth="1"/>
    <col min="29" max="29" width="6.36328125" customWidth="1"/>
    <col min="30" max="30" width="3.81640625" customWidth="1"/>
    <col min="31" max="31" width="5.1796875" customWidth="1"/>
    <col min="32" max="32" width="3.81640625" customWidth="1"/>
    <col min="33" max="33" width="6.453125" customWidth="1"/>
    <col min="34" max="35" width="3.81640625" customWidth="1"/>
    <col min="36" max="36" width="5.81640625" customWidth="1"/>
    <col min="37" max="43" width="3.81640625" customWidth="1"/>
  </cols>
  <sheetData>
    <row r="1" spans="1:36" x14ac:dyDescent="0.35">
      <c r="A1" t="s">
        <v>0</v>
      </c>
      <c r="H1" s="32" t="s">
        <v>145</v>
      </c>
      <c r="J1" s="5"/>
      <c r="S1" s="5" t="s">
        <v>144</v>
      </c>
    </row>
    <row r="2" spans="1:36" x14ac:dyDescent="0.35">
      <c r="E2" s="1" t="s">
        <v>4</v>
      </c>
      <c r="F2" s="1" t="s">
        <v>5</v>
      </c>
      <c r="G2" s="4" t="s">
        <v>6</v>
      </c>
      <c r="H2" s="6" t="s">
        <v>7</v>
      </c>
      <c r="I2" s="4" t="s">
        <v>8</v>
      </c>
      <c r="J2" s="7" t="s">
        <v>9</v>
      </c>
      <c r="K2" s="4" t="s">
        <v>10</v>
      </c>
      <c r="L2" s="4" t="s">
        <v>11</v>
      </c>
      <c r="M2" s="4" t="s">
        <v>12</v>
      </c>
      <c r="N2" s="4" t="s">
        <v>13</v>
      </c>
      <c r="O2" s="4" t="s">
        <v>14</v>
      </c>
      <c r="P2" s="4" t="s">
        <v>15</v>
      </c>
      <c r="Q2" s="4" t="s">
        <v>16</v>
      </c>
      <c r="R2" s="4" t="s">
        <v>17</v>
      </c>
      <c r="S2" s="6" t="s">
        <v>18</v>
      </c>
    </row>
    <row r="3" spans="1:36" x14ac:dyDescent="0.35">
      <c r="A3" t="s">
        <v>1</v>
      </c>
      <c r="D3" s="1"/>
      <c r="E3" s="2" t="s">
        <v>2</v>
      </c>
      <c r="F3" s="1">
        <v>20</v>
      </c>
      <c r="G3" s="3">
        <v>2747</v>
      </c>
      <c r="H3" s="7">
        <v>11195</v>
      </c>
      <c r="I3" s="3">
        <v>1923</v>
      </c>
      <c r="J3" s="7">
        <v>3465</v>
      </c>
      <c r="K3" s="3">
        <v>544</v>
      </c>
      <c r="L3" s="3">
        <v>66</v>
      </c>
      <c r="M3" s="3">
        <v>260</v>
      </c>
      <c r="N3" s="3">
        <v>1311</v>
      </c>
      <c r="O3" s="3">
        <v>1082</v>
      </c>
      <c r="P3" s="3">
        <v>1840</v>
      </c>
      <c r="Q3" s="3">
        <v>358</v>
      </c>
      <c r="R3" s="3">
        <v>97</v>
      </c>
      <c r="S3" s="12">
        <v>0.31</v>
      </c>
    </row>
    <row r="4" spans="1:36" x14ac:dyDescent="0.35">
      <c r="D4" s="1"/>
      <c r="E4" s="2" t="s">
        <v>3</v>
      </c>
      <c r="F4" s="1">
        <v>18</v>
      </c>
      <c r="G4" s="3">
        <v>2440</v>
      </c>
      <c r="H4" s="7">
        <v>9180</v>
      </c>
      <c r="I4" s="3">
        <v>1513</v>
      </c>
      <c r="J4" s="7">
        <v>3010</v>
      </c>
      <c r="K4" s="3">
        <v>578</v>
      </c>
      <c r="L4" s="3">
        <v>61</v>
      </c>
      <c r="M4" s="3">
        <v>118</v>
      </c>
      <c r="N4" s="3">
        <v>1014</v>
      </c>
      <c r="O4" s="3">
        <v>1412</v>
      </c>
      <c r="P4" s="3">
        <v>745</v>
      </c>
      <c r="Q4" s="3">
        <v>24</v>
      </c>
      <c r="R4" s="3">
        <v>35</v>
      </c>
      <c r="S4" s="12">
        <v>0.32800000000000001</v>
      </c>
    </row>
    <row r="6" spans="1:36" ht="15" thickBot="1" x14ac:dyDescent="0.4"/>
    <row r="7" spans="1:36" x14ac:dyDescent="0.35">
      <c r="G7" s="32" t="s">
        <v>140</v>
      </c>
      <c r="J7" t="s">
        <v>146</v>
      </c>
      <c r="L7" s="14" t="s">
        <v>22</v>
      </c>
      <c r="M7" s="15" t="s">
        <v>23</v>
      </c>
    </row>
    <row r="8" spans="1:36" x14ac:dyDescent="0.35">
      <c r="F8" t="s">
        <v>19</v>
      </c>
      <c r="G8" s="13">
        <f>J3/H3</f>
        <v>0.30951317552478785</v>
      </c>
      <c r="I8" t="s">
        <v>21</v>
      </c>
      <c r="J8" s="9">
        <f>(G8*(1-G8)/H3)^0.5</f>
        <v>4.3692331450881222E-3</v>
      </c>
      <c r="L8" s="16">
        <f>G8-2*J8</f>
        <v>0.30077470923461158</v>
      </c>
      <c r="M8" s="17">
        <f>G8+2*J8</f>
        <v>0.31825164181496413</v>
      </c>
    </row>
    <row r="9" spans="1:36" ht="15" thickBot="1" x14ac:dyDescent="0.4">
      <c r="F9" t="s">
        <v>20</v>
      </c>
      <c r="G9" s="13">
        <f>J4/H4</f>
        <v>0.32788671023965144</v>
      </c>
      <c r="I9" t="s">
        <v>21</v>
      </c>
      <c r="J9" s="9">
        <f>(G9*(1-G9)/H4)^0.5</f>
        <v>4.899613335505021E-3</v>
      </c>
      <c r="L9" s="18">
        <f>G9-2*J9</f>
        <v>0.31808748356864142</v>
      </c>
      <c r="M9" s="19">
        <f>G9+2*J9</f>
        <v>0.33768593691066146</v>
      </c>
    </row>
    <row r="11" spans="1:36" x14ac:dyDescent="0.35">
      <c r="F11" t="s">
        <v>24</v>
      </c>
      <c r="G11" s="8">
        <f>G9-G8</f>
        <v>1.8373534714863582E-2</v>
      </c>
      <c r="I11" t="s">
        <v>25</v>
      </c>
      <c r="J11" s="9">
        <f>(J8^2+J9^2)^0.5</f>
        <v>6.564785534470664E-3</v>
      </c>
      <c r="L11" s="10">
        <f>G11-2*J11</f>
        <v>5.243963645922254E-3</v>
      </c>
      <c r="M11" s="8">
        <f>G11+2*J11</f>
        <v>3.1503105783804913E-2</v>
      </c>
      <c r="N11" t="s">
        <v>26</v>
      </c>
    </row>
    <row r="13" spans="1:36" x14ac:dyDescent="0.35">
      <c r="D13" t="s">
        <v>27</v>
      </c>
    </row>
    <row r="15" spans="1:36" x14ac:dyDescent="0.35">
      <c r="AA15">
        <v>0.30099999999999999</v>
      </c>
      <c r="AE15">
        <v>0.31</v>
      </c>
      <c r="AJ15">
        <v>0.31900000000000001</v>
      </c>
    </row>
    <row r="16" spans="1:36" x14ac:dyDescent="0.35">
      <c r="D16" t="s">
        <v>28</v>
      </c>
      <c r="F16" t="s">
        <v>29</v>
      </c>
    </row>
    <row r="17" spans="1:20" x14ac:dyDescent="0.35">
      <c r="G17" t="s">
        <v>30</v>
      </c>
      <c r="H17" t="s">
        <v>32</v>
      </c>
    </row>
    <row r="18" spans="1:20" x14ac:dyDescent="0.35">
      <c r="G18" t="s">
        <v>31</v>
      </c>
      <c r="H18" t="s">
        <v>33</v>
      </c>
    </row>
    <row r="24" spans="1:20" x14ac:dyDescent="0.35">
      <c r="A24" s="1" t="s">
        <v>34</v>
      </c>
      <c r="B24" s="11" t="s">
        <v>35</v>
      </c>
      <c r="C24" s="11" t="s">
        <v>36</v>
      </c>
      <c r="D24" s="11" t="s">
        <v>7</v>
      </c>
      <c r="E24" s="11" t="s">
        <v>8</v>
      </c>
      <c r="F24" s="11" t="s">
        <v>9</v>
      </c>
      <c r="G24" s="11" t="s">
        <v>10</v>
      </c>
      <c r="H24" s="11" t="s">
        <v>11</v>
      </c>
      <c r="I24" s="11" t="s">
        <v>12</v>
      </c>
      <c r="J24" s="11" t="s">
        <v>13</v>
      </c>
      <c r="K24" s="11" t="s">
        <v>14</v>
      </c>
      <c r="L24" s="11" t="s">
        <v>15</v>
      </c>
      <c r="M24" s="11" t="s">
        <v>16</v>
      </c>
      <c r="N24" s="11" t="s">
        <v>17</v>
      </c>
      <c r="O24" s="11" t="s">
        <v>37</v>
      </c>
      <c r="P24" s="11" t="s">
        <v>38</v>
      </c>
      <c r="Q24" s="11" t="s">
        <v>39</v>
      </c>
      <c r="R24" s="11" t="s">
        <v>40</v>
      </c>
      <c r="S24" s="11" t="s">
        <v>41</v>
      </c>
      <c r="T24" s="11" t="s">
        <v>49</v>
      </c>
    </row>
    <row r="25" spans="1:20" x14ac:dyDescent="0.35">
      <c r="A25" s="98">
        <v>1995</v>
      </c>
      <c r="B25" s="99" t="s">
        <v>42</v>
      </c>
      <c r="C25" s="97">
        <v>15</v>
      </c>
      <c r="D25" s="97">
        <v>48</v>
      </c>
      <c r="E25" s="97">
        <v>5</v>
      </c>
      <c r="F25" s="97">
        <v>12</v>
      </c>
      <c r="G25" s="97">
        <v>4</v>
      </c>
      <c r="H25" s="97">
        <v>1</v>
      </c>
      <c r="I25" s="97">
        <v>0</v>
      </c>
      <c r="J25" s="97">
        <v>7</v>
      </c>
      <c r="K25" s="97">
        <v>3</v>
      </c>
      <c r="L25" s="97">
        <v>11</v>
      </c>
      <c r="M25" s="97">
        <v>0</v>
      </c>
      <c r="N25" s="97">
        <v>0</v>
      </c>
      <c r="O25" s="100">
        <v>0.25</v>
      </c>
      <c r="P25" s="97">
        <v>0.29399999999999998</v>
      </c>
      <c r="Q25" s="97">
        <v>0.375</v>
      </c>
      <c r="R25" s="97">
        <v>0.66900000000000004</v>
      </c>
      <c r="S25" s="97">
        <v>-0.4</v>
      </c>
      <c r="T25">
        <v>21</v>
      </c>
    </row>
    <row r="26" spans="1:20" x14ac:dyDescent="0.35">
      <c r="A26" s="98"/>
      <c r="B26" s="99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/>
      <c r="O26" s="100"/>
      <c r="P26" s="97"/>
      <c r="Q26" s="97"/>
      <c r="R26" s="97"/>
      <c r="S26" s="97"/>
    </row>
    <row r="27" spans="1:20" x14ac:dyDescent="0.35">
      <c r="A27" s="98">
        <v>1996</v>
      </c>
      <c r="B27" s="99" t="s">
        <v>42</v>
      </c>
      <c r="C27" s="97">
        <v>157</v>
      </c>
      <c r="D27" s="97">
        <v>582</v>
      </c>
      <c r="E27" s="97">
        <v>104</v>
      </c>
      <c r="F27" s="97">
        <v>183</v>
      </c>
      <c r="G27" s="97">
        <v>25</v>
      </c>
      <c r="H27" s="97">
        <v>6</v>
      </c>
      <c r="I27" s="97">
        <v>10</v>
      </c>
      <c r="J27" s="97">
        <v>78</v>
      </c>
      <c r="K27" s="97">
        <v>48</v>
      </c>
      <c r="L27" s="97">
        <v>102</v>
      </c>
      <c r="M27" s="97">
        <v>14</v>
      </c>
      <c r="N27" s="97">
        <v>7</v>
      </c>
      <c r="O27" s="100">
        <v>0.314</v>
      </c>
      <c r="P27" s="97">
        <v>0.37</v>
      </c>
      <c r="Q27" s="97">
        <v>0.43</v>
      </c>
      <c r="R27" s="97">
        <v>0.8</v>
      </c>
      <c r="S27" s="97">
        <v>3</v>
      </c>
    </row>
    <row r="28" spans="1:20" x14ac:dyDescent="0.35">
      <c r="A28" s="98"/>
      <c r="B28" s="99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100"/>
      <c r="P28" s="97"/>
      <c r="Q28" s="97"/>
      <c r="R28" s="97"/>
      <c r="S28" s="97"/>
    </row>
    <row r="29" spans="1:20" x14ac:dyDescent="0.35">
      <c r="A29" s="98">
        <v>1997</v>
      </c>
      <c r="B29" s="99" t="s">
        <v>42</v>
      </c>
      <c r="C29" s="97">
        <v>159</v>
      </c>
      <c r="D29" s="97">
        <v>654</v>
      </c>
      <c r="E29" s="97">
        <v>116</v>
      </c>
      <c r="F29" s="97">
        <v>190</v>
      </c>
      <c r="G29" s="97">
        <v>31</v>
      </c>
      <c r="H29" s="97">
        <v>7</v>
      </c>
      <c r="I29" s="97">
        <v>10</v>
      </c>
      <c r="J29" s="97">
        <v>70</v>
      </c>
      <c r="K29" s="97">
        <v>74</v>
      </c>
      <c r="L29" s="97">
        <v>125</v>
      </c>
      <c r="M29" s="97">
        <v>23</v>
      </c>
      <c r="N29" s="97">
        <v>12</v>
      </c>
      <c r="O29" s="100">
        <v>0.29099999999999998</v>
      </c>
      <c r="P29" s="97">
        <v>0.37</v>
      </c>
      <c r="Q29" s="97">
        <v>0.40500000000000003</v>
      </c>
      <c r="R29" s="97">
        <v>0.77500000000000002</v>
      </c>
      <c r="S29" s="97">
        <v>4.8</v>
      </c>
    </row>
    <row r="30" spans="1:20" x14ac:dyDescent="0.35">
      <c r="A30" s="98"/>
      <c r="B30" s="99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100"/>
      <c r="P30" s="97"/>
      <c r="Q30" s="97"/>
      <c r="R30" s="97"/>
      <c r="S30" s="97"/>
    </row>
    <row r="31" spans="1:20" x14ac:dyDescent="0.35">
      <c r="A31" s="98">
        <v>1998</v>
      </c>
      <c r="B31" s="99" t="s">
        <v>42</v>
      </c>
      <c r="C31" s="97">
        <v>149</v>
      </c>
      <c r="D31" s="97">
        <v>626</v>
      </c>
      <c r="E31" s="97">
        <v>127</v>
      </c>
      <c r="F31" s="97">
        <v>203</v>
      </c>
      <c r="G31" s="97">
        <v>25</v>
      </c>
      <c r="H31" s="97">
        <v>8</v>
      </c>
      <c r="I31" s="97">
        <v>19</v>
      </c>
      <c r="J31" s="97">
        <v>84</v>
      </c>
      <c r="K31" s="97">
        <v>57</v>
      </c>
      <c r="L31" s="97">
        <v>119</v>
      </c>
      <c r="M31" s="97">
        <v>30</v>
      </c>
      <c r="N31" s="97">
        <v>6</v>
      </c>
      <c r="O31" s="100">
        <v>0.32400000000000001</v>
      </c>
      <c r="P31" s="97">
        <v>0.38400000000000001</v>
      </c>
      <c r="Q31" s="97">
        <v>0.48099999999999998</v>
      </c>
      <c r="R31" s="97">
        <v>0.86399999999999999</v>
      </c>
      <c r="S31" s="97">
        <v>7.3</v>
      </c>
    </row>
    <row r="32" spans="1:20" x14ac:dyDescent="0.35">
      <c r="A32" s="98"/>
      <c r="B32" s="99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/>
      <c r="O32" s="100"/>
      <c r="P32" s="97"/>
      <c r="Q32" s="97"/>
      <c r="R32" s="97"/>
      <c r="S32" s="97"/>
    </row>
    <row r="33" spans="1:21" x14ac:dyDescent="0.35">
      <c r="A33" s="98">
        <v>1999</v>
      </c>
      <c r="B33" s="99" t="s">
        <v>42</v>
      </c>
      <c r="C33" s="97">
        <v>158</v>
      </c>
      <c r="D33" s="97">
        <v>627</v>
      </c>
      <c r="E33" s="97">
        <v>134</v>
      </c>
      <c r="F33" s="97">
        <v>219</v>
      </c>
      <c r="G33" s="97">
        <v>37</v>
      </c>
      <c r="H33" s="97">
        <v>9</v>
      </c>
      <c r="I33" s="97">
        <v>24</v>
      </c>
      <c r="J33" s="97">
        <v>102</v>
      </c>
      <c r="K33" s="97">
        <v>91</v>
      </c>
      <c r="L33" s="97">
        <v>116</v>
      </c>
      <c r="M33" s="97">
        <v>19</v>
      </c>
      <c r="N33" s="97">
        <v>8</v>
      </c>
      <c r="O33" s="100">
        <v>0.34899999999999998</v>
      </c>
      <c r="P33" s="97">
        <v>0.438</v>
      </c>
      <c r="Q33" s="97">
        <v>0.55200000000000005</v>
      </c>
      <c r="R33" s="97">
        <v>0.98899999999999999</v>
      </c>
      <c r="S33" s="97">
        <v>7.8</v>
      </c>
      <c r="T33">
        <f>O33*(1-O33)/D33</f>
        <v>3.6235885167464115E-4</v>
      </c>
      <c r="U33">
        <f>T33^0.5</f>
        <v>1.9035725667140749E-2</v>
      </c>
    </row>
    <row r="34" spans="1:21" x14ac:dyDescent="0.35">
      <c r="A34" s="98"/>
      <c r="B34" s="99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/>
      <c r="O34" s="100"/>
      <c r="P34" s="97"/>
      <c r="Q34" s="97"/>
      <c r="R34" s="97"/>
      <c r="S34" s="97"/>
    </row>
    <row r="35" spans="1:21" x14ac:dyDescent="0.35">
      <c r="A35" s="98">
        <v>2000</v>
      </c>
      <c r="B35" s="99" t="s">
        <v>42</v>
      </c>
      <c r="C35" s="97">
        <v>148</v>
      </c>
      <c r="D35" s="97">
        <v>593</v>
      </c>
      <c r="E35" s="97">
        <v>119</v>
      </c>
      <c r="F35" s="97">
        <v>201</v>
      </c>
      <c r="G35" s="97">
        <v>31</v>
      </c>
      <c r="H35" s="97">
        <v>4</v>
      </c>
      <c r="I35" s="97">
        <v>15</v>
      </c>
      <c r="J35" s="97">
        <v>73</v>
      </c>
      <c r="K35" s="97">
        <v>68</v>
      </c>
      <c r="L35" s="97">
        <v>99</v>
      </c>
      <c r="M35" s="97">
        <v>22</v>
      </c>
      <c r="N35" s="97">
        <v>4</v>
      </c>
      <c r="O35" s="100">
        <v>0.33900000000000002</v>
      </c>
      <c r="P35" s="97">
        <v>0.41599999999999998</v>
      </c>
      <c r="Q35" s="97">
        <v>0.48099999999999998</v>
      </c>
      <c r="R35" s="97">
        <v>0.89600000000000002</v>
      </c>
      <c r="S35" s="97">
        <v>4.4000000000000004</v>
      </c>
    </row>
    <row r="36" spans="1:21" x14ac:dyDescent="0.35">
      <c r="A36" s="98"/>
      <c r="B36" s="99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/>
      <c r="O36" s="100"/>
      <c r="P36" s="97"/>
      <c r="Q36" s="97"/>
      <c r="R36" s="97"/>
      <c r="S36" s="97"/>
    </row>
    <row r="37" spans="1:21" x14ac:dyDescent="0.35">
      <c r="A37" s="98">
        <v>2001</v>
      </c>
      <c r="B37" s="99" t="s">
        <v>42</v>
      </c>
      <c r="C37" s="97">
        <v>150</v>
      </c>
      <c r="D37" s="97">
        <v>614</v>
      </c>
      <c r="E37" s="97">
        <v>110</v>
      </c>
      <c r="F37" s="97">
        <v>191</v>
      </c>
      <c r="G37" s="97">
        <v>35</v>
      </c>
      <c r="H37" s="97">
        <v>3</v>
      </c>
      <c r="I37" s="97">
        <v>21</v>
      </c>
      <c r="J37" s="97">
        <v>74</v>
      </c>
      <c r="K37" s="97">
        <v>56</v>
      </c>
      <c r="L37" s="97">
        <v>99</v>
      </c>
      <c r="M37" s="97">
        <v>27</v>
      </c>
      <c r="N37" s="97">
        <v>3</v>
      </c>
      <c r="O37" s="100">
        <v>0.311</v>
      </c>
      <c r="P37" s="97">
        <v>0.377</v>
      </c>
      <c r="Q37" s="97">
        <v>0.48</v>
      </c>
      <c r="R37" s="97">
        <v>0.85799999999999998</v>
      </c>
      <c r="S37" s="97">
        <v>4.9000000000000004</v>
      </c>
    </row>
    <row r="38" spans="1:21" x14ac:dyDescent="0.35">
      <c r="A38" s="98"/>
      <c r="B38" s="99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100"/>
      <c r="P38" s="97"/>
      <c r="Q38" s="97"/>
      <c r="R38" s="97"/>
      <c r="S38" s="97"/>
    </row>
    <row r="39" spans="1:21" x14ac:dyDescent="0.35">
      <c r="A39" s="98">
        <v>2002</v>
      </c>
      <c r="B39" s="99" t="s">
        <v>42</v>
      </c>
      <c r="C39" s="97">
        <v>157</v>
      </c>
      <c r="D39" s="97">
        <v>644</v>
      </c>
      <c r="E39" s="97">
        <v>124</v>
      </c>
      <c r="F39" s="97">
        <v>191</v>
      </c>
      <c r="G39" s="97">
        <v>26</v>
      </c>
      <c r="H39" s="97">
        <v>0</v>
      </c>
      <c r="I39" s="97">
        <v>18</v>
      </c>
      <c r="J39" s="97">
        <v>75</v>
      </c>
      <c r="K39" s="97">
        <v>73</v>
      </c>
      <c r="L39" s="97">
        <v>114</v>
      </c>
      <c r="M39" s="97">
        <v>32</v>
      </c>
      <c r="N39" s="97">
        <v>3</v>
      </c>
      <c r="O39" s="100">
        <v>0.29699999999999999</v>
      </c>
      <c r="P39" s="97">
        <v>0.373</v>
      </c>
      <c r="Q39" s="97">
        <v>0.42099999999999999</v>
      </c>
      <c r="R39" s="97">
        <v>0.79400000000000004</v>
      </c>
      <c r="S39" s="97">
        <v>3.5</v>
      </c>
    </row>
    <row r="40" spans="1:21" x14ac:dyDescent="0.35">
      <c r="A40" s="98"/>
      <c r="B40" s="99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100"/>
      <c r="P40" s="97"/>
      <c r="Q40" s="97"/>
      <c r="R40" s="97"/>
      <c r="S40" s="97"/>
    </row>
    <row r="41" spans="1:21" x14ac:dyDescent="0.35">
      <c r="A41" s="98">
        <v>2003</v>
      </c>
      <c r="B41" s="99" t="s">
        <v>42</v>
      </c>
      <c r="C41" s="97">
        <v>119</v>
      </c>
      <c r="D41" s="97">
        <v>482</v>
      </c>
      <c r="E41" s="97">
        <v>87</v>
      </c>
      <c r="F41" s="97">
        <v>156</v>
      </c>
      <c r="G41" s="97">
        <v>25</v>
      </c>
      <c r="H41" s="97">
        <v>3</v>
      </c>
      <c r="I41" s="97">
        <v>10</v>
      </c>
      <c r="J41" s="97">
        <v>52</v>
      </c>
      <c r="K41" s="97">
        <v>43</v>
      </c>
      <c r="L41" s="97">
        <v>88</v>
      </c>
      <c r="M41" s="97">
        <v>11</v>
      </c>
      <c r="N41" s="97">
        <v>5</v>
      </c>
      <c r="O41" s="100">
        <v>0.32400000000000001</v>
      </c>
      <c r="P41" s="97">
        <v>0.39300000000000002</v>
      </c>
      <c r="Q41" s="97">
        <v>0.45</v>
      </c>
      <c r="R41" s="97">
        <v>0.84399999999999997</v>
      </c>
      <c r="S41" s="97">
        <v>3.4</v>
      </c>
    </row>
    <row r="42" spans="1:21" x14ac:dyDescent="0.35">
      <c r="A42" s="98"/>
      <c r="B42" s="99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100"/>
      <c r="P42" s="97"/>
      <c r="Q42" s="97"/>
      <c r="R42" s="97"/>
      <c r="S42" s="97"/>
    </row>
    <row r="43" spans="1:21" x14ac:dyDescent="0.35">
      <c r="A43" s="98">
        <v>2004</v>
      </c>
      <c r="B43" s="99" t="s">
        <v>42</v>
      </c>
      <c r="C43" s="97">
        <v>154</v>
      </c>
      <c r="D43" s="97">
        <v>643</v>
      </c>
      <c r="E43" s="97">
        <v>111</v>
      </c>
      <c r="F43" s="97">
        <v>188</v>
      </c>
      <c r="G43" s="97">
        <v>44</v>
      </c>
      <c r="H43" s="97">
        <v>1</v>
      </c>
      <c r="I43" s="97">
        <v>23</v>
      </c>
      <c r="J43" s="97">
        <v>78</v>
      </c>
      <c r="K43" s="97">
        <v>46</v>
      </c>
      <c r="L43" s="97">
        <v>99</v>
      </c>
      <c r="M43" s="97">
        <v>23</v>
      </c>
      <c r="N43" s="97">
        <v>4</v>
      </c>
      <c r="O43" s="100">
        <v>0.29199999999999998</v>
      </c>
      <c r="P43" s="97">
        <v>0.35199999999999998</v>
      </c>
      <c r="Q43" s="97">
        <v>0.47099999999999997</v>
      </c>
      <c r="R43" s="97">
        <v>0.82299999999999995</v>
      </c>
      <c r="S43" s="97">
        <v>4.0999999999999996</v>
      </c>
    </row>
    <row r="44" spans="1:21" x14ac:dyDescent="0.35">
      <c r="A44" s="98"/>
      <c r="B44" s="99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/>
      <c r="O44" s="100"/>
      <c r="P44" s="97"/>
      <c r="Q44" s="97"/>
      <c r="R44" s="97"/>
      <c r="S44" s="97"/>
    </row>
    <row r="45" spans="1:21" x14ac:dyDescent="0.35">
      <c r="A45" s="98">
        <v>2005</v>
      </c>
      <c r="B45" s="99" t="s">
        <v>42</v>
      </c>
      <c r="C45" s="97">
        <v>159</v>
      </c>
      <c r="D45" s="97">
        <v>654</v>
      </c>
      <c r="E45" s="97">
        <v>122</v>
      </c>
      <c r="F45" s="97">
        <v>202</v>
      </c>
      <c r="G45" s="97">
        <v>25</v>
      </c>
      <c r="H45" s="97">
        <v>5</v>
      </c>
      <c r="I45" s="97">
        <v>19</v>
      </c>
      <c r="J45" s="97">
        <v>70</v>
      </c>
      <c r="K45" s="97">
        <v>77</v>
      </c>
      <c r="L45" s="97">
        <v>117</v>
      </c>
      <c r="M45" s="97">
        <v>14</v>
      </c>
      <c r="N45" s="97">
        <v>5</v>
      </c>
      <c r="O45" s="100">
        <v>0.309</v>
      </c>
      <c r="P45" s="97">
        <v>0.38900000000000001</v>
      </c>
      <c r="Q45" s="97">
        <v>0.45</v>
      </c>
      <c r="R45" s="97">
        <v>0.83899999999999997</v>
      </c>
      <c r="S45" s="97">
        <v>3.7</v>
      </c>
    </row>
    <row r="46" spans="1:21" x14ac:dyDescent="0.35">
      <c r="A46" s="98"/>
      <c r="B46" s="99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/>
      <c r="O46" s="100"/>
      <c r="P46" s="97"/>
      <c r="Q46" s="97"/>
      <c r="R46" s="97"/>
      <c r="S46" s="97"/>
    </row>
    <row r="47" spans="1:21" x14ac:dyDescent="0.35">
      <c r="A47" s="98">
        <v>2006</v>
      </c>
      <c r="B47" s="99" t="s">
        <v>42</v>
      </c>
      <c r="C47" s="97">
        <v>154</v>
      </c>
      <c r="D47" s="97">
        <v>623</v>
      </c>
      <c r="E47" s="97">
        <v>118</v>
      </c>
      <c r="F47" s="97">
        <v>214</v>
      </c>
      <c r="G47" s="97">
        <v>39</v>
      </c>
      <c r="H47" s="97">
        <v>3</v>
      </c>
      <c r="I47" s="97">
        <v>14</v>
      </c>
      <c r="J47" s="97">
        <v>97</v>
      </c>
      <c r="K47" s="97">
        <v>69</v>
      </c>
      <c r="L47" s="97">
        <v>102</v>
      </c>
      <c r="M47" s="97">
        <v>34</v>
      </c>
      <c r="N47" s="97">
        <v>5</v>
      </c>
      <c r="O47" s="100">
        <v>0.34300000000000003</v>
      </c>
      <c r="P47" s="97">
        <v>0.41699999999999998</v>
      </c>
      <c r="Q47" s="97">
        <v>0.48299999999999998</v>
      </c>
      <c r="R47" s="97">
        <v>0.9</v>
      </c>
      <c r="S47" s="97">
        <v>5.4</v>
      </c>
    </row>
    <row r="48" spans="1:21" x14ac:dyDescent="0.35">
      <c r="A48" s="98"/>
      <c r="B48" s="99"/>
      <c r="C48" s="97"/>
      <c r="D48" s="97"/>
      <c r="E48" s="97"/>
      <c r="F48" s="97"/>
      <c r="G48" s="97"/>
      <c r="H48" s="97"/>
      <c r="I48" s="97"/>
      <c r="J48" s="97"/>
      <c r="K48" s="97"/>
      <c r="L48" s="97"/>
      <c r="M48" s="97"/>
      <c r="N48" s="97"/>
      <c r="O48" s="100"/>
      <c r="P48" s="97"/>
      <c r="Q48" s="97"/>
      <c r="R48" s="97"/>
      <c r="S48" s="97"/>
    </row>
    <row r="49" spans="1:20" x14ac:dyDescent="0.35">
      <c r="A49" s="98">
        <v>2007</v>
      </c>
      <c r="B49" s="99" t="s">
        <v>42</v>
      </c>
      <c r="C49" s="97">
        <v>156</v>
      </c>
      <c r="D49" s="97">
        <v>639</v>
      </c>
      <c r="E49" s="97">
        <v>102</v>
      </c>
      <c r="F49" s="97">
        <v>206</v>
      </c>
      <c r="G49" s="97">
        <v>39</v>
      </c>
      <c r="H49" s="97">
        <v>4</v>
      </c>
      <c r="I49" s="97">
        <v>12</v>
      </c>
      <c r="J49" s="97">
        <v>73</v>
      </c>
      <c r="K49" s="97">
        <v>56</v>
      </c>
      <c r="L49" s="97">
        <v>100</v>
      </c>
      <c r="M49" s="97">
        <v>15</v>
      </c>
      <c r="N49" s="97">
        <v>8</v>
      </c>
      <c r="O49" s="100">
        <v>0.32200000000000001</v>
      </c>
      <c r="P49" s="97">
        <v>0.38800000000000001</v>
      </c>
      <c r="Q49" s="97">
        <v>0.45200000000000001</v>
      </c>
      <c r="R49" s="97">
        <v>0.84</v>
      </c>
      <c r="S49" s="97">
        <v>3.7</v>
      </c>
    </row>
    <row r="50" spans="1:20" x14ac:dyDescent="0.35">
      <c r="A50" s="98"/>
      <c r="B50" s="99"/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100"/>
      <c r="P50" s="97"/>
      <c r="Q50" s="97"/>
      <c r="R50" s="97"/>
      <c r="S50" s="97"/>
    </row>
    <row r="51" spans="1:20" x14ac:dyDescent="0.35">
      <c r="A51" s="98">
        <v>2008</v>
      </c>
      <c r="B51" s="99" t="s">
        <v>42</v>
      </c>
      <c r="C51" s="97">
        <v>150</v>
      </c>
      <c r="D51" s="97">
        <v>596</v>
      </c>
      <c r="E51" s="97">
        <v>88</v>
      </c>
      <c r="F51" s="97">
        <v>179</v>
      </c>
      <c r="G51" s="97">
        <v>25</v>
      </c>
      <c r="H51" s="97">
        <v>3</v>
      </c>
      <c r="I51" s="97">
        <v>11</v>
      </c>
      <c r="J51" s="97">
        <v>69</v>
      </c>
      <c r="K51" s="97">
        <v>52</v>
      </c>
      <c r="L51" s="97">
        <v>85</v>
      </c>
      <c r="M51" s="97">
        <v>11</v>
      </c>
      <c r="N51" s="97">
        <v>5</v>
      </c>
      <c r="O51" s="100">
        <v>0.3</v>
      </c>
      <c r="P51" s="97">
        <v>0.36299999999999999</v>
      </c>
      <c r="Q51" s="97">
        <v>0.40799999999999997</v>
      </c>
      <c r="R51" s="97">
        <v>0.77100000000000002</v>
      </c>
      <c r="S51" s="97">
        <v>2.7</v>
      </c>
    </row>
    <row r="52" spans="1:20" x14ac:dyDescent="0.35">
      <c r="A52" s="98"/>
      <c r="B52" s="99"/>
      <c r="C52" s="97"/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100"/>
      <c r="P52" s="97"/>
      <c r="Q52" s="97"/>
      <c r="R52" s="97"/>
      <c r="S52" s="97"/>
    </row>
    <row r="53" spans="1:20" x14ac:dyDescent="0.35">
      <c r="A53" s="98">
        <v>2009</v>
      </c>
      <c r="B53" s="99" t="s">
        <v>42</v>
      </c>
      <c r="C53" s="97">
        <v>153</v>
      </c>
      <c r="D53" s="97">
        <v>634</v>
      </c>
      <c r="E53" s="97">
        <v>107</v>
      </c>
      <c r="F53" s="97">
        <v>212</v>
      </c>
      <c r="G53" s="97">
        <v>27</v>
      </c>
      <c r="H53" s="97">
        <v>1</v>
      </c>
      <c r="I53" s="97">
        <v>18</v>
      </c>
      <c r="J53" s="97">
        <v>66</v>
      </c>
      <c r="K53" s="97">
        <v>72</v>
      </c>
      <c r="L53" s="97">
        <v>90</v>
      </c>
      <c r="M53" s="97">
        <v>30</v>
      </c>
      <c r="N53" s="97">
        <v>5</v>
      </c>
      <c r="O53" s="100">
        <v>0.33400000000000002</v>
      </c>
      <c r="P53" s="97">
        <v>0.40600000000000003</v>
      </c>
      <c r="Q53" s="97">
        <v>0.46500000000000002</v>
      </c>
      <c r="R53" s="97">
        <v>0.871</v>
      </c>
      <c r="S53" s="97">
        <v>6.4</v>
      </c>
    </row>
    <row r="54" spans="1:20" x14ac:dyDescent="0.35">
      <c r="A54" s="98"/>
      <c r="B54" s="99"/>
      <c r="C54" s="97"/>
      <c r="D54" s="97"/>
      <c r="E54" s="97"/>
      <c r="F54" s="97"/>
      <c r="G54" s="97"/>
      <c r="H54" s="97"/>
      <c r="I54" s="97"/>
      <c r="J54" s="97"/>
      <c r="K54" s="97"/>
      <c r="L54" s="97"/>
      <c r="M54" s="97"/>
      <c r="N54" s="97"/>
      <c r="O54" s="100"/>
      <c r="P54" s="97"/>
      <c r="Q54" s="97"/>
      <c r="R54" s="97"/>
      <c r="S54" s="97"/>
    </row>
    <row r="55" spans="1:20" x14ac:dyDescent="0.35">
      <c r="A55" s="98">
        <v>2010</v>
      </c>
      <c r="B55" s="99" t="s">
        <v>42</v>
      </c>
      <c r="C55" s="97">
        <v>157</v>
      </c>
      <c r="D55" s="97">
        <v>663</v>
      </c>
      <c r="E55" s="97">
        <v>111</v>
      </c>
      <c r="F55" s="97">
        <v>179</v>
      </c>
      <c r="G55" s="97">
        <v>30</v>
      </c>
      <c r="H55" s="97">
        <v>3</v>
      </c>
      <c r="I55" s="97">
        <v>10</v>
      </c>
      <c r="J55" s="97">
        <v>67</v>
      </c>
      <c r="K55" s="97">
        <v>63</v>
      </c>
      <c r="L55" s="97">
        <v>106</v>
      </c>
      <c r="M55" s="97">
        <v>18</v>
      </c>
      <c r="N55" s="97">
        <v>5</v>
      </c>
      <c r="O55" s="100">
        <v>0.27</v>
      </c>
      <c r="P55" s="97">
        <v>0.34</v>
      </c>
      <c r="Q55" s="97">
        <v>0.37</v>
      </c>
      <c r="R55" s="97">
        <v>0.71</v>
      </c>
      <c r="S55" s="97">
        <v>1.6</v>
      </c>
    </row>
    <row r="56" spans="1:20" x14ac:dyDescent="0.35">
      <c r="A56" s="98"/>
      <c r="B56" s="99"/>
      <c r="C56" s="97"/>
      <c r="D56" s="97"/>
      <c r="E56" s="97"/>
      <c r="F56" s="97"/>
      <c r="G56" s="97"/>
      <c r="H56" s="97"/>
      <c r="I56" s="97"/>
      <c r="J56" s="97"/>
      <c r="K56" s="97"/>
      <c r="L56" s="97"/>
      <c r="M56" s="97"/>
      <c r="N56" s="97"/>
      <c r="O56" s="100"/>
      <c r="P56" s="97"/>
      <c r="Q56" s="97"/>
      <c r="R56" s="97"/>
      <c r="S56" s="97"/>
    </row>
    <row r="57" spans="1:20" x14ac:dyDescent="0.35">
      <c r="A57" s="98">
        <v>2011</v>
      </c>
      <c r="B57" s="99" t="s">
        <v>42</v>
      </c>
      <c r="C57" s="97">
        <v>131</v>
      </c>
      <c r="D57" s="97">
        <v>546</v>
      </c>
      <c r="E57" s="97">
        <v>84</v>
      </c>
      <c r="F57" s="97">
        <v>162</v>
      </c>
      <c r="G57" s="97">
        <v>24</v>
      </c>
      <c r="H57" s="97">
        <v>4</v>
      </c>
      <c r="I57" s="97">
        <v>6</v>
      </c>
      <c r="J57" s="97">
        <v>61</v>
      </c>
      <c r="K57" s="97">
        <v>46</v>
      </c>
      <c r="L57" s="97">
        <v>81</v>
      </c>
      <c r="M57" s="97">
        <v>16</v>
      </c>
      <c r="N57" s="97">
        <v>6</v>
      </c>
      <c r="O57" s="100">
        <v>0.29699999999999999</v>
      </c>
      <c r="P57" s="97">
        <v>0.35499999999999998</v>
      </c>
      <c r="Q57" s="97">
        <v>0.38800000000000001</v>
      </c>
      <c r="R57" s="97">
        <v>0.74299999999999999</v>
      </c>
      <c r="S57" s="97">
        <v>0.9</v>
      </c>
    </row>
    <row r="58" spans="1:20" x14ac:dyDescent="0.35">
      <c r="A58" s="98"/>
      <c r="B58" s="99"/>
      <c r="C58" s="97"/>
      <c r="D58" s="97"/>
      <c r="E58" s="97"/>
      <c r="F58" s="97"/>
      <c r="G58" s="97"/>
      <c r="H58" s="97"/>
      <c r="I58" s="97"/>
      <c r="J58" s="97"/>
      <c r="K58" s="97"/>
      <c r="L58" s="97"/>
      <c r="M58" s="97"/>
      <c r="N58" s="97"/>
      <c r="O58" s="100"/>
      <c r="P58" s="97"/>
      <c r="Q58" s="97"/>
      <c r="R58" s="97"/>
      <c r="S58" s="97"/>
    </row>
    <row r="59" spans="1:20" x14ac:dyDescent="0.35">
      <c r="A59" s="98">
        <v>2012</v>
      </c>
      <c r="B59" s="99" t="s">
        <v>42</v>
      </c>
      <c r="C59" s="97">
        <v>159</v>
      </c>
      <c r="D59" s="97">
        <v>683</v>
      </c>
      <c r="E59" s="97">
        <v>99</v>
      </c>
      <c r="F59" s="97">
        <v>216</v>
      </c>
      <c r="G59" s="97">
        <v>32</v>
      </c>
      <c r="H59" s="97">
        <v>0</v>
      </c>
      <c r="I59" s="97">
        <v>15</v>
      </c>
      <c r="J59" s="97">
        <v>58</v>
      </c>
      <c r="K59" s="97">
        <v>45</v>
      </c>
      <c r="L59" s="97">
        <v>90</v>
      </c>
      <c r="M59" s="97">
        <v>9</v>
      </c>
      <c r="N59" s="97">
        <v>4</v>
      </c>
      <c r="O59" s="100">
        <v>0.316</v>
      </c>
      <c r="P59" s="97">
        <v>0.36199999999999999</v>
      </c>
      <c r="Q59" s="97">
        <v>0.42899999999999999</v>
      </c>
      <c r="R59" s="97">
        <v>0.79100000000000004</v>
      </c>
      <c r="S59" s="97">
        <v>2.1</v>
      </c>
    </row>
    <row r="60" spans="1:20" x14ac:dyDescent="0.35">
      <c r="A60" s="98"/>
      <c r="B60" s="99"/>
      <c r="C60" s="97"/>
      <c r="D60" s="97"/>
      <c r="E60" s="97"/>
      <c r="F60" s="97"/>
      <c r="G60" s="97"/>
      <c r="H60" s="97"/>
      <c r="I60" s="97"/>
      <c r="J60" s="97"/>
      <c r="K60" s="97"/>
      <c r="L60" s="97"/>
      <c r="M60" s="97"/>
      <c r="N60" s="97"/>
      <c r="O60" s="100"/>
      <c r="P60" s="97"/>
      <c r="Q60" s="97"/>
      <c r="R60" s="97"/>
      <c r="S60" s="97"/>
    </row>
    <row r="61" spans="1:20" x14ac:dyDescent="0.35">
      <c r="A61" s="98">
        <v>2013</v>
      </c>
      <c r="B61" s="99" t="s">
        <v>42</v>
      </c>
      <c r="C61" s="97">
        <v>17</v>
      </c>
      <c r="D61" s="97">
        <v>63</v>
      </c>
      <c r="E61" s="97">
        <v>8</v>
      </c>
      <c r="F61" s="97">
        <v>12</v>
      </c>
      <c r="G61" s="97">
        <v>1</v>
      </c>
      <c r="H61" s="97">
        <v>0</v>
      </c>
      <c r="I61" s="97">
        <v>1</v>
      </c>
      <c r="J61" s="97">
        <v>7</v>
      </c>
      <c r="K61" s="97">
        <v>8</v>
      </c>
      <c r="L61" s="97">
        <v>10</v>
      </c>
      <c r="M61" s="97">
        <v>0</v>
      </c>
      <c r="N61" s="97">
        <v>0</v>
      </c>
      <c r="O61" s="100">
        <v>0.19</v>
      </c>
      <c r="P61" s="97">
        <v>0.28799999999999998</v>
      </c>
      <c r="Q61" s="97">
        <v>0.254</v>
      </c>
      <c r="R61" s="97">
        <v>0.54200000000000004</v>
      </c>
      <c r="S61" s="97">
        <v>-0.7</v>
      </c>
    </row>
    <row r="62" spans="1:20" x14ac:dyDescent="0.35">
      <c r="A62" s="98"/>
      <c r="B62" s="99"/>
      <c r="C62" s="97"/>
      <c r="D62" s="97"/>
      <c r="E62" s="97"/>
      <c r="F62" s="97"/>
      <c r="G62" s="97"/>
      <c r="H62" s="97"/>
      <c r="I62" s="97"/>
      <c r="J62" s="97"/>
      <c r="K62" s="97"/>
      <c r="L62" s="97"/>
      <c r="M62" s="97"/>
      <c r="N62" s="97"/>
      <c r="O62" s="100"/>
      <c r="P62" s="97"/>
      <c r="Q62" s="97"/>
      <c r="R62" s="97"/>
      <c r="S62" s="97"/>
    </row>
    <row r="63" spans="1:20" x14ac:dyDescent="0.35">
      <c r="A63" s="98">
        <v>2014</v>
      </c>
      <c r="B63" s="99" t="s">
        <v>42</v>
      </c>
      <c r="C63" s="97">
        <v>145</v>
      </c>
      <c r="D63" s="97">
        <v>581</v>
      </c>
      <c r="E63" s="97">
        <v>47</v>
      </c>
      <c r="F63" s="97">
        <v>149</v>
      </c>
      <c r="G63" s="97">
        <v>19</v>
      </c>
      <c r="H63" s="97">
        <v>1</v>
      </c>
      <c r="I63" s="97">
        <v>4</v>
      </c>
      <c r="J63" s="97">
        <v>50</v>
      </c>
      <c r="K63" s="97">
        <v>35</v>
      </c>
      <c r="L63" s="97">
        <v>87</v>
      </c>
      <c r="M63" s="97">
        <v>10</v>
      </c>
      <c r="N63" s="97">
        <v>2</v>
      </c>
      <c r="O63" s="100">
        <v>0.25600000000000001</v>
      </c>
      <c r="P63" s="97">
        <v>0.30399999999999999</v>
      </c>
      <c r="Q63" s="97">
        <v>0.313</v>
      </c>
      <c r="R63" s="97">
        <v>0.61699999999999999</v>
      </c>
      <c r="S63" s="97">
        <v>0.2</v>
      </c>
      <c r="T63">
        <v>40</v>
      </c>
    </row>
    <row r="64" spans="1:20" x14ac:dyDescent="0.35">
      <c r="A64" s="98"/>
      <c r="B64" s="99"/>
      <c r="C64" s="97"/>
      <c r="D64" s="97"/>
      <c r="E64" s="97"/>
      <c r="F64" s="97"/>
      <c r="G64" s="97"/>
      <c r="H64" s="97"/>
      <c r="I64" s="97"/>
      <c r="J64" s="97"/>
      <c r="K64" s="97"/>
      <c r="L64" s="97"/>
      <c r="M64" s="97"/>
      <c r="N64" s="97"/>
      <c r="O64" s="100"/>
      <c r="P64" s="97"/>
      <c r="Q64" s="97"/>
      <c r="R64" s="97"/>
      <c r="S64" s="97"/>
    </row>
    <row r="65" spans="1:20" x14ac:dyDescent="0.35">
      <c r="A65" s="1" t="s">
        <v>43</v>
      </c>
      <c r="B65" s="1" t="s">
        <v>43</v>
      </c>
      <c r="C65" s="11">
        <v>2747</v>
      </c>
      <c r="D65" s="11">
        <v>11195</v>
      </c>
      <c r="E65" s="11">
        <v>1923</v>
      </c>
      <c r="F65" s="11">
        <v>3465</v>
      </c>
      <c r="G65" s="11">
        <v>544</v>
      </c>
      <c r="H65" s="11">
        <v>66</v>
      </c>
      <c r="I65" s="11">
        <v>260</v>
      </c>
      <c r="J65" s="11">
        <v>1311</v>
      </c>
      <c r="K65" s="11">
        <v>1082</v>
      </c>
      <c r="L65" s="11">
        <v>1840</v>
      </c>
      <c r="M65" s="11">
        <v>358</v>
      </c>
      <c r="N65" s="11">
        <v>97</v>
      </c>
      <c r="O65" s="34">
        <v>0.31</v>
      </c>
      <c r="P65" s="11">
        <v>0.377</v>
      </c>
      <c r="Q65" s="11">
        <v>0.44</v>
      </c>
      <c r="R65" s="11">
        <v>0.81699999999999995</v>
      </c>
      <c r="S65" s="11" t="s">
        <v>44</v>
      </c>
    </row>
    <row r="66" spans="1:20" ht="14.4" customHeight="1" x14ac:dyDescent="0.35">
      <c r="A66" s="98" t="s">
        <v>45</v>
      </c>
      <c r="B66" s="98"/>
      <c r="C66" s="11">
        <v>137</v>
      </c>
      <c r="D66" s="11">
        <v>559.79999999999995</v>
      </c>
      <c r="E66" s="11">
        <v>96.2</v>
      </c>
      <c r="F66" s="11">
        <v>173.3</v>
      </c>
      <c r="G66" s="11">
        <v>27.2</v>
      </c>
      <c r="H66" s="11">
        <v>3.3</v>
      </c>
      <c r="I66" s="11">
        <v>13</v>
      </c>
      <c r="J66" s="11">
        <v>65.599999999999994</v>
      </c>
      <c r="K66" s="11">
        <v>54.1</v>
      </c>
      <c r="L66" s="11">
        <v>92</v>
      </c>
      <c r="M66" s="11">
        <v>17.899999999999999</v>
      </c>
      <c r="N66" s="11">
        <v>4.9000000000000004</v>
      </c>
      <c r="O66" s="34">
        <v>0.31</v>
      </c>
      <c r="P66" s="11">
        <v>0.377</v>
      </c>
      <c r="Q66" s="11">
        <v>0.44</v>
      </c>
      <c r="R66" s="11">
        <v>0.81699999999999995</v>
      </c>
      <c r="S66" s="11" t="s">
        <v>44</v>
      </c>
    </row>
    <row r="71" spans="1:20" x14ac:dyDescent="0.35">
      <c r="A71" s="1" t="s">
        <v>34</v>
      </c>
      <c r="B71" s="11" t="s">
        <v>35</v>
      </c>
      <c r="C71" s="11" t="s">
        <v>36</v>
      </c>
      <c r="D71" s="11" t="s">
        <v>7</v>
      </c>
      <c r="E71" s="11" t="s">
        <v>8</v>
      </c>
      <c r="F71" s="11" t="s">
        <v>9</v>
      </c>
      <c r="G71" s="11" t="s">
        <v>10</v>
      </c>
      <c r="H71" s="11" t="s">
        <v>11</v>
      </c>
      <c r="I71" s="11" t="s">
        <v>12</v>
      </c>
      <c r="J71" s="11" t="s">
        <v>13</v>
      </c>
      <c r="K71" s="11" t="s">
        <v>14</v>
      </c>
      <c r="L71" s="11" t="s">
        <v>15</v>
      </c>
      <c r="M71" s="11" t="s">
        <v>16</v>
      </c>
      <c r="N71" s="11" t="s">
        <v>17</v>
      </c>
      <c r="O71" s="11" t="s">
        <v>37</v>
      </c>
      <c r="P71" s="11" t="s">
        <v>38</v>
      </c>
      <c r="Q71" s="11" t="s">
        <v>39</v>
      </c>
      <c r="R71" s="11" t="s">
        <v>40</v>
      </c>
      <c r="S71" s="11" t="s">
        <v>41</v>
      </c>
      <c r="T71" s="11" t="s">
        <v>48</v>
      </c>
    </row>
    <row r="72" spans="1:20" x14ac:dyDescent="0.35">
      <c r="A72" s="98">
        <v>1982</v>
      </c>
      <c r="B72" s="99" t="s">
        <v>46</v>
      </c>
      <c r="C72" s="97">
        <v>104</v>
      </c>
      <c r="D72" s="97">
        <v>338</v>
      </c>
      <c r="E72" s="97">
        <v>51</v>
      </c>
      <c r="F72" s="97">
        <v>118</v>
      </c>
      <c r="G72" s="97">
        <v>14</v>
      </c>
      <c r="H72" s="97">
        <v>1</v>
      </c>
      <c r="I72" s="97">
        <v>5</v>
      </c>
      <c r="J72" s="97">
        <v>44</v>
      </c>
      <c r="K72" s="97">
        <v>35</v>
      </c>
      <c r="L72" s="97">
        <v>21</v>
      </c>
      <c r="M72" s="97">
        <v>1</v>
      </c>
      <c r="N72" s="97">
        <v>0</v>
      </c>
      <c r="O72" s="97">
        <v>0.34899999999999998</v>
      </c>
      <c r="P72" s="97">
        <v>0.40600000000000003</v>
      </c>
      <c r="Q72" s="97">
        <v>0.441</v>
      </c>
      <c r="R72" s="97">
        <v>0.84699999999999998</v>
      </c>
      <c r="S72" s="97">
        <v>3.8</v>
      </c>
      <c r="T72">
        <v>24</v>
      </c>
    </row>
    <row r="73" spans="1:20" x14ac:dyDescent="0.35">
      <c r="A73" s="98"/>
      <c r="B73" s="99"/>
      <c r="C73" s="97"/>
      <c r="D73" s="97"/>
      <c r="E73" s="97"/>
      <c r="F73" s="97"/>
      <c r="G73" s="97"/>
      <c r="H73" s="97"/>
      <c r="I73" s="97"/>
      <c r="J73" s="97"/>
      <c r="K73" s="97"/>
      <c r="L73" s="97"/>
      <c r="M73" s="97"/>
      <c r="N73" s="97"/>
      <c r="O73" s="97"/>
      <c r="P73" s="97"/>
      <c r="Q73" s="97"/>
      <c r="R73" s="97"/>
      <c r="S73" s="97"/>
    </row>
    <row r="74" spans="1:20" x14ac:dyDescent="0.35">
      <c r="A74" s="98">
        <v>1983</v>
      </c>
      <c r="B74" s="99" t="s">
        <v>46</v>
      </c>
      <c r="C74" s="97">
        <v>153</v>
      </c>
      <c r="D74" s="97">
        <v>582</v>
      </c>
      <c r="E74" s="97">
        <v>100</v>
      </c>
      <c r="F74" s="97">
        <v>210</v>
      </c>
      <c r="G74" s="97">
        <v>44</v>
      </c>
      <c r="H74" s="97">
        <v>7</v>
      </c>
      <c r="I74" s="97">
        <v>5</v>
      </c>
      <c r="J74" s="97">
        <v>74</v>
      </c>
      <c r="K74" s="97">
        <v>92</v>
      </c>
      <c r="L74" s="97">
        <v>36</v>
      </c>
      <c r="M74" s="97">
        <v>3</v>
      </c>
      <c r="N74" s="97">
        <v>3</v>
      </c>
      <c r="O74" s="97">
        <v>0.36099999999999999</v>
      </c>
      <c r="P74" s="97">
        <v>0.44400000000000001</v>
      </c>
      <c r="Q74" s="97">
        <v>0.48599999999999999</v>
      </c>
      <c r="R74" s="97">
        <v>0.93100000000000005</v>
      </c>
      <c r="S74" s="97">
        <v>7.6</v>
      </c>
    </row>
    <row r="75" spans="1:20" x14ac:dyDescent="0.35">
      <c r="A75" s="98"/>
      <c r="B75" s="99"/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97"/>
      <c r="R75" s="97"/>
      <c r="S75" s="97"/>
    </row>
    <row r="76" spans="1:20" x14ac:dyDescent="0.35">
      <c r="A76" s="98">
        <v>1984</v>
      </c>
      <c r="B76" s="99" t="s">
        <v>46</v>
      </c>
      <c r="C76" s="97">
        <v>158</v>
      </c>
      <c r="D76" s="97">
        <v>625</v>
      </c>
      <c r="E76" s="97">
        <v>109</v>
      </c>
      <c r="F76" s="97">
        <v>203</v>
      </c>
      <c r="G76" s="97">
        <v>31</v>
      </c>
      <c r="H76" s="97">
        <v>4</v>
      </c>
      <c r="I76" s="97">
        <v>6</v>
      </c>
      <c r="J76" s="97">
        <v>55</v>
      </c>
      <c r="K76" s="97">
        <v>89</v>
      </c>
      <c r="L76" s="97">
        <v>44</v>
      </c>
      <c r="M76" s="97">
        <v>3</v>
      </c>
      <c r="N76" s="97">
        <v>2</v>
      </c>
      <c r="O76" s="97">
        <v>0.32500000000000001</v>
      </c>
      <c r="P76" s="97">
        <v>0.40699999999999997</v>
      </c>
      <c r="Q76" s="97">
        <v>0.41599999999999998</v>
      </c>
      <c r="R76" s="97">
        <v>0.82299999999999995</v>
      </c>
      <c r="S76" s="97">
        <v>6.1</v>
      </c>
    </row>
    <row r="77" spans="1:20" x14ac:dyDescent="0.35">
      <c r="A77" s="98"/>
      <c r="B77" s="99"/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97"/>
      <c r="R77" s="97"/>
      <c r="S77" s="97"/>
    </row>
    <row r="78" spans="1:20" x14ac:dyDescent="0.35">
      <c r="A78" s="98">
        <v>1985</v>
      </c>
      <c r="B78" s="99" t="s">
        <v>46</v>
      </c>
      <c r="C78" s="97">
        <v>161</v>
      </c>
      <c r="D78" s="97">
        <v>653</v>
      </c>
      <c r="E78" s="97">
        <v>107</v>
      </c>
      <c r="F78" s="97">
        <v>240</v>
      </c>
      <c r="G78" s="97">
        <v>42</v>
      </c>
      <c r="H78" s="97">
        <v>3</v>
      </c>
      <c r="I78" s="97">
        <v>8</v>
      </c>
      <c r="J78" s="97">
        <v>78</v>
      </c>
      <c r="K78" s="97">
        <v>96</v>
      </c>
      <c r="L78" s="97">
        <v>61</v>
      </c>
      <c r="M78" s="97">
        <v>2</v>
      </c>
      <c r="N78" s="97">
        <v>1</v>
      </c>
      <c r="O78" s="97">
        <v>0.36799999999999999</v>
      </c>
      <c r="P78" s="97">
        <v>0.45</v>
      </c>
      <c r="Q78" s="97">
        <v>0.47799999999999998</v>
      </c>
      <c r="R78" s="97">
        <v>0.92800000000000005</v>
      </c>
      <c r="S78" s="97">
        <v>9</v>
      </c>
    </row>
    <row r="79" spans="1:20" x14ac:dyDescent="0.35">
      <c r="A79" s="98"/>
      <c r="B79" s="99"/>
      <c r="C79" s="97"/>
      <c r="D79" s="97"/>
      <c r="E79" s="97"/>
      <c r="F79" s="97"/>
      <c r="G79" s="97"/>
      <c r="H79" s="97"/>
      <c r="I79" s="97"/>
      <c r="J79" s="97"/>
      <c r="K79" s="97"/>
      <c r="L79" s="97"/>
      <c r="M79" s="97"/>
      <c r="N79" s="97"/>
      <c r="O79" s="97"/>
      <c r="P79" s="97"/>
      <c r="Q79" s="97"/>
      <c r="R79" s="97"/>
      <c r="S79" s="97"/>
    </row>
    <row r="80" spans="1:20" x14ac:dyDescent="0.35">
      <c r="A80" s="98">
        <v>1986</v>
      </c>
      <c r="B80" s="99" t="s">
        <v>46</v>
      </c>
      <c r="C80" s="97">
        <v>149</v>
      </c>
      <c r="D80" s="97">
        <v>580</v>
      </c>
      <c r="E80" s="97">
        <v>107</v>
      </c>
      <c r="F80" s="97">
        <v>207</v>
      </c>
      <c r="G80" s="97">
        <v>47</v>
      </c>
      <c r="H80" s="97">
        <v>2</v>
      </c>
      <c r="I80" s="97">
        <v>8</v>
      </c>
      <c r="J80" s="97">
        <v>71</v>
      </c>
      <c r="K80" s="97">
        <v>105</v>
      </c>
      <c r="L80" s="97">
        <v>44</v>
      </c>
      <c r="M80" s="97">
        <v>0</v>
      </c>
      <c r="N80" s="97">
        <v>4</v>
      </c>
      <c r="O80" s="97">
        <v>0.35699999999999998</v>
      </c>
      <c r="P80" s="97">
        <v>0.45300000000000001</v>
      </c>
      <c r="Q80" s="97">
        <v>0.48599999999999999</v>
      </c>
      <c r="R80" s="97">
        <v>0.93899999999999995</v>
      </c>
      <c r="S80" s="97">
        <v>7.9</v>
      </c>
    </row>
    <row r="81" spans="1:19" x14ac:dyDescent="0.35">
      <c r="A81" s="98"/>
      <c r="B81" s="99"/>
      <c r="C81" s="97"/>
      <c r="D81" s="97"/>
      <c r="E81" s="97"/>
      <c r="F81" s="97"/>
      <c r="G81" s="97"/>
      <c r="H81" s="97"/>
      <c r="I81" s="97"/>
      <c r="J81" s="97"/>
      <c r="K81" s="97"/>
      <c r="L81" s="97"/>
      <c r="M81" s="97"/>
      <c r="N81" s="97"/>
      <c r="O81" s="97"/>
      <c r="P81" s="97"/>
      <c r="Q81" s="97"/>
      <c r="R81" s="97"/>
      <c r="S81" s="97"/>
    </row>
    <row r="82" spans="1:19" x14ac:dyDescent="0.35">
      <c r="A82" s="98">
        <v>1987</v>
      </c>
      <c r="B82" s="99" t="s">
        <v>46</v>
      </c>
      <c r="C82" s="97">
        <v>147</v>
      </c>
      <c r="D82" s="97">
        <v>551</v>
      </c>
      <c r="E82" s="97">
        <v>108</v>
      </c>
      <c r="F82" s="97">
        <v>200</v>
      </c>
      <c r="G82" s="97">
        <v>40</v>
      </c>
      <c r="H82" s="97">
        <v>6</v>
      </c>
      <c r="I82" s="97">
        <v>24</v>
      </c>
      <c r="J82" s="97">
        <v>89</v>
      </c>
      <c r="K82" s="97">
        <v>105</v>
      </c>
      <c r="L82" s="97">
        <v>48</v>
      </c>
      <c r="M82" s="97">
        <v>1</v>
      </c>
      <c r="N82" s="97">
        <v>3</v>
      </c>
      <c r="O82" s="97">
        <v>0.36299999999999999</v>
      </c>
      <c r="P82" s="97">
        <v>0.46100000000000002</v>
      </c>
      <c r="Q82" s="97">
        <v>0.58799999999999997</v>
      </c>
      <c r="R82" s="97">
        <v>1.0489999999999999</v>
      </c>
      <c r="S82" s="97">
        <v>8.1999999999999993</v>
      </c>
    </row>
    <row r="83" spans="1:19" x14ac:dyDescent="0.35">
      <c r="A83" s="98"/>
      <c r="B83" s="99"/>
      <c r="C83" s="97"/>
      <c r="D83" s="97"/>
      <c r="E83" s="97"/>
      <c r="F83" s="97"/>
      <c r="G83" s="97"/>
      <c r="H83" s="97"/>
      <c r="I83" s="97"/>
      <c r="J83" s="97"/>
      <c r="K83" s="97"/>
      <c r="L83" s="97"/>
      <c r="M83" s="97"/>
      <c r="N83" s="97"/>
      <c r="O83" s="97"/>
      <c r="P83" s="97"/>
      <c r="Q83" s="97"/>
      <c r="R83" s="97"/>
      <c r="S83" s="97"/>
    </row>
    <row r="84" spans="1:19" x14ac:dyDescent="0.35">
      <c r="A84" s="98">
        <v>1988</v>
      </c>
      <c r="B84" s="99" t="s">
        <v>46</v>
      </c>
      <c r="C84" s="97">
        <v>155</v>
      </c>
      <c r="D84" s="97">
        <v>584</v>
      </c>
      <c r="E84" s="97">
        <v>128</v>
      </c>
      <c r="F84" s="97">
        <v>214</v>
      </c>
      <c r="G84" s="97">
        <v>45</v>
      </c>
      <c r="H84" s="97">
        <v>6</v>
      </c>
      <c r="I84" s="97">
        <v>5</v>
      </c>
      <c r="J84" s="97">
        <v>58</v>
      </c>
      <c r="K84" s="97">
        <v>125</v>
      </c>
      <c r="L84" s="97">
        <v>34</v>
      </c>
      <c r="M84" s="97">
        <v>2</v>
      </c>
      <c r="N84" s="97">
        <v>3</v>
      </c>
      <c r="O84" s="97">
        <v>0.36599999999999999</v>
      </c>
      <c r="P84" s="97">
        <v>0.47599999999999998</v>
      </c>
      <c r="Q84" s="97">
        <v>0.49</v>
      </c>
      <c r="R84" s="97">
        <v>0.96499999999999997</v>
      </c>
      <c r="S84" s="97">
        <v>8.1999999999999993</v>
      </c>
    </row>
    <row r="85" spans="1:19" x14ac:dyDescent="0.35">
      <c r="A85" s="98"/>
      <c r="B85" s="99"/>
      <c r="C85" s="97"/>
      <c r="D85" s="97"/>
      <c r="E85" s="97"/>
      <c r="F85" s="97"/>
      <c r="G85" s="97"/>
      <c r="H85" s="97"/>
      <c r="I85" s="97"/>
      <c r="J85" s="97"/>
      <c r="K85" s="97"/>
      <c r="L85" s="97"/>
      <c r="M85" s="97"/>
      <c r="N85" s="97"/>
      <c r="O85" s="97"/>
      <c r="P85" s="97"/>
      <c r="Q85" s="97"/>
      <c r="R85" s="97"/>
      <c r="S85" s="97"/>
    </row>
    <row r="86" spans="1:19" x14ac:dyDescent="0.35">
      <c r="A86" s="98">
        <v>1989</v>
      </c>
      <c r="B86" s="99" t="s">
        <v>46</v>
      </c>
      <c r="C86" s="97">
        <v>156</v>
      </c>
      <c r="D86" s="97">
        <v>621</v>
      </c>
      <c r="E86" s="97">
        <v>113</v>
      </c>
      <c r="F86" s="97">
        <v>205</v>
      </c>
      <c r="G86" s="97">
        <v>51</v>
      </c>
      <c r="H86" s="97">
        <v>7</v>
      </c>
      <c r="I86" s="97">
        <v>3</v>
      </c>
      <c r="J86" s="97">
        <v>54</v>
      </c>
      <c r="K86" s="97">
        <v>107</v>
      </c>
      <c r="L86" s="97">
        <v>51</v>
      </c>
      <c r="M86" s="97">
        <v>2</v>
      </c>
      <c r="N86" s="97">
        <v>6</v>
      </c>
      <c r="O86" s="97">
        <v>0.33</v>
      </c>
      <c r="P86" s="97">
        <v>0.43</v>
      </c>
      <c r="Q86" s="97">
        <v>0.44900000000000001</v>
      </c>
      <c r="R86" s="97">
        <v>0.879</v>
      </c>
      <c r="S86" s="97">
        <v>8.3000000000000007</v>
      </c>
    </row>
    <row r="87" spans="1:19" x14ac:dyDescent="0.35">
      <c r="A87" s="98"/>
      <c r="B87" s="99"/>
      <c r="C87" s="97"/>
      <c r="D87" s="97"/>
      <c r="E87" s="97"/>
      <c r="F87" s="97"/>
      <c r="G87" s="97"/>
      <c r="H87" s="97"/>
      <c r="I87" s="97"/>
      <c r="J87" s="97"/>
      <c r="K87" s="97"/>
      <c r="L87" s="97"/>
      <c r="M87" s="97"/>
      <c r="N87" s="97"/>
      <c r="O87" s="97"/>
      <c r="P87" s="97"/>
      <c r="Q87" s="97"/>
      <c r="R87" s="97"/>
      <c r="S87" s="97"/>
    </row>
    <row r="88" spans="1:19" x14ac:dyDescent="0.35">
      <c r="A88" s="98">
        <v>1990</v>
      </c>
      <c r="B88" s="99" t="s">
        <v>46</v>
      </c>
      <c r="C88" s="97">
        <v>155</v>
      </c>
      <c r="D88" s="97">
        <v>619</v>
      </c>
      <c r="E88" s="97">
        <v>89</v>
      </c>
      <c r="F88" s="97">
        <v>187</v>
      </c>
      <c r="G88" s="97">
        <v>44</v>
      </c>
      <c r="H88" s="97">
        <v>5</v>
      </c>
      <c r="I88" s="97">
        <v>6</v>
      </c>
      <c r="J88" s="97">
        <v>63</v>
      </c>
      <c r="K88" s="97">
        <v>87</v>
      </c>
      <c r="L88" s="97">
        <v>68</v>
      </c>
      <c r="M88" s="97">
        <v>0</v>
      </c>
      <c r="N88" s="97">
        <v>0</v>
      </c>
      <c r="O88" s="97">
        <v>0.30199999999999999</v>
      </c>
      <c r="P88" s="97">
        <v>0.38600000000000001</v>
      </c>
      <c r="Q88" s="97">
        <v>0.41799999999999998</v>
      </c>
      <c r="R88" s="97">
        <v>0.80400000000000005</v>
      </c>
      <c r="S88" s="97">
        <v>3.1</v>
      </c>
    </row>
    <row r="89" spans="1:19" x14ac:dyDescent="0.35">
      <c r="A89" s="98"/>
      <c r="B89" s="99"/>
      <c r="C89" s="97"/>
      <c r="D89" s="97"/>
      <c r="E89" s="97"/>
      <c r="F89" s="97"/>
      <c r="G89" s="97"/>
      <c r="H89" s="97"/>
      <c r="I89" s="97"/>
      <c r="J89" s="97"/>
      <c r="K89" s="97"/>
      <c r="L89" s="97"/>
      <c r="M89" s="97"/>
      <c r="N89" s="97"/>
      <c r="O89" s="97"/>
      <c r="P89" s="97"/>
      <c r="Q89" s="97"/>
      <c r="R89" s="97"/>
      <c r="S89" s="97"/>
    </row>
    <row r="90" spans="1:19" x14ac:dyDescent="0.35">
      <c r="A90" s="98">
        <v>1991</v>
      </c>
      <c r="B90" s="99" t="s">
        <v>46</v>
      </c>
      <c r="C90" s="97">
        <v>144</v>
      </c>
      <c r="D90" s="97">
        <v>546</v>
      </c>
      <c r="E90" s="97">
        <v>93</v>
      </c>
      <c r="F90" s="97">
        <v>181</v>
      </c>
      <c r="G90" s="97">
        <v>42</v>
      </c>
      <c r="H90" s="97">
        <v>2</v>
      </c>
      <c r="I90" s="97">
        <v>8</v>
      </c>
      <c r="J90" s="97">
        <v>51</v>
      </c>
      <c r="K90" s="97">
        <v>89</v>
      </c>
      <c r="L90" s="97">
        <v>32</v>
      </c>
      <c r="M90" s="97">
        <v>1</v>
      </c>
      <c r="N90" s="97">
        <v>2</v>
      </c>
      <c r="O90" s="97">
        <v>0.33200000000000002</v>
      </c>
      <c r="P90" s="97">
        <v>0.42099999999999999</v>
      </c>
      <c r="Q90" s="97">
        <v>0.46</v>
      </c>
      <c r="R90" s="97">
        <v>0.88100000000000001</v>
      </c>
      <c r="S90" s="97">
        <v>6.3</v>
      </c>
    </row>
    <row r="91" spans="1:19" x14ac:dyDescent="0.35">
      <c r="A91" s="98"/>
      <c r="B91" s="99"/>
      <c r="C91" s="97"/>
      <c r="D91" s="97"/>
      <c r="E91" s="97"/>
      <c r="F91" s="97"/>
      <c r="G91" s="97"/>
      <c r="H91" s="97"/>
      <c r="I91" s="97"/>
      <c r="J91" s="97"/>
      <c r="K91" s="97"/>
      <c r="L91" s="97"/>
      <c r="M91" s="97"/>
      <c r="N91" s="97"/>
      <c r="O91" s="97"/>
      <c r="P91" s="97"/>
      <c r="Q91" s="97"/>
      <c r="R91" s="97"/>
      <c r="S91" s="97"/>
    </row>
    <row r="92" spans="1:19" x14ac:dyDescent="0.35">
      <c r="A92" s="98">
        <v>1992</v>
      </c>
      <c r="B92" s="99" t="s">
        <v>46</v>
      </c>
      <c r="C92" s="97">
        <v>143</v>
      </c>
      <c r="D92" s="97">
        <v>514</v>
      </c>
      <c r="E92" s="97">
        <v>62</v>
      </c>
      <c r="F92" s="97">
        <v>133</v>
      </c>
      <c r="G92" s="97">
        <v>22</v>
      </c>
      <c r="H92" s="97">
        <v>4</v>
      </c>
      <c r="I92" s="97">
        <v>7</v>
      </c>
      <c r="J92" s="97">
        <v>50</v>
      </c>
      <c r="K92" s="97">
        <v>74</v>
      </c>
      <c r="L92" s="97">
        <v>31</v>
      </c>
      <c r="M92" s="97">
        <v>1</v>
      </c>
      <c r="N92" s="97">
        <v>3</v>
      </c>
      <c r="O92" s="97">
        <v>0.25900000000000001</v>
      </c>
      <c r="P92" s="97">
        <v>0.35299999999999998</v>
      </c>
      <c r="Q92" s="97">
        <v>0.35799999999999998</v>
      </c>
      <c r="R92" s="97">
        <v>0.71099999999999997</v>
      </c>
      <c r="S92" s="97">
        <v>1.8</v>
      </c>
    </row>
    <row r="93" spans="1:19" x14ac:dyDescent="0.35">
      <c r="A93" s="98"/>
      <c r="B93" s="99"/>
      <c r="C93" s="97"/>
      <c r="D93" s="97"/>
      <c r="E93" s="97"/>
      <c r="F93" s="97"/>
      <c r="G93" s="97"/>
      <c r="H93" s="97"/>
      <c r="I93" s="97"/>
      <c r="J93" s="97"/>
      <c r="K93" s="97"/>
      <c r="L93" s="97"/>
      <c r="M93" s="97"/>
      <c r="N93" s="97"/>
      <c r="O93" s="97"/>
      <c r="P93" s="97"/>
      <c r="Q93" s="97"/>
      <c r="R93" s="97"/>
      <c r="S93" s="97"/>
    </row>
    <row r="94" spans="1:19" x14ac:dyDescent="0.35">
      <c r="A94" s="98">
        <v>1993</v>
      </c>
      <c r="B94" s="99" t="s">
        <v>42</v>
      </c>
      <c r="C94" s="97">
        <v>143</v>
      </c>
      <c r="D94" s="97">
        <v>560</v>
      </c>
      <c r="E94" s="97">
        <v>83</v>
      </c>
      <c r="F94" s="97">
        <v>169</v>
      </c>
      <c r="G94" s="97">
        <v>26</v>
      </c>
      <c r="H94" s="97">
        <v>1</v>
      </c>
      <c r="I94" s="97">
        <v>2</v>
      </c>
      <c r="J94" s="97">
        <v>59</v>
      </c>
      <c r="K94" s="97">
        <v>74</v>
      </c>
      <c r="L94" s="97">
        <v>49</v>
      </c>
      <c r="M94" s="97">
        <v>0</v>
      </c>
      <c r="N94" s="97">
        <v>1</v>
      </c>
      <c r="O94" s="97">
        <v>0.30199999999999999</v>
      </c>
      <c r="P94" s="97">
        <v>0.378</v>
      </c>
      <c r="Q94" s="97">
        <v>0.36199999999999999</v>
      </c>
      <c r="R94" s="97">
        <v>0.74</v>
      </c>
      <c r="S94" s="97">
        <v>4</v>
      </c>
    </row>
    <row r="95" spans="1:19" x14ac:dyDescent="0.35">
      <c r="A95" s="98"/>
      <c r="B95" s="99"/>
      <c r="C95" s="97"/>
      <c r="D95" s="97"/>
      <c r="E95" s="97"/>
      <c r="F95" s="97"/>
      <c r="G95" s="97"/>
      <c r="H95" s="97"/>
      <c r="I95" s="97"/>
      <c r="J95" s="97"/>
      <c r="K95" s="97"/>
      <c r="L95" s="97"/>
      <c r="M95" s="97"/>
      <c r="N95" s="97"/>
      <c r="O95" s="97"/>
      <c r="P95" s="97"/>
      <c r="Q95" s="97"/>
      <c r="R95" s="97"/>
      <c r="S95" s="97"/>
    </row>
    <row r="96" spans="1:19" x14ac:dyDescent="0.35">
      <c r="A96" s="98">
        <v>1994</v>
      </c>
      <c r="B96" s="99" t="s">
        <v>42</v>
      </c>
      <c r="C96" s="97">
        <v>97</v>
      </c>
      <c r="D96" s="97">
        <v>366</v>
      </c>
      <c r="E96" s="97">
        <v>61</v>
      </c>
      <c r="F96" s="97">
        <v>125</v>
      </c>
      <c r="G96" s="97">
        <v>19</v>
      </c>
      <c r="H96" s="97">
        <v>1</v>
      </c>
      <c r="I96" s="97">
        <v>11</v>
      </c>
      <c r="J96" s="97">
        <v>55</v>
      </c>
      <c r="K96" s="97">
        <v>61</v>
      </c>
      <c r="L96" s="97">
        <v>29</v>
      </c>
      <c r="M96" s="97">
        <v>2</v>
      </c>
      <c r="N96" s="97">
        <v>1</v>
      </c>
      <c r="O96" s="97">
        <v>0.34200000000000003</v>
      </c>
      <c r="P96" s="97">
        <v>0.433</v>
      </c>
      <c r="Q96" s="97">
        <v>0.48899999999999999</v>
      </c>
      <c r="R96" s="97">
        <v>0.92200000000000004</v>
      </c>
      <c r="S96" s="97">
        <v>4.3</v>
      </c>
    </row>
    <row r="97" spans="1:20" x14ac:dyDescent="0.35">
      <c r="A97" s="98"/>
      <c r="B97" s="99"/>
      <c r="C97" s="97"/>
      <c r="D97" s="97"/>
      <c r="E97" s="97"/>
      <c r="F97" s="97"/>
      <c r="G97" s="97"/>
      <c r="H97" s="97"/>
      <c r="I97" s="97"/>
      <c r="J97" s="97"/>
      <c r="K97" s="97"/>
      <c r="L97" s="97"/>
      <c r="M97" s="97"/>
      <c r="N97" s="97"/>
      <c r="O97" s="97"/>
      <c r="P97" s="97"/>
      <c r="Q97" s="97"/>
      <c r="R97" s="97"/>
      <c r="S97" s="97"/>
    </row>
    <row r="98" spans="1:20" x14ac:dyDescent="0.35">
      <c r="A98" s="98">
        <v>1995</v>
      </c>
      <c r="B98" s="99" t="s">
        <v>42</v>
      </c>
      <c r="C98" s="97">
        <v>126</v>
      </c>
      <c r="D98" s="97">
        <v>460</v>
      </c>
      <c r="E98" s="97">
        <v>76</v>
      </c>
      <c r="F98" s="97">
        <v>149</v>
      </c>
      <c r="G98" s="97">
        <v>22</v>
      </c>
      <c r="H98" s="97">
        <v>4</v>
      </c>
      <c r="I98" s="97">
        <v>5</v>
      </c>
      <c r="J98" s="97">
        <v>63</v>
      </c>
      <c r="K98" s="97">
        <v>74</v>
      </c>
      <c r="L98" s="97">
        <v>50</v>
      </c>
      <c r="M98" s="97">
        <v>1</v>
      </c>
      <c r="N98" s="97">
        <v>1</v>
      </c>
      <c r="O98" s="97">
        <v>0.32400000000000001</v>
      </c>
      <c r="P98" s="97">
        <v>0.41199999999999998</v>
      </c>
      <c r="Q98" s="97">
        <v>0.42199999999999999</v>
      </c>
      <c r="R98" s="97">
        <v>0.83399999999999996</v>
      </c>
      <c r="S98" s="97">
        <v>3.9</v>
      </c>
    </row>
    <row r="99" spans="1:20" x14ac:dyDescent="0.35">
      <c r="A99" s="98"/>
      <c r="B99" s="99"/>
      <c r="C99" s="97"/>
      <c r="D99" s="97"/>
      <c r="E99" s="97"/>
      <c r="F99" s="97"/>
      <c r="G99" s="97"/>
      <c r="H99" s="97"/>
      <c r="I99" s="97"/>
      <c r="J99" s="97"/>
      <c r="K99" s="97"/>
      <c r="L99" s="97"/>
      <c r="M99" s="97"/>
      <c r="N99" s="97"/>
      <c r="O99" s="97"/>
      <c r="P99" s="97"/>
      <c r="Q99" s="97"/>
      <c r="R99" s="97"/>
      <c r="S99" s="97"/>
    </row>
    <row r="100" spans="1:20" x14ac:dyDescent="0.35">
      <c r="A100" s="98">
        <v>1996</v>
      </c>
      <c r="B100" s="99" t="s">
        <v>42</v>
      </c>
      <c r="C100" s="97">
        <v>132</v>
      </c>
      <c r="D100" s="97">
        <v>501</v>
      </c>
      <c r="E100" s="97">
        <v>80</v>
      </c>
      <c r="F100" s="97">
        <v>156</v>
      </c>
      <c r="G100" s="97">
        <v>29</v>
      </c>
      <c r="H100" s="97">
        <v>2</v>
      </c>
      <c r="I100" s="97">
        <v>2</v>
      </c>
      <c r="J100" s="97">
        <v>41</v>
      </c>
      <c r="K100" s="97">
        <v>67</v>
      </c>
      <c r="L100" s="97">
        <v>32</v>
      </c>
      <c r="M100" s="97">
        <v>1</v>
      </c>
      <c r="N100" s="97">
        <v>2</v>
      </c>
      <c r="O100" s="97">
        <v>0.311</v>
      </c>
      <c r="P100" s="97">
        <v>0.38900000000000001</v>
      </c>
      <c r="Q100" s="97">
        <v>0.38900000000000001</v>
      </c>
      <c r="R100" s="97">
        <v>0.77800000000000002</v>
      </c>
      <c r="S100" s="97">
        <v>3.1</v>
      </c>
    </row>
    <row r="101" spans="1:20" x14ac:dyDescent="0.35">
      <c r="A101" s="98"/>
      <c r="B101" s="99"/>
      <c r="C101" s="97"/>
      <c r="D101" s="97"/>
      <c r="E101" s="97"/>
      <c r="F101" s="97"/>
      <c r="G101" s="97"/>
      <c r="H101" s="97"/>
      <c r="I101" s="97"/>
      <c r="J101" s="97"/>
      <c r="K101" s="97"/>
      <c r="L101" s="97"/>
      <c r="M101" s="97"/>
      <c r="N101" s="97"/>
      <c r="O101" s="97"/>
      <c r="P101" s="97"/>
      <c r="Q101" s="97"/>
      <c r="R101" s="97"/>
      <c r="S101" s="97"/>
    </row>
    <row r="102" spans="1:20" x14ac:dyDescent="0.35">
      <c r="A102" s="98">
        <v>1997</v>
      </c>
      <c r="B102" s="99" t="s">
        <v>42</v>
      </c>
      <c r="C102" s="97">
        <v>104</v>
      </c>
      <c r="D102" s="97">
        <v>353</v>
      </c>
      <c r="E102" s="97">
        <v>55</v>
      </c>
      <c r="F102" s="97">
        <v>103</v>
      </c>
      <c r="G102" s="97">
        <v>23</v>
      </c>
      <c r="H102" s="97">
        <v>1</v>
      </c>
      <c r="I102" s="97">
        <v>4</v>
      </c>
      <c r="J102" s="97">
        <v>28</v>
      </c>
      <c r="K102" s="97">
        <v>48</v>
      </c>
      <c r="L102" s="97">
        <v>38</v>
      </c>
      <c r="M102" s="97">
        <v>0</v>
      </c>
      <c r="N102" s="97">
        <v>1</v>
      </c>
      <c r="O102" s="97">
        <v>0.29199999999999998</v>
      </c>
      <c r="P102" s="97">
        <v>0.373</v>
      </c>
      <c r="Q102" s="97">
        <v>0.39700000000000002</v>
      </c>
      <c r="R102" s="97">
        <v>0.76900000000000002</v>
      </c>
      <c r="S102" s="97">
        <v>1.9</v>
      </c>
    </row>
    <row r="103" spans="1:20" x14ac:dyDescent="0.35">
      <c r="A103" s="98"/>
      <c r="B103" s="99"/>
      <c r="C103" s="97"/>
      <c r="D103" s="97"/>
      <c r="E103" s="97"/>
      <c r="F103" s="97"/>
      <c r="G103" s="97"/>
      <c r="H103" s="97"/>
      <c r="I103" s="97"/>
      <c r="J103" s="97"/>
      <c r="K103" s="97"/>
      <c r="L103" s="97"/>
      <c r="M103" s="97"/>
      <c r="N103" s="97"/>
      <c r="O103" s="97"/>
      <c r="P103" s="97"/>
      <c r="Q103" s="97"/>
      <c r="R103" s="97"/>
      <c r="S103" s="97"/>
    </row>
    <row r="104" spans="1:20" x14ac:dyDescent="0.35">
      <c r="A104" s="98">
        <v>1998</v>
      </c>
      <c r="B104" s="99" t="s">
        <v>47</v>
      </c>
      <c r="C104" s="97">
        <v>123</v>
      </c>
      <c r="D104" s="97">
        <v>435</v>
      </c>
      <c r="E104" s="97">
        <v>51</v>
      </c>
      <c r="F104" s="97">
        <v>122</v>
      </c>
      <c r="G104" s="97">
        <v>23</v>
      </c>
      <c r="H104" s="97">
        <v>4</v>
      </c>
      <c r="I104" s="97">
        <v>7</v>
      </c>
      <c r="J104" s="97">
        <v>52</v>
      </c>
      <c r="K104" s="97">
        <v>46</v>
      </c>
      <c r="L104" s="97">
        <v>54</v>
      </c>
      <c r="M104" s="97">
        <v>3</v>
      </c>
      <c r="N104" s="97">
        <v>2</v>
      </c>
      <c r="O104" s="97">
        <v>0.28000000000000003</v>
      </c>
      <c r="P104" s="97">
        <v>0.34799999999999998</v>
      </c>
      <c r="Q104" s="97">
        <v>0.4</v>
      </c>
      <c r="R104" s="97">
        <v>0.748</v>
      </c>
      <c r="S104" s="97">
        <v>1.2</v>
      </c>
    </row>
    <row r="105" spans="1:20" x14ac:dyDescent="0.35">
      <c r="A105" s="98"/>
      <c r="B105" s="99"/>
      <c r="C105" s="97"/>
      <c r="D105" s="97"/>
      <c r="E105" s="97"/>
      <c r="F105" s="97"/>
      <c r="G105" s="97"/>
      <c r="H105" s="97"/>
      <c r="I105" s="97"/>
      <c r="J105" s="97"/>
      <c r="K105" s="97"/>
      <c r="L105" s="97"/>
      <c r="M105" s="97"/>
      <c r="N105" s="97"/>
      <c r="O105" s="97"/>
      <c r="P105" s="97"/>
      <c r="Q105" s="97"/>
      <c r="R105" s="97"/>
      <c r="S105" s="97"/>
    </row>
    <row r="106" spans="1:20" x14ac:dyDescent="0.35">
      <c r="A106" s="98">
        <v>1999</v>
      </c>
      <c r="B106" s="99" t="s">
        <v>47</v>
      </c>
      <c r="C106" s="97">
        <v>90</v>
      </c>
      <c r="D106" s="97">
        <v>292</v>
      </c>
      <c r="E106" s="97">
        <v>40</v>
      </c>
      <c r="F106" s="97">
        <v>88</v>
      </c>
      <c r="G106" s="97">
        <v>14</v>
      </c>
      <c r="H106" s="97">
        <v>1</v>
      </c>
      <c r="I106" s="97">
        <v>2</v>
      </c>
      <c r="J106" s="97">
        <v>29</v>
      </c>
      <c r="K106" s="97">
        <v>38</v>
      </c>
      <c r="L106" s="97">
        <v>23</v>
      </c>
      <c r="M106" s="97">
        <v>1</v>
      </c>
      <c r="N106" s="97">
        <v>0</v>
      </c>
      <c r="O106" s="97">
        <v>0.30099999999999999</v>
      </c>
      <c r="P106" s="97">
        <v>0.377</v>
      </c>
      <c r="Q106" s="97">
        <v>0.377</v>
      </c>
      <c r="R106" s="97">
        <v>0.754</v>
      </c>
      <c r="S106" s="97">
        <v>-0.4</v>
      </c>
      <c r="T106">
        <v>41</v>
      </c>
    </row>
    <row r="107" spans="1:20" x14ac:dyDescent="0.35">
      <c r="A107" s="98"/>
      <c r="B107" s="99"/>
      <c r="C107" s="97"/>
      <c r="D107" s="97"/>
      <c r="E107" s="97"/>
      <c r="F107" s="97"/>
      <c r="G107" s="97"/>
      <c r="H107" s="97"/>
      <c r="I107" s="97"/>
      <c r="J107" s="97"/>
      <c r="K107" s="97"/>
      <c r="L107" s="97"/>
      <c r="M107" s="97"/>
      <c r="N107" s="97"/>
      <c r="O107" s="97"/>
      <c r="P107" s="97"/>
      <c r="Q107" s="97"/>
      <c r="R107" s="97"/>
      <c r="S107" s="97"/>
    </row>
    <row r="108" spans="1:20" x14ac:dyDescent="0.35">
      <c r="A108" s="1" t="s">
        <v>43</v>
      </c>
      <c r="B108" s="1" t="s">
        <v>43</v>
      </c>
      <c r="C108" s="11">
        <v>2440</v>
      </c>
      <c r="D108" s="11">
        <v>9180</v>
      </c>
      <c r="E108" s="11">
        <v>1513</v>
      </c>
      <c r="F108" s="11">
        <v>3010</v>
      </c>
      <c r="G108" s="11">
        <v>578</v>
      </c>
      <c r="H108" s="11">
        <v>61</v>
      </c>
      <c r="I108" s="11">
        <v>118</v>
      </c>
      <c r="J108" s="11">
        <v>1014</v>
      </c>
      <c r="K108" s="11">
        <v>1412</v>
      </c>
      <c r="L108" s="11">
        <v>745</v>
      </c>
      <c r="M108" s="11">
        <v>24</v>
      </c>
      <c r="N108" s="11">
        <v>35</v>
      </c>
      <c r="O108" s="35">
        <v>0.32800000000000001</v>
      </c>
      <c r="P108" s="11">
        <v>0.41499999999999998</v>
      </c>
      <c r="Q108" s="11">
        <v>0.443</v>
      </c>
      <c r="R108" s="11">
        <v>0.85799999999999998</v>
      </c>
      <c r="S108" s="11" t="s">
        <v>44</v>
      </c>
    </row>
    <row r="109" spans="1:20" ht="14.4" customHeight="1" x14ac:dyDescent="0.35">
      <c r="A109" s="98" t="s">
        <v>45</v>
      </c>
      <c r="B109" s="98"/>
      <c r="C109" s="11">
        <v>135</v>
      </c>
      <c r="D109" s="11">
        <v>510</v>
      </c>
      <c r="E109" s="11">
        <v>84.1</v>
      </c>
      <c r="F109" s="11">
        <v>167.2</v>
      </c>
      <c r="G109" s="11">
        <v>32.1</v>
      </c>
      <c r="H109" s="11">
        <v>3.4</v>
      </c>
      <c r="I109" s="11">
        <v>6.6</v>
      </c>
      <c r="J109" s="11">
        <v>56.3</v>
      </c>
      <c r="K109" s="11">
        <v>78.400000000000006</v>
      </c>
      <c r="L109" s="11">
        <v>41.4</v>
      </c>
      <c r="M109" s="11">
        <v>1.3</v>
      </c>
      <c r="N109" s="11">
        <v>1.9</v>
      </c>
      <c r="O109" s="35">
        <v>0.32800000000000001</v>
      </c>
      <c r="P109" s="11">
        <v>0.41499999999999998</v>
      </c>
      <c r="Q109" s="11">
        <v>0.443</v>
      </c>
      <c r="R109" s="11">
        <v>0.85799999999999998</v>
      </c>
      <c r="S109" s="11" t="s">
        <v>44</v>
      </c>
    </row>
  </sheetData>
  <mergeCells count="724">
    <mergeCell ref="O106:O107"/>
    <mergeCell ref="P106:P107"/>
    <mergeCell ref="Q106:Q107"/>
    <mergeCell ref="R106:R107"/>
    <mergeCell ref="S106:S107"/>
    <mergeCell ref="A109:B109"/>
    <mergeCell ref="I106:I107"/>
    <mergeCell ref="J106:J107"/>
    <mergeCell ref="K106:K107"/>
    <mergeCell ref="L106:L107"/>
    <mergeCell ref="M106:M107"/>
    <mergeCell ref="N106:N107"/>
    <mergeCell ref="A106:A107"/>
    <mergeCell ref="B106:B107"/>
    <mergeCell ref="C106:C107"/>
    <mergeCell ref="D106:D107"/>
    <mergeCell ref="E106:E107"/>
    <mergeCell ref="F106:F107"/>
    <mergeCell ref="G106:G107"/>
    <mergeCell ref="H106:H107"/>
    <mergeCell ref="L104:L105"/>
    <mergeCell ref="F104:F105"/>
    <mergeCell ref="G104:G105"/>
    <mergeCell ref="H104:H105"/>
    <mergeCell ref="I104:I105"/>
    <mergeCell ref="J104:J105"/>
    <mergeCell ref="K104:K105"/>
    <mergeCell ref="O102:O103"/>
    <mergeCell ref="P102:P103"/>
    <mergeCell ref="Q102:Q103"/>
    <mergeCell ref="R102:R103"/>
    <mergeCell ref="S102:S103"/>
    <mergeCell ref="A104:A105"/>
    <mergeCell ref="B104:B105"/>
    <mergeCell ref="C104:C105"/>
    <mergeCell ref="D104:D105"/>
    <mergeCell ref="E104:E105"/>
    <mergeCell ref="I102:I103"/>
    <mergeCell ref="J102:J103"/>
    <mergeCell ref="K102:K103"/>
    <mergeCell ref="L102:L103"/>
    <mergeCell ref="M102:M103"/>
    <mergeCell ref="N102:N103"/>
    <mergeCell ref="R104:R105"/>
    <mergeCell ref="S104:S105"/>
    <mergeCell ref="M104:M105"/>
    <mergeCell ref="N104:N105"/>
    <mergeCell ref="O104:O105"/>
    <mergeCell ref="P104:P105"/>
    <mergeCell ref="Q104:Q105"/>
    <mergeCell ref="A102:A103"/>
    <mergeCell ref="B102:B103"/>
    <mergeCell ref="C102:C103"/>
    <mergeCell ref="D102:D103"/>
    <mergeCell ref="E102:E103"/>
    <mergeCell ref="F102:F103"/>
    <mergeCell ref="G102:G103"/>
    <mergeCell ref="H102:H103"/>
    <mergeCell ref="L100:L101"/>
    <mergeCell ref="F100:F101"/>
    <mergeCell ref="G100:G101"/>
    <mergeCell ref="H100:H101"/>
    <mergeCell ref="I100:I101"/>
    <mergeCell ref="J100:J101"/>
    <mergeCell ref="K100:K101"/>
    <mergeCell ref="O98:O99"/>
    <mergeCell ref="P98:P99"/>
    <mergeCell ref="Q98:Q99"/>
    <mergeCell ref="R98:R99"/>
    <mergeCell ref="S98:S99"/>
    <mergeCell ref="A100:A101"/>
    <mergeCell ref="B100:B101"/>
    <mergeCell ref="C100:C101"/>
    <mergeCell ref="D100:D101"/>
    <mergeCell ref="E100:E101"/>
    <mergeCell ref="I98:I99"/>
    <mergeCell ref="J98:J99"/>
    <mergeCell ref="K98:K99"/>
    <mergeCell ref="L98:L99"/>
    <mergeCell ref="M98:M99"/>
    <mergeCell ref="N98:N99"/>
    <mergeCell ref="R100:R101"/>
    <mergeCell ref="S100:S101"/>
    <mergeCell ref="M100:M101"/>
    <mergeCell ref="N100:N101"/>
    <mergeCell ref="O100:O101"/>
    <mergeCell ref="P100:P101"/>
    <mergeCell ref="Q100:Q101"/>
    <mergeCell ref="A98:A99"/>
    <mergeCell ref="B98:B99"/>
    <mergeCell ref="C98:C99"/>
    <mergeCell ref="D98:D99"/>
    <mergeCell ref="E98:E99"/>
    <mergeCell ref="F98:F99"/>
    <mergeCell ref="G98:G99"/>
    <mergeCell ref="H98:H99"/>
    <mergeCell ref="L96:L97"/>
    <mergeCell ref="F96:F97"/>
    <mergeCell ref="G96:G97"/>
    <mergeCell ref="H96:H97"/>
    <mergeCell ref="I96:I97"/>
    <mergeCell ref="J96:J97"/>
    <mergeCell ref="K96:K97"/>
    <mergeCell ref="O94:O95"/>
    <mergeCell ref="P94:P95"/>
    <mergeCell ref="Q94:Q95"/>
    <mergeCell ref="R94:R95"/>
    <mergeCell ref="S94:S95"/>
    <mergeCell ref="A96:A97"/>
    <mergeCell ref="B96:B97"/>
    <mergeCell ref="C96:C97"/>
    <mergeCell ref="D96:D97"/>
    <mergeCell ref="E96:E97"/>
    <mergeCell ref="I94:I95"/>
    <mergeCell ref="J94:J95"/>
    <mergeCell ref="K94:K95"/>
    <mergeCell ref="L94:L95"/>
    <mergeCell ref="M94:M95"/>
    <mergeCell ref="N94:N95"/>
    <mergeCell ref="R96:R97"/>
    <mergeCell ref="S96:S97"/>
    <mergeCell ref="M96:M97"/>
    <mergeCell ref="N96:N97"/>
    <mergeCell ref="O96:O97"/>
    <mergeCell ref="P96:P97"/>
    <mergeCell ref="Q96:Q97"/>
    <mergeCell ref="A94:A95"/>
    <mergeCell ref="B94:B95"/>
    <mergeCell ref="C94:C95"/>
    <mergeCell ref="D94:D95"/>
    <mergeCell ref="E94:E95"/>
    <mergeCell ref="F94:F95"/>
    <mergeCell ref="G94:G95"/>
    <mergeCell ref="H94:H95"/>
    <mergeCell ref="L92:L93"/>
    <mergeCell ref="F92:F93"/>
    <mergeCell ref="G92:G93"/>
    <mergeCell ref="H92:H93"/>
    <mergeCell ref="I92:I93"/>
    <mergeCell ref="J92:J93"/>
    <mergeCell ref="K92:K93"/>
    <mergeCell ref="O90:O91"/>
    <mergeCell ref="P90:P91"/>
    <mergeCell ref="Q90:Q91"/>
    <mergeCell ref="R90:R91"/>
    <mergeCell ref="S90:S91"/>
    <mergeCell ref="A92:A93"/>
    <mergeCell ref="B92:B93"/>
    <mergeCell ref="C92:C93"/>
    <mergeCell ref="D92:D93"/>
    <mergeCell ref="E92:E93"/>
    <mergeCell ref="I90:I91"/>
    <mergeCell ref="J90:J91"/>
    <mergeCell ref="K90:K91"/>
    <mergeCell ref="L90:L91"/>
    <mergeCell ref="M90:M91"/>
    <mergeCell ref="N90:N91"/>
    <mergeCell ref="R92:R93"/>
    <mergeCell ref="S92:S93"/>
    <mergeCell ref="M92:M93"/>
    <mergeCell ref="N92:N93"/>
    <mergeCell ref="O92:O93"/>
    <mergeCell ref="P92:P93"/>
    <mergeCell ref="Q92:Q93"/>
    <mergeCell ref="A90:A91"/>
    <mergeCell ref="B90:B91"/>
    <mergeCell ref="C90:C91"/>
    <mergeCell ref="D90:D91"/>
    <mergeCell ref="E90:E91"/>
    <mergeCell ref="F90:F91"/>
    <mergeCell ref="G90:G91"/>
    <mergeCell ref="H90:H91"/>
    <mergeCell ref="L88:L89"/>
    <mergeCell ref="F88:F89"/>
    <mergeCell ref="G88:G89"/>
    <mergeCell ref="H88:H89"/>
    <mergeCell ref="I88:I89"/>
    <mergeCell ref="J88:J89"/>
    <mergeCell ref="K88:K89"/>
    <mergeCell ref="O86:O87"/>
    <mergeCell ref="P86:P87"/>
    <mergeCell ref="Q86:Q87"/>
    <mergeCell ref="R86:R87"/>
    <mergeCell ref="S86:S87"/>
    <mergeCell ref="A88:A89"/>
    <mergeCell ref="B88:B89"/>
    <mergeCell ref="C88:C89"/>
    <mergeCell ref="D88:D89"/>
    <mergeCell ref="E88:E89"/>
    <mergeCell ref="I86:I87"/>
    <mergeCell ref="J86:J87"/>
    <mergeCell ref="K86:K87"/>
    <mergeCell ref="L86:L87"/>
    <mergeCell ref="M86:M87"/>
    <mergeCell ref="N86:N87"/>
    <mergeCell ref="R88:R89"/>
    <mergeCell ref="S88:S89"/>
    <mergeCell ref="M88:M89"/>
    <mergeCell ref="N88:N89"/>
    <mergeCell ref="O88:O89"/>
    <mergeCell ref="P88:P89"/>
    <mergeCell ref="Q88:Q89"/>
    <mergeCell ref="A86:A87"/>
    <mergeCell ref="B86:B87"/>
    <mergeCell ref="C86:C87"/>
    <mergeCell ref="D86:D87"/>
    <mergeCell ref="E86:E87"/>
    <mergeCell ref="F86:F87"/>
    <mergeCell ref="G86:G87"/>
    <mergeCell ref="H86:H87"/>
    <mergeCell ref="L84:L85"/>
    <mergeCell ref="F84:F85"/>
    <mergeCell ref="G84:G85"/>
    <mergeCell ref="H84:H85"/>
    <mergeCell ref="I84:I85"/>
    <mergeCell ref="J84:J85"/>
    <mergeCell ref="K84:K85"/>
    <mergeCell ref="O82:O83"/>
    <mergeCell ref="P82:P83"/>
    <mergeCell ref="Q82:Q83"/>
    <mergeCell ref="R82:R83"/>
    <mergeCell ref="S82:S83"/>
    <mergeCell ref="A84:A85"/>
    <mergeCell ref="B84:B85"/>
    <mergeCell ref="C84:C85"/>
    <mergeCell ref="D84:D85"/>
    <mergeCell ref="E84:E85"/>
    <mergeCell ref="I82:I83"/>
    <mergeCell ref="J82:J83"/>
    <mergeCell ref="K82:K83"/>
    <mergeCell ref="L82:L83"/>
    <mergeCell ref="M82:M83"/>
    <mergeCell ref="N82:N83"/>
    <mergeCell ref="R84:R85"/>
    <mergeCell ref="S84:S85"/>
    <mergeCell ref="M84:M85"/>
    <mergeCell ref="N84:N85"/>
    <mergeCell ref="O84:O85"/>
    <mergeCell ref="P84:P85"/>
    <mergeCell ref="Q84:Q85"/>
    <mergeCell ref="A82:A83"/>
    <mergeCell ref="B82:B83"/>
    <mergeCell ref="C82:C83"/>
    <mergeCell ref="D82:D83"/>
    <mergeCell ref="E82:E83"/>
    <mergeCell ref="F82:F83"/>
    <mergeCell ref="G82:G83"/>
    <mergeCell ref="H82:H83"/>
    <mergeCell ref="L80:L81"/>
    <mergeCell ref="F80:F81"/>
    <mergeCell ref="G80:G81"/>
    <mergeCell ref="H80:H81"/>
    <mergeCell ref="I80:I81"/>
    <mergeCell ref="J80:J81"/>
    <mergeCell ref="K80:K81"/>
    <mergeCell ref="O78:O79"/>
    <mergeCell ref="P78:P79"/>
    <mergeCell ref="Q78:Q79"/>
    <mergeCell ref="R78:R79"/>
    <mergeCell ref="S78:S79"/>
    <mergeCell ref="A80:A81"/>
    <mergeCell ref="B80:B81"/>
    <mergeCell ref="C80:C81"/>
    <mergeCell ref="D80:D81"/>
    <mergeCell ref="E80:E81"/>
    <mergeCell ref="I78:I79"/>
    <mergeCell ref="J78:J79"/>
    <mergeCell ref="K78:K79"/>
    <mergeCell ref="L78:L79"/>
    <mergeCell ref="M78:M79"/>
    <mergeCell ref="N78:N79"/>
    <mergeCell ref="R80:R81"/>
    <mergeCell ref="S80:S81"/>
    <mergeCell ref="M80:M81"/>
    <mergeCell ref="N80:N81"/>
    <mergeCell ref="O80:O81"/>
    <mergeCell ref="P80:P81"/>
    <mergeCell ref="Q80:Q81"/>
    <mergeCell ref="A78:A79"/>
    <mergeCell ref="B78:B79"/>
    <mergeCell ref="C78:C79"/>
    <mergeCell ref="D78:D79"/>
    <mergeCell ref="E78:E79"/>
    <mergeCell ref="F78:F79"/>
    <mergeCell ref="G78:G79"/>
    <mergeCell ref="H78:H79"/>
    <mergeCell ref="L76:L77"/>
    <mergeCell ref="F76:F77"/>
    <mergeCell ref="G76:G77"/>
    <mergeCell ref="H76:H77"/>
    <mergeCell ref="I76:I77"/>
    <mergeCell ref="J76:J77"/>
    <mergeCell ref="K76:K77"/>
    <mergeCell ref="O74:O75"/>
    <mergeCell ref="P74:P75"/>
    <mergeCell ref="Q74:Q75"/>
    <mergeCell ref="R74:R75"/>
    <mergeCell ref="S74:S75"/>
    <mergeCell ref="A76:A77"/>
    <mergeCell ref="B76:B77"/>
    <mergeCell ref="C76:C77"/>
    <mergeCell ref="D76:D77"/>
    <mergeCell ref="E76:E77"/>
    <mergeCell ref="I74:I75"/>
    <mergeCell ref="J74:J75"/>
    <mergeCell ref="K74:K75"/>
    <mergeCell ref="L74:L75"/>
    <mergeCell ref="M74:M75"/>
    <mergeCell ref="N74:N75"/>
    <mergeCell ref="R76:R77"/>
    <mergeCell ref="S76:S77"/>
    <mergeCell ref="M76:M77"/>
    <mergeCell ref="N76:N77"/>
    <mergeCell ref="O76:O77"/>
    <mergeCell ref="P76:P77"/>
    <mergeCell ref="Q76:Q77"/>
    <mergeCell ref="A74:A75"/>
    <mergeCell ref="B74:B75"/>
    <mergeCell ref="C74:C75"/>
    <mergeCell ref="D74:D75"/>
    <mergeCell ref="E74:E75"/>
    <mergeCell ref="F74:F75"/>
    <mergeCell ref="G74:G75"/>
    <mergeCell ref="H74:H75"/>
    <mergeCell ref="L72:L73"/>
    <mergeCell ref="F72:F73"/>
    <mergeCell ref="G72:G73"/>
    <mergeCell ref="H72:H73"/>
    <mergeCell ref="I72:I73"/>
    <mergeCell ref="J72:J73"/>
    <mergeCell ref="K72:K73"/>
    <mergeCell ref="S63:S64"/>
    <mergeCell ref="A66:B66"/>
    <mergeCell ref="A72:A73"/>
    <mergeCell ref="B72:B73"/>
    <mergeCell ref="C72:C73"/>
    <mergeCell ref="D72:D73"/>
    <mergeCell ref="E72:E73"/>
    <mergeCell ref="J63:J64"/>
    <mergeCell ref="K63:K64"/>
    <mergeCell ref="L63:L64"/>
    <mergeCell ref="M63:M64"/>
    <mergeCell ref="N63:N64"/>
    <mergeCell ref="O63:O64"/>
    <mergeCell ref="R72:R73"/>
    <mergeCell ref="S72:S73"/>
    <mergeCell ref="M72:M73"/>
    <mergeCell ref="N72:N73"/>
    <mergeCell ref="O72:O73"/>
    <mergeCell ref="P72:P73"/>
    <mergeCell ref="Q72:Q73"/>
    <mergeCell ref="A63:A64"/>
    <mergeCell ref="B63:B64"/>
    <mergeCell ref="C63:C64"/>
    <mergeCell ref="D63:D64"/>
    <mergeCell ref="R61:R62"/>
    <mergeCell ref="G61:G62"/>
    <mergeCell ref="H61:H62"/>
    <mergeCell ref="I61:I62"/>
    <mergeCell ref="J61:J62"/>
    <mergeCell ref="K61:K62"/>
    <mergeCell ref="L61:L62"/>
    <mergeCell ref="P63:P64"/>
    <mergeCell ref="Q63:Q64"/>
    <mergeCell ref="R63:R64"/>
    <mergeCell ref="E63:E64"/>
    <mergeCell ref="F63:F64"/>
    <mergeCell ref="G63:G64"/>
    <mergeCell ref="H63:H64"/>
    <mergeCell ref="I63:I64"/>
    <mergeCell ref="K57:K58"/>
    <mergeCell ref="L57:L58"/>
    <mergeCell ref="P59:P60"/>
    <mergeCell ref="Q59:Q60"/>
    <mergeCell ref="E59:E60"/>
    <mergeCell ref="F59:F60"/>
    <mergeCell ref="G59:G60"/>
    <mergeCell ref="H59:H60"/>
    <mergeCell ref="I59:I60"/>
    <mergeCell ref="R59:R60"/>
    <mergeCell ref="S59:S60"/>
    <mergeCell ref="A61:A62"/>
    <mergeCell ref="B61:B62"/>
    <mergeCell ref="C61:C62"/>
    <mergeCell ref="D61:D62"/>
    <mergeCell ref="E61:E62"/>
    <mergeCell ref="F61:F62"/>
    <mergeCell ref="J59:J60"/>
    <mergeCell ref="K59:K60"/>
    <mergeCell ref="L59:L60"/>
    <mergeCell ref="M59:M60"/>
    <mergeCell ref="N59:N60"/>
    <mergeCell ref="O59:O60"/>
    <mergeCell ref="S61:S62"/>
    <mergeCell ref="M61:M62"/>
    <mergeCell ref="N61:N62"/>
    <mergeCell ref="O61:O62"/>
    <mergeCell ref="P61:P62"/>
    <mergeCell ref="Q61:Q62"/>
    <mergeCell ref="A59:A60"/>
    <mergeCell ref="B59:B60"/>
    <mergeCell ref="C59:C60"/>
    <mergeCell ref="D59:D60"/>
    <mergeCell ref="S55:S56"/>
    <mergeCell ref="A57:A58"/>
    <mergeCell ref="B57:B58"/>
    <mergeCell ref="C57:C58"/>
    <mergeCell ref="D57:D58"/>
    <mergeCell ref="E57:E58"/>
    <mergeCell ref="F57:F58"/>
    <mergeCell ref="J55:J56"/>
    <mergeCell ref="K55:K56"/>
    <mergeCell ref="L55:L56"/>
    <mergeCell ref="M55:M56"/>
    <mergeCell ref="N55:N56"/>
    <mergeCell ref="O55:O56"/>
    <mergeCell ref="S57:S58"/>
    <mergeCell ref="M57:M58"/>
    <mergeCell ref="N57:N58"/>
    <mergeCell ref="O57:O58"/>
    <mergeCell ref="P57:P58"/>
    <mergeCell ref="Q57:Q58"/>
    <mergeCell ref="R57:R58"/>
    <mergeCell ref="G57:G58"/>
    <mergeCell ref="H57:H58"/>
    <mergeCell ref="I57:I58"/>
    <mergeCell ref="J57:J58"/>
    <mergeCell ref="R53:R54"/>
    <mergeCell ref="G53:G54"/>
    <mergeCell ref="H53:H54"/>
    <mergeCell ref="I53:I54"/>
    <mergeCell ref="J53:J54"/>
    <mergeCell ref="K53:K54"/>
    <mergeCell ref="L53:L54"/>
    <mergeCell ref="P55:P56"/>
    <mergeCell ref="Q55:Q56"/>
    <mergeCell ref="R55:R56"/>
    <mergeCell ref="A55:A56"/>
    <mergeCell ref="B55:B56"/>
    <mergeCell ref="C55:C56"/>
    <mergeCell ref="D55:D56"/>
    <mergeCell ref="E55:E56"/>
    <mergeCell ref="F55:F56"/>
    <mergeCell ref="G55:G56"/>
    <mergeCell ref="H55:H56"/>
    <mergeCell ref="I55:I56"/>
    <mergeCell ref="K49:K50"/>
    <mergeCell ref="L49:L50"/>
    <mergeCell ref="P51:P52"/>
    <mergeCell ref="Q51:Q52"/>
    <mergeCell ref="R51:R52"/>
    <mergeCell ref="S51:S52"/>
    <mergeCell ref="A53:A54"/>
    <mergeCell ref="B53:B54"/>
    <mergeCell ref="C53:C54"/>
    <mergeCell ref="D53:D54"/>
    <mergeCell ref="E53:E54"/>
    <mergeCell ref="F53:F54"/>
    <mergeCell ref="J51:J52"/>
    <mergeCell ref="K51:K52"/>
    <mergeCell ref="L51:L52"/>
    <mergeCell ref="M51:M52"/>
    <mergeCell ref="N51:N52"/>
    <mergeCell ref="O51:O52"/>
    <mergeCell ref="S53:S54"/>
    <mergeCell ref="M53:M54"/>
    <mergeCell ref="N53:N54"/>
    <mergeCell ref="O53:O54"/>
    <mergeCell ref="P53:P54"/>
    <mergeCell ref="Q53:Q54"/>
    <mergeCell ref="A51:A52"/>
    <mergeCell ref="B51:B52"/>
    <mergeCell ref="C51:C52"/>
    <mergeCell ref="D51:D52"/>
    <mergeCell ref="E51:E52"/>
    <mergeCell ref="F51:F52"/>
    <mergeCell ref="G51:G52"/>
    <mergeCell ref="H51:H52"/>
    <mergeCell ref="I51:I52"/>
    <mergeCell ref="S47:S48"/>
    <mergeCell ref="A49:A50"/>
    <mergeCell ref="B49:B50"/>
    <mergeCell ref="C49:C50"/>
    <mergeCell ref="D49:D50"/>
    <mergeCell ref="E49:E50"/>
    <mergeCell ref="F49:F50"/>
    <mergeCell ref="J47:J48"/>
    <mergeCell ref="K47:K48"/>
    <mergeCell ref="L47:L48"/>
    <mergeCell ref="M47:M48"/>
    <mergeCell ref="N47:N48"/>
    <mergeCell ref="O47:O48"/>
    <mergeCell ref="S49:S50"/>
    <mergeCell ref="M49:M50"/>
    <mergeCell ref="N49:N50"/>
    <mergeCell ref="O49:O50"/>
    <mergeCell ref="P49:P50"/>
    <mergeCell ref="Q49:Q50"/>
    <mergeCell ref="R49:R50"/>
    <mergeCell ref="G49:G50"/>
    <mergeCell ref="H49:H50"/>
    <mergeCell ref="I49:I50"/>
    <mergeCell ref="J49:J50"/>
    <mergeCell ref="Q45:Q46"/>
    <mergeCell ref="R45:R46"/>
    <mergeCell ref="G45:G46"/>
    <mergeCell ref="H45:H46"/>
    <mergeCell ref="I45:I46"/>
    <mergeCell ref="J45:J46"/>
    <mergeCell ref="K45:K46"/>
    <mergeCell ref="L45:L46"/>
    <mergeCell ref="P47:P48"/>
    <mergeCell ref="Q47:Q48"/>
    <mergeCell ref="R47:R48"/>
    <mergeCell ref="A47:A48"/>
    <mergeCell ref="B47:B48"/>
    <mergeCell ref="C47:C48"/>
    <mergeCell ref="D47:D48"/>
    <mergeCell ref="E47:E48"/>
    <mergeCell ref="F47:F48"/>
    <mergeCell ref="G47:G48"/>
    <mergeCell ref="H47:H48"/>
    <mergeCell ref="I47:I48"/>
    <mergeCell ref="J41:J42"/>
    <mergeCell ref="K41:K42"/>
    <mergeCell ref="L41:L42"/>
    <mergeCell ref="P43:P44"/>
    <mergeCell ref="Q43:Q44"/>
    <mergeCell ref="R43:R44"/>
    <mergeCell ref="S43:S44"/>
    <mergeCell ref="A45:A46"/>
    <mergeCell ref="B45:B46"/>
    <mergeCell ref="C45:C46"/>
    <mergeCell ref="D45:D46"/>
    <mergeCell ref="E45:E46"/>
    <mergeCell ref="F45:F46"/>
    <mergeCell ref="J43:J44"/>
    <mergeCell ref="K43:K44"/>
    <mergeCell ref="L43:L44"/>
    <mergeCell ref="M43:M44"/>
    <mergeCell ref="N43:N44"/>
    <mergeCell ref="O43:O44"/>
    <mergeCell ref="S45:S46"/>
    <mergeCell ref="M45:M46"/>
    <mergeCell ref="N45:N46"/>
    <mergeCell ref="O45:O46"/>
    <mergeCell ref="P45:P46"/>
    <mergeCell ref="A43:A44"/>
    <mergeCell ref="B43:B44"/>
    <mergeCell ref="C43:C44"/>
    <mergeCell ref="D43:D44"/>
    <mergeCell ref="E43:E44"/>
    <mergeCell ref="F43:F44"/>
    <mergeCell ref="G43:G44"/>
    <mergeCell ref="H43:H44"/>
    <mergeCell ref="I43:I44"/>
    <mergeCell ref="R39:R40"/>
    <mergeCell ref="S39:S40"/>
    <mergeCell ref="A41:A42"/>
    <mergeCell ref="B41:B42"/>
    <mergeCell ref="C41:C42"/>
    <mergeCell ref="D41:D42"/>
    <mergeCell ref="E41:E42"/>
    <mergeCell ref="F41:F42"/>
    <mergeCell ref="J39:J40"/>
    <mergeCell ref="K39:K40"/>
    <mergeCell ref="L39:L40"/>
    <mergeCell ref="M39:M40"/>
    <mergeCell ref="N39:N40"/>
    <mergeCell ref="O39:O40"/>
    <mergeCell ref="S41:S42"/>
    <mergeCell ref="M41:M42"/>
    <mergeCell ref="N41:N42"/>
    <mergeCell ref="O41:O42"/>
    <mergeCell ref="P41:P42"/>
    <mergeCell ref="Q41:Q42"/>
    <mergeCell ref="R41:R42"/>
    <mergeCell ref="G41:G42"/>
    <mergeCell ref="H41:H42"/>
    <mergeCell ref="I41:I42"/>
    <mergeCell ref="S37:S38"/>
    <mergeCell ref="A39:A40"/>
    <mergeCell ref="B39:B40"/>
    <mergeCell ref="C39:C40"/>
    <mergeCell ref="D39:D40"/>
    <mergeCell ref="E39:E40"/>
    <mergeCell ref="F39:F40"/>
    <mergeCell ref="G39:G40"/>
    <mergeCell ref="H39:H40"/>
    <mergeCell ref="I39:I40"/>
    <mergeCell ref="M37:M38"/>
    <mergeCell ref="N37:N38"/>
    <mergeCell ref="O37:O38"/>
    <mergeCell ref="P37:P38"/>
    <mergeCell ref="Q37:Q38"/>
    <mergeCell ref="R37:R38"/>
    <mergeCell ref="G37:G38"/>
    <mergeCell ref="H37:H38"/>
    <mergeCell ref="I37:I38"/>
    <mergeCell ref="J37:J38"/>
    <mergeCell ref="K37:K38"/>
    <mergeCell ref="L37:L38"/>
    <mergeCell ref="P39:P40"/>
    <mergeCell ref="Q39:Q40"/>
    <mergeCell ref="A37:A38"/>
    <mergeCell ref="B37:B38"/>
    <mergeCell ref="C37:C38"/>
    <mergeCell ref="D37:D38"/>
    <mergeCell ref="E37:E38"/>
    <mergeCell ref="F37:F38"/>
    <mergeCell ref="J35:J36"/>
    <mergeCell ref="K35:K36"/>
    <mergeCell ref="L35:L36"/>
    <mergeCell ref="A35:A36"/>
    <mergeCell ref="B35:B36"/>
    <mergeCell ref="C35:C36"/>
    <mergeCell ref="D35:D36"/>
    <mergeCell ref="E35:E36"/>
    <mergeCell ref="F35:F36"/>
    <mergeCell ref="G35:G36"/>
    <mergeCell ref="H33:H34"/>
    <mergeCell ref="I33:I34"/>
    <mergeCell ref="J33:J34"/>
    <mergeCell ref="K33:K34"/>
    <mergeCell ref="L33:L34"/>
    <mergeCell ref="P35:P36"/>
    <mergeCell ref="Q35:Q36"/>
    <mergeCell ref="R35:R36"/>
    <mergeCell ref="S35:S36"/>
    <mergeCell ref="M35:M36"/>
    <mergeCell ref="N35:N36"/>
    <mergeCell ref="O35:O36"/>
    <mergeCell ref="H35:H36"/>
    <mergeCell ref="I35:I36"/>
    <mergeCell ref="P31:P32"/>
    <mergeCell ref="Q31:Q32"/>
    <mergeCell ref="R31:R32"/>
    <mergeCell ref="S31:S32"/>
    <mergeCell ref="A33:A34"/>
    <mergeCell ref="B33:B34"/>
    <mergeCell ref="C33:C34"/>
    <mergeCell ref="D33:D34"/>
    <mergeCell ref="E33:E34"/>
    <mergeCell ref="F33:F34"/>
    <mergeCell ref="J31:J32"/>
    <mergeCell ref="K31:K32"/>
    <mergeCell ref="L31:L32"/>
    <mergeCell ref="M31:M32"/>
    <mergeCell ref="N31:N32"/>
    <mergeCell ref="O31:O32"/>
    <mergeCell ref="S33:S34"/>
    <mergeCell ref="M33:M34"/>
    <mergeCell ref="N33:N34"/>
    <mergeCell ref="O33:O34"/>
    <mergeCell ref="P33:P34"/>
    <mergeCell ref="Q33:Q34"/>
    <mergeCell ref="R33:R34"/>
    <mergeCell ref="G33:G34"/>
    <mergeCell ref="P29:P30"/>
    <mergeCell ref="Q29:Q30"/>
    <mergeCell ref="R29:R30"/>
    <mergeCell ref="G29:G30"/>
    <mergeCell ref="H29:H30"/>
    <mergeCell ref="I29:I30"/>
    <mergeCell ref="J29:J30"/>
    <mergeCell ref="K29:K30"/>
    <mergeCell ref="L29:L30"/>
    <mergeCell ref="A31:A32"/>
    <mergeCell ref="B31:B32"/>
    <mergeCell ref="C31:C32"/>
    <mergeCell ref="D31:D32"/>
    <mergeCell ref="E31:E32"/>
    <mergeCell ref="F31:F32"/>
    <mergeCell ref="G31:G32"/>
    <mergeCell ref="H31:H32"/>
    <mergeCell ref="I31:I32"/>
    <mergeCell ref="K25:K26"/>
    <mergeCell ref="L25:L26"/>
    <mergeCell ref="A25:A26"/>
    <mergeCell ref="B25:B26"/>
    <mergeCell ref="P27:P28"/>
    <mergeCell ref="Q27:Q28"/>
    <mergeCell ref="R27:R28"/>
    <mergeCell ref="S27:S28"/>
    <mergeCell ref="A29:A30"/>
    <mergeCell ref="B29:B30"/>
    <mergeCell ref="C29:C30"/>
    <mergeCell ref="D29:D30"/>
    <mergeCell ref="E29:E30"/>
    <mergeCell ref="F29:F30"/>
    <mergeCell ref="J27:J28"/>
    <mergeCell ref="K27:K28"/>
    <mergeCell ref="L27:L28"/>
    <mergeCell ref="M27:M28"/>
    <mergeCell ref="N27:N28"/>
    <mergeCell ref="O27:O28"/>
    <mergeCell ref="S29:S30"/>
    <mergeCell ref="M29:M30"/>
    <mergeCell ref="N29:N30"/>
    <mergeCell ref="O29:O30"/>
    <mergeCell ref="C25:C26"/>
    <mergeCell ref="D25:D26"/>
    <mergeCell ref="E25:E26"/>
    <mergeCell ref="F25:F26"/>
    <mergeCell ref="S25:S26"/>
    <mergeCell ref="A27:A28"/>
    <mergeCell ref="B27:B28"/>
    <mergeCell ref="C27:C28"/>
    <mergeCell ref="D27:D28"/>
    <mergeCell ref="E27:E28"/>
    <mergeCell ref="F27:F28"/>
    <mergeCell ref="G27:G28"/>
    <mergeCell ref="H27:H28"/>
    <mergeCell ref="I27:I28"/>
    <mergeCell ref="M25:M26"/>
    <mergeCell ref="N25:N26"/>
    <mergeCell ref="O25:O26"/>
    <mergeCell ref="P25:P26"/>
    <mergeCell ref="Q25:Q26"/>
    <mergeCell ref="R25:R26"/>
    <mergeCell ref="G25:G26"/>
    <mergeCell ref="H25:H26"/>
    <mergeCell ref="I25:I26"/>
    <mergeCell ref="J25:J26"/>
  </mergeCells>
  <conditionalFormatting sqref="O25:O64">
    <cfRule type="cellIs" dxfId="1" priority="2" operator="lessThan">
      <formula>0.28</formula>
    </cfRule>
  </conditionalFormatting>
  <conditionalFormatting sqref="O72:O107">
    <cfRule type="cellIs" dxfId="0" priority="1" operator="lessThan">
      <formula>0.28</formula>
    </cfRule>
  </conditionalFormatting>
  <hyperlinks>
    <hyperlink ref="E3" r:id="rId1" display="http://www.espn.com/mlb/player/_/id/3246/derek-jeter" xr:uid="{00000000-0004-0000-0000-000000000000}"/>
    <hyperlink ref="E4" r:id="rId2" display="http://www.espn.com/mlb/player/_/id/1098/wade-boggs" xr:uid="{00000000-0004-0000-0000-000001000000}"/>
    <hyperlink ref="G2" r:id="rId3" tooltip="Games" display="http://www.espn.com/mlb/history/leaders/_/sort/gamesPlayed" xr:uid="{00000000-0004-0000-0000-000002000000}"/>
    <hyperlink ref="H2" r:id="rId4" tooltip="At Bats" display="http://www.espn.com/mlb/history/leaders/_/sort/atBats" xr:uid="{00000000-0004-0000-0000-000003000000}"/>
    <hyperlink ref="I2" r:id="rId5" tooltip="Runs Scored" display="http://www.espn.com/mlb/history/leaders/_/sort/runs" xr:uid="{00000000-0004-0000-0000-000004000000}"/>
    <hyperlink ref="K2" r:id="rId6" tooltip="Doubles" display="http://www.espn.com/mlb/history/leaders/_/sort/doubles" xr:uid="{00000000-0004-0000-0000-000005000000}"/>
    <hyperlink ref="L2" r:id="rId7" tooltip="Triples" display="http://www.espn.com/mlb/history/leaders/_/sort/triples" xr:uid="{00000000-0004-0000-0000-000006000000}"/>
    <hyperlink ref="M2" r:id="rId8" tooltip="Home Runs" display="http://www.espn.com/mlb/history/leaders/_/sort/homeRuns" xr:uid="{00000000-0004-0000-0000-000007000000}"/>
    <hyperlink ref="N2" r:id="rId9" tooltip="Runs Batted In" display="http://www.espn.com/mlb/history/leaders/_/sort/RBIs" xr:uid="{00000000-0004-0000-0000-000008000000}"/>
    <hyperlink ref="O2" r:id="rId10" tooltip="Walks" display="http://www.espn.com/mlb/history/leaders/_/sort/walks" xr:uid="{00000000-0004-0000-0000-000009000000}"/>
    <hyperlink ref="P2" r:id="rId11" tooltip="Strikeouts" display="http://www.espn.com/mlb/history/leaders/_/sort/strikeouts" xr:uid="{00000000-0004-0000-0000-00000A000000}"/>
    <hyperlink ref="Q2" r:id="rId12" tooltip="Stolen Bases" display="http://www.espn.com/mlb/history/leaders/_/sort/stolenBases" xr:uid="{00000000-0004-0000-0000-00000B000000}"/>
    <hyperlink ref="R2" r:id="rId13" tooltip="Caught Stealing" display="http://www.espn.com/mlb/history/leaders/_/sort/caughtStealing" xr:uid="{00000000-0004-0000-0000-00000C000000}"/>
    <hyperlink ref="S2" r:id="rId14" tooltip="Batting Average" display="http://www.espn.com/mlb/history/leaders" xr:uid="{00000000-0004-0000-0000-00000D000000}"/>
    <hyperlink ref="B25" r:id="rId15" display="http://www.espn.com/mlb/team/_/name/nyy/new-york-yankees" xr:uid="{00000000-0004-0000-0000-00000E000000}"/>
    <hyperlink ref="B27" r:id="rId16" display="http://www.espn.com/mlb/team/_/name/nyy/new-york-yankees" xr:uid="{00000000-0004-0000-0000-00000F000000}"/>
    <hyperlink ref="B29" r:id="rId17" display="http://www.espn.com/mlb/team/_/name/nyy/new-york-yankees" xr:uid="{00000000-0004-0000-0000-000010000000}"/>
    <hyperlink ref="B31" r:id="rId18" display="http://www.espn.com/mlb/team/_/name/nyy/new-york-yankees" xr:uid="{00000000-0004-0000-0000-000011000000}"/>
    <hyperlink ref="B33" r:id="rId19" display="http://www.espn.com/mlb/team/_/name/nyy/new-york-yankees" xr:uid="{00000000-0004-0000-0000-000012000000}"/>
    <hyperlink ref="B35" r:id="rId20" display="http://www.espn.com/mlb/team/_/name/nyy/new-york-yankees" xr:uid="{00000000-0004-0000-0000-000013000000}"/>
    <hyperlink ref="B37" r:id="rId21" display="http://www.espn.com/mlb/team/_/name/nyy/new-york-yankees" xr:uid="{00000000-0004-0000-0000-000014000000}"/>
    <hyperlink ref="B39" r:id="rId22" display="http://www.espn.com/mlb/team/_/name/nyy/new-york-yankees" xr:uid="{00000000-0004-0000-0000-000015000000}"/>
    <hyperlink ref="B41" r:id="rId23" display="http://www.espn.com/mlb/team/_/name/nyy/new-york-yankees" xr:uid="{00000000-0004-0000-0000-000016000000}"/>
    <hyperlink ref="B43" r:id="rId24" display="http://www.espn.com/mlb/team/_/name/nyy/new-york-yankees" xr:uid="{00000000-0004-0000-0000-000017000000}"/>
    <hyperlink ref="B45" r:id="rId25" display="http://www.espn.com/mlb/team/_/name/nyy/new-york-yankees" xr:uid="{00000000-0004-0000-0000-000018000000}"/>
    <hyperlink ref="B47" r:id="rId26" display="http://www.espn.com/mlb/team/_/name/nyy/new-york-yankees" xr:uid="{00000000-0004-0000-0000-000019000000}"/>
    <hyperlink ref="B49" r:id="rId27" display="http://www.espn.com/mlb/team/_/name/nyy/new-york-yankees" xr:uid="{00000000-0004-0000-0000-00001A000000}"/>
    <hyperlink ref="B51" r:id="rId28" display="http://www.espn.com/mlb/team/_/name/nyy/new-york-yankees" xr:uid="{00000000-0004-0000-0000-00001B000000}"/>
    <hyperlink ref="B53" r:id="rId29" display="http://www.espn.com/mlb/team/_/name/nyy/new-york-yankees" xr:uid="{00000000-0004-0000-0000-00001C000000}"/>
    <hyperlink ref="B55" r:id="rId30" display="http://www.espn.com/mlb/team/_/name/nyy/new-york-yankees" xr:uid="{00000000-0004-0000-0000-00001D000000}"/>
    <hyperlink ref="B57" r:id="rId31" display="http://www.espn.com/mlb/team/_/name/nyy/new-york-yankees" xr:uid="{00000000-0004-0000-0000-00001E000000}"/>
    <hyperlink ref="B59" r:id="rId32" display="http://www.espn.com/mlb/team/_/name/nyy/new-york-yankees" xr:uid="{00000000-0004-0000-0000-00001F000000}"/>
    <hyperlink ref="B61" r:id="rId33" display="http://www.espn.com/mlb/team/_/name/nyy/new-york-yankees" xr:uid="{00000000-0004-0000-0000-000020000000}"/>
    <hyperlink ref="B63" r:id="rId34" display="http://www.espn.com/mlb/team/_/name/nyy/new-york-yankees" xr:uid="{00000000-0004-0000-0000-000021000000}"/>
    <hyperlink ref="B72" r:id="rId35" display="http://www.espn.com/mlb/team/_/name/bos/boston-red-sox" xr:uid="{00000000-0004-0000-0000-000022000000}"/>
    <hyperlink ref="B74" r:id="rId36" display="http://www.espn.com/mlb/team/_/name/bos/boston-red-sox" xr:uid="{00000000-0004-0000-0000-000023000000}"/>
    <hyperlink ref="B76" r:id="rId37" display="http://www.espn.com/mlb/team/_/name/bos/boston-red-sox" xr:uid="{00000000-0004-0000-0000-000024000000}"/>
    <hyperlink ref="B78" r:id="rId38" display="http://www.espn.com/mlb/team/_/name/bos/boston-red-sox" xr:uid="{00000000-0004-0000-0000-000025000000}"/>
    <hyperlink ref="B80" r:id="rId39" display="http://www.espn.com/mlb/team/_/name/bos/boston-red-sox" xr:uid="{00000000-0004-0000-0000-000026000000}"/>
    <hyperlink ref="B82" r:id="rId40" display="http://www.espn.com/mlb/team/_/name/bos/boston-red-sox" xr:uid="{00000000-0004-0000-0000-000027000000}"/>
    <hyperlink ref="B84" r:id="rId41" display="http://www.espn.com/mlb/team/_/name/bos/boston-red-sox" xr:uid="{00000000-0004-0000-0000-000028000000}"/>
    <hyperlink ref="B86" r:id="rId42" display="http://www.espn.com/mlb/team/_/name/bos/boston-red-sox" xr:uid="{00000000-0004-0000-0000-000029000000}"/>
    <hyperlink ref="B88" r:id="rId43" display="http://www.espn.com/mlb/team/_/name/bos/boston-red-sox" xr:uid="{00000000-0004-0000-0000-00002A000000}"/>
    <hyperlink ref="B90" r:id="rId44" display="http://www.espn.com/mlb/team/_/name/bos/boston-red-sox" xr:uid="{00000000-0004-0000-0000-00002B000000}"/>
    <hyperlink ref="B92" r:id="rId45" display="http://www.espn.com/mlb/team/_/name/bos/boston-red-sox" xr:uid="{00000000-0004-0000-0000-00002C000000}"/>
    <hyperlink ref="B94" r:id="rId46" display="http://www.espn.com/mlb/team/_/name/nyy/new-york-yankees" xr:uid="{00000000-0004-0000-0000-00002D000000}"/>
    <hyperlink ref="B96" r:id="rId47" display="http://www.espn.com/mlb/team/_/name/nyy/new-york-yankees" xr:uid="{00000000-0004-0000-0000-00002E000000}"/>
    <hyperlink ref="B98" r:id="rId48" display="http://www.espn.com/mlb/team/_/name/nyy/new-york-yankees" xr:uid="{00000000-0004-0000-0000-00002F000000}"/>
    <hyperlink ref="B100" r:id="rId49" display="http://www.espn.com/mlb/team/_/name/nyy/new-york-yankees" xr:uid="{00000000-0004-0000-0000-000030000000}"/>
    <hyperlink ref="B102" r:id="rId50" display="http://www.espn.com/mlb/team/_/name/nyy/new-york-yankees" xr:uid="{00000000-0004-0000-0000-000031000000}"/>
    <hyperlink ref="B104" r:id="rId51" display="http://www.espn.com/mlb/team/_/name/tb/tampa-bay-rays" xr:uid="{00000000-0004-0000-0000-000032000000}"/>
    <hyperlink ref="B106" r:id="rId52" display="http://www.espn.com/mlb/team/_/name/tb/tampa-bay-rays" xr:uid="{00000000-0004-0000-0000-000033000000}"/>
  </hyperlinks>
  <pageMargins left="0.7" right="0.7" top="0.75" bottom="0.75" header="0.3" footer="0.3"/>
  <drawing r:id="rId5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P30"/>
  <sheetViews>
    <sheetView workbookViewId="0">
      <selection activeCell="I15" sqref="I15"/>
    </sheetView>
  </sheetViews>
  <sheetFormatPr defaultRowHeight="14.5" x14ac:dyDescent="0.35"/>
  <cols>
    <col min="2" max="2" width="12.81640625" customWidth="1"/>
    <col min="4" max="4" width="11" customWidth="1"/>
  </cols>
  <sheetData>
    <row r="1" spans="2:16" ht="15" thickBot="1" x14ac:dyDescent="0.4">
      <c r="B1" t="s">
        <v>138</v>
      </c>
    </row>
    <row r="2" spans="2:16" ht="15" thickBot="1" x14ac:dyDescent="0.4">
      <c r="B2" s="21" t="s">
        <v>51</v>
      </c>
      <c r="C2" s="21" t="s">
        <v>52</v>
      </c>
      <c r="D2" s="21" t="s">
        <v>53</v>
      </c>
      <c r="E2" s="21" t="s">
        <v>54</v>
      </c>
      <c r="F2" s="21" t="s">
        <v>55</v>
      </c>
      <c r="G2" s="21" t="s">
        <v>56</v>
      </c>
      <c r="H2" s="21" t="s">
        <v>57</v>
      </c>
      <c r="I2" s="21" t="s">
        <v>58</v>
      </c>
      <c r="J2" s="21" t="s">
        <v>59</v>
      </c>
      <c r="K2" s="21" t="s">
        <v>60</v>
      </c>
      <c r="L2" s="21" t="s">
        <v>61</v>
      </c>
      <c r="M2" s="21" t="s">
        <v>62</v>
      </c>
      <c r="N2" s="21" t="s">
        <v>63</v>
      </c>
      <c r="O2" s="21" t="s">
        <v>64</v>
      </c>
      <c r="P2" s="21" t="s">
        <v>65</v>
      </c>
    </row>
    <row r="3" spans="2:16" ht="15" thickBot="1" x14ac:dyDescent="0.4">
      <c r="B3" s="22" t="s">
        <v>66</v>
      </c>
      <c r="C3" s="22">
        <v>41</v>
      </c>
      <c r="D3" s="22" t="s">
        <v>67</v>
      </c>
      <c r="E3" s="22">
        <v>38.6</v>
      </c>
      <c r="F3" s="22" t="s">
        <v>68</v>
      </c>
      <c r="G3" s="22">
        <v>78.599999999999994</v>
      </c>
      <c r="H3" s="22">
        <v>43</v>
      </c>
      <c r="I3" s="22">
        <v>168</v>
      </c>
      <c r="J3" s="22">
        <v>211</v>
      </c>
      <c r="K3" s="22">
        <v>137</v>
      </c>
      <c r="L3" s="22">
        <v>29</v>
      </c>
      <c r="M3" s="22">
        <v>50</v>
      </c>
      <c r="N3" s="22">
        <v>113</v>
      </c>
      <c r="O3" s="22">
        <v>90</v>
      </c>
      <c r="P3" s="22">
        <v>780</v>
      </c>
    </row>
    <row r="4" spans="2:16" ht="15" thickBot="1" x14ac:dyDescent="0.4">
      <c r="B4" s="22" t="s">
        <v>69</v>
      </c>
      <c r="C4" s="22">
        <v>41.9</v>
      </c>
      <c r="D4" s="22" t="s">
        <v>70</v>
      </c>
      <c r="E4" s="22">
        <v>40.200000000000003</v>
      </c>
      <c r="F4" s="22" t="s">
        <v>71</v>
      </c>
      <c r="G4" s="22">
        <v>78.8</v>
      </c>
      <c r="H4" s="22">
        <v>54</v>
      </c>
      <c r="I4" s="22">
        <v>219</v>
      </c>
      <c r="J4" s="22">
        <v>273</v>
      </c>
      <c r="K4" s="22">
        <v>243</v>
      </c>
      <c r="L4" s="22">
        <v>18</v>
      </c>
      <c r="M4" s="22">
        <v>71</v>
      </c>
      <c r="N4" s="22">
        <v>153</v>
      </c>
      <c r="O4" s="22">
        <v>128</v>
      </c>
      <c r="P4" s="22">
        <v>1249</v>
      </c>
    </row>
    <row r="5" spans="2:16" ht="15" thickBot="1" x14ac:dyDescent="0.4">
      <c r="B5" s="22" t="s">
        <v>72</v>
      </c>
      <c r="C5" s="22">
        <v>42.7</v>
      </c>
      <c r="D5" s="22" t="s">
        <v>73</v>
      </c>
      <c r="E5" s="22">
        <v>40.9</v>
      </c>
      <c r="F5" s="22" t="s">
        <v>74</v>
      </c>
      <c r="G5" s="22">
        <v>78.3</v>
      </c>
      <c r="H5" s="22">
        <v>57</v>
      </c>
      <c r="I5" s="22">
        <v>184</v>
      </c>
      <c r="J5" s="22">
        <v>241</v>
      </c>
      <c r="K5" s="22">
        <v>194</v>
      </c>
      <c r="L5" s="22">
        <v>18</v>
      </c>
      <c r="M5" s="22">
        <v>76</v>
      </c>
      <c r="N5" s="22">
        <v>136</v>
      </c>
      <c r="O5" s="22">
        <v>123</v>
      </c>
      <c r="P5" s="22">
        <v>962</v>
      </c>
    </row>
    <row r="6" spans="2:16" ht="15" thickBot="1" x14ac:dyDescent="0.4">
      <c r="B6" s="22" t="s">
        <v>75</v>
      </c>
      <c r="C6" s="22">
        <v>44.9</v>
      </c>
      <c r="D6" s="22" t="s">
        <v>76</v>
      </c>
      <c r="E6" s="22">
        <v>38.700000000000003</v>
      </c>
      <c r="F6" s="22" t="s">
        <v>77</v>
      </c>
      <c r="G6" s="22">
        <v>76.7</v>
      </c>
      <c r="H6" s="22">
        <v>41</v>
      </c>
      <c r="I6" s="22">
        <v>147</v>
      </c>
      <c r="J6" s="22">
        <v>188</v>
      </c>
      <c r="K6" s="22">
        <v>162</v>
      </c>
      <c r="L6" s="22">
        <v>11</v>
      </c>
      <c r="M6" s="22">
        <v>54</v>
      </c>
      <c r="N6" s="22">
        <v>117</v>
      </c>
      <c r="O6" s="22">
        <v>112</v>
      </c>
      <c r="P6" s="22">
        <v>958</v>
      </c>
    </row>
    <row r="7" spans="2:16" ht="15" thickBot="1" x14ac:dyDescent="0.4">
      <c r="B7" s="22" t="s">
        <v>78</v>
      </c>
      <c r="C7" s="22">
        <v>48.2</v>
      </c>
      <c r="D7" s="22" t="s">
        <v>79</v>
      </c>
      <c r="E7" s="22">
        <v>40.4</v>
      </c>
      <c r="F7" s="22" t="s">
        <v>80</v>
      </c>
      <c r="G7" s="22">
        <v>82.5</v>
      </c>
      <c r="H7" s="22">
        <v>53</v>
      </c>
      <c r="I7" s="22">
        <v>187</v>
      </c>
      <c r="J7" s="22">
        <v>240</v>
      </c>
      <c r="K7" s="22">
        <v>267</v>
      </c>
      <c r="L7" s="22">
        <v>21</v>
      </c>
      <c r="M7" s="22">
        <v>83</v>
      </c>
      <c r="N7" s="22">
        <v>169</v>
      </c>
      <c r="O7" s="22">
        <v>156</v>
      </c>
      <c r="P7" s="22">
        <v>1779</v>
      </c>
    </row>
    <row r="8" spans="2:16" ht="15" thickBot="1" x14ac:dyDescent="0.4">
      <c r="B8" s="22" t="s">
        <v>81</v>
      </c>
      <c r="C8" s="22">
        <v>46</v>
      </c>
      <c r="D8" s="22" t="s">
        <v>82</v>
      </c>
      <c r="E8" s="22">
        <v>37.5</v>
      </c>
      <c r="F8" s="22" t="s">
        <v>83</v>
      </c>
      <c r="G8" s="22">
        <v>79.099999999999994</v>
      </c>
      <c r="H8" s="22">
        <v>61</v>
      </c>
      <c r="I8" s="22">
        <v>302</v>
      </c>
      <c r="J8" s="22">
        <v>363</v>
      </c>
      <c r="K8" s="22">
        <v>373</v>
      </c>
      <c r="L8" s="22">
        <v>36</v>
      </c>
      <c r="M8" s="22">
        <v>97</v>
      </c>
      <c r="N8" s="22">
        <v>160</v>
      </c>
      <c r="O8" s="22">
        <v>214</v>
      </c>
      <c r="P8" s="22">
        <v>1857</v>
      </c>
    </row>
    <row r="9" spans="2:16" ht="15" thickBot="1" x14ac:dyDescent="0.4">
      <c r="B9" s="22" t="s">
        <v>84</v>
      </c>
      <c r="C9" s="22">
        <v>47.5</v>
      </c>
      <c r="D9" s="22" t="s">
        <v>85</v>
      </c>
      <c r="E9" s="22">
        <v>35.1</v>
      </c>
      <c r="F9" s="22" t="s">
        <v>86</v>
      </c>
      <c r="G9" s="22">
        <v>80.8</v>
      </c>
      <c r="H9" s="22">
        <v>89</v>
      </c>
      <c r="I9" s="22">
        <v>322</v>
      </c>
      <c r="J9" s="22">
        <v>411</v>
      </c>
      <c r="K9" s="22">
        <v>448</v>
      </c>
      <c r="L9" s="22">
        <v>58</v>
      </c>
      <c r="M9" s="22">
        <v>121</v>
      </c>
      <c r="N9" s="22">
        <v>226</v>
      </c>
      <c r="O9" s="22">
        <v>224</v>
      </c>
      <c r="P9" s="22">
        <v>2099</v>
      </c>
    </row>
    <row r="10" spans="2:16" ht="15" thickBot="1" x14ac:dyDescent="0.4">
      <c r="B10" s="22" t="s">
        <v>87</v>
      </c>
      <c r="C10" s="22">
        <v>45.5</v>
      </c>
      <c r="D10" s="22" t="s">
        <v>88</v>
      </c>
      <c r="E10" s="22">
        <v>35.299999999999997</v>
      </c>
      <c r="F10" s="22" t="s">
        <v>89</v>
      </c>
      <c r="G10" s="22">
        <v>84.2</v>
      </c>
      <c r="H10" s="22">
        <v>52</v>
      </c>
      <c r="I10" s="22">
        <v>190</v>
      </c>
      <c r="J10" s="22">
        <v>242</v>
      </c>
      <c r="K10" s="22">
        <v>347</v>
      </c>
      <c r="L10" s="22">
        <v>23</v>
      </c>
      <c r="M10" s="22">
        <v>71</v>
      </c>
      <c r="N10" s="22">
        <v>126</v>
      </c>
      <c r="O10" s="22">
        <v>194</v>
      </c>
      <c r="P10" s="22">
        <v>1741</v>
      </c>
    </row>
    <row r="11" spans="2:16" ht="15" thickBot="1" x14ac:dyDescent="0.4">
      <c r="B11" s="22" t="s">
        <v>90</v>
      </c>
      <c r="C11" s="22">
        <v>47.9</v>
      </c>
      <c r="D11" s="22" t="s">
        <v>91</v>
      </c>
      <c r="E11" s="22">
        <v>34</v>
      </c>
      <c r="F11" s="22" t="s">
        <v>92</v>
      </c>
      <c r="G11" s="22">
        <v>89.1</v>
      </c>
      <c r="H11" s="22">
        <v>21</v>
      </c>
      <c r="I11" s="22">
        <v>56</v>
      </c>
      <c r="J11" s="22">
        <v>77</v>
      </c>
      <c r="K11" s="22">
        <v>71</v>
      </c>
      <c r="L11" s="22">
        <v>9</v>
      </c>
      <c r="M11" s="22">
        <v>20</v>
      </c>
      <c r="N11" s="22">
        <v>38</v>
      </c>
      <c r="O11" s="22">
        <v>48</v>
      </c>
      <c r="P11" s="22">
        <v>523</v>
      </c>
    </row>
    <row r="12" spans="2:16" ht="15" thickBot="1" x14ac:dyDescent="0.4">
      <c r="B12" s="30" t="s">
        <v>93</v>
      </c>
      <c r="C12" s="23">
        <v>45.3</v>
      </c>
      <c r="D12" s="23" t="s">
        <v>94</v>
      </c>
      <c r="E12" s="23">
        <v>37.799999999999997</v>
      </c>
      <c r="F12" s="23" t="s">
        <v>95</v>
      </c>
      <c r="G12" s="23">
        <v>81.099999999999994</v>
      </c>
      <c r="H12" s="23">
        <v>471</v>
      </c>
      <c r="I12" s="23">
        <v>1775</v>
      </c>
      <c r="J12" s="23">
        <v>2246</v>
      </c>
      <c r="K12" s="23">
        <v>2242</v>
      </c>
      <c r="L12" s="23">
        <v>223</v>
      </c>
      <c r="M12" s="23">
        <v>643</v>
      </c>
      <c r="N12" s="23">
        <v>1238</v>
      </c>
      <c r="O12" s="23">
        <v>1289</v>
      </c>
      <c r="P12" s="23">
        <v>11948</v>
      </c>
    </row>
    <row r="14" spans="2:16" x14ac:dyDescent="0.35">
      <c r="B14" s="28" t="s">
        <v>139</v>
      </c>
    </row>
    <row r="15" spans="2:16" ht="15" thickBot="1" x14ac:dyDescent="0.4">
      <c r="B15" s="24" t="s">
        <v>50</v>
      </c>
      <c r="C15" s="20"/>
    </row>
    <row r="16" spans="2:16" ht="15" thickBot="1" x14ac:dyDescent="0.4">
      <c r="B16" s="25" t="s">
        <v>51</v>
      </c>
      <c r="C16" s="25" t="s">
        <v>52</v>
      </c>
      <c r="D16" s="25" t="s">
        <v>53</v>
      </c>
      <c r="E16" s="25" t="s">
        <v>54</v>
      </c>
      <c r="F16" s="25" t="s">
        <v>55</v>
      </c>
      <c r="G16" s="25" t="s">
        <v>56</v>
      </c>
      <c r="H16" s="25" t="s">
        <v>57</v>
      </c>
      <c r="I16" s="25" t="s">
        <v>58</v>
      </c>
      <c r="J16" s="25" t="s">
        <v>59</v>
      </c>
      <c r="K16" s="25" t="s">
        <v>60</v>
      </c>
      <c r="L16" s="25" t="s">
        <v>61</v>
      </c>
      <c r="M16" s="25" t="s">
        <v>62</v>
      </c>
      <c r="N16" s="25" t="s">
        <v>63</v>
      </c>
      <c r="O16" s="25" t="s">
        <v>64</v>
      </c>
      <c r="P16" s="25" t="s">
        <v>65</v>
      </c>
    </row>
    <row r="17" spans="2:16" ht="15" thickBot="1" x14ac:dyDescent="0.4">
      <c r="B17" s="26" t="s">
        <v>96</v>
      </c>
      <c r="C17" s="26">
        <v>43</v>
      </c>
      <c r="D17" s="26" t="s">
        <v>97</v>
      </c>
      <c r="E17" s="26">
        <v>28.8</v>
      </c>
      <c r="F17" s="26" t="s">
        <v>98</v>
      </c>
      <c r="G17" s="26">
        <v>87.3</v>
      </c>
      <c r="H17" s="26">
        <v>70</v>
      </c>
      <c r="I17" s="26">
        <v>278</v>
      </c>
      <c r="J17" s="26">
        <v>348</v>
      </c>
      <c r="K17" s="26">
        <v>192</v>
      </c>
      <c r="L17" s="26">
        <v>75</v>
      </c>
      <c r="M17" s="26">
        <v>78</v>
      </c>
      <c r="N17" s="26">
        <v>122</v>
      </c>
      <c r="O17" s="26">
        <v>232</v>
      </c>
      <c r="P17" s="26">
        <v>1624</v>
      </c>
    </row>
    <row r="18" spans="2:16" ht="15" thickBot="1" x14ac:dyDescent="0.4">
      <c r="B18" s="26" t="s">
        <v>99</v>
      </c>
      <c r="C18" s="26">
        <v>47.6</v>
      </c>
      <c r="D18" s="26" t="s">
        <v>100</v>
      </c>
      <c r="E18" s="26">
        <v>42.2</v>
      </c>
      <c r="F18" s="26" t="s">
        <v>101</v>
      </c>
      <c r="G18" s="26">
        <v>86.3</v>
      </c>
      <c r="H18" s="26">
        <v>77</v>
      </c>
      <c r="I18" s="26">
        <v>405</v>
      </c>
      <c r="J18" s="26">
        <v>482</v>
      </c>
      <c r="K18" s="26">
        <v>205</v>
      </c>
      <c r="L18" s="26">
        <v>53</v>
      </c>
      <c r="M18" s="26">
        <v>96</v>
      </c>
      <c r="N18" s="26">
        <v>134</v>
      </c>
      <c r="O18" s="26">
        <v>225</v>
      </c>
      <c r="P18" s="26">
        <v>1871</v>
      </c>
    </row>
    <row r="19" spans="2:16" ht="15" thickBot="1" x14ac:dyDescent="0.4">
      <c r="B19" s="26" t="s">
        <v>102</v>
      </c>
      <c r="C19" s="26">
        <v>47.6</v>
      </c>
      <c r="D19" s="26" t="s">
        <v>103</v>
      </c>
      <c r="E19" s="26">
        <v>36.5</v>
      </c>
      <c r="F19" s="26" t="s">
        <v>104</v>
      </c>
      <c r="G19" s="26">
        <v>90</v>
      </c>
      <c r="H19" s="26">
        <v>105</v>
      </c>
      <c r="I19" s="26">
        <v>518</v>
      </c>
      <c r="J19" s="26">
        <v>623</v>
      </c>
      <c r="K19" s="26">
        <v>231</v>
      </c>
      <c r="L19" s="26">
        <v>84</v>
      </c>
      <c r="M19" s="26">
        <v>112</v>
      </c>
      <c r="N19" s="26">
        <v>171</v>
      </c>
      <c r="O19" s="26">
        <v>271</v>
      </c>
      <c r="P19" s="26">
        <v>2472</v>
      </c>
    </row>
    <row r="20" spans="2:16" ht="15" thickBot="1" x14ac:dyDescent="0.4">
      <c r="B20" s="26" t="s">
        <v>105</v>
      </c>
      <c r="C20" s="26">
        <v>46.2</v>
      </c>
      <c r="D20" s="26" t="s">
        <v>106</v>
      </c>
      <c r="E20" s="26">
        <v>35</v>
      </c>
      <c r="F20" s="26" t="s">
        <v>107</v>
      </c>
      <c r="G20" s="26">
        <v>88</v>
      </c>
      <c r="H20" s="26">
        <v>57</v>
      </c>
      <c r="I20" s="26">
        <v>476</v>
      </c>
      <c r="J20" s="26">
        <v>533</v>
      </c>
      <c r="K20" s="26">
        <v>214</v>
      </c>
      <c r="L20" s="26">
        <v>76</v>
      </c>
      <c r="M20" s="26">
        <v>88</v>
      </c>
      <c r="N20" s="26">
        <v>159</v>
      </c>
      <c r="O20" s="26">
        <v>218</v>
      </c>
      <c r="P20" s="26">
        <v>2161</v>
      </c>
    </row>
    <row r="21" spans="2:16" ht="15" thickBot="1" x14ac:dyDescent="0.4">
      <c r="B21" s="26" t="s">
        <v>108</v>
      </c>
      <c r="C21" s="26">
        <v>49.6</v>
      </c>
      <c r="D21" s="26" t="s">
        <v>109</v>
      </c>
      <c r="E21" s="26">
        <v>38.700000000000003</v>
      </c>
      <c r="F21" s="26" t="s">
        <v>110</v>
      </c>
      <c r="G21" s="26">
        <v>86</v>
      </c>
      <c r="H21" s="26">
        <v>40</v>
      </c>
      <c r="I21" s="26">
        <v>487</v>
      </c>
      <c r="J21" s="26">
        <v>527</v>
      </c>
      <c r="K21" s="26">
        <v>231</v>
      </c>
      <c r="L21" s="26">
        <v>77</v>
      </c>
      <c r="M21" s="26">
        <v>88</v>
      </c>
      <c r="N21" s="26">
        <v>133</v>
      </c>
      <c r="O21" s="26">
        <v>248</v>
      </c>
      <c r="P21" s="26">
        <v>1850</v>
      </c>
    </row>
    <row r="22" spans="2:16" ht="15" thickBot="1" x14ac:dyDescent="0.4">
      <c r="B22" s="26" t="s">
        <v>111</v>
      </c>
      <c r="C22" s="26">
        <v>51</v>
      </c>
      <c r="D22" s="26" t="s">
        <v>112</v>
      </c>
      <c r="E22" s="26">
        <v>41.6</v>
      </c>
      <c r="F22" s="26" t="s">
        <v>113</v>
      </c>
      <c r="G22" s="26">
        <v>90.5</v>
      </c>
      <c r="H22" s="26">
        <v>46</v>
      </c>
      <c r="I22" s="26">
        <v>594</v>
      </c>
      <c r="J22" s="26">
        <v>640</v>
      </c>
      <c r="K22" s="26">
        <v>374</v>
      </c>
      <c r="L22" s="26">
        <v>105</v>
      </c>
      <c r="M22" s="26">
        <v>116</v>
      </c>
      <c r="N22" s="26">
        <v>143</v>
      </c>
      <c r="O22" s="26">
        <v>280</v>
      </c>
      <c r="P22" s="26">
        <v>2280</v>
      </c>
    </row>
    <row r="23" spans="2:16" ht="15" thickBot="1" x14ac:dyDescent="0.4">
      <c r="B23" s="26" t="s">
        <v>114</v>
      </c>
      <c r="C23" s="26">
        <v>50.3</v>
      </c>
      <c r="D23" s="26" t="s">
        <v>115</v>
      </c>
      <c r="E23" s="26">
        <v>39.1</v>
      </c>
      <c r="F23" s="26" t="s">
        <v>116</v>
      </c>
      <c r="G23" s="26">
        <v>87.3</v>
      </c>
      <c r="H23" s="26">
        <v>58</v>
      </c>
      <c r="I23" s="26">
        <v>540</v>
      </c>
      <c r="J23" s="26">
        <v>598</v>
      </c>
      <c r="K23" s="26">
        <v>445</v>
      </c>
      <c r="L23" s="26">
        <v>59</v>
      </c>
      <c r="M23" s="26">
        <v>103</v>
      </c>
      <c r="N23" s="26">
        <v>174</v>
      </c>
      <c r="O23" s="26">
        <v>285</v>
      </c>
      <c r="P23" s="26">
        <v>2593</v>
      </c>
    </row>
    <row r="24" spans="2:16" ht="15" thickBot="1" x14ac:dyDescent="0.4">
      <c r="B24" s="26" t="s">
        <v>117</v>
      </c>
      <c r="C24" s="26">
        <v>51</v>
      </c>
      <c r="D24" s="26" t="s">
        <v>118</v>
      </c>
      <c r="E24" s="26">
        <v>40.299999999999997</v>
      </c>
      <c r="F24" s="26" t="s">
        <v>119</v>
      </c>
      <c r="G24" s="26">
        <v>85.4</v>
      </c>
      <c r="H24" s="26">
        <v>16</v>
      </c>
      <c r="I24" s="26">
        <v>162</v>
      </c>
      <c r="J24" s="26">
        <v>178</v>
      </c>
      <c r="K24" s="26">
        <v>110</v>
      </c>
      <c r="L24" s="26">
        <v>25</v>
      </c>
      <c r="M24" s="26">
        <v>24</v>
      </c>
      <c r="N24" s="26">
        <v>40</v>
      </c>
      <c r="O24" s="26">
        <v>74</v>
      </c>
      <c r="P24" s="26">
        <v>686</v>
      </c>
    </row>
    <row r="25" spans="2:16" ht="15" thickBot="1" x14ac:dyDescent="0.4">
      <c r="B25" s="26" t="s">
        <v>120</v>
      </c>
      <c r="C25" s="26">
        <v>50.5</v>
      </c>
      <c r="D25" s="26" t="s">
        <v>121</v>
      </c>
      <c r="E25" s="26">
        <v>38.6</v>
      </c>
      <c r="F25" s="26" t="s">
        <v>122</v>
      </c>
      <c r="G25" s="26">
        <v>89.8</v>
      </c>
      <c r="H25" s="26">
        <v>45</v>
      </c>
      <c r="I25" s="26">
        <v>544</v>
      </c>
      <c r="J25" s="26">
        <v>589</v>
      </c>
      <c r="K25" s="26">
        <v>361</v>
      </c>
      <c r="L25" s="26">
        <v>85</v>
      </c>
      <c r="M25" s="26">
        <v>69</v>
      </c>
      <c r="N25" s="26">
        <v>137</v>
      </c>
      <c r="O25" s="26">
        <v>250</v>
      </c>
      <c r="P25" s="26">
        <v>2029</v>
      </c>
    </row>
    <row r="26" spans="2:16" ht="15" thickBot="1" x14ac:dyDescent="0.4">
      <c r="B26" s="26" t="s">
        <v>123</v>
      </c>
      <c r="C26" s="26">
        <v>53.7</v>
      </c>
      <c r="D26" s="26" t="s">
        <v>124</v>
      </c>
      <c r="E26" s="26">
        <v>37.5</v>
      </c>
      <c r="F26" s="26" t="s">
        <v>125</v>
      </c>
      <c r="G26" s="26">
        <v>87.5</v>
      </c>
      <c r="H26" s="26">
        <v>39</v>
      </c>
      <c r="I26" s="26">
        <v>474</v>
      </c>
      <c r="J26" s="26">
        <v>513</v>
      </c>
      <c r="K26" s="26">
        <v>300</v>
      </c>
      <c r="L26" s="26">
        <v>99</v>
      </c>
      <c r="M26" s="26">
        <v>66</v>
      </c>
      <c r="N26" s="26">
        <v>117</v>
      </c>
      <c r="O26" s="26">
        <v>138</v>
      </c>
      <c r="P26" s="26">
        <v>1555</v>
      </c>
    </row>
    <row r="27" spans="2:16" ht="15" thickBot="1" x14ac:dyDescent="0.4">
      <c r="B27" s="26" t="s">
        <v>126</v>
      </c>
      <c r="C27" s="26">
        <v>51.6</v>
      </c>
      <c r="D27" s="26" t="s">
        <v>127</v>
      </c>
      <c r="E27" s="26">
        <v>41.9</v>
      </c>
      <c r="F27" s="26" t="s">
        <v>128</v>
      </c>
      <c r="G27" s="26">
        <v>88.9</v>
      </c>
      <c r="H27" s="26">
        <v>31</v>
      </c>
      <c r="I27" s="26">
        <v>433</v>
      </c>
      <c r="J27" s="26">
        <v>464</v>
      </c>
      <c r="K27" s="26">
        <v>366</v>
      </c>
      <c r="L27" s="26">
        <v>119</v>
      </c>
      <c r="M27" s="26">
        <v>50</v>
      </c>
      <c r="N27" s="26">
        <v>133</v>
      </c>
      <c r="O27" s="26">
        <v>207</v>
      </c>
      <c r="P27" s="26">
        <v>1792</v>
      </c>
    </row>
    <row r="28" spans="2:16" ht="15" thickBot="1" x14ac:dyDescent="0.4">
      <c r="B28" s="26" t="s">
        <v>129</v>
      </c>
      <c r="C28" s="26">
        <v>52.1</v>
      </c>
      <c r="D28" s="26" t="s">
        <v>130</v>
      </c>
      <c r="E28" s="26">
        <v>35.299999999999997</v>
      </c>
      <c r="F28" s="26" t="s">
        <v>131</v>
      </c>
      <c r="G28" s="26">
        <v>88.5</v>
      </c>
      <c r="H28" s="26">
        <v>33</v>
      </c>
      <c r="I28" s="26">
        <v>464</v>
      </c>
      <c r="J28" s="26">
        <v>497</v>
      </c>
      <c r="K28" s="26">
        <v>457</v>
      </c>
      <c r="L28" s="26">
        <v>84</v>
      </c>
      <c r="M28" s="26">
        <v>58</v>
      </c>
      <c r="N28" s="26">
        <v>155</v>
      </c>
      <c r="O28" s="26">
        <v>225</v>
      </c>
      <c r="P28" s="26">
        <v>2027</v>
      </c>
    </row>
    <row r="29" spans="2:16" ht="15" thickBot="1" x14ac:dyDescent="0.4">
      <c r="B29" s="26" t="s">
        <v>132</v>
      </c>
      <c r="C29" s="26">
        <v>52</v>
      </c>
      <c r="D29" s="26" t="s">
        <v>133</v>
      </c>
      <c r="E29" s="26">
        <v>44.7</v>
      </c>
      <c r="F29" s="26" t="s">
        <v>134</v>
      </c>
      <c r="G29" s="26">
        <v>87.3</v>
      </c>
      <c r="H29" s="26">
        <v>7</v>
      </c>
      <c r="I29" s="26">
        <v>112</v>
      </c>
      <c r="J29" s="26">
        <v>119</v>
      </c>
      <c r="K29" s="26">
        <v>89</v>
      </c>
      <c r="L29" s="26">
        <v>23</v>
      </c>
      <c r="M29" s="26">
        <v>13</v>
      </c>
      <c r="N29" s="26">
        <v>36</v>
      </c>
      <c r="O29" s="26">
        <v>55</v>
      </c>
      <c r="P29" s="26">
        <v>495</v>
      </c>
    </row>
    <row r="30" spans="2:16" x14ac:dyDescent="0.35">
      <c r="B30" s="29" t="s">
        <v>135</v>
      </c>
      <c r="C30" s="27">
        <v>49.3</v>
      </c>
      <c r="D30" s="31" t="s">
        <v>136</v>
      </c>
      <c r="E30" s="27">
        <v>38.200000000000003</v>
      </c>
      <c r="F30" s="27" t="s">
        <v>137</v>
      </c>
      <c r="G30" s="27">
        <v>88.2</v>
      </c>
      <c r="H30" s="27">
        <v>624</v>
      </c>
      <c r="I30" s="27">
        <v>5487</v>
      </c>
      <c r="J30" s="27">
        <v>6111</v>
      </c>
      <c r="K30" s="27">
        <v>3575</v>
      </c>
      <c r="L30" s="27">
        <v>964</v>
      </c>
      <c r="M30" s="27">
        <v>961</v>
      </c>
      <c r="N30" s="27">
        <v>1654</v>
      </c>
      <c r="O30" s="27">
        <v>2708</v>
      </c>
      <c r="P30" s="27">
        <v>23435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AB33"/>
  <sheetViews>
    <sheetView topLeftCell="H7" workbookViewId="0">
      <selection activeCell="Y24" sqref="Y24"/>
    </sheetView>
  </sheetViews>
  <sheetFormatPr defaultRowHeight="14.5" x14ac:dyDescent="0.35"/>
  <cols>
    <col min="2" max="2" width="12.81640625" customWidth="1"/>
    <col min="4" max="4" width="11" customWidth="1"/>
    <col min="19" max="19" width="12" bestFit="1" customWidth="1"/>
    <col min="21" max="21" width="8.81640625" customWidth="1"/>
    <col min="27" max="27" width="10.36328125" customWidth="1"/>
  </cols>
  <sheetData>
    <row r="1" spans="2:28" ht="15" thickBot="1" x14ac:dyDescent="0.4">
      <c r="B1" t="s">
        <v>138</v>
      </c>
    </row>
    <row r="2" spans="2:28" ht="15" thickBot="1" x14ac:dyDescent="0.4">
      <c r="B2" s="21" t="s">
        <v>51</v>
      </c>
      <c r="C2" s="21" t="s">
        <v>52</v>
      </c>
      <c r="D2" s="21" t="s">
        <v>53</v>
      </c>
      <c r="E2" s="21" t="s">
        <v>54</v>
      </c>
      <c r="F2" s="21" t="s">
        <v>55</v>
      </c>
      <c r="G2" s="21" t="s">
        <v>56</v>
      </c>
      <c r="H2" s="21" t="s">
        <v>57</v>
      </c>
      <c r="I2" s="21" t="s">
        <v>58</v>
      </c>
      <c r="J2" s="21" t="s">
        <v>59</v>
      </c>
      <c r="K2" s="21" t="s">
        <v>60</v>
      </c>
      <c r="L2" s="21" t="s">
        <v>61</v>
      </c>
      <c r="M2" s="21" t="s">
        <v>62</v>
      </c>
      <c r="N2" s="21" t="s">
        <v>63</v>
      </c>
      <c r="O2" s="21" t="s">
        <v>64</v>
      </c>
      <c r="P2" s="21" t="s">
        <v>65</v>
      </c>
    </row>
    <row r="3" spans="2:28" ht="15" thickBot="1" x14ac:dyDescent="0.4">
      <c r="B3" s="22" t="s">
        <v>66</v>
      </c>
      <c r="C3" s="22">
        <v>41</v>
      </c>
      <c r="D3" s="22" t="s">
        <v>67</v>
      </c>
      <c r="E3" s="22">
        <v>38.6</v>
      </c>
      <c r="F3" s="22" t="s">
        <v>68</v>
      </c>
      <c r="G3" s="22">
        <v>78.599999999999994</v>
      </c>
      <c r="H3" s="22">
        <v>43</v>
      </c>
      <c r="I3" s="22">
        <v>168</v>
      </c>
      <c r="J3" s="22">
        <v>211</v>
      </c>
      <c r="K3" s="22">
        <v>137</v>
      </c>
      <c r="L3" s="22">
        <v>29</v>
      </c>
      <c r="M3" s="22">
        <v>50</v>
      </c>
      <c r="N3" s="22">
        <v>113</v>
      </c>
      <c r="O3" s="22">
        <v>90</v>
      </c>
      <c r="P3" s="22">
        <v>780</v>
      </c>
    </row>
    <row r="4" spans="2:28" ht="15" thickBot="1" x14ac:dyDescent="0.4">
      <c r="B4" s="22" t="s">
        <v>69</v>
      </c>
      <c r="C4" s="22">
        <v>41.9</v>
      </c>
      <c r="D4" s="22" t="s">
        <v>70</v>
      </c>
      <c r="E4" s="22">
        <v>40.200000000000003</v>
      </c>
      <c r="F4" s="22" t="s">
        <v>71</v>
      </c>
      <c r="G4" s="22">
        <v>78.8</v>
      </c>
      <c r="H4" s="22">
        <v>54</v>
      </c>
      <c r="I4" s="22">
        <v>219</v>
      </c>
      <c r="J4" s="22">
        <v>273</v>
      </c>
      <c r="K4" s="22">
        <v>243</v>
      </c>
      <c r="L4" s="22">
        <v>18</v>
      </c>
      <c r="M4" s="22">
        <v>71</v>
      </c>
      <c r="N4" s="22">
        <v>153</v>
      </c>
      <c r="O4" s="22">
        <v>128</v>
      </c>
      <c r="P4" s="22">
        <v>1249</v>
      </c>
    </row>
    <row r="5" spans="2:28" ht="15" thickBot="1" x14ac:dyDescent="0.4">
      <c r="B5" s="22" t="s">
        <v>72</v>
      </c>
      <c r="C5" s="22">
        <v>42.7</v>
      </c>
      <c r="D5" s="22" t="s">
        <v>73</v>
      </c>
      <c r="E5" s="22">
        <v>40.9</v>
      </c>
      <c r="F5" s="22" t="s">
        <v>74</v>
      </c>
      <c r="G5" s="22">
        <v>78.3</v>
      </c>
      <c r="H5" s="22">
        <v>57</v>
      </c>
      <c r="I5" s="22">
        <v>184</v>
      </c>
      <c r="J5" s="22">
        <v>241</v>
      </c>
      <c r="K5" s="22">
        <v>194</v>
      </c>
      <c r="L5" s="22">
        <v>18</v>
      </c>
      <c r="M5" s="22">
        <v>76</v>
      </c>
      <c r="N5" s="22">
        <v>136</v>
      </c>
      <c r="O5" s="22">
        <v>123</v>
      </c>
      <c r="P5" s="22">
        <v>962</v>
      </c>
    </row>
    <row r="6" spans="2:28" ht="15" thickBot="1" x14ac:dyDescent="0.4">
      <c r="B6" s="22" t="s">
        <v>75</v>
      </c>
      <c r="C6" s="22">
        <v>44.9</v>
      </c>
      <c r="D6" s="22" t="s">
        <v>76</v>
      </c>
      <c r="E6" s="22">
        <v>38.700000000000003</v>
      </c>
      <c r="F6" s="22" t="s">
        <v>77</v>
      </c>
      <c r="G6" s="22">
        <v>76.7</v>
      </c>
      <c r="H6" s="22">
        <v>41</v>
      </c>
      <c r="I6" s="22">
        <v>147</v>
      </c>
      <c r="J6" s="22">
        <v>188</v>
      </c>
      <c r="K6" s="22">
        <v>162</v>
      </c>
      <c r="L6" s="22">
        <v>11</v>
      </c>
      <c r="M6" s="22">
        <v>54</v>
      </c>
      <c r="N6" s="22">
        <v>117</v>
      </c>
      <c r="O6" s="22">
        <v>112</v>
      </c>
      <c r="P6" s="22">
        <v>958</v>
      </c>
    </row>
    <row r="7" spans="2:28" ht="15" thickBot="1" x14ac:dyDescent="0.4">
      <c r="B7" s="22" t="s">
        <v>78</v>
      </c>
      <c r="C7" s="22">
        <v>48.2</v>
      </c>
      <c r="D7" s="22" t="s">
        <v>79</v>
      </c>
      <c r="E7" s="22">
        <v>40.4</v>
      </c>
      <c r="F7" s="22" t="s">
        <v>80</v>
      </c>
      <c r="G7" s="22">
        <v>82.5</v>
      </c>
      <c r="H7" s="22">
        <v>53</v>
      </c>
      <c r="I7" s="22">
        <v>187</v>
      </c>
      <c r="J7" s="22">
        <v>240</v>
      </c>
      <c r="K7" s="22">
        <v>267</v>
      </c>
      <c r="L7" s="22">
        <v>21</v>
      </c>
      <c r="M7" s="22">
        <v>83</v>
      </c>
      <c r="N7" s="22">
        <v>169</v>
      </c>
      <c r="O7" s="22">
        <v>156</v>
      </c>
      <c r="P7" s="22">
        <v>1779</v>
      </c>
    </row>
    <row r="8" spans="2:28" ht="15" thickBot="1" x14ac:dyDescent="0.4">
      <c r="B8" s="22" t="s">
        <v>81</v>
      </c>
      <c r="C8" s="22">
        <v>46</v>
      </c>
      <c r="D8" s="22" t="s">
        <v>82</v>
      </c>
      <c r="E8" s="22">
        <v>37.5</v>
      </c>
      <c r="F8" s="22" t="s">
        <v>83</v>
      </c>
      <c r="G8" s="22">
        <v>79.099999999999994</v>
      </c>
      <c r="H8" s="22">
        <v>61</v>
      </c>
      <c r="I8" s="22">
        <v>302</v>
      </c>
      <c r="J8" s="22">
        <v>363</v>
      </c>
      <c r="K8" s="22">
        <v>373</v>
      </c>
      <c r="L8" s="22">
        <v>36</v>
      </c>
      <c r="M8" s="22">
        <v>97</v>
      </c>
      <c r="N8" s="22">
        <v>160</v>
      </c>
      <c r="O8" s="22">
        <v>214</v>
      </c>
      <c r="P8" s="22">
        <v>1857</v>
      </c>
      <c r="AA8" t="s">
        <v>186</v>
      </c>
    </row>
    <row r="9" spans="2:28" ht="15" thickBot="1" x14ac:dyDescent="0.4">
      <c r="B9" s="22" t="s">
        <v>84</v>
      </c>
      <c r="C9" s="22">
        <v>47.5</v>
      </c>
      <c r="D9" s="22" t="s">
        <v>85</v>
      </c>
      <c r="E9" s="22">
        <v>35.1</v>
      </c>
      <c r="F9" s="22" t="s">
        <v>86</v>
      </c>
      <c r="G9" s="22">
        <v>80.8</v>
      </c>
      <c r="H9" s="22">
        <v>89</v>
      </c>
      <c r="I9" s="22">
        <v>322</v>
      </c>
      <c r="J9" s="22">
        <v>411</v>
      </c>
      <c r="K9" s="22">
        <v>448</v>
      </c>
      <c r="L9" s="22">
        <v>58</v>
      </c>
      <c r="M9" s="22">
        <v>121</v>
      </c>
      <c r="N9" s="22">
        <v>226</v>
      </c>
      <c r="O9" s="22">
        <v>224</v>
      </c>
      <c r="P9" s="22">
        <v>2099</v>
      </c>
      <c r="X9" t="s">
        <v>183</v>
      </c>
      <c r="Y9" t="s">
        <v>184</v>
      </c>
      <c r="AA9" t="s">
        <v>176</v>
      </c>
      <c r="AB9" t="s">
        <v>177</v>
      </c>
    </row>
    <row r="10" spans="2:28" ht="15" thickBot="1" x14ac:dyDescent="0.4">
      <c r="B10" s="22" t="s">
        <v>87</v>
      </c>
      <c r="C10" s="22">
        <v>45.5</v>
      </c>
      <c r="D10" s="22" t="s">
        <v>88</v>
      </c>
      <c r="E10" s="22">
        <v>35.299999999999997</v>
      </c>
      <c r="F10" s="22" t="s">
        <v>89</v>
      </c>
      <c r="G10" s="22">
        <v>84.2</v>
      </c>
      <c r="H10" s="22">
        <v>52</v>
      </c>
      <c r="I10" s="22">
        <v>190</v>
      </c>
      <c r="J10" s="22">
        <v>242</v>
      </c>
      <c r="K10" s="22">
        <v>347</v>
      </c>
      <c r="L10" s="22">
        <v>23</v>
      </c>
      <c r="M10" s="22">
        <v>71</v>
      </c>
      <c r="N10" s="22">
        <v>126</v>
      </c>
      <c r="O10" s="22">
        <v>194</v>
      </c>
      <c r="P10" s="22">
        <v>1741</v>
      </c>
      <c r="R10" s="37" t="s">
        <v>143</v>
      </c>
      <c r="S10" s="38"/>
      <c r="T10" s="38"/>
      <c r="U10" s="38"/>
      <c r="V10" s="15"/>
      <c r="X10">
        <v>1</v>
      </c>
      <c r="Y10">
        <v>7</v>
      </c>
      <c r="AA10">
        <v>6</v>
      </c>
      <c r="AB10">
        <v>8</v>
      </c>
    </row>
    <row r="11" spans="2:28" ht="15" thickBot="1" x14ac:dyDescent="0.4">
      <c r="B11" s="22" t="s">
        <v>90</v>
      </c>
      <c r="C11" s="22">
        <v>47.9</v>
      </c>
      <c r="D11" s="22" t="s">
        <v>91</v>
      </c>
      <c r="E11" s="22">
        <v>34</v>
      </c>
      <c r="F11" s="22" t="s">
        <v>92</v>
      </c>
      <c r="G11" s="22">
        <v>89.1</v>
      </c>
      <c r="H11" s="22">
        <v>21</v>
      </c>
      <c r="I11" s="22">
        <v>56</v>
      </c>
      <c r="J11" s="22">
        <v>77</v>
      </c>
      <c r="K11" s="22">
        <v>71</v>
      </c>
      <c r="L11" s="22">
        <v>9</v>
      </c>
      <c r="M11" s="22">
        <v>20</v>
      </c>
      <c r="N11" s="22">
        <v>38</v>
      </c>
      <c r="O11" s="22">
        <v>48</v>
      </c>
      <c r="P11" s="22">
        <v>523</v>
      </c>
      <c r="R11" s="39" t="s">
        <v>140</v>
      </c>
      <c r="S11" s="40" t="s">
        <v>141</v>
      </c>
      <c r="T11" s="40" t="s">
        <v>142</v>
      </c>
      <c r="U11" s="41" t="s">
        <v>23</v>
      </c>
      <c r="V11" s="42" t="s">
        <v>22</v>
      </c>
      <c r="X11">
        <v>2</v>
      </c>
      <c r="Y11">
        <v>8</v>
      </c>
      <c r="AA11">
        <v>5</v>
      </c>
      <c r="AB11">
        <v>9</v>
      </c>
    </row>
    <row r="12" spans="2:28" ht="15" thickBot="1" x14ac:dyDescent="0.4">
      <c r="B12" s="30" t="s">
        <v>93</v>
      </c>
      <c r="C12" s="23">
        <v>45.3</v>
      </c>
      <c r="D12" s="23" t="s">
        <v>94</v>
      </c>
      <c r="E12" s="23">
        <v>37.799999999999997</v>
      </c>
      <c r="F12" s="23" t="s">
        <v>95</v>
      </c>
      <c r="G12" s="23">
        <v>81.099999999999994</v>
      </c>
      <c r="H12" s="23">
        <v>471</v>
      </c>
      <c r="I12" s="23">
        <v>1775</v>
      </c>
      <c r="J12" s="23">
        <v>2246</v>
      </c>
      <c r="K12" s="23">
        <v>2242</v>
      </c>
      <c r="L12" s="23">
        <v>223</v>
      </c>
      <c r="M12" s="23">
        <v>643</v>
      </c>
      <c r="N12" s="23">
        <v>1238</v>
      </c>
      <c r="O12" s="23">
        <v>1289</v>
      </c>
      <c r="P12" s="23">
        <v>11948</v>
      </c>
      <c r="R12" s="43">
        <f>4348/9592</f>
        <v>0.45329441201000836</v>
      </c>
      <c r="S12" s="44">
        <f>R12*(1-R12)/9592</f>
        <v>2.5835966227117301E-5</v>
      </c>
      <c r="T12" s="44">
        <f>S12^0.5</f>
        <v>5.0829092286915076E-3</v>
      </c>
      <c r="U12" s="45">
        <f>R12+2*T12</f>
        <v>0.46346023046739138</v>
      </c>
      <c r="V12" s="46">
        <f>R12-2*T12</f>
        <v>0.44312859355262535</v>
      </c>
      <c r="X12">
        <v>3</v>
      </c>
      <c r="Y12">
        <v>9</v>
      </c>
      <c r="AA12">
        <v>4</v>
      </c>
      <c r="AB12">
        <v>10</v>
      </c>
    </row>
    <row r="13" spans="2:28" x14ac:dyDescent="0.35">
      <c r="R13" s="32">
        <v>2021</v>
      </c>
      <c r="S13" s="32"/>
      <c r="T13" s="32"/>
      <c r="U13" s="32"/>
      <c r="V13" s="32"/>
      <c r="AA13">
        <v>7</v>
      </c>
      <c r="AB13">
        <v>9</v>
      </c>
    </row>
    <row r="14" spans="2:28" x14ac:dyDescent="0.35">
      <c r="B14" s="28" t="s">
        <v>139</v>
      </c>
      <c r="R14" s="32" t="s">
        <v>140</v>
      </c>
      <c r="S14" s="32" t="s">
        <v>141</v>
      </c>
      <c r="T14" s="32" t="s">
        <v>142</v>
      </c>
      <c r="U14" s="32" t="s">
        <v>23</v>
      </c>
      <c r="V14" s="32" t="s">
        <v>22</v>
      </c>
      <c r="X14">
        <f>_xlfn.STDEV.S(X10:X12)</f>
        <v>1</v>
      </c>
      <c r="Y14">
        <f>_xlfn.STDEV.S(Y10:Y12)</f>
        <v>1</v>
      </c>
      <c r="AA14">
        <v>6</v>
      </c>
      <c r="AB14">
        <v>10</v>
      </c>
    </row>
    <row r="15" spans="2:28" ht="15" thickBot="1" x14ac:dyDescent="0.4">
      <c r="B15" s="24" t="s">
        <v>50</v>
      </c>
      <c r="C15" s="20"/>
      <c r="R15" s="58">
        <f>186/388</f>
        <v>0.47938144329896909</v>
      </c>
      <c r="S15" s="32">
        <f>R15*(1-R15)/388</f>
        <v>6.4323421422568647E-4</v>
      </c>
      <c r="T15" s="32">
        <f>S15^0.5</f>
        <v>2.5362062499443661E-2</v>
      </c>
      <c r="U15" s="33">
        <f>R15+2*T15</f>
        <v>0.53010556829785638</v>
      </c>
      <c r="V15" s="33">
        <f>R15-2*T15</f>
        <v>0.42865731830008175</v>
      </c>
      <c r="X15" t="s">
        <v>185</v>
      </c>
      <c r="AA15">
        <v>5</v>
      </c>
      <c r="AB15">
        <v>11</v>
      </c>
    </row>
    <row r="16" spans="2:28" ht="15" thickBot="1" x14ac:dyDescent="0.4">
      <c r="B16" s="25" t="s">
        <v>51</v>
      </c>
      <c r="C16" s="25" t="s">
        <v>52</v>
      </c>
      <c r="D16" s="25" t="s">
        <v>53</v>
      </c>
      <c r="E16" s="25" t="s">
        <v>54</v>
      </c>
      <c r="F16" s="25" t="s">
        <v>55</v>
      </c>
      <c r="G16" s="25" t="s">
        <v>56</v>
      </c>
      <c r="H16" s="25" t="s">
        <v>57</v>
      </c>
      <c r="I16" s="25" t="s">
        <v>58</v>
      </c>
      <c r="J16" s="25" t="s">
        <v>59</v>
      </c>
      <c r="K16" s="25" t="s">
        <v>60</v>
      </c>
      <c r="L16" s="25" t="s">
        <v>61</v>
      </c>
      <c r="M16" s="25" t="s">
        <v>62</v>
      </c>
      <c r="N16" s="25" t="s">
        <v>63</v>
      </c>
      <c r="O16" s="25" t="s">
        <v>64</v>
      </c>
      <c r="P16" s="25" t="s">
        <v>65</v>
      </c>
      <c r="S16" s="67" t="s">
        <v>182</v>
      </c>
      <c r="AA16">
        <v>8</v>
      </c>
      <c r="AB16">
        <v>10</v>
      </c>
    </row>
    <row r="17" spans="2:28" ht="15" thickBot="1" x14ac:dyDescent="0.4">
      <c r="B17" s="26" t="s">
        <v>96</v>
      </c>
      <c r="C17" s="26">
        <v>43</v>
      </c>
      <c r="D17" s="26" t="s">
        <v>97</v>
      </c>
      <c r="E17" s="26">
        <v>28.8</v>
      </c>
      <c r="F17" s="26" t="s">
        <v>98</v>
      </c>
      <c r="G17" s="26">
        <v>87.3</v>
      </c>
      <c r="H17" s="26">
        <v>70</v>
      </c>
      <c r="I17" s="26">
        <v>278</v>
      </c>
      <c r="J17" s="26">
        <v>348</v>
      </c>
      <c r="K17" s="26">
        <v>192</v>
      </c>
      <c r="L17" s="26">
        <v>75</v>
      </c>
      <c r="M17" s="26">
        <v>78</v>
      </c>
      <c r="N17" s="26">
        <v>122</v>
      </c>
      <c r="O17" s="26">
        <v>232</v>
      </c>
      <c r="P17" s="26">
        <v>1624</v>
      </c>
      <c r="AA17">
        <v>7</v>
      </c>
      <c r="AB17">
        <v>11</v>
      </c>
    </row>
    <row r="18" spans="2:28" ht="15" thickBot="1" x14ac:dyDescent="0.4">
      <c r="B18" s="26" t="s">
        <v>99</v>
      </c>
      <c r="C18" s="26">
        <v>47.6</v>
      </c>
      <c r="D18" s="26" t="s">
        <v>100</v>
      </c>
      <c r="E18" s="26">
        <v>42.2</v>
      </c>
      <c r="F18" s="26" t="s">
        <v>101</v>
      </c>
      <c r="G18" s="26">
        <v>86.3</v>
      </c>
      <c r="H18" s="26">
        <v>77</v>
      </c>
      <c r="I18" s="26">
        <v>405</v>
      </c>
      <c r="J18" s="26">
        <v>482</v>
      </c>
      <c r="K18" s="26">
        <v>205</v>
      </c>
      <c r="L18" s="26">
        <v>53</v>
      </c>
      <c r="M18" s="26">
        <v>96</v>
      </c>
      <c r="N18" s="26">
        <v>134</v>
      </c>
      <c r="O18" s="26">
        <v>225</v>
      </c>
      <c r="P18" s="26">
        <v>1871</v>
      </c>
      <c r="AA18">
        <v>6</v>
      </c>
      <c r="AB18">
        <v>12</v>
      </c>
    </row>
    <row r="19" spans="2:28" ht="15" thickBot="1" x14ac:dyDescent="0.4">
      <c r="B19" s="26" t="s">
        <v>102</v>
      </c>
      <c r="C19" s="26">
        <v>47.6</v>
      </c>
      <c r="D19" s="26" t="s">
        <v>103</v>
      </c>
      <c r="E19" s="26">
        <v>36.5</v>
      </c>
      <c r="F19" s="26" t="s">
        <v>104</v>
      </c>
      <c r="G19" s="26">
        <v>90</v>
      </c>
      <c r="H19" s="26">
        <v>105</v>
      </c>
      <c r="I19" s="26">
        <v>518</v>
      </c>
      <c r="J19" s="26">
        <v>623</v>
      </c>
      <c r="K19" s="26">
        <v>231</v>
      </c>
      <c r="L19" s="26">
        <v>84</v>
      </c>
      <c r="M19" s="26">
        <v>112</v>
      </c>
      <c r="N19" s="26">
        <v>171</v>
      </c>
      <c r="O19" s="26">
        <v>271</v>
      </c>
      <c r="P19" s="26">
        <v>2472</v>
      </c>
      <c r="R19" s="59" t="s">
        <v>154</v>
      </c>
      <c r="S19" s="60"/>
      <c r="U19" t="s">
        <v>150</v>
      </c>
      <c r="AA19">
        <f>VAR(AA10:AA18)</f>
        <v>1.5</v>
      </c>
      <c r="AB19">
        <f>VAR(AB10:AB18)</f>
        <v>1.5</v>
      </c>
    </row>
    <row r="20" spans="2:28" ht="15" thickBot="1" x14ac:dyDescent="0.4">
      <c r="B20" s="26" t="s">
        <v>105</v>
      </c>
      <c r="C20" s="26">
        <v>46.2</v>
      </c>
      <c r="D20" s="26" t="s">
        <v>106</v>
      </c>
      <c r="E20" s="26">
        <v>35</v>
      </c>
      <c r="F20" s="26" t="s">
        <v>107</v>
      </c>
      <c r="G20" s="26">
        <v>88</v>
      </c>
      <c r="H20" s="26">
        <v>57</v>
      </c>
      <c r="I20" s="26">
        <v>476</v>
      </c>
      <c r="J20" s="26">
        <v>533</v>
      </c>
      <c r="K20" s="26">
        <v>214</v>
      </c>
      <c r="L20" s="26">
        <v>76</v>
      </c>
      <c r="M20" s="26">
        <v>88</v>
      </c>
      <c r="N20" s="26">
        <v>159</v>
      </c>
      <c r="O20" s="26">
        <v>218</v>
      </c>
      <c r="P20" s="26">
        <v>2161</v>
      </c>
      <c r="R20" s="61" t="s">
        <v>147</v>
      </c>
      <c r="S20" s="62">
        <f>R33-R15</f>
        <v>4.0994732249620303E-2</v>
      </c>
      <c r="U20" t="s">
        <v>151</v>
      </c>
      <c r="X20" t="s">
        <v>189</v>
      </c>
    </row>
    <row r="21" spans="2:28" ht="15" thickBot="1" x14ac:dyDescent="0.4">
      <c r="B21" s="26" t="s">
        <v>108</v>
      </c>
      <c r="C21" s="26">
        <v>49.6</v>
      </c>
      <c r="D21" s="26" t="s">
        <v>109</v>
      </c>
      <c r="E21" s="26">
        <v>38.700000000000003</v>
      </c>
      <c r="F21" s="26" t="s">
        <v>110</v>
      </c>
      <c r="G21" s="26">
        <v>86</v>
      </c>
      <c r="H21" s="26">
        <v>40</v>
      </c>
      <c r="I21" s="26">
        <v>487</v>
      </c>
      <c r="J21" s="26">
        <v>527</v>
      </c>
      <c r="K21" s="26">
        <v>231</v>
      </c>
      <c r="L21" s="26">
        <v>77</v>
      </c>
      <c r="M21" s="26">
        <v>88</v>
      </c>
      <c r="N21" s="26">
        <v>133</v>
      </c>
      <c r="O21" s="26">
        <v>248</v>
      </c>
      <c r="P21" s="26">
        <v>1850</v>
      </c>
      <c r="R21" s="63" t="s">
        <v>148</v>
      </c>
      <c r="S21" s="64">
        <f>S15+S33</f>
        <v>1.4256317423448498E-3</v>
      </c>
      <c r="U21" t="s">
        <v>152</v>
      </c>
      <c r="X21" t="s">
        <v>190</v>
      </c>
    </row>
    <row r="22" spans="2:28" ht="15" thickBot="1" x14ac:dyDescent="0.4">
      <c r="B22" s="26" t="s">
        <v>111</v>
      </c>
      <c r="C22" s="26">
        <v>51</v>
      </c>
      <c r="D22" s="26" t="s">
        <v>112</v>
      </c>
      <c r="E22" s="26">
        <v>41.6</v>
      </c>
      <c r="F22" s="26" t="s">
        <v>113</v>
      </c>
      <c r="G22" s="26">
        <v>90.5</v>
      </c>
      <c r="H22" s="26">
        <v>46</v>
      </c>
      <c r="I22" s="26">
        <v>594</v>
      </c>
      <c r="J22" s="26">
        <v>640</v>
      </c>
      <c r="K22" s="26">
        <v>374</v>
      </c>
      <c r="L22" s="26">
        <v>105</v>
      </c>
      <c r="M22" s="26">
        <v>116</v>
      </c>
      <c r="N22" s="26">
        <v>143</v>
      </c>
      <c r="O22" s="26">
        <v>280</v>
      </c>
      <c r="P22" s="26">
        <v>2280</v>
      </c>
      <c r="R22" s="65" t="s">
        <v>149</v>
      </c>
      <c r="S22" s="66">
        <f>S21^0.5</f>
        <v>3.7757538880928795E-2</v>
      </c>
      <c r="U22" t="s">
        <v>153</v>
      </c>
    </row>
    <row r="23" spans="2:28" ht="15" thickBot="1" x14ac:dyDescent="0.4">
      <c r="B23" s="26" t="s">
        <v>114</v>
      </c>
      <c r="C23" s="26">
        <v>50.3</v>
      </c>
      <c r="D23" s="26" t="s">
        <v>115</v>
      </c>
      <c r="E23" s="26">
        <v>39.1</v>
      </c>
      <c r="F23" s="26" t="s">
        <v>116</v>
      </c>
      <c r="G23" s="26">
        <v>87.3</v>
      </c>
      <c r="H23" s="26">
        <v>58</v>
      </c>
      <c r="I23" s="26">
        <v>540</v>
      </c>
      <c r="J23" s="26">
        <v>598</v>
      </c>
      <c r="K23" s="26">
        <v>445</v>
      </c>
      <c r="L23" s="26">
        <v>59</v>
      </c>
      <c r="M23" s="26">
        <v>103</v>
      </c>
      <c r="N23" s="26">
        <v>174</v>
      </c>
      <c r="O23" s="26">
        <v>285</v>
      </c>
      <c r="P23" s="26">
        <v>2593</v>
      </c>
      <c r="X23" t="s">
        <v>181</v>
      </c>
      <c r="Y23">
        <f>(0.041 - 0)/0.0377</f>
        <v>1.0875331564986739</v>
      </c>
    </row>
    <row r="24" spans="2:28" ht="15" thickBot="1" x14ac:dyDescent="0.4">
      <c r="B24" s="26" t="s">
        <v>117</v>
      </c>
      <c r="C24" s="26">
        <v>51</v>
      </c>
      <c r="D24" s="26" t="s">
        <v>118</v>
      </c>
      <c r="E24" s="26">
        <v>40.299999999999997</v>
      </c>
      <c r="F24" s="26" t="s">
        <v>119</v>
      </c>
      <c r="G24" s="26">
        <v>85.4</v>
      </c>
      <c r="H24" s="26">
        <v>16</v>
      </c>
      <c r="I24" s="26">
        <v>162</v>
      </c>
      <c r="J24" s="26">
        <v>178</v>
      </c>
      <c r="K24" s="26">
        <v>110</v>
      </c>
      <c r="L24" s="26">
        <v>25</v>
      </c>
      <c r="M24" s="26">
        <v>24</v>
      </c>
      <c r="N24" s="26">
        <v>40</v>
      </c>
      <c r="O24" s="26">
        <v>74</v>
      </c>
      <c r="P24" s="26">
        <v>686</v>
      </c>
      <c r="Y24">
        <f>NORMSDIST(Y23)</f>
        <v>0.86159937323137081</v>
      </c>
    </row>
    <row r="25" spans="2:28" ht="15" thickBot="1" x14ac:dyDescent="0.4">
      <c r="B25" s="26" t="s">
        <v>120</v>
      </c>
      <c r="C25" s="26">
        <v>50.5</v>
      </c>
      <c r="D25" s="26" t="s">
        <v>121</v>
      </c>
      <c r="E25" s="26">
        <v>38.6</v>
      </c>
      <c r="F25" s="26" t="s">
        <v>122</v>
      </c>
      <c r="G25" s="26">
        <v>89.8</v>
      </c>
      <c r="H25" s="26">
        <v>45</v>
      </c>
      <c r="I25" s="26">
        <v>544</v>
      </c>
      <c r="J25" s="26">
        <v>589</v>
      </c>
      <c r="K25" s="26">
        <v>361</v>
      </c>
      <c r="L25" s="26">
        <v>85</v>
      </c>
      <c r="M25" s="26">
        <v>69</v>
      </c>
      <c r="N25" s="26">
        <v>137</v>
      </c>
      <c r="O25" s="26">
        <v>250</v>
      </c>
      <c r="P25" s="26">
        <v>2029</v>
      </c>
      <c r="R25" s="68" t="s">
        <v>187</v>
      </c>
      <c r="T25" s="36">
        <v>4.0000000000000001E-3</v>
      </c>
      <c r="U25" s="36">
        <v>4.1000000000000002E-2</v>
      </c>
      <c r="V25" s="36">
        <v>7.8E-2</v>
      </c>
    </row>
    <row r="26" spans="2:28" ht="15" thickBot="1" x14ac:dyDescent="0.4">
      <c r="B26" s="26" t="s">
        <v>123</v>
      </c>
      <c r="C26" s="26">
        <v>53.7</v>
      </c>
      <c r="D26" s="26" t="s">
        <v>124</v>
      </c>
      <c r="E26" s="26">
        <v>37.5</v>
      </c>
      <c r="F26" s="26" t="s">
        <v>125</v>
      </c>
      <c r="G26" s="26">
        <v>87.5</v>
      </c>
      <c r="H26" s="26">
        <v>39</v>
      </c>
      <c r="I26" s="26">
        <v>474</v>
      </c>
      <c r="J26" s="26">
        <v>513</v>
      </c>
      <c r="K26" s="26">
        <v>300</v>
      </c>
      <c r="L26" s="26">
        <v>99</v>
      </c>
      <c r="M26" s="26">
        <v>66</v>
      </c>
      <c r="N26" s="26">
        <v>117</v>
      </c>
      <c r="O26" s="26">
        <v>138</v>
      </c>
      <c r="P26" s="26">
        <v>1555</v>
      </c>
      <c r="R26" s="68" t="s">
        <v>188</v>
      </c>
    </row>
    <row r="27" spans="2:28" ht="15" thickBot="1" x14ac:dyDescent="0.4">
      <c r="B27" s="26" t="s">
        <v>126</v>
      </c>
      <c r="C27" s="26">
        <v>51.6</v>
      </c>
      <c r="D27" s="26" t="s">
        <v>127</v>
      </c>
      <c r="E27" s="26">
        <v>41.9</v>
      </c>
      <c r="F27" s="26" t="s">
        <v>128</v>
      </c>
      <c r="G27" s="26">
        <v>88.9</v>
      </c>
      <c r="H27" s="26">
        <v>31</v>
      </c>
      <c r="I27" s="26">
        <v>433</v>
      </c>
      <c r="J27" s="26">
        <v>464</v>
      </c>
      <c r="K27" s="26">
        <v>366</v>
      </c>
      <c r="L27" s="26">
        <v>119</v>
      </c>
      <c r="M27" s="26">
        <v>50</v>
      </c>
      <c r="N27" s="26">
        <v>133</v>
      </c>
      <c r="O27" s="26">
        <v>207</v>
      </c>
      <c r="P27" s="26">
        <v>1792</v>
      </c>
    </row>
    <row r="28" spans="2:28" ht="15" thickBot="1" x14ac:dyDescent="0.4">
      <c r="B28" s="26" t="s">
        <v>129</v>
      </c>
      <c r="C28" s="26">
        <v>52.1</v>
      </c>
      <c r="D28" s="26" t="s">
        <v>130</v>
      </c>
      <c r="E28" s="26">
        <v>35.299999999999997</v>
      </c>
      <c r="F28" s="26" t="s">
        <v>131</v>
      </c>
      <c r="G28" s="26">
        <v>88.5</v>
      </c>
      <c r="H28" s="26">
        <v>33</v>
      </c>
      <c r="I28" s="26">
        <v>464</v>
      </c>
      <c r="J28" s="26">
        <v>497</v>
      </c>
      <c r="K28" s="26">
        <v>457</v>
      </c>
      <c r="L28" s="26">
        <v>84</v>
      </c>
      <c r="M28" s="26">
        <v>58</v>
      </c>
      <c r="N28" s="26">
        <v>155</v>
      </c>
      <c r="O28" s="26">
        <v>225</v>
      </c>
      <c r="P28" s="26">
        <v>2027</v>
      </c>
      <c r="R28" s="37" t="s">
        <v>143</v>
      </c>
      <c r="S28" s="38"/>
      <c r="T28" s="38"/>
      <c r="U28" s="38"/>
      <c r="V28" s="15"/>
    </row>
    <row r="29" spans="2:28" ht="15" thickBot="1" x14ac:dyDescent="0.4">
      <c r="B29" s="26" t="s">
        <v>132</v>
      </c>
      <c r="C29" s="50">
        <v>52</v>
      </c>
      <c r="D29" s="26" t="s">
        <v>133</v>
      </c>
      <c r="E29" s="26">
        <v>44.7</v>
      </c>
      <c r="F29" s="26" t="s">
        <v>134</v>
      </c>
      <c r="G29" s="26">
        <v>87.3</v>
      </c>
      <c r="H29" s="26">
        <v>7</v>
      </c>
      <c r="I29" s="26">
        <v>112</v>
      </c>
      <c r="J29" s="26">
        <v>119</v>
      </c>
      <c r="K29" s="26">
        <v>89</v>
      </c>
      <c r="L29" s="26">
        <v>23</v>
      </c>
      <c r="M29" s="26">
        <v>13</v>
      </c>
      <c r="N29" s="26">
        <v>36</v>
      </c>
      <c r="O29" s="26">
        <v>55</v>
      </c>
      <c r="P29" s="26">
        <v>495</v>
      </c>
      <c r="R29" s="39" t="s">
        <v>140</v>
      </c>
      <c r="S29" s="40" t="s">
        <v>141</v>
      </c>
      <c r="T29" s="40" t="s">
        <v>142</v>
      </c>
      <c r="U29" s="41" t="s">
        <v>23</v>
      </c>
      <c r="V29" s="42" t="s">
        <v>22</v>
      </c>
    </row>
    <row r="30" spans="2:28" ht="15" thickBot="1" x14ac:dyDescent="0.4">
      <c r="B30" s="29" t="s">
        <v>135</v>
      </c>
      <c r="C30" s="27">
        <v>49.3</v>
      </c>
      <c r="D30" s="31" t="s">
        <v>136</v>
      </c>
      <c r="E30" s="27">
        <v>38.200000000000003</v>
      </c>
      <c r="F30" s="27" t="s">
        <v>137</v>
      </c>
      <c r="G30" s="27">
        <v>88.2</v>
      </c>
      <c r="H30" s="27">
        <v>624</v>
      </c>
      <c r="I30" s="27">
        <v>5487</v>
      </c>
      <c r="J30" s="27">
        <v>6111</v>
      </c>
      <c r="K30" s="27">
        <v>3575</v>
      </c>
      <c r="L30" s="27">
        <v>964</v>
      </c>
      <c r="M30" s="27">
        <v>961</v>
      </c>
      <c r="N30" s="27">
        <v>1654</v>
      </c>
      <c r="O30" s="27">
        <v>2708</v>
      </c>
      <c r="P30" s="27">
        <v>23435</v>
      </c>
      <c r="R30" s="43">
        <f>7980/16178</f>
        <v>0.49326245518605516</v>
      </c>
      <c r="S30" s="44">
        <f>R30*(1-R30)/16178</f>
        <v>1.5450278494862164E-5</v>
      </c>
      <c r="T30" s="44">
        <f>S30^0.5</f>
        <v>3.9306842273149041E-3</v>
      </c>
      <c r="U30" s="45">
        <f>R30+2*T30</f>
        <v>0.50112382364068497</v>
      </c>
      <c r="V30" s="46">
        <f>R30-2*T30</f>
        <v>0.48540108673142535</v>
      </c>
    </row>
    <row r="31" spans="2:28" x14ac:dyDescent="0.35">
      <c r="R31" s="32">
        <v>2021</v>
      </c>
      <c r="S31" s="32"/>
      <c r="T31" s="32"/>
      <c r="U31" s="32"/>
      <c r="V31" s="32"/>
    </row>
    <row r="32" spans="2:28" x14ac:dyDescent="0.35">
      <c r="R32" s="32" t="s">
        <v>140</v>
      </c>
      <c r="S32" s="32" t="s">
        <v>141</v>
      </c>
      <c r="T32" s="32" t="s">
        <v>142</v>
      </c>
      <c r="U32" s="32" t="s">
        <v>23</v>
      </c>
      <c r="V32" s="32" t="s">
        <v>22</v>
      </c>
    </row>
    <row r="33" spans="18:22" x14ac:dyDescent="0.35">
      <c r="R33" s="57">
        <f>166/319</f>
        <v>0.52037617554858939</v>
      </c>
      <c r="S33" s="32">
        <f>R33*(1-R33)/319</f>
        <v>7.823975281191632E-4</v>
      </c>
      <c r="T33" s="32">
        <f>S33^0.5</f>
        <v>2.7971369793400595E-2</v>
      </c>
      <c r="U33" s="33">
        <f>R33+2*T33</f>
        <v>0.57631891513539057</v>
      </c>
      <c r="V33" s="33">
        <f>R33-2*T33</f>
        <v>0.46443343596178821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533"/>
  <sheetViews>
    <sheetView tabSelected="1" topLeftCell="H1" workbookViewId="0">
      <selection activeCell="R18" sqref="R18"/>
    </sheetView>
  </sheetViews>
  <sheetFormatPr defaultRowHeight="14.5" x14ac:dyDescent="0.35"/>
  <cols>
    <col min="2" max="2" width="9.90625" customWidth="1"/>
    <col min="3" max="3" width="9.6328125" customWidth="1"/>
    <col min="4" max="4" width="10.81640625" customWidth="1"/>
    <col min="5" max="5" width="11.1796875" customWidth="1"/>
    <col min="7" max="7" width="15.90625" customWidth="1"/>
    <col min="8" max="8" width="15" customWidth="1"/>
    <col min="9" max="11" width="12.08984375" customWidth="1"/>
    <col min="13" max="13" width="12.36328125" bestFit="1" customWidth="1"/>
    <col min="15" max="15" width="12.36328125" bestFit="1" customWidth="1"/>
    <col min="18" max="18" width="17.36328125" bestFit="1" customWidth="1"/>
  </cols>
  <sheetData>
    <row r="1" spans="1:24" ht="15" thickBot="1" x14ac:dyDescent="0.4">
      <c r="H1" s="81" t="s">
        <v>175</v>
      </c>
      <c r="I1" s="82"/>
      <c r="J1" s="38" t="s">
        <v>178</v>
      </c>
      <c r="K1" s="38" t="s">
        <v>191</v>
      </c>
      <c r="L1" s="38" t="s">
        <v>179</v>
      </c>
      <c r="M1" s="38"/>
      <c r="N1" s="38"/>
      <c r="O1" s="82" t="s">
        <v>180</v>
      </c>
      <c r="P1" s="15"/>
      <c r="R1" s="14" t="s">
        <v>207</v>
      </c>
      <c r="S1" s="38"/>
      <c r="T1" s="15"/>
    </row>
    <row r="2" spans="1:24" x14ac:dyDescent="0.35">
      <c r="A2" s="73" t="s">
        <v>157</v>
      </c>
      <c r="B2" s="69" t="s">
        <v>170</v>
      </c>
      <c r="C2" s="69" t="s">
        <v>155</v>
      </c>
      <c r="D2" s="69" t="s">
        <v>168</v>
      </c>
      <c r="E2" s="70" t="s">
        <v>169</v>
      </c>
      <c r="H2" s="39">
        <f ca="1">RAND()</f>
        <v>0.47872637086286673</v>
      </c>
      <c r="I2" s="71" t="str">
        <f ca="1">VLOOKUP(H2,$A$3:$D$6,2,1)</f>
        <v>Mid-range</v>
      </c>
      <c r="J2" s="71">
        <f ca="1">VLOOKUP(I2,$B$3:$D$6,2,0)</f>
        <v>0.52100000000000002</v>
      </c>
      <c r="K2" s="71">
        <f ca="1">RAND()</f>
        <v>0.26329942892616964</v>
      </c>
      <c r="L2" s="83" cm="1">
        <f t="array" aca="1" ref="L2" ca="1">IF(K2&lt;J+L2:L212,1,0)</f>
        <v>0</v>
      </c>
      <c r="M2" s="106">
        <f ca="1">AVERAGE(L2:L21)</f>
        <v>0</v>
      </c>
      <c r="N2" s="40">
        <v>0</v>
      </c>
      <c r="O2" s="107">
        <f ca="1">RANDBETWEEN(0.407,0.631)</f>
        <v>1</v>
      </c>
      <c r="P2" s="85"/>
      <c r="Q2" s="55"/>
      <c r="S2" s="40"/>
      <c r="T2" s="47"/>
      <c r="U2" s="52"/>
      <c r="V2" s="52"/>
      <c r="W2" s="52"/>
      <c r="X2" s="52"/>
    </row>
    <row r="3" spans="1:24" x14ac:dyDescent="0.35">
      <c r="A3" s="74">
        <v>0</v>
      </c>
      <c r="B3" s="40" t="s">
        <v>196</v>
      </c>
      <c r="C3" s="101">
        <v>0.65300000000000002</v>
      </c>
      <c r="D3" s="71">
        <v>0.15</v>
      </c>
      <c r="E3" s="101">
        <v>0.65300000000000002</v>
      </c>
      <c r="F3" s="77">
        <f>D3*E3</f>
        <v>9.7949999999999995E-2</v>
      </c>
      <c r="H3" s="39">
        <f t="shared" ref="H3:H21" ca="1" si="0">RAND()</f>
        <v>0.45399719636020863</v>
      </c>
      <c r="I3" s="71" t="str">
        <f t="shared" ref="I3:I21" ca="1" si="1">VLOOKUP(H3,$A$3:$D$6,2,1)</f>
        <v>Mid-range</v>
      </c>
      <c r="J3" s="71">
        <f t="shared" ref="J3:J21" ca="1" si="2">VLOOKUP(I3,$B$3:$D$6,2,0)</f>
        <v>0.52100000000000002</v>
      </c>
      <c r="K3" s="71">
        <f t="shared" ref="K3:K21" ca="1" si="3">RAND()</f>
        <v>0.4784251367458987</v>
      </c>
      <c r="L3" s="83">
        <f t="shared" ref="L3:L21" ca="1" si="4">IF(K3&lt;J3,1,0)</f>
        <v>1</v>
      </c>
      <c r="M3" s="40"/>
      <c r="N3" s="40">
        <v>0</v>
      </c>
      <c r="O3" s="107">
        <f t="shared" ref="O3:O21" ca="1" si="5">RANDBETWEEN(0.407,0.631)</f>
        <v>1</v>
      </c>
      <c r="P3" s="86">
        <f ca="1">STDEV(O2:O21)</f>
        <v>0.36634754853252327</v>
      </c>
      <c r="Q3" s="55"/>
      <c r="R3" s="103">
        <v>0.51900000000000002</v>
      </c>
      <c r="S3" s="40" t="s">
        <v>165</v>
      </c>
      <c r="T3" s="47"/>
      <c r="U3" s="52"/>
      <c r="V3" s="52"/>
      <c r="W3" s="52"/>
      <c r="X3" s="52"/>
    </row>
    <row r="4" spans="1:24" x14ac:dyDescent="0.35">
      <c r="A4" s="75">
        <f>D3</f>
        <v>0.15</v>
      </c>
      <c r="B4" s="40" t="s">
        <v>197</v>
      </c>
      <c r="C4" s="101">
        <v>0.54100000000000004</v>
      </c>
      <c r="D4" s="71">
        <v>0.25</v>
      </c>
      <c r="E4" s="101">
        <v>0.54100000000000004</v>
      </c>
      <c r="F4" s="77">
        <f t="shared" ref="F4:F6" si="6">D4*E4</f>
        <v>0.13525000000000001</v>
      </c>
      <c r="H4" s="39">
        <f t="shared" ca="1" si="0"/>
        <v>0.19756335722076845</v>
      </c>
      <c r="I4" s="71" t="str">
        <f t="shared" ca="1" si="1"/>
        <v>In the paint</v>
      </c>
      <c r="J4" s="71">
        <f t="shared" ca="1" si="2"/>
        <v>0.54100000000000004</v>
      </c>
      <c r="K4" s="71">
        <f t="shared" ca="1" si="3"/>
        <v>0.97513875755717694</v>
      </c>
      <c r="L4" s="83">
        <f t="shared" ca="1" si="4"/>
        <v>0</v>
      </c>
      <c r="M4" s="40"/>
      <c r="N4" s="40">
        <v>0</v>
      </c>
      <c r="O4" s="107">
        <f t="shared" ca="1" si="5"/>
        <v>1</v>
      </c>
      <c r="P4" s="85"/>
      <c r="Q4" s="55"/>
      <c r="R4" s="39">
        <f ca="1">R3*(1-R3)/(COUNT(L2:L21))</f>
        <v>1.248195E-2</v>
      </c>
      <c r="S4" s="80" t="s">
        <v>164</v>
      </c>
      <c r="T4" s="89"/>
      <c r="U4" s="52"/>
      <c r="V4" s="52"/>
      <c r="W4" s="52"/>
      <c r="X4" s="52"/>
    </row>
    <row r="5" spans="1:24" x14ac:dyDescent="0.35">
      <c r="A5" s="75">
        <f>A4+D4</f>
        <v>0.4</v>
      </c>
      <c r="B5" s="40" t="s">
        <v>198</v>
      </c>
      <c r="C5" s="101">
        <v>0.52100000000000002</v>
      </c>
      <c r="D5" s="71">
        <v>0.45</v>
      </c>
      <c r="E5" s="101">
        <v>0.52100000000000002</v>
      </c>
      <c r="F5" s="77">
        <f t="shared" si="6"/>
        <v>0.23445000000000002</v>
      </c>
      <c r="H5" s="39">
        <f t="shared" ca="1" si="0"/>
        <v>0.66366953363686254</v>
      </c>
      <c r="I5" s="71" t="str">
        <f t="shared" ca="1" si="1"/>
        <v>Mid-range</v>
      </c>
      <c r="J5" s="71">
        <f t="shared" ca="1" si="2"/>
        <v>0.52100000000000002</v>
      </c>
      <c r="K5" s="71">
        <f t="shared" ca="1" si="3"/>
        <v>0.66157345531792988</v>
      </c>
      <c r="L5" s="83">
        <f t="shared" ca="1" si="4"/>
        <v>0</v>
      </c>
      <c r="M5" s="87" t="s">
        <v>163</v>
      </c>
      <c r="N5" s="87">
        <v>0</v>
      </c>
      <c r="O5" s="107">
        <f ca="1">RANDBETWEEN(R21,T21)</f>
        <v>0</v>
      </c>
      <c r="P5" s="85"/>
      <c r="Q5" s="55"/>
      <c r="R5" s="90">
        <f ca="1">R4^0.5</f>
        <v>0.11172264765928169</v>
      </c>
      <c r="S5" s="83" t="s">
        <v>166</v>
      </c>
      <c r="T5" s="91"/>
      <c r="U5" s="52"/>
      <c r="V5" s="52"/>
      <c r="W5" s="52"/>
      <c r="X5" s="52"/>
    </row>
    <row r="6" spans="1:24" ht="15" thickBot="1" x14ac:dyDescent="0.4">
      <c r="A6" s="76">
        <f>A5+D5</f>
        <v>0.85000000000000009</v>
      </c>
      <c r="B6" s="44" t="s">
        <v>156</v>
      </c>
      <c r="C6" s="102">
        <v>0.318</v>
      </c>
      <c r="D6" s="72">
        <v>0.15</v>
      </c>
      <c r="E6" s="102">
        <v>0.318</v>
      </c>
      <c r="F6" s="77">
        <f t="shared" si="6"/>
        <v>4.7699999999999999E-2</v>
      </c>
      <c r="H6" s="39">
        <f t="shared" ca="1" si="0"/>
        <v>2.1525000180689369E-2</v>
      </c>
      <c r="I6" s="71" t="str">
        <f t="shared" ca="1" si="1"/>
        <v>At the rim</v>
      </c>
      <c r="J6" s="71">
        <f t="shared" ca="1" si="2"/>
        <v>0.65300000000000002</v>
      </c>
      <c r="K6" s="71">
        <f t="shared" ca="1" si="3"/>
        <v>3.8408923525991012E-2</v>
      </c>
      <c r="L6" s="83">
        <f t="shared" ca="1" si="4"/>
        <v>1</v>
      </c>
      <c r="M6" s="87" t="s">
        <v>158</v>
      </c>
      <c r="N6" s="87">
        <v>0</v>
      </c>
      <c r="O6" s="107">
        <f t="shared" ref="O6:O24" ca="1" si="7">RANDBETWEEN(R22,T22)</f>
        <v>0</v>
      </c>
      <c r="P6" s="85"/>
      <c r="Q6" s="55"/>
      <c r="R6" s="92"/>
      <c r="S6" s="80"/>
      <c r="T6" s="89"/>
      <c r="U6" s="52"/>
      <c r="V6" s="52"/>
      <c r="W6" s="52"/>
      <c r="X6" s="52"/>
    </row>
    <row r="7" spans="1:24" x14ac:dyDescent="0.35">
      <c r="H7" s="39">
        <f t="shared" ca="1" si="0"/>
        <v>0.13469861105955538</v>
      </c>
      <c r="I7" s="71" t="str">
        <f t="shared" ca="1" si="1"/>
        <v>At the rim</v>
      </c>
      <c r="J7" s="71">
        <f t="shared" ca="1" si="2"/>
        <v>0.65300000000000002</v>
      </c>
      <c r="K7" s="71">
        <f t="shared" ca="1" si="3"/>
        <v>0.30283000226240597</v>
      </c>
      <c r="L7" s="83">
        <f t="shared" ca="1" si="4"/>
        <v>1</v>
      </c>
      <c r="M7" s="40"/>
      <c r="N7" s="40">
        <v>0</v>
      </c>
      <c r="O7" s="107">
        <f t="shared" ca="1" si="7"/>
        <v>0</v>
      </c>
      <c r="P7" s="85"/>
      <c r="Q7" s="55"/>
      <c r="R7" s="93" t="s">
        <v>162</v>
      </c>
      <c r="S7" s="87"/>
      <c r="T7" s="89"/>
      <c r="U7" s="52"/>
      <c r="V7" s="52"/>
      <c r="W7" s="52"/>
      <c r="X7" s="52"/>
    </row>
    <row r="8" spans="1:24" ht="15" thickBot="1" x14ac:dyDescent="0.4">
      <c r="C8" s="51"/>
      <c r="D8" s="5">
        <f>SUMPRODUCT(C3:C6,D3:D6)</f>
        <v>0.51534999999999997</v>
      </c>
      <c r="F8" s="78">
        <f>SUM(F3:F6)</f>
        <v>0.51534999999999997</v>
      </c>
      <c r="H8" s="39">
        <f t="shared" ca="1" si="0"/>
        <v>0.51875252403923067</v>
      </c>
      <c r="I8" s="71" t="str">
        <f t="shared" ca="1" si="1"/>
        <v>Mid-range</v>
      </c>
      <c r="J8" s="71">
        <f t="shared" ca="1" si="2"/>
        <v>0.52100000000000002</v>
      </c>
      <c r="K8" s="71">
        <f t="shared" ca="1" si="3"/>
        <v>6.9221053426513746E-2</v>
      </c>
      <c r="L8" s="83">
        <f t="shared" ca="1" si="4"/>
        <v>1</v>
      </c>
      <c r="M8" s="40"/>
      <c r="N8" s="40">
        <v>0</v>
      </c>
      <c r="O8" s="107">
        <f t="shared" ca="1" si="7"/>
        <v>0</v>
      </c>
      <c r="P8" s="85"/>
      <c r="R8" s="94" t="s">
        <v>158</v>
      </c>
      <c r="S8" s="95"/>
      <c r="T8" s="96"/>
      <c r="U8" s="52"/>
      <c r="V8" s="52"/>
      <c r="W8" s="52"/>
      <c r="X8" s="52"/>
    </row>
    <row r="9" spans="1:24" x14ac:dyDescent="0.35">
      <c r="H9" s="39">
        <f t="shared" ca="1" si="0"/>
        <v>6.4765035172550278E-2</v>
      </c>
      <c r="I9" s="71" t="str">
        <f t="shared" ca="1" si="1"/>
        <v>At the rim</v>
      </c>
      <c r="J9" s="71">
        <f t="shared" ca="1" si="2"/>
        <v>0.65300000000000002</v>
      </c>
      <c r="K9" s="71">
        <f t="shared" ca="1" si="3"/>
        <v>0.50293456749120358</v>
      </c>
      <c r="L9" s="83">
        <f t="shared" ca="1" si="4"/>
        <v>1</v>
      </c>
      <c r="M9" s="40"/>
      <c r="N9" s="40">
        <v>0</v>
      </c>
      <c r="O9" s="107">
        <f t="shared" ca="1" si="7"/>
        <v>0</v>
      </c>
      <c r="P9" s="85"/>
      <c r="T9" s="52"/>
      <c r="U9" s="52"/>
      <c r="V9" s="52"/>
      <c r="W9" s="52"/>
      <c r="X9" s="52"/>
    </row>
    <row r="10" spans="1:24" ht="15" thickBot="1" x14ac:dyDescent="0.4">
      <c r="A10" s="54" t="s">
        <v>199</v>
      </c>
      <c r="B10" s="54"/>
      <c r="H10" s="39">
        <f t="shared" ca="1" si="0"/>
        <v>9.2716146502360819E-2</v>
      </c>
      <c r="I10" s="71" t="str">
        <f t="shared" ca="1" si="1"/>
        <v>At the rim</v>
      </c>
      <c r="J10" s="71">
        <f t="shared" ca="1" si="2"/>
        <v>0.65300000000000002</v>
      </c>
      <c r="K10" s="71">
        <f t="shared" ca="1" si="3"/>
        <v>0.76265119327047015</v>
      </c>
      <c r="L10" s="83">
        <f t="shared" ca="1" si="4"/>
        <v>0</v>
      </c>
      <c r="M10" s="40"/>
      <c r="N10" s="40">
        <v>0</v>
      </c>
      <c r="O10" s="107">
        <f t="shared" ca="1" si="7"/>
        <v>0</v>
      </c>
      <c r="P10" s="85"/>
      <c r="T10" s="52"/>
      <c r="U10" s="52"/>
      <c r="V10" s="52"/>
      <c r="W10" s="52"/>
      <c r="X10" s="52"/>
    </row>
    <row r="11" spans="1:24" x14ac:dyDescent="0.35">
      <c r="C11" t="s">
        <v>167</v>
      </c>
      <c r="D11">
        <f ca="1">RAND()</f>
        <v>0.90520783007714967</v>
      </c>
      <c r="E11" s="14" t="s">
        <v>200</v>
      </c>
      <c r="F11" s="38"/>
      <c r="G11" s="38"/>
      <c r="H11" s="39">
        <f t="shared" ca="1" si="0"/>
        <v>0.20040547551466859</v>
      </c>
      <c r="I11" s="71" t="str">
        <f t="shared" ca="1" si="1"/>
        <v>In the paint</v>
      </c>
      <c r="J11" s="71">
        <f t="shared" ca="1" si="2"/>
        <v>0.54100000000000004</v>
      </c>
      <c r="K11" s="71">
        <f t="shared" ca="1" si="3"/>
        <v>7.2510593132369183E-2</v>
      </c>
      <c r="L11" s="83">
        <f t="shared" ca="1" si="4"/>
        <v>1</v>
      </c>
      <c r="M11" s="40"/>
      <c r="N11" s="40">
        <v>0</v>
      </c>
      <c r="O11" s="107">
        <f t="shared" ca="1" si="7"/>
        <v>0</v>
      </c>
      <c r="P11" s="85"/>
      <c r="R11">
        <f ca="1">RANDBETWEEN(U27,W27)</f>
        <v>0</v>
      </c>
      <c r="T11" s="52"/>
      <c r="U11" s="52"/>
      <c r="V11" s="52"/>
      <c r="W11" s="52"/>
      <c r="X11" s="52"/>
    </row>
    <row r="12" spans="1:24" x14ac:dyDescent="0.35">
      <c r="E12" s="39" t="s">
        <v>202</v>
      </c>
      <c r="F12" s="40"/>
      <c r="G12" s="40"/>
      <c r="H12" s="39">
        <f t="shared" ca="1" si="0"/>
        <v>0.87961327713950854</v>
      </c>
      <c r="I12" s="71" t="str">
        <f t="shared" ca="1" si="1"/>
        <v>3 pointer</v>
      </c>
      <c r="J12" s="71">
        <f t="shared" ca="1" si="2"/>
        <v>0.318</v>
      </c>
      <c r="K12" s="71">
        <f t="shared" ca="1" si="3"/>
        <v>0.43876305749667277</v>
      </c>
      <c r="L12" s="83">
        <f t="shared" ca="1" si="4"/>
        <v>0</v>
      </c>
      <c r="M12" s="40"/>
      <c r="N12" s="40">
        <v>0</v>
      </c>
      <c r="O12" s="107">
        <f t="shared" ca="1" si="7"/>
        <v>0</v>
      </c>
      <c r="P12" s="85"/>
      <c r="R12">
        <f t="shared" ref="R12:R30" ca="1" si="8">RANDBETWEEN(U28,W28)</f>
        <v>0</v>
      </c>
      <c r="T12" s="52"/>
      <c r="U12" s="52"/>
      <c r="V12" s="52"/>
      <c r="W12" s="52"/>
      <c r="X12" s="52"/>
    </row>
    <row r="13" spans="1:24" x14ac:dyDescent="0.35">
      <c r="E13" s="39" t="s">
        <v>201</v>
      </c>
      <c r="F13" s="40"/>
      <c r="G13" s="40"/>
      <c r="H13" s="39">
        <f t="shared" ca="1" si="0"/>
        <v>0.3037957865574904</v>
      </c>
      <c r="I13" s="71" t="str">
        <f t="shared" ca="1" si="1"/>
        <v>In the paint</v>
      </c>
      <c r="J13" s="71">
        <f t="shared" ca="1" si="2"/>
        <v>0.54100000000000004</v>
      </c>
      <c r="K13" s="71">
        <f t="shared" ca="1" si="3"/>
        <v>0.74110710243911826</v>
      </c>
      <c r="L13" s="83">
        <f t="shared" ca="1" si="4"/>
        <v>0</v>
      </c>
      <c r="M13" s="40"/>
      <c r="N13" s="40">
        <v>0</v>
      </c>
      <c r="O13" s="107">
        <f t="shared" ca="1" si="7"/>
        <v>0</v>
      </c>
      <c r="P13" s="85"/>
      <c r="R13">
        <f t="shared" ca="1" si="8"/>
        <v>0</v>
      </c>
      <c r="T13" s="52"/>
      <c r="U13" s="52"/>
      <c r="V13" s="52"/>
      <c r="W13" s="52"/>
      <c r="X13" s="52"/>
    </row>
    <row r="14" spans="1:24" ht="15" thickBot="1" x14ac:dyDescent="0.4">
      <c r="E14" s="48" t="s">
        <v>203</v>
      </c>
      <c r="F14" s="44"/>
      <c r="G14" s="44"/>
      <c r="H14" s="39">
        <f t="shared" ca="1" si="0"/>
        <v>0.27690120602033252</v>
      </c>
      <c r="I14" s="71" t="str">
        <f t="shared" ca="1" si="1"/>
        <v>In the paint</v>
      </c>
      <c r="J14" s="71">
        <f t="shared" ca="1" si="2"/>
        <v>0.54100000000000004</v>
      </c>
      <c r="K14" s="71">
        <f t="shared" ca="1" si="3"/>
        <v>0.27196678322246393</v>
      </c>
      <c r="L14" s="83">
        <f t="shared" ca="1" si="4"/>
        <v>1</v>
      </c>
      <c r="M14" s="40"/>
      <c r="N14" s="40">
        <f ca="1">RANDBETWEEN(Q30,S30)</f>
        <v>0</v>
      </c>
      <c r="O14" s="107">
        <f t="shared" ca="1" si="7"/>
        <v>0</v>
      </c>
      <c r="P14" s="85"/>
      <c r="R14">
        <f t="shared" ca="1" si="8"/>
        <v>0</v>
      </c>
      <c r="T14" s="52"/>
      <c r="U14" s="52"/>
      <c r="V14" s="52"/>
      <c r="W14" s="52"/>
      <c r="X14" s="52"/>
    </row>
    <row r="15" spans="1:24" x14ac:dyDescent="0.35">
      <c r="E15" s="41" t="s">
        <v>195</v>
      </c>
      <c r="F15" s="53"/>
      <c r="G15" s="53"/>
      <c r="H15" s="39">
        <f t="shared" ca="1" si="0"/>
        <v>0.19424080684804279</v>
      </c>
      <c r="I15" s="71" t="str">
        <f t="shared" ca="1" si="1"/>
        <v>In the paint</v>
      </c>
      <c r="J15" s="71">
        <f t="shared" ca="1" si="2"/>
        <v>0.54100000000000004</v>
      </c>
      <c r="K15" s="71">
        <f t="shared" ca="1" si="3"/>
        <v>0.50745399568548333</v>
      </c>
      <c r="L15" s="83">
        <f t="shared" ca="1" si="4"/>
        <v>1</v>
      </c>
      <c r="M15" s="40"/>
      <c r="N15" s="40">
        <f t="shared" ref="N15:N33" ca="1" si="9">RANDBETWEEN(Q31,S31)</f>
        <v>0</v>
      </c>
      <c r="O15" s="107">
        <f t="shared" ca="1" si="7"/>
        <v>0</v>
      </c>
      <c r="P15" s="85"/>
      <c r="R15">
        <f t="shared" ca="1" si="8"/>
        <v>0</v>
      </c>
      <c r="T15" s="52"/>
      <c r="U15" s="52"/>
      <c r="V15" s="52"/>
      <c r="W15" s="52"/>
      <c r="X15" s="52"/>
    </row>
    <row r="16" spans="1:24" x14ac:dyDescent="0.35">
      <c r="H16" s="39">
        <f t="shared" ca="1" si="0"/>
        <v>0.14586457997996893</v>
      </c>
      <c r="I16" s="71" t="str">
        <f t="shared" ca="1" si="1"/>
        <v>At the rim</v>
      </c>
      <c r="J16" s="71">
        <f t="shared" ca="1" si="2"/>
        <v>0.65300000000000002</v>
      </c>
      <c r="K16" s="71">
        <f t="shared" ca="1" si="3"/>
        <v>0.30783724726859452</v>
      </c>
      <c r="L16" s="83">
        <f t="shared" ca="1" si="4"/>
        <v>1</v>
      </c>
      <c r="M16" s="40"/>
      <c r="N16" s="40">
        <f t="shared" ca="1" si="9"/>
        <v>0</v>
      </c>
      <c r="O16" s="107">
        <f t="shared" ca="1" si="7"/>
        <v>0</v>
      </c>
      <c r="P16" s="85"/>
      <c r="R16">
        <f t="shared" ca="1" si="8"/>
        <v>0</v>
      </c>
      <c r="T16" s="52"/>
      <c r="U16" s="52"/>
      <c r="V16" s="52"/>
      <c r="W16" s="52"/>
      <c r="X16" s="52"/>
    </row>
    <row r="17" spans="3:24" x14ac:dyDescent="0.35">
      <c r="H17" s="39">
        <f t="shared" ca="1" si="0"/>
        <v>0.49459244844631312</v>
      </c>
      <c r="I17" s="71" t="str">
        <f t="shared" ca="1" si="1"/>
        <v>Mid-range</v>
      </c>
      <c r="J17" s="71">
        <f t="shared" ca="1" si="2"/>
        <v>0.52100000000000002</v>
      </c>
      <c r="K17" s="71">
        <f t="shared" ca="1" si="3"/>
        <v>0.11090011103756736</v>
      </c>
      <c r="L17" s="83">
        <f t="shared" ca="1" si="4"/>
        <v>1</v>
      </c>
      <c r="M17" s="40"/>
      <c r="N17" s="40">
        <f t="shared" ca="1" si="9"/>
        <v>0</v>
      </c>
      <c r="O17" s="107">
        <f t="shared" ca="1" si="7"/>
        <v>0</v>
      </c>
      <c r="P17" s="85"/>
      <c r="R17" t="s">
        <v>205</v>
      </c>
      <c r="S17" t="s">
        <v>204</v>
      </c>
      <c r="T17" s="52" t="s">
        <v>206</v>
      </c>
      <c r="U17" s="52"/>
      <c r="V17" s="52"/>
      <c r="W17" s="52"/>
      <c r="X17" s="52"/>
    </row>
    <row r="18" spans="3:24" x14ac:dyDescent="0.35">
      <c r="H18" s="39">
        <f t="shared" ca="1" si="0"/>
        <v>0.94321807078084896</v>
      </c>
      <c r="I18" s="71" t="str">
        <f t="shared" ca="1" si="1"/>
        <v>3 pointer</v>
      </c>
      <c r="J18" s="71">
        <f t="shared" ca="1" si="2"/>
        <v>0.318</v>
      </c>
      <c r="K18" s="71">
        <f t="shared" ca="1" si="3"/>
        <v>4.6951544402711543E-2</v>
      </c>
      <c r="L18" s="83">
        <f t="shared" ca="1" si="4"/>
        <v>1</v>
      </c>
      <c r="M18" s="40"/>
      <c r="N18" s="40">
        <f t="shared" ca="1" si="9"/>
        <v>0</v>
      </c>
      <c r="O18" s="107">
        <f t="shared" ca="1" si="7"/>
        <v>0</v>
      </c>
      <c r="P18" s="85"/>
      <c r="R18" s="104">
        <f ca="1">S18-R5</f>
        <v>0</v>
      </c>
      <c r="S18" s="104">
        <f>R3</f>
        <v>0.51900000000000002</v>
      </c>
      <c r="T18" s="105">
        <f ca="1">R5+R3</f>
        <v>0.63072264765928177</v>
      </c>
      <c r="U18" s="52"/>
      <c r="V18" s="52"/>
      <c r="W18" s="52"/>
      <c r="X18" s="52"/>
    </row>
    <row r="19" spans="3:24" x14ac:dyDescent="0.35">
      <c r="H19" s="39">
        <f t="shared" ca="1" si="0"/>
        <v>6.131893869073779E-2</v>
      </c>
      <c r="I19" s="71" t="str">
        <f t="shared" ca="1" si="1"/>
        <v>At the rim</v>
      </c>
      <c r="J19" s="71">
        <f t="shared" ca="1" si="2"/>
        <v>0.65300000000000002</v>
      </c>
      <c r="K19" s="71">
        <f t="shared" ca="1" si="3"/>
        <v>0.44402511496134844</v>
      </c>
      <c r="L19" s="83">
        <f t="shared" ca="1" si="4"/>
        <v>1</v>
      </c>
      <c r="M19" s="40"/>
      <c r="N19" s="40">
        <f t="shared" ca="1" si="9"/>
        <v>0</v>
      </c>
      <c r="O19" s="107">
        <f t="shared" ca="1" si="7"/>
        <v>0</v>
      </c>
      <c r="P19" s="85"/>
      <c r="T19" s="52"/>
      <c r="U19" s="52"/>
      <c r="V19" s="52"/>
      <c r="W19" s="52"/>
      <c r="X19" s="52"/>
    </row>
    <row r="20" spans="3:24" x14ac:dyDescent="0.35">
      <c r="H20" s="39">
        <f t="shared" ca="1" si="0"/>
        <v>0.87365443971052381</v>
      </c>
      <c r="I20" s="71" t="str">
        <f t="shared" ca="1" si="1"/>
        <v>3 pointer</v>
      </c>
      <c r="J20" s="71">
        <f t="shared" ca="1" si="2"/>
        <v>0.318</v>
      </c>
      <c r="K20" s="71">
        <f t="shared" ca="1" si="3"/>
        <v>0.84569183600155029</v>
      </c>
      <c r="L20" s="83">
        <f t="shared" ca="1" si="4"/>
        <v>0</v>
      </c>
      <c r="M20" s="40"/>
      <c r="N20" s="40">
        <f t="shared" ca="1" si="9"/>
        <v>0</v>
      </c>
      <c r="O20" s="107">
        <f t="shared" ca="1" si="7"/>
        <v>0</v>
      </c>
      <c r="P20" s="85"/>
      <c r="T20" s="52"/>
      <c r="U20" s="52"/>
      <c r="V20" s="52"/>
      <c r="W20" s="52"/>
      <c r="X20" s="52"/>
    </row>
    <row r="21" spans="3:24" x14ac:dyDescent="0.35">
      <c r="C21" t="s">
        <v>168</v>
      </c>
      <c r="D21" s="79" t="str">
        <f ca="1">VLOOKUP(D11,$A$3:$D$6,2,1)</f>
        <v>3 pointer</v>
      </c>
      <c r="H21" s="39">
        <f t="shared" ca="1" si="0"/>
        <v>0.42987644614447829</v>
      </c>
      <c r="I21" s="71" t="str">
        <f t="shared" ca="1" si="1"/>
        <v>Mid-range</v>
      </c>
      <c r="J21" s="71">
        <f t="shared" ca="1" si="2"/>
        <v>0.52100000000000002</v>
      </c>
      <c r="K21" s="71">
        <f t="shared" ca="1" si="3"/>
        <v>0.29792298745875156</v>
      </c>
      <c r="L21" s="83">
        <f t="shared" ca="1" si="4"/>
        <v>1</v>
      </c>
      <c r="M21" s="40"/>
      <c r="N21" s="40">
        <f t="shared" ca="1" si="9"/>
        <v>0</v>
      </c>
      <c r="O21" s="107">
        <f t="shared" ca="1" si="7"/>
        <v>0</v>
      </c>
      <c r="P21" s="85"/>
      <c r="T21" s="52"/>
      <c r="U21" s="52"/>
      <c r="V21" s="52"/>
      <c r="W21" s="52"/>
      <c r="X21" s="52"/>
    </row>
    <row r="22" spans="3:24" x14ac:dyDescent="0.35">
      <c r="D22" t="s">
        <v>159</v>
      </c>
      <c r="H22" s="39"/>
      <c r="I22" s="40"/>
      <c r="J22" s="40"/>
      <c r="K22" s="40"/>
      <c r="L22" s="83"/>
      <c r="M22" s="40"/>
      <c r="N22" s="40">
        <f t="shared" ca="1" si="9"/>
        <v>0</v>
      </c>
      <c r="O22" s="107">
        <f t="shared" ca="1" si="7"/>
        <v>0</v>
      </c>
      <c r="P22" s="85"/>
    </row>
    <row r="23" spans="3:24" x14ac:dyDescent="0.35">
      <c r="D23" t="s">
        <v>160</v>
      </c>
      <c r="H23" s="39"/>
      <c r="I23" s="40"/>
      <c r="J23" s="40"/>
      <c r="K23" s="40"/>
      <c r="L23" s="83"/>
      <c r="M23" s="40"/>
      <c r="N23" s="40">
        <f t="shared" ca="1" si="9"/>
        <v>0</v>
      </c>
      <c r="O23" s="107">
        <f t="shared" ca="1" si="7"/>
        <v>0</v>
      </c>
      <c r="P23" s="85"/>
    </row>
    <row r="24" spans="3:24" x14ac:dyDescent="0.35">
      <c r="D24" t="s">
        <v>161</v>
      </c>
      <c r="H24" s="39"/>
      <c r="I24" s="40"/>
      <c r="J24" s="40"/>
      <c r="K24" s="40"/>
      <c r="L24" s="83"/>
      <c r="M24" s="40"/>
      <c r="N24" s="40">
        <f t="shared" ca="1" si="9"/>
        <v>0</v>
      </c>
      <c r="O24" s="107">
        <f t="shared" ca="1" si="7"/>
        <v>0</v>
      </c>
      <c r="P24" s="85"/>
    </row>
    <row r="25" spans="3:24" x14ac:dyDescent="0.35">
      <c r="D25" t="s">
        <v>193</v>
      </c>
      <c r="H25" s="39"/>
      <c r="I25" s="40"/>
      <c r="J25" s="40"/>
      <c r="K25" s="40"/>
      <c r="L25" s="83" t="s">
        <v>192</v>
      </c>
      <c r="M25" s="40"/>
      <c r="N25" s="40">
        <f t="shared" ca="1" si="9"/>
        <v>0</v>
      </c>
      <c r="O25" s="84"/>
      <c r="P25" s="85"/>
    </row>
    <row r="26" spans="3:24" x14ac:dyDescent="0.35">
      <c r="D26" t="s">
        <v>194</v>
      </c>
      <c r="H26" s="39"/>
      <c r="I26" s="40"/>
      <c r="J26" s="40"/>
      <c r="K26" s="40"/>
      <c r="L26" s="40"/>
      <c r="M26" s="40"/>
      <c r="N26" s="40">
        <f t="shared" ca="1" si="9"/>
        <v>0</v>
      </c>
      <c r="O26" s="84"/>
      <c r="P26" s="85"/>
    </row>
    <row r="27" spans="3:24" ht="15" thickBot="1" x14ac:dyDescent="0.4">
      <c r="H27" s="48"/>
      <c r="I27" s="44"/>
      <c r="J27" s="44"/>
      <c r="K27" s="44"/>
      <c r="L27" s="44"/>
      <c r="M27" s="44"/>
      <c r="N27" s="40">
        <f t="shared" ca="1" si="9"/>
        <v>0</v>
      </c>
      <c r="O27" s="88"/>
      <c r="P27" s="49"/>
    </row>
    <row r="28" spans="3:24" x14ac:dyDescent="0.35">
      <c r="N28" s="40">
        <f t="shared" ca="1" si="9"/>
        <v>0</v>
      </c>
    </row>
    <row r="29" spans="3:24" x14ac:dyDescent="0.35">
      <c r="N29" s="40">
        <f t="shared" ca="1" si="9"/>
        <v>0</v>
      </c>
    </row>
    <row r="30" spans="3:24" x14ac:dyDescent="0.35">
      <c r="N30" s="40">
        <f t="shared" ca="1" si="9"/>
        <v>0</v>
      </c>
    </row>
    <row r="31" spans="3:24" x14ac:dyDescent="0.35">
      <c r="N31" s="40">
        <f t="shared" ca="1" si="9"/>
        <v>0</v>
      </c>
    </row>
    <row r="32" spans="3:24" x14ac:dyDescent="0.35">
      <c r="N32" s="40">
        <f t="shared" ca="1" si="9"/>
        <v>0</v>
      </c>
    </row>
    <row r="33" spans="4:14" x14ac:dyDescent="0.35">
      <c r="N33" s="40">
        <f t="shared" ca="1" si="9"/>
        <v>0</v>
      </c>
    </row>
    <row r="35" spans="4:14" x14ac:dyDescent="0.35">
      <c r="D35" s="56" t="s">
        <v>172</v>
      </c>
      <c r="E35" s="56" t="s">
        <v>173</v>
      </c>
      <c r="F35" s="56" t="s">
        <v>174</v>
      </c>
    </row>
    <row r="36" spans="4:14" x14ac:dyDescent="0.35">
      <c r="D36">
        <f ca="1">RAND()</f>
        <v>6.7749889297375132E-2</v>
      </c>
      <c r="E36">
        <f ca="1">COUNTIF(D36:D533,"&lt;.40")</f>
        <v>206</v>
      </c>
      <c r="F36">
        <f ca="1">E36/500</f>
        <v>0.41199999999999998</v>
      </c>
    </row>
    <row r="37" spans="4:14" x14ac:dyDescent="0.35">
      <c r="D37">
        <f t="shared" ref="D37:D100" ca="1" si="10">RAND()</f>
        <v>0.75395265333722994</v>
      </c>
      <c r="E37" t="s">
        <v>171</v>
      </c>
    </row>
    <row r="38" spans="4:14" x14ac:dyDescent="0.35">
      <c r="D38">
        <f t="shared" ca="1" si="10"/>
        <v>0.71169429797306583</v>
      </c>
    </row>
    <row r="39" spans="4:14" x14ac:dyDescent="0.35">
      <c r="D39">
        <f t="shared" ca="1" si="10"/>
        <v>0.15937682681167031</v>
      </c>
    </row>
    <row r="40" spans="4:14" x14ac:dyDescent="0.35">
      <c r="D40">
        <f t="shared" ca="1" si="10"/>
        <v>0.37478506122600386</v>
      </c>
    </row>
    <row r="41" spans="4:14" x14ac:dyDescent="0.35">
      <c r="D41">
        <f t="shared" ca="1" si="10"/>
        <v>0.84893184701084801</v>
      </c>
    </row>
    <row r="42" spans="4:14" x14ac:dyDescent="0.35">
      <c r="D42">
        <f t="shared" ca="1" si="10"/>
        <v>0.70347574484088893</v>
      </c>
    </row>
    <row r="43" spans="4:14" x14ac:dyDescent="0.35">
      <c r="D43">
        <f t="shared" ca="1" si="10"/>
        <v>0.78073792380679452</v>
      </c>
    </row>
    <row r="44" spans="4:14" x14ac:dyDescent="0.35">
      <c r="D44">
        <f t="shared" ca="1" si="10"/>
        <v>9.4008772859295431E-2</v>
      </c>
    </row>
    <row r="45" spans="4:14" x14ac:dyDescent="0.35">
      <c r="D45">
        <f t="shared" ca="1" si="10"/>
        <v>0.99592427928557381</v>
      </c>
    </row>
    <row r="46" spans="4:14" x14ac:dyDescent="0.35">
      <c r="D46">
        <f t="shared" ca="1" si="10"/>
        <v>6.3817846993783234E-2</v>
      </c>
    </row>
    <row r="47" spans="4:14" x14ac:dyDescent="0.35">
      <c r="D47">
        <f t="shared" ca="1" si="10"/>
        <v>0.19657921467296824</v>
      </c>
    </row>
    <row r="48" spans="4:14" x14ac:dyDescent="0.35">
      <c r="D48">
        <f t="shared" ca="1" si="10"/>
        <v>0.15575899308866814</v>
      </c>
    </row>
    <row r="49" spans="4:4" x14ac:dyDescent="0.35">
      <c r="D49">
        <f t="shared" ca="1" si="10"/>
        <v>0.98752826610760425</v>
      </c>
    </row>
    <row r="50" spans="4:4" x14ac:dyDescent="0.35">
      <c r="D50">
        <f t="shared" ca="1" si="10"/>
        <v>0.48209076184396271</v>
      </c>
    </row>
    <row r="51" spans="4:4" x14ac:dyDescent="0.35">
      <c r="D51">
        <f t="shared" ca="1" si="10"/>
        <v>0.77995328805476072</v>
      </c>
    </row>
    <row r="52" spans="4:4" x14ac:dyDescent="0.35">
      <c r="D52">
        <f t="shared" ca="1" si="10"/>
        <v>0.53904078178126558</v>
      </c>
    </row>
    <row r="53" spans="4:4" x14ac:dyDescent="0.35">
      <c r="D53">
        <f t="shared" ca="1" si="10"/>
        <v>0.71649596428262474</v>
      </c>
    </row>
    <row r="54" spans="4:4" x14ac:dyDescent="0.35">
      <c r="D54">
        <f t="shared" ca="1" si="10"/>
        <v>0.19797168914336649</v>
      </c>
    </row>
    <row r="55" spans="4:4" x14ac:dyDescent="0.35">
      <c r="D55">
        <f t="shared" ca="1" si="10"/>
        <v>0.48095588280480428</v>
      </c>
    </row>
    <row r="56" spans="4:4" x14ac:dyDescent="0.35">
      <c r="D56">
        <f t="shared" ca="1" si="10"/>
        <v>0.11676225907996274</v>
      </c>
    </row>
    <row r="57" spans="4:4" x14ac:dyDescent="0.35">
      <c r="D57">
        <f t="shared" ca="1" si="10"/>
        <v>0.16236569244289178</v>
      </c>
    </row>
    <row r="58" spans="4:4" x14ac:dyDescent="0.35">
      <c r="D58">
        <f t="shared" ca="1" si="10"/>
        <v>0.2217806210742691</v>
      </c>
    </row>
    <row r="59" spans="4:4" x14ac:dyDescent="0.35">
      <c r="D59">
        <f t="shared" ca="1" si="10"/>
        <v>0.55943104100687113</v>
      </c>
    </row>
    <row r="60" spans="4:4" x14ac:dyDescent="0.35">
      <c r="D60">
        <f t="shared" ca="1" si="10"/>
        <v>0.24986991019784432</v>
      </c>
    </row>
    <row r="61" spans="4:4" x14ac:dyDescent="0.35">
      <c r="D61">
        <f t="shared" ca="1" si="10"/>
        <v>0.83137125325629491</v>
      </c>
    </row>
    <row r="62" spans="4:4" x14ac:dyDescent="0.35">
      <c r="D62">
        <f t="shared" ca="1" si="10"/>
        <v>0.97206776445054122</v>
      </c>
    </row>
    <row r="63" spans="4:4" x14ac:dyDescent="0.35">
      <c r="D63">
        <f t="shared" ca="1" si="10"/>
        <v>0.76369613548937088</v>
      </c>
    </row>
    <row r="64" spans="4:4" x14ac:dyDescent="0.35">
      <c r="D64">
        <f t="shared" ca="1" si="10"/>
        <v>0.80385102275601072</v>
      </c>
    </row>
    <row r="65" spans="4:4" x14ac:dyDescent="0.35">
      <c r="D65">
        <f t="shared" ca="1" si="10"/>
        <v>0.26180751555080639</v>
      </c>
    </row>
    <row r="66" spans="4:4" x14ac:dyDescent="0.35">
      <c r="D66">
        <f t="shared" ca="1" si="10"/>
        <v>7.6103992835301559E-2</v>
      </c>
    </row>
    <row r="67" spans="4:4" x14ac:dyDescent="0.35">
      <c r="D67">
        <f t="shared" ca="1" si="10"/>
        <v>0.62098968166354496</v>
      </c>
    </row>
    <row r="68" spans="4:4" x14ac:dyDescent="0.35">
      <c r="D68">
        <f t="shared" ca="1" si="10"/>
        <v>0.16812438461418389</v>
      </c>
    </row>
    <row r="69" spans="4:4" x14ac:dyDescent="0.35">
      <c r="D69">
        <f t="shared" ca="1" si="10"/>
        <v>0.87036100555147322</v>
      </c>
    </row>
    <row r="70" spans="4:4" x14ac:dyDescent="0.35">
      <c r="D70">
        <f t="shared" ca="1" si="10"/>
        <v>0.3974755010125367</v>
      </c>
    </row>
    <row r="71" spans="4:4" x14ac:dyDescent="0.35">
      <c r="D71">
        <f t="shared" ca="1" si="10"/>
        <v>0.55126805661546607</v>
      </c>
    </row>
    <row r="72" spans="4:4" x14ac:dyDescent="0.35">
      <c r="D72">
        <f t="shared" ca="1" si="10"/>
        <v>0.32432019970599413</v>
      </c>
    </row>
    <row r="73" spans="4:4" x14ac:dyDescent="0.35">
      <c r="D73">
        <f t="shared" ca="1" si="10"/>
        <v>0.16783386114106014</v>
      </c>
    </row>
    <row r="74" spans="4:4" x14ac:dyDescent="0.35">
      <c r="D74">
        <f t="shared" ca="1" si="10"/>
        <v>0.1543530090477705</v>
      </c>
    </row>
    <row r="75" spans="4:4" x14ac:dyDescent="0.35">
      <c r="D75">
        <f t="shared" ca="1" si="10"/>
        <v>0.56436245885155323</v>
      </c>
    </row>
    <row r="76" spans="4:4" x14ac:dyDescent="0.35">
      <c r="D76">
        <f t="shared" ca="1" si="10"/>
        <v>0.67358627956945671</v>
      </c>
    </row>
    <row r="77" spans="4:4" x14ac:dyDescent="0.35">
      <c r="D77">
        <f t="shared" ca="1" si="10"/>
        <v>3.6953131393716143E-2</v>
      </c>
    </row>
    <row r="78" spans="4:4" x14ac:dyDescent="0.35">
      <c r="D78">
        <f t="shared" ca="1" si="10"/>
        <v>0.5846144241767981</v>
      </c>
    </row>
    <row r="79" spans="4:4" x14ac:dyDescent="0.35">
      <c r="D79">
        <f t="shared" ca="1" si="10"/>
        <v>0.128408950380695</v>
      </c>
    </row>
    <row r="80" spans="4:4" x14ac:dyDescent="0.35">
      <c r="D80">
        <f t="shared" ca="1" si="10"/>
        <v>6.0689676881631183E-4</v>
      </c>
    </row>
    <row r="81" spans="4:4" x14ac:dyDescent="0.35">
      <c r="D81">
        <f t="shared" ca="1" si="10"/>
        <v>0.52894145234106948</v>
      </c>
    </row>
    <row r="82" spans="4:4" x14ac:dyDescent="0.35">
      <c r="D82">
        <f t="shared" ca="1" si="10"/>
        <v>0.89034105815033404</v>
      </c>
    </row>
    <row r="83" spans="4:4" x14ac:dyDescent="0.35">
      <c r="D83">
        <f t="shared" ca="1" si="10"/>
        <v>0.1469431641143818</v>
      </c>
    </row>
    <row r="84" spans="4:4" x14ac:dyDescent="0.35">
      <c r="D84">
        <f t="shared" ca="1" si="10"/>
        <v>3.6761769131839483E-2</v>
      </c>
    </row>
    <row r="85" spans="4:4" x14ac:dyDescent="0.35">
      <c r="D85">
        <f t="shared" ca="1" si="10"/>
        <v>0.2876609084348638</v>
      </c>
    </row>
    <row r="86" spans="4:4" x14ac:dyDescent="0.35">
      <c r="D86">
        <f t="shared" ca="1" si="10"/>
        <v>0.98174124643369232</v>
      </c>
    </row>
    <row r="87" spans="4:4" x14ac:dyDescent="0.35">
      <c r="D87">
        <f t="shared" ca="1" si="10"/>
        <v>0.39662921949284047</v>
      </c>
    </row>
    <row r="88" spans="4:4" x14ac:dyDescent="0.35">
      <c r="D88">
        <f t="shared" ca="1" si="10"/>
        <v>0.74908891842859893</v>
      </c>
    </row>
    <row r="89" spans="4:4" x14ac:dyDescent="0.35">
      <c r="D89">
        <f t="shared" ca="1" si="10"/>
        <v>0.10928206929393391</v>
      </c>
    </row>
    <row r="90" spans="4:4" x14ac:dyDescent="0.35">
      <c r="D90">
        <f t="shared" ca="1" si="10"/>
        <v>0.11674610753139913</v>
      </c>
    </row>
    <row r="91" spans="4:4" x14ac:dyDescent="0.35">
      <c r="D91">
        <f t="shared" ca="1" si="10"/>
        <v>0.94886897496772626</v>
      </c>
    </row>
    <row r="92" spans="4:4" x14ac:dyDescent="0.35">
      <c r="D92">
        <f t="shared" ca="1" si="10"/>
        <v>0.27183539065225415</v>
      </c>
    </row>
    <row r="93" spans="4:4" x14ac:dyDescent="0.35">
      <c r="D93">
        <f t="shared" ca="1" si="10"/>
        <v>0.78090433596958519</v>
      </c>
    </row>
    <row r="94" spans="4:4" x14ac:dyDescent="0.35">
      <c r="D94">
        <f t="shared" ca="1" si="10"/>
        <v>2.3285761399839178E-2</v>
      </c>
    </row>
    <row r="95" spans="4:4" x14ac:dyDescent="0.35">
      <c r="D95">
        <f t="shared" ca="1" si="10"/>
        <v>0.47385726620944457</v>
      </c>
    </row>
    <row r="96" spans="4:4" x14ac:dyDescent="0.35">
      <c r="D96">
        <f t="shared" ca="1" si="10"/>
        <v>0.77418610741471705</v>
      </c>
    </row>
    <row r="97" spans="4:4" x14ac:dyDescent="0.35">
      <c r="D97">
        <f t="shared" ca="1" si="10"/>
        <v>0.69412787476285764</v>
      </c>
    </row>
    <row r="98" spans="4:4" x14ac:dyDescent="0.35">
      <c r="D98">
        <f t="shared" ca="1" si="10"/>
        <v>4.4404525853185106E-2</v>
      </c>
    </row>
    <row r="99" spans="4:4" x14ac:dyDescent="0.35">
      <c r="D99">
        <f t="shared" ca="1" si="10"/>
        <v>0.61503471401174659</v>
      </c>
    </row>
    <row r="100" spans="4:4" x14ac:dyDescent="0.35">
      <c r="D100">
        <f t="shared" ca="1" si="10"/>
        <v>0.45691604536736508</v>
      </c>
    </row>
    <row r="101" spans="4:4" x14ac:dyDescent="0.35">
      <c r="D101">
        <f t="shared" ref="D101:D164" ca="1" si="11">RAND()</f>
        <v>8.418124058047538E-3</v>
      </c>
    </row>
    <row r="102" spans="4:4" x14ac:dyDescent="0.35">
      <c r="D102">
        <f t="shared" ca="1" si="11"/>
        <v>0.15628059470835032</v>
      </c>
    </row>
    <row r="103" spans="4:4" x14ac:dyDescent="0.35">
      <c r="D103">
        <f t="shared" ca="1" si="11"/>
        <v>0.56944704247940758</v>
      </c>
    </row>
    <row r="104" spans="4:4" x14ac:dyDescent="0.35">
      <c r="D104">
        <f t="shared" ca="1" si="11"/>
        <v>0.13486577339131789</v>
      </c>
    </row>
    <row r="105" spans="4:4" x14ac:dyDescent="0.35">
      <c r="D105">
        <f t="shared" ca="1" si="11"/>
        <v>0.8469161475336241</v>
      </c>
    </row>
    <row r="106" spans="4:4" x14ac:dyDescent="0.35">
      <c r="D106">
        <f t="shared" ca="1" si="11"/>
        <v>0.93657245422797764</v>
      </c>
    </row>
    <row r="107" spans="4:4" x14ac:dyDescent="0.35">
      <c r="D107">
        <f t="shared" ca="1" si="11"/>
        <v>6.8865261224395513E-2</v>
      </c>
    </row>
    <row r="108" spans="4:4" x14ac:dyDescent="0.35">
      <c r="D108">
        <f t="shared" ca="1" si="11"/>
        <v>0.60518295468822825</v>
      </c>
    </row>
    <row r="109" spans="4:4" x14ac:dyDescent="0.35">
      <c r="D109">
        <f t="shared" ca="1" si="11"/>
        <v>0.17862182163887086</v>
      </c>
    </row>
    <row r="110" spans="4:4" x14ac:dyDescent="0.35">
      <c r="D110">
        <f t="shared" ca="1" si="11"/>
        <v>0.17339360704405993</v>
      </c>
    </row>
    <row r="111" spans="4:4" x14ac:dyDescent="0.35">
      <c r="D111">
        <f t="shared" ca="1" si="11"/>
        <v>8.5612133472491969E-2</v>
      </c>
    </row>
    <row r="112" spans="4:4" x14ac:dyDescent="0.35">
      <c r="D112">
        <f t="shared" ca="1" si="11"/>
        <v>0.74575524294724815</v>
      </c>
    </row>
    <row r="113" spans="4:4" x14ac:dyDescent="0.35">
      <c r="D113">
        <f t="shared" ca="1" si="11"/>
        <v>9.3935223329144391E-2</v>
      </c>
    </row>
    <row r="114" spans="4:4" x14ac:dyDescent="0.35">
      <c r="D114">
        <f t="shared" ca="1" si="11"/>
        <v>0.40476921823520728</v>
      </c>
    </row>
    <row r="115" spans="4:4" x14ac:dyDescent="0.35">
      <c r="D115">
        <f t="shared" ca="1" si="11"/>
        <v>0.6264158641372557</v>
      </c>
    </row>
    <row r="116" spans="4:4" x14ac:dyDescent="0.35">
      <c r="D116">
        <f t="shared" ca="1" si="11"/>
        <v>0.391038080873089</v>
      </c>
    </row>
    <row r="117" spans="4:4" x14ac:dyDescent="0.35">
      <c r="D117">
        <f t="shared" ca="1" si="11"/>
        <v>0.14960944696141754</v>
      </c>
    </row>
    <row r="118" spans="4:4" x14ac:dyDescent="0.35">
      <c r="D118">
        <f t="shared" ca="1" si="11"/>
        <v>0.56163713908094182</v>
      </c>
    </row>
    <row r="119" spans="4:4" x14ac:dyDescent="0.35">
      <c r="D119">
        <f t="shared" ca="1" si="11"/>
        <v>0.1364706478099319</v>
      </c>
    </row>
    <row r="120" spans="4:4" x14ac:dyDescent="0.35">
      <c r="D120">
        <f t="shared" ca="1" si="11"/>
        <v>0.61113139212575129</v>
      </c>
    </row>
    <row r="121" spans="4:4" x14ac:dyDescent="0.35">
      <c r="D121">
        <f t="shared" ca="1" si="11"/>
        <v>0.89968522507975379</v>
      </c>
    </row>
    <row r="122" spans="4:4" x14ac:dyDescent="0.35">
      <c r="D122">
        <f t="shared" ca="1" si="11"/>
        <v>0.89513815976094169</v>
      </c>
    </row>
    <row r="123" spans="4:4" x14ac:dyDescent="0.35">
      <c r="D123">
        <f t="shared" ca="1" si="11"/>
        <v>0.88921397911507927</v>
      </c>
    </row>
    <row r="124" spans="4:4" x14ac:dyDescent="0.35">
      <c r="D124">
        <f t="shared" ca="1" si="11"/>
        <v>0.26725780873737204</v>
      </c>
    </row>
    <row r="125" spans="4:4" x14ac:dyDescent="0.35">
      <c r="D125">
        <f t="shared" ca="1" si="11"/>
        <v>0.1571767114535203</v>
      </c>
    </row>
    <row r="126" spans="4:4" x14ac:dyDescent="0.35">
      <c r="D126">
        <f t="shared" ca="1" si="11"/>
        <v>0.30760247667483176</v>
      </c>
    </row>
    <row r="127" spans="4:4" x14ac:dyDescent="0.35">
      <c r="D127">
        <f t="shared" ca="1" si="11"/>
        <v>0.55610116906512064</v>
      </c>
    </row>
    <row r="128" spans="4:4" x14ac:dyDescent="0.35">
      <c r="D128">
        <f t="shared" ca="1" si="11"/>
        <v>0.7145366822643483</v>
      </c>
    </row>
    <row r="129" spans="4:4" x14ac:dyDescent="0.35">
      <c r="D129">
        <f t="shared" ca="1" si="11"/>
        <v>0.47765287945373669</v>
      </c>
    </row>
    <row r="130" spans="4:4" x14ac:dyDescent="0.35">
      <c r="D130">
        <f t="shared" ca="1" si="11"/>
        <v>0.96021486488298846</v>
      </c>
    </row>
    <row r="131" spans="4:4" x14ac:dyDescent="0.35">
      <c r="D131">
        <f t="shared" ca="1" si="11"/>
        <v>0.87667637534183518</v>
      </c>
    </row>
    <row r="132" spans="4:4" x14ac:dyDescent="0.35">
      <c r="D132">
        <f t="shared" ca="1" si="11"/>
        <v>0.15097115082121648</v>
      </c>
    </row>
    <row r="133" spans="4:4" x14ac:dyDescent="0.35">
      <c r="D133">
        <f t="shared" ca="1" si="11"/>
        <v>0.91587748847496497</v>
      </c>
    </row>
    <row r="134" spans="4:4" x14ac:dyDescent="0.35">
      <c r="D134">
        <f t="shared" ca="1" si="11"/>
        <v>0.56085509505189901</v>
      </c>
    </row>
    <row r="135" spans="4:4" x14ac:dyDescent="0.35">
      <c r="D135">
        <f t="shared" ca="1" si="11"/>
        <v>0.68909799345808898</v>
      </c>
    </row>
    <row r="136" spans="4:4" x14ac:dyDescent="0.35">
      <c r="D136">
        <f t="shared" ca="1" si="11"/>
        <v>0.12789441788794986</v>
      </c>
    </row>
    <row r="137" spans="4:4" x14ac:dyDescent="0.35">
      <c r="D137">
        <f t="shared" ca="1" si="11"/>
        <v>0.83578775713154785</v>
      </c>
    </row>
    <row r="138" spans="4:4" x14ac:dyDescent="0.35">
      <c r="D138">
        <f t="shared" ca="1" si="11"/>
        <v>2.9597079249946479E-2</v>
      </c>
    </row>
    <row r="139" spans="4:4" x14ac:dyDescent="0.35">
      <c r="D139">
        <f t="shared" ca="1" si="11"/>
        <v>0.61616015428933157</v>
      </c>
    </row>
    <row r="140" spans="4:4" x14ac:dyDescent="0.35">
      <c r="D140">
        <f t="shared" ca="1" si="11"/>
        <v>0.15440667377249728</v>
      </c>
    </row>
    <row r="141" spans="4:4" x14ac:dyDescent="0.35">
      <c r="D141">
        <f t="shared" ca="1" si="11"/>
        <v>0.96180407452172512</v>
      </c>
    </row>
    <row r="142" spans="4:4" x14ac:dyDescent="0.35">
      <c r="D142">
        <f t="shared" ca="1" si="11"/>
        <v>0.24759842318133818</v>
      </c>
    </row>
    <row r="143" spans="4:4" x14ac:dyDescent="0.35">
      <c r="D143">
        <f t="shared" ca="1" si="11"/>
        <v>0.10168465933862436</v>
      </c>
    </row>
    <row r="144" spans="4:4" x14ac:dyDescent="0.35">
      <c r="D144">
        <f t="shared" ca="1" si="11"/>
        <v>0.48156309766991212</v>
      </c>
    </row>
    <row r="145" spans="4:4" x14ac:dyDescent="0.35">
      <c r="D145">
        <f t="shared" ca="1" si="11"/>
        <v>0.90022510723504512</v>
      </c>
    </row>
    <row r="146" spans="4:4" x14ac:dyDescent="0.35">
      <c r="D146">
        <f t="shared" ca="1" si="11"/>
        <v>0.2652936713606866</v>
      </c>
    </row>
    <row r="147" spans="4:4" x14ac:dyDescent="0.35">
      <c r="D147">
        <f t="shared" ca="1" si="11"/>
        <v>8.9016356841910338E-2</v>
      </c>
    </row>
    <row r="148" spans="4:4" x14ac:dyDescent="0.35">
      <c r="D148">
        <f t="shared" ca="1" si="11"/>
        <v>0.86578943913595852</v>
      </c>
    </row>
    <row r="149" spans="4:4" x14ac:dyDescent="0.35">
      <c r="D149">
        <f t="shared" ca="1" si="11"/>
        <v>0.86194460197587686</v>
      </c>
    </row>
    <row r="150" spans="4:4" x14ac:dyDescent="0.35">
      <c r="D150">
        <f t="shared" ca="1" si="11"/>
        <v>0.81724205567347941</v>
      </c>
    </row>
    <row r="151" spans="4:4" x14ac:dyDescent="0.35">
      <c r="D151">
        <f t="shared" ca="1" si="11"/>
        <v>0.12011320143389015</v>
      </c>
    </row>
    <row r="152" spans="4:4" x14ac:dyDescent="0.35">
      <c r="D152">
        <f t="shared" ca="1" si="11"/>
        <v>0.42241889306757363</v>
      </c>
    </row>
    <row r="153" spans="4:4" x14ac:dyDescent="0.35">
      <c r="D153">
        <f t="shared" ca="1" si="11"/>
        <v>0.72069946984700117</v>
      </c>
    </row>
    <row r="154" spans="4:4" x14ac:dyDescent="0.35">
      <c r="D154">
        <f t="shared" ca="1" si="11"/>
        <v>0.21883817355964785</v>
      </c>
    </row>
    <row r="155" spans="4:4" x14ac:dyDescent="0.35">
      <c r="D155">
        <f t="shared" ca="1" si="11"/>
        <v>0.78741109652383223</v>
      </c>
    </row>
    <row r="156" spans="4:4" x14ac:dyDescent="0.35">
      <c r="D156">
        <f t="shared" ca="1" si="11"/>
        <v>0.33594839298871537</v>
      </c>
    </row>
    <row r="157" spans="4:4" x14ac:dyDescent="0.35">
      <c r="D157">
        <f t="shared" ca="1" si="11"/>
        <v>0.40149829222510369</v>
      </c>
    </row>
    <row r="158" spans="4:4" x14ac:dyDescent="0.35">
      <c r="D158">
        <f t="shared" ca="1" si="11"/>
        <v>0.97886838388626141</v>
      </c>
    </row>
    <row r="159" spans="4:4" x14ac:dyDescent="0.35">
      <c r="D159">
        <f t="shared" ca="1" si="11"/>
        <v>0.87288138616366784</v>
      </c>
    </row>
    <row r="160" spans="4:4" x14ac:dyDescent="0.35">
      <c r="D160">
        <f t="shared" ca="1" si="11"/>
        <v>0.12070552770279031</v>
      </c>
    </row>
    <row r="161" spans="4:4" x14ac:dyDescent="0.35">
      <c r="D161">
        <f t="shared" ca="1" si="11"/>
        <v>0.80446810612846975</v>
      </c>
    </row>
    <row r="162" spans="4:4" x14ac:dyDescent="0.35">
      <c r="D162">
        <f t="shared" ca="1" si="11"/>
        <v>0.88181973673448455</v>
      </c>
    </row>
    <row r="163" spans="4:4" x14ac:dyDescent="0.35">
      <c r="D163">
        <f t="shared" ca="1" si="11"/>
        <v>0.82736394618846443</v>
      </c>
    </row>
    <row r="164" spans="4:4" x14ac:dyDescent="0.35">
      <c r="D164">
        <f t="shared" ca="1" si="11"/>
        <v>0.77981382318872461</v>
      </c>
    </row>
    <row r="165" spans="4:4" x14ac:dyDescent="0.35">
      <c r="D165">
        <f t="shared" ref="D165:D228" ca="1" si="12">RAND()</f>
        <v>0.75344078298269301</v>
      </c>
    </row>
    <row r="166" spans="4:4" x14ac:dyDescent="0.35">
      <c r="D166">
        <f t="shared" ca="1" si="12"/>
        <v>0.37942184243043164</v>
      </c>
    </row>
    <row r="167" spans="4:4" x14ac:dyDescent="0.35">
      <c r="D167">
        <f t="shared" ca="1" si="12"/>
        <v>0.35269292454311396</v>
      </c>
    </row>
    <row r="168" spans="4:4" x14ac:dyDescent="0.35">
      <c r="D168">
        <f t="shared" ca="1" si="12"/>
        <v>0.10045545703378189</v>
      </c>
    </row>
    <row r="169" spans="4:4" x14ac:dyDescent="0.35">
      <c r="D169">
        <f t="shared" ca="1" si="12"/>
        <v>0.46446970303815549</v>
      </c>
    </row>
    <row r="170" spans="4:4" x14ac:dyDescent="0.35">
      <c r="D170">
        <f t="shared" ca="1" si="12"/>
        <v>0.35836065246446447</v>
      </c>
    </row>
    <row r="171" spans="4:4" x14ac:dyDescent="0.35">
      <c r="D171">
        <f t="shared" ca="1" si="12"/>
        <v>0.75740673191692598</v>
      </c>
    </row>
    <row r="172" spans="4:4" x14ac:dyDescent="0.35">
      <c r="D172">
        <f t="shared" ca="1" si="12"/>
        <v>0.41634387495840808</v>
      </c>
    </row>
    <row r="173" spans="4:4" x14ac:dyDescent="0.35">
      <c r="D173">
        <f t="shared" ca="1" si="12"/>
        <v>0.14631876657432286</v>
      </c>
    </row>
    <row r="174" spans="4:4" x14ac:dyDescent="0.35">
      <c r="D174">
        <f t="shared" ca="1" si="12"/>
        <v>0.54186723662192149</v>
      </c>
    </row>
    <row r="175" spans="4:4" x14ac:dyDescent="0.35">
      <c r="D175">
        <f t="shared" ca="1" si="12"/>
        <v>0.25978899654488052</v>
      </c>
    </row>
    <row r="176" spans="4:4" x14ac:dyDescent="0.35">
      <c r="D176">
        <f t="shared" ca="1" si="12"/>
        <v>0.83404840469317965</v>
      </c>
    </row>
    <row r="177" spans="4:4" x14ac:dyDescent="0.35">
      <c r="D177">
        <f t="shared" ca="1" si="12"/>
        <v>0.77012855716819151</v>
      </c>
    </row>
    <row r="178" spans="4:4" x14ac:dyDescent="0.35">
      <c r="D178">
        <f t="shared" ca="1" si="12"/>
        <v>9.8640037882990694E-2</v>
      </c>
    </row>
    <row r="179" spans="4:4" x14ac:dyDescent="0.35">
      <c r="D179">
        <f t="shared" ca="1" si="12"/>
        <v>0.98711539438052365</v>
      </c>
    </row>
    <row r="180" spans="4:4" x14ac:dyDescent="0.35">
      <c r="D180">
        <f t="shared" ca="1" si="12"/>
        <v>0.47050136646871665</v>
      </c>
    </row>
    <row r="181" spans="4:4" x14ac:dyDescent="0.35">
      <c r="D181">
        <f t="shared" ca="1" si="12"/>
        <v>0.52145283648580798</v>
      </c>
    </row>
    <row r="182" spans="4:4" x14ac:dyDescent="0.35">
      <c r="D182">
        <f t="shared" ca="1" si="12"/>
        <v>0.80370721498660291</v>
      </c>
    </row>
    <row r="183" spans="4:4" x14ac:dyDescent="0.35">
      <c r="D183">
        <f t="shared" ca="1" si="12"/>
        <v>0.89998232279993295</v>
      </c>
    </row>
    <row r="184" spans="4:4" x14ac:dyDescent="0.35">
      <c r="D184">
        <f t="shared" ca="1" si="12"/>
        <v>0.32913942307532706</v>
      </c>
    </row>
    <row r="185" spans="4:4" x14ac:dyDescent="0.35">
      <c r="D185">
        <f t="shared" ca="1" si="12"/>
        <v>3.8311192887764633E-2</v>
      </c>
    </row>
    <row r="186" spans="4:4" x14ac:dyDescent="0.35">
      <c r="D186">
        <f t="shared" ca="1" si="12"/>
        <v>8.6047591012193947E-2</v>
      </c>
    </row>
    <row r="187" spans="4:4" x14ac:dyDescent="0.35">
      <c r="D187">
        <f t="shared" ca="1" si="12"/>
        <v>0.56936329291134979</v>
      </c>
    </row>
    <row r="188" spans="4:4" x14ac:dyDescent="0.35">
      <c r="D188">
        <f t="shared" ca="1" si="12"/>
        <v>0.68661545729599893</v>
      </c>
    </row>
    <row r="189" spans="4:4" x14ac:dyDescent="0.35">
      <c r="D189">
        <f t="shared" ca="1" si="12"/>
        <v>0.37797451221098344</v>
      </c>
    </row>
    <row r="190" spans="4:4" x14ac:dyDescent="0.35">
      <c r="D190">
        <f t="shared" ca="1" si="12"/>
        <v>0.8483267435409152</v>
      </c>
    </row>
    <row r="191" spans="4:4" x14ac:dyDescent="0.35">
      <c r="D191">
        <f t="shared" ca="1" si="12"/>
        <v>0.99850438901308791</v>
      </c>
    </row>
    <row r="192" spans="4:4" x14ac:dyDescent="0.35">
      <c r="D192">
        <f t="shared" ca="1" si="12"/>
        <v>0.57178752654158893</v>
      </c>
    </row>
    <row r="193" spans="4:4" x14ac:dyDescent="0.35">
      <c r="D193">
        <f t="shared" ca="1" si="12"/>
        <v>0.21565870622159078</v>
      </c>
    </row>
    <row r="194" spans="4:4" x14ac:dyDescent="0.35">
      <c r="D194">
        <f t="shared" ca="1" si="12"/>
        <v>0.93860890861033341</v>
      </c>
    </row>
    <row r="195" spans="4:4" x14ac:dyDescent="0.35">
      <c r="D195">
        <f t="shared" ca="1" si="12"/>
        <v>0.43606974436563473</v>
      </c>
    </row>
    <row r="196" spans="4:4" x14ac:dyDescent="0.35">
      <c r="D196">
        <f t="shared" ca="1" si="12"/>
        <v>0.21942867049331349</v>
      </c>
    </row>
    <row r="197" spans="4:4" x14ac:dyDescent="0.35">
      <c r="D197">
        <f t="shared" ca="1" si="12"/>
        <v>0.23250783855580992</v>
      </c>
    </row>
    <row r="198" spans="4:4" x14ac:dyDescent="0.35">
      <c r="D198">
        <f t="shared" ca="1" si="12"/>
        <v>0.45857384121176703</v>
      </c>
    </row>
    <row r="199" spans="4:4" x14ac:dyDescent="0.35">
      <c r="D199">
        <f t="shared" ca="1" si="12"/>
        <v>0.37626176375345721</v>
      </c>
    </row>
    <row r="200" spans="4:4" x14ac:dyDescent="0.35">
      <c r="D200">
        <f t="shared" ca="1" si="12"/>
        <v>0.55596587697465816</v>
      </c>
    </row>
    <row r="201" spans="4:4" x14ac:dyDescent="0.35">
      <c r="D201">
        <f t="shared" ca="1" si="12"/>
        <v>0.90475697077708861</v>
      </c>
    </row>
    <row r="202" spans="4:4" x14ac:dyDescent="0.35">
      <c r="D202">
        <f t="shared" ca="1" si="12"/>
        <v>0.62678177365277776</v>
      </c>
    </row>
    <row r="203" spans="4:4" x14ac:dyDescent="0.35">
      <c r="D203">
        <f t="shared" ca="1" si="12"/>
        <v>0.22979218240230781</v>
      </c>
    </row>
    <row r="204" spans="4:4" x14ac:dyDescent="0.35">
      <c r="D204">
        <f t="shared" ca="1" si="12"/>
        <v>4.0838868927462246E-2</v>
      </c>
    </row>
    <row r="205" spans="4:4" x14ac:dyDescent="0.35">
      <c r="D205">
        <f t="shared" ca="1" si="12"/>
        <v>0.22685206868072483</v>
      </c>
    </row>
    <row r="206" spans="4:4" x14ac:dyDescent="0.35">
      <c r="D206">
        <f t="shared" ca="1" si="12"/>
        <v>0.58150485824464204</v>
      </c>
    </row>
    <row r="207" spans="4:4" x14ac:dyDescent="0.35">
      <c r="D207">
        <f t="shared" ca="1" si="12"/>
        <v>0.3238022267736026</v>
      </c>
    </row>
    <row r="208" spans="4:4" x14ac:dyDescent="0.35">
      <c r="D208">
        <f t="shared" ca="1" si="12"/>
        <v>0.24009543617379259</v>
      </c>
    </row>
    <row r="209" spans="4:4" x14ac:dyDescent="0.35">
      <c r="D209">
        <f t="shared" ca="1" si="12"/>
        <v>0.70843014262009785</v>
      </c>
    </row>
    <row r="210" spans="4:4" x14ac:dyDescent="0.35">
      <c r="D210">
        <f t="shared" ca="1" si="12"/>
        <v>0.76389667415413043</v>
      </c>
    </row>
    <row r="211" spans="4:4" x14ac:dyDescent="0.35">
      <c r="D211">
        <f t="shared" ca="1" si="12"/>
        <v>0.8656070973099117</v>
      </c>
    </row>
    <row r="212" spans="4:4" x14ac:dyDescent="0.35">
      <c r="D212">
        <f t="shared" ca="1" si="12"/>
        <v>0.87793485823730388</v>
      </c>
    </row>
    <row r="213" spans="4:4" x14ac:dyDescent="0.35">
      <c r="D213">
        <f t="shared" ca="1" si="12"/>
        <v>0.22099608602916432</v>
      </c>
    </row>
    <row r="214" spans="4:4" x14ac:dyDescent="0.35">
      <c r="D214">
        <f t="shared" ca="1" si="12"/>
        <v>0.82952386011983326</v>
      </c>
    </row>
    <row r="215" spans="4:4" x14ac:dyDescent="0.35">
      <c r="D215">
        <f t="shared" ca="1" si="12"/>
        <v>7.8244715154018207E-2</v>
      </c>
    </row>
    <row r="216" spans="4:4" x14ac:dyDescent="0.35">
      <c r="D216">
        <f t="shared" ca="1" si="12"/>
        <v>0.4226494383363254</v>
      </c>
    </row>
    <row r="217" spans="4:4" x14ac:dyDescent="0.35">
      <c r="D217">
        <f t="shared" ca="1" si="12"/>
        <v>0.39101878701773385</v>
      </c>
    </row>
    <row r="218" spans="4:4" x14ac:dyDescent="0.35">
      <c r="D218">
        <f t="shared" ca="1" si="12"/>
        <v>0.46674355715112914</v>
      </c>
    </row>
    <row r="219" spans="4:4" x14ac:dyDescent="0.35">
      <c r="D219">
        <f t="shared" ca="1" si="12"/>
        <v>0.92559219318355523</v>
      </c>
    </row>
    <row r="220" spans="4:4" x14ac:dyDescent="0.35">
      <c r="D220">
        <f t="shared" ca="1" si="12"/>
        <v>0.86992795498109454</v>
      </c>
    </row>
    <row r="221" spans="4:4" x14ac:dyDescent="0.35">
      <c r="D221">
        <f t="shared" ca="1" si="12"/>
        <v>0.64083706327612522</v>
      </c>
    </row>
    <row r="222" spans="4:4" x14ac:dyDescent="0.35">
      <c r="D222">
        <f t="shared" ca="1" si="12"/>
        <v>0.33773781464441066</v>
      </c>
    </row>
    <row r="223" spans="4:4" x14ac:dyDescent="0.35">
      <c r="D223">
        <f t="shared" ca="1" si="12"/>
        <v>0.51190639350638611</v>
      </c>
    </row>
    <row r="224" spans="4:4" x14ac:dyDescent="0.35">
      <c r="D224">
        <f t="shared" ca="1" si="12"/>
        <v>0.53007060937908113</v>
      </c>
    </row>
    <row r="225" spans="4:4" x14ac:dyDescent="0.35">
      <c r="D225">
        <f t="shared" ca="1" si="12"/>
        <v>0.85282704071926463</v>
      </c>
    </row>
    <row r="226" spans="4:4" x14ac:dyDescent="0.35">
      <c r="D226">
        <f t="shared" ca="1" si="12"/>
        <v>0.56535385036223451</v>
      </c>
    </row>
    <row r="227" spans="4:4" x14ac:dyDescent="0.35">
      <c r="D227">
        <f t="shared" ca="1" si="12"/>
        <v>0.45223626151039831</v>
      </c>
    </row>
    <row r="228" spans="4:4" x14ac:dyDescent="0.35">
      <c r="D228">
        <f t="shared" ca="1" si="12"/>
        <v>0.83330609574485381</v>
      </c>
    </row>
    <row r="229" spans="4:4" x14ac:dyDescent="0.35">
      <c r="D229">
        <f t="shared" ref="D229:D292" ca="1" si="13">RAND()</f>
        <v>0.34261997195847427</v>
      </c>
    </row>
    <row r="230" spans="4:4" x14ac:dyDescent="0.35">
      <c r="D230">
        <f t="shared" ca="1" si="13"/>
        <v>0.51184238365451873</v>
      </c>
    </row>
    <row r="231" spans="4:4" x14ac:dyDescent="0.35">
      <c r="D231">
        <f t="shared" ca="1" si="13"/>
        <v>0.15338574744751987</v>
      </c>
    </row>
    <row r="232" spans="4:4" x14ac:dyDescent="0.35">
      <c r="D232">
        <f t="shared" ca="1" si="13"/>
        <v>0.8112904161819825</v>
      </c>
    </row>
    <row r="233" spans="4:4" x14ac:dyDescent="0.35">
      <c r="D233">
        <f t="shared" ca="1" si="13"/>
        <v>0.37713596797205307</v>
      </c>
    </row>
    <row r="234" spans="4:4" x14ac:dyDescent="0.35">
      <c r="D234">
        <f t="shared" ca="1" si="13"/>
        <v>0.31743988506886733</v>
      </c>
    </row>
    <row r="235" spans="4:4" x14ac:dyDescent="0.35">
      <c r="D235">
        <f t="shared" ca="1" si="13"/>
        <v>0.14334560720430978</v>
      </c>
    </row>
    <row r="236" spans="4:4" x14ac:dyDescent="0.35">
      <c r="D236">
        <f t="shared" ca="1" si="13"/>
        <v>0.11920833297505673</v>
      </c>
    </row>
    <row r="237" spans="4:4" x14ac:dyDescent="0.35">
      <c r="D237">
        <f t="shared" ca="1" si="13"/>
        <v>0.22412287102579986</v>
      </c>
    </row>
    <row r="238" spans="4:4" x14ac:dyDescent="0.35">
      <c r="D238">
        <f t="shared" ca="1" si="13"/>
        <v>0.10360439338070271</v>
      </c>
    </row>
    <row r="239" spans="4:4" x14ac:dyDescent="0.35">
      <c r="D239">
        <f t="shared" ca="1" si="13"/>
        <v>0.51447858485853881</v>
      </c>
    </row>
    <row r="240" spans="4:4" x14ac:dyDescent="0.35">
      <c r="D240">
        <f t="shared" ca="1" si="13"/>
        <v>0.36796418633569017</v>
      </c>
    </row>
    <row r="241" spans="4:4" x14ac:dyDescent="0.35">
      <c r="D241">
        <f t="shared" ca="1" si="13"/>
        <v>0.98016769104516954</v>
      </c>
    </row>
    <row r="242" spans="4:4" x14ac:dyDescent="0.35">
      <c r="D242">
        <f t="shared" ca="1" si="13"/>
        <v>0.9484946443437805</v>
      </c>
    </row>
    <row r="243" spans="4:4" x14ac:dyDescent="0.35">
      <c r="D243">
        <f t="shared" ca="1" si="13"/>
        <v>0.64134441327778813</v>
      </c>
    </row>
    <row r="244" spans="4:4" x14ac:dyDescent="0.35">
      <c r="D244">
        <f t="shared" ca="1" si="13"/>
        <v>0.87662664074175534</v>
      </c>
    </row>
    <row r="245" spans="4:4" x14ac:dyDescent="0.35">
      <c r="D245">
        <f t="shared" ca="1" si="13"/>
        <v>0.36161092239318582</v>
      </c>
    </row>
    <row r="246" spans="4:4" x14ac:dyDescent="0.35">
      <c r="D246">
        <f t="shared" ca="1" si="13"/>
        <v>0.6609167064856406</v>
      </c>
    </row>
    <row r="247" spans="4:4" x14ac:dyDescent="0.35">
      <c r="D247">
        <f t="shared" ca="1" si="13"/>
        <v>0.11342014247995125</v>
      </c>
    </row>
    <row r="248" spans="4:4" x14ac:dyDescent="0.35">
      <c r="D248">
        <f t="shared" ca="1" si="13"/>
        <v>0.63577634385774007</v>
      </c>
    </row>
    <row r="249" spans="4:4" x14ac:dyDescent="0.35">
      <c r="D249">
        <f t="shared" ca="1" si="13"/>
        <v>0.82468258537546713</v>
      </c>
    </row>
    <row r="250" spans="4:4" x14ac:dyDescent="0.35">
      <c r="D250">
        <f t="shared" ca="1" si="13"/>
        <v>0.28850037077374269</v>
      </c>
    </row>
    <row r="251" spans="4:4" x14ac:dyDescent="0.35">
      <c r="D251">
        <f t="shared" ca="1" si="13"/>
        <v>0.67309175243983366</v>
      </c>
    </row>
    <row r="252" spans="4:4" x14ac:dyDescent="0.35">
      <c r="D252">
        <f t="shared" ca="1" si="13"/>
        <v>0.3543161201201589</v>
      </c>
    </row>
    <row r="253" spans="4:4" x14ac:dyDescent="0.35">
      <c r="D253">
        <f t="shared" ca="1" si="13"/>
        <v>8.5828075723803909E-3</v>
      </c>
    </row>
    <row r="254" spans="4:4" x14ac:dyDescent="0.35">
      <c r="D254">
        <f t="shared" ca="1" si="13"/>
        <v>0.52170532476359555</v>
      </c>
    </row>
    <row r="255" spans="4:4" x14ac:dyDescent="0.35">
      <c r="D255">
        <f t="shared" ca="1" si="13"/>
        <v>1.0832986925401022E-2</v>
      </c>
    </row>
    <row r="256" spans="4:4" x14ac:dyDescent="0.35">
      <c r="D256">
        <f t="shared" ca="1" si="13"/>
        <v>0.37869445919357592</v>
      </c>
    </row>
    <row r="257" spans="4:4" x14ac:dyDescent="0.35">
      <c r="D257">
        <f t="shared" ca="1" si="13"/>
        <v>0.51372342674079574</v>
      </c>
    </row>
    <row r="258" spans="4:4" x14ac:dyDescent="0.35">
      <c r="D258">
        <f t="shared" ca="1" si="13"/>
        <v>0.94763173921793875</v>
      </c>
    </row>
    <row r="259" spans="4:4" x14ac:dyDescent="0.35">
      <c r="D259">
        <f t="shared" ca="1" si="13"/>
        <v>0.47619990145552782</v>
      </c>
    </row>
    <row r="260" spans="4:4" x14ac:dyDescent="0.35">
      <c r="D260">
        <f t="shared" ca="1" si="13"/>
        <v>7.3819762671348821E-3</v>
      </c>
    </row>
    <row r="261" spans="4:4" x14ac:dyDescent="0.35">
      <c r="D261">
        <f t="shared" ca="1" si="13"/>
        <v>0.79516796295330805</v>
      </c>
    </row>
    <row r="262" spans="4:4" x14ac:dyDescent="0.35">
      <c r="D262">
        <f t="shared" ca="1" si="13"/>
        <v>0.94946222375968203</v>
      </c>
    </row>
    <row r="263" spans="4:4" x14ac:dyDescent="0.35">
      <c r="D263">
        <f t="shared" ca="1" si="13"/>
        <v>0.62146381179452392</v>
      </c>
    </row>
    <row r="264" spans="4:4" x14ac:dyDescent="0.35">
      <c r="D264">
        <f t="shared" ca="1" si="13"/>
        <v>0.4667021201762529</v>
      </c>
    </row>
    <row r="265" spans="4:4" x14ac:dyDescent="0.35">
      <c r="D265">
        <f t="shared" ca="1" si="13"/>
        <v>0.87356856457415344</v>
      </c>
    </row>
    <row r="266" spans="4:4" x14ac:dyDescent="0.35">
      <c r="D266">
        <f t="shared" ca="1" si="13"/>
        <v>0.3766086521418448</v>
      </c>
    </row>
    <row r="267" spans="4:4" x14ac:dyDescent="0.35">
      <c r="D267">
        <f t="shared" ca="1" si="13"/>
        <v>0.27600793394342582</v>
      </c>
    </row>
    <row r="268" spans="4:4" x14ac:dyDescent="0.35">
      <c r="D268">
        <f t="shared" ca="1" si="13"/>
        <v>0.48681616147494278</v>
      </c>
    </row>
    <row r="269" spans="4:4" x14ac:dyDescent="0.35">
      <c r="D269">
        <f t="shared" ca="1" si="13"/>
        <v>0.47800683544689571</v>
      </c>
    </row>
    <row r="270" spans="4:4" x14ac:dyDescent="0.35">
      <c r="D270">
        <f t="shared" ca="1" si="13"/>
        <v>0.25888385535381631</v>
      </c>
    </row>
    <row r="271" spans="4:4" x14ac:dyDescent="0.35">
      <c r="D271">
        <f t="shared" ca="1" si="13"/>
        <v>0.46541505107206849</v>
      </c>
    </row>
    <row r="272" spans="4:4" x14ac:dyDescent="0.35">
      <c r="D272">
        <f t="shared" ca="1" si="13"/>
        <v>0.84356812289740912</v>
      </c>
    </row>
    <row r="273" spans="4:4" x14ac:dyDescent="0.35">
      <c r="D273">
        <f t="shared" ca="1" si="13"/>
        <v>0.81444957424734155</v>
      </c>
    </row>
    <row r="274" spans="4:4" x14ac:dyDescent="0.35">
      <c r="D274">
        <f t="shared" ca="1" si="13"/>
        <v>0.12414064829987626</v>
      </c>
    </row>
    <row r="275" spans="4:4" x14ac:dyDescent="0.35">
      <c r="D275">
        <f t="shared" ca="1" si="13"/>
        <v>0.21076070372982769</v>
      </c>
    </row>
    <row r="276" spans="4:4" x14ac:dyDescent="0.35">
      <c r="D276">
        <f t="shared" ca="1" si="13"/>
        <v>0.70967927622246763</v>
      </c>
    </row>
    <row r="277" spans="4:4" x14ac:dyDescent="0.35">
      <c r="D277">
        <f t="shared" ca="1" si="13"/>
        <v>0.26959251745736934</v>
      </c>
    </row>
    <row r="278" spans="4:4" x14ac:dyDescent="0.35">
      <c r="D278">
        <f t="shared" ca="1" si="13"/>
        <v>0.88017000386081523</v>
      </c>
    </row>
    <row r="279" spans="4:4" x14ac:dyDescent="0.35">
      <c r="D279">
        <f t="shared" ca="1" si="13"/>
        <v>0.15969222907840197</v>
      </c>
    </row>
    <row r="280" spans="4:4" x14ac:dyDescent="0.35">
      <c r="D280">
        <f t="shared" ca="1" si="13"/>
        <v>0.23833153391308826</v>
      </c>
    </row>
    <row r="281" spans="4:4" x14ac:dyDescent="0.35">
      <c r="D281">
        <f t="shared" ca="1" si="13"/>
        <v>0.9918604864418582</v>
      </c>
    </row>
    <row r="282" spans="4:4" x14ac:dyDescent="0.35">
      <c r="D282">
        <f t="shared" ca="1" si="13"/>
        <v>0.34333269345927109</v>
      </c>
    </row>
    <row r="283" spans="4:4" x14ac:dyDescent="0.35">
      <c r="D283">
        <f t="shared" ca="1" si="13"/>
        <v>0.75117900657516556</v>
      </c>
    </row>
    <row r="284" spans="4:4" x14ac:dyDescent="0.35">
      <c r="D284">
        <f t="shared" ca="1" si="13"/>
        <v>0.94412119389683113</v>
      </c>
    </row>
    <row r="285" spans="4:4" x14ac:dyDescent="0.35">
      <c r="D285">
        <f t="shared" ca="1" si="13"/>
        <v>0.49260867880985149</v>
      </c>
    </row>
    <row r="286" spans="4:4" x14ac:dyDescent="0.35">
      <c r="D286">
        <f t="shared" ca="1" si="13"/>
        <v>0.5177664074542675</v>
      </c>
    </row>
    <row r="287" spans="4:4" x14ac:dyDescent="0.35">
      <c r="D287">
        <f t="shared" ca="1" si="13"/>
        <v>0.83052502847724885</v>
      </c>
    </row>
    <row r="288" spans="4:4" x14ac:dyDescent="0.35">
      <c r="D288">
        <f t="shared" ca="1" si="13"/>
        <v>0.4719424446070507</v>
      </c>
    </row>
    <row r="289" spans="4:4" x14ac:dyDescent="0.35">
      <c r="D289">
        <f t="shared" ca="1" si="13"/>
        <v>0.87744694919117949</v>
      </c>
    </row>
    <row r="290" spans="4:4" x14ac:dyDescent="0.35">
      <c r="D290">
        <f t="shared" ca="1" si="13"/>
        <v>0.93786112312997105</v>
      </c>
    </row>
    <row r="291" spans="4:4" x14ac:dyDescent="0.35">
      <c r="D291">
        <f t="shared" ca="1" si="13"/>
        <v>0.45783949081619901</v>
      </c>
    </row>
    <row r="292" spans="4:4" x14ac:dyDescent="0.35">
      <c r="D292">
        <f t="shared" ca="1" si="13"/>
        <v>0.50885975985120124</v>
      </c>
    </row>
    <row r="293" spans="4:4" x14ac:dyDescent="0.35">
      <c r="D293">
        <f t="shared" ref="D293:D356" ca="1" si="14">RAND()</f>
        <v>0.47461451190208759</v>
      </c>
    </row>
    <row r="294" spans="4:4" x14ac:dyDescent="0.35">
      <c r="D294">
        <f t="shared" ca="1" si="14"/>
        <v>0.39848350967779111</v>
      </c>
    </row>
    <row r="295" spans="4:4" x14ac:dyDescent="0.35">
      <c r="D295">
        <f t="shared" ca="1" si="14"/>
        <v>0.40792536372304522</v>
      </c>
    </row>
    <row r="296" spans="4:4" x14ac:dyDescent="0.35">
      <c r="D296">
        <f t="shared" ca="1" si="14"/>
        <v>0.96014843548643103</v>
      </c>
    </row>
    <row r="297" spans="4:4" x14ac:dyDescent="0.35">
      <c r="D297">
        <f t="shared" ca="1" si="14"/>
        <v>0.51363058832278174</v>
      </c>
    </row>
    <row r="298" spans="4:4" x14ac:dyDescent="0.35">
      <c r="D298">
        <f t="shared" ca="1" si="14"/>
        <v>0.42946347995378253</v>
      </c>
    </row>
    <row r="299" spans="4:4" x14ac:dyDescent="0.35">
      <c r="D299">
        <f t="shared" ca="1" si="14"/>
        <v>8.2800750625469544E-2</v>
      </c>
    </row>
    <row r="300" spans="4:4" x14ac:dyDescent="0.35">
      <c r="D300">
        <f t="shared" ca="1" si="14"/>
        <v>5.6582736379795051E-2</v>
      </c>
    </row>
    <row r="301" spans="4:4" x14ac:dyDescent="0.35">
      <c r="D301">
        <f t="shared" ca="1" si="14"/>
        <v>0.74395495052314786</v>
      </c>
    </row>
    <row r="302" spans="4:4" x14ac:dyDescent="0.35">
      <c r="D302">
        <f t="shared" ca="1" si="14"/>
        <v>0.64511571698042181</v>
      </c>
    </row>
    <row r="303" spans="4:4" x14ac:dyDescent="0.35">
      <c r="D303">
        <f t="shared" ca="1" si="14"/>
        <v>0.26737362499868722</v>
      </c>
    </row>
    <row r="304" spans="4:4" x14ac:dyDescent="0.35">
      <c r="D304">
        <f t="shared" ca="1" si="14"/>
        <v>0.84130487396261333</v>
      </c>
    </row>
    <row r="305" spans="4:4" x14ac:dyDescent="0.35">
      <c r="D305">
        <f t="shared" ca="1" si="14"/>
        <v>0.76807658561416314</v>
      </c>
    </row>
    <row r="306" spans="4:4" x14ac:dyDescent="0.35">
      <c r="D306">
        <f t="shared" ca="1" si="14"/>
        <v>0.16611179394164299</v>
      </c>
    </row>
    <row r="307" spans="4:4" x14ac:dyDescent="0.35">
      <c r="D307">
        <f t="shared" ca="1" si="14"/>
        <v>0.15176476337811751</v>
      </c>
    </row>
    <row r="308" spans="4:4" x14ac:dyDescent="0.35">
      <c r="D308">
        <f t="shared" ca="1" si="14"/>
        <v>0.44177027601364827</v>
      </c>
    </row>
    <row r="309" spans="4:4" x14ac:dyDescent="0.35">
      <c r="D309">
        <f t="shared" ca="1" si="14"/>
        <v>0.84683122032936875</v>
      </c>
    </row>
    <row r="310" spans="4:4" x14ac:dyDescent="0.35">
      <c r="D310">
        <f t="shared" ca="1" si="14"/>
        <v>0.4452169876883233</v>
      </c>
    </row>
    <row r="311" spans="4:4" x14ac:dyDescent="0.35">
      <c r="D311">
        <f t="shared" ca="1" si="14"/>
        <v>0.28650390271949289</v>
      </c>
    </row>
    <row r="312" spans="4:4" x14ac:dyDescent="0.35">
      <c r="D312">
        <f t="shared" ca="1" si="14"/>
        <v>0.9556445828309259</v>
      </c>
    </row>
    <row r="313" spans="4:4" x14ac:dyDescent="0.35">
      <c r="D313">
        <f t="shared" ca="1" si="14"/>
        <v>6.3663037200536787E-2</v>
      </c>
    </row>
    <row r="314" spans="4:4" x14ac:dyDescent="0.35">
      <c r="D314">
        <f t="shared" ca="1" si="14"/>
        <v>0.1002063484078517</v>
      </c>
    </row>
    <row r="315" spans="4:4" x14ac:dyDescent="0.35">
      <c r="D315">
        <f t="shared" ca="1" si="14"/>
        <v>0.20256946750068261</v>
      </c>
    </row>
    <row r="316" spans="4:4" x14ac:dyDescent="0.35">
      <c r="D316">
        <f t="shared" ca="1" si="14"/>
        <v>0.9617655476939696</v>
      </c>
    </row>
    <row r="317" spans="4:4" x14ac:dyDescent="0.35">
      <c r="D317">
        <f t="shared" ca="1" si="14"/>
        <v>0.25805612387883714</v>
      </c>
    </row>
    <row r="318" spans="4:4" x14ac:dyDescent="0.35">
      <c r="D318">
        <f t="shared" ca="1" si="14"/>
        <v>0.76208835974407729</v>
      </c>
    </row>
    <row r="319" spans="4:4" x14ac:dyDescent="0.35">
      <c r="D319">
        <f t="shared" ca="1" si="14"/>
        <v>0.96222052541560499</v>
      </c>
    </row>
    <row r="320" spans="4:4" x14ac:dyDescent="0.35">
      <c r="D320">
        <f t="shared" ca="1" si="14"/>
        <v>0.100533538793531</v>
      </c>
    </row>
    <row r="321" spans="4:4" x14ac:dyDescent="0.35">
      <c r="D321">
        <f t="shared" ca="1" si="14"/>
        <v>0.99918462595314339</v>
      </c>
    </row>
    <row r="322" spans="4:4" x14ac:dyDescent="0.35">
      <c r="D322">
        <f t="shared" ca="1" si="14"/>
        <v>0.78239698739411467</v>
      </c>
    </row>
    <row r="323" spans="4:4" x14ac:dyDescent="0.35">
      <c r="D323">
        <f t="shared" ca="1" si="14"/>
        <v>0.14456856168845234</v>
      </c>
    </row>
    <row r="324" spans="4:4" x14ac:dyDescent="0.35">
      <c r="D324">
        <f t="shared" ca="1" si="14"/>
        <v>0.81470236337341662</v>
      </c>
    </row>
    <row r="325" spans="4:4" x14ac:dyDescent="0.35">
      <c r="D325">
        <f t="shared" ca="1" si="14"/>
        <v>0.92985625760927015</v>
      </c>
    </row>
    <row r="326" spans="4:4" x14ac:dyDescent="0.35">
      <c r="D326">
        <f t="shared" ca="1" si="14"/>
        <v>0.61849419661493432</v>
      </c>
    </row>
    <row r="327" spans="4:4" x14ac:dyDescent="0.35">
      <c r="D327">
        <f t="shared" ca="1" si="14"/>
        <v>9.0749219931889336E-3</v>
      </c>
    </row>
    <row r="328" spans="4:4" x14ac:dyDescent="0.35">
      <c r="D328">
        <f t="shared" ca="1" si="14"/>
        <v>5.6716341786410274E-2</v>
      </c>
    </row>
    <row r="329" spans="4:4" x14ac:dyDescent="0.35">
      <c r="D329">
        <f t="shared" ca="1" si="14"/>
        <v>0.19650109978131247</v>
      </c>
    </row>
    <row r="330" spans="4:4" x14ac:dyDescent="0.35">
      <c r="D330">
        <f t="shared" ca="1" si="14"/>
        <v>3.2808495854798947E-2</v>
      </c>
    </row>
    <row r="331" spans="4:4" x14ac:dyDescent="0.35">
      <c r="D331">
        <f t="shared" ca="1" si="14"/>
        <v>0.98763183797511478</v>
      </c>
    </row>
    <row r="332" spans="4:4" x14ac:dyDescent="0.35">
      <c r="D332">
        <f t="shared" ca="1" si="14"/>
        <v>0.99071390561312611</v>
      </c>
    </row>
    <row r="333" spans="4:4" x14ac:dyDescent="0.35">
      <c r="D333">
        <f t="shared" ca="1" si="14"/>
        <v>0.28481231652486494</v>
      </c>
    </row>
    <row r="334" spans="4:4" x14ac:dyDescent="0.35">
      <c r="D334">
        <f t="shared" ca="1" si="14"/>
        <v>0.63345301419353117</v>
      </c>
    </row>
    <row r="335" spans="4:4" x14ac:dyDescent="0.35">
      <c r="D335">
        <f t="shared" ca="1" si="14"/>
        <v>0.68537901108988286</v>
      </c>
    </row>
    <row r="336" spans="4:4" x14ac:dyDescent="0.35">
      <c r="D336">
        <f t="shared" ca="1" si="14"/>
        <v>0.19930392635728744</v>
      </c>
    </row>
    <row r="337" spans="4:4" x14ac:dyDescent="0.35">
      <c r="D337">
        <f t="shared" ca="1" si="14"/>
        <v>0.8414834531916513</v>
      </c>
    </row>
    <row r="338" spans="4:4" x14ac:dyDescent="0.35">
      <c r="D338">
        <f t="shared" ca="1" si="14"/>
        <v>0.54208481061269642</v>
      </c>
    </row>
    <row r="339" spans="4:4" x14ac:dyDescent="0.35">
      <c r="D339">
        <f t="shared" ca="1" si="14"/>
        <v>0.78694924593685811</v>
      </c>
    </row>
    <row r="340" spans="4:4" x14ac:dyDescent="0.35">
      <c r="D340">
        <f t="shared" ca="1" si="14"/>
        <v>0.20754030817463398</v>
      </c>
    </row>
    <row r="341" spans="4:4" x14ac:dyDescent="0.35">
      <c r="D341">
        <f t="shared" ca="1" si="14"/>
        <v>0.65225086524046505</v>
      </c>
    </row>
    <row r="342" spans="4:4" x14ac:dyDescent="0.35">
      <c r="D342">
        <f t="shared" ca="1" si="14"/>
        <v>0.82935915993059028</v>
      </c>
    </row>
    <row r="343" spans="4:4" x14ac:dyDescent="0.35">
      <c r="D343">
        <f t="shared" ca="1" si="14"/>
        <v>0.59246256548975118</v>
      </c>
    </row>
    <row r="344" spans="4:4" x14ac:dyDescent="0.35">
      <c r="D344">
        <f t="shared" ca="1" si="14"/>
        <v>0.41254829075898358</v>
      </c>
    </row>
    <row r="345" spans="4:4" x14ac:dyDescent="0.35">
      <c r="D345">
        <f t="shared" ca="1" si="14"/>
        <v>0.70093196073506403</v>
      </c>
    </row>
    <row r="346" spans="4:4" x14ac:dyDescent="0.35">
      <c r="D346">
        <f t="shared" ca="1" si="14"/>
        <v>0.23319020036270999</v>
      </c>
    </row>
    <row r="347" spans="4:4" x14ac:dyDescent="0.35">
      <c r="D347">
        <f t="shared" ca="1" si="14"/>
        <v>0.10230242583641702</v>
      </c>
    </row>
    <row r="348" spans="4:4" x14ac:dyDescent="0.35">
      <c r="D348">
        <f t="shared" ca="1" si="14"/>
        <v>0.86071988503964936</v>
      </c>
    </row>
    <row r="349" spans="4:4" x14ac:dyDescent="0.35">
      <c r="D349">
        <f t="shared" ca="1" si="14"/>
        <v>0.92552388954952269</v>
      </c>
    </row>
    <row r="350" spans="4:4" x14ac:dyDescent="0.35">
      <c r="D350">
        <f t="shared" ca="1" si="14"/>
        <v>0.410468283030621</v>
      </c>
    </row>
    <row r="351" spans="4:4" x14ac:dyDescent="0.35">
      <c r="D351">
        <f t="shared" ca="1" si="14"/>
        <v>0.2338173543556803</v>
      </c>
    </row>
    <row r="352" spans="4:4" x14ac:dyDescent="0.35">
      <c r="D352">
        <f t="shared" ca="1" si="14"/>
        <v>0.80684167617354041</v>
      </c>
    </row>
    <row r="353" spans="4:4" x14ac:dyDescent="0.35">
      <c r="D353">
        <f t="shared" ca="1" si="14"/>
        <v>0.53829124442275889</v>
      </c>
    </row>
    <row r="354" spans="4:4" x14ac:dyDescent="0.35">
      <c r="D354">
        <f t="shared" ca="1" si="14"/>
        <v>8.4496530459757357E-2</v>
      </c>
    </row>
    <row r="355" spans="4:4" x14ac:dyDescent="0.35">
      <c r="D355">
        <f t="shared" ca="1" si="14"/>
        <v>0.683899344661412</v>
      </c>
    </row>
    <row r="356" spans="4:4" x14ac:dyDescent="0.35">
      <c r="D356">
        <f t="shared" ca="1" si="14"/>
        <v>0.87297287762275422</v>
      </c>
    </row>
    <row r="357" spans="4:4" x14ac:dyDescent="0.35">
      <c r="D357">
        <f t="shared" ref="D357:D420" ca="1" si="15">RAND()</f>
        <v>0.9879591034117996</v>
      </c>
    </row>
    <row r="358" spans="4:4" x14ac:dyDescent="0.35">
      <c r="D358">
        <f t="shared" ca="1" si="15"/>
        <v>5.348133287632062E-2</v>
      </c>
    </row>
    <row r="359" spans="4:4" x14ac:dyDescent="0.35">
      <c r="D359">
        <f t="shared" ca="1" si="15"/>
        <v>0.85664710697406055</v>
      </c>
    </row>
    <row r="360" spans="4:4" x14ac:dyDescent="0.35">
      <c r="D360">
        <f t="shared" ca="1" si="15"/>
        <v>0.61993488743630565</v>
      </c>
    </row>
    <row r="361" spans="4:4" x14ac:dyDescent="0.35">
      <c r="D361">
        <f t="shared" ca="1" si="15"/>
        <v>0.61968646490250878</v>
      </c>
    </row>
    <row r="362" spans="4:4" x14ac:dyDescent="0.35">
      <c r="D362">
        <f t="shared" ca="1" si="15"/>
        <v>0.33047352463059509</v>
      </c>
    </row>
    <row r="363" spans="4:4" x14ac:dyDescent="0.35">
      <c r="D363">
        <f t="shared" ca="1" si="15"/>
        <v>0.98804794631446269</v>
      </c>
    </row>
    <row r="364" spans="4:4" x14ac:dyDescent="0.35">
      <c r="D364">
        <f t="shared" ca="1" si="15"/>
        <v>0.71253120687862159</v>
      </c>
    </row>
    <row r="365" spans="4:4" x14ac:dyDescent="0.35">
      <c r="D365">
        <f t="shared" ca="1" si="15"/>
        <v>0.11169867994099425</v>
      </c>
    </row>
    <row r="366" spans="4:4" x14ac:dyDescent="0.35">
      <c r="D366">
        <f t="shared" ca="1" si="15"/>
        <v>0.45009795516183537</v>
      </c>
    </row>
    <row r="367" spans="4:4" x14ac:dyDescent="0.35">
      <c r="D367">
        <f t="shared" ca="1" si="15"/>
        <v>0.39979278865981738</v>
      </c>
    </row>
    <row r="368" spans="4:4" x14ac:dyDescent="0.35">
      <c r="D368">
        <f t="shared" ca="1" si="15"/>
        <v>0.11572801611750527</v>
      </c>
    </row>
    <row r="369" spans="4:4" x14ac:dyDescent="0.35">
      <c r="D369">
        <f t="shared" ca="1" si="15"/>
        <v>0.26379250272676491</v>
      </c>
    </row>
    <row r="370" spans="4:4" x14ac:dyDescent="0.35">
      <c r="D370">
        <f t="shared" ca="1" si="15"/>
        <v>0.89056875652020295</v>
      </c>
    </row>
    <row r="371" spans="4:4" x14ac:dyDescent="0.35">
      <c r="D371">
        <f t="shared" ca="1" si="15"/>
        <v>0.22992990483927189</v>
      </c>
    </row>
    <row r="372" spans="4:4" x14ac:dyDescent="0.35">
      <c r="D372">
        <f t="shared" ca="1" si="15"/>
        <v>0.22090270897221831</v>
      </c>
    </row>
    <row r="373" spans="4:4" x14ac:dyDescent="0.35">
      <c r="D373">
        <f t="shared" ca="1" si="15"/>
        <v>0.63761559715458638</v>
      </c>
    </row>
    <row r="374" spans="4:4" x14ac:dyDescent="0.35">
      <c r="D374">
        <f t="shared" ca="1" si="15"/>
        <v>0.18367821617317426</v>
      </c>
    </row>
    <row r="375" spans="4:4" x14ac:dyDescent="0.35">
      <c r="D375">
        <f t="shared" ca="1" si="15"/>
        <v>0.29473130744315135</v>
      </c>
    </row>
    <row r="376" spans="4:4" x14ac:dyDescent="0.35">
      <c r="D376">
        <f t="shared" ca="1" si="15"/>
        <v>0.54228649292466502</v>
      </c>
    </row>
    <row r="377" spans="4:4" x14ac:dyDescent="0.35">
      <c r="D377">
        <f t="shared" ca="1" si="15"/>
        <v>0.13403080610842155</v>
      </c>
    </row>
    <row r="378" spans="4:4" x14ac:dyDescent="0.35">
      <c r="D378">
        <f t="shared" ca="1" si="15"/>
        <v>0.13567545859858809</v>
      </c>
    </row>
    <row r="379" spans="4:4" x14ac:dyDescent="0.35">
      <c r="D379">
        <f t="shared" ca="1" si="15"/>
        <v>0.40041705760519219</v>
      </c>
    </row>
    <row r="380" spans="4:4" x14ac:dyDescent="0.35">
      <c r="D380">
        <f t="shared" ca="1" si="15"/>
        <v>0.89307479812332402</v>
      </c>
    </row>
    <row r="381" spans="4:4" x14ac:dyDescent="0.35">
      <c r="D381">
        <f t="shared" ca="1" si="15"/>
        <v>0.44946634438843169</v>
      </c>
    </row>
    <row r="382" spans="4:4" x14ac:dyDescent="0.35">
      <c r="D382">
        <f t="shared" ca="1" si="15"/>
        <v>0.63625291258075101</v>
      </c>
    </row>
    <row r="383" spans="4:4" x14ac:dyDescent="0.35">
      <c r="D383">
        <f t="shared" ca="1" si="15"/>
        <v>0.99693447158882997</v>
      </c>
    </row>
    <row r="384" spans="4:4" x14ac:dyDescent="0.35">
      <c r="D384">
        <f t="shared" ca="1" si="15"/>
        <v>0.58699868070379879</v>
      </c>
    </row>
    <row r="385" spans="4:4" x14ac:dyDescent="0.35">
      <c r="D385">
        <f t="shared" ca="1" si="15"/>
        <v>0.35641591655850691</v>
      </c>
    </row>
    <row r="386" spans="4:4" x14ac:dyDescent="0.35">
      <c r="D386">
        <f t="shared" ca="1" si="15"/>
        <v>0.16755843666290859</v>
      </c>
    </row>
    <row r="387" spans="4:4" x14ac:dyDescent="0.35">
      <c r="D387">
        <f t="shared" ca="1" si="15"/>
        <v>0.96702330252376689</v>
      </c>
    </row>
    <row r="388" spans="4:4" x14ac:dyDescent="0.35">
      <c r="D388">
        <f t="shared" ca="1" si="15"/>
        <v>0.9953396296583793</v>
      </c>
    </row>
    <row r="389" spans="4:4" x14ac:dyDescent="0.35">
      <c r="D389">
        <f t="shared" ca="1" si="15"/>
        <v>0.66720438646743097</v>
      </c>
    </row>
    <row r="390" spans="4:4" x14ac:dyDescent="0.35">
      <c r="D390">
        <f t="shared" ca="1" si="15"/>
        <v>0.11986796296812374</v>
      </c>
    </row>
    <row r="391" spans="4:4" x14ac:dyDescent="0.35">
      <c r="D391">
        <f t="shared" ca="1" si="15"/>
        <v>0.74352968254124674</v>
      </c>
    </row>
    <row r="392" spans="4:4" x14ac:dyDescent="0.35">
      <c r="D392">
        <f t="shared" ca="1" si="15"/>
        <v>0.9047937797073724</v>
      </c>
    </row>
    <row r="393" spans="4:4" x14ac:dyDescent="0.35">
      <c r="D393">
        <f t="shared" ca="1" si="15"/>
        <v>0.50023548000743367</v>
      </c>
    </row>
    <row r="394" spans="4:4" x14ac:dyDescent="0.35">
      <c r="D394">
        <f t="shared" ca="1" si="15"/>
        <v>0.30736438943733468</v>
      </c>
    </row>
    <row r="395" spans="4:4" x14ac:dyDescent="0.35">
      <c r="D395">
        <f t="shared" ca="1" si="15"/>
        <v>0.11438448944946977</v>
      </c>
    </row>
    <row r="396" spans="4:4" x14ac:dyDescent="0.35">
      <c r="D396">
        <f t="shared" ca="1" si="15"/>
        <v>0.8532650729796083</v>
      </c>
    </row>
    <row r="397" spans="4:4" x14ac:dyDescent="0.35">
      <c r="D397">
        <f t="shared" ca="1" si="15"/>
        <v>2.8690355004948431E-2</v>
      </c>
    </row>
    <row r="398" spans="4:4" x14ac:dyDescent="0.35">
      <c r="D398">
        <f t="shared" ca="1" si="15"/>
        <v>0.42145681305335969</v>
      </c>
    </row>
    <row r="399" spans="4:4" x14ac:dyDescent="0.35">
      <c r="D399">
        <f t="shared" ca="1" si="15"/>
        <v>0.99641175259153436</v>
      </c>
    </row>
    <row r="400" spans="4:4" x14ac:dyDescent="0.35">
      <c r="D400">
        <f t="shared" ca="1" si="15"/>
        <v>0.48495818550677827</v>
      </c>
    </row>
    <row r="401" spans="4:4" x14ac:dyDescent="0.35">
      <c r="D401">
        <f t="shared" ca="1" si="15"/>
        <v>0.56905618044788819</v>
      </c>
    </row>
    <row r="402" spans="4:4" x14ac:dyDescent="0.35">
      <c r="D402">
        <f t="shared" ca="1" si="15"/>
        <v>0.29882565884017165</v>
      </c>
    </row>
    <row r="403" spans="4:4" x14ac:dyDescent="0.35">
      <c r="D403">
        <f t="shared" ca="1" si="15"/>
        <v>0.3674272893099203</v>
      </c>
    </row>
    <row r="404" spans="4:4" x14ac:dyDescent="0.35">
      <c r="D404">
        <f t="shared" ca="1" si="15"/>
        <v>0.36774558958671588</v>
      </c>
    </row>
    <row r="405" spans="4:4" x14ac:dyDescent="0.35">
      <c r="D405">
        <f t="shared" ca="1" si="15"/>
        <v>0.55278060828368458</v>
      </c>
    </row>
    <row r="406" spans="4:4" x14ac:dyDescent="0.35">
      <c r="D406">
        <f t="shared" ca="1" si="15"/>
        <v>0.35960270310447739</v>
      </c>
    </row>
    <row r="407" spans="4:4" x14ac:dyDescent="0.35">
      <c r="D407">
        <f t="shared" ca="1" si="15"/>
        <v>0.22823063081646733</v>
      </c>
    </row>
    <row r="408" spans="4:4" x14ac:dyDescent="0.35">
      <c r="D408">
        <f t="shared" ca="1" si="15"/>
        <v>0.25342585561764874</v>
      </c>
    </row>
    <row r="409" spans="4:4" x14ac:dyDescent="0.35">
      <c r="D409">
        <f t="shared" ca="1" si="15"/>
        <v>0.73141396688334293</v>
      </c>
    </row>
    <row r="410" spans="4:4" x14ac:dyDescent="0.35">
      <c r="D410">
        <f t="shared" ca="1" si="15"/>
        <v>5.9094776607318988E-2</v>
      </c>
    </row>
    <row r="411" spans="4:4" x14ac:dyDescent="0.35">
      <c r="D411">
        <f t="shared" ca="1" si="15"/>
        <v>0.29437200560159871</v>
      </c>
    </row>
    <row r="412" spans="4:4" x14ac:dyDescent="0.35">
      <c r="D412">
        <f t="shared" ca="1" si="15"/>
        <v>0.12810652690751323</v>
      </c>
    </row>
    <row r="413" spans="4:4" x14ac:dyDescent="0.35">
      <c r="D413">
        <f t="shared" ca="1" si="15"/>
        <v>0.14090607029326008</v>
      </c>
    </row>
    <row r="414" spans="4:4" x14ac:dyDescent="0.35">
      <c r="D414">
        <f t="shared" ca="1" si="15"/>
        <v>0.67672648828662574</v>
      </c>
    </row>
    <row r="415" spans="4:4" x14ac:dyDescent="0.35">
      <c r="D415">
        <f t="shared" ca="1" si="15"/>
        <v>0.15852057105843342</v>
      </c>
    </row>
    <row r="416" spans="4:4" x14ac:dyDescent="0.35">
      <c r="D416">
        <f t="shared" ca="1" si="15"/>
        <v>0.35394455627924415</v>
      </c>
    </row>
    <row r="417" spans="4:4" x14ac:dyDescent="0.35">
      <c r="D417">
        <f t="shared" ca="1" si="15"/>
        <v>0.3908189638845555</v>
      </c>
    </row>
    <row r="418" spans="4:4" x14ac:dyDescent="0.35">
      <c r="D418">
        <f t="shared" ca="1" si="15"/>
        <v>0.39120451904098497</v>
      </c>
    </row>
    <row r="419" spans="4:4" x14ac:dyDescent="0.35">
      <c r="D419">
        <f t="shared" ca="1" si="15"/>
        <v>0.51201388035688267</v>
      </c>
    </row>
    <row r="420" spans="4:4" x14ac:dyDescent="0.35">
      <c r="D420">
        <f t="shared" ca="1" si="15"/>
        <v>0.79982857862778856</v>
      </c>
    </row>
    <row r="421" spans="4:4" x14ac:dyDescent="0.35">
      <c r="D421">
        <f t="shared" ref="D421:D484" ca="1" si="16">RAND()</f>
        <v>0.78668222200581506</v>
      </c>
    </row>
    <row r="422" spans="4:4" x14ac:dyDescent="0.35">
      <c r="D422">
        <f t="shared" ca="1" si="16"/>
        <v>0.64790354427857277</v>
      </c>
    </row>
    <row r="423" spans="4:4" x14ac:dyDescent="0.35">
      <c r="D423">
        <f t="shared" ca="1" si="16"/>
        <v>0.49651307215101959</v>
      </c>
    </row>
    <row r="424" spans="4:4" x14ac:dyDescent="0.35">
      <c r="D424">
        <f t="shared" ca="1" si="16"/>
        <v>6.2497723293481688E-2</v>
      </c>
    </row>
    <row r="425" spans="4:4" x14ac:dyDescent="0.35">
      <c r="D425">
        <f t="shared" ca="1" si="16"/>
        <v>0.32334940594598949</v>
      </c>
    </row>
    <row r="426" spans="4:4" x14ac:dyDescent="0.35">
      <c r="D426">
        <f t="shared" ca="1" si="16"/>
        <v>0.96595425457895645</v>
      </c>
    </row>
    <row r="427" spans="4:4" x14ac:dyDescent="0.35">
      <c r="D427">
        <f t="shared" ca="1" si="16"/>
        <v>0.50915628372038235</v>
      </c>
    </row>
    <row r="428" spans="4:4" x14ac:dyDescent="0.35">
      <c r="D428">
        <f t="shared" ca="1" si="16"/>
        <v>0.26177093944363328</v>
      </c>
    </row>
    <row r="429" spans="4:4" x14ac:dyDescent="0.35">
      <c r="D429">
        <f t="shared" ca="1" si="16"/>
        <v>0.28622738954847182</v>
      </c>
    </row>
    <row r="430" spans="4:4" x14ac:dyDescent="0.35">
      <c r="D430">
        <f t="shared" ca="1" si="16"/>
        <v>0.25629960832018128</v>
      </c>
    </row>
    <row r="431" spans="4:4" x14ac:dyDescent="0.35">
      <c r="D431">
        <f t="shared" ca="1" si="16"/>
        <v>0.31197128905899663</v>
      </c>
    </row>
    <row r="432" spans="4:4" x14ac:dyDescent="0.35">
      <c r="D432">
        <f t="shared" ca="1" si="16"/>
        <v>0.70520345519589744</v>
      </c>
    </row>
    <row r="433" spans="4:4" x14ac:dyDescent="0.35">
      <c r="D433">
        <f t="shared" ca="1" si="16"/>
        <v>0.76508286433844941</v>
      </c>
    </row>
    <row r="434" spans="4:4" x14ac:dyDescent="0.35">
      <c r="D434">
        <f t="shared" ca="1" si="16"/>
        <v>0.37656027593777619</v>
      </c>
    </row>
    <row r="435" spans="4:4" x14ac:dyDescent="0.35">
      <c r="D435">
        <f t="shared" ca="1" si="16"/>
        <v>0.72983303931746335</v>
      </c>
    </row>
    <row r="436" spans="4:4" x14ac:dyDescent="0.35">
      <c r="D436">
        <f t="shared" ca="1" si="16"/>
        <v>0.25111231669531076</v>
      </c>
    </row>
    <row r="437" spans="4:4" x14ac:dyDescent="0.35">
      <c r="D437">
        <f t="shared" ca="1" si="16"/>
        <v>0.51122456947392392</v>
      </c>
    </row>
    <row r="438" spans="4:4" x14ac:dyDescent="0.35">
      <c r="D438">
        <f t="shared" ca="1" si="16"/>
        <v>0.63357306025820326</v>
      </c>
    </row>
    <row r="439" spans="4:4" x14ac:dyDescent="0.35">
      <c r="D439">
        <f t="shared" ca="1" si="16"/>
        <v>0.70300028689240668</v>
      </c>
    </row>
    <row r="440" spans="4:4" x14ac:dyDescent="0.35">
      <c r="D440">
        <f t="shared" ca="1" si="16"/>
        <v>0.95623891456321042</v>
      </c>
    </row>
    <row r="441" spans="4:4" x14ac:dyDescent="0.35">
      <c r="D441">
        <f t="shared" ca="1" si="16"/>
        <v>0.96349122330303272</v>
      </c>
    </row>
    <row r="442" spans="4:4" x14ac:dyDescent="0.35">
      <c r="D442">
        <f t="shared" ca="1" si="16"/>
        <v>0.44854082920114213</v>
      </c>
    </row>
    <row r="443" spans="4:4" x14ac:dyDescent="0.35">
      <c r="D443">
        <f t="shared" ca="1" si="16"/>
        <v>0.23886756475320126</v>
      </c>
    </row>
    <row r="444" spans="4:4" x14ac:dyDescent="0.35">
      <c r="D444">
        <f t="shared" ca="1" si="16"/>
        <v>0.3293392634319855</v>
      </c>
    </row>
    <row r="445" spans="4:4" x14ac:dyDescent="0.35">
      <c r="D445">
        <f t="shared" ca="1" si="16"/>
        <v>0.97242310135249566</v>
      </c>
    </row>
    <row r="446" spans="4:4" x14ac:dyDescent="0.35">
      <c r="D446">
        <f t="shared" ca="1" si="16"/>
        <v>8.8639413170539472E-2</v>
      </c>
    </row>
    <row r="447" spans="4:4" x14ac:dyDescent="0.35">
      <c r="D447">
        <f t="shared" ca="1" si="16"/>
        <v>0.79696146191199557</v>
      </c>
    </row>
    <row r="448" spans="4:4" x14ac:dyDescent="0.35">
      <c r="D448">
        <f t="shared" ca="1" si="16"/>
        <v>0.83497448917577044</v>
      </c>
    </row>
    <row r="449" spans="4:4" x14ac:dyDescent="0.35">
      <c r="D449">
        <f t="shared" ca="1" si="16"/>
        <v>0.3967976383197821</v>
      </c>
    </row>
    <row r="450" spans="4:4" x14ac:dyDescent="0.35">
      <c r="D450">
        <f t="shared" ca="1" si="16"/>
        <v>0.97797631751921887</v>
      </c>
    </row>
    <row r="451" spans="4:4" x14ac:dyDescent="0.35">
      <c r="D451">
        <f t="shared" ca="1" si="16"/>
        <v>8.34610923920871E-2</v>
      </c>
    </row>
    <row r="452" spans="4:4" x14ac:dyDescent="0.35">
      <c r="D452">
        <f t="shared" ca="1" si="16"/>
        <v>0.66870581875706592</v>
      </c>
    </row>
    <row r="453" spans="4:4" x14ac:dyDescent="0.35">
      <c r="D453">
        <f t="shared" ca="1" si="16"/>
        <v>0.85031917118678169</v>
      </c>
    </row>
    <row r="454" spans="4:4" x14ac:dyDescent="0.35">
      <c r="D454">
        <f t="shared" ca="1" si="16"/>
        <v>0.78561730513699346</v>
      </c>
    </row>
    <row r="455" spans="4:4" x14ac:dyDescent="0.35">
      <c r="D455">
        <f t="shared" ca="1" si="16"/>
        <v>0.10738237674500961</v>
      </c>
    </row>
    <row r="456" spans="4:4" x14ac:dyDescent="0.35">
      <c r="D456">
        <f t="shared" ca="1" si="16"/>
        <v>0.54456476837926504</v>
      </c>
    </row>
    <row r="457" spans="4:4" x14ac:dyDescent="0.35">
      <c r="D457">
        <f t="shared" ca="1" si="16"/>
        <v>0.77034785963545027</v>
      </c>
    </row>
    <row r="458" spans="4:4" x14ac:dyDescent="0.35">
      <c r="D458">
        <f t="shared" ca="1" si="16"/>
        <v>0.64803669259904984</v>
      </c>
    </row>
    <row r="459" spans="4:4" x14ac:dyDescent="0.35">
      <c r="D459">
        <f t="shared" ca="1" si="16"/>
        <v>0.83699938130677842</v>
      </c>
    </row>
    <row r="460" spans="4:4" x14ac:dyDescent="0.35">
      <c r="D460">
        <f t="shared" ca="1" si="16"/>
        <v>0.33673562569352589</v>
      </c>
    </row>
    <row r="461" spans="4:4" x14ac:dyDescent="0.35">
      <c r="D461">
        <f t="shared" ca="1" si="16"/>
        <v>0.30024777917796186</v>
      </c>
    </row>
    <row r="462" spans="4:4" x14ac:dyDescent="0.35">
      <c r="D462">
        <f t="shared" ca="1" si="16"/>
        <v>0.17923650649060185</v>
      </c>
    </row>
    <row r="463" spans="4:4" x14ac:dyDescent="0.35">
      <c r="D463">
        <f t="shared" ca="1" si="16"/>
        <v>0.50062913202822912</v>
      </c>
    </row>
    <row r="464" spans="4:4" x14ac:dyDescent="0.35">
      <c r="D464">
        <f t="shared" ca="1" si="16"/>
        <v>0.12072675275801359</v>
      </c>
    </row>
    <row r="465" spans="4:4" x14ac:dyDescent="0.35">
      <c r="D465">
        <f t="shared" ca="1" si="16"/>
        <v>0.94317664456572492</v>
      </c>
    </row>
    <row r="466" spans="4:4" x14ac:dyDescent="0.35">
      <c r="D466">
        <f t="shared" ca="1" si="16"/>
        <v>0.24042702125251059</v>
      </c>
    </row>
    <row r="467" spans="4:4" x14ac:dyDescent="0.35">
      <c r="D467">
        <f t="shared" ca="1" si="16"/>
        <v>8.6973490669752684E-2</v>
      </c>
    </row>
    <row r="468" spans="4:4" x14ac:dyDescent="0.35">
      <c r="D468">
        <f t="shared" ca="1" si="16"/>
        <v>0.72442470255590952</v>
      </c>
    </row>
    <row r="469" spans="4:4" x14ac:dyDescent="0.35">
      <c r="D469">
        <f t="shared" ca="1" si="16"/>
        <v>0.59955500075932833</v>
      </c>
    </row>
    <row r="470" spans="4:4" x14ac:dyDescent="0.35">
      <c r="D470">
        <f t="shared" ca="1" si="16"/>
        <v>0.65665975329627846</v>
      </c>
    </row>
    <row r="471" spans="4:4" x14ac:dyDescent="0.35">
      <c r="D471">
        <f t="shared" ca="1" si="16"/>
        <v>0.33680481268299278</v>
      </c>
    </row>
    <row r="472" spans="4:4" x14ac:dyDescent="0.35">
      <c r="D472">
        <f t="shared" ca="1" si="16"/>
        <v>0.35852303027475074</v>
      </c>
    </row>
    <row r="473" spans="4:4" x14ac:dyDescent="0.35">
      <c r="D473">
        <f t="shared" ca="1" si="16"/>
        <v>0.24238138911547824</v>
      </c>
    </row>
    <row r="474" spans="4:4" x14ac:dyDescent="0.35">
      <c r="D474">
        <f t="shared" ca="1" si="16"/>
        <v>0.94620709697832472</v>
      </c>
    </row>
    <row r="475" spans="4:4" x14ac:dyDescent="0.35">
      <c r="D475">
        <f t="shared" ca="1" si="16"/>
        <v>0.52632451644852485</v>
      </c>
    </row>
    <row r="476" spans="4:4" x14ac:dyDescent="0.35">
      <c r="D476">
        <f t="shared" ca="1" si="16"/>
        <v>0.24632090179524202</v>
      </c>
    </row>
    <row r="477" spans="4:4" x14ac:dyDescent="0.35">
      <c r="D477">
        <f t="shared" ca="1" si="16"/>
        <v>0.58663703316764626</v>
      </c>
    </row>
    <row r="478" spans="4:4" x14ac:dyDescent="0.35">
      <c r="D478">
        <f t="shared" ca="1" si="16"/>
        <v>0.2465861529038833</v>
      </c>
    </row>
    <row r="479" spans="4:4" x14ac:dyDescent="0.35">
      <c r="D479">
        <f t="shared" ca="1" si="16"/>
        <v>0.21277865603769786</v>
      </c>
    </row>
    <row r="480" spans="4:4" x14ac:dyDescent="0.35">
      <c r="D480">
        <f t="shared" ca="1" si="16"/>
        <v>0.95579385760848734</v>
      </c>
    </row>
    <row r="481" spans="4:4" x14ac:dyDescent="0.35">
      <c r="D481">
        <f t="shared" ca="1" si="16"/>
        <v>0.22673278209142234</v>
      </c>
    </row>
    <row r="482" spans="4:4" x14ac:dyDescent="0.35">
      <c r="D482">
        <f t="shared" ca="1" si="16"/>
        <v>0.97390883189328958</v>
      </c>
    </row>
    <row r="483" spans="4:4" x14ac:dyDescent="0.35">
      <c r="D483">
        <f t="shared" ca="1" si="16"/>
        <v>0.74571707943452281</v>
      </c>
    </row>
    <row r="484" spans="4:4" x14ac:dyDescent="0.35">
      <c r="D484">
        <f t="shared" ca="1" si="16"/>
        <v>0.76692469349749448</v>
      </c>
    </row>
    <row r="485" spans="4:4" x14ac:dyDescent="0.35">
      <c r="D485">
        <f t="shared" ref="D485:D516" ca="1" si="17">RAND()</f>
        <v>0.59505399981237883</v>
      </c>
    </row>
    <row r="486" spans="4:4" x14ac:dyDescent="0.35">
      <c r="D486">
        <f t="shared" ca="1" si="17"/>
        <v>0.64307435469771501</v>
      </c>
    </row>
    <row r="487" spans="4:4" x14ac:dyDescent="0.35">
      <c r="D487">
        <f t="shared" ca="1" si="17"/>
        <v>0.7394907388780434</v>
      </c>
    </row>
    <row r="488" spans="4:4" x14ac:dyDescent="0.35">
      <c r="D488">
        <f t="shared" ca="1" si="17"/>
        <v>0.1712075281762685</v>
      </c>
    </row>
    <row r="489" spans="4:4" x14ac:dyDescent="0.35">
      <c r="D489">
        <f t="shared" ca="1" si="17"/>
        <v>0.41045210655561337</v>
      </c>
    </row>
    <row r="490" spans="4:4" x14ac:dyDescent="0.35">
      <c r="D490">
        <f t="shared" ca="1" si="17"/>
        <v>0.56521375834052456</v>
      </c>
    </row>
    <row r="491" spans="4:4" x14ac:dyDescent="0.35">
      <c r="D491">
        <f t="shared" ca="1" si="17"/>
        <v>0.89552061919755366</v>
      </c>
    </row>
    <row r="492" spans="4:4" x14ac:dyDescent="0.35">
      <c r="D492">
        <f t="shared" ca="1" si="17"/>
        <v>0.87028648943600817</v>
      </c>
    </row>
    <row r="493" spans="4:4" x14ac:dyDescent="0.35">
      <c r="D493">
        <f t="shared" ca="1" si="17"/>
        <v>0.24511656865752618</v>
      </c>
    </row>
    <row r="494" spans="4:4" x14ac:dyDescent="0.35">
      <c r="D494">
        <f t="shared" ca="1" si="17"/>
        <v>0.65317846859163009</v>
      </c>
    </row>
    <row r="495" spans="4:4" x14ac:dyDescent="0.35">
      <c r="D495">
        <f t="shared" ca="1" si="17"/>
        <v>0.41836064147857288</v>
      </c>
    </row>
    <row r="496" spans="4:4" x14ac:dyDescent="0.35">
      <c r="D496">
        <f t="shared" ca="1" si="17"/>
        <v>0.21349586147188271</v>
      </c>
    </row>
    <row r="497" spans="4:4" x14ac:dyDescent="0.35">
      <c r="D497">
        <f t="shared" ca="1" si="17"/>
        <v>0.37488112501289061</v>
      </c>
    </row>
    <row r="498" spans="4:4" x14ac:dyDescent="0.35">
      <c r="D498">
        <f t="shared" ca="1" si="17"/>
        <v>0.15154433556825142</v>
      </c>
    </row>
    <row r="499" spans="4:4" x14ac:dyDescent="0.35">
      <c r="D499">
        <f t="shared" ca="1" si="17"/>
        <v>0.61951715841749755</v>
      </c>
    </row>
    <row r="500" spans="4:4" x14ac:dyDescent="0.35">
      <c r="D500">
        <f t="shared" ca="1" si="17"/>
        <v>0.74193671303093622</v>
      </c>
    </row>
    <row r="501" spans="4:4" x14ac:dyDescent="0.35">
      <c r="D501">
        <f t="shared" ca="1" si="17"/>
        <v>0.12314052282085985</v>
      </c>
    </row>
    <row r="502" spans="4:4" x14ac:dyDescent="0.35">
      <c r="D502">
        <f t="shared" ca="1" si="17"/>
        <v>0.91964018858094587</v>
      </c>
    </row>
    <row r="503" spans="4:4" x14ac:dyDescent="0.35">
      <c r="D503">
        <f t="shared" ca="1" si="17"/>
        <v>0.97484406120542622</v>
      </c>
    </row>
    <row r="504" spans="4:4" x14ac:dyDescent="0.35">
      <c r="D504">
        <f t="shared" ca="1" si="17"/>
        <v>4.4234892890600119E-2</v>
      </c>
    </row>
    <row r="505" spans="4:4" x14ac:dyDescent="0.35">
      <c r="D505">
        <f t="shared" ca="1" si="17"/>
        <v>0.52823218279275397</v>
      </c>
    </row>
    <row r="506" spans="4:4" x14ac:dyDescent="0.35">
      <c r="D506">
        <f t="shared" ca="1" si="17"/>
        <v>0.67369684052274503</v>
      </c>
    </row>
    <row r="507" spans="4:4" x14ac:dyDescent="0.35">
      <c r="D507">
        <f t="shared" ca="1" si="17"/>
        <v>0.22166424571097731</v>
      </c>
    </row>
    <row r="508" spans="4:4" x14ac:dyDescent="0.35">
      <c r="D508">
        <f t="shared" ca="1" si="17"/>
        <v>0.21781131420787447</v>
      </c>
    </row>
    <row r="509" spans="4:4" x14ac:dyDescent="0.35">
      <c r="D509">
        <f t="shared" ca="1" si="17"/>
        <v>0.76306354744827642</v>
      </c>
    </row>
    <row r="510" spans="4:4" x14ac:dyDescent="0.35">
      <c r="D510">
        <f t="shared" ca="1" si="17"/>
        <v>0.2371442806825661</v>
      </c>
    </row>
    <row r="511" spans="4:4" x14ac:dyDescent="0.35">
      <c r="D511">
        <f t="shared" ca="1" si="17"/>
        <v>0.27090970404625625</v>
      </c>
    </row>
    <row r="512" spans="4:4" x14ac:dyDescent="0.35">
      <c r="D512">
        <f t="shared" ca="1" si="17"/>
        <v>0.45442236422552684</v>
      </c>
    </row>
    <row r="513" spans="4:4" x14ac:dyDescent="0.35">
      <c r="D513">
        <f t="shared" ca="1" si="17"/>
        <v>0.3127333465321448</v>
      </c>
    </row>
    <row r="514" spans="4:4" x14ac:dyDescent="0.35">
      <c r="D514">
        <f t="shared" ca="1" si="17"/>
        <v>0.64738913597865799</v>
      </c>
    </row>
    <row r="515" spans="4:4" x14ac:dyDescent="0.35">
      <c r="D515">
        <f t="shared" ca="1" si="17"/>
        <v>0.7266592755804524</v>
      </c>
    </row>
    <row r="516" spans="4:4" x14ac:dyDescent="0.35">
      <c r="D516">
        <f t="shared" ca="1" si="17"/>
        <v>0.53974800069815965</v>
      </c>
    </row>
    <row r="517" spans="4:4" x14ac:dyDescent="0.35">
      <c r="D517">
        <f t="shared" ref="D517:D533" ca="1" si="18">RAND()</f>
        <v>0.97898503200482445</v>
      </c>
    </row>
    <row r="518" spans="4:4" x14ac:dyDescent="0.35">
      <c r="D518">
        <f t="shared" ca="1" si="18"/>
        <v>0.12465089075951974</v>
      </c>
    </row>
    <row r="519" spans="4:4" x14ac:dyDescent="0.35">
      <c r="D519">
        <f t="shared" ca="1" si="18"/>
        <v>0.43688651939332268</v>
      </c>
    </row>
    <row r="520" spans="4:4" x14ac:dyDescent="0.35">
      <c r="D520">
        <f t="shared" ca="1" si="18"/>
        <v>0.57531729190849612</v>
      </c>
    </row>
    <row r="521" spans="4:4" x14ac:dyDescent="0.35">
      <c r="D521">
        <f t="shared" ca="1" si="18"/>
        <v>0.49394240301671233</v>
      </c>
    </row>
    <row r="522" spans="4:4" x14ac:dyDescent="0.35">
      <c r="D522">
        <f t="shared" ca="1" si="18"/>
        <v>0.46897944125879076</v>
      </c>
    </row>
    <row r="523" spans="4:4" x14ac:dyDescent="0.35">
      <c r="D523">
        <f t="shared" ca="1" si="18"/>
        <v>8.5257818327377777E-3</v>
      </c>
    </row>
    <row r="524" spans="4:4" x14ac:dyDescent="0.35">
      <c r="D524">
        <f t="shared" ca="1" si="18"/>
        <v>0.91471105726645763</v>
      </c>
    </row>
    <row r="525" spans="4:4" x14ac:dyDescent="0.35">
      <c r="D525">
        <f t="shared" ca="1" si="18"/>
        <v>0.57964012704369383</v>
      </c>
    </row>
    <row r="526" spans="4:4" x14ac:dyDescent="0.35">
      <c r="D526">
        <f t="shared" ca="1" si="18"/>
        <v>0.28797889279933742</v>
      </c>
    </row>
    <row r="527" spans="4:4" x14ac:dyDescent="0.35">
      <c r="D527">
        <f t="shared" ca="1" si="18"/>
        <v>0.9154023811076557</v>
      </c>
    </row>
    <row r="528" spans="4:4" x14ac:dyDescent="0.35">
      <c r="D528">
        <f t="shared" ca="1" si="18"/>
        <v>0.50429014448525877</v>
      </c>
    </row>
    <row r="529" spans="4:4" x14ac:dyDescent="0.35">
      <c r="D529">
        <f t="shared" ca="1" si="18"/>
        <v>0.67726942913347277</v>
      </c>
    </row>
    <row r="530" spans="4:4" x14ac:dyDescent="0.35">
      <c r="D530">
        <f t="shared" ca="1" si="18"/>
        <v>0.26276665151034029</v>
      </c>
    </row>
    <row r="531" spans="4:4" x14ac:dyDescent="0.35">
      <c r="D531">
        <f t="shared" ca="1" si="18"/>
        <v>0.75153387073845901</v>
      </c>
    </row>
    <row r="532" spans="4:4" x14ac:dyDescent="0.35">
      <c r="D532">
        <f t="shared" ca="1" si="18"/>
        <v>0.5158015588184709</v>
      </c>
    </row>
    <row r="533" spans="4:4" x14ac:dyDescent="0.35">
      <c r="D533">
        <f t="shared" ca="1" si="18"/>
        <v>0.48267540040068091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My_Example</vt:lpstr>
      <vt:lpstr>Your_Example</vt:lpstr>
      <vt:lpstr>Your_Example_sol</vt:lpstr>
      <vt:lpstr>Bball with Simulation</vt:lpstr>
    </vt:vector>
  </TitlesOfParts>
  <Company>Bryant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student</cp:lastModifiedBy>
  <dcterms:created xsi:type="dcterms:W3CDTF">2020-01-23T03:51:25Z</dcterms:created>
  <dcterms:modified xsi:type="dcterms:W3CDTF">2021-02-16T01:15:16Z</dcterms:modified>
</cp:coreProperties>
</file>