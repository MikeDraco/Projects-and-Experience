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udent\Desktop\"/>
    </mc:Choice>
  </mc:AlternateContent>
  <xr:revisionPtr revIDLastSave="0" documentId="13_ncr:1_{F377FBFC-C368-4460-837A-7EA3CEC400BF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HW" sheetId="3" r:id="rId1"/>
    <sheet name="AFCnorth_div_0" sheetId="7" r:id="rId2"/>
    <sheet name="AFCnorth_div_2" sheetId="12" r:id="rId3"/>
    <sheet name="AFCnorth_div_4" sheetId="13" r:id="rId4"/>
    <sheet name="AFCnorth" sheetId="8" r:id="rId5"/>
    <sheet name="Atlantics_East_div_8" sheetId="16" r:id="rId6"/>
    <sheet name="Atlantics_East_div_4" sheetId="15" r:id="rId7"/>
    <sheet name="Atlantics_East_div_0" sheetId="11" r:id="rId8"/>
    <sheet name="NBA_Atlantic_East" sheetId="10" r:id="rId9"/>
    <sheet name="AFCeast_div_0" sheetId="2" r:id="rId10"/>
    <sheet name="AFCeast_div_2" sheetId="6" r:id="rId11"/>
    <sheet name="AFCeast" sheetId="5" r:id="rId12"/>
    <sheet name="Sheet1" sheetId="4" state="hidden" r:id="rId13"/>
  </sheets>
  <externalReferences>
    <externalReference r:id="rId14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mortality">[1]Profit!$B$18:$C$38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urrender">[1]AV_CV!$B$10:$C$15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" i="10" l="1"/>
  <c r="D12" i="8"/>
  <c r="F100" i="16"/>
  <c r="F96" i="16"/>
  <c r="F95" i="16"/>
  <c r="F94" i="16"/>
  <c r="F93" i="16"/>
  <c r="F92" i="16"/>
  <c r="L85" i="16"/>
  <c r="M85" i="16" s="1"/>
  <c r="J85" i="16"/>
  <c r="K85" i="16" s="1"/>
  <c r="H85" i="16"/>
  <c r="I85" i="16" s="1"/>
  <c r="F85" i="16"/>
  <c r="G85" i="16" s="1"/>
  <c r="D85" i="16"/>
  <c r="E85" i="16" s="1"/>
  <c r="L84" i="16"/>
  <c r="M84" i="16" s="1"/>
  <c r="J84" i="16"/>
  <c r="K84" i="16" s="1"/>
  <c r="H84" i="16"/>
  <c r="I84" i="16" s="1"/>
  <c r="F84" i="16"/>
  <c r="G84" i="16" s="1"/>
  <c r="D84" i="16"/>
  <c r="E84" i="16" s="1"/>
  <c r="L83" i="16"/>
  <c r="M83" i="16" s="1"/>
  <c r="J83" i="16"/>
  <c r="K83" i="16" s="1"/>
  <c r="H83" i="16"/>
  <c r="I83" i="16" s="1"/>
  <c r="F83" i="16"/>
  <c r="G83" i="16" s="1"/>
  <c r="D83" i="16"/>
  <c r="E83" i="16" s="1"/>
  <c r="L82" i="16"/>
  <c r="M82" i="16" s="1"/>
  <c r="J82" i="16"/>
  <c r="K82" i="16" s="1"/>
  <c r="H82" i="16"/>
  <c r="I82" i="16" s="1"/>
  <c r="F82" i="16"/>
  <c r="G82" i="16" s="1"/>
  <c r="D82" i="16"/>
  <c r="E82" i="16" s="1"/>
  <c r="L81" i="16"/>
  <c r="M81" i="16" s="1"/>
  <c r="J81" i="16"/>
  <c r="K81" i="16" s="1"/>
  <c r="H81" i="16"/>
  <c r="I81" i="16" s="1"/>
  <c r="F81" i="16"/>
  <c r="G81" i="16" s="1"/>
  <c r="D81" i="16"/>
  <c r="E81" i="16" s="1"/>
  <c r="L80" i="16"/>
  <c r="M80" i="16" s="1"/>
  <c r="J80" i="16"/>
  <c r="K80" i="16" s="1"/>
  <c r="H80" i="16"/>
  <c r="I80" i="16" s="1"/>
  <c r="F80" i="16"/>
  <c r="G80" i="16" s="1"/>
  <c r="D80" i="16"/>
  <c r="E80" i="16" s="1"/>
  <c r="L79" i="16"/>
  <c r="M79" i="16" s="1"/>
  <c r="J79" i="16"/>
  <c r="K79" i="16" s="1"/>
  <c r="H79" i="16"/>
  <c r="I79" i="16" s="1"/>
  <c r="F79" i="16"/>
  <c r="G79" i="16" s="1"/>
  <c r="D79" i="16"/>
  <c r="E79" i="16" s="1"/>
  <c r="L78" i="16"/>
  <c r="M78" i="16" s="1"/>
  <c r="J78" i="16"/>
  <c r="K78" i="16" s="1"/>
  <c r="H78" i="16"/>
  <c r="I78" i="16" s="1"/>
  <c r="F78" i="16"/>
  <c r="G78" i="16" s="1"/>
  <c r="D78" i="16"/>
  <c r="E78" i="16" s="1"/>
  <c r="L77" i="16"/>
  <c r="M77" i="16" s="1"/>
  <c r="J77" i="16"/>
  <c r="K77" i="16" s="1"/>
  <c r="H77" i="16"/>
  <c r="I77" i="16" s="1"/>
  <c r="F77" i="16"/>
  <c r="G77" i="16" s="1"/>
  <c r="D77" i="16"/>
  <c r="E77" i="16" s="1"/>
  <c r="L76" i="16"/>
  <c r="M76" i="16" s="1"/>
  <c r="J76" i="16"/>
  <c r="K76" i="16" s="1"/>
  <c r="H76" i="16"/>
  <c r="I76" i="16" s="1"/>
  <c r="F76" i="16"/>
  <c r="G76" i="16" s="1"/>
  <c r="D76" i="16"/>
  <c r="E76" i="16" s="1"/>
  <c r="L75" i="16"/>
  <c r="M75" i="16" s="1"/>
  <c r="J75" i="16"/>
  <c r="K75" i="16" s="1"/>
  <c r="H75" i="16"/>
  <c r="I75" i="16" s="1"/>
  <c r="F75" i="16"/>
  <c r="G75" i="16" s="1"/>
  <c r="D75" i="16"/>
  <c r="E75" i="16" s="1"/>
  <c r="L74" i="16"/>
  <c r="M74" i="16" s="1"/>
  <c r="J74" i="16"/>
  <c r="K74" i="16" s="1"/>
  <c r="H74" i="16"/>
  <c r="I74" i="16" s="1"/>
  <c r="F74" i="16"/>
  <c r="G74" i="16" s="1"/>
  <c r="D74" i="16"/>
  <c r="E74" i="16" s="1"/>
  <c r="L73" i="16"/>
  <c r="M73" i="16" s="1"/>
  <c r="J73" i="16"/>
  <c r="K73" i="16" s="1"/>
  <c r="H73" i="16"/>
  <c r="I73" i="16" s="1"/>
  <c r="F73" i="16"/>
  <c r="G73" i="16" s="1"/>
  <c r="D73" i="16"/>
  <c r="E73" i="16" s="1"/>
  <c r="L72" i="16"/>
  <c r="M72" i="16" s="1"/>
  <c r="J72" i="16"/>
  <c r="K72" i="16" s="1"/>
  <c r="H72" i="16"/>
  <c r="I72" i="16" s="1"/>
  <c r="F72" i="16"/>
  <c r="G72" i="16" s="1"/>
  <c r="D72" i="16"/>
  <c r="E72" i="16" s="1"/>
  <c r="L71" i="16"/>
  <c r="M71" i="16" s="1"/>
  <c r="J71" i="16"/>
  <c r="K71" i="16" s="1"/>
  <c r="H71" i="16"/>
  <c r="I71" i="16" s="1"/>
  <c r="F71" i="16"/>
  <c r="G71" i="16" s="1"/>
  <c r="D71" i="16"/>
  <c r="E71" i="16" s="1"/>
  <c r="L70" i="16"/>
  <c r="M70" i="16" s="1"/>
  <c r="J70" i="16"/>
  <c r="K70" i="16" s="1"/>
  <c r="H70" i="16"/>
  <c r="I70" i="16" s="1"/>
  <c r="F70" i="16"/>
  <c r="G70" i="16" s="1"/>
  <c r="D70" i="16"/>
  <c r="E70" i="16" s="1"/>
  <c r="L69" i="16"/>
  <c r="M69" i="16" s="1"/>
  <c r="J69" i="16"/>
  <c r="K69" i="16" s="1"/>
  <c r="H69" i="16"/>
  <c r="I69" i="16" s="1"/>
  <c r="F69" i="16"/>
  <c r="G69" i="16" s="1"/>
  <c r="D69" i="16"/>
  <c r="E69" i="16" s="1"/>
  <c r="L68" i="16"/>
  <c r="M68" i="16" s="1"/>
  <c r="J68" i="16"/>
  <c r="K68" i="16" s="1"/>
  <c r="H68" i="16"/>
  <c r="I68" i="16" s="1"/>
  <c r="F68" i="16"/>
  <c r="G68" i="16" s="1"/>
  <c r="D68" i="16"/>
  <c r="E68" i="16" s="1"/>
  <c r="L67" i="16"/>
  <c r="M67" i="16" s="1"/>
  <c r="J67" i="16"/>
  <c r="K67" i="16" s="1"/>
  <c r="H67" i="16"/>
  <c r="I67" i="16" s="1"/>
  <c r="F67" i="16"/>
  <c r="G67" i="16" s="1"/>
  <c r="D67" i="16"/>
  <c r="E67" i="16" s="1"/>
  <c r="L66" i="16"/>
  <c r="M66" i="16" s="1"/>
  <c r="J66" i="16"/>
  <c r="K66" i="16" s="1"/>
  <c r="H66" i="16"/>
  <c r="I66" i="16" s="1"/>
  <c r="F66" i="16"/>
  <c r="G66" i="16" s="1"/>
  <c r="D66" i="16"/>
  <c r="E66" i="16" s="1"/>
  <c r="L65" i="16"/>
  <c r="M65" i="16" s="1"/>
  <c r="J65" i="16"/>
  <c r="K65" i="16" s="1"/>
  <c r="H65" i="16"/>
  <c r="I65" i="16" s="1"/>
  <c r="F65" i="16"/>
  <c r="G65" i="16" s="1"/>
  <c r="D65" i="16"/>
  <c r="E65" i="16" s="1"/>
  <c r="L64" i="16"/>
  <c r="M64" i="16" s="1"/>
  <c r="J64" i="16"/>
  <c r="K64" i="16" s="1"/>
  <c r="H64" i="16"/>
  <c r="I64" i="16" s="1"/>
  <c r="F64" i="16"/>
  <c r="G64" i="16" s="1"/>
  <c r="D64" i="16"/>
  <c r="E64" i="16" s="1"/>
  <c r="L63" i="16"/>
  <c r="M63" i="16" s="1"/>
  <c r="J63" i="16"/>
  <c r="K63" i="16" s="1"/>
  <c r="H63" i="16"/>
  <c r="I63" i="16" s="1"/>
  <c r="F63" i="16"/>
  <c r="G63" i="16" s="1"/>
  <c r="D63" i="16"/>
  <c r="E63" i="16" s="1"/>
  <c r="L62" i="16"/>
  <c r="M62" i="16" s="1"/>
  <c r="J62" i="16"/>
  <c r="K62" i="16" s="1"/>
  <c r="H62" i="16"/>
  <c r="I62" i="16" s="1"/>
  <c r="F62" i="16"/>
  <c r="G62" i="16" s="1"/>
  <c r="D62" i="16"/>
  <c r="E62" i="16" s="1"/>
  <c r="L61" i="16"/>
  <c r="M61" i="16" s="1"/>
  <c r="J61" i="16"/>
  <c r="K61" i="16" s="1"/>
  <c r="H61" i="16"/>
  <c r="I61" i="16" s="1"/>
  <c r="F61" i="16"/>
  <c r="G61" i="16" s="1"/>
  <c r="D61" i="16"/>
  <c r="E61" i="16" s="1"/>
  <c r="L60" i="16"/>
  <c r="M60" i="16" s="1"/>
  <c r="J60" i="16"/>
  <c r="K60" i="16" s="1"/>
  <c r="H60" i="16"/>
  <c r="I60" i="16" s="1"/>
  <c r="F60" i="16"/>
  <c r="G60" i="16" s="1"/>
  <c r="D60" i="16"/>
  <c r="E60" i="16" s="1"/>
  <c r="L59" i="16"/>
  <c r="M59" i="16" s="1"/>
  <c r="J59" i="16"/>
  <c r="K59" i="16" s="1"/>
  <c r="H59" i="16"/>
  <c r="I59" i="16" s="1"/>
  <c r="F59" i="16"/>
  <c r="G59" i="16" s="1"/>
  <c r="D59" i="16"/>
  <c r="E59" i="16" s="1"/>
  <c r="L58" i="16"/>
  <c r="M58" i="16" s="1"/>
  <c r="J58" i="16"/>
  <c r="K58" i="16" s="1"/>
  <c r="H58" i="16"/>
  <c r="I58" i="16" s="1"/>
  <c r="F58" i="16"/>
  <c r="G58" i="16" s="1"/>
  <c r="D58" i="16"/>
  <c r="E58" i="16" s="1"/>
  <c r="L57" i="16"/>
  <c r="M57" i="16" s="1"/>
  <c r="J57" i="16"/>
  <c r="K57" i="16" s="1"/>
  <c r="H57" i="16"/>
  <c r="I57" i="16" s="1"/>
  <c r="F57" i="16"/>
  <c r="G57" i="16" s="1"/>
  <c r="D57" i="16"/>
  <c r="E57" i="16" s="1"/>
  <c r="L56" i="16"/>
  <c r="M56" i="16" s="1"/>
  <c r="J56" i="16"/>
  <c r="K56" i="16" s="1"/>
  <c r="H56" i="16"/>
  <c r="I56" i="16" s="1"/>
  <c r="F56" i="16"/>
  <c r="G56" i="16" s="1"/>
  <c r="D56" i="16"/>
  <c r="E56" i="16" s="1"/>
  <c r="L55" i="16"/>
  <c r="M55" i="16" s="1"/>
  <c r="J55" i="16"/>
  <c r="K55" i="16" s="1"/>
  <c r="H55" i="16"/>
  <c r="I55" i="16" s="1"/>
  <c r="F55" i="16"/>
  <c r="G55" i="16" s="1"/>
  <c r="D55" i="16"/>
  <c r="E55" i="16" s="1"/>
  <c r="L54" i="16"/>
  <c r="M54" i="16" s="1"/>
  <c r="J54" i="16"/>
  <c r="K54" i="16" s="1"/>
  <c r="H54" i="16"/>
  <c r="I54" i="16" s="1"/>
  <c r="F54" i="16"/>
  <c r="G54" i="16" s="1"/>
  <c r="D54" i="16"/>
  <c r="E54" i="16" s="1"/>
  <c r="L53" i="16"/>
  <c r="M53" i="16" s="1"/>
  <c r="J53" i="16"/>
  <c r="K53" i="16" s="1"/>
  <c r="H53" i="16"/>
  <c r="I53" i="16" s="1"/>
  <c r="F53" i="16"/>
  <c r="G53" i="16" s="1"/>
  <c r="D53" i="16"/>
  <c r="E53" i="16" s="1"/>
  <c r="L52" i="16"/>
  <c r="M52" i="16" s="1"/>
  <c r="J52" i="16"/>
  <c r="K52" i="16" s="1"/>
  <c r="H52" i="16"/>
  <c r="I52" i="16" s="1"/>
  <c r="F52" i="16"/>
  <c r="G52" i="16" s="1"/>
  <c r="D52" i="16"/>
  <c r="E52" i="16" s="1"/>
  <c r="L51" i="16"/>
  <c r="J51" i="16"/>
  <c r="K51" i="16" s="1"/>
  <c r="M51" i="16" s="1"/>
  <c r="H51" i="16"/>
  <c r="I51" i="16" s="1"/>
  <c r="F51" i="16"/>
  <c r="G51" i="16" s="1"/>
  <c r="D51" i="16"/>
  <c r="E51" i="16" s="1"/>
  <c r="L50" i="16"/>
  <c r="J50" i="16"/>
  <c r="K50" i="16" s="1"/>
  <c r="M50" i="16" s="1"/>
  <c r="H50" i="16"/>
  <c r="I50" i="16" s="1"/>
  <c r="F50" i="16"/>
  <c r="G50" i="16" s="1"/>
  <c r="D50" i="16"/>
  <c r="E50" i="16" s="1"/>
  <c r="L49" i="16"/>
  <c r="J49" i="16"/>
  <c r="K49" i="16" s="1"/>
  <c r="M49" i="16" s="1"/>
  <c r="H49" i="16"/>
  <c r="I49" i="16" s="1"/>
  <c r="F49" i="16"/>
  <c r="G49" i="16" s="1"/>
  <c r="D49" i="16"/>
  <c r="E49" i="16" s="1"/>
  <c r="L48" i="16"/>
  <c r="J48" i="16"/>
  <c r="K48" i="16" s="1"/>
  <c r="M48" i="16" s="1"/>
  <c r="H48" i="16"/>
  <c r="I48" i="16" s="1"/>
  <c r="F48" i="16"/>
  <c r="G48" i="16" s="1"/>
  <c r="D48" i="16"/>
  <c r="E48" i="16" s="1"/>
  <c r="L47" i="16"/>
  <c r="J47" i="16"/>
  <c r="K47" i="16" s="1"/>
  <c r="M47" i="16" s="1"/>
  <c r="H47" i="16"/>
  <c r="I47" i="16" s="1"/>
  <c r="F47" i="16"/>
  <c r="G47" i="16" s="1"/>
  <c r="D47" i="16"/>
  <c r="E47" i="16" s="1"/>
  <c r="L46" i="16"/>
  <c r="J46" i="16"/>
  <c r="K46" i="16" s="1"/>
  <c r="M46" i="16" s="1"/>
  <c r="H46" i="16"/>
  <c r="I46" i="16" s="1"/>
  <c r="F46" i="16"/>
  <c r="G46" i="16" s="1"/>
  <c r="D46" i="16"/>
  <c r="E46" i="16" s="1"/>
  <c r="L45" i="16"/>
  <c r="J45" i="16"/>
  <c r="K45" i="16" s="1"/>
  <c r="M45" i="16" s="1"/>
  <c r="H45" i="16"/>
  <c r="I45" i="16" s="1"/>
  <c r="F45" i="16"/>
  <c r="G45" i="16" s="1"/>
  <c r="D45" i="16"/>
  <c r="E45" i="16" s="1"/>
  <c r="L44" i="16"/>
  <c r="J44" i="16"/>
  <c r="K44" i="16" s="1"/>
  <c r="M44" i="16" s="1"/>
  <c r="H44" i="16"/>
  <c r="I44" i="16" s="1"/>
  <c r="F44" i="16"/>
  <c r="G44" i="16" s="1"/>
  <c r="D44" i="16"/>
  <c r="E44" i="16" s="1"/>
  <c r="L43" i="16"/>
  <c r="J43" i="16"/>
  <c r="K43" i="16" s="1"/>
  <c r="H43" i="16"/>
  <c r="I43" i="16" s="1"/>
  <c r="M43" i="16" s="1"/>
  <c r="F43" i="16"/>
  <c r="G43" i="16" s="1"/>
  <c r="D43" i="16"/>
  <c r="E43" i="16" s="1"/>
  <c r="L42" i="16"/>
  <c r="J42" i="16"/>
  <c r="K42" i="16" s="1"/>
  <c r="H42" i="16"/>
  <c r="I42" i="16" s="1"/>
  <c r="M42" i="16" s="1"/>
  <c r="F42" i="16"/>
  <c r="G42" i="16" s="1"/>
  <c r="D42" i="16"/>
  <c r="E42" i="16" s="1"/>
  <c r="L41" i="16"/>
  <c r="J41" i="16"/>
  <c r="K41" i="16" s="1"/>
  <c r="H41" i="16"/>
  <c r="I41" i="16" s="1"/>
  <c r="M41" i="16" s="1"/>
  <c r="F41" i="16"/>
  <c r="G41" i="16" s="1"/>
  <c r="D41" i="16"/>
  <c r="E41" i="16" s="1"/>
  <c r="L40" i="16"/>
  <c r="J40" i="16"/>
  <c r="K40" i="16" s="1"/>
  <c r="H40" i="16"/>
  <c r="I40" i="16" s="1"/>
  <c r="M40" i="16" s="1"/>
  <c r="F40" i="16"/>
  <c r="G40" i="16" s="1"/>
  <c r="D40" i="16"/>
  <c r="E40" i="16" s="1"/>
  <c r="L39" i="16"/>
  <c r="J39" i="16"/>
  <c r="K39" i="16" s="1"/>
  <c r="H39" i="16"/>
  <c r="I39" i="16" s="1"/>
  <c r="M39" i="16" s="1"/>
  <c r="F39" i="16"/>
  <c r="G39" i="16" s="1"/>
  <c r="D39" i="16"/>
  <c r="E39" i="16" s="1"/>
  <c r="L38" i="16"/>
  <c r="J38" i="16"/>
  <c r="K38" i="16" s="1"/>
  <c r="H38" i="16"/>
  <c r="I38" i="16" s="1"/>
  <c r="M38" i="16" s="1"/>
  <c r="F38" i="16"/>
  <c r="G38" i="16" s="1"/>
  <c r="D38" i="16"/>
  <c r="E38" i="16" s="1"/>
  <c r="L37" i="16"/>
  <c r="J37" i="16"/>
  <c r="K37" i="16" s="1"/>
  <c r="H37" i="16"/>
  <c r="I37" i="16" s="1"/>
  <c r="M37" i="16" s="1"/>
  <c r="F37" i="16"/>
  <c r="G37" i="16" s="1"/>
  <c r="D37" i="16"/>
  <c r="E37" i="16" s="1"/>
  <c r="L36" i="16"/>
  <c r="J36" i="16"/>
  <c r="K36" i="16" s="1"/>
  <c r="H36" i="16"/>
  <c r="I36" i="16" s="1"/>
  <c r="M36" i="16" s="1"/>
  <c r="F36" i="16"/>
  <c r="G36" i="16" s="1"/>
  <c r="D36" i="16"/>
  <c r="E36" i="16" s="1"/>
  <c r="L35" i="16"/>
  <c r="J35" i="16"/>
  <c r="K35" i="16" s="1"/>
  <c r="H35" i="16"/>
  <c r="F35" i="16"/>
  <c r="G35" i="16" s="1"/>
  <c r="I35" i="16" s="1"/>
  <c r="D35" i="16"/>
  <c r="E34" i="16" s="1"/>
  <c r="M34" i="16" s="1"/>
  <c r="L34" i="16"/>
  <c r="J34" i="16"/>
  <c r="K34" i="16" s="1"/>
  <c r="H34" i="16"/>
  <c r="F34" i="16"/>
  <c r="G34" i="16" s="1"/>
  <c r="I34" i="16" s="1"/>
  <c r="D34" i="16"/>
  <c r="E33" i="16" s="1"/>
  <c r="M33" i="16" s="1"/>
  <c r="L33" i="16"/>
  <c r="J33" i="16"/>
  <c r="K33" i="16" s="1"/>
  <c r="H33" i="16"/>
  <c r="F33" i="16"/>
  <c r="G33" i="16" s="1"/>
  <c r="I33" i="16" s="1"/>
  <c r="D33" i="16"/>
  <c r="E32" i="16" s="1"/>
  <c r="M32" i="16" s="1"/>
  <c r="L32" i="16"/>
  <c r="J32" i="16"/>
  <c r="K32" i="16" s="1"/>
  <c r="H32" i="16"/>
  <c r="F32" i="16"/>
  <c r="G32" i="16" s="1"/>
  <c r="I32" i="16" s="1"/>
  <c r="D32" i="16"/>
  <c r="E31" i="16" s="1"/>
  <c r="M31" i="16" s="1"/>
  <c r="L31" i="16"/>
  <c r="J31" i="16"/>
  <c r="K31" i="16" s="1"/>
  <c r="H31" i="16"/>
  <c r="F31" i="16"/>
  <c r="G31" i="16" s="1"/>
  <c r="I31" i="16" s="1"/>
  <c r="D31" i="16"/>
  <c r="E30" i="16" s="1"/>
  <c r="M30" i="16" s="1"/>
  <c r="L30" i="16"/>
  <c r="J30" i="16"/>
  <c r="K30" i="16" s="1"/>
  <c r="H30" i="16"/>
  <c r="F30" i="16"/>
  <c r="G30" i="16" s="1"/>
  <c r="I30" i="16" s="1"/>
  <c r="D30" i="16"/>
  <c r="E29" i="16" s="1"/>
  <c r="M29" i="16" s="1"/>
  <c r="L29" i="16"/>
  <c r="J29" i="16"/>
  <c r="K29" i="16" s="1"/>
  <c r="H29" i="16"/>
  <c r="F29" i="16"/>
  <c r="G29" i="16" s="1"/>
  <c r="I29" i="16" s="1"/>
  <c r="D29" i="16"/>
  <c r="E28" i="16" s="1"/>
  <c r="M28" i="16" s="1"/>
  <c r="L28" i="16"/>
  <c r="J28" i="16"/>
  <c r="K28" i="16" s="1"/>
  <c r="H28" i="16"/>
  <c r="F28" i="16"/>
  <c r="G28" i="16" s="1"/>
  <c r="I28" i="16" s="1"/>
  <c r="D28" i="16"/>
  <c r="E27" i="16" s="1"/>
  <c r="K27" i="16" s="1"/>
  <c r="L27" i="16"/>
  <c r="J27" i="16"/>
  <c r="H27" i="16"/>
  <c r="I27" i="16" s="1"/>
  <c r="F27" i="16"/>
  <c r="G27" i="16" s="1"/>
  <c r="M27" i="16" s="1"/>
  <c r="D27" i="16"/>
  <c r="E26" i="16" s="1"/>
  <c r="K26" i="16" s="1"/>
  <c r="L26" i="16"/>
  <c r="J26" i="16"/>
  <c r="H26" i="16"/>
  <c r="I26" i="16" s="1"/>
  <c r="F26" i="16"/>
  <c r="G26" i="16" s="1"/>
  <c r="M26" i="16" s="1"/>
  <c r="D26" i="16"/>
  <c r="E25" i="16" s="1"/>
  <c r="K25" i="16" s="1"/>
  <c r="L25" i="16"/>
  <c r="J25" i="16"/>
  <c r="H25" i="16"/>
  <c r="I25" i="16" s="1"/>
  <c r="F25" i="16"/>
  <c r="G25" i="16" s="1"/>
  <c r="M25" i="16" s="1"/>
  <c r="D25" i="16"/>
  <c r="E24" i="16" s="1"/>
  <c r="K24" i="16" s="1"/>
  <c r="L24" i="16"/>
  <c r="J24" i="16"/>
  <c r="H24" i="16"/>
  <c r="I24" i="16" s="1"/>
  <c r="F24" i="16"/>
  <c r="G24" i="16" s="1"/>
  <c r="M24" i="16" s="1"/>
  <c r="D24" i="16"/>
  <c r="E23" i="16" s="1"/>
  <c r="K23" i="16" s="1"/>
  <c r="L23" i="16"/>
  <c r="J23" i="16"/>
  <c r="H23" i="16"/>
  <c r="I23" i="16" s="1"/>
  <c r="F23" i="16"/>
  <c r="G23" i="16" s="1"/>
  <c r="M23" i="16" s="1"/>
  <c r="D23" i="16"/>
  <c r="E22" i="16" s="1"/>
  <c r="K22" i="16" s="1"/>
  <c r="L22" i="16"/>
  <c r="J22" i="16"/>
  <c r="H22" i="16"/>
  <c r="I22" i="16" s="1"/>
  <c r="F22" i="16"/>
  <c r="G22" i="16" s="1"/>
  <c r="M22" i="16" s="1"/>
  <c r="D22" i="16"/>
  <c r="E21" i="16" s="1"/>
  <c r="K21" i="16" s="1"/>
  <c r="L21" i="16"/>
  <c r="J21" i="16"/>
  <c r="H21" i="16"/>
  <c r="I21" i="16" s="1"/>
  <c r="F21" i="16"/>
  <c r="G21" i="16" s="1"/>
  <c r="M21" i="16" s="1"/>
  <c r="D21" i="16"/>
  <c r="E20" i="16" s="1"/>
  <c r="K20" i="16" s="1"/>
  <c r="L20" i="16"/>
  <c r="J20" i="16"/>
  <c r="H20" i="16"/>
  <c r="I20" i="16" s="1"/>
  <c r="F20" i="16"/>
  <c r="G20" i="16" s="1"/>
  <c r="M20" i="16" s="1"/>
  <c r="D20" i="16"/>
  <c r="E19" i="16" s="1"/>
  <c r="L19" i="16"/>
  <c r="M19" i="16" s="1"/>
  <c r="J19" i="16"/>
  <c r="H19" i="16"/>
  <c r="F19" i="16"/>
  <c r="G19" i="16" s="1"/>
  <c r="K19" i="16" s="1"/>
  <c r="D19" i="16"/>
  <c r="E18" i="16" s="1"/>
  <c r="L18" i="16"/>
  <c r="M18" i="16" s="1"/>
  <c r="J18" i="16"/>
  <c r="H18" i="16"/>
  <c r="F18" i="16"/>
  <c r="G18" i="16" s="1"/>
  <c r="K18" i="16" s="1"/>
  <c r="D18" i="16"/>
  <c r="E17" i="16" s="1"/>
  <c r="L17" i="16"/>
  <c r="M17" i="16" s="1"/>
  <c r="J17" i="16"/>
  <c r="H17" i="16"/>
  <c r="F17" i="16"/>
  <c r="G17" i="16" s="1"/>
  <c r="K17" i="16" s="1"/>
  <c r="D17" i="16"/>
  <c r="E16" i="16" s="1"/>
  <c r="L16" i="16"/>
  <c r="M16" i="16" s="1"/>
  <c r="J16" i="16"/>
  <c r="H16" i="16"/>
  <c r="F16" i="16"/>
  <c r="G16" i="16" s="1"/>
  <c r="K16" i="16" s="1"/>
  <c r="D16" i="16"/>
  <c r="E15" i="16" s="1"/>
  <c r="L15" i="16"/>
  <c r="M15" i="16" s="1"/>
  <c r="J15" i="16"/>
  <c r="H15" i="16"/>
  <c r="F15" i="16"/>
  <c r="G15" i="16" s="1"/>
  <c r="K15" i="16" s="1"/>
  <c r="D15" i="16"/>
  <c r="E14" i="16" s="1"/>
  <c r="L14" i="16"/>
  <c r="M14" i="16" s="1"/>
  <c r="J14" i="16"/>
  <c r="H14" i="16"/>
  <c r="F14" i="16"/>
  <c r="G14" i="16" s="1"/>
  <c r="K14" i="16" s="1"/>
  <c r="D14" i="16"/>
  <c r="E13" i="16" s="1"/>
  <c r="L13" i="16"/>
  <c r="M13" i="16" s="1"/>
  <c r="J13" i="16"/>
  <c r="H13" i="16"/>
  <c r="F13" i="16"/>
  <c r="G13" i="16" s="1"/>
  <c r="K13" i="16" s="1"/>
  <c r="D13" i="16"/>
  <c r="E12" i="16" s="1"/>
  <c r="L12" i="16"/>
  <c r="M12" i="16" s="1"/>
  <c r="J12" i="16"/>
  <c r="H12" i="16"/>
  <c r="F12" i="16"/>
  <c r="G12" i="16" s="1"/>
  <c r="K12" i="16" s="1"/>
  <c r="D12" i="16"/>
  <c r="E11" i="16" s="1"/>
  <c r="L11" i="16"/>
  <c r="M11" i="16" s="1"/>
  <c r="J11" i="16"/>
  <c r="H11" i="16"/>
  <c r="I11" i="16" s="1"/>
  <c r="K11" i="16" s="1"/>
  <c r="F11" i="16"/>
  <c r="D11" i="16"/>
  <c r="E10" i="16" s="1"/>
  <c r="L10" i="16"/>
  <c r="M10" i="16" s="1"/>
  <c r="J10" i="16"/>
  <c r="H10" i="16"/>
  <c r="I10" i="16" s="1"/>
  <c r="K10" i="16" s="1"/>
  <c r="F10" i="16"/>
  <c r="D10" i="16"/>
  <c r="E9" i="16" s="1"/>
  <c r="L9" i="16"/>
  <c r="M9" i="16" s="1"/>
  <c r="J9" i="16"/>
  <c r="H9" i="16"/>
  <c r="I9" i="16" s="1"/>
  <c r="K9" i="16" s="1"/>
  <c r="F9" i="16"/>
  <c r="D9" i="16"/>
  <c r="E8" i="16" s="1"/>
  <c r="L8" i="16"/>
  <c r="M8" i="16" s="1"/>
  <c r="J8" i="16"/>
  <c r="H8" i="16"/>
  <c r="I8" i="16" s="1"/>
  <c r="K8" i="16" s="1"/>
  <c r="F8" i="16"/>
  <c r="D8" i="16"/>
  <c r="E7" i="16" s="1"/>
  <c r="G7" i="16" s="1"/>
  <c r="L7" i="16"/>
  <c r="M7" i="16" s="1"/>
  <c r="J7" i="16"/>
  <c r="H7" i="16"/>
  <c r="I7" i="16" s="1"/>
  <c r="K7" i="16" s="1"/>
  <c r="F7" i="16"/>
  <c r="D7" i="16"/>
  <c r="E6" i="16" s="1"/>
  <c r="G6" i="16" s="1"/>
  <c r="L6" i="16"/>
  <c r="M6" i="16" s="1"/>
  <c r="J6" i="16"/>
  <c r="H6" i="16"/>
  <c r="I6" i="16" s="1"/>
  <c r="K6" i="16" s="1"/>
  <c r="F6" i="16"/>
  <c r="D6" i="16"/>
  <c r="E5" i="16" s="1"/>
  <c r="G5" i="16" s="1"/>
  <c r="L5" i="16"/>
  <c r="M5" i="16" s="1"/>
  <c r="J5" i="16"/>
  <c r="H5" i="16"/>
  <c r="I5" i="16" s="1"/>
  <c r="K5" i="16" s="1"/>
  <c r="F5" i="16"/>
  <c r="D5" i="16"/>
  <c r="E4" i="16" s="1"/>
  <c r="L4" i="16"/>
  <c r="M4" i="16" s="1"/>
  <c r="J4" i="16"/>
  <c r="H4" i="16"/>
  <c r="I4" i="16" s="1"/>
  <c r="F4" i="16"/>
  <c r="D4" i="16"/>
  <c r="O3" i="16"/>
  <c r="F4" i="15"/>
  <c r="F100" i="15"/>
  <c r="F96" i="15"/>
  <c r="F95" i="15"/>
  <c r="F94" i="15"/>
  <c r="F93" i="15"/>
  <c r="F92" i="15"/>
  <c r="L85" i="15"/>
  <c r="M85" i="15" s="1"/>
  <c r="J85" i="15"/>
  <c r="K85" i="15" s="1"/>
  <c r="H85" i="15"/>
  <c r="I85" i="15" s="1"/>
  <c r="F85" i="15"/>
  <c r="G85" i="15" s="1"/>
  <c r="D85" i="15"/>
  <c r="E85" i="15" s="1"/>
  <c r="L84" i="15"/>
  <c r="M84" i="15" s="1"/>
  <c r="J84" i="15"/>
  <c r="K84" i="15" s="1"/>
  <c r="H84" i="15"/>
  <c r="I84" i="15" s="1"/>
  <c r="F84" i="15"/>
  <c r="G84" i="15" s="1"/>
  <c r="D84" i="15"/>
  <c r="E84" i="15" s="1"/>
  <c r="L83" i="15"/>
  <c r="M83" i="15" s="1"/>
  <c r="J83" i="15"/>
  <c r="K83" i="15" s="1"/>
  <c r="H83" i="15"/>
  <c r="I83" i="15" s="1"/>
  <c r="F83" i="15"/>
  <c r="G83" i="15" s="1"/>
  <c r="D83" i="15"/>
  <c r="E83" i="15" s="1"/>
  <c r="L82" i="15"/>
  <c r="M82" i="15" s="1"/>
  <c r="J82" i="15"/>
  <c r="K82" i="15" s="1"/>
  <c r="H82" i="15"/>
  <c r="I82" i="15" s="1"/>
  <c r="F82" i="15"/>
  <c r="G82" i="15" s="1"/>
  <c r="D82" i="15"/>
  <c r="E82" i="15" s="1"/>
  <c r="L81" i="15"/>
  <c r="M81" i="15" s="1"/>
  <c r="J81" i="15"/>
  <c r="K81" i="15" s="1"/>
  <c r="H81" i="15"/>
  <c r="I81" i="15" s="1"/>
  <c r="F81" i="15"/>
  <c r="G81" i="15" s="1"/>
  <c r="D81" i="15"/>
  <c r="E81" i="15" s="1"/>
  <c r="L80" i="15"/>
  <c r="M80" i="15" s="1"/>
  <c r="J80" i="15"/>
  <c r="K80" i="15" s="1"/>
  <c r="H80" i="15"/>
  <c r="I80" i="15" s="1"/>
  <c r="F80" i="15"/>
  <c r="G80" i="15" s="1"/>
  <c r="D80" i="15"/>
  <c r="E80" i="15" s="1"/>
  <c r="L79" i="15"/>
  <c r="M79" i="15" s="1"/>
  <c r="J79" i="15"/>
  <c r="K79" i="15" s="1"/>
  <c r="H79" i="15"/>
  <c r="I79" i="15" s="1"/>
  <c r="F79" i="15"/>
  <c r="G79" i="15" s="1"/>
  <c r="D79" i="15"/>
  <c r="E79" i="15" s="1"/>
  <c r="L78" i="15"/>
  <c r="M78" i="15" s="1"/>
  <c r="J78" i="15"/>
  <c r="K78" i="15" s="1"/>
  <c r="H78" i="15"/>
  <c r="I78" i="15" s="1"/>
  <c r="F78" i="15"/>
  <c r="G78" i="15" s="1"/>
  <c r="D78" i="15"/>
  <c r="E78" i="15" s="1"/>
  <c r="L77" i="15"/>
  <c r="M77" i="15" s="1"/>
  <c r="J77" i="15"/>
  <c r="K77" i="15" s="1"/>
  <c r="H77" i="15"/>
  <c r="I77" i="15" s="1"/>
  <c r="F77" i="15"/>
  <c r="G77" i="15" s="1"/>
  <c r="D77" i="15"/>
  <c r="E77" i="15" s="1"/>
  <c r="L76" i="15"/>
  <c r="M76" i="15" s="1"/>
  <c r="J76" i="15"/>
  <c r="K76" i="15" s="1"/>
  <c r="H76" i="15"/>
  <c r="I76" i="15" s="1"/>
  <c r="F76" i="15"/>
  <c r="G76" i="15" s="1"/>
  <c r="D76" i="15"/>
  <c r="E76" i="15" s="1"/>
  <c r="L75" i="15"/>
  <c r="M75" i="15" s="1"/>
  <c r="J75" i="15"/>
  <c r="K75" i="15" s="1"/>
  <c r="H75" i="15"/>
  <c r="I75" i="15" s="1"/>
  <c r="F75" i="15"/>
  <c r="G75" i="15" s="1"/>
  <c r="D75" i="15"/>
  <c r="E75" i="15" s="1"/>
  <c r="L74" i="15"/>
  <c r="M74" i="15" s="1"/>
  <c r="J74" i="15"/>
  <c r="K74" i="15" s="1"/>
  <c r="H74" i="15"/>
  <c r="I74" i="15" s="1"/>
  <c r="F74" i="15"/>
  <c r="G74" i="15" s="1"/>
  <c r="D74" i="15"/>
  <c r="E74" i="15" s="1"/>
  <c r="L73" i="15"/>
  <c r="M73" i="15" s="1"/>
  <c r="J73" i="15"/>
  <c r="K73" i="15" s="1"/>
  <c r="H73" i="15"/>
  <c r="I73" i="15" s="1"/>
  <c r="F73" i="15"/>
  <c r="G73" i="15" s="1"/>
  <c r="D73" i="15"/>
  <c r="E73" i="15" s="1"/>
  <c r="L72" i="15"/>
  <c r="M72" i="15" s="1"/>
  <c r="J72" i="15"/>
  <c r="K72" i="15" s="1"/>
  <c r="H72" i="15"/>
  <c r="I72" i="15" s="1"/>
  <c r="F72" i="15"/>
  <c r="G72" i="15" s="1"/>
  <c r="D72" i="15"/>
  <c r="E72" i="15" s="1"/>
  <c r="L71" i="15"/>
  <c r="M71" i="15" s="1"/>
  <c r="J71" i="15"/>
  <c r="K71" i="15" s="1"/>
  <c r="H71" i="15"/>
  <c r="I71" i="15" s="1"/>
  <c r="F71" i="15"/>
  <c r="G71" i="15" s="1"/>
  <c r="D71" i="15"/>
  <c r="E71" i="15" s="1"/>
  <c r="L70" i="15"/>
  <c r="M70" i="15" s="1"/>
  <c r="J70" i="15"/>
  <c r="K70" i="15" s="1"/>
  <c r="H70" i="15"/>
  <c r="I70" i="15" s="1"/>
  <c r="F70" i="15"/>
  <c r="G70" i="15" s="1"/>
  <c r="D70" i="15"/>
  <c r="E70" i="15" s="1"/>
  <c r="L69" i="15"/>
  <c r="M69" i="15" s="1"/>
  <c r="J69" i="15"/>
  <c r="K69" i="15" s="1"/>
  <c r="H69" i="15"/>
  <c r="I69" i="15" s="1"/>
  <c r="F69" i="15"/>
  <c r="G69" i="15" s="1"/>
  <c r="D69" i="15"/>
  <c r="E69" i="15" s="1"/>
  <c r="L68" i="15"/>
  <c r="M68" i="15" s="1"/>
  <c r="J68" i="15"/>
  <c r="K68" i="15" s="1"/>
  <c r="H68" i="15"/>
  <c r="I68" i="15" s="1"/>
  <c r="F68" i="15"/>
  <c r="G68" i="15" s="1"/>
  <c r="D68" i="15"/>
  <c r="E68" i="15" s="1"/>
  <c r="L67" i="15"/>
  <c r="M67" i="15" s="1"/>
  <c r="J67" i="15"/>
  <c r="K67" i="15" s="1"/>
  <c r="H67" i="15"/>
  <c r="I67" i="15" s="1"/>
  <c r="F67" i="15"/>
  <c r="G67" i="15" s="1"/>
  <c r="D67" i="15"/>
  <c r="E67" i="15" s="1"/>
  <c r="L66" i="15"/>
  <c r="M66" i="15" s="1"/>
  <c r="J66" i="15"/>
  <c r="K66" i="15" s="1"/>
  <c r="H66" i="15"/>
  <c r="I66" i="15" s="1"/>
  <c r="F66" i="15"/>
  <c r="G66" i="15" s="1"/>
  <c r="D66" i="15"/>
  <c r="E66" i="15" s="1"/>
  <c r="L65" i="15"/>
  <c r="M65" i="15" s="1"/>
  <c r="J65" i="15"/>
  <c r="K65" i="15" s="1"/>
  <c r="H65" i="15"/>
  <c r="I65" i="15" s="1"/>
  <c r="F65" i="15"/>
  <c r="G65" i="15" s="1"/>
  <c r="D65" i="15"/>
  <c r="E65" i="15" s="1"/>
  <c r="L64" i="15"/>
  <c r="M64" i="15" s="1"/>
  <c r="J64" i="15"/>
  <c r="K64" i="15" s="1"/>
  <c r="H64" i="15"/>
  <c r="I64" i="15" s="1"/>
  <c r="F64" i="15"/>
  <c r="G64" i="15" s="1"/>
  <c r="D64" i="15"/>
  <c r="E64" i="15" s="1"/>
  <c r="L63" i="15"/>
  <c r="M63" i="15" s="1"/>
  <c r="J63" i="15"/>
  <c r="K63" i="15" s="1"/>
  <c r="H63" i="15"/>
  <c r="I63" i="15" s="1"/>
  <c r="F63" i="15"/>
  <c r="G63" i="15" s="1"/>
  <c r="D63" i="15"/>
  <c r="E63" i="15" s="1"/>
  <c r="L62" i="15"/>
  <c r="M62" i="15" s="1"/>
  <c r="J62" i="15"/>
  <c r="K62" i="15" s="1"/>
  <c r="H62" i="15"/>
  <c r="I62" i="15" s="1"/>
  <c r="F62" i="15"/>
  <c r="G62" i="15" s="1"/>
  <c r="D62" i="15"/>
  <c r="E62" i="15" s="1"/>
  <c r="L61" i="15"/>
  <c r="M61" i="15" s="1"/>
  <c r="J61" i="15"/>
  <c r="K61" i="15" s="1"/>
  <c r="H61" i="15"/>
  <c r="I61" i="15" s="1"/>
  <c r="F61" i="15"/>
  <c r="G61" i="15" s="1"/>
  <c r="D61" i="15"/>
  <c r="E61" i="15" s="1"/>
  <c r="L60" i="15"/>
  <c r="M60" i="15" s="1"/>
  <c r="J60" i="15"/>
  <c r="K60" i="15" s="1"/>
  <c r="H60" i="15"/>
  <c r="I60" i="15" s="1"/>
  <c r="F60" i="15"/>
  <c r="G60" i="15" s="1"/>
  <c r="D60" i="15"/>
  <c r="E60" i="15" s="1"/>
  <c r="L59" i="15"/>
  <c r="M59" i="15" s="1"/>
  <c r="J59" i="15"/>
  <c r="K59" i="15" s="1"/>
  <c r="H59" i="15"/>
  <c r="I59" i="15" s="1"/>
  <c r="F59" i="15"/>
  <c r="G59" i="15" s="1"/>
  <c r="D59" i="15"/>
  <c r="E59" i="15" s="1"/>
  <c r="L58" i="15"/>
  <c r="M58" i="15" s="1"/>
  <c r="J58" i="15"/>
  <c r="K58" i="15" s="1"/>
  <c r="H58" i="15"/>
  <c r="I58" i="15" s="1"/>
  <c r="F58" i="15"/>
  <c r="G58" i="15" s="1"/>
  <c r="D58" i="15"/>
  <c r="E58" i="15" s="1"/>
  <c r="L57" i="15"/>
  <c r="M57" i="15" s="1"/>
  <c r="J57" i="15"/>
  <c r="K57" i="15" s="1"/>
  <c r="H57" i="15"/>
  <c r="I57" i="15" s="1"/>
  <c r="F57" i="15"/>
  <c r="G57" i="15" s="1"/>
  <c r="D57" i="15"/>
  <c r="E57" i="15" s="1"/>
  <c r="L56" i="15"/>
  <c r="M56" i="15" s="1"/>
  <c r="J56" i="15"/>
  <c r="K56" i="15" s="1"/>
  <c r="H56" i="15"/>
  <c r="I56" i="15" s="1"/>
  <c r="F56" i="15"/>
  <c r="G56" i="15" s="1"/>
  <c r="D56" i="15"/>
  <c r="E56" i="15" s="1"/>
  <c r="L55" i="15"/>
  <c r="M55" i="15" s="1"/>
  <c r="J55" i="15"/>
  <c r="K55" i="15" s="1"/>
  <c r="H55" i="15"/>
  <c r="I55" i="15" s="1"/>
  <c r="F55" i="15"/>
  <c r="G55" i="15" s="1"/>
  <c r="D55" i="15"/>
  <c r="E55" i="15" s="1"/>
  <c r="L54" i="15"/>
  <c r="M54" i="15" s="1"/>
  <c r="J54" i="15"/>
  <c r="K54" i="15" s="1"/>
  <c r="H54" i="15"/>
  <c r="I54" i="15" s="1"/>
  <c r="F54" i="15"/>
  <c r="G54" i="15" s="1"/>
  <c r="D54" i="15"/>
  <c r="E54" i="15" s="1"/>
  <c r="L53" i="15"/>
  <c r="M53" i="15" s="1"/>
  <c r="J53" i="15"/>
  <c r="K53" i="15" s="1"/>
  <c r="H53" i="15"/>
  <c r="I53" i="15" s="1"/>
  <c r="F53" i="15"/>
  <c r="G53" i="15" s="1"/>
  <c r="D53" i="15"/>
  <c r="E53" i="15" s="1"/>
  <c r="L52" i="15"/>
  <c r="M52" i="15" s="1"/>
  <c r="J52" i="15"/>
  <c r="K52" i="15" s="1"/>
  <c r="H52" i="15"/>
  <c r="I52" i="15" s="1"/>
  <c r="F52" i="15"/>
  <c r="G52" i="15" s="1"/>
  <c r="D52" i="15"/>
  <c r="E52" i="15" s="1"/>
  <c r="L51" i="15"/>
  <c r="M51" i="15" s="1"/>
  <c r="J51" i="15"/>
  <c r="K51" i="15" s="1"/>
  <c r="H51" i="15"/>
  <c r="I51" i="15" s="1"/>
  <c r="F51" i="15"/>
  <c r="G51" i="15" s="1"/>
  <c r="D51" i="15"/>
  <c r="E51" i="15" s="1"/>
  <c r="L50" i="15"/>
  <c r="M50" i="15" s="1"/>
  <c r="J50" i="15"/>
  <c r="K50" i="15" s="1"/>
  <c r="H50" i="15"/>
  <c r="I50" i="15" s="1"/>
  <c r="F50" i="15"/>
  <c r="G50" i="15" s="1"/>
  <c r="D50" i="15"/>
  <c r="E50" i="15" s="1"/>
  <c r="L49" i="15"/>
  <c r="M49" i="15" s="1"/>
  <c r="J49" i="15"/>
  <c r="K49" i="15" s="1"/>
  <c r="H49" i="15"/>
  <c r="I49" i="15" s="1"/>
  <c r="F49" i="15"/>
  <c r="G49" i="15" s="1"/>
  <c r="D49" i="15"/>
  <c r="E49" i="15" s="1"/>
  <c r="L48" i="15"/>
  <c r="M48" i="15" s="1"/>
  <c r="J48" i="15"/>
  <c r="K48" i="15" s="1"/>
  <c r="H48" i="15"/>
  <c r="I48" i="15" s="1"/>
  <c r="F48" i="15"/>
  <c r="G48" i="15" s="1"/>
  <c r="D48" i="15"/>
  <c r="E48" i="15" s="1"/>
  <c r="L47" i="15"/>
  <c r="M47" i="15" s="1"/>
  <c r="J47" i="15"/>
  <c r="K47" i="15" s="1"/>
  <c r="H47" i="15"/>
  <c r="I47" i="15" s="1"/>
  <c r="F47" i="15"/>
  <c r="G47" i="15" s="1"/>
  <c r="D47" i="15"/>
  <c r="E47" i="15" s="1"/>
  <c r="L46" i="15"/>
  <c r="M46" i="15" s="1"/>
  <c r="J46" i="15"/>
  <c r="K46" i="15" s="1"/>
  <c r="H46" i="15"/>
  <c r="I46" i="15" s="1"/>
  <c r="F46" i="15"/>
  <c r="G46" i="15" s="1"/>
  <c r="D46" i="15"/>
  <c r="E46" i="15" s="1"/>
  <c r="L45" i="15"/>
  <c r="M45" i="15" s="1"/>
  <c r="J45" i="15"/>
  <c r="K45" i="15" s="1"/>
  <c r="H45" i="15"/>
  <c r="I45" i="15" s="1"/>
  <c r="F45" i="15"/>
  <c r="G45" i="15" s="1"/>
  <c r="D45" i="15"/>
  <c r="E45" i="15" s="1"/>
  <c r="L44" i="15"/>
  <c r="M44" i="15" s="1"/>
  <c r="J44" i="15"/>
  <c r="K44" i="15" s="1"/>
  <c r="H44" i="15"/>
  <c r="I44" i="15" s="1"/>
  <c r="F44" i="15"/>
  <c r="G44" i="15" s="1"/>
  <c r="D44" i="15"/>
  <c r="E44" i="15" s="1"/>
  <c r="L43" i="15"/>
  <c r="M43" i="15" s="1"/>
  <c r="J43" i="15"/>
  <c r="K43" i="15" s="1"/>
  <c r="H43" i="15"/>
  <c r="I43" i="15" s="1"/>
  <c r="F43" i="15"/>
  <c r="G43" i="15" s="1"/>
  <c r="D43" i="15"/>
  <c r="E43" i="15" s="1"/>
  <c r="L42" i="15"/>
  <c r="M42" i="15" s="1"/>
  <c r="J42" i="15"/>
  <c r="K42" i="15" s="1"/>
  <c r="H42" i="15"/>
  <c r="I42" i="15" s="1"/>
  <c r="F42" i="15"/>
  <c r="G42" i="15" s="1"/>
  <c r="D42" i="15"/>
  <c r="E42" i="15" s="1"/>
  <c r="L41" i="15"/>
  <c r="M41" i="15" s="1"/>
  <c r="J41" i="15"/>
  <c r="K41" i="15" s="1"/>
  <c r="H41" i="15"/>
  <c r="I41" i="15" s="1"/>
  <c r="F41" i="15"/>
  <c r="G41" i="15" s="1"/>
  <c r="D41" i="15"/>
  <c r="E41" i="15" s="1"/>
  <c r="L40" i="15"/>
  <c r="M40" i="15" s="1"/>
  <c r="J40" i="15"/>
  <c r="K40" i="15" s="1"/>
  <c r="H40" i="15"/>
  <c r="I40" i="15" s="1"/>
  <c r="F40" i="15"/>
  <c r="G40" i="15" s="1"/>
  <c r="D40" i="15"/>
  <c r="E40" i="15" s="1"/>
  <c r="L39" i="15"/>
  <c r="M39" i="15" s="1"/>
  <c r="J39" i="15"/>
  <c r="K39" i="15" s="1"/>
  <c r="H39" i="15"/>
  <c r="I39" i="15" s="1"/>
  <c r="F39" i="15"/>
  <c r="G39" i="15" s="1"/>
  <c r="D39" i="15"/>
  <c r="E39" i="15" s="1"/>
  <c r="L38" i="15"/>
  <c r="M38" i="15" s="1"/>
  <c r="J38" i="15"/>
  <c r="K38" i="15" s="1"/>
  <c r="H38" i="15"/>
  <c r="I38" i="15" s="1"/>
  <c r="F38" i="15"/>
  <c r="G38" i="15" s="1"/>
  <c r="D38" i="15"/>
  <c r="E38" i="15" s="1"/>
  <c r="L37" i="15"/>
  <c r="M37" i="15" s="1"/>
  <c r="J37" i="15"/>
  <c r="K37" i="15" s="1"/>
  <c r="H37" i="15"/>
  <c r="I37" i="15" s="1"/>
  <c r="F37" i="15"/>
  <c r="G37" i="15" s="1"/>
  <c r="D37" i="15"/>
  <c r="E37" i="15" s="1"/>
  <c r="L36" i="15"/>
  <c r="M36" i="15" s="1"/>
  <c r="J36" i="15"/>
  <c r="K36" i="15" s="1"/>
  <c r="H36" i="15"/>
  <c r="I36" i="15" s="1"/>
  <c r="F36" i="15"/>
  <c r="G36" i="15" s="1"/>
  <c r="D36" i="15"/>
  <c r="E36" i="15" s="1"/>
  <c r="L35" i="15"/>
  <c r="M35" i="15" s="1"/>
  <c r="J35" i="15"/>
  <c r="K35" i="15" s="1"/>
  <c r="H35" i="15"/>
  <c r="I35" i="15" s="1"/>
  <c r="F35" i="15"/>
  <c r="G35" i="15" s="1"/>
  <c r="D35" i="15"/>
  <c r="E35" i="15" s="1"/>
  <c r="L34" i="15"/>
  <c r="M34" i="15" s="1"/>
  <c r="J34" i="15"/>
  <c r="K34" i="15" s="1"/>
  <c r="H34" i="15"/>
  <c r="I34" i="15" s="1"/>
  <c r="F34" i="15"/>
  <c r="G34" i="15" s="1"/>
  <c r="D34" i="15"/>
  <c r="E34" i="15" s="1"/>
  <c r="L33" i="15"/>
  <c r="M33" i="15" s="1"/>
  <c r="J33" i="15"/>
  <c r="K33" i="15" s="1"/>
  <c r="H33" i="15"/>
  <c r="I33" i="15" s="1"/>
  <c r="F33" i="15"/>
  <c r="G33" i="15" s="1"/>
  <c r="D33" i="15"/>
  <c r="E33" i="15" s="1"/>
  <c r="L32" i="15"/>
  <c r="M32" i="15" s="1"/>
  <c r="J32" i="15"/>
  <c r="K32" i="15" s="1"/>
  <c r="H32" i="15"/>
  <c r="I32" i="15" s="1"/>
  <c r="F32" i="15"/>
  <c r="G32" i="15" s="1"/>
  <c r="D32" i="15"/>
  <c r="E32" i="15" s="1"/>
  <c r="L31" i="15"/>
  <c r="M31" i="15" s="1"/>
  <c r="J31" i="15"/>
  <c r="K31" i="15" s="1"/>
  <c r="H31" i="15"/>
  <c r="I31" i="15" s="1"/>
  <c r="F31" i="15"/>
  <c r="G31" i="15" s="1"/>
  <c r="D31" i="15"/>
  <c r="E31" i="15" s="1"/>
  <c r="L30" i="15"/>
  <c r="M30" i="15" s="1"/>
  <c r="J30" i="15"/>
  <c r="K30" i="15" s="1"/>
  <c r="H30" i="15"/>
  <c r="I30" i="15" s="1"/>
  <c r="F30" i="15"/>
  <c r="G30" i="15" s="1"/>
  <c r="D30" i="15"/>
  <c r="E30" i="15" s="1"/>
  <c r="L29" i="15"/>
  <c r="M29" i="15" s="1"/>
  <c r="J29" i="15"/>
  <c r="K29" i="15" s="1"/>
  <c r="H29" i="15"/>
  <c r="I29" i="15" s="1"/>
  <c r="F29" i="15"/>
  <c r="G29" i="15" s="1"/>
  <c r="D29" i="15"/>
  <c r="E29" i="15" s="1"/>
  <c r="L28" i="15"/>
  <c r="M28" i="15" s="1"/>
  <c r="J28" i="15"/>
  <c r="K28" i="15" s="1"/>
  <c r="H28" i="15"/>
  <c r="I28" i="15" s="1"/>
  <c r="F28" i="15"/>
  <c r="G28" i="15" s="1"/>
  <c r="D28" i="15"/>
  <c r="E28" i="15" s="1"/>
  <c r="L27" i="15"/>
  <c r="J27" i="15"/>
  <c r="K27" i="15" s="1"/>
  <c r="M27" i="15" s="1"/>
  <c r="H27" i="15"/>
  <c r="I27" i="15" s="1"/>
  <c r="F27" i="15"/>
  <c r="G27" i="15" s="1"/>
  <c r="D27" i="15"/>
  <c r="E27" i="15" s="1"/>
  <c r="L26" i="15"/>
  <c r="J26" i="15"/>
  <c r="K26" i="15" s="1"/>
  <c r="M26" i="15" s="1"/>
  <c r="H26" i="15"/>
  <c r="I26" i="15" s="1"/>
  <c r="F26" i="15"/>
  <c r="G26" i="15" s="1"/>
  <c r="D26" i="15"/>
  <c r="E26" i="15" s="1"/>
  <c r="L25" i="15"/>
  <c r="J25" i="15"/>
  <c r="K25" i="15" s="1"/>
  <c r="M25" i="15" s="1"/>
  <c r="H25" i="15"/>
  <c r="I25" i="15" s="1"/>
  <c r="F25" i="15"/>
  <c r="G25" i="15" s="1"/>
  <c r="D25" i="15"/>
  <c r="E25" i="15" s="1"/>
  <c r="L24" i="15"/>
  <c r="J24" i="15"/>
  <c r="K24" i="15" s="1"/>
  <c r="M24" i="15" s="1"/>
  <c r="H24" i="15"/>
  <c r="I24" i="15" s="1"/>
  <c r="F24" i="15"/>
  <c r="G24" i="15" s="1"/>
  <c r="D24" i="15"/>
  <c r="E24" i="15" s="1"/>
  <c r="L23" i="15"/>
  <c r="J23" i="15"/>
  <c r="K23" i="15" s="1"/>
  <c r="H23" i="15"/>
  <c r="I23" i="15" s="1"/>
  <c r="F23" i="15"/>
  <c r="G23" i="15" s="1"/>
  <c r="M23" i="15" s="1"/>
  <c r="D23" i="15"/>
  <c r="E23" i="15" s="1"/>
  <c r="L22" i="15"/>
  <c r="J22" i="15"/>
  <c r="K22" i="15" s="1"/>
  <c r="H22" i="15"/>
  <c r="I22" i="15" s="1"/>
  <c r="F22" i="15"/>
  <c r="G22" i="15" s="1"/>
  <c r="M22" i="15" s="1"/>
  <c r="D22" i="15"/>
  <c r="E22" i="15" s="1"/>
  <c r="L21" i="15"/>
  <c r="J21" i="15"/>
  <c r="K21" i="15" s="1"/>
  <c r="H21" i="15"/>
  <c r="I21" i="15" s="1"/>
  <c r="F21" i="15"/>
  <c r="G21" i="15" s="1"/>
  <c r="M21" i="15" s="1"/>
  <c r="D21" i="15"/>
  <c r="E21" i="15" s="1"/>
  <c r="L20" i="15"/>
  <c r="J20" i="15"/>
  <c r="K20" i="15" s="1"/>
  <c r="H20" i="15"/>
  <c r="I20" i="15" s="1"/>
  <c r="F20" i="15"/>
  <c r="G20" i="15" s="1"/>
  <c r="M20" i="15" s="1"/>
  <c r="D20" i="15"/>
  <c r="E20" i="15" s="1"/>
  <c r="L19" i="15"/>
  <c r="J19" i="15"/>
  <c r="K19" i="15" s="1"/>
  <c r="H19" i="15"/>
  <c r="F19" i="15"/>
  <c r="G19" i="15" s="1"/>
  <c r="I19" i="15" s="1"/>
  <c r="D19" i="15"/>
  <c r="E18" i="15" s="1"/>
  <c r="M18" i="15" s="1"/>
  <c r="L18" i="15"/>
  <c r="J18" i="15"/>
  <c r="K18" i="15" s="1"/>
  <c r="H18" i="15"/>
  <c r="F18" i="15"/>
  <c r="G18" i="15" s="1"/>
  <c r="I18" i="15" s="1"/>
  <c r="D18" i="15"/>
  <c r="E17" i="15" s="1"/>
  <c r="M17" i="15" s="1"/>
  <c r="L17" i="15"/>
  <c r="J17" i="15"/>
  <c r="K17" i="15" s="1"/>
  <c r="H17" i="15"/>
  <c r="F17" i="15"/>
  <c r="G17" i="15" s="1"/>
  <c r="I17" i="15" s="1"/>
  <c r="D17" i="15"/>
  <c r="E16" i="15" s="1"/>
  <c r="M16" i="15" s="1"/>
  <c r="L16" i="15"/>
  <c r="J16" i="15"/>
  <c r="K16" i="15" s="1"/>
  <c r="H16" i="15"/>
  <c r="F16" i="15"/>
  <c r="G16" i="15" s="1"/>
  <c r="I16" i="15" s="1"/>
  <c r="D16" i="15"/>
  <c r="L15" i="15"/>
  <c r="J15" i="15"/>
  <c r="H15" i="15"/>
  <c r="I15" i="15" s="1"/>
  <c r="M15" i="15" s="1"/>
  <c r="F15" i="15"/>
  <c r="G15" i="15" s="1"/>
  <c r="D15" i="15"/>
  <c r="E14" i="15" s="1"/>
  <c r="K14" i="15" s="1"/>
  <c r="L14" i="15"/>
  <c r="J14" i="15"/>
  <c r="H14" i="15"/>
  <c r="I14" i="15" s="1"/>
  <c r="M14" i="15" s="1"/>
  <c r="F14" i="15"/>
  <c r="G14" i="15" s="1"/>
  <c r="D14" i="15"/>
  <c r="E13" i="15" s="1"/>
  <c r="K13" i="15" s="1"/>
  <c r="L13" i="15"/>
  <c r="J13" i="15"/>
  <c r="H13" i="15"/>
  <c r="I13" i="15" s="1"/>
  <c r="M13" i="15" s="1"/>
  <c r="F13" i="15"/>
  <c r="G13" i="15" s="1"/>
  <c r="D13" i="15"/>
  <c r="E12" i="15" s="1"/>
  <c r="K12" i="15" s="1"/>
  <c r="L12" i="15"/>
  <c r="J12" i="15"/>
  <c r="H12" i="15"/>
  <c r="I12" i="15" s="1"/>
  <c r="M12" i="15" s="1"/>
  <c r="F12" i="15"/>
  <c r="G12" i="15" s="1"/>
  <c r="D12" i="15"/>
  <c r="L11" i="15"/>
  <c r="M11" i="15" s="1"/>
  <c r="J11" i="15"/>
  <c r="H11" i="15"/>
  <c r="F11" i="15"/>
  <c r="G11" i="15" s="1"/>
  <c r="K11" i="15" s="1"/>
  <c r="D11" i="15"/>
  <c r="E10" i="15" s="1"/>
  <c r="I10" i="15" s="1"/>
  <c r="L10" i="15"/>
  <c r="M10" i="15" s="1"/>
  <c r="J10" i="15"/>
  <c r="H10" i="15"/>
  <c r="F10" i="15"/>
  <c r="G10" i="15" s="1"/>
  <c r="K10" i="15" s="1"/>
  <c r="D10" i="15"/>
  <c r="E9" i="15" s="1"/>
  <c r="I9" i="15" s="1"/>
  <c r="L9" i="15"/>
  <c r="M9" i="15" s="1"/>
  <c r="J9" i="15"/>
  <c r="H9" i="15"/>
  <c r="F9" i="15"/>
  <c r="G9" i="15" s="1"/>
  <c r="K9" i="15" s="1"/>
  <c r="D9" i="15"/>
  <c r="E8" i="15" s="1"/>
  <c r="I8" i="15" s="1"/>
  <c r="L8" i="15"/>
  <c r="M8" i="15" s="1"/>
  <c r="J8" i="15"/>
  <c r="H8" i="15"/>
  <c r="F8" i="15"/>
  <c r="G8" i="15" s="1"/>
  <c r="K8" i="15" s="1"/>
  <c r="D8" i="15"/>
  <c r="L7" i="15"/>
  <c r="M7" i="15" s="1"/>
  <c r="J7" i="15"/>
  <c r="H7" i="15"/>
  <c r="I7" i="15" s="1"/>
  <c r="K7" i="15" s="1"/>
  <c r="F7" i="15"/>
  <c r="D7" i="15"/>
  <c r="L6" i="15"/>
  <c r="M6" i="15" s="1"/>
  <c r="J6" i="15"/>
  <c r="H6" i="15"/>
  <c r="I6" i="15" s="1"/>
  <c r="K6" i="15" s="1"/>
  <c r="F6" i="15"/>
  <c r="D6" i="15"/>
  <c r="L5" i="15"/>
  <c r="M5" i="15" s="1"/>
  <c r="J5" i="15"/>
  <c r="H5" i="15"/>
  <c r="I5" i="15" s="1"/>
  <c r="K5" i="15" s="1"/>
  <c r="F5" i="15"/>
  <c r="D5" i="15"/>
  <c r="E4" i="15" s="1"/>
  <c r="L4" i="15"/>
  <c r="M4" i="15" s="1"/>
  <c r="J4" i="15"/>
  <c r="H4" i="15"/>
  <c r="I4" i="15" s="1"/>
  <c r="K4" i="15" s="1"/>
  <c r="D4" i="15"/>
  <c r="O3" i="15"/>
  <c r="F100" i="11"/>
  <c r="L85" i="11"/>
  <c r="M85" i="11" s="1"/>
  <c r="J85" i="11"/>
  <c r="K85" i="11" s="1"/>
  <c r="H85" i="11"/>
  <c r="I85" i="11" s="1"/>
  <c r="F85" i="11"/>
  <c r="G85" i="11" s="1"/>
  <c r="D85" i="11"/>
  <c r="E85" i="11" s="1"/>
  <c r="L84" i="11"/>
  <c r="M84" i="11" s="1"/>
  <c r="J84" i="11"/>
  <c r="K84" i="11" s="1"/>
  <c r="H84" i="11"/>
  <c r="I84" i="11" s="1"/>
  <c r="F84" i="11"/>
  <c r="G84" i="11" s="1"/>
  <c r="D84" i="11"/>
  <c r="E84" i="11" s="1"/>
  <c r="L83" i="11"/>
  <c r="M83" i="11" s="1"/>
  <c r="J83" i="11"/>
  <c r="K83" i="11" s="1"/>
  <c r="H83" i="11"/>
  <c r="I83" i="11" s="1"/>
  <c r="F83" i="11"/>
  <c r="G83" i="11" s="1"/>
  <c r="D83" i="11"/>
  <c r="E83" i="11" s="1"/>
  <c r="L82" i="11"/>
  <c r="M82" i="11" s="1"/>
  <c r="J82" i="11"/>
  <c r="K82" i="11" s="1"/>
  <c r="H82" i="11"/>
  <c r="I82" i="11" s="1"/>
  <c r="F82" i="11"/>
  <c r="G82" i="11" s="1"/>
  <c r="D82" i="11"/>
  <c r="E82" i="11" s="1"/>
  <c r="L81" i="11"/>
  <c r="M81" i="11" s="1"/>
  <c r="J81" i="11"/>
  <c r="K81" i="11" s="1"/>
  <c r="H81" i="11"/>
  <c r="I81" i="11" s="1"/>
  <c r="F81" i="11"/>
  <c r="G81" i="11" s="1"/>
  <c r="D81" i="11"/>
  <c r="E81" i="11" s="1"/>
  <c r="L80" i="11"/>
  <c r="M80" i="11" s="1"/>
  <c r="J80" i="11"/>
  <c r="K80" i="11" s="1"/>
  <c r="H80" i="11"/>
  <c r="I80" i="11" s="1"/>
  <c r="F80" i="11"/>
  <c r="G80" i="11" s="1"/>
  <c r="D80" i="11"/>
  <c r="E80" i="11" s="1"/>
  <c r="L79" i="11"/>
  <c r="M79" i="11" s="1"/>
  <c r="J79" i="11"/>
  <c r="K79" i="11" s="1"/>
  <c r="H79" i="11"/>
  <c r="I79" i="11" s="1"/>
  <c r="F79" i="11"/>
  <c r="G79" i="11" s="1"/>
  <c r="D79" i="11"/>
  <c r="E79" i="11" s="1"/>
  <c r="L78" i="11"/>
  <c r="M78" i="11" s="1"/>
  <c r="J78" i="11"/>
  <c r="K78" i="11" s="1"/>
  <c r="H78" i="11"/>
  <c r="I78" i="11" s="1"/>
  <c r="F78" i="11"/>
  <c r="G78" i="11" s="1"/>
  <c r="D78" i="11"/>
  <c r="E78" i="11" s="1"/>
  <c r="L77" i="11"/>
  <c r="M77" i="11" s="1"/>
  <c r="J77" i="11"/>
  <c r="K77" i="11" s="1"/>
  <c r="H77" i="11"/>
  <c r="I77" i="11" s="1"/>
  <c r="F77" i="11"/>
  <c r="G77" i="11" s="1"/>
  <c r="D77" i="11"/>
  <c r="E77" i="11" s="1"/>
  <c r="L76" i="11"/>
  <c r="M76" i="11" s="1"/>
  <c r="J76" i="11"/>
  <c r="K76" i="11" s="1"/>
  <c r="H76" i="11"/>
  <c r="I76" i="11" s="1"/>
  <c r="F76" i="11"/>
  <c r="G76" i="11" s="1"/>
  <c r="D76" i="11"/>
  <c r="E76" i="11" s="1"/>
  <c r="L75" i="11"/>
  <c r="M75" i="11" s="1"/>
  <c r="J75" i="11"/>
  <c r="K75" i="11" s="1"/>
  <c r="H75" i="11"/>
  <c r="I75" i="11" s="1"/>
  <c r="F75" i="11"/>
  <c r="G75" i="11" s="1"/>
  <c r="D75" i="11"/>
  <c r="E75" i="11" s="1"/>
  <c r="L74" i="11"/>
  <c r="M74" i="11" s="1"/>
  <c r="J74" i="11"/>
  <c r="K74" i="11" s="1"/>
  <c r="H74" i="11"/>
  <c r="I74" i="11" s="1"/>
  <c r="F74" i="11"/>
  <c r="G74" i="11" s="1"/>
  <c r="D74" i="11"/>
  <c r="E74" i="11" s="1"/>
  <c r="L73" i="11"/>
  <c r="M73" i="11" s="1"/>
  <c r="J73" i="11"/>
  <c r="K73" i="11" s="1"/>
  <c r="H73" i="11"/>
  <c r="I73" i="11" s="1"/>
  <c r="F73" i="11"/>
  <c r="G73" i="11" s="1"/>
  <c r="D73" i="11"/>
  <c r="E73" i="11" s="1"/>
  <c r="L72" i="11"/>
  <c r="M72" i="11" s="1"/>
  <c r="J72" i="11"/>
  <c r="K72" i="11" s="1"/>
  <c r="H72" i="11"/>
  <c r="I72" i="11" s="1"/>
  <c r="F72" i="11"/>
  <c r="G72" i="11" s="1"/>
  <c r="D72" i="11"/>
  <c r="E72" i="11" s="1"/>
  <c r="L71" i="11"/>
  <c r="M71" i="11" s="1"/>
  <c r="J71" i="11"/>
  <c r="K71" i="11" s="1"/>
  <c r="H71" i="11"/>
  <c r="I71" i="11" s="1"/>
  <c r="F71" i="11"/>
  <c r="G71" i="11" s="1"/>
  <c r="D71" i="11"/>
  <c r="E71" i="11" s="1"/>
  <c r="L70" i="11"/>
  <c r="M70" i="11" s="1"/>
  <c r="J70" i="11"/>
  <c r="K70" i="11" s="1"/>
  <c r="H70" i="11"/>
  <c r="I70" i="11" s="1"/>
  <c r="F70" i="11"/>
  <c r="G70" i="11" s="1"/>
  <c r="D70" i="11"/>
  <c r="E70" i="11" s="1"/>
  <c r="L69" i="11"/>
  <c r="M69" i="11" s="1"/>
  <c r="J69" i="11"/>
  <c r="K69" i="11" s="1"/>
  <c r="H69" i="11"/>
  <c r="I69" i="11" s="1"/>
  <c r="F69" i="11"/>
  <c r="G69" i="11" s="1"/>
  <c r="D69" i="11"/>
  <c r="E69" i="11" s="1"/>
  <c r="L68" i="11"/>
  <c r="M68" i="11" s="1"/>
  <c r="J68" i="11"/>
  <c r="K68" i="11" s="1"/>
  <c r="H68" i="11"/>
  <c r="I68" i="11" s="1"/>
  <c r="F68" i="11"/>
  <c r="G68" i="11" s="1"/>
  <c r="D68" i="11"/>
  <c r="E68" i="11" s="1"/>
  <c r="L67" i="11"/>
  <c r="M67" i="11" s="1"/>
  <c r="J67" i="11"/>
  <c r="K67" i="11" s="1"/>
  <c r="H67" i="11"/>
  <c r="I67" i="11" s="1"/>
  <c r="F67" i="11"/>
  <c r="G67" i="11" s="1"/>
  <c r="D67" i="11"/>
  <c r="E67" i="11" s="1"/>
  <c r="L66" i="11"/>
  <c r="M66" i="11" s="1"/>
  <c r="J66" i="11"/>
  <c r="K66" i="11" s="1"/>
  <c r="H66" i="11"/>
  <c r="I66" i="11" s="1"/>
  <c r="F66" i="11"/>
  <c r="G66" i="11" s="1"/>
  <c r="D66" i="11"/>
  <c r="E66" i="11" s="1"/>
  <c r="L65" i="11"/>
  <c r="M65" i="11" s="1"/>
  <c r="J65" i="11"/>
  <c r="K65" i="11" s="1"/>
  <c r="H65" i="11"/>
  <c r="I65" i="11" s="1"/>
  <c r="F65" i="11"/>
  <c r="G65" i="11" s="1"/>
  <c r="D65" i="11"/>
  <c r="E65" i="11" s="1"/>
  <c r="L64" i="11"/>
  <c r="M64" i="11" s="1"/>
  <c r="J64" i="11"/>
  <c r="K64" i="11" s="1"/>
  <c r="H64" i="11"/>
  <c r="I64" i="11" s="1"/>
  <c r="F64" i="11"/>
  <c r="G64" i="11" s="1"/>
  <c r="D64" i="11"/>
  <c r="E64" i="11" s="1"/>
  <c r="L63" i="11"/>
  <c r="M63" i="11" s="1"/>
  <c r="J63" i="11"/>
  <c r="K63" i="11" s="1"/>
  <c r="H63" i="11"/>
  <c r="I63" i="11" s="1"/>
  <c r="F63" i="11"/>
  <c r="G63" i="11" s="1"/>
  <c r="D63" i="11"/>
  <c r="E63" i="11" s="1"/>
  <c r="L62" i="11"/>
  <c r="M62" i="11" s="1"/>
  <c r="J62" i="11"/>
  <c r="K62" i="11" s="1"/>
  <c r="H62" i="11"/>
  <c r="I62" i="11" s="1"/>
  <c r="F62" i="11"/>
  <c r="G62" i="11" s="1"/>
  <c r="D62" i="11"/>
  <c r="E62" i="11" s="1"/>
  <c r="L61" i="11"/>
  <c r="M61" i="11" s="1"/>
  <c r="J61" i="11"/>
  <c r="K61" i="11" s="1"/>
  <c r="H61" i="11"/>
  <c r="I61" i="11" s="1"/>
  <c r="F61" i="11"/>
  <c r="G61" i="11" s="1"/>
  <c r="D61" i="11"/>
  <c r="E61" i="11" s="1"/>
  <c r="L60" i="11"/>
  <c r="M60" i="11" s="1"/>
  <c r="J60" i="11"/>
  <c r="K60" i="11" s="1"/>
  <c r="H60" i="11"/>
  <c r="I60" i="11" s="1"/>
  <c r="F60" i="11"/>
  <c r="G60" i="11" s="1"/>
  <c r="D60" i="11"/>
  <c r="E60" i="11" s="1"/>
  <c r="L59" i="11"/>
  <c r="M59" i="11" s="1"/>
  <c r="J59" i="11"/>
  <c r="K59" i="11" s="1"/>
  <c r="H59" i="11"/>
  <c r="I59" i="11" s="1"/>
  <c r="F59" i="11"/>
  <c r="G59" i="11" s="1"/>
  <c r="D59" i="11"/>
  <c r="E59" i="11" s="1"/>
  <c r="L58" i="11"/>
  <c r="M58" i="11" s="1"/>
  <c r="J58" i="11"/>
  <c r="K58" i="11" s="1"/>
  <c r="H58" i="11"/>
  <c r="I58" i="11" s="1"/>
  <c r="F58" i="11"/>
  <c r="G58" i="11" s="1"/>
  <c r="D58" i="11"/>
  <c r="E58" i="11" s="1"/>
  <c r="L57" i="11"/>
  <c r="M57" i="11" s="1"/>
  <c r="J57" i="11"/>
  <c r="K57" i="11" s="1"/>
  <c r="H57" i="11"/>
  <c r="I57" i="11" s="1"/>
  <c r="F57" i="11"/>
  <c r="G57" i="11" s="1"/>
  <c r="D57" i="11"/>
  <c r="E57" i="11" s="1"/>
  <c r="L56" i="11"/>
  <c r="M56" i="11" s="1"/>
  <c r="J56" i="11"/>
  <c r="K56" i="11" s="1"/>
  <c r="H56" i="11"/>
  <c r="I56" i="11" s="1"/>
  <c r="F56" i="11"/>
  <c r="G56" i="11" s="1"/>
  <c r="D56" i="11"/>
  <c r="E56" i="11" s="1"/>
  <c r="L55" i="11"/>
  <c r="M55" i="11" s="1"/>
  <c r="J55" i="11"/>
  <c r="K55" i="11" s="1"/>
  <c r="H55" i="11"/>
  <c r="I55" i="11" s="1"/>
  <c r="F55" i="11"/>
  <c r="G55" i="11" s="1"/>
  <c r="D55" i="11"/>
  <c r="E55" i="11" s="1"/>
  <c r="L54" i="11"/>
  <c r="M54" i="11" s="1"/>
  <c r="J54" i="11"/>
  <c r="K54" i="11" s="1"/>
  <c r="H54" i="11"/>
  <c r="I54" i="11" s="1"/>
  <c r="F54" i="11"/>
  <c r="G54" i="11" s="1"/>
  <c r="D54" i="11"/>
  <c r="E54" i="11" s="1"/>
  <c r="L53" i="11"/>
  <c r="M53" i="11" s="1"/>
  <c r="J53" i="11"/>
  <c r="K53" i="11" s="1"/>
  <c r="H53" i="11"/>
  <c r="I53" i="11" s="1"/>
  <c r="F53" i="11"/>
  <c r="G53" i="11" s="1"/>
  <c r="D53" i="11"/>
  <c r="E53" i="11" s="1"/>
  <c r="L52" i="11"/>
  <c r="M52" i="11" s="1"/>
  <c r="J52" i="11"/>
  <c r="K52" i="11" s="1"/>
  <c r="H52" i="11"/>
  <c r="I52" i="11" s="1"/>
  <c r="F52" i="11"/>
  <c r="G52" i="11" s="1"/>
  <c r="D52" i="11"/>
  <c r="E52" i="11" s="1"/>
  <c r="L51" i="11"/>
  <c r="M51" i="11" s="1"/>
  <c r="J51" i="11"/>
  <c r="K51" i="11" s="1"/>
  <c r="H51" i="11"/>
  <c r="I51" i="11" s="1"/>
  <c r="F51" i="11"/>
  <c r="G51" i="11" s="1"/>
  <c r="D51" i="11"/>
  <c r="E51" i="11" s="1"/>
  <c r="L50" i="11"/>
  <c r="M50" i="11" s="1"/>
  <c r="J50" i="11"/>
  <c r="K50" i="11" s="1"/>
  <c r="H50" i="11"/>
  <c r="I50" i="11" s="1"/>
  <c r="F50" i="11"/>
  <c r="G50" i="11" s="1"/>
  <c r="D50" i="11"/>
  <c r="E50" i="11" s="1"/>
  <c r="L49" i="11"/>
  <c r="M49" i="11" s="1"/>
  <c r="J49" i="11"/>
  <c r="K49" i="11" s="1"/>
  <c r="H49" i="11"/>
  <c r="I49" i="11" s="1"/>
  <c r="F49" i="11"/>
  <c r="G49" i="11" s="1"/>
  <c r="D49" i="11"/>
  <c r="E49" i="11" s="1"/>
  <c r="L48" i="11"/>
  <c r="M48" i="11" s="1"/>
  <c r="J48" i="11"/>
  <c r="K48" i="11" s="1"/>
  <c r="H48" i="11"/>
  <c r="I48" i="11" s="1"/>
  <c r="F48" i="11"/>
  <c r="G48" i="11" s="1"/>
  <c r="D48" i="11"/>
  <c r="E48" i="11" s="1"/>
  <c r="L47" i="11"/>
  <c r="M47" i="11" s="1"/>
  <c r="J47" i="11"/>
  <c r="K47" i="11" s="1"/>
  <c r="H47" i="11"/>
  <c r="I47" i="11" s="1"/>
  <c r="F47" i="11"/>
  <c r="G47" i="11" s="1"/>
  <c r="D47" i="11"/>
  <c r="E47" i="11" s="1"/>
  <c r="L46" i="11"/>
  <c r="M46" i="11" s="1"/>
  <c r="J46" i="11"/>
  <c r="K46" i="11" s="1"/>
  <c r="H46" i="11"/>
  <c r="I46" i="11" s="1"/>
  <c r="F46" i="11"/>
  <c r="G46" i="11" s="1"/>
  <c r="D46" i="11"/>
  <c r="E46" i="11" s="1"/>
  <c r="L45" i="11"/>
  <c r="M45" i="11" s="1"/>
  <c r="J45" i="11"/>
  <c r="K45" i="11" s="1"/>
  <c r="H45" i="11"/>
  <c r="I45" i="11" s="1"/>
  <c r="F45" i="11"/>
  <c r="G45" i="11" s="1"/>
  <c r="D45" i="11"/>
  <c r="E45" i="11" s="1"/>
  <c r="L44" i="11"/>
  <c r="M44" i="11" s="1"/>
  <c r="J44" i="11"/>
  <c r="K44" i="11" s="1"/>
  <c r="H44" i="11"/>
  <c r="I44" i="11" s="1"/>
  <c r="F44" i="11"/>
  <c r="G44" i="11" s="1"/>
  <c r="D44" i="11"/>
  <c r="E44" i="11" s="1"/>
  <c r="L43" i="11"/>
  <c r="M43" i="11" s="1"/>
  <c r="J43" i="11"/>
  <c r="K43" i="11" s="1"/>
  <c r="H43" i="11"/>
  <c r="I43" i="11" s="1"/>
  <c r="F43" i="11"/>
  <c r="G43" i="11" s="1"/>
  <c r="D43" i="11"/>
  <c r="E43" i="11" s="1"/>
  <c r="L42" i="11"/>
  <c r="M42" i="11" s="1"/>
  <c r="J42" i="11"/>
  <c r="K42" i="11" s="1"/>
  <c r="H42" i="11"/>
  <c r="I42" i="11" s="1"/>
  <c r="F42" i="11"/>
  <c r="G42" i="11" s="1"/>
  <c r="D42" i="11"/>
  <c r="E42" i="11" s="1"/>
  <c r="L41" i="11"/>
  <c r="M41" i="11" s="1"/>
  <c r="J41" i="11"/>
  <c r="K41" i="11" s="1"/>
  <c r="H41" i="11"/>
  <c r="I41" i="11" s="1"/>
  <c r="F41" i="11"/>
  <c r="G41" i="11" s="1"/>
  <c r="D41" i="11"/>
  <c r="E41" i="11" s="1"/>
  <c r="L40" i="11"/>
  <c r="M40" i="11" s="1"/>
  <c r="J40" i="11"/>
  <c r="K40" i="11" s="1"/>
  <c r="H40" i="11"/>
  <c r="I40" i="11" s="1"/>
  <c r="F40" i="11"/>
  <c r="G40" i="11" s="1"/>
  <c r="D40" i="11"/>
  <c r="E40" i="11" s="1"/>
  <c r="L39" i="11"/>
  <c r="M39" i="11" s="1"/>
  <c r="J39" i="11"/>
  <c r="K39" i="11" s="1"/>
  <c r="H39" i="11"/>
  <c r="I39" i="11" s="1"/>
  <c r="F39" i="11"/>
  <c r="G39" i="11" s="1"/>
  <c r="D39" i="11"/>
  <c r="E39" i="11" s="1"/>
  <c r="L38" i="11"/>
  <c r="M38" i="11" s="1"/>
  <c r="J38" i="11"/>
  <c r="K38" i="11" s="1"/>
  <c r="H38" i="11"/>
  <c r="I38" i="11" s="1"/>
  <c r="F38" i="11"/>
  <c r="G38" i="11" s="1"/>
  <c r="D38" i="11"/>
  <c r="E38" i="11" s="1"/>
  <c r="L37" i="11"/>
  <c r="M37" i="11" s="1"/>
  <c r="J37" i="11"/>
  <c r="K37" i="11" s="1"/>
  <c r="H37" i="11"/>
  <c r="I37" i="11" s="1"/>
  <c r="F37" i="11"/>
  <c r="G37" i="11" s="1"/>
  <c r="D37" i="11"/>
  <c r="E37" i="11" s="1"/>
  <c r="L36" i="11"/>
  <c r="M36" i="11" s="1"/>
  <c r="J36" i="11"/>
  <c r="K36" i="11" s="1"/>
  <c r="H36" i="11"/>
  <c r="I36" i="11" s="1"/>
  <c r="F36" i="11"/>
  <c r="G36" i="11" s="1"/>
  <c r="D36" i="11"/>
  <c r="E36" i="11" s="1"/>
  <c r="L35" i="11"/>
  <c r="M35" i="11" s="1"/>
  <c r="J35" i="11"/>
  <c r="K35" i="11" s="1"/>
  <c r="H35" i="11"/>
  <c r="I35" i="11" s="1"/>
  <c r="F35" i="11"/>
  <c r="G35" i="11" s="1"/>
  <c r="D35" i="11"/>
  <c r="E35" i="11" s="1"/>
  <c r="L34" i="11"/>
  <c r="M34" i="11" s="1"/>
  <c r="J34" i="11"/>
  <c r="K34" i="11" s="1"/>
  <c r="H34" i="11"/>
  <c r="I34" i="11" s="1"/>
  <c r="F34" i="11"/>
  <c r="G34" i="11" s="1"/>
  <c r="D34" i="11"/>
  <c r="E34" i="11" s="1"/>
  <c r="L33" i="11"/>
  <c r="M33" i="11" s="1"/>
  <c r="J33" i="11"/>
  <c r="K33" i="11" s="1"/>
  <c r="H33" i="11"/>
  <c r="I33" i="11" s="1"/>
  <c r="F33" i="11"/>
  <c r="G33" i="11" s="1"/>
  <c r="D33" i="11"/>
  <c r="E33" i="11" s="1"/>
  <c r="L32" i="11"/>
  <c r="M32" i="11" s="1"/>
  <c r="J32" i="11"/>
  <c r="K32" i="11" s="1"/>
  <c r="H32" i="11"/>
  <c r="I32" i="11" s="1"/>
  <c r="F32" i="11"/>
  <c r="G32" i="11" s="1"/>
  <c r="D32" i="11"/>
  <c r="E32" i="11" s="1"/>
  <c r="L31" i="11"/>
  <c r="M31" i="11" s="1"/>
  <c r="J31" i="11"/>
  <c r="K31" i="11" s="1"/>
  <c r="H31" i="11"/>
  <c r="I31" i="11" s="1"/>
  <c r="F31" i="11"/>
  <c r="G31" i="11" s="1"/>
  <c r="D31" i="11"/>
  <c r="E31" i="11" s="1"/>
  <c r="L30" i="11"/>
  <c r="M30" i="11" s="1"/>
  <c r="J30" i="11"/>
  <c r="K30" i="11" s="1"/>
  <c r="H30" i="11"/>
  <c r="I30" i="11" s="1"/>
  <c r="F30" i="11"/>
  <c r="G30" i="11" s="1"/>
  <c r="D30" i="11"/>
  <c r="E30" i="11" s="1"/>
  <c r="L29" i="11"/>
  <c r="M29" i="11" s="1"/>
  <c r="J29" i="11"/>
  <c r="K29" i="11" s="1"/>
  <c r="H29" i="11"/>
  <c r="I29" i="11" s="1"/>
  <c r="F29" i="11"/>
  <c r="G29" i="11" s="1"/>
  <c r="D29" i="11"/>
  <c r="E29" i="11" s="1"/>
  <c r="L28" i="11"/>
  <c r="M28" i="11" s="1"/>
  <c r="J28" i="11"/>
  <c r="K28" i="11" s="1"/>
  <c r="H28" i="11"/>
  <c r="I28" i="11" s="1"/>
  <c r="F28" i="11"/>
  <c r="G28" i="11" s="1"/>
  <c r="D28" i="11"/>
  <c r="E28" i="11" s="1"/>
  <c r="L27" i="11"/>
  <c r="M27" i="11" s="1"/>
  <c r="J27" i="11"/>
  <c r="K27" i="11" s="1"/>
  <c r="H27" i="11"/>
  <c r="I27" i="11" s="1"/>
  <c r="F27" i="11"/>
  <c r="G27" i="11" s="1"/>
  <c r="D27" i="11"/>
  <c r="E27" i="11" s="1"/>
  <c r="L26" i="11"/>
  <c r="M26" i="11" s="1"/>
  <c r="J26" i="11"/>
  <c r="K26" i="11" s="1"/>
  <c r="H26" i="11"/>
  <c r="I26" i="11" s="1"/>
  <c r="F26" i="11"/>
  <c r="G26" i="11" s="1"/>
  <c r="D26" i="11"/>
  <c r="E26" i="11" s="1"/>
  <c r="L25" i="11"/>
  <c r="M25" i="11" s="1"/>
  <c r="J25" i="11"/>
  <c r="K25" i="11" s="1"/>
  <c r="H25" i="11"/>
  <c r="I25" i="11" s="1"/>
  <c r="F25" i="11"/>
  <c r="G25" i="11" s="1"/>
  <c r="D25" i="11"/>
  <c r="E25" i="11" s="1"/>
  <c r="L24" i="11"/>
  <c r="M24" i="11" s="1"/>
  <c r="J24" i="11"/>
  <c r="K24" i="11" s="1"/>
  <c r="H24" i="11"/>
  <c r="I24" i="11" s="1"/>
  <c r="F24" i="11"/>
  <c r="G24" i="11" s="1"/>
  <c r="D24" i="11"/>
  <c r="E24" i="11" s="1"/>
  <c r="L23" i="11"/>
  <c r="M23" i="11" s="1"/>
  <c r="J23" i="11"/>
  <c r="K23" i="11" s="1"/>
  <c r="H23" i="11"/>
  <c r="I23" i="11" s="1"/>
  <c r="F23" i="11"/>
  <c r="G23" i="11" s="1"/>
  <c r="D23" i="11"/>
  <c r="E23" i="11" s="1"/>
  <c r="L22" i="11"/>
  <c r="M22" i="11" s="1"/>
  <c r="J22" i="11"/>
  <c r="K22" i="11" s="1"/>
  <c r="H22" i="11"/>
  <c r="I22" i="11" s="1"/>
  <c r="F22" i="11"/>
  <c r="G22" i="11" s="1"/>
  <c r="D22" i="11"/>
  <c r="E22" i="11" s="1"/>
  <c r="L21" i="11"/>
  <c r="M21" i="11" s="1"/>
  <c r="J21" i="11"/>
  <c r="K21" i="11" s="1"/>
  <c r="H21" i="11"/>
  <c r="I21" i="11" s="1"/>
  <c r="F21" i="11"/>
  <c r="G21" i="11" s="1"/>
  <c r="D21" i="11"/>
  <c r="E21" i="11" s="1"/>
  <c r="L20" i="11"/>
  <c r="M20" i="11" s="1"/>
  <c r="J20" i="11"/>
  <c r="K20" i="11" s="1"/>
  <c r="H20" i="11"/>
  <c r="I20" i="11" s="1"/>
  <c r="F20" i="11"/>
  <c r="G20" i="11" s="1"/>
  <c r="D20" i="11"/>
  <c r="E20" i="11" s="1"/>
  <c r="F96" i="1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L9" i="11"/>
  <c r="M9" i="11" s="1"/>
  <c r="L8" i="11"/>
  <c r="M8" i="11" s="1"/>
  <c r="L7" i="11"/>
  <c r="M7" i="11" s="1"/>
  <c r="L6" i="11"/>
  <c r="M6" i="11" s="1"/>
  <c r="L5" i="11"/>
  <c r="M5" i="11" s="1"/>
  <c r="L4" i="11"/>
  <c r="M4" i="11" s="1"/>
  <c r="F34" i="13"/>
  <c r="F32" i="13"/>
  <c r="F31" i="13"/>
  <c r="F29" i="13"/>
  <c r="F28" i="13"/>
  <c r="F27" i="13"/>
  <c r="F26" i="13"/>
  <c r="J19" i="13"/>
  <c r="K19" i="13" s="1"/>
  <c r="H19" i="13"/>
  <c r="I19" i="13" s="1"/>
  <c r="F19" i="13"/>
  <c r="G19" i="13" s="1"/>
  <c r="D19" i="13"/>
  <c r="E19" i="13" s="1"/>
  <c r="J18" i="13"/>
  <c r="K18" i="13" s="1"/>
  <c r="H18" i="13"/>
  <c r="I18" i="13" s="1"/>
  <c r="F18" i="13"/>
  <c r="G18" i="13" s="1"/>
  <c r="D18" i="13"/>
  <c r="E18" i="13" s="1"/>
  <c r="J17" i="13"/>
  <c r="K17" i="13" s="1"/>
  <c r="H17" i="13"/>
  <c r="I17" i="13" s="1"/>
  <c r="F17" i="13"/>
  <c r="G17" i="13" s="1"/>
  <c r="D17" i="13"/>
  <c r="E17" i="13" s="1"/>
  <c r="J16" i="13"/>
  <c r="K16" i="13" s="1"/>
  <c r="H16" i="13"/>
  <c r="I16" i="13" s="1"/>
  <c r="F16" i="13"/>
  <c r="G16" i="13" s="1"/>
  <c r="D16" i="13"/>
  <c r="E16" i="13" s="1"/>
  <c r="J15" i="13"/>
  <c r="H15" i="13"/>
  <c r="F15" i="13"/>
  <c r="G15" i="13" s="1"/>
  <c r="I15" i="13" s="1"/>
  <c r="D15" i="13"/>
  <c r="E15" i="13" s="1"/>
  <c r="K15" i="13" s="1"/>
  <c r="J14" i="13"/>
  <c r="H14" i="13"/>
  <c r="F14" i="13"/>
  <c r="G14" i="13" s="1"/>
  <c r="I14" i="13" s="1"/>
  <c r="D14" i="13"/>
  <c r="E14" i="13" s="1"/>
  <c r="K14" i="13" s="1"/>
  <c r="J13" i="13"/>
  <c r="H13" i="13"/>
  <c r="F13" i="13"/>
  <c r="G13" i="13" s="1"/>
  <c r="I13" i="13" s="1"/>
  <c r="D13" i="13"/>
  <c r="E13" i="13" s="1"/>
  <c r="K13" i="13" s="1"/>
  <c r="J12" i="13"/>
  <c r="H12" i="13"/>
  <c r="F12" i="13"/>
  <c r="G12" i="13" s="1"/>
  <c r="I12" i="13" s="1"/>
  <c r="D12" i="13"/>
  <c r="E12" i="13" s="1"/>
  <c r="K12" i="13" s="1"/>
  <c r="J11" i="13"/>
  <c r="H11" i="13"/>
  <c r="F11" i="13"/>
  <c r="G11" i="13" s="1"/>
  <c r="K11" i="13" s="1"/>
  <c r="D11" i="13"/>
  <c r="E11" i="13" s="1"/>
  <c r="I11" i="13" s="1"/>
  <c r="J10" i="13"/>
  <c r="H10" i="13"/>
  <c r="F10" i="13"/>
  <c r="G10" i="13" s="1"/>
  <c r="K10" i="13" s="1"/>
  <c r="D10" i="13"/>
  <c r="E10" i="13" s="1"/>
  <c r="I10" i="13" s="1"/>
  <c r="J9" i="13"/>
  <c r="H9" i="13"/>
  <c r="F9" i="13"/>
  <c r="G9" i="13" s="1"/>
  <c r="K9" i="13" s="1"/>
  <c r="D9" i="13"/>
  <c r="E9" i="13" s="1"/>
  <c r="J8" i="13"/>
  <c r="H8" i="13"/>
  <c r="F8" i="13"/>
  <c r="G8" i="13" s="1"/>
  <c r="K8" i="13" s="1"/>
  <c r="D8" i="13"/>
  <c r="E8" i="13" s="1"/>
  <c r="J7" i="13"/>
  <c r="H7" i="13"/>
  <c r="I7" i="13" s="1"/>
  <c r="K7" i="13" s="1"/>
  <c r="F7" i="13"/>
  <c r="D7" i="13"/>
  <c r="E7" i="13" s="1"/>
  <c r="G7" i="13" s="1"/>
  <c r="J6" i="13"/>
  <c r="H6" i="13"/>
  <c r="I6" i="13" s="1"/>
  <c r="K6" i="13" s="1"/>
  <c r="F6" i="13"/>
  <c r="D6" i="13"/>
  <c r="E6" i="13" s="1"/>
  <c r="J5" i="13"/>
  <c r="H5" i="13"/>
  <c r="I5" i="13" s="1"/>
  <c r="K5" i="13" s="1"/>
  <c r="F5" i="13"/>
  <c r="D5" i="13"/>
  <c r="E5" i="13" s="1"/>
  <c r="G5" i="13" s="1"/>
  <c r="J4" i="13"/>
  <c r="H4" i="13"/>
  <c r="I4" i="13" s="1"/>
  <c r="K4" i="13" s="1"/>
  <c r="F4" i="13"/>
  <c r="D4" i="13"/>
  <c r="E4" i="13" s="1"/>
  <c r="G4" i="13" s="1"/>
  <c r="M3" i="13"/>
  <c r="F34" i="12"/>
  <c r="F29" i="12"/>
  <c r="F28" i="12"/>
  <c r="F27" i="12"/>
  <c r="F26" i="12"/>
  <c r="F31" i="12" s="1"/>
  <c r="F32" i="12" s="1"/>
  <c r="J19" i="12"/>
  <c r="K19" i="12" s="1"/>
  <c r="H19" i="12"/>
  <c r="I19" i="12" s="1"/>
  <c r="F19" i="12"/>
  <c r="G19" i="12" s="1"/>
  <c r="D19" i="12"/>
  <c r="E19" i="12" s="1"/>
  <c r="J18" i="12"/>
  <c r="K18" i="12" s="1"/>
  <c r="H18" i="12"/>
  <c r="I18" i="12" s="1"/>
  <c r="F18" i="12"/>
  <c r="G18" i="12" s="1"/>
  <c r="D18" i="12"/>
  <c r="E18" i="12" s="1"/>
  <c r="J17" i="12"/>
  <c r="K17" i="12" s="1"/>
  <c r="H17" i="12"/>
  <c r="I17" i="12" s="1"/>
  <c r="F17" i="12"/>
  <c r="G17" i="12" s="1"/>
  <c r="D17" i="12"/>
  <c r="E17" i="12" s="1"/>
  <c r="J16" i="12"/>
  <c r="K16" i="12" s="1"/>
  <c r="H16" i="12"/>
  <c r="I16" i="12" s="1"/>
  <c r="F16" i="12"/>
  <c r="G16" i="12" s="1"/>
  <c r="D16" i="12"/>
  <c r="E16" i="12" s="1"/>
  <c r="J15" i="12"/>
  <c r="H15" i="12"/>
  <c r="I15" i="12" s="1"/>
  <c r="K15" i="12" s="1"/>
  <c r="F15" i="12"/>
  <c r="G15" i="12" s="1"/>
  <c r="D15" i="12"/>
  <c r="E15" i="12" s="1"/>
  <c r="J14" i="12"/>
  <c r="H14" i="12"/>
  <c r="I14" i="12" s="1"/>
  <c r="K14" i="12" s="1"/>
  <c r="F14" i="12"/>
  <c r="G14" i="12" s="1"/>
  <c r="D14" i="12"/>
  <c r="E14" i="12" s="1"/>
  <c r="J13" i="12"/>
  <c r="H13" i="12"/>
  <c r="I13" i="12" s="1"/>
  <c r="F13" i="12"/>
  <c r="G13" i="12" s="1"/>
  <c r="K13" i="12" s="1"/>
  <c r="D13" i="12"/>
  <c r="E13" i="12" s="1"/>
  <c r="J12" i="12"/>
  <c r="H12" i="12"/>
  <c r="I12" i="12" s="1"/>
  <c r="F12" i="12"/>
  <c r="G12" i="12" s="1"/>
  <c r="K12" i="12" s="1"/>
  <c r="D12" i="12"/>
  <c r="E12" i="12" s="1"/>
  <c r="J11" i="12"/>
  <c r="K11" i="12" s="1"/>
  <c r="H11" i="12"/>
  <c r="F11" i="12"/>
  <c r="G11" i="12" s="1"/>
  <c r="I11" i="12" s="1"/>
  <c r="D11" i="12"/>
  <c r="E11" i="12" s="1"/>
  <c r="J10" i="12"/>
  <c r="K10" i="12" s="1"/>
  <c r="H10" i="12"/>
  <c r="F10" i="12"/>
  <c r="G10" i="12" s="1"/>
  <c r="I10" i="12" s="1"/>
  <c r="D10" i="12"/>
  <c r="E10" i="12" s="1"/>
  <c r="J9" i="12"/>
  <c r="H9" i="12"/>
  <c r="I9" i="12" s="1"/>
  <c r="F9" i="12"/>
  <c r="G9" i="12" s="1"/>
  <c r="D9" i="12"/>
  <c r="E9" i="12" s="1"/>
  <c r="K9" i="12" s="1"/>
  <c r="J8" i="12"/>
  <c r="H8" i="12"/>
  <c r="I8" i="12" s="1"/>
  <c r="F8" i="12"/>
  <c r="G8" i="12" s="1"/>
  <c r="D8" i="12"/>
  <c r="E8" i="12" s="1"/>
  <c r="K8" i="12" s="1"/>
  <c r="J7" i="12"/>
  <c r="K7" i="12" s="1"/>
  <c r="H7" i="12"/>
  <c r="F7" i="12"/>
  <c r="G7" i="12" s="1"/>
  <c r="D7" i="12"/>
  <c r="E7" i="12" s="1"/>
  <c r="I7" i="12" s="1"/>
  <c r="J6" i="12"/>
  <c r="K6" i="12" s="1"/>
  <c r="H6" i="12"/>
  <c r="F6" i="12"/>
  <c r="G6" i="12" s="1"/>
  <c r="D6" i="12"/>
  <c r="E6" i="12" s="1"/>
  <c r="I6" i="12" s="1"/>
  <c r="J5" i="12"/>
  <c r="K5" i="12" s="1"/>
  <c r="H5" i="12"/>
  <c r="I5" i="12" s="1"/>
  <c r="F5" i="12"/>
  <c r="D5" i="12"/>
  <c r="E5" i="12" s="1"/>
  <c r="G5" i="12" s="1"/>
  <c r="J4" i="12"/>
  <c r="K4" i="12" s="1"/>
  <c r="H4" i="12"/>
  <c r="I4" i="12" s="1"/>
  <c r="F4" i="12"/>
  <c r="D4" i="12"/>
  <c r="E4" i="12" s="1"/>
  <c r="M3" i="12"/>
  <c r="F32" i="7"/>
  <c r="F95" i="11"/>
  <c r="F94" i="11"/>
  <c r="F93" i="11"/>
  <c r="F92" i="11"/>
  <c r="J19" i="11"/>
  <c r="K19" i="11" s="1"/>
  <c r="H19" i="11"/>
  <c r="I19" i="11" s="1"/>
  <c r="F19" i="11"/>
  <c r="G19" i="11" s="1"/>
  <c r="D19" i="11"/>
  <c r="E19" i="11" s="1"/>
  <c r="J18" i="11"/>
  <c r="K18" i="11" s="1"/>
  <c r="H18" i="11"/>
  <c r="I18" i="11" s="1"/>
  <c r="F18" i="11"/>
  <c r="G18" i="11" s="1"/>
  <c r="D18" i="11"/>
  <c r="E18" i="11" s="1"/>
  <c r="J17" i="11"/>
  <c r="K17" i="11" s="1"/>
  <c r="H17" i="11"/>
  <c r="I17" i="11" s="1"/>
  <c r="F17" i="11"/>
  <c r="G17" i="11" s="1"/>
  <c r="D17" i="11"/>
  <c r="E17" i="11" s="1"/>
  <c r="J16" i="11"/>
  <c r="K16" i="11" s="1"/>
  <c r="H16" i="11"/>
  <c r="I16" i="11" s="1"/>
  <c r="F16" i="11"/>
  <c r="G16" i="11" s="1"/>
  <c r="D16" i="11"/>
  <c r="E16" i="11" s="1"/>
  <c r="J15" i="11"/>
  <c r="K15" i="11" s="1"/>
  <c r="H15" i="11"/>
  <c r="I15" i="11" s="1"/>
  <c r="F15" i="11"/>
  <c r="G15" i="11" s="1"/>
  <c r="D15" i="11"/>
  <c r="E15" i="11" s="1"/>
  <c r="J14" i="11"/>
  <c r="K14" i="11" s="1"/>
  <c r="H14" i="11"/>
  <c r="I14" i="11" s="1"/>
  <c r="F14" i="11"/>
  <c r="G14" i="11" s="1"/>
  <c r="D14" i="11"/>
  <c r="E14" i="11" s="1"/>
  <c r="J13" i="11"/>
  <c r="K13" i="11" s="1"/>
  <c r="H13" i="11"/>
  <c r="I13" i="11" s="1"/>
  <c r="F13" i="11"/>
  <c r="G13" i="11" s="1"/>
  <c r="D13" i="11"/>
  <c r="E13" i="11" s="1"/>
  <c r="J12" i="11"/>
  <c r="K12" i="11" s="1"/>
  <c r="H12" i="11"/>
  <c r="I12" i="11" s="1"/>
  <c r="F12" i="11"/>
  <c r="G12" i="11" s="1"/>
  <c r="D12" i="11"/>
  <c r="E12" i="11" s="1"/>
  <c r="J11" i="11"/>
  <c r="K11" i="11" s="1"/>
  <c r="H11" i="11"/>
  <c r="I11" i="11" s="1"/>
  <c r="F11" i="11"/>
  <c r="G11" i="11" s="1"/>
  <c r="D11" i="11"/>
  <c r="E11" i="11" s="1"/>
  <c r="J10" i="11"/>
  <c r="K10" i="11" s="1"/>
  <c r="H10" i="11"/>
  <c r="I10" i="11" s="1"/>
  <c r="F10" i="11"/>
  <c r="G10" i="11" s="1"/>
  <c r="D10" i="11"/>
  <c r="E10" i="11" s="1"/>
  <c r="J9" i="11"/>
  <c r="K9" i="11" s="1"/>
  <c r="H9" i="11"/>
  <c r="I9" i="11" s="1"/>
  <c r="F9" i="11"/>
  <c r="G9" i="11" s="1"/>
  <c r="D9" i="11"/>
  <c r="E9" i="11" s="1"/>
  <c r="J8" i="11"/>
  <c r="K8" i="11" s="1"/>
  <c r="H8" i="11"/>
  <c r="I8" i="11" s="1"/>
  <c r="F8" i="11"/>
  <c r="G8" i="11" s="1"/>
  <c r="D8" i="11"/>
  <c r="E8" i="11" s="1"/>
  <c r="J7" i="11"/>
  <c r="K7" i="11" s="1"/>
  <c r="H7" i="11"/>
  <c r="I7" i="11" s="1"/>
  <c r="F7" i="11"/>
  <c r="G7" i="11" s="1"/>
  <c r="D7" i="11"/>
  <c r="E7" i="11" s="1"/>
  <c r="J6" i="11"/>
  <c r="K6" i="11" s="1"/>
  <c r="H6" i="11"/>
  <c r="I6" i="11" s="1"/>
  <c r="F6" i="11"/>
  <c r="G6" i="11" s="1"/>
  <c r="D6" i="11"/>
  <c r="E6" i="11" s="1"/>
  <c r="J5" i="11"/>
  <c r="K5" i="11" s="1"/>
  <c r="H5" i="11"/>
  <c r="I5" i="11" s="1"/>
  <c r="F5" i="11"/>
  <c r="G5" i="11" s="1"/>
  <c r="D5" i="11"/>
  <c r="E5" i="11" s="1"/>
  <c r="J4" i="11"/>
  <c r="K4" i="11" s="1"/>
  <c r="H4" i="11"/>
  <c r="I4" i="11" s="1"/>
  <c r="F4" i="11"/>
  <c r="G4" i="11" s="1"/>
  <c r="D4" i="11"/>
  <c r="E4" i="11" s="1"/>
  <c r="O3" i="11"/>
  <c r="F34" i="7"/>
  <c r="F29" i="7"/>
  <c r="F28" i="7"/>
  <c r="F27" i="7"/>
  <c r="F26" i="7"/>
  <c r="J19" i="7"/>
  <c r="K19" i="7" s="1"/>
  <c r="H19" i="7"/>
  <c r="I19" i="7" s="1"/>
  <c r="F19" i="7"/>
  <c r="G19" i="7" s="1"/>
  <c r="D19" i="7"/>
  <c r="E19" i="7" s="1"/>
  <c r="J18" i="7"/>
  <c r="K18" i="7" s="1"/>
  <c r="H18" i="7"/>
  <c r="I18" i="7" s="1"/>
  <c r="F18" i="7"/>
  <c r="G18" i="7" s="1"/>
  <c r="D18" i="7"/>
  <c r="E18" i="7" s="1"/>
  <c r="J17" i="7"/>
  <c r="K17" i="7" s="1"/>
  <c r="H17" i="7"/>
  <c r="I17" i="7" s="1"/>
  <c r="F17" i="7"/>
  <c r="G17" i="7" s="1"/>
  <c r="D17" i="7"/>
  <c r="E17" i="7" s="1"/>
  <c r="J16" i="7"/>
  <c r="K16" i="7" s="1"/>
  <c r="H16" i="7"/>
  <c r="I16" i="7" s="1"/>
  <c r="F16" i="7"/>
  <c r="G16" i="7" s="1"/>
  <c r="D16" i="7"/>
  <c r="E16" i="7" s="1"/>
  <c r="J15" i="7"/>
  <c r="K15" i="7" s="1"/>
  <c r="H15" i="7"/>
  <c r="I15" i="7" s="1"/>
  <c r="F15" i="7"/>
  <c r="G15" i="7" s="1"/>
  <c r="D15" i="7"/>
  <c r="E15" i="7" s="1"/>
  <c r="J14" i="7"/>
  <c r="K14" i="7" s="1"/>
  <c r="H14" i="7"/>
  <c r="I14" i="7" s="1"/>
  <c r="F14" i="7"/>
  <c r="G14" i="7" s="1"/>
  <c r="D14" i="7"/>
  <c r="E14" i="7" s="1"/>
  <c r="J13" i="7"/>
  <c r="K13" i="7" s="1"/>
  <c r="H13" i="7"/>
  <c r="I13" i="7" s="1"/>
  <c r="F13" i="7"/>
  <c r="G13" i="7" s="1"/>
  <c r="D13" i="7"/>
  <c r="E13" i="7" s="1"/>
  <c r="J12" i="7"/>
  <c r="K12" i="7" s="1"/>
  <c r="H12" i="7"/>
  <c r="I12" i="7" s="1"/>
  <c r="F12" i="7"/>
  <c r="G12" i="7" s="1"/>
  <c r="D12" i="7"/>
  <c r="E12" i="7" s="1"/>
  <c r="J11" i="7"/>
  <c r="K11" i="7" s="1"/>
  <c r="H11" i="7"/>
  <c r="I11" i="7" s="1"/>
  <c r="F11" i="7"/>
  <c r="G11" i="7" s="1"/>
  <c r="D11" i="7"/>
  <c r="E11" i="7" s="1"/>
  <c r="J10" i="7"/>
  <c r="K10" i="7" s="1"/>
  <c r="H10" i="7"/>
  <c r="I10" i="7" s="1"/>
  <c r="F10" i="7"/>
  <c r="G10" i="7" s="1"/>
  <c r="D10" i="7"/>
  <c r="E10" i="7" s="1"/>
  <c r="J9" i="7"/>
  <c r="K9" i="7" s="1"/>
  <c r="H9" i="7"/>
  <c r="I9" i="7" s="1"/>
  <c r="F9" i="7"/>
  <c r="G9" i="7" s="1"/>
  <c r="D9" i="7"/>
  <c r="E9" i="7" s="1"/>
  <c r="J8" i="7"/>
  <c r="K8" i="7" s="1"/>
  <c r="H8" i="7"/>
  <c r="I8" i="7" s="1"/>
  <c r="F8" i="7"/>
  <c r="G8" i="7" s="1"/>
  <c r="D8" i="7"/>
  <c r="E8" i="7" s="1"/>
  <c r="J7" i="7"/>
  <c r="K7" i="7" s="1"/>
  <c r="H7" i="7"/>
  <c r="I7" i="7" s="1"/>
  <c r="F7" i="7"/>
  <c r="G7" i="7" s="1"/>
  <c r="D7" i="7"/>
  <c r="E7" i="7" s="1"/>
  <c r="J6" i="7"/>
  <c r="K6" i="7" s="1"/>
  <c r="H6" i="7"/>
  <c r="I6" i="7" s="1"/>
  <c r="F6" i="7"/>
  <c r="G6" i="7" s="1"/>
  <c r="D6" i="7"/>
  <c r="E6" i="7" s="1"/>
  <c r="J5" i="7"/>
  <c r="K5" i="7" s="1"/>
  <c r="H5" i="7"/>
  <c r="I5" i="7" s="1"/>
  <c r="F5" i="7"/>
  <c r="G5" i="7" s="1"/>
  <c r="D5" i="7"/>
  <c r="E5" i="7" s="1"/>
  <c r="J4" i="7"/>
  <c r="K4" i="7" s="1"/>
  <c r="H4" i="7"/>
  <c r="I4" i="7" s="1"/>
  <c r="F4" i="7"/>
  <c r="G4" i="7" s="1"/>
  <c r="D4" i="7"/>
  <c r="E4" i="7" s="1"/>
  <c r="M3" i="7"/>
  <c r="F34" i="6"/>
  <c r="F29" i="6"/>
  <c r="F28" i="6"/>
  <c r="F27" i="6"/>
  <c r="F26" i="6"/>
  <c r="J19" i="6"/>
  <c r="K19" i="6" s="1"/>
  <c r="H19" i="6"/>
  <c r="I19" i="6" s="1"/>
  <c r="F19" i="6"/>
  <c r="G19" i="6" s="1"/>
  <c r="D19" i="6"/>
  <c r="E19" i="6" s="1"/>
  <c r="J18" i="6"/>
  <c r="K18" i="6" s="1"/>
  <c r="H18" i="6"/>
  <c r="I18" i="6" s="1"/>
  <c r="F18" i="6"/>
  <c r="G18" i="6" s="1"/>
  <c r="D18" i="6"/>
  <c r="E18" i="6" s="1"/>
  <c r="J17" i="6"/>
  <c r="K17" i="6" s="1"/>
  <c r="H17" i="6"/>
  <c r="I17" i="6" s="1"/>
  <c r="F17" i="6"/>
  <c r="G17" i="6" s="1"/>
  <c r="D17" i="6"/>
  <c r="E17" i="6" s="1"/>
  <c r="J16" i="6"/>
  <c r="K16" i="6" s="1"/>
  <c r="H16" i="6"/>
  <c r="I16" i="6" s="1"/>
  <c r="F16" i="6"/>
  <c r="G16" i="6" s="1"/>
  <c r="D16" i="6"/>
  <c r="E16" i="6" s="1"/>
  <c r="J15" i="6"/>
  <c r="H15" i="6"/>
  <c r="I15" i="6" s="1"/>
  <c r="K15" i="6" s="1"/>
  <c r="F15" i="6"/>
  <c r="G15" i="6" s="1"/>
  <c r="D15" i="6"/>
  <c r="E15" i="6" s="1"/>
  <c r="J14" i="6"/>
  <c r="H14" i="6"/>
  <c r="I14" i="6" s="1"/>
  <c r="K14" i="6" s="1"/>
  <c r="F14" i="6"/>
  <c r="G14" i="6" s="1"/>
  <c r="D14" i="6"/>
  <c r="E14" i="6" s="1"/>
  <c r="J13" i="6"/>
  <c r="H13" i="6"/>
  <c r="I13" i="6" s="1"/>
  <c r="F13" i="6"/>
  <c r="G13" i="6" s="1"/>
  <c r="K13" i="6" s="1"/>
  <c r="D13" i="6"/>
  <c r="E13" i="6" s="1"/>
  <c r="J12" i="6"/>
  <c r="H12" i="6"/>
  <c r="I12" i="6" s="1"/>
  <c r="F12" i="6"/>
  <c r="G12" i="6" s="1"/>
  <c r="K12" i="6" s="1"/>
  <c r="D12" i="6"/>
  <c r="E12" i="6" s="1"/>
  <c r="J11" i="6"/>
  <c r="K11" i="6" s="1"/>
  <c r="H11" i="6"/>
  <c r="F11" i="6"/>
  <c r="G11" i="6" s="1"/>
  <c r="I11" i="6" s="1"/>
  <c r="D11" i="6"/>
  <c r="E11" i="6" s="1"/>
  <c r="J10" i="6"/>
  <c r="K10" i="6" s="1"/>
  <c r="H10" i="6"/>
  <c r="F10" i="6"/>
  <c r="G10" i="6" s="1"/>
  <c r="I10" i="6" s="1"/>
  <c r="D10" i="6"/>
  <c r="E10" i="6" s="1"/>
  <c r="J9" i="6"/>
  <c r="H9" i="6"/>
  <c r="I9" i="6" s="1"/>
  <c r="F9" i="6"/>
  <c r="G9" i="6" s="1"/>
  <c r="D9" i="6"/>
  <c r="E9" i="6" s="1"/>
  <c r="K9" i="6" s="1"/>
  <c r="J8" i="6"/>
  <c r="H8" i="6"/>
  <c r="I8" i="6" s="1"/>
  <c r="F8" i="6"/>
  <c r="G8" i="6" s="1"/>
  <c r="D8" i="6"/>
  <c r="E8" i="6" s="1"/>
  <c r="K8" i="6" s="1"/>
  <c r="J7" i="6"/>
  <c r="K7" i="6" s="1"/>
  <c r="H7" i="6"/>
  <c r="F7" i="6"/>
  <c r="G7" i="6" s="1"/>
  <c r="D7" i="6"/>
  <c r="E7" i="6" s="1"/>
  <c r="I7" i="6" s="1"/>
  <c r="J6" i="6"/>
  <c r="K6" i="6" s="1"/>
  <c r="H6" i="6"/>
  <c r="F6" i="6"/>
  <c r="G6" i="6" s="1"/>
  <c r="D6" i="6"/>
  <c r="E6" i="6" s="1"/>
  <c r="I6" i="6" s="1"/>
  <c r="J5" i="6"/>
  <c r="K5" i="6" s="1"/>
  <c r="H5" i="6"/>
  <c r="I5" i="6" s="1"/>
  <c r="F5" i="6"/>
  <c r="D5" i="6"/>
  <c r="E5" i="6" s="1"/>
  <c r="G5" i="6" s="1"/>
  <c r="J4" i="6"/>
  <c r="K4" i="6" s="1"/>
  <c r="H4" i="6"/>
  <c r="I4" i="6" s="1"/>
  <c r="F4" i="6"/>
  <c r="D4" i="6"/>
  <c r="E4" i="6" s="1"/>
  <c r="M3" i="6"/>
  <c r="M87" i="11" l="1"/>
  <c r="F97" i="11"/>
  <c r="F98" i="11" s="1"/>
  <c r="I19" i="16"/>
  <c r="I18" i="16"/>
  <c r="I17" i="16"/>
  <c r="I16" i="16"/>
  <c r="I15" i="16"/>
  <c r="I14" i="16"/>
  <c r="I13" i="16"/>
  <c r="G11" i="16"/>
  <c r="I12" i="16"/>
  <c r="G9" i="16"/>
  <c r="E35" i="16"/>
  <c r="M35" i="16" s="1"/>
  <c r="M87" i="16" s="1"/>
  <c r="G10" i="16"/>
  <c r="G8" i="16"/>
  <c r="K4" i="16"/>
  <c r="G4" i="16"/>
  <c r="F97" i="16"/>
  <c r="F98" i="16" s="1"/>
  <c r="E19" i="15"/>
  <c r="M19" i="15" s="1"/>
  <c r="M87" i="15" s="1"/>
  <c r="E15" i="15"/>
  <c r="K15" i="15" s="1"/>
  <c r="E11" i="15"/>
  <c r="I11" i="15" s="1"/>
  <c r="E7" i="15"/>
  <c r="G7" i="15" s="1"/>
  <c r="E6" i="15"/>
  <c r="G6" i="15" s="1"/>
  <c r="E5" i="15"/>
  <c r="G5" i="15" s="1"/>
  <c r="F97" i="15"/>
  <c r="F98" i="15" s="1"/>
  <c r="G87" i="11"/>
  <c r="I87" i="11"/>
  <c r="K87" i="11"/>
  <c r="E87" i="11"/>
  <c r="I9" i="13"/>
  <c r="I8" i="13"/>
  <c r="G6" i="13"/>
  <c r="G21" i="13" s="1"/>
  <c r="K21" i="13"/>
  <c r="E21" i="13"/>
  <c r="E21" i="12"/>
  <c r="G4" i="12"/>
  <c r="G21" i="12" s="1"/>
  <c r="I21" i="12"/>
  <c r="K21" i="12"/>
  <c r="F31" i="7"/>
  <c r="G21" i="7"/>
  <c r="K21" i="7"/>
  <c r="E21" i="7"/>
  <c r="I21" i="7"/>
  <c r="F31" i="6"/>
  <c r="F32" i="6" s="1"/>
  <c r="K21" i="6"/>
  <c r="G4" i="6"/>
  <c r="G21" i="6" s="1"/>
  <c r="E21" i="6"/>
  <c r="I21" i="6"/>
  <c r="N87" i="11" l="1"/>
  <c r="E87" i="16"/>
  <c r="I87" i="16"/>
  <c r="K87" i="16"/>
  <c r="G87" i="16"/>
  <c r="I87" i="15"/>
  <c r="E87" i="15"/>
  <c r="G4" i="15"/>
  <c r="I21" i="13"/>
  <c r="L21" i="13" s="1"/>
  <c r="L21" i="12"/>
  <c r="L21" i="6"/>
  <c r="L21" i="7"/>
  <c r="I29" i="5"/>
  <c r="B28" i="5"/>
  <c r="B27" i="5"/>
  <c r="B26" i="5"/>
  <c r="B25" i="5"/>
  <c r="M21" i="5"/>
  <c r="I14" i="5"/>
  <c r="N87" i="16" l="1"/>
  <c r="G87" i="15"/>
  <c r="K87" i="15"/>
  <c r="D29" i="5"/>
  <c r="F29" i="2"/>
  <c r="F34" i="2"/>
  <c r="F28" i="2"/>
  <c r="F27" i="2"/>
  <c r="F26" i="2"/>
  <c r="N87" i="15" l="1"/>
  <c r="F31" i="2"/>
  <c r="F32" i="2" s="1"/>
  <c r="M3" i="2"/>
  <c r="J19" i="2" l="1"/>
  <c r="K19" i="2" s="1"/>
  <c r="H19" i="2"/>
  <c r="I19" i="2" s="1"/>
  <c r="F19" i="2"/>
  <c r="G19" i="2" s="1"/>
  <c r="D19" i="2"/>
  <c r="E19" i="2" s="1"/>
  <c r="J18" i="2"/>
  <c r="K18" i="2" s="1"/>
  <c r="H18" i="2"/>
  <c r="I18" i="2" s="1"/>
  <c r="F18" i="2"/>
  <c r="G18" i="2" s="1"/>
  <c r="D18" i="2"/>
  <c r="E18" i="2" s="1"/>
  <c r="J17" i="2"/>
  <c r="K17" i="2" s="1"/>
  <c r="H17" i="2"/>
  <c r="I17" i="2" s="1"/>
  <c r="F17" i="2"/>
  <c r="G17" i="2" s="1"/>
  <c r="D17" i="2"/>
  <c r="E17" i="2" s="1"/>
  <c r="J16" i="2"/>
  <c r="K16" i="2" s="1"/>
  <c r="H16" i="2"/>
  <c r="I16" i="2" s="1"/>
  <c r="F16" i="2"/>
  <c r="G16" i="2" s="1"/>
  <c r="D16" i="2"/>
  <c r="E16" i="2" s="1"/>
  <c r="J15" i="2"/>
  <c r="K15" i="2" s="1"/>
  <c r="H15" i="2"/>
  <c r="I15" i="2" s="1"/>
  <c r="F15" i="2"/>
  <c r="G15" i="2" s="1"/>
  <c r="D15" i="2"/>
  <c r="E15" i="2" s="1"/>
  <c r="J14" i="2"/>
  <c r="K14" i="2" s="1"/>
  <c r="H14" i="2"/>
  <c r="I14" i="2" s="1"/>
  <c r="F14" i="2"/>
  <c r="G14" i="2" s="1"/>
  <c r="D14" i="2"/>
  <c r="E14" i="2" s="1"/>
  <c r="J13" i="2"/>
  <c r="K13" i="2" s="1"/>
  <c r="H13" i="2"/>
  <c r="I13" i="2" s="1"/>
  <c r="F13" i="2"/>
  <c r="G13" i="2" s="1"/>
  <c r="D13" i="2"/>
  <c r="E13" i="2" s="1"/>
  <c r="J12" i="2"/>
  <c r="K12" i="2" s="1"/>
  <c r="H12" i="2"/>
  <c r="I12" i="2" s="1"/>
  <c r="F12" i="2"/>
  <c r="G12" i="2" s="1"/>
  <c r="D12" i="2"/>
  <c r="E12" i="2" s="1"/>
  <c r="J11" i="2"/>
  <c r="K11" i="2" s="1"/>
  <c r="H11" i="2"/>
  <c r="I11" i="2" s="1"/>
  <c r="F11" i="2"/>
  <c r="G11" i="2" s="1"/>
  <c r="D11" i="2"/>
  <c r="E11" i="2" s="1"/>
  <c r="J10" i="2"/>
  <c r="K10" i="2" s="1"/>
  <c r="H10" i="2"/>
  <c r="I10" i="2" s="1"/>
  <c r="F10" i="2"/>
  <c r="G10" i="2" s="1"/>
  <c r="D10" i="2"/>
  <c r="E10" i="2" s="1"/>
  <c r="J9" i="2"/>
  <c r="K9" i="2" s="1"/>
  <c r="H9" i="2"/>
  <c r="I9" i="2" s="1"/>
  <c r="F9" i="2"/>
  <c r="G9" i="2" s="1"/>
  <c r="D9" i="2"/>
  <c r="J8" i="2"/>
  <c r="K8" i="2" s="1"/>
  <c r="H8" i="2"/>
  <c r="I8" i="2" s="1"/>
  <c r="F8" i="2"/>
  <c r="G8" i="2" s="1"/>
  <c r="D8" i="2"/>
  <c r="J7" i="2"/>
  <c r="K7" i="2" s="1"/>
  <c r="H7" i="2"/>
  <c r="I7" i="2" s="1"/>
  <c r="F7" i="2"/>
  <c r="G7" i="2" s="1"/>
  <c r="D7" i="2"/>
  <c r="J6" i="2"/>
  <c r="K6" i="2" s="1"/>
  <c r="H6" i="2"/>
  <c r="I6" i="2" s="1"/>
  <c r="F6" i="2"/>
  <c r="G6" i="2" s="1"/>
  <c r="D6" i="2"/>
  <c r="J5" i="2"/>
  <c r="K5" i="2" s="1"/>
  <c r="H5" i="2"/>
  <c r="I5" i="2" s="1"/>
  <c r="F5" i="2"/>
  <c r="G5" i="2" s="1"/>
  <c r="D5" i="2"/>
  <c r="J4" i="2"/>
  <c r="K4" i="2" s="1"/>
  <c r="H4" i="2"/>
  <c r="I4" i="2" s="1"/>
  <c r="F4" i="2"/>
  <c r="G4" i="2" s="1"/>
  <c r="D4" i="2"/>
  <c r="E4" i="2" l="1"/>
  <c r="E7" i="2"/>
  <c r="E5" i="2"/>
  <c r="E8" i="2"/>
  <c r="E9" i="2"/>
  <c r="E6" i="2"/>
  <c r="I21" i="2" s="1"/>
  <c r="K21" i="2" l="1"/>
  <c r="G21" i="2"/>
  <c r="E21" i="2"/>
  <c r="L21" i="2" l="1"/>
</calcChain>
</file>

<file path=xl/sharedStrings.xml><?xml version="1.0" encoding="utf-8"?>
<sst xmlns="http://schemas.openxmlformats.org/spreadsheetml/2006/main" count="870" uniqueCount="234">
  <si>
    <t>Team 1</t>
  </si>
  <si>
    <t>Team 2</t>
  </si>
  <si>
    <t>Team 3</t>
  </si>
  <si>
    <t>Team 4</t>
  </si>
  <si>
    <t>Game 1</t>
  </si>
  <si>
    <t>Game 2</t>
  </si>
  <si>
    <t>Game 3</t>
  </si>
  <si>
    <t>Game 4</t>
  </si>
  <si>
    <t>Game 5</t>
  </si>
  <si>
    <t>Game 6</t>
  </si>
  <si>
    <t>Game 7</t>
  </si>
  <si>
    <t>Game 8</t>
  </si>
  <si>
    <t>Game 9</t>
  </si>
  <si>
    <t>Game 10</t>
  </si>
  <si>
    <t>Game 11</t>
  </si>
  <si>
    <t>Game 12</t>
  </si>
  <si>
    <t>Game 13</t>
  </si>
  <si>
    <t>Game 14</t>
  </si>
  <si>
    <t>Game 15</t>
  </si>
  <si>
    <t>Game 16</t>
  </si>
  <si>
    <t>Chi Test</t>
  </si>
  <si>
    <t>AFC East</t>
  </si>
  <si>
    <t>Expected</t>
  </si>
  <si>
    <t>Pats</t>
  </si>
  <si>
    <t>Fins</t>
  </si>
  <si>
    <t>Bills</t>
  </si>
  <si>
    <t>Jets</t>
  </si>
  <si>
    <t>Part I</t>
  </si>
  <si>
    <t>Part II</t>
  </si>
  <si>
    <t>Chi function</t>
  </si>
  <si>
    <t>Chi math</t>
  </si>
  <si>
    <t>p-value</t>
  </si>
  <si>
    <t>Simulated SD for division teams</t>
  </si>
  <si>
    <t>SD wins</t>
  </si>
  <si>
    <t>average of all sims</t>
  </si>
  <si>
    <t>(O - E)^2</t>
  </si>
  <si>
    <t>SD = 2</t>
  </si>
  <si>
    <t>Var = 4</t>
  </si>
  <si>
    <t>Simulation</t>
  </si>
  <si>
    <t>HW due next Tuesday (2/18) - email to me (jabishop@bryant.edu)</t>
  </si>
  <si>
    <t>AFC EAST</t>
  </si>
  <si>
    <t>z --</t>
  </si>
  <si>
    <t>Buffalo Bills</t>
  </si>
  <si>
    <t>e --</t>
  </si>
  <si>
    <t>Miami Dolphins</t>
  </si>
  <si>
    <t>New England Patriots</t>
  </si>
  <si>
    <t>New York Jets</t>
  </si>
  <si>
    <t>AFC NORTH</t>
  </si>
  <si>
    <t>Pittsburgh Steelers</t>
  </si>
  <si>
    <t>y --</t>
  </si>
  <si>
    <t>Baltimore Ravens</t>
  </si>
  <si>
    <t>Cleveland Browns</t>
  </si>
  <si>
    <t>Cincinnati Bengals</t>
  </si>
  <si>
    <t>AFC SOUTH</t>
  </si>
  <si>
    <t>Tennessee Titans</t>
  </si>
  <si>
    <t>Indianapolis Colts</t>
  </si>
  <si>
    <t>Houston Texans</t>
  </si>
  <si>
    <t>Jacksonville Jaguars</t>
  </si>
  <si>
    <t>AFC WEST</t>
  </si>
  <si>
    <t>* --</t>
  </si>
  <si>
    <t>Kansas City Chiefs</t>
  </si>
  <si>
    <t>Las Vegas Raiders</t>
  </si>
  <si>
    <t>Los Angeles Chargers</t>
  </si>
  <si>
    <t>Denver Broncos</t>
  </si>
  <si>
    <t>W</t>
  </si>
  <si>
    <t>L</t>
  </si>
  <si>
    <t>T</t>
  </si>
  <si>
    <t>PCT</t>
  </si>
  <si>
    <t>HOME</t>
  </si>
  <si>
    <t>AWAY</t>
  </si>
  <si>
    <t>DIV</t>
  </si>
  <si>
    <t>CONF</t>
  </si>
  <si>
    <t>PF</t>
  </si>
  <si>
    <t>PA</t>
  </si>
  <si>
    <t>DIFF</t>
  </si>
  <si>
    <t>STRK</t>
  </si>
  <si>
    <t>W6</t>
  </si>
  <si>
    <t>L1</t>
  </si>
  <si>
    <t>W1</t>
  </si>
  <si>
    <t>0-6</t>
  </si>
  <si>
    <t>W5</t>
  </si>
  <si>
    <t>L5</t>
  </si>
  <si>
    <t>0-8</t>
  </si>
  <si>
    <t>L15</t>
  </si>
  <si>
    <t>W4</t>
  </si>
  <si>
    <t>L3</t>
  </si>
  <si>
    <t>National Football Conference</t>
  </si>
  <si>
    <t>NFC EAST</t>
  </si>
  <si>
    <t>Washington</t>
  </si>
  <si>
    <t>New York Giants</t>
  </si>
  <si>
    <t>Dallas Cowboys</t>
  </si>
  <si>
    <t>Philadelphia Eagles</t>
  </si>
  <si>
    <t>NFC NORTH</t>
  </si>
  <si>
    <t>Green Bay Packers</t>
  </si>
  <si>
    <t>Chicago Bears</t>
  </si>
  <si>
    <t>Minnesota Vikings</t>
  </si>
  <si>
    <t>Detroit Lions</t>
  </si>
  <si>
    <t>NFC SOUTH</t>
  </si>
  <si>
    <t>New Orleans Saints</t>
  </si>
  <si>
    <t>Tampa Bay Buccaneers</t>
  </si>
  <si>
    <t>Carolina Panthers</t>
  </si>
  <si>
    <t>Atlanta Falcons</t>
  </si>
  <si>
    <t>NFC WEST</t>
  </si>
  <si>
    <t>Seattle Seahawks</t>
  </si>
  <si>
    <t>Los Angeles Rams</t>
  </si>
  <si>
    <t>Arizona Cardinals</t>
  </si>
  <si>
    <t>San Francisco 49ers</t>
  </si>
  <si>
    <t>L4</t>
  </si>
  <si>
    <t>W2</t>
  </si>
  <si>
    <t>L2</t>
  </si>
  <si>
    <t>sqrt npq</t>
  </si>
  <si>
    <t>Tie</t>
  </si>
  <si>
    <t>Win %</t>
  </si>
  <si>
    <t xml:space="preserve">Home </t>
  </si>
  <si>
    <t>Away</t>
  </si>
  <si>
    <t>Buff</t>
  </si>
  <si>
    <t>7-1</t>
  </si>
  <si>
    <t>6-2</t>
  </si>
  <si>
    <t>6-0</t>
  </si>
  <si>
    <t>10-2</t>
  </si>
  <si>
    <t>Miami</t>
  </si>
  <si>
    <t>5-3</t>
  </si>
  <si>
    <t>3-3</t>
  </si>
  <si>
    <t>7-5</t>
  </si>
  <si>
    <t>NE</t>
  </si>
  <si>
    <t>2-6</t>
  </si>
  <si>
    <t>6-6</t>
  </si>
  <si>
    <t>1-7</t>
  </si>
  <si>
    <t>1-11</t>
  </si>
  <si>
    <t>Chitest</t>
  </si>
  <si>
    <t>obs</t>
  </si>
  <si>
    <t>exp</t>
  </si>
  <si>
    <t>combined 2019/2020</t>
  </si>
  <si>
    <t>no</t>
  </si>
  <si>
    <t>Do chitest for another division</t>
  </si>
  <si>
    <t>Part Ia - NFL</t>
  </si>
  <si>
    <t>Part IIa - NFL</t>
  </si>
  <si>
    <t>play within division - 0, 2, 4 games</t>
  </si>
  <si>
    <t>play within division - 0, current, double</t>
  </si>
  <si>
    <t xml:space="preserve"> Pick another sport and repeat part 1a) above</t>
  </si>
  <si>
    <t>Part IIb - Other sport</t>
  </si>
  <si>
    <t>Part Ib- Other sport</t>
  </si>
  <si>
    <t xml:space="preserve"> Do a comparison of the SD's of 1000 simulations based on the two tabs (playing games within the division and not)</t>
  </si>
  <si>
    <t>Lower SD means more parity, conclusion?</t>
  </si>
  <si>
    <t>Win Pct.</t>
  </si>
  <si>
    <t>Wins</t>
  </si>
  <si>
    <t>Losses</t>
  </si>
  <si>
    <t>Ties</t>
  </si>
  <si>
    <t xml:space="preserve">Steelers </t>
  </si>
  <si>
    <t>Ravens</t>
  </si>
  <si>
    <t>Browns</t>
  </si>
  <si>
    <t>Bengals</t>
  </si>
  <si>
    <t>Div.</t>
  </si>
  <si>
    <t>4-2</t>
  </si>
  <si>
    <t>3-5</t>
  </si>
  <si>
    <t>1-6-1</t>
  </si>
  <si>
    <t>1-5</t>
  </si>
  <si>
    <t>Steelers</t>
  </si>
  <si>
    <t>AFC North</t>
  </si>
  <si>
    <t>Team 5</t>
  </si>
  <si>
    <t>Raptors</t>
  </si>
  <si>
    <t>Celtics</t>
  </si>
  <si>
    <t>76ers</t>
  </si>
  <si>
    <t>Nets</t>
  </si>
  <si>
    <t>Knicks</t>
  </si>
  <si>
    <t>Game 17</t>
  </si>
  <si>
    <t>Game 18</t>
  </si>
  <si>
    <t>Game 19</t>
  </si>
  <si>
    <t>Game 20</t>
  </si>
  <si>
    <t>Game 21</t>
  </si>
  <si>
    <t>Game 22</t>
  </si>
  <si>
    <t>Game 23</t>
  </si>
  <si>
    <t>Game 24</t>
  </si>
  <si>
    <t>Game 25</t>
  </si>
  <si>
    <t>Game 26</t>
  </si>
  <si>
    <t>Game 27</t>
  </si>
  <si>
    <t>Game 28</t>
  </si>
  <si>
    <t>Game 29</t>
  </si>
  <si>
    <t>Game 30</t>
  </si>
  <si>
    <t>Game 31</t>
  </si>
  <si>
    <t>Game 32</t>
  </si>
  <si>
    <t>Game 33</t>
  </si>
  <si>
    <t>Game 34</t>
  </si>
  <si>
    <t>Game 35</t>
  </si>
  <si>
    <t>Game 36</t>
  </si>
  <si>
    <t>Game 37</t>
  </si>
  <si>
    <t>Game 38</t>
  </si>
  <si>
    <t>Game 39</t>
  </si>
  <si>
    <t>Game 40</t>
  </si>
  <si>
    <t>Game 41</t>
  </si>
  <si>
    <t>Game 42</t>
  </si>
  <si>
    <t>Game 43</t>
  </si>
  <si>
    <t>Game 44</t>
  </si>
  <si>
    <t>Game 45</t>
  </si>
  <si>
    <t>Game 46</t>
  </si>
  <si>
    <t>Game 47</t>
  </si>
  <si>
    <t>Game 48</t>
  </si>
  <si>
    <t>Game 49</t>
  </si>
  <si>
    <t>Game 50</t>
  </si>
  <si>
    <t>Game 51</t>
  </si>
  <si>
    <t>Game 52</t>
  </si>
  <si>
    <t>Game 53</t>
  </si>
  <si>
    <t>Game 54</t>
  </si>
  <si>
    <t>Game 55</t>
  </si>
  <si>
    <t>Game 56</t>
  </si>
  <si>
    <t>Game 57</t>
  </si>
  <si>
    <t>Game 58</t>
  </si>
  <si>
    <t>Game 59</t>
  </si>
  <si>
    <t>Game 60</t>
  </si>
  <si>
    <t>Game 61</t>
  </si>
  <si>
    <t>Game 62</t>
  </si>
  <si>
    <t>Game 63</t>
  </si>
  <si>
    <t>Game 64</t>
  </si>
  <si>
    <t>Game 65</t>
  </si>
  <si>
    <t>Game 66</t>
  </si>
  <si>
    <t>Game 67</t>
  </si>
  <si>
    <t>Game 68</t>
  </si>
  <si>
    <t>Game 69</t>
  </si>
  <si>
    <t>Game 70</t>
  </si>
  <si>
    <t>Game 71</t>
  </si>
  <si>
    <t>Game 72</t>
  </si>
  <si>
    <t>Game 73</t>
  </si>
  <si>
    <t>Game 74</t>
  </si>
  <si>
    <t>Game 75</t>
  </si>
  <si>
    <t>Game 76</t>
  </si>
  <si>
    <t>Game 77</t>
  </si>
  <si>
    <t>Game 78</t>
  </si>
  <si>
    <t>Game 79</t>
  </si>
  <si>
    <t>Game 80</t>
  </si>
  <si>
    <t>Game 81</t>
  </si>
  <si>
    <t>Game 82</t>
  </si>
  <si>
    <t>Atlantic East</t>
  </si>
  <si>
    <t xml:space="preserve">Division </t>
  </si>
  <si>
    <t>The more the teams played eachother the greater the standard deviation was. Also, a lower SD does mean more parity because if the SD is 0 then that means that all the values are  the same.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</si>
</sst>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Arial"/>
    </font>
    <font>
      <b/>
      <sz val="11"/>
      <color theme="1"/>
      <name val="Calibri"/>
      <family val="2"/>
      <scheme val="minor"/>
    </font>
    <font>
      <sz val="7"/>
      <color rgb="FF151617"/>
      <name val="Arial"/>
      <family val="2"/>
    </font>
    <font>
      <sz val="7"/>
      <color rgb="FF6C6D6F"/>
      <name val="Arial"/>
      <family val="2"/>
    </font>
    <font>
      <sz val="7"/>
      <color rgb="FF0066CC"/>
      <name val="Arial"/>
      <family val="2"/>
    </font>
    <font>
      <sz val="7"/>
      <color rgb="FF009944"/>
      <name val="Arial"/>
      <family val="2"/>
    </font>
    <font>
      <sz val="7"/>
      <color rgb="FFDD0000"/>
      <name val="Arial"/>
      <family val="2"/>
    </font>
    <font>
      <sz val="10"/>
      <color rgb="FF2B2C2D"/>
      <name val="Arial"/>
      <family val="2"/>
    </font>
    <font>
      <u/>
      <sz val="10"/>
      <color theme="10"/>
      <name val="Arial"/>
      <family val="2"/>
    </font>
    <font>
      <sz val="6"/>
      <color rgb="FF6C6D6F"/>
      <name val="Arial"/>
      <family val="2"/>
    </font>
    <font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1F2F3"/>
      </bottom>
      <diagonal/>
    </border>
    <border>
      <left/>
      <right style="medium">
        <color indexed="64"/>
      </right>
      <top/>
      <bottom style="medium">
        <color rgb="FFF1F2F3"/>
      </bottom>
      <diagonal/>
    </border>
    <border>
      <left/>
      <right/>
      <top style="medium">
        <color rgb="FFDCDDDF"/>
      </top>
      <bottom style="medium">
        <color rgb="FFF1F2F3"/>
      </bottom>
      <diagonal/>
    </border>
    <border>
      <left/>
      <right style="medium">
        <color rgb="FFDCDDDF"/>
      </right>
      <top style="medium">
        <color rgb="FFDCDDDF"/>
      </top>
      <bottom style="medium">
        <color rgb="FFF1F2F3"/>
      </bottom>
      <diagonal/>
    </border>
    <border>
      <left/>
      <right style="medium">
        <color rgb="FFDCDDDF"/>
      </right>
      <top/>
      <bottom/>
      <diagonal/>
    </border>
    <border>
      <left/>
      <right style="medium">
        <color rgb="FFDCDDDF"/>
      </right>
      <top/>
      <bottom style="medium">
        <color rgb="FFF1F2F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2" fillId="0" borderId="0"/>
  </cellStyleXfs>
  <cellXfs count="77">
    <xf numFmtId="0" fontId="0" fillId="0" borderId="0" xfId="0"/>
    <xf numFmtId="0" fontId="0" fillId="2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center" wrapText="1"/>
    </xf>
    <xf numFmtId="0" fontId="4" fillId="0" borderId="9" xfId="0" applyFont="1" applyBorder="1" applyAlignment="1">
      <alignment horizontal="left" vertical="top"/>
    </xf>
    <xf numFmtId="0" fontId="4" fillId="0" borderId="10" xfId="0" applyFont="1" applyBorder="1" applyAlignment="1">
      <alignment horizontal="left" vertical="top"/>
    </xf>
    <xf numFmtId="0" fontId="4" fillId="0" borderId="0" xfId="0" applyFont="1"/>
    <xf numFmtId="0" fontId="4" fillId="3" borderId="0" xfId="0" applyFont="1" applyFill="1"/>
    <xf numFmtId="0" fontId="4" fillId="4" borderId="0" xfId="0" applyFont="1" applyFill="1"/>
    <xf numFmtId="0" fontId="0" fillId="4" borderId="0" xfId="0" applyFill="1"/>
    <xf numFmtId="0" fontId="4" fillId="3" borderId="0" xfId="0" applyFont="1" applyFill="1" applyAlignment="1">
      <alignment wrapText="1"/>
    </xf>
    <xf numFmtId="164" fontId="0" fillId="0" borderId="0" xfId="0" applyNumberFormat="1"/>
    <xf numFmtId="164" fontId="0" fillId="4" borderId="0" xfId="0" applyNumberFormat="1" applyFill="1"/>
    <xf numFmtId="2" fontId="0" fillId="4" borderId="0" xfId="0" applyNumberFormat="1" applyFill="1"/>
    <xf numFmtId="0" fontId="0" fillId="3" borderId="1" xfId="0" applyFill="1" applyBorder="1"/>
    <xf numFmtId="16" fontId="0" fillId="0" borderId="0" xfId="0" applyNumberFormat="1"/>
    <xf numFmtId="0" fontId="7" fillId="0" borderId="12" xfId="0" applyFont="1" applyBorder="1" applyAlignment="1">
      <alignment horizontal="left" vertical="center"/>
    </xf>
    <xf numFmtId="0" fontId="13" fillId="0" borderId="13" xfId="2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7" fillId="0" borderId="11" xfId="0" applyFont="1" applyBorder="1" applyAlignment="1">
      <alignment horizontal="right" vertical="center"/>
    </xf>
    <xf numFmtId="0" fontId="13" fillId="0" borderId="11" xfId="2" applyBorder="1" applyAlignment="1">
      <alignment horizontal="right" vertical="center"/>
    </xf>
    <xf numFmtId="0" fontId="8" fillId="0" borderId="9" xfId="0" applyFont="1" applyBorder="1" applyAlignment="1">
      <alignment horizontal="right" vertical="center"/>
    </xf>
    <xf numFmtId="16" fontId="8" fillId="0" borderId="9" xfId="0" applyNumberFormat="1" applyFont="1" applyBorder="1" applyAlignment="1">
      <alignment horizontal="right" vertical="center"/>
    </xf>
    <xf numFmtId="17" fontId="8" fillId="0" borderId="9" xfId="0" applyNumberFormat="1" applyFont="1" applyBorder="1" applyAlignment="1">
      <alignment horizontal="right" vertical="center"/>
    </xf>
    <xf numFmtId="0" fontId="10" fillId="0" borderId="9" xfId="0" applyFont="1" applyBorder="1" applyAlignment="1">
      <alignment horizontal="right" vertical="center"/>
    </xf>
    <xf numFmtId="0" fontId="11" fillId="0" borderId="9" xfId="0" applyFont="1" applyBorder="1" applyAlignment="1">
      <alignment horizontal="right" vertical="center"/>
    </xf>
    <xf numFmtId="14" fontId="8" fillId="0" borderId="9" xfId="0" applyNumberFormat="1" applyFont="1" applyBorder="1" applyAlignment="1">
      <alignment horizontal="right" vertical="center"/>
    </xf>
    <xf numFmtId="0" fontId="12" fillId="0" borderId="0" xfId="0" applyFont="1" applyAlignment="1">
      <alignment horizontal="left" vertical="center" wrapText="1"/>
    </xf>
    <xf numFmtId="43" fontId="8" fillId="0" borderId="9" xfId="1" applyFont="1" applyBorder="1" applyAlignment="1">
      <alignment horizontal="right" vertical="center"/>
    </xf>
    <xf numFmtId="43" fontId="7" fillId="0" borderId="11" xfId="1" applyFont="1" applyBorder="1" applyAlignment="1">
      <alignment horizontal="right" vertical="center"/>
    </xf>
    <xf numFmtId="43" fontId="0" fillId="0" borderId="0" xfId="1" applyFont="1"/>
    <xf numFmtId="0" fontId="2" fillId="0" borderId="0" xfId="3"/>
    <xf numFmtId="0" fontId="6" fillId="4" borderId="0" xfId="3" applyFont="1" applyFill="1"/>
    <xf numFmtId="0" fontId="2" fillId="0" borderId="0" xfId="3" applyNumberFormat="1"/>
    <xf numFmtId="0" fontId="2" fillId="4" borderId="0" xfId="3" applyNumberFormat="1" applyFill="1"/>
    <xf numFmtId="0" fontId="8" fillId="5" borderId="9" xfId="3" applyNumberFormat="1" applyFont="1" applyFill="1" applyBorder="1" applyAlignment="1">
      <alignment horizontal="right" vertical="center"/>
    </xf>
    <xf numFmtId="0" fontId="10" fillId="5" borderId="9" xfId="3" applyNumberFormat="1" applyFont="1" applyFill="1" applyBorder="1" applyAlignment="1">
      <alignment horizontal="right" vertical="center"/>
    </xf>
    <xf numFmtId="0" fontId="11" fillId="5" borderId="9" xfId="3" applyNumberFormat="1" applyFont="1" applyFill="1" applyBorder="1" applyAlignment="1">
      <alignment horizontal="right" vertical="center"/>
    </xf>
    <xf numFmtId="0" fontId="2" fillId="0" borderId="1" xfId="3" applyBorder="1"/>
    <xf numFmtId="0" fontId="2" fillId="0" borderId="2" xfId="3" applyBorder="1"/>
    <xf numFmtId="0" fontId="2" fillId="0" borderId="3" xfId="3" applyBorder="1"/>
    <xf numFmtId="0" fontId="2" fillId="0" borderId="4" xfId="3" applyFill="1" applyBorder="1"/>
    <xf numFmtId="0" fontId="2" fillId="0" borderId="0" xfId="3" applyBorder="1"/>
    <xf numFmtId="0" fontId="2" fillId="0" borderId="5" xfId="3" applyBorder="1"/>
    <xf numFmtId="0" fontId="2" fillId="0" borderId="4" xfId="3" applyBorder="1"/>
    <xf numFmtId="0" fontId="2" fillId="0" borderId="6" xfId="3" applyBorder="1"/>
    <xf numFmtId="0" fontId="2" fillId="0" borderId="7" xfId="3" applyBorder="1"/>
    <xf numFmtId="0" fontId="2" fillId="0" borderId="8" xfId="3" applyBorder="1"/>
    <xf numFmtId="0" fontId="6" fillId="0" borderId="1" xfId="3" applyFont="1" applyBorder="1"/>
    <xf numFmtId="0" fontId="6" fillId="0" borderId="2" xfId="3" applyFont="1" applyBorder="1"/>
    <xf numFmtId="0" fontId="4" fillId="2" borderId="0" xfId="0" applyFont="1" applyFill="1" applyAlignment="1">
      <alignment wrapText="1"/>
    </xf>
    <xf numFmtId="0" fontId="0" fillId="3" borderId="0" xfId="0" applyFill="1"/>
    <xf numFmtId="0" fontId="14" fillId="5" borderId="9" xfId="0" applyFont="1" applyFill="1" applyBorder="1" applyAlignment="1">
      <alignment horizontal="right" vertical="center"/>
    </xf>
    <xf numFmtId="0" fontId="14" fillId="0" borderId="0" xfId="0" applyFont="1"/>
    <xf numFmtId="16" fontId="2" fillId="0" borderId="0" xfId="3" applyNumberFormat="1"/>
    <xf numFmtId="49" fontId="0" fillId="0" borderId="0" xfId="0" applyNumberFormat="1"/>
    <xf numFmtId="49" fontId="4" fillId="0" borderId="0" xfId="0" applyNumberFormat="1" applyFont="1"/>
    <xf numFmtId="0" fontId="0" fillId="0" borderId="0" xfId="0" applyFill="1"/>
    <xf numFmtId="0" fontId="4" fillId="0" borderId="4" xfId="0" applyFont="1" applyBorder="1"/>
    <xf numFmtId="0" fontId="4" fillId="0" borderId="0" xfId="0" applyFont="1" applyFill="1" applyBorder="1" applyAlignment="1">
      <alignment horizontal="left" vertical="top"/>
    </xf>
    <xf numFmtId="0" fontId="4" fillId="0" borderId="0" xfId="0" applyFont="1" applyFill="1"/>
    <xf numFmtId="0" fontId="4" fillId="0" borderId="0" xfId="0" applyFont="1" applyBorder="1"/>
    <xf numFmtId="0" fontId="0" fillId="3" borderId="15" xfId="0" applyFill="1" applyBorder="1"/>
    <xf numFmtId="2" fontId="0" fillId="0" borderId="0" xfId="0" applyNumberFormat="1" applyFill="1"/>
    <xf numFmtId="0" fontId="0" fillId="6" borderId="0" xfId="0" applyFill="1"/>
    <xf numFmtId="0" fontId="0" fillId="7" borderId="0" xfId="0" applyFill="1"/>
    <xf numFmtId="0" fontId="1" fillId="0" borderId="3" xfId="3" applyFont="1" applyBorder="1"/>
  </cellXfs>
  <cellStyles count="4">
    <cellStyle name="Comma" xfId="1" builtinId="3"/>
    <cellStyle name="Hyperlink" xfId="2" builtinId="8"/>
    <cellStyle name="Normal" xfId="0" builtinId="0"/>
    <cellStyle name="Normal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espn.com/nfl/team/_/name/cle/cleveland-browns" TargetMode="External"/><Relationship Id="rId18" Type="http://schemas.openxmlformats.org/officeDocument/2006/relationships/image" Target="../media/image10.png"/><Relationship Id="rId26" Type="http://schemas.openxmlformats.org/officeDocument/2006/relationships/image" Target="../media/image14.png"/><Relationship Id="rId39" Type="http://schemas.openxmlformats.org/officeDocument/2006/relationships/hyperlink" Target="https://www.espn.com/nfl/team/_/name/no/new-orleans-saints" TargetMode="External"/><Relationship Id="rId3" Type="http://schemas.openxmlformats.org/officeDocument/2006/relationships/hyperlink" Target="https://www.espn.com/nfl/team/_/name/mia/miami-dolphins" TargetMode="External"/><Relationship Id="rId21" Type="http://schemas.openxmlformats.org/officeDocument/2006/relationships/hyperlink" Target="https://www.espn.com/nfl/team/_/name/kc/kansas-city-chiefs" TargetMode="External"/><Relationship Id="rId34" Type="http://schemas.openxmlformats.org/officeDocument/2006/relationships/image" Target="../media/image18.png"/><Relationship Id="rId42" Type="http://schemas.openxmlformats.org/officeDocument/2006/relationships/image" Target="../media/image22.png"/><Relationship Id="rId47" Type="http://schemas.openxmlformats.org/officeDocument/2006/relationships/hyperlink" Target="https://www.espn.com/nfl/team/_/name/sea/seattle-seahawks" TargetMode="External"/><Relationship Id="rId50" Type="http://schemas.openxmlformats.org/officeDocument/2006/relationships/image" Target="../media/image26.png"/><Relationship Id="rId7" Type="http://schemas.openxmlformats.org/officeDocument/2006/relationships/hyperlink" Target="https://www.espn.com/nfl/team/_/name/nyj/new-york-jets" TargetMode="External"/><Relationship Id="rId12" Type="http://schemas.openxmlformats.org/officeDocument/2006/relationships/image" Target="../media/image7.png"/><Relationship Id="rId17" Type="http://schemas.openxmlformats.org/officeDocument/2006/relationships/hyperlink" Target="https://www.espn.com/nfl/team/_/name/ind/indianapolis-colts" TargetMode="External"/><Relationship Id="rId25" Type="http://schemas.openxmlformats.org/officeDocument/2006/relationships/hyperlink" Target="https://www.espn.com/nfl/team/_/name/nyg/new-york-giants" TargetMode="External"/><Relationship Id="rId33" Type="http://schemas.openxmlformats.org/officeDocument/2006/relationships/hyperlink" Target="https://www.espn.com/nfl/team/_/name/chi/chicago-bears" TargetMode="External"/><Relationship Id="rId38" Type="http://schemas.openxmlformats.org/officeDocument/2006/relationships/image" Target="../media/image20.png"/><Relationship Id="rId46" Type="http://schemas.openxmlformats.org/officeDocument/2006/relationships/image" Target="../media/image24.png"/><Relationship Id="rId2" Type="http://schemas.openxmlformats.org/officeDocument/2006/relationships/image" Target="../media/image2.png"/><Relationship Id="rId16" Type="http://schemas.openxmlformats.org/officeDocument/2006/relationships/image" Target="../media/image9.png"/><Relationship Id="rId20" Type="http://schemas.openxmlformats.org/officeDocument/2006/relationships/image" Target="../media/image11.png"/><Relationship Id="rId29" Type="http://schemas.openxmlformats.org/officeDocument/2006/relationships/hyperlink" Target="https://www.espn.com/nfl/team/_/name/phi/philadelphia-eagles" TargetMode="External"/><Relationship Id="rId41" Type="http://schemas.openxmlformats.org/officeDocument/2006/relationships/hyperlink" Target="https://www.espn.com/nfl/team/_/name/tb/tampa-bay-buccaneers" TargetMode="External"/><Relationship Id="rId54" Type="http://schemas.openxmlformats.org/officeDocument/2006/relationships/image" Target="../media/image28.png"/><Relationship Id="rId1" Type="http://schemas.openxmlformats.org/officeDocument/2006/relationships/hyperlink" Target="https://www.espn.com/nfl/team/_/name/buf/buffalo-bills" TargetMode="External"/><Relationship Id="rId6" Type="http://schemas.openxmlformats.org/officeDocument/2006/relationships/image" Target="../media/image4.png"/><Relationship Id="rId11" Type="http://schemas.openxmlformats.org/officeDocument/2006/relationships/hyperlink" Target="https://www.espn.com/nfl/team/_/name/bal/baltimore-ravens" TargetMode="External"/><Relationship Id="rId24" Type="http://schemas.openxmlformats.org/officeDocument/2006/relationships/image" Target="../media/image13.png"/><Relationship Id="rId32" Type="http://schemas.openxmlformats.org/officeDocument/2006/relationships/image" Target="../media/image17.png"/><Relationship Id="rId37" Type="http://schemas.openxmlformats.org/officeDocument/2006/relationships/hyperlink" Target="https://www.espn.com/nfl/team/_/name/det/detroit-lions" TargetMode="External"/><Relationship Id="rId40" Type="http://schemas.openxmlformats.org/officeDocument/2006/relationships/image" Target="../media/image21.png"/><Relationship Id="rId45" Type="http://schemas.openxmlformats.org/officeDocument/2006/relationships/hyperlink" Target="https://www.espn.com/nfl/team/_/name/atl/atlanta-falcons" TargetMode="External"/><Relationship Id="rId53" Type="http://schemas.openxmlformats.org/officeDocument/2006/relationships/hyperlink" Target="https://www.espn.com/nfl/team/_/name/sf/san-francisco-49ers" TargetMode="External"/><Relationship Id="rId5" Type="http://schemas.openxmlformats.org/officeDocument/2006/relationships/hyperlink" Target="https://www.espn.com/nfl/team/_/name/ne/new-england-patriots" TargetMode="External"/><Relationship Id="rId15" Type="http://schemas.openxmlformats.org/officeDocument/2006/relationships/hyperlink" Target="https://www.espn.com/nfl/team/_/name/ten/tennessee-titans" TargetMode="External"/><Relationship Id="rId23" Type="http://schemas.openxmlformats.org/officeDocument/2006/relationships/hyperlink" Target="https://www.espn.com/nfl/team/_/name/wsh/washington" TargetMode="External"/><Relationship Id="rId28" Type="http://schemas.openxmlformats.org/officeDocument/2006/relationships/image" Target="../media/image15.png"/><Relationship Id="rId36" Type="http://schemas.openxmlformats.org/officeDocument/2006/relationships/image" Target="../media/image19.png"/><Relationship Id="rId49" Type="http://schemas.openxmlformats.org/officeDocument/2006/relationships/hyperlink" Target="https://www.espn.com/nfl/team/_/name/lar/los-angeles-rams" TargetMode="External"/><Relationship Id="rId10" Type="http://schemas.openxmlformats.org/officeDocument/2006/relationships/image" Target="../media/image6.png"/><Relationship Id="rId19" Type="http://schemas.openxmlformats.org/officeDocument/2006/relationships/hyperlink" Target="https://www.espn.com/nfl/team/_/name/jax/jacksonville-jaguars" TargetMode="External"/><Relationship Id="rId31" Type="http://schemas.openxmlformats.org/officeDocument/2006/relationships/hyperlink" Target="https://www.espn.com/nfl/team/_/name/gb/green-bay-packers" TargetMode="External"/><Relationship Id="rId44" Type="http://schemas.openxmlformats.org/officeDocument/2006/relationships/image" Target="../media/image23.png"/><Relationship Id="rId52" Type="http://schemas.openxmlformats.org/officeDocument/2006/relationships/image" Target="../media/image27.png"/><Relationship Id="rId4" Type="http://schemas.openxmlformats.org/officeDocument/2006/relationships/image" Target="../media/image3.png"/><Relationship Id="rId9" Type="http://schemas.openxmlformats.org/officeDocument/2006/relationships/hyperlink" Target="https://www.espn.com/nfl/team/_/name/pit/pittsburgh-steelers" TargetMode="External"/><Relationship Id="rId14" Type="http://schemas.openxmlformats.org/officeDocument/2006/relationships/image" Target="../media/image8.png"/><Relationship Id="rId22" Type="http://schemas.openxmlformats.org/officeDocument/2006/relationships/image" Target="../media/image12.png"/><Relationship Id="rId27" Type="http://schemas.openxmlformats.org/officeDocument/2006/relationships/hyperlink" Target="https://www.espn.com/nfl/team/_/name/dal/dallas-cowboys" TargetMode="External"/><Relationship Id="rId30" Type="http://schemas.openxmlformats.org/officeDocument/2006/relationships/image" Target="../media/image16.png"/><Relationship Id="rId35" Type="http://schemas.openxmlformats.org/officeDocument/2006/relationships/hyperlink" Target="https://www.espn.com/nfl/team/_/name/min/minnesota-vikings" TargetMode="External"/><Relationship Id="rId43" Type="http://schemas.openxmlformats.org/officeDocument/2006/relationships/hyperlink" Target="https://www.espn.com/nfl/team/_/name/car/carolina-panthers" TargetMode="External"/><Relationship Id="rId48" Type="http://schemas.openxmlformats.org/officeDocument/2006/relationships/image" Target="../media/image25.png"/><Relationship Id="rId8" Type="http://schemas.openxmlformats.org/officeDocument/2006/relationships/image" Target="../media/image5.png"/><Relationship Id="rId51" Type="http://schemas.openxmlformats.org/officeDocument/2006/relationships/hyperlink" Target="https://www.espn.com/nfl/team/_/name/ari/arizona-cardinal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30480</xdr:colOff>
      <xdr:row>5</xdr:row>
      <xdr:rowOff>26670</xdr:rowOff>
    </xdr:from>
    <xdr:to>
      <xdr:col>16</xdr:col>
      <xdr:colOff>259080</xdr:colOff>
      <xdr:row>11</xdr:row>
      <xdr:rowOff>74295</xdr:rowOff>
    </xdr:to>
    <xdr:sp macro="[0]!Macro1" textlink="">
      <xdr:nvSpPr>
        <xdr:cNvPr id="2" name="Smiley Face 1">
          <a:extLst>
            <a:ext uri="{FF2B5EF4-FFF2-40B4-BE49-F238E27FC236}">
              <a16:creationId xmlns:a16="http://schemas.microsoft.com/office/drawing/2014/main" id="{8A5C9486-BCA7-43A3-9770-AC239B1702B1}"/>
            </a:ext>
          </a:extLst>
        </xdr:cNvPr>
        <xdr:cNvSpPr/>
      </xdr:nvSpPr>
      <xdr:spPr>
        <a:xfrm>
          <a:off x="10273030" y="820420"/>
          <a:ext cx="1447800" cy="100012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30480</xdr:colOff>
      <xdr:row>5</xdr:row>
      <xdr:rowOff>26670</xdr:rowOff>
    </xdr:from>
    <xdr:to>
      <xdr:col>16</xdr:col>
      <xdr:colOff>259080</xdr:colOff>
      <xdr:row>11</xdr:row>
      <xdr:rowOff>74295</xdr:rowOff>
    </xdr:to>
    <xdr:sp macro="[0]!Macro1" textlink="">
      <xdr:nvSpPr>
        <xdr:cNvPr id="2" name="Smiley Face 1">
          <a:extLst>
            <a:ext uri="{FF2B5EF4-FFF2-40B4-BE49-F238E27FC236}">
              <a16:creationId xmlns:a16="http://schemas.microsoft.com/office/drawing/2014/main" id="{A4CF7CDE-C914-48A5-84AD-7C059E309C22}"/>
            </a:ext>
          </a:extLst>
        </xdr:cNvPr>
        <xdr:cNvSpPr/>
      </xdr:nvSpPr>
      <xdr:spPr>
        <a:xfrm>
          <a:off x="10273030" y="820420"/>
          <a:ext cx="1447800" cy="100012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30480</xdr:colOff>
      <xdr:row>5</xdr:row>
      <xdr:rowOff>26670</xdr:rowOff>
    </xdr:from>
    <xdr:to>
      <xdr:col>16</xdr:col>
      <xdr:colOff>259080</xdr:colOff>
      <xdr:row>11</xdr:row>
      <xdr:rowOff>74295</xdr:rowOff>
    </xdr:to>
    <xdr:sp macro="[0]!Macro1" textlink="">
      <xdr:nvSpPr>
        <xdr:cNvPr id="2" name="Smiley Face 1">
          <a:extLst>
            <a:ext uri="{FF2B5EF4-FFF2-40B4-BE49-F238E27FC236}">
              <a16:creationId xmlns:a16="http://schemas.microsoft.com/office/drawing/2014/main" id="{A6524A31-B627-440A-9D37-DA3D0521B5F1}"/>
            </a:ext>
          </a:extLst>
        </xdr:cNvPr>
        <xdr:cNvSpPr/>
      </xdr:nvSpPr>
      <xdr:spPr>
        <a:xfrm>
          <a:off x="10273030" y="820420"/>
          <a:ext cx="1447800" cy="100012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30480</xdr:colOff>
      <xdr:row>5</xdr:row>
      <xdr:rowOff>26670</xdr:rowOff>
    </xdr:from>
    <xdr:to>
      <xdr:col>18</xdr:col>
      <xdr:colOff>259080</xdr:colOff>
      <xdr:row>11</xdr:row>
      <xdr:rowOff>74295</xdr:rowOff>
    </xdr:to>
    <xdr:sp macro="[0]!Macro1" textlink="">
      <xdr:nvSpPr>
        <xdr:cNvPr id="2" name="Smiley Face 1">
          <a:extLst>
            <a:ext uri="{FF2B5EF4-FFF2-40B4-BE49-F238E27FC236}">
              <a16:creationId xmlns:a16="http://schemas.microsoft.com/office/drawing/2014/main" id="{17E62D19-05AD-4EE2-9FC4-60FD3A55B225}"/>
            </a:ext>
          </a:extLst>
        </xdr:cNvPr>
        <xdr:cNvSpPr/>
      </xdr:nvSpPr>
      <xdr:spPr>
        <a:xfrm>
          <a:off x="11727180" y="820420"/>
          <a:ext cx="1447800" cy="100012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30480</xdr:colOff>
      <xdr:row>5</xdr:row>
      <xdr:rowOff>26670</xdr:rowOff>
    </xdr:from>
    <xdr:to>
      <xdr:col>18</xdr:col>
      <xdr:colOff>259080</xdr:colOff>
      <xdr:row>11</xdr:row>
      <xdr:rowOff>74295</xdr:rowOff>
    </xdr:to>
    <xdr:sp macro="[0]!Macro1" textlink="">
      <xdr:nvSpPr>
        <xdr:cNvPr id="2" name="Smiley Face 1">
          <a:extLst>
            <a:ext uri="{FF2B5EF4-FFF2-40B4-BE49-F238E27FC236}">
              <a16:creationId xmlns:a16="http://schemas.microsoft.com/office/drawing/2014/main" id="{77DB181A-9F0C-4067-BB24-143E92C746EC}"/>
            </a:ext>
          </a:extLst>
        </xdr:cNvPr>
        <xdr:cNvSpPr/>
      </xdr:nvSpPr>
      <xdr:spPr>
        <a:xfrm>
          <a:off x="11727180" y="820420"/>
          <a:ext cx="1447800" cy="100012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30480</xdr:colOff>
      <xdr:row>5</xdr:row>
      <xdr:rowOff>26670</xdr:rowOff>
    </xdr:from>
    <xdr:to>
      <xdr:col>18</xdr:col>
      <xdr:colOff>259080</xdr:colOff>
      <xdr:row>11</xdr:row>
      <xdr:rowOff>74295</xdr:rowOff>
    </xdr:to>
    <xdr:sp macro="[0]!Macro1" textlink="">
      <xdr:nvSpPr>
        <xdr:cNvPr id="2" name="Smiley Face 1">
          <a:extLst>
            <a:ext uri="{FF2B5EF4-FFF2-40B4-BE49-F238E27FC236}">
              <a16:creationId xmlns:a16="http://schemas.microsoft.com/office/drawing/2014/main" id="{C220F379-B8DA-497E-9F4B-FA0113E32357}"/>
            </a:ext>
          </a:extLst>
        </xdr:cNvPr>
        <xdr:cNvSpPr/>
      </xdr:nvSpPr>
      <xdr:spPr>
        <a:xfrm>
          <a:off x="10273030" y="820420"/>
          <a:ext cx="1447800" cy="100012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43278</xdr:colOff>
      <xdr:row>26</xdr:row>
      <xdr:rowOff>123288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A00D894-43EE-4A74-93AB-0E5EF9F5C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371428" cy="429523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30480</xdr:colOff>
      <xdr:row>5</xdr:row>
      <xdr:rowOff>26670</xdr:rowOff>
    </xdr:from>
    <xdr:to>
      <xdr:col>16</xdr:col>
      <xdr:colOff>259080</xdr:colOff>
      <xdr:row>11</xdr:row>
      <xdr:rowOff>74295</xdr:rowOff>
    </xdr:to>
    <xdr:sp macro="[0]!Macro1" textlink="">
      <xdr:nvSpPr>
        <xdr:cNvPr id="2" name="Smiley Fac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564880" y="864870"/>
          <a:ext cx="1447800" cy="105346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30480</xdr:colOff>
      <xdr:row>5</xdr:row>
      <xdr:rowOff>26670</xdr:rowOff>
    </xdr:from>
    <xdr:to>
      <xdr:col>16</xdr:col>
      <xdr:colOff>259080</xdr:colOff>
      <xdr:row>11</xdr:row>
      <xdr:rowOff>74295</xdr:rowOff>
    </xdr:to>
    <xdr:sp macro="[0]!Macro1" textlink="">
      <xdr:nvSpPr>
        <xdr:cNvPr id="2" name="Smiley Fac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0203180" y="864870"/>
          <a:ext cx="1447800" cy="105346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1</xdr:col>
      <xdr:colOff>342900</xdr:colOff>
      <xdr:row>7</xdr:row>
      <xdr:rowOff>91440</xdr:rowOff>
    </xdr:to>
    <xdr:pic>
      <xdr:nvPicPr>
        <xdr:cNvPr id="2" name="Picture 1" descr="Buffalo Bill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29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4</xdr:row>
      <xdr:rowOff>0</xdr:rowOff>
    </xdr:from>
    <xdr:to>
      <xdr:col>1</xdr:col>
      <xdr:colOff>342900</xdr:colOff>
      <xdr:row>9</xdr:row>
      <xdr:rowOff>91440</xdr:rowOff>
    </xdr:to>
    <xdr:pic>
      <xdr:nvPicPr>
        <xdr:cNvPr id="3" name="Picture 2" descr="Miami Dolphin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858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1</xdr:col>
      <xdr:colOff>342900</xdr:colOff>
      <xdr:row>11</xdr:row>
      <xdr:rowOff>91440</xdr:rowOff>
    </xdr:to>
    <xdr:pic>
      <xdr:nvPicPr>
        <xdr:cNvPr id="4" name="Picture 3" descr="New England Patriot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287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</xdr:row>
      <xdr:rowOff>0</xdr:rowOff>
    </xdr:from>
    <xdr:to>
      <xdr:col>1</xdr:col>
      <xdr:colOff>342900</xdr:colOff>
      <xdr:row>13</xdr:row>
      <xdr:rowOff>91440</xdr:rowOff>
    </xdr:to>
    <xdr:pic>
      <xdr:nvPicPr>
        <xdr:cNvPr id="5" name="Picture 4" descr="New York Jet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716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342900</xdr:colOff>
      <xdr:row>16</xdr:row>
      <xdr:rowOff>91440</xdr:rowOff>
    </xdr:to>
    <xdr:pic>
      <xdr:nvPicPr>
        <xdr:cNvPr id="6" name="Picture 5" descr="Pittsburgh Steelers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88976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</xdr:col>
      <xdr:colOff>342900</xdr:colOff>
      <xdr:row>18</xdr:row>
      <xdr:rowOff>91440</xdr:rowOff>
    </xdr:to>
    <xdr:pic>
      <xdr:nvPicPr>
        <xdr:cNvPr id="7" name="Picture 6" descr="Baltimore Raven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23266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15</xdr:row>
      <xdr:rowOff>0</xdr:rowOff>
    </xdr:from>
    <xdr:to>
      <xdr:col>1</xdr:col>
      <xdr:colOff>342900</xdr:colOff>
      <xdr:row>20</xdr:row>
      <xdr:rowOff>91440</xdr:rowOff>
    </xdr:to>
    <xdr:pic>
      <xdr:nvPicPr>
        <xdr:cNvPr id="8" name="Picture 7" descr="Cleveland Browns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7556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1</xdr:col>
      <xdr:colOff>342900</xdr:colOff>
      <xdr:row>25</xdr:row>
      <xdr:rowOff>91440</xdr:rowOff>
    </xdr:to>
    <xdr:pic>
      <xdr:nvPicPr>
        <xdr:cNvPr id="10" name="Picture 9" descr="Tennessee Titans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43662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342900</xdr:colOff>
      <xdr:row>27</xdr:row>
      <xdr:rowOff>91440</xdr:rowOff>
    </xdr:to>
    <xdr:pic>
      <xdr:nvPicPr>
        <xdr:cNvPr id="11" name="Picture 10" descr="Indianapolis Colt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7952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</xdr:col>
      <xdr:colOff>342900</xdr:colOff>
      <xdr:row>31</xdr:row>
      <xdr:rowOff>91440</xdr:rowOff>
    </xdr:to>
    <xdr:pic>
      <xdr:nvPicPr>
        <xdr:cNvPr id="13" name="Picture 12" descr="Jacksonville Jaguars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46532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1</xdr:col>
      <xdr:colOff>342900</xdr:colOff>
      <xdr:row>34</xdr:row>
      <xdr:rowOff>91440</xdr:rowOff>
    </xdr:to>
    <xdr:pic>
      <xdr:nvPicPr>
        <xdr:cNvPr id="14" name="Picture 13" descr="Kansas City Chiefs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98348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1</xdr:col>
      <xdr:colOff>342900</xdr:colOff>
      <xdr:row>64</xdr:row>
      <xdr:rowOff>91440</xdr:rowOff>
    </xdr:to>
    <xdr:pic>
      <xdr:nvPicPr>
        <xdr:cNvPr id="18" name="Picture 17" descr="Washington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71372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61</xdr:row>
      <xdr:rowOff>0</xdr:rowOff>
    </xdr:from>
    <xdr:to>
      <xdr:col>1</xdr:col>
      <xdr:colOff>342900</xdr:colOff>
      <xdr:row>66</xdr:row>
      <xdr:rowOff>91440</xdr:rowOff>
    </xdr:to>
    <xdr:pic>
      <xdr:nvPicPr>
        <xdr:cNvPr id="19" name="Picture 18" descr="New York Giants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05662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63</xdr:row>
      <xdr:rowOff>0</xdr:rowOff>
    </xdr:from>
    <xdr:to>
      <xdr:col>1</xdr:col>
      <xdr:colOff>342900</xdr:colOff>
      <xdr:row>68</xdr:row>
      <xdr:rowOff>91440</xdr:rowOff>
    </xdr:to>
    <xdr:pic>
      <xdr:nvPicPr>
        <xdr:cNvPr id="20" name="Picture 19" descr="Dallas Cowboys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39952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65</xdr:row>
      <xdr:rowOff>0</xdr:rowOff>
    </xdr:from>
    <xdr:to>
      <xdr:col>1</xdr:col>
      <xdr:colOff>342900</xdr:colOff>
      <xdr:row>70</xdr:row>
      <xdr:rowOff>91440</xdr:rowOff>
    </xdr:to>
    <xdr:pic>
      <xdr:nvPicPr>
        <xdr:cNvPr id="21" name="Picture 20" descr="Philadelphia Eagles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174242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</xdr:col>
      <xdr:colOff>342900</xdr:colOff>
      <xdr:row>73</xdr:row>
      <xdr:rowOff>91440</xdr:rowOff>
    </xdr:to>
    <xdr:pic>
      <xdr:nvPicPr>
        <xdr:cNvPr id="22" name="Picture 21" descr="Green Bay Packers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26058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70</xdr:row>
      <xdr:rowOff>0</xdr:rowOff>
    </xdr:from>
    <xdr:to>
      <xdr:col>1</xdr:col>
      <xdr:colOff>342900</xdr:colOff>
      <xdr:row>75</xdr:row>
      <xdr:rowOff>91440</xdr:rowOff>
    </xdr:to>
    <xdr:pic>
      <xdr:nvPicPr>
        <xdr:cNvPr id="23" name="Picture 22" descr="Chicago Bears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60348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72</xdr:row>
      <xdr:rowOff>0</xdr:rowOff>
    </xdr:from>
    <xdr:to>
      <xdr:col>1</xdr:col>
      <xdr:colOff>342900</xdr:colOff>
      <xdr:row>77</xdr:row>
      <xdr:rowOff>91440</xdr:rowOff>
    </xdr:to>
    <xdr:pic>
      <xdr:nvPicPr>
        <xdr:cNvPr id="24" name="Picture 23" descr="Minnesota Vikings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94638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74</xdr:row>
      <xdr:rowOff>0</xdr:rowOff>
    </xdr:from>
    <xdr:to>
      <xdr:col>1</xdr:col>
      <xdr:colOff>342900</xdr:colOff>
      <xdr:row>79</xdr:row>
      <xdr:rowOff>91440</xdr:rowOff>
    </xdr:to>
    <xdr:pic>
      <xdr:nvPicPr>
        <xdr:cNvPr id="25" name="Picture 24" descr="Detroit Lions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28928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1</xdr:col>
      <xdr:colOff>342900</xdr:colOff>
      <xdr:row>82</xdr:row>
      <xdr:rowOff>91440</xdr:rowOff>
    </xdr:to>
    <xdr:pic>
      <xdr:nvPicPr>
        <xdr:cNvPr id="26" name="Picture 25" descr="New Orleans Saints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80744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79</xdr:row>
      <xdr:rowOff>0</xdr:rowOff>
    </xdr:from>
    <xdr:to>
      <xdr:col>1</xdr:col>
      <xdr:colOff>342900</xdr:colOff>
      <xdr:row>84</xdr:row>
      <xdr:rowOff>91440</xdr:rowOff>
    </xdr:to>
    <xdr:pic>
      <xdr:nvPicPr>
        <xdr:cNvPr id="27" name="Picture 26" descr="Tampa Bay Buccaneers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034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81</xdr:row>
      <xdr:rowOff>0</xdr:rowOff>
    </xdr:from>
    <xdr:to>
      <xdr:col>1</xdr:col>
      <xdr:colOff>342900</xdr:colOff>
      <xdr:row>86</xdr:row>
      <xdr:rowOff>91440</xdr:rowOff>
    </xdr:to>
    <xdr:pic>
      <xdr:nvPicPr>
        <xdr:cNvPr id="28" name="Picture 27" descr="Carolina Panthers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49324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83</xdr:row>
      <xdr:rowOff>0</xdr:rowOff>
    </xdr:from>
    <xdr:to>
      <xdr:col>1</xdr:col>
      <xdr:colOff>342900</xdr:colOff>
      <xdr:row>88</xdr:row>
      <xdr:rowOff>91440</xdr:rowOff>
    </xdr:to>
    <xdr:pic>
      <xdr:nvPicPr>
        <xdr:cNvPr id="29" name="Picture 28" descr="Atlanta Falcons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83614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86</xdr:row>
      <xdr:rowOff>0</xdr:rowOff>
    </xdr:from>
    <xdr:to>
      <xdr:col>1</xdr:col>
      <xdr:colOff>342900</xdr:colOff>
      <xdr:row>91</xdr:row>
      <xdr:rowOff>91440</xdr:rowOff>
    </xdr:to>
    <xdr:pic>
      <xdr:nvPicPr>
        <xdr:cNvPr id="30" name="Picture 29" descr="Seattle Seahawks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3543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88</xdr:row>
      <xdr:rowOff>0</xdr:rowOff>
    </xdr:from>
    <xdr:to>
      <xdr:col>1</xdr:col>
      <xdr:colOff>342900</xdr:colOff>
      <xdr:row>93</xdr:row>
      <xdr:rowOff>91440</xdr:rowOff>
    </xdr:to>
    <xdr:pic>
      <xdr:nvPicPr>
        <xdr:cNvPr id="31" name="Picture 30" descr="Los Angeles Rams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56972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90</xdr:row>
      <xdr:rowOff>0</xdr:rowOff>
    </xdr:from>
    <xdr:to>
      <xdr:col>1</xdr:col>
      <xdr:colOff>342900</xdr:colOff>
      <xdr:row>95</xdr:row>
      <xdr:rowOff>83820</xdr:rowOff>
    </xdr:to>
    <xdr:pic>
      <xdr:nvPicPr>
        <xdr:cNvPr id="32" name="Picture 31" descr="Arizona Cardinals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0401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</xdr:col>
      <xdr:colOff>342900</xdr:colOff>
      <xdr:row>97</xdr:row>
      <xdr:rowOff>76200</xdr:rowOff>
    </xdr:to>
    <xdr:pic>
      <xdr:nvPicPr>
        <xdr:cNvPr id="33" name="Picture 32" descr="San Francisco 49ers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38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</xdr:colOff>
      <xdr:row>25</xdr:row>
      <xdr:rowOff>137160</xdr:rowOff>
    </xdr:from>
    <xdr:to>
      <xdr:col>1</xdr:col>
      <xdr:colOff>358140</xdr:colOff>
      <xdr:row>31</xdr:row>
      <xdr:rowOff>60960</xdr:rowOff>
    </xdr:to>
    <xdr:pic>
      <xdr:nvPicPr>
        <xdr:cNvPr id="35" name="Picture 34" descr="Jacksonville Jaguars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" y="443484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</xdr:colOff>
      <xdr:row>28</xdr:row>
      <xdr:rowOff>137160</xdr:rowOff>
    </xdr:from>
    <xdr:to>
      <xdr:col>1</xdr:col>
      <xdr:colOff>358140</xdr:colOff>
      <xdr:row>34</xdr:row>
      <xdr:rowOff>60960</xdr:rowOff>
    </xdr:to>
    <xdr:pic>
      <xdr:nvPicPr>
        <xdr:cNvPr id="36" name="Picture 35" descr="Kansas City Chiefs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" y="4953000"/>
          <a:ext cx="952500" cy="95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bishop.CAMPUS2000/Desktop/Old%20Laptop/Spring%202016/GRADE16s_Fin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sklibSimData"/>
      <sheetName val="RiskSerializationData"/>
      <sheetName val="aam488"/>
      <sheetName val="aam422b"/>
      <sheetName val="AAM231"/>
      <sheetName val="Sheet1"/>
      <sheetName val="Sheet3"/>
      <sheetName val="Sheet2"/>
      <sheetName val="AV_CV"/>
      <sheetName val="Profit"/>
      <sheetName val="CB"/>
      <sheetName val="Sheet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0">
          <cell r="B10">
            <v>1</v>
          </cell>
          <cell r="C10">
            <v>4500</v>
          </cell>
        </row>
        <row r="11">
          <cell r="B11">
            <v>2</v>
          </cell>
          <cell r="C11">
            <v>4100</v>
          </cell>
        </row>
        <row r="12">
          <cell r="B12">
            <v>3</v>
          </cell>
          <cell r="C12">
            <v>3500</v>
          </cell>
        </row>
        <row r="13">
          <cell r="B13">
            <v>4</v>
          </cell>
          <cell r="C13">
            <v>3500</v>
          </cell>
        </row>
        <row r="14">
          <cell r="B14">
            <v>5</v>
          </cell>
          <cell r="C14">
            <v>2500</v>
          </cell>
        </row>
        <row r="15">
          <cell r="B15">
            <v>6</v>
          </cell>
          <cell r="C15">
            <v>2500</v>
          </cell>
        </row>
      </sheetData>
      <sheetData sheetId="9">
        <row r="18">
          <cell r="B18">
            <v>45</v>
          </cell>
          <cell r="C18">
            <v>6.5919999999999998E-4</v>
          </cell>
        </row>
        <row r="19">
          <cell r="B19">
            <v>46</v>
          </cell>
          <cell r="C19">
            <v>7.9730000000000003E-4</v>
          </cell>
        </row>
        <row r="20">
          <cell r="B20">
            <v>47</v>
          </cell>
          <cell r="C20">
            <v>8.9730000000000007E-4</v>
          </cell>
        </row>
        <row r="21">
          <cell r="B21">
            <v>48</v>
          </cell>
          <cell r="C21">
            <v>9.9730000000000001E-4</v>
          </cell>
        </row>
        <row r="22">
          <cell r="B22">
            <v>49</v>
          </cell>
          <cell r="C22">
            <v>1.0973000000000001E-3</v>
          </cell>
        </row>
        <row r="23">
          <cell r="B23">
            <v>50</v>
          </cell>
          <cell r="C23">
            <v>1.1973000000000001E-3</v>
          </cell>
        </row>
        <row r="24">
          <cell r="B24">
            <v>51</v>
          </cell>
          <cell r="C24">
            <v>1.2973000000000001E-3</v>
          </cell>
        </row>
        <row r="25">
          <cell r="B25">
            <v>52</v>
          </cell>
          <cell r="C25">
            <v>1.3973000000000002E-3</v>
          </cell>
        </row>
        <row r="26">
          <cell r="B26">
            <v>53</v>
          </cell>
          <cell r="C26">
            <v>1.4973000000000002E-3</v>
          </cell>
        </row>
        <row r="27">
          <cell r="B27">
            <v>54</v>
          </cell>
          <cell r="C27">
            <v>1.5973000000000003E-3</v>
          </cell>
        </row>
        <row r="28">
          <cell r="B28">
            <v>55</v>
          </cell>
          <cell r="C28">
            <v>1.6973000000000003E-3</v>
          </cell>
        </row>
        <row r="29">
          <cell r="B29">
            <v>56</v>
          </cell>
          <cell r="C29">
            <v>1.7973000000000004E-3</v>
          </cell>
        </row>
        <row r="30">
          <cell r="B30">
            <v>57</v>
          </cell>
          <cell r="C30">
            <v>1.8973000000000004E-3</v>
          </cell>
        </row>
        <row r="31">
          <cell r="B31">
            <v>58</v>
          </cell>
          <cell r="C31">
            <v>1.9973000000000005E-3</v>
          </cell>
        </row>
        <row r="32">
          <cell r="B32">
            <v>59</v>
          </cell>
          <cell r="C32">
            <v>2.0973000000000003E-3</v>
          </cell>
        </row>
        <row r="33">
          <cell r="B33">
            <v>60</v>
          </cell>
          <cell r="C33">
            <v>2.1973000000000001E-3</v>
          </cell>
        </row>
        <row r="34">
          <cell r="B34">
            <v>61</v>
          </cell>
          <cell r="C34">
            <v>2.2972999999999999E-3</v>
          </cell>
        </row>
        <row r="35">
          <cell r="B35">
            <v>62</v>
          </cell>
          <cell r="C35">
            <v>2.3972999999999998E-3</v>
          </cell>
        </row>
        <row r="36">
          <cell r="B36">
            <v>63</v>
          </cell>
          <cell r="C36">
            <v>2.4972999999999996E-3</v>
          </cell>
        </row>
        <row r="37">
          <cell r="B37">
            <v>64</v>
          </cell>
          <cell r="C37">
            <v>2.5972999999999994E-3</v>
          </cell>
        </row>
        <row r="38">
          <cell r="B38">
            <v>65</v>
          </cell>
          <cell r="C38">
            <v>2.6972999999999993E-3</v>
          </cell>
        </row>
      </sheetData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espn.com/nfl/standings/_/sort/losses/dir/asc" TargetMode="External"/><Relationship Id="rId21" Type="http://schemas.openxmlformats.org/officeDocument/2006/relationships/hyperlink" Target="https://www.espn.com/nfl/standings/_/sort/pointsfor/dir/desc" TargetMode="External"/><Relationship Id="rId34" Type="http://schemas.openxmlformats.org/officeDocument/2006/relationships/hyperlink" Target="https://www.espn.com/nfl/standings/_/sort/losses/dir/asc" TargetMode="External"/><Relationship Id="rId42" Type="http://schemas.openxmlformats.org/officeDocument/2006/relationships/hyperlink" Target="https://www.espn.com/nfl/standings/_/sort/losses/dir/asc" TargetMode="External"/><Relationship Id="rId47" Type="http://schemas.openxmlformats.org/officeDocument/2006/relationships/hyperlink" Target="https://www.espn.com/nfl/standings/_/sort/differential/dir/desc" TargetMode="External"/><Relationship Id="rId50" Type="http://schemas.openxmlformats.org/officeDocument/2006/relationships/hyperlink" Target="https://www.espn.com/nfl/team/_/name/nyg/new-york-giants" TargetMode="External"/><Relationship Id="rId55" Type="http://schemas.openxmlformats.org/officeDocument/2006/relationships/hyperlink" Target="https://www.espn.com/nfl/team/_/name/min/minnesota-vikings" TargetMode="External"/><Relationship Id="rId63" Type="http://schemas.openxmlformats.org/officeDocument/2006/relationships/hyperlink" Target="https://www.espn.com/nfl/team/_/name/ari/arizona-cardinals" TargetMode="External"/><Relationship Id="rId68" Type="http://schemas.openxmlformats.org/officeDocument/2006/relationships/hyperlink" Target="https://www.espn.com/nfl/standings/_/sort/winpercent/dir/asc" TargetMode="External"/><Relationship Id="rId76" Type="http://schemas.openxmlformats.org/officeDocument/2006/relationships/hyperlink" Target="https://www.espn.com/nfl/standings/_/sort/winpercent/dir/asc" TargetMode="External"/><Relationship Id="rId84" Type="http://schemas.openxmlformats.org/officeDocument/2006/relationships/hyperlink" Target="https://www.espn.com/nfl/standings/_/sort/winpercent/dir/asc" TargetMode="External"/><Relationship Id="rId89" Type="http://schemas.openxmlformats.org/officeDocument/2006/relationships/hyperlink" Target="https://www.espn.com/nfl/standings/_/sort/wins/dir/desc" TargetMode="External"/><Relationship Id="rId97" Type="http://schemas.openxmlformats.org/officeDocument/2006/relationships/printerSettings" Target="../printerSettings/printerSettings4.bin"/><Relationship Id="rId7" Type="http://schemas.openxmlformats.org/officeDocument/2006/relationships/hyperlink" Target="https://www.espn.com/nfl/team/_/name/cle/cleveland-browns" TargetMode="External"/><Relationship Id="rId71" Type="http://schemas.openxmlformats.org/officeDocument/2006/relationships/hyperlink" Target="https://www.espn.com/nfl/standings/_/sort/differential/dir/desc" TargetMode="External"/><Relationship Id="rId92" Type="http://schemas.openxmlformats.org/officeDocument/2006/relationships/hyperlink" Target="https://www.espn.com/nfl/standings/_/sort/winpercent/dir/asc" TargetMode="External"/><Relationship Id="rId2" Type="http://schemas.openxmlformats.org/officeDocument/2006/relationships/hyperlink" Target="https://www.espn.com/nfl/team/_/name/mia/miami-dolphins" TargetMode="External"/><Relationship Id="rId16" Type="http://schemas.openxmlformats.org/officeDocument/2006/relationships/hyperlink" Target="https://www.espn.com/nfl/team/_/name/den/denver-broncos" TargetMode="External"/><Relationship Id="rId29" Type="http://schemas.openxmlformats.org/officeDocument/2006/relationships/hyperlink" Target="https://www.espn.com/nfl/standings/_/sort/pointsfor/dir/desc" TargetMode="External"/><Relationship Id="rId11" Type="http://schemas.openxmlformats.org/officeDocument/2006/relationships/hyperlink" Target="https://www.espn.com/nfl/team/_/name/hou/houston-texans" TargetMode="External"/><Relationship Id="rId24" Type="http://schemas.openxmlformats.org/officeDocument/2006/relationships/hyperlink" Target="https://www.espn.com/nfl/standings/_/sort/streak/dir/desc" TargetMode="External"/><Relationship Id="rId32" Type="http://schemas.openxmlformats.org/officeDocument/2006/relationships/hyperlink" Target="https://www.espn.com/nfl/standings/_/sort/streak/dir/desc" TargetMode="External"/><Relationship Id="rId37" Type="http://schemas.openxmlformats.org/officeDocument/2006/relationships/hyperlink" Target="https://www.espn.com/nfl/standings/_/sort/pointsfor/dir/desc" TargetMode="External"/><Relationship Id="rId40" Type="http://schemas.openxmlformats.org/officeDocument/2006/relationships/hyperlink" Target="https://www.espn.com/nfl/standings/_/sort/streak/dir/desc" TargetMode="External"/><Relationship Id="rId45" Type="http://schemas.openxmlformats.org/officeDocument/2006/relationships/hyperlink" Target="https://www.espn.com/nfl/standings/_/sort/pointsfor/dir/desc" TargetMode="External"/><Relationship Id="rId53" Type="http://schemas.openxmlformats.org/officeDocument/2006/relationships/hyperlink" Target="https://www.espn.com/nfl/team/_/name/gb/green-bay-packers" TargetMode="External"/><Relationship Id="rId58" Type="http://schemas.openxmlformats.org/officeDocument/2006/relationships/hyperlink" Target="https://www.espn.com/nfl/team/_/name/tb/tampa-bay-buccaneers" TargetMode="External"/><Relationship Id="rId66" Type="http://schemas.openxmlformats.org/officeDocument/2006/relationships/hyperlink" Target="https://www.espn.com/nfl/standings/_/sort/losses/dir/asc" TargetMode="External"/><Relationship Id="rId74" Type="http://schemas.openxmlformats.org/officeDocument/2006/relationships/hyperlink" Target="https://www.espn.com/nfl/standings/_/sort/losses/dir/asc" TargetMode="External"/><Relationship Id="rId79" Type="http://schemas.openxmlformats.org/officeDocument/2006/relationships/hyperlink" Target="https://www.espn.com/nfl/standings/_/sort/differential/dir/desc" TargetMode="External"/><Relationship Id="rId87" Type="http://schemas.openxmlformats.org/officeDocument/2006/relationships/hyperlink" Target="https://www.espn.com/nfl/standings/_/sort/differential/dir/desc" TargetMode="External"/><Relationship Id="rId5" Type="http://schemas.openxmlformats.org/officeDocument/2006/relationships/hyperlink" Target="https://www.espn.com/nfl/team/_/name/pit/pittsburgh-steelers" TargetMode="External"/><Relationship Id="rId61" Type="http://schemas.openxmlformats.org/officeDocument/2006/relationships/hyperlink" Target="https://www.espn.com/nfl/team/_/name/sea/seattle-seahawks" TargetMode="External"/><Relationship Id="rId82" Type="http://schemas.openxmlformats.org/officeDocument/2006/relationships/hyperlink" Target="https://www.espn.com/nfl/standings/_/sort/losses/dir/asc" TargetMode="External"/><Relationship Id="rId90" Type="http://schemas.openxmlformats.org/officeDocument/2006/relationships/hyperlink" Target="https://www.espn.com/nfl/standings/_/sort/losses/dir/asc" TargetMode="External"/><Relationship Id="rId95" Type="http://schemas.openxmlformats.org/officeDocument/2006/relationships/hyperlink" Target="https://www.espn.com/nfl/standings/_/sort/differential/dir/desc" TargetMode="External"/><Relationship Id="rId19" Type="http://schemas.openxmlformats.org/officeDocument/2006/relationships/hyperlink" Target="https://www.espn.com/nfl/standings/_/sort/ties/dir/desc" TargetMode="External"/><Relationship Id="rId14" Type="http://schemas.openxmlformats.org/officeDocument/2006/relationships/hyperlink" Target="https://www.espn.com/nfl/team/_/name/lv/las-vegas-raiders" TargetMode="External"/><Relationship Id="rId22" Type="http://schemas.openxmlformats.org/officeDocument/2006/relationships/hyperlink" Target="https://www.espn.com/nfl/standings/_/sort/pointsagainst/dir/asc" TargetMode="External"/><Relationship Id="rId27" Type="http://schemas.openxmlformats.org/officeDocument/2006/relationships/hyperlink" Target="https://www.espn.com/nfl/standings/_/sort/ties/dir/desc" TargetMode="External"/><Relationship Id="rId30" Type="http://schemas.openxmlformats.org/officeDocument/2006/relationships/hyperlink" Target="https://www.espn.com/nfl/standings/_/sort/pointsagainst/dir/asc" TargetMode="External"/><Relationship Id="rId35" Type="http://schemas.openxmlformats.org/officeDocument/2006/relationships/hyperlink" Target="https://www.espn.com/nfl/standings/_/sort/ties/dir/desc" TargetMode="External"/><Relationship Id="rId43" Type="http://schemas.openxmlformats.org/officeDocument/2006/relationships/hyperlink" Target="https://www.espn.com/nfl/standings/_/sort/ties/dir/desc" TargetMode="External"/><Relationship Id="rId48" Type="http://schemas.openxmlformats.org/officeDocument/2006/relationships/hyperlink" Target="https://www.espn.com/nfl/standings/_/sort/streak/dir/desc" TargetMode="External"/><Relationship Id="rId56" Type="http://schemas.openxmlformats.org/officeDocument/2006/relationships/hyperlink" Target="https://www.espn.com/nfl/team/_/name/det/detroit-lions" TargetMode="External"/><Relationship Id="rId64" Type="http://schemas.openxmlformats.org/officeDocument/2006/relationships/hyperlink" Target="https://www.espn.com/nfl/team/_/name/sf/san-francisco-49ers" TargetMode="External"/><Relationship Id="rId69" Type="http://schemas.openxmlformats.org/officeDocument/2006/relationships/hyperlink" Target="https://www.espn.com/nfl/standings/_/sort/pointsfor/dir/desc" TargetMode="External"/><Relationship Id="rId77" Type="http://schemas.openxmlformats.org/officeDocument/2006/relationships/hyperlink" Target="https://www.espn.com/nfl/standings/_/sort/pointsfor/dir/desc" TargetMode="External"/><Relationship Id="rId8" Type="http://schemas.openxmlformats.org/officeDocument/2006/relationships/hyperlink" Target="https://www.espn.com/nfl/team/_/name/cin/cincinnati-bengals" TargetMode="External"/><Relationship Id="rId51" Type="http://schemas.openxmlformats.org/officeDocument/2006/relationships/hyperlink" Target="https://www.espn.com/nfl/team/_/name/dal/dallas-cowboys" TargetMode="External"/><Relationship Id="rId72" Type="http://schemas.openxmlformats.org/officeDocument/2006/relationships/hyperlink" Target="https://www.espn.com/nfl/standings/_/sort/streak/dir/desc" TargetMode="External"/><Relationship Id="rId80" Type="http://schemas.openxmlformats.org/officeDocument/2006/relationships/hyperlink" Target="https://www.espn.com/nfl/standings/_/sort/streak/dir/desc" TargetMode="External"/><Relationship Id="rId85" Type="http://schemas.openxmlformats.org/officeDocument/2006/relationships/hyperlink" Target="https://www.espn.com/nfl/standings/_/sort/pointsfor/dir/desc" TargetMode="External"/><Relationship Id="rId93" Type="http://schemas.openxmlformats.org/officeDocument/2006/relationships/hyperlink" Target="https://www.espn.com/nfl/standings/_/sort/pointsfor/dir/desc" TargetMode="External"/><Relationship Id="rId98" Type="http://schemas.openxmlformats.org/officeDocument/2006/relationships/drawing" Target="../drawings/drawing10.xml"/><Relationship Id="rId3" Type="http://schemas.openxmlformats.org/officeDocument/2006/relationships/hyperlink" Target="https://www.espn.com/nfl/team/_/name/ne/new-england-patriots" TargetMode="External"/><Relationship Id="rId12" Type="http://schemas.openxmlformats.org/officeDocument/2006/relationships/hyperlink" Target="https://www.espn.com/nfl/team/_/name/jax/jacksonville-jaguars" TargetMode="External"/><Relationship Id="rId17" Type="http://schemas.openxmlformats.org/officeDocument/2006/relationships/hyperlink" Target="https://www.espn.com/nfl/standings/_/sort/wins/dir/desc" TargetMode="External"/><Relationship Id="rId25" Type="http://schemas.openxmlformats.org/officeDocument/2006/relationships/hyperlink" Target="https://www.espn.com/nfl/standings/_/sort/wins/dir/desc" TargetMode="External"/><Relationship Id="rId33" Type="http://schemas.openxmlformats.org/officeDocument/2006/relationships/hyperlink" Target="https://www.espn.com/nfl/standings/_/sort/wins/dir/desc" TargetMode="External"/><Relationship Id="rId38" Type="http://schemas.openxmlformats.org/officeDocument/2006/relationships/hyperlink" Target="https://www.espn.com/nfl/standings/_/sort/pointsagainst/dir/asc" TargetMode="External"/><Relationship Id="rId46" Type="http://schemas.openxmlformats.org/officeDocument/2006/relationships/hyperlink" Target="https://www.espn.com/nfl/standings/_/sort/pointsagainst/dir/asc" TargetMode="External"/><Relationship Id="rId59" Type="http://schemas.openxmlformats.org/officeDocument/2006/relationships/hyperlink" Target="https://www.espn.com/nfl/team/_/name/car/carolina-panthers" TargetMode="External"/><Relationship Id="rId67" Type="http://schemas.openxmlformats.org/officeDocument/2006/relationships/hyperlink" Target="https://www.espn.com/nfl/standings/_/sort/ties/dir/desc" TargetMode="External"/><Relationship Id="rId20" Type="http://schemas.openxmlformats.org/officeDocument/2006/relationships/hyperlink" Target="https://www.espn.com/nfl/standings/_/sort/winpercent/dir/asc" TargetMode="External"/><Relationship Id="rId41" Type="http://schemas.openxmlformats.org/officeDocument/2006/relationships/hyperlink" Target="https://www.espn.com/nfl/standings/_/sort/wins/dir/desc" TargetMode="External"/><Relationship Id="rId54" Type="http://schemas.openxmlformats.org/officeDocument/2006/relationships/hyperlink" Target="https://www.espn.com/nfl/team/_/name/chi/chicago-bears" TargetMode="External"/><Relationship Id="rId62" Type="http://schemas.openxmlformats.org/officeDocument/2006/relationships/hyperlink" Target="https://www.espn.com/nfl/team/_/name/lar/los-angeles-rams" TargetMode="External"/><Relationship Id="rId70" Type="http://schemas.openxmlformats.org/officeDocument/2006/relationships/hyperlink" Target="https://www.espn.com/nfl/standings/_/sort/pointsagainst/dir/asc" TargetMode="External"/><Relationship Id="rId75" Type="http://schemas.openxmlformats.org/officeDocument/2006/relationships/hyperlink" Target="https://www.espn.com/nfl/standings/_/sort/ties/dir/desc" TargetMode="External"/><Relationship Id="rId83" Type="http://schemas.openxmlformats.org/officeDocument/2006/relationships/hyperlink" Target="https://www.espn.com/nfl/standings/_/sort/ties/dir/desc" TargetMode="External"/><Relationship Id="rId88" Type="http://schemas.openxmlformats.org/officeDocument/2006/relationships/hyperlink" Target="https://www.espn.com/nfl/standings/_/sort/streak/dir/desc" TargetMode="External"/><Relationship Id="rId91" Type="http://schemas.openxmlformats.org/officeDocument/2006/relationships/hyperlink" Target="https://www.espn.com/nfl/standings/_/sort/ties/dir/desc" TargetMode="External"/><Relationship Id="rId96" Type="http://schemas.openxmlformats.org/officeDocument/2006/relationships/hyperlink" Target="https://www.espn.com/nfl/standings/_/sort/streak/dir/desc" TargetMode="External"/><Relationship Id="rId1" Type="http://schemas.openxmlformats.org/officeDocument/2006/relationships/hyperlink" Target="https://www.espn.com/nfl/team/_/name/buf/buffalo-bills" TargetMode="External"/><Relationship Id="rId6" Type="http://schemas.openxmlformats.org/officeDocument/2006/relationships/hyperlink" Target="https://www.espn.com/nfl/team/_/name/bal/baltimore-ravens" TargetMode="External"/><Relationship Id="rId15" Type="http://schemas.openxmlformats.org/officeDocument/2006/relationships/hyperlink" Target="https://www.espn.com/nfl/team/_/name/lac/los-angeles-chargers" TargetMode="External"/><Relationship Id="rId23" Type="http://schemas.openxmlformats.org/officeDocument/2006/relationships/hyperlink" Target="https://www.espn.com/nfl/standings/_/sort/differential/dir/desc" TargetMode="External"/><Relationship Id="rId28" Type="http://schemas.openxmlformats.org/officeDocument/2006/relationships/hyperlink" Target="https://www.espn.com/nfl/standings/_/sort/winpercent/dir/asc" TargetMode="External"/><Relationship Id="rId36" Type="http://schemas.openxmlformats.org/officeDocument/2006/relationships/hyperlink" Target="https://www.espn.com/nfl/standings/_/sort/winpercent/dir/asc" TargetMode="External"/><Relationship Id="rId49" Type="http://schemas.openxmlformats.org/officeDocument/2006/relationships/hyperlink" Target="https://www.espn.com/nfl/team/_/name/wsh/washington" TargetMode="External"/><Relationship Id="rId57" Type="http://schemas.openxmlformats.org/officeDocument/2006/relationships/hyperlink" Target="https://www.espn.com/nfl/team/_/name/no/new-orleans-saints" TargetMode="External"/><Relationship Id="rId10" Type="http://schemas.openxmlformats.org/officeDocument/2006/relationships/hyperlink" Target="https://www.espn.com/nfl/team/_/name/ind/indianapolis-colts" TargetMode="External"/><Relationship Id="rId31" Type="http://schemas.openxmlformats.org/officeDocument/2006/relationships/hyperlink" Target="https://www.espn.com/nfl/standings/_/sort/differential/dir/desc" TargetMode="External"/><Relationship Id="rId44" Type="http://schemas.openxmlformats.org/officeDocument/2006/relationships/hyperlink" Target="https://www.espn.com/nfl/standings/_/sort/winpercent/dir/asc" TargetMode="External"/><Relationship Id="rId52" Type="http://schemas.openxmlformats.org/officeDocument/2006/relationships/hyperlink" Target="https://www.espn.com/nfl/team/_/name/phi/philadelphia-eagles" TargetMode="External"/><Relationship Id="rId60" Type="http://schemas.openxmlformats.org/officeDocument/2006/relationships/hyperlink" Target="https://www.espn.com/nfl/team/_/name/atl/atlanta-falcons" TargetMode="External"/><Relationship Id="rId65" Type="http://schemas.openxmlformats.org/officeDocument/2006/relationships/hyperlink" Target="https://www.espn.com/nfl/standings/_/sort/wins/dir/desc" TargetMode="External"/><Relationship Id="rId73" Type="http://schemas.openxmlformats.org/officeDocument/2006/relationships/hyperlink" Target="https://www.espn.com/nfl/standings/_/sort/wins/dir/desc" TargetMode="External"/><Relationship Id="rId78" Type="http://schemas.openxmlformats.org/officeDocument/2006/relationships/hyperlink" Target="https://www.espn.com/nfl/standings/_/sort/pointsagainst/dir/asc" TargetMode="External"/><Relationship Id="rId81" Type="http://schemas.openxmlformats.org/officeDocument/2006/relationships/hyperlink" Target="https://www.espn.com/nfl/standings/_/sort/wins/dir/desc" TargetMode="External"/><Relationship Id="rId86" Type="http://schemas.openxmlformats.org/officeDocument/2006/relationships/hyperlink" Target="https://www.espn.com/nfl/standings/_/sort/pointsagainst/dir/asc" TargetMode="External"/><Relationship Id="rId94" Type="http://schemas.openxmlformats.org/officeDocument/2006/relationships/hyperlink" Target="https://www.espn.com/nfl/standings/_/sort/pointsagainst/dir/asc" TargetMode="External"/><Relationship Id="rId4" Type="http://schemas.openxmlformats.org/officeDocument/2006/relationships/hyperlink" Target="https://www.espn.com/nfl/team/_/name/nyj/new-york-jets" TargetMode="External"/><Relationship Id="rId9" Type="http://schemas.openxmlformats.org/officeDocument/2006/relationships/hyperlink" Target="https://www.espn.com/nfl/team/_/name/ten/tennessee-titans" TargetMode="External"/><Relationship Id="rId13" Type="http://schemas.openxmlformats.org/officeDocument/2006/relationships/hyperlink" Target="https://www.espn.com/nfl/team/_/name/kc/kansas-city-chiefs" TargetMode="External"/><Relationship Id="rId18" Type="http://schemas.openxmlformats.org/officeDocument/2006/relationships/hyperlink" Target="https://www.espn.com/nfl/standings/_/sort/losses/dir/asc" TargetMode="External"/><Relationship Id="rId39" Type="http://schemas.openxmlformats.org/officeDocument/2006/relationships/hyperlink" Target="https://www.espn.com/nfl/standings/_/sort/differential/dir/des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26"/>
  <sheetViews>
    <sheetView tabSelected="1" topLeftCell="A6" workbookViewId="0">
      <selection activeCell="A22" sqref="A22"/>
    </sheetView>
  </sheetViews>
  <sheetFormatPr defaultRowHeight="12.5" x14ac:dyDescent="0.25"/>
  <cols>
    <col min="1" max="1" width="98.90625" customWidth="1"/>
  </cols>
  <sheetData>
    <row r="2" spans="1:1" ht="13" x14ac:dyDescent="0.3">
      <c r="A2" s="10" t="s">
        <v>39</v>
      </c>
    </row>
    <row r="3" spans="1:1" x14ac:dyDescent="0.25">
      <c r="A3" s="11"/>
    </row>
    <row r="4" spans="1:1" ht="13" x14ac:dyDescent="0.3">
      <c r="A4" s="10"/>
    </row>
    <row r="5" spans="1:1" ht="13" x14ac:dyDescent="0.3">
      <c r="A5" s="10"/>
    </row>
    <row r="6" spans="1:1" x14ac:dyDescent="0.25">
      <c r="A6" s="20" t="s">
        <v>135</v>
      </c>
    </row>
    <row r="7" spans="1:1" x14ac:dyDescent="0.25">
      <c r="A7" s="12" t="s">
        <v>134</v>
      </c>
    </row>
    <row r="8" spans="1:1" x14ac:dyDescent="0.25">
      <c r="A8" s="11"/>
    </row>
    <row r="9" spans="1:1" x14ac:dyDescent="0.25">
      <c r="A9" s="20" t="s">
        <v>141</v>
      </c>
    </row>
    <row r="10" spans="1:1" ht="14.4" customHeight="1" x14ac:dyDescent="0.25">
      <c r="A10" s="12" t="s">
        <v>139</v>
      </c>
    </row>
    <row r="11" spans="1:1" ht="18" customHeight="1" x14ac:dyDescent="0.25">
      <c r="A11" s="12"/>
    </row>
    <row r="12" spans="1:1" x14ac:dyDescent="0.25">
      <c r="A12" s="20" t="s">
        <v>136</v>
      </c>
    </row>
    <row r="13" spans="1:1" x14ac:dyDescent="0.25">
      <c r="A13" s="12" t="s">
        <v>137</v>
      </c>
    </row>
    <row r="14" spans="1:1" x14ac:dyDescent="0.25">
      <c r="A14" s="12" t="s">
        <v>142</v>
      </c>
    </row>
    <row r="16" spans="1:1" x14ac:dyDescent="0.25">
      <c r="A16" s="12"/>
    </row>
    <row r="17" spans="1:1" x14ac:dyDescent="0.25">
      <c r="A17" s="20" t="s">
        <v>140</v>
      </c>
    </row>
    <row r="18" spans="1:1" ht="15.65" customHeight="1" x14ac:dyDescent="0.25">
      <c r="A18" s="12" t="s">
        <v>138</v>
      </c>
    </row>
    <row r="19" spans="1:1" ht="18" customHeight="1" x14ac:dyDescent="0.25">
      <c r="A19" s="12" t="s">
        <v>142</v>
      </c>
    </row>
    <row r="21" spans="1:1" ht="28.5" customHeight="1" x14ac:dyDescent="0.25">
      <c r="A21" s="60" t="s">
        <v>143</v>
      </c>
    </row>
    <row r="22" spans="1:1" ht="31.5" customHeight="1" x14ac:dyDescent="0.25">
      <c r="A22" s="12" t="s">
        <v>233</v>
      </c>
    </row>
    <row r="23" spans="1:1" x14ac:dyDescent="0.25">
      <c r="A23" s="13"/>
    </row>
    <row r="24" spans="1:1" x14ac:dyDescent="0.25">
      <c r="A24" s="12"/>
    </row>
    <row r="26" spans="1:1" x14ac:dyDescent="0.25">
      <c r="A26" s="1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18032-22F2-461B-A256-39E141E47A60}">
  <sheetPr codeName="Sheet5"/>
  <dimension ref="B2:O10004"/>
  <sheetViews>
    <sheetView workbookViewId="0">
      <selection activeCell="L4" sqref="L4"/>
    </sheetView>
  </sheetViews>
  <sheetFormatPr defaultRowHeight="12.5" x14ac:dyDescent="0.25"/>
  <cols>
    <col min="3" max="3" width="9.81640625" customWidth="1"/>
    <col min="5" max="5" width="11.36328125" customWidth="1"/>
    <col min="13" max="13" width="29.453125" customWidth="1"/>
  </cols>
  <sheetData>
    <row r="2" spans="2:15" x14ac:dyDescent="0.25">
      <c r="B2" s="17" t="s">
        <v>28</v>
      </c>
      <c r="C2" s="17" t="s">
        <v>38</v>
      </c>
      <c r="D2" t="s">
        <v>0</v>
      </c>
      <c r="E2" t="s">
        <v>0</v>
      </c>
      <c r="F2" t="s">
        <v>1</v>
      </c>
      <c r="G2" t="s">
        <v>1</v>
      </c>
      <c r="H2" t="s">
        <v>2</v>
      </c>
      <c r="I2" t="s">
        <v>2</v>
      </c>
      <c r="J2" t="s">
        <v>3</v>
      </c>
      <c r="K2" t="s">
        <v>3</v>
      </c>
      <c r="M2" s="16" t="s">
        <v>32</v>
      </c>
    </row>
    <row r="3" spans="2:15" x14ac:dyDescent="0.25">
      <c r="M3" s="22">
        <f>AVERAGE(M5:M10004)</f>
        <v>1.7929203248448722</v>
      </c>
      <c r="N3" s="18" t="s">
        <v>34</v>
      </c>
      <c r="O3" s="19"/>
    </row>
    <row r="4" spans="2:15" x14ac:dyDescent="0.25">
      <c r="C4" t="s">
        <v>4</v>
      </c>
      <c r="D4">
        <f ca="1">RAND()</f>
        <v>0.91702515615648816</v>
      </c>
      <c r="E4">
        <f t="shared" ref="E4:G19" ca="1" si="0">IF(D4&gt;0.5,1,0)</f>
        <v>1</v>
      </c>
      <c r="F4">
        <f t="shared" ref="F4:J4" ca="1" si="1">RAND()</f>
        <v>0.82182699914052038</v>
      </c>
      <c r="G4">
        <f t="shared" ca="1" si="0"/>
        <v>1</v>
      </c>
      <c r="H4">
        <f ca="1">RAND()</f>
        <v>0.22981362526886773</v>
      </c>
      <c r="I4">
        <f ca="1">IF(H4&gt;0.5,1,0)</f>
        <v>0</v>
      </c>
      <c r="J4">
        <f t="shared" ca="1" si="1"/>
        <v>0.64140230068229565</v>
      </c>
      <c r="K4">
        <f t="shared" ref="K4:K19" ca="1" si="2">IF(J4&gt;0.5,1,0)</f>
        <v>1</v>
      </c>
      <c r="M4" s="21">
        <v>1.2909944487358056</v>
      </c>
    </row>
    <row r="5" spans="2:15" x14ac:dyDescent="0.25">
      <c r="C5" t="s">
        <v>5</v>
      </c>
      <c r="D5">
        <f t="shared" ref="D5:J19" ca="1" si="3">RAND()</f>
        <v>5.7759449625359838E-2</v>
      </c>
      <c r="E5">
        <f t="shared" ca="1" si="0"/>
        <v>0</v>
      </c>
      <c r="F5">
        <f t="shared" ca="1" si="3"/>
        <v>0.94358224829216086</v>
      </c>
      <c r="G5">
        <f t="shared" ca="1" si="0"/>
        <v>1</v>
      </c>
      <c r="H5">
        <f t="shared" ca="1" si="3"/>
        <v>2.5088012939630033E-2</v>
      </c>
      <c r="I5">
        <f t="shared" ref="I5:I19" ca="1" si="4">IF(H5&gt;0.5,1,0)</f>
        <v>0</v>
      </c>
      <c r="J5">
        <f t="shared" ca="1" si="3"/>
        <v>0.62568489616602807</v>
      </c>
      <c r="K5">
        <f t="shared" ca="1" si="2"/>
        <v>1</v>
      </c>
      <c r="M5" s="21">
        <v>1.707825127659933</v>
      </c>
    </row>
    <row r="6" spans="2:15" x14ac:dyDescent="0.25">
      <c r="C6" t="s">
        <v>6</v>
      </c>
      <c r="D6">
        <f t="shared" ca="1" si="3"/>
        <v>0.21712513665959854</v>
      </c>
      <c r="E6">
        <f t="shared" ca="1" si="0"/>
        <v>0</v>
      </c>
      <c r="F6">
        <f t="shared" ca="1" si="3"/>
        <v>9.9528419698263648E-2</v>
      </c>
      <c r="G6">
        <f t="shared" ca="1" si="0"/>
        <v>0</v>
      </c>
      <c r="H6">
        <f t="shared" ca="1" si="3"/>
        <v>0.22638286484269687</v>
      </c>
      <c r="I6">
        <f t="shared" ca="1" si="4"/>
        <v>0</v>
      </c>
      <c r="J6">
        <f t="shared" ca="1" si="3"/>
        <v>0.89582410678885083</v>
      </c>
      <c r="K6">
        <f t="shared" ca="1" si="2"/>
        <v>1</v>
      </c>
      <c r="M6" s="21">
        <v>1.4142135623730951</v>
      </c>
    </row>
    <row r="7" spans="2:15" x14ac:dyDescent="0.25">
      <c r="C7" t="s">
        <v>7</v>
      </c>
      <c r="D7">
        <f t="shared" ca="1" si="3"/>
        <v>0.89030770497356559</v>
      </c>
      <c r="E7">
        <f t="shared" ca="1" si="0"/>
        <v>1</v>
      </c>
      <c r="F7">
        <f t="shared" ca="1" si="3"/>
        <v>0.21295691675392847</v>
      </c>
      <c r="G7">
        <f t="shared" ca="1" si="0"/>
        <v>0</v>
      </c>
      <c r="H7">
        <f t="shared" ca="1" si="3"/>
        <v>0.58680337662832194</v>
      </c>
      <c r="I7">
        <f t="shared" ca="1" si="4"/>
        <v>1</v>
      </c>
      <c r="J7">
        <f t="shared" ca="1" si="3"/>
        <v>0.88437001733466658</v>
      </c>
      <c r="K7">
        <f t="shared" ca="1" si="2"/>
        <v>1</v>
      </c>
      <c r="M7" s="21">
        <v>1.707825127659933</v>
      </c>
    </row>
    <row r="8" spans="2:15" x14ac:dyDescent="0.25">
      <c r="C8" t="s">
        <v>8</v>
      </c>
      <c r="D8">
        <f t="shared" ca="1" si="3"/>
        <v>0.28828000291285349</v>
      </c>
      <c r="E8">
        <f t="shared" ca="1" si="0"/>
        <v>0</v>
      </c>
      <c r="F8">
        <f t="shared" ca="1" si="3"/>
        <v>0.57779602615720349</v>
      </c>
      <c r="G8">
        <f t="shared" ca="1" si="0"/>
        <v>1</v>
      </c>
      <c r="H8">
        <f t="shared" ca="1" si="3"/>
        <v>0.74297893352908306</v>
      </c>
      <c r="I8">
        <f t="shared" ca="1" si="4"/>
        <v>1</v>
      </c>
      <c r="J8">
        <f t="shared" ca="1" si="3"/>
        <v>3.3283913656162456E-3</v>
      </c>
      <c r="K8">
        <f t="shared" ca="1" si="2"/>
        <v>0</v>
      </c>
      <c r="M8" s="21">
        <v>1.4142135623730951</v>
      </c>
    </row>
    <row r="9" spans="2:15" x14ac:dyDescent="0.25">
      <c r="C9" t="s">
        <v>9</v>
      </c>
      <c r="D9">
        <f t="shared" ca="1" si="3"/>
        <v>0.32808700688492121</v>
      </c>
      <c r="E9">
        <f t="shared" ca="1" si="0"/>
        <v>0</v>
      </c>
      <c r="F9">
        <f t="shared" ca="1" si="3"/>
        <v>0.52415895219725794</v>
      </c>
      <c r="G9">
        <f t="shared" ca="1" si="0"/>
        <v>1</v>
      </c>
      <c r="H9">
        <f t="shared" ca="1" si="3"/>
        <v>0.50159378000127541</v>
      </c>
      <c r="I9">
        <f t="shared" ca="1" si="4"/>
        <v>1</v>
      </c>
      <c r="J9">
        <f t="shared" ca="1" si="3"/>
        <v>0.92733871998652428</v>
      </c>
      <c r="K9">
        <f t="shared" ca="1" si="2"/>
        <v>1</v>
      </c>
      <c r="M9" s="21">
        <v>2.4494897427831779</v>
      </c>
    </row>
    <row r="10" spans="2:15" x14ac:dyDescent="0.25">
      <c r="C10" t="s">
        <v>10</v>
      </c>
      <c r="D10">
        <f t="shared" ca="1" si="3"/>
        <v>5.6885869880454853E-2</v>
      </c>
      <c r="E10">
        <f t="shared" ca="1" si="0"/>
        <v>0</v>
      </c>
      <c r="F10">
        <f t="shared" ca="1" si="3"/>
        <v>0.33109234006872856</v>
      </c>
      <c r="G10">
        <f t="shared" ca="1" si="0"/>
        <v>0</v>
      </c>
      <c r="H10">
        <f t="shared" ca="1" si="3"/>
        <v>0.8675962972068032</v>
      </c>
      <c r="I10">
        <f t="shared" ca="1" si="4"/>
        <v>1</v>
      </c>
      <c r="J10">
        <f t="shared" ca="1" si="3"/>
        <v>0.61805282673218664</v>
      </c>
      <c r="K10">
        <f t="shared" ca="1" si="2"/>
        <v>1</v>
      </c>
      <c r="M10" s="21">
        <v>0.9574271077563381</v>
      </c>
    </row>
    <row r="11" spans="2:15" x14ac:dyDescent="0.25">
      <c r="C11" t="s">
        <v>11</v>
      </c>
      <c r="D11">
        <f t="shared" ca="1" si="3"/>
        <v>0.94587666691699146</v>
      </c>
      <c r="E11">
        <f t="shared" ca="1" si="0"/>
        <v>1</v>
      </c>
      <c r="F11">
        <f t="shared" ca="1" si="3"/>
        <v>0.67118186383878542</v>
      </c>
      <c r="G11">
        <f t="shared" ca="1" si="0"/>
        <v>1</v>
      </c>
      <c r="H11">
        <f t="shared" ca="1" si="3"/>
        <v>0.92366443568719792</v>
      </c>
      <c r="I11">
        <f t="shared" ca="1" si="4"/>
        <v>1</v>
      </c>
      <c r="J11">
        <f t="shared" ca="1" si="3"/>
        <v>8.5211122554937124E-2</v>
      </c>
      <c r="K11">
        <f t="shared" ca="1" si="2"/>
        <v>0</v>
      </c>
      <c r="M11" s="21">
        <v>0.81649658092772603</v>
      </c>
    </row>
    <row r="12" spans="2:15" x14ac:dyDescent="0.25">
      <c r="C12" t="s">
        <v>12</v>
      </c>
      <c r="D12">
        <f t="shared" ca="1" si="3"/>
        <v>0.10538027221808921</v>
      </c>
      <c r="E12">
        <f t="shared" ca="1" si="0"/>
        <v>0</v>
      </c>
      <c r="F12">
        <f t="shared" ca="1" si="3"/>
        <v>0.95321971187026866</v>
      </c>
      <c r="G12">
        <f t="shared" ca="1" si="0"/>
        <v>1</v>
      </c>
      <c r="H12">
        <f t="shared" ca="1" si="3"/>
        <v>0.19735186635784896</v>
      </c>
      <c r="I12">
        <f t="shared" ca="1" si="4"/>
        <v>0</v>
      </c>
      <c r="J12">
        <f t="shared" ca="1" si="3"/>
        <v>0.42260730122215673</v>
      </c>
      <c r="K12">
        <f t="shared" ca="1" si="2"/>
        <v>0</v>
      </c>
      <c r="M12" s="21">
        <v>2.0615528128088303</v>
      </c>
    </row>
    <row r="13" spans="2:15" x14ac:dyDescent="0.25">
      <c r="C13" t="s">
        <v>13</v>
      </c>
      <c r="D13">
        <f t="shared" ca="1" si="3"/>
        <v>0.35410753540321016</v>
      </c>
      <c r="E13">
        <f t="shared" ca="1" si="0"/>
        <v>0</v>
      </c>
      <c r="F13">
        <f t="shared" ca="1" si="3"/>
        <v>0.52425118332645437</v>
      </c>
      <c r="G13">
        <f t="shared" ca="1" si="0"/>
        <v>1</v>
      </c>
      <c r="H13">
        <f t="shared" ca="1" si="3"/>
        <v>0.99093187916154946</v>
      </c>
      <c r="I13">
        <f t="shared" ca="1" si="4"/>
        <v>1</v>
      </c>
      <c r="J13">
        <f t="shared" ca="1" si="3"/>
        <v>6.0783499725921897E-2</v>
      </c>
      <c r="K13">
        <f t="shared" ca="1" si="2"/>
        <v>0</v>
      </c>
      <c r="M13" s="21">
        <v>2.1602468994692869</v>
      </c>
    </row>
    <row r="14" spans="2:15" x14ac:dyDescent="0.25">
      <c r="C14" t="s">
        <v>14</v>
      </c>
      <c r="D14">
        <f t="shared" ca="1" si="3"/>
        <v>0.44970341840496608</v>
      </c>
      <c r="E14">
        <f t="shared" ca="1" si="0"/>
        <v>0</v>
      </c>
      <c r="F14">
        <f t="shared" ca="1" si="3"/>
        <v>0.75555670809923092</v>
      </c>
      <c r="G14">
        <f t="shared" ca="1" si="0"/>
        <v>1</v>
      </c>
      <c r="H14">
        <f t="shared" ca="1" si="3"/>
        <v>0.45641005399466128</v>
      </c>
      <c r="I14">
        <f t="shared" ca="1" si="4"/>
        <v>0</v>
      </c>
      <c r="J14">
        <f t="shared" ca="1" si="3"/>
        <v>0.32666207870372976</v>
      </c>
      <c r="K14">
        <f t="shared" ca="1" si="2"/>
        <v>0</v>
      </c>
      <c r="M14" s="21">
        <v>0.9574271077563381</v>
      </c>
    </row>
    <row r="15" spans="2:15" x14ac:dyDescent="0.25">
      <c r="C15" t="s">
        <v>15</v>
      </c>
      <c r="D15">
        <f t="shared" ca="1" si="3"/>
        <v>0.76796163780338356</v>
      </c>
      <c r="E15">
        <f t="shared" ca="1" si="0"/>
        <v>1</v>
      </c>
      <c r="F15">
        <f t="shared" ca="1" si="3"/>
        <v>0.58457334983437725</v>
      </c>
      <c r="G15">
        <f t="shared" ca="1" si="0"/>
        <v>1</v>
      </c>
      <c r="H15">
        <f t="shared" ca="1" si="3"/>
        <v>0.39257363621779018</v>
      </c>
      <c r="I15">
        <f t="shared" ca="1" si="4"/>
        <v>0</v>
      </c>
      <c r="J15">
        <f t="shared" ca="1" si="3"/>
        <v>0.26965756685359232</v>
      </c>
      <c r="K15">
        <f t="shared" ca="1" si="2"/>
        <v>0</v>
      </c>
      <c r="M15" s="21">
        <v>0.81649658092772603</v>
      </c>
    </row>
    <row r="16" spans="2:15" x14ac:dyDescent="0.25">
      <c r="C16" t="s">
        <v>16</v>
      </c>
      <c r="D16">
        <f t="shared" ca="1" si="3"/>
        <v>0.77573746040976665</v>
      </c>
      <c r="E16">
        <f t="shared" ca="1" si="0"/>
        <v>1</v>
      </c>
      <c r="F16">
        <f t="shared" ca="1" si="3"/>
        <v>0.10895083293832453</v>
      </c>
      <c r="G16">
        <f t="shared" ca="1" si="0"/>
        <v>0</v>
      </c>
      <c r="H16">
        <f t="shared" ca="1" si="3"/>
        <v>0.66802361416838807</v>
      </c>
      <c r="I16">
        <f t="shared" ca="1" si="4"/>
        <v>1</v>
      </c>
      <c r="J16">
        <f t="shared" ca="1" si="3"/>
        <v>0.30060095553366806</v>
      </c>
      <c r="K16">
        <f t="shared" ca="1" si="2"/>
        <v>0</v>
      </c>
      <c r="M16" s="21">
        <v>1.8929694486000912</v>
      </c>
    </row>
    <row r="17" spans="2:13" x14ac:dyDescent="0.25">
      <c r="C17" t="s">
        <v>17</v>
      </c>
      <c r="D17">
        <f t="shared" ca="1" si="3"/>
        <v>0.63326585256436585</v>
      </c>
      <c r="E17">
        <f t="shared" ca="1" si="0"/>
        <v>1</v>
      </c>
      <c r="F17">
        <f t="shared" ca="1" si="3"/>
        <v>0.42981922116628479</v>
      </c>
      <c r="G17">
        <f t="shared" ca="1" si="0"/>
        <v>0</v>
      </c>
      <c r="H17">
        <f t="shared" ca="1" si="3"/>
        <v>0.11506083465436956</v>
      </c>
      <c r="I17">
        <f t="shared" ca="1" si="4"/>
        <v>0</v>
      </c>
      <c r="J17">
        <f t="shared" ca="1" si="3"/>
        <v>0.56588837468224906</v>
      </c>
      <c r="K17">
        <f t="shared" ca="1" si="2"/>
        <v>1</v>
      </c>
      <c r="M17" s="21">
        <v>1.4142135623730951</v>
      </c>
    </row>
    <row r="18" spans="2:13" x14ac:dyDescent="0.25">
      <c r="C18" t="s">
        <v>18</v>
      </c>
      <c r="D18">
        <f t="shared" ca="1" si="3"/>
        <v>0.37807549742255031</v>
      </c>
      <c r="E18">
        <f t="shared" ca="1" si="0"/>
        <v>0</v>
      </c>
      <c r="F18">
        <f t="shared" ca="1" si="3"/>
        <v>0.36743106399873926</v>
      </c>
      <c r="G18">
        <f t="shared" ca="1" si="0"/>
        <v>0</v>
      </c>
      <c r="H18">
        <f t="shared" ca="1" si="3"/>
        <v>0.83024352702802584</v>
      </c>
      <c r="I18">
        <f t="shared" ca="1" si="4"/>
        <v>1</v>
      </c>
      <c r="J18">
        <f t="shared" ca="1" si="3"/>
        <v>0.42346210051842514</v>
      </c>
      <c r="K18">
        <f t="shared" ca="1" si="2"/>
        <v>0</v>
      </c>
      <c r="M18" s="21">
        <v>3.3166247903553998</v>
      </c>
    </row>
    <row r="19" spans="2:13" x14ac:dyDescent="0.25">
      <c r="C19" t="s">
        <v>19</v>
      </c>
      <c r="D19">
        <f t="shared" ca="1" si="3"/>
        <v>0.39397313325514072</v>
      </c>
      <c r="E19">
        <f t="shared" ca="1" si="0"/>
        <v>0</v>
      </c>
      <c r="F19">
        <f t="shared" ca="1" si="3"/>
        <v>0.15873067053888656</v>
      </c>
      <c r="G19">
        <f t="shared" ca="1" si="0"/>
        <v>0</v>
      </c>
      <c r="H19">
        <f t="shared" ca="1" si="3"/>
        <v>8.3559100020541788E-2</v>
      </c>
      <c r="I19">
        <f t="shared" ca="1" si="4"/>
        <v>0</v>
      </c>
      <c r="J19">
        <f t="shared" ca="1" si="3"/>
        <v>0.34114307469076877</v>
      </c>
      <c r="K19">
        <f t="shared" ca="1" si="2"/>
        <v>0</v>
      </c>
      <c r="M19" s="21">
        <v>1.707825127659933</v>
      </c>
    </row>
    <row r="20" spans="2:13" x14ac:dyDescent="0.25">
      <c r="L20" s="18" t="s">
        <v>33</v>
      </c>
      <c r="M20" s="21">
        <v>3.1622776601683795</v>
      </c>
    </row>
    <row r="21" spans="2:13" x14ac:dyDescent="0.25">
      <c r="D21" s="1"/>
      <c r="E21" s="1">
        <f ca="1">SUM(E4:E19)</f>
        <v>6</v>
      </c>
      <c r="F21" s="1"/>
      <c r="G21" s="1">
        <f ca="1">SUM(G4:G19)</f>
        <v>9</v>
      </c>
      <c r="H21" s="1"/>
      <c r="I21" s="1">
        <f ca="1">SUM(I4:I19)</f>
        <v>8</v>
      </c>
      <c r="J21" s="1"/>
      <c r="K21" s="1">
        <f ca="1">SUM(K4:K19)</f>
        <v>7</v>
      </c>
      <c r="L21" s="23">
        <f ca="1">STDEV(E21:K21)</f>
        <v>1.2909944487358056</v>
      </c>
      <c r="M21" s="21">
        <v>0.9574271077563381</v>
      </c>
    </row>
    <row r="22" spans="2:13" x14ac:dyDescent="0.25">
      <c r="K22" s="16" t="s">
        <v>37</v>
      </c>
      <c r="M22" s="21">
        <v>2.753785273643051</v>
      </c>
    </row>
    <row r="23" spans="2:13" ht="13" thickBot="1" x14ac:dyDescent="0.3">
      <c r="K23" s="16" t="s">
        <v>36</v>
      </c>
      <c r="M23" s="21">
        <v>1.9148542155126762</v>
      </c>
    </row>
    <row r="24" spans="2:13" x14ac:dyDescent="0.25">
      <c r="B24" s="17" t="s">
        <v>27</v>
      </c>
      <c r="C24" s="24" t="s">
        <v>20</v>
      </c>
      <c r="D24" s="2"/>
      <c r="E24" s="3"/>
      <c r="K24" s="16" t="s">
        <v>110</v>
      </c>
      <c r="M24" s="21">
        <v>1.7320508075688772</v>
      </c>
    </row>
    <row r="25" spans="2:13" x14ac:dyDescent="0.25">
      <c r="C25" s="4"/>
      <c r="D25" s="5" t="s">
        <v>158</v>
      </c>
      <c r="E25" s="6" t="s">
        <v>22</v>
      </c>
      <c r="F25" s="16" t="s">
        <v>35</v>
      </c>
      <c r="M25" s="21">
        <v>1.7320508075688772</v>
      </c>
    </row>
    <row r="26" spans="2:13" ht="13" thickBot="1" x14ac:dyDescent="0.3">
      <c r="C26" s="4" t="s">
        <v>157</v>
      </c>
      <c r="D26" s="14">
        <v>12</v>
      </c>
      <c r="E26" s="15">
        <v>8</v>
      </c>
      <c r="F26">
        <f>(D26-E26)^2</f>
        <v>16</v>
      </c>
      <c r="I26" s="16"/>
      <c r="M26" s="21">
        <v>2.9860788111948193</v>
      </c>
    </row>
    <row r="27" spans="2:13" ht="13" thickBot="1" x14ac:dyDescent="0.3">
      <c r="C27" s="4" t="s">
        <v>149</v>
      </c>
      <c r="D27" s="14">
        <v>11</v>
      </c>
      <c r="E27" s="15">
        <v>8</v>
      </c>
      <c r="F27">
        <f t="shared" ref="F27:F29" si="5">(D27-E27)^2</f>
        <v>9</v>
      </c>
      <c r="M27" s="21">
        <v>0.57735026918962573</v>
      </c>
    </row>
    <row r="28" spans="2:13" ht="13" thickBot="1" x14ac:dyDescent="0.3">
      <c r="C28" s="4" t="s">
        <v>150</v>
      </c>
      <c r="D28" s="14">
        <v>11</v>
      </c>
      <c r="E28" s="15">
        <v>8</v>
      </c>
      <c r="F28">
        <f t="shared" si="5"/>
        <v>9</v>
      </c>
      <c r="M28" s="21">
        <v>0.9574271077563381</v>
      </c>
    </row>
    <row r="29" spans="2:13" ht="13" thickBot="1" x14ac:dyDescent="0.3">
      <c r="C29" s="4" t="s">
        <v>151</v>
      </c>
      <c r="D29" s="14">
        <v>4</v>
      </c>
      <c r="E29" s="15">
        <v>8</v>
      </c>
      <c r="F29">
        <f t="shared" si="5"/>
        <v>16</v>
      </c>
      <c r="I29" s="25"/>
      <c r="M29" s="21">
        <v>1.5</v>
      </c>
    </row>
    <row r="30" spans="2:13" x14ac:dyDescent="0.25">
      <c r="C30" s="4"/>
      <c r="D30" s="5"/>
      <c r="E30" s="6"/>
      <c r="M30" s="21">
        <v>1.8257418583505538</v>
      </c>
    </row>
    <row r="31" spans="2:13" ht="13" thickBot="1" x14ac:dyDescent="0.3">
      <c r="C31" s="7"/>
      <c r="D31" s="8"/>
      <c r="E31" s="9"/>
      <c r="F31">
        <f>SUM(F26:F29)/8</f>
        <v>6.25</v>
      </c>
      <c r="M31" s="21">
        <v>1.6329931618554521</v>
      </c>
    </row>
    <row r="32" spans="2:13" x14ac:dyDescent="0.25">
      <c r="E32" s="18" t="s">
        <v>30</v>
      </c>
      <c r="F32" s="19">
        <f>CHIDIST(F31,3)</f>
        <v>0.10006083311939495</v>
      </c>
      <c r="G32" s="16" t="s">
        <v>31</v>
      </c>
      <c r="M32" s="21">
        <v>2.3804761428476167</v>
      </c>
    </row>
    <row r="33" spans="5:13" x14ac:dyDescent="0.25">
      <c r="M33" s="21">
        <v>2.0615528128088303</v>
      </c>
    </row>
    <row r="34" spans="5:13" x14ac:dyDescent="0.25">
      <c r="E34" s="18" t="s">
        <v>29</v>
      </c>
      <c r="F34" s="19">
        <f>CHITEST(D26:D29,E26:E29)</f>
        <v>0.10006083311939495</v>
      </c>
      <c r="M34" s="21">
        <v>3.6968455021364721</v>
      </c>
    </row>
    <row r="35" spans="5:13" x14ac:dyDescent="0.25">
      <c r="M35" s="21">
        <v>0.57735026918962573</v>
      </c>
    </row>
    <row r="36" spans="5:13" x14ac:dyDescent="0.25">
      <c r="M36" s="21">
        <v>0.9574271077563381</v>
      </c>
    </row>
    <row r="37" spans="5:13" x14ac:dyDescent="0.25">
      <c r="M37" s="21">
        <v>1.2909944487358056</v>
      </c>
    </row>
    <row r="38" spans="5:13" x14ac:dyDescent="0.25">
      <c r="M38" s="21">
        <v>2.5</v>
      </c>
    </row>
    <row r="39" spans="5:13" x14ac:dyDescent="0.25">
      <c r="M39" s="21">
        <v>1.707825127659933</v>
      </c>
    </row>
    <row r="40" spans="5:13" x14ac:dyDescent="0.25">
      <c r="M40" s="21">
        <v>1.7320508075688772</v>
      </c>
    </row>
    <row r="41" spans="5:13" x14ac:dyDescent="0.25">
      <c r="M41" s="21">
        <v>1.2909944487358056</v>
      </c>
    </row>
    <row r="42" spans="5:13" x14ac:dyDescent="0.25">
      <c r="M42" s="21">
        <v>1.4142135623730951</v>
      </c>
    </row>
    <row r="43" spans="5:13" x14ac:dyDescent="0.25">
      <c r="M43" s="21">
        <v>2.4494897427831779</v>
      </c>
    </row>
    <row r="44" spans="5:13" x14ac:dyDescent="0.25">
      <c r="M44" s="21">
        <v>3.2015621187164243</v>
      </c>
    </row>
    <row r="45" spans="5:13" x14ac:dyDescent="0.25">
      <c r="M45" s="21">
        <v>3.1091263510296048</v>
      </c>
    </row>
    <row r="46" spans="5:13" x14ac:dyDescent="0.25">
      <c r="M46" s="21">
        <v>1.8929694486000912</v>
      </c>
    </row>
    <row r="47" spans="5:13" x14ac:dyDescent="0.25">
      <c r="M47" s="21">
        <v>1.9148542155126762</v>
      </c>
    </row>
    <row r="48" spans="5:13" x14ac:dyDescent="0.25">
      <c r="M48" s="21">
        <v>2.4494897427831779</v>
      </c>
    </row>
    <row r="49" spans="13:13" x14ac:dyDescent="0.25">
      <c r="M49" s="21">
        <v>2.2173557826083452</v>
      </c>
    </row>
    <row r="50" spans="13:13" x14ac:dyDescent="0.25">
      <c r="M50" s="21">
        <v>1.7320508075688772</v>
      </c>
    </row>
    <row r="51" spans="13:13" x14ac:dyDescent="0.25">
      <c r="M51" s="21">
        <v>1.2909944487358056</v>
      </c>
    </row>
    <row r="52" spans="13:13" x14ac:dyDescent="0.25">
      <c r="M52" s="21">
        <v>1.2583057392117916</v>
      </c>
    </row>
    <row r="53" spans="13:13" x14ac:dyDescent="0.25">
      <c r="M53" s="21">
        <v>1.6329931618554521</v>
      </c>
    </row>
    <row r="54" spans="13:13" x14ac:dyDescent="0.25">
      <c r="M54" s="21">
        <v>2.0615528128088303</v>
      </c>
    </row>
    <row r="55" spans="13:13" x14ac:dyDescent="0.25">
      <c r="M55" s="21">
        <v>2.0615528128088303</v>
      </c>
    </row>
    <row r="56" spans="13:13" x14ac:dyDescent="0.25">
      <c r="M56" s="21">
        <v>0.57735026918962573</v>
      </c>
    </row>
    <row r="57" spans="13:13" x14ac:dyDescent="0.25">
      <c r="M57" s="21">
        <v>0.57735026918962573</v>
      </c>
    </row>
    <row r="58" spans="13:13" x14ac:dyDescent="0.25">
      <c r="M58" s="21">
        <v>2.5166114784235831</v>
      </c>
    </row>
    <row r="59" spans="13:13" x14ac:dyDescent="0.25">
      <c r="M59" s="21">
        <v>2.8867513459481291</v>
      </c>
    </row>
    <row r="60" spans="13:13" x14ac:dyDescent="0.25">
      <c r="M60" s="21">
        <v>1.7320508075688772</v>
      </c>
    </row>
    <row r="61" spans="13:13" x14ac:dyDescent="0.25">
      <c r="M61" s="21">
        <v>2.5</v>
      </c>
    </row>
    <row r="62" spans="13:13" x14ac:dyDescent="0.25">
      <c r="M62" s="21">
        <v>3.2015621187164243</v>
      </c>
    </row>
    <row r="63" spans="13:13" x14ac:dyDescent="0.25">
      <c r="M63" s="21">
        <v>1.1547005383792515</v>
      </c>
    </row>
    <row r="64" spans="13:13" x14ac:dyDescent="0.25">
      <c r="M64" s="21">
        <v>2.3629078131263039</v>
      </c>
    </row>
    <row r="65" spans="13:13" x14ac:dyDescent="0.25">
      <c r="M65" s="21">
        <v>0.57735026918962573</v>
      </c>
    </row>
    <row r="66" spans="13:13" x14ac:dyDescent="0.25">
      <c r="M66" s="21">
        <v>2.2173557826083452</v>
      </c>
    </row>
    <row r="67" spans="13:13" x14ac:dyDescent="0.25">
      <c r="M67" s="21">
        <v>1.707825127659933</v>
      </c>
    </row>
    <row r="68" spans="13:13" x14ac:dyDescent="0.25">
      <c r="M68" s="21">
        <v>1.1547005383792515</v>
      </c>
    </row>
    <row r="69" spans="13:13" x14ac:dyDescent="0.25">
      <c r="M69" s="21">
        <v>1.707825127659933</v>
      </c>
    </row>
    <row r="70" spans="13:13" x14ac:dyDescent="0.25">
      <c r="M70" s="21">
        <v>1.2909944487358056</v>
      </c>
    </row>
    <row r="71" spans="13:13" x14ac:dyDescent="0.25">
      <c r="M71" s="21">
        <v>2.1602468994692869</v>
      </c>
    </row>
    <row r="72" spans="13:13" x14ac:dyDescent="0.25">
      <c r="M72" s="21">
        <v>2.5</v>
      </c>
    </row>
    <row r="73" spans="13:13" x14ac:dyDescent="0.25">
      <c r="M73" s="21">
        <v>2.2173557826083452</v>
      </c>
    </row>
    <row r="74" spans="13:13" x14ac:dyDescent="0.25">
      <c r="M74" s="21">
        <v>1</v>
      </c>
    </row>
    <row r="75" spans="13:13" x14ac:dyDescent="0.25">
      <c r="M75" s="21">
        <v>2.0816659994661326</v>
      </c>
    </row>
    <row r="76" spans="13:13" x14ac:dyDescent="0.25">
      <c r="M76" s="21">
        <v>1</v>
      </c>
    </row>
    <row r="77" spans="13:13" x14ac:dyDescent="0.25">
      <c r="M77" s="21">
        <v>1.6329931618554521</v>
      </c>
    </row>
    <row r="78" spans="13:13" x14ac:dyDescent="0.25">
      <c r="M78" s="21">
        <v>2.5166114784235831</v>
      </c>
    </row>
    <row r="79" spans="13:13" x14ac:dyDescent="0.25">
      <c r="M79" s="21">
        <v>1.2909944487358056</v>
      </c>
    </row>
    <row r="80" spans="13:13" x14ac:dyDescent="0.25">
      <c r="M80" s="21">
        <v>0.9574271077563381</v>
      </c>
    </row>
    <row r="81" spans="13:13" x14ac:dyDescent="0.25">
      <c r="M81" s="21">
        <v>1.6329931618554521</v>
      </c>
    </row>
    <row r="82" spans="13:13" x14ac:dyDescent="0.25">
      <c r="M82" s="21">
        <v>2.1602468994692869</v>
      </c>
    </row>
    <row r="83" spans="13:13" x14ac:dyDescent="0.25">
      <c r="M83" s="21">
        <v>2.6457513110645907</v>
      </c>
    </row>
    <row r="84" spans="13:13" x14ac:dyDescent="0.25">
      <c r="M84" s="21">
        <v>2.0615528128088303</v>
      </c>
    </row>
    <row r="85" spans="13:13" x14ac:dyDescent="0.25">
      <c r="M85" s="21">
        <v>1.4142135623730951</v>
      </c>
    </row>
    <row r="86" spans="13:13" x14ac:dyDescent="0.25">
      <c r="M86" s="21">
        <v>1</v>
      </c>
    </row>
    <row r="87" spans="13:13" x14ac:dyDescent="0.25">
      <c r="M87" s="21">
        <v>1.2583057392117916</v>
      </c>
    </row>
    <row r="88" spans="13:13" x14ac:dyDescent="0.25">
      <c r="M88" s="21">
        <v>2.0615528128088303</v>
      </c>
    </row>
    <row r="89" spans="13:13" x14ac:dyDescent="0.25">
      <c r="M89" s="21">
        <v>1.707825127659933</v>
      </c>
    </row>
    <row r="90" spans="13:13" x14ac:dyDescent="0.25">
      <c r="M90" s="21">
        <v>1.707825127659933</v>
      </c>
    </row>
    <row r="91" spans="13:13" x14ac:dyDescent="0.25">
      <c r="M91" s="21">
        <v>0.57735026918962573</v>
      </c>
    </row>
    <row r="92" spans="13:13" x14ac:dyDescent="0.25">
      <c r="M92" s="21">
        <v>1.5</v>
      </c>
    </row>
    <row r="93" spans="13:13" x14ac:dyDescent="0.25">
      <c r="M93" s="21">
        <v>1.7320508075688772</v>
      </c>
    </row>
    <row r="94" spans="13:13" x14ac:dyDescent="0.25">
      <c r="M94" s="21">
        <v>2.1602468994692869</v>
      </c>
    </row>
    <row r="95" spans="13:13" x14ac:dyDescent="0.25">
      <c r="M95" s="21">
        <v>2.6299556396765835</v>
      </c>
    </row>
    <row r="96" spans="13:13" x14ac:dyDescent="0.25">
      <c r="M96" s="21">
        <v>1.8257418583505538</v>
      </c>
    </row>
    <row r="97" spans="13:13" x14ac:dyDescent="0.25">
      <c r="M97" s="21">
        <v>1.2583057392117916</v>
      </c>
    </row>
    <row r="98" spans="13:13" x14ac:dyDescent="0.25">
      <c r="M98" s="21">
        <v>2.2173557826083452</v>
      </c>
    </row>
    <row r="99" spans="13:13" x14ac:dyDescent="0.25">
      <c r="M99" s="21">
        <v>1.707825127659933</v>
      </c>
    </row>
    <row r="100" spans="13:13" x14ac:dyDescent="0.25">
      <c r="M100" s="21">
        <v>1.5</v>
      </c>
    </row>
    <row r="101" spans="13:13" x14ac:dyDescent="0.25">
      <c r="M101" s="21">
        <v>0.9574271077563381</v>
      </c>
    </row>
    <row r="102" spans="13:13" x14ac:dyDescent="0.25">
      <c r="M102" s="21">
        <v>2.0816659994661326</v>
      </c>
    </row>
    <row r="103" spans="13:13" x14ac:dyDescent="0.25">
      <c r="M103" s="21">
        <v>0.57735026918962573</v>
      </c>
    </row>
    <row r="104" spans="13:13" x14ac:dyDescent="0.25">
      <c r="M104" s="21">
        <v>3.3665016461206929</v>
      </c>
    </row>
    <row r="105" spans="13:13" x14ac:dyDescent="0.25">
      <c r="M105" s="21">
        <v>2.5</v>
      </c>
    </row>
    <row r="106" spans="13:13" x14ac:dyDescent="0.25">
      <c r="M106" s="21">
        <v>1.7320508075688772</v>
      </c>
    </row>
    <row r="107" spans="13:13" x14ac:dyDescent="0.25">
      <c r="M107" s="21">
        <v>2.753785273643051</v>
      </c>
    </row>
    <row r="108" spans="13:13" x14ac:dyDescent="0.25">
      <c r="M108" s="21">
        <v>0.81649658092772603</v>
      </c>
    </row>
    <row r="109" spans="13:13" x14ac:dyDescent="0.25">
      <c r="M109" s="21">
        <v>2.0816659994661326</v>
      </c>
    </row>
    <row r="110" spans="13:13" x14ac:dyDescent="0.25">
      <c r="M110" s="21">
        <v>3</v>
      </c>
    </row>
    <row r="111" spans="13:13" x14ac:dyDescent="0.25">
      <c r="M111" s="21">
        <v>2.2173557826083452</v>
      </c>
    </row>
    <row r="112" spans="13:13" x14ac:dyDescent="0.25">
      <c r="M112" s="21">
        <v>0.57735026918962573</v>
      </c>
    </row>
    <row r="113" spans="13:13" x14ac:dyDescent="0.25">
      <c r="M113" s="21">
        <v>0.57735026918962573</v>
      </c>
    </row>
    <row r="114" spans="13:13" x14ac:dyDescent="0.25">
      <c r="M114" s="21">
        <v>1</v>
      </c>
    </row>
    <row r="115" spans="13:13" x14ac:dyDescent="0.25">
      <c r="M115" s="21">
        <v>2.0615528128088303</v>
      </c>
    </row>
    <row r="116" spans="13:13" x14ac:dyDescent="0.25">
      <c r="M116" s="21">
        <v>1.7320508075688772</v>
      </c>
    </row>
    <row r="117" spans="13:13" x14ac:dyDescent="0.25">
      <c r="M117" s="21">
        <v>0</v>
      </c>
    </row>
    <row r="118" spans="13:13" x14ac:dyDescent="0.25">
      <c r="M118" s="21">
        <v>1.9148542155126762</v>
      </c>
    </row>
    <row r="119" spans="13:13" x14ac:dyDescent="0.25">
      <c r="M119" s="21">
        <v>2.0615528128088303</v>
      </c>
    </row>
    <row r="120" spans="13:13" x14ac:dyDescent="0.25">
      <c r="M120" s="21">
        <v>2.8284271247461903</v>
      </c>
    </row>
    <row r="121" spans="13:13" x14ac:dyDescent="0.25">
      <c r="M121" s="21">
        <v>0.81649658092772603</v>
      </c>
    </row>
    <row r="122" spans="13:13" x14ac:dyDescent="0.25">
      <c r="M122" s="21">
        <v>1.707825127659933</v>
      </c>
    </row>
    <row r="123" spans="13:13" x14ac:dyDescent="0.25">
      <c r="M123" s="21">
        <v>2.2173557826083452</v>
      </c>
    </row>
    <row r="124" spans="13:13" x14ac:dyDescent="0.25">
      <c r="M124" s="21">
        <v>1.2583057392117916</v>
      </c>
    </row>
    <row r="125" spans="13:13" x14ac:dyDescent="0.25">
      <c r="M125" s="21">
        <v>2.5</v>
      </c>
    </row>
    <row r="126" spans="13:13" x14ac:dyDescent="0.25">
      <c r="M126" s="21">
        <v>2.3629078131263039</v>
      </c>
    </row>
    <row r="127" spans="13:13" x14ac:dyDescent="0.25">
      <c r="M127" s="21">
        <v>2.2173557826083452</v>
      </c>
    </row>
    <row r="128" spans="13:13" x14ac:dyDescent="0.25">
      <c r="M128" s="21">
        <v>3.5939764421413041</v>
      </c>
    </row>
    <row r="129" spans="13:13" x14ac:dyDescent="0.25">
      <c r="M129" s="21">
        <v>1.5</v>
      </c>
    </row>
    <row r="130" spans="13:13" x14ac:dyDescent="0.25">
      <c r="M130" s="21">
        <v>2.9439202887759488</v>
      </c>
    </row>
    <row r="131" spans="13:13" x14ac:dyDescent="0.25">
      <c r="M131" s="21">
        <v>1.707825127659933</v>
      </c>
    </row>
    <row r="132" spans="13:13" x14ac:dyDescent="0.25">
      <c r="M132" s="21">
        <v>2.2173557826083452</v>
      </c>
    </row>
    <row r="133" spans="13:13" x14ac:dyDescent="0.25">
      <c r="M133" s="21">
        <v>1.8929694486000912</v>
      </c>
    </row>
    <row r="134" spans="13:13" x14ac:dyDescent="0.25">
      <c r="M134" s="21">
        <v>1.6329931618554521</v>
      </c>
    </row>
    <row r="135" spans="13:13" x14ac:dyDescent="0.25">
      <c r="M135" s="21">
        <v>0.9574271077563381</v>
      </c>
    </row>
    <row r="136" spans="13:13" x14ac:dyDescent="0.25">
      <c r="M136" s="21">
        <v>1.2909944487358056</v>
      </c>
    </row>
    <row r="137" spans="13:13" x14ac:dyDescent="0.25">
      <c r="M137" s="21">
        <v>4.1231056256176606</v>
      </c>
    </row>
    <row r="138" spans="13:13" x14ac:dyDescent="0.25">
      <c r="M138" s="21">
        <v>1</v>
      </c>
    </row>
    <row r="139" spans="13:13" x14ac:dyDescent="0.25">
      <c r="M139" s="21">
        <v>3.7749172176353749</v>
      </c>
    </row>
    <row r="140" spans="13:13" x14ac:dyDescent="0.25">
      <c r="M140" s="21">
        <v>1.9148542155126762</v>
      </c>
    </row>
    <row r="141" spans="13:13" x14ac:dyDescent="0.25">
      <c r="M141" s="21">
        <v>2.1602468994692869</v>
      </c>
    </row>
    <row r="142" spans="13:13" x14ac:dyDescent="0.25">
      <c r="M142" s="21">
        <v>0</v>
      </c>
    </row>
    <row r="143" spans="13:13" x14ac:dyDescent="0.25">
      <c r="M143" s="21">
        <v>1.2909944487358056</v>
      </c>
    </row>
    <row r="144" spans="13:13" x14ac:dyDescent="0.25">
      <c r="M144" s="21">
        <v>1.707825127659933</v>
      </c>
    </row>
    <row r="145" spans="13:13" x14ac:dyDescent="0.25">
      <c r="M145" s="21">
        <v>2.2173557826083452</v>
      </c>
    </row>
    <row r="146" spans="13:13" x14ac:dyDescent="0.25">
      <c r="M146" s="21">
        <v>2.3804761428476167</v>
      </c>
    </row>
    <row r="147" spans="13:13" x14ac:dyDescent="0.25">
      <c r="M147" s="21">
        <v>0.9574271077563381</v>
      </c>
    </row>
    <row r="148" spans="13:13" x14ac:dyDescent="0.25">
      <c r="M148" s="21">
        <v>2.1602468994692869</v>
      </c>
    </row>
    <row r="149" spans="13:13" x14ac:dyDescent="0.25">
      <c r="M149" s="21">
        <v>3.0956959368344519</v>
      </c>
    </row>
    <row r="150" spans="13:13" x14ac:dyDescent="0.25">
      <c r="M150" s="21">
        <v>2.5</v>
      </c>
    </row>
    <row r="151" spans="13:13" x14ac:dyDescent="0.25">
      <c r="M151" s="21">
        <v>1.8257418583505538</v>
      </c>
    </row>
    <row r="152" spans="13:13" x14ac:dyDescent="0.25">
      <c r="M152" s="21">
        <v>1.5</v>
      </c>
    </row>
    <row r="153" spans="13:13" x14ac:dyDescent="0.25">
      <c r="M153" s="21">
        <v>2.6457513110645907</v>
      </c>
    </row>
    <row r="154" spans="13:13" x14ac:dyDescent="0.25">
      <c r="M154" s="21">
        <v>0.9574271077563381</v>
      </c>
    </row>
    <row r="155" spans="13:13" x14ac:dyDescent="0.25">
      <c r="M155" s="21">
        <v>1.5</v>
      </c>
    </row>
    <row r="156" spans="13:13" x14ac:dyDescent="0.25">
      <c r="M156" s="21">
        <v>2.3804761428476167</v>
      </c>
    </row>
    <row r="157" spans="13:13" x14ac:dyDescent="0.25">
      <c r="M157" s="21">
        <v>3</v>
      </c>
    </row>
    <row r="158" spans="13:13" x14ac:dyDescent="0.25">
      <c r="M158" s="21">
        <v>1.8929694486000912</v>
      </c>
    </row>
    <row r="159" spans="13:13" x14ac:dyDescent="0.25">
      <c r="M159" s="21">
        <v>2.9860788111948193</v>
      </c>
    </row>
    <row r="160" spans="13:13" x14ac:dyDescent="0.25">
      <c r="M160" s="21">
        <v>3.3040379335998349</v>
      </c>
    </row>
    <row r="161" spans="13:13" x14ac:dyDescent="0.25">
      <c r="M161" s="21">
        <v>2.8722813232690143</v>
      </c>
    </row>
    <row r="162" spans="13:13" x14ac:dyDescent="0.25">
      <c r="M162" s="21">
        <v>1.707825127659933</v>
      </c>
    </row>
    <row r="163" spans="13:13" x14ac:dyDescent="0.25">
      <c r="M163" s="21">
        <v>1.4142135623730951</v>
      </c>
    </row>
    <row r="164" spans="13:13" x14ac:dyDescent="0.25">
      <c r="M164" s="21">
        <v>1.8929694486000912</v>
      </c>
    </row>
    <row r="165" spans="13:13" x14ac:dyDescent="0.25">
      <c r="M165" s="21">
        <v>1.2583057392117916</v>
      </c>
    </row>
    <row r="166" spans="13:13" x14ac:dyDescent="0.25">
      <c r="M166" s="21">
        <v>2.5</v>
      </c>
    </row>
    <row r="167" spans="13:13" x14ac:dyDescent="0.25">
      <c r="M167" s="21">
        <v>0.9574271077563381</v>
      </c>
    </row>
    <row r="168" spans="13:13" x14ac:dyDescent="0.25">
      <c r="M168" s="21">
        <v>0.9574271077563381</v>
      </c>
    </row>
    <row r="169" spans="13:13" x14ac:dyDescent="0.25">
      <c r="M169" s="21">
        <v>1.5</v>
      </c>
    </row>
    <row r="170" spans="13:13" x14ac:dyDescent="0.25">
      <c r="M170" s="21">
        <v>2.0615528128088303</v>
      </c>
    </row>
    <row r="171" spans="13:13" x14ac:dyDescent="0.25">
      <c r="M171" s="21">
        <v>1.707825127659933</v>
      </c>
    </row>
    <row r="172" spans="13:13" x14ac:dyDescent="0.25">
      <c r="M172" s="21">
        <v>1.4142135623730951</v>
      </c>
    </row>
    <row r="173" spans="13:13" x14ac:dyDescent="0.25">
      <c r="M173" s="21">
        <v>1.9148542155126762</v>
      </c>
    </row>
    <row r="174" spans="13:13" x14ac:dyDescent="0.25">
      <c r="M174" s="21">
        <v>1.8929694486000912</v>
      </c>
    </row>
    <row r="175" spans="13:13" x14ac:dyDescent="0.25">
      <c r="M175" s="21">
        <v>2.8867513459481291</v>
      </c>
    </row>
    <row r="176" spans="13:13" x14ac:dyDescent="0.25">
      <c r="M176" s="21">
        <v>0.9574271077563381</v>
      </c>
    </row>
    <row r="177" spans="13:13" x14ac:dyDescent="0.25">
      <c r="M177" s="21">
        <v>1.9148542155126762</v>
      </c>
    </row>
    <row r="178" spans="13:13" x14ac:dyDescent="0.25">
      <c r="M178" s="21">
        <v>0.9574271077563381</v>
      </c>
    </row>
    <row r="179" spans="13:13" x14ac:dyDescent="0.25">
      <c r="M179" s="21">
        <v>1.2909944487358056</v>
      </c>
    </row>
    <row r="180" spans="13:13" x14ac:dyDescent="0.25">
      <c r="M180" s="21">
        <v>1.707825127659933</v>
      </c>
    </row>
    <row r="181" spans="13:13" x14ac:dyDescent="0.25">
      <c r="M181" s="21">
        <v>0.9574271077563381</v>
      </c>
    </row>
    <row r="182" spans="13:13" x14ac:dyDescent="0.25">
      <c r="M182" s="21">
        <v>2.9860788111948193</v>
      </c>
    </row>
    <row r="183" spans="13:13" x14ac:dyDescent="0.25">
      <c r="M183" s="21">
        <v>2.3629078131263039</v>
      </c>
    </row>
    <row r="184" spans="13:13" x14ac:dyDescent="0.25">
      <c r="M184" s="21">
        <v>2.1602468994692869</v>
      </c>
    </row>
    <row r="185" spans="13:13" x14ac:dyDescent="0.25">
      <c r="M185" s="21">
        <v>0.5</v>
      </c>
    </row>
    <row r="186" spans="13:13" x14ac:dyDescent="0.25">
      <c r="M186" s="21">
        <v>1.7320508075688772</v>
      </c>
    </row>
    <row r="187" spans="13:13" x14ac:dyDescent="0.25">
      <c r="M187" s="21">
        <v>2.6299556396765835</v>
      </c>
    </row>
    <row r="188" spans="13:13" x14ac:dyDescent="0.25">
      <c r="M188" s="21">
        <v>0.9574271077563381</v>
      </c>
    </row>
    <row r="189" spans="13:13" x14ac:dyDescent="0.25">
      <c r="M189" s="21">
        <v>1.2909944487358056</v>
      </c>
    </row>
    <row r="190" spans="13:13" x14ac:dyDescent="0.25">
      <c r="M190" s="21">
        <v>1.7320508075688772</v>
      </c>
    </row>
    <row r="191" spans="13:13" x14ac:dyDescent="0.25">
      <c r="M191" s="21">
        <v>1.2583057392117916</v>
      </c>
    </row>
    <row r="192" spans="13:13" x14ac:dyDescent="0.25">
      <c r="M192" s="21">
        <v>2.1602468994692869</v>
      </c>
    </row>
    <row r="193" spans="13:13" x14ac:dyDescent="0.25">
      <c r="M193" s="21">
        <v>2.2173557826083452</v>
      </c>
    </row>
    <row r="194" spans="13:13" x14ac:dyDescent="0.25">
      <c r="M194" s="21">
        <v>0.81649658092772603</v>
      </c>
    </row>
    <row r="195" spans="13:13" x14ac:dyDescent="0.25">
      <c r="M195" s="21">
        <v>2.3804761428476167</v>
      </c>
    </row>
    <row r="196" spans="13:13" x14ac:dyDescent="0.25">
      <c r="M196" s="21">
        <v>1.8257418583505538</v>
      </c>
    </row>
    <row r="197" spans="13:13" x14ac:dyDescent="0.25">
      <c r="M197" s="21">
        <v>0.5</v>
      </c>
    </row>
    <row r="198" spans="13:13" x14ac:dyDescent="0.25">
      <c r="M198" s="21">
        <v>1.707825127659933</v>
      </c>
    </row>
    <row r="199" spans="13:13" x14ac:dyDescent="0.25">
      <c r="M199" s="21">
        <v>1.2583057392117916</v>
      </c>
    </row>
    <row r="200" spans="13:13" x14ac:dyDescent="0.25">
      <c r="M200" s="21">
        <v>2.1602468994692869</v>
      </c>
    </row>
    <row r="201" spans="13:13" x14ac:dyDescent="0.25">
      <c r="M201" s="21">
        <v>1.707825127659933</v>
      </c>
    </row>
    <row r="202" spans="13:13" x14ac:dyDescent="0.25">
      <c r="M202" s="21">
        <v>1.6329931618554521</v>
      </c>
    </row>
    <row r="203" spans="13:13" x14ac:dyDescent="0.25">
      <c r="M203" s="21">
        <v>0.9574271077563381</v>
      </c>
    </row>
    <row r="204" spans="13:13" x14ac:dyDescent="0.25">
      <c r="M204" s="21">
        <v>0.5</v>
      </c>
    </row>
    <row r="205" spans="13:13" x14ac:dyDescent="0.25">
      <c r="M205" s="21">
        <v>2.0816659994661326</v>
      </c>
    </row>
    <row r="206" spans="13:13" x14ac:dyDescent="0.25">
      <c r="M206" s="21">
        <v>1.4142135623730951</v>
      </c>
    </row>
    <row r="207" spans="13:13" x14ac:dyDescent="0.25">
      <c r="M207" s="21">
        <v>1.7320508075688772</v>
      </c>
    </row>
    <row r="208" spans="13:13" x14ac:dyDescent="0.25">
      <c r="M208" s="21">
        <v>2.6457513110645907</v>
      </c>
    </row>
    <row r="209" spans="13:13" x14ac:dyDescent="0.25">
      <c r="M209" s="21">
        <v>2.0615528128088303</v>
      </c>
    </row>
    <row r="210" spans="13:13" x14ac:dyDescent="0.25">
      <c r="M210" s="21">
        <v>0.9574271077563381</v>
      </c>
    </row>
    <row r="211" spans="13:13" x14ac:dyDescent="0.25">
      <c r="M211" s="21">
        <v>4.2426406871192848</v>
      </c>
    </row>
    <row r="212" spans="13:13" x14ac:dyDescent="0.25">
      <c r="M212" s="21">
        <v>1</v>
      </c>
    </row>
    <row r="213" spans="13:13" x14ac:dyDescent="0.25">
      <c r="M213" s="21">
        <v>1.7320508075688772</v>
      </c>
    </row>
    <row r="214" spans="13:13" x14ac:dyDescent="0.25">
      <c r="M214" s="21">
        <v>1.2909944487358056</v>
      </c>
    </row>
    <row r="215" spans="13:13" x14ac:dyDescent="0.25">
      <c r="M215" s="21">
        <v>1.7320508075688772</v>
      </c>
    </row>
    <row r="216" spans="13:13" x14ac:dyDescent="0.25">
      <c r="M216" s="21">
        <v>1.707825127659933</v>
      </c>
    </row>
    <row r="217" spans="13:13" x14ac:dyDescent="0.25">
      <c r="M217" s="21">
        <v>3</v>
      </c>
    </row>
    <row r="218" spans="13:13" x14ac:dyDescent="0.25">
      <c r="M218" s="21">
        <v>1.1547005383792515</v>
      </c>
    </row>
    <row r="219" spans="13:13" x14ac:dyDescent="0.25">
      <c r="M219" s="21">
        <v>1.5</v>
      </c>
    </row>
    <row r="220" spans="13:13" x14ac:dyDescent="0.25">
      <c r="M220" s="21">
        <v>1.9148542155126762</v>
      </c>
    </row>
    <row r="221" spans="13:13" x14ac:dyDescent="0.25">
      <c r="M221" s="21">
        <v>1.5</v>
      </c>
    </row>
    <row r="222" spans="13:13" x14ac:dyDescent="0.25">
      <c r="M222" s="21">
        <v>3.0956959368344519</v>
      </c>
    </row>
    <row r="223" spans="13:13" x14ac:dyDescent="0.25">
      <c r="M223" s="21">
        <v>2.6457513110645907</v>
      </c>
    </row>
    <row r="224" spans="13:13" x14ac:dyDescent="0.25">
      <c r="M224" s="21">
        <v>2.3804761428476167</v>
      </c>
    </row>
    <row r="225" spans="13:13" x14ac:dyDescent="0.25">
      <c r="M225" s="21">
        <v>0.81649658092772603</v>
      </c>
    </row>
    <row r="226" spans="13:13" x14ac:dyDescent="0.25">
      <c r="M226" s="21">
        <v>2</v>
      </c>
    </row>
    <row r="227" spans="13:13" x14ac:dyDescent="0.25">
      <c r="M227" s="21">
        <v>1.5</v>
      </c>
    </row>
    <row r="228" spans="13:13" x14ac:dyDescent="0.25">
      <c r="M228" s="21">
        <v>0.5</v>
      </c>
    </row>
    <row r="229" spans="13:13" x14ac:dyDescent="0.25">
      <c r="M229" s="21">
        <v>2.3804761428476167</v>
      </c>
    </row>
    <row r="230" spans="13:13" x14ac:dyDescent="0.25">
      <c r="M230" s="21">
        <v>1.8257418583505538</v>
      </c>
    </row>
    <row r="231" spans="13:13" x14ac:dyDescent="0.25">
      <c r="M231" s="21">
        <v>1.1547005383792515</v>
      </c>
    </row>
    <row r="232" spans="13:13" x14ac:dyDescent="0.25">
      <c r="M232" s="21">
        <v>1.4142135623730951</v>
      </c>
    </row>
    <row r="233" spans="13:13" x14ac:dyDescent="0.25">
      <c r="M233" s="21">
        <v>2.9439202887759488</v>
      </c>
    </row>
    <row r="234" spans="13:13" x14ac:dyDescent="0.25">
      <c r="M234" s="21">
        <v>0.57735026918962573</v>
      </c>
    </row>
    <row r="235" spans="13:13" x14ac:dyDescent="0.25">
      <c r="M235" s="21">
        <v>1.5</v>
      </c>
    </row>
    <row r="236" spans="13:13" x14ac:dyDescent="0.25">
      <c r="M236" s="21">
        <v>2.6299556396765835</v>
      </c>
    </row>
    <row r="237" spans="13:13" x14ac:dyDescent="0.25">
      <c r="M237" s="21">
        <v>2.2173557826083452</v>
      </c>
    </row>
    <row r="238" spans="13:13" x14ac:dyDescent="0.25">
      <c r="M238" s="21">
        <v>2.5166114784235831</v>
      </c>
    </row>
    <row r="239" spans="13:13" x14ac:dyDescent="0.25">
      <c r="M239" s="21">
        <v>1.2583057392117916</v>
      </c>
    </row>
    <row r="240" spans="13:13" x14ac:dyDescent="0.25">
      <c r="M240" s="21">
        <v>2.5166114784235831</v>
      </c>
    </row>
    <row r="241" spans="13:13" x14ac:dyDescent="0.25">
      <c r="M241" s="21">
        <v>1.4142135623730951</v>
      </c>
    </row>
    <row r="242" spans="13:13" x14ac:dyDescent="0.25">
      <c r="M242" s="21">
        <v>0.9574271077563381</v>
      </c>
    </row>
    <row r="243" spans="13:13" x14ac:dyDescent="0.25">
      <c r="M243" s="21">
        <v>1.5</v>
      </c>
    </row>
    <row r="244" spans="13:13" x14ac:dyDescent="0.25">
      <c r="M244" s="21">
        <v>1.7320508075688772</v>
      </c>
    </row>
    <row r="245" spans="13:13" x14ac:dyDescent="0.25">
      <c r="M245" s="21">
        <v>1.8929694486000912</v>
      </c>
    </row>
    <row r="246" spans="13:13" x14ac:dyDescent="0.25">
      <c r="M246" s="21">
        <v>2.3804761428476167</v>
      </c>
    </row>
    <row r="247" spans="13:13" x14ac:dyDescent="0.25">
      <c r="M247" s="21">
        <v>2.8284271247461903</v>
      </c>
    </row>
    <row r="248" spans="13:13" x14ac:dyDescent="0.25">
      <c r="M248" s="21">
        <v>1.707825127659933</v>
      </c>
    </row>
    <row r="249" spans="13:13" x14ac:dyDescent="0.25">
      <c r="M249" s="21">
        <v>0.5</v>
      </c>
    </row>
    <row r="250" spans="13:13" x14ac:dyDescent="0.25">
      <c r="M250" s="21">
        <v>3.1091263510296048</v>
      </c>
    </row>
    <row r="251" spans="13:13" x14ac:dyDescent="0.25">
      <c r="M251" s="21">
        <v>2.2173557826083452</v>
      </c>
    </row>
    <row r="252" spans="13:13" x14ac:dyDescent="0.25">
      <c r="M252" s="21">
        <v>2.1602468994692869</v>
      </c>
    </row>
    <row r="253" spans="13:13" x14ac:dyDescent="0.25">
      <c r="M253" s="21">
        <v>1.5</v>
      </c>
    </row>
    <row r="254" spans="13:13" x14ac:dyDescent="0.25">
      <c r="M254" s="21">
        <v>0.9574271077563381</v>
      </c>
    </row>
    <row r="255" spans="13:13" x14ac:dyDescent="0.25">
      <c r="M255" s="21">
        <v>0.81649658092772603</v>
      </c>
    </row>
    <row r="256" spans="13:13" x14ac:dyDescent="0.25">
      <c r="M256" s="21">
        <v>1.1547005383792515</v>
      </c>
    </row>
    <row r="257" spans="13:13" x14ac:dyDescent="0.25">
      <c r="M257" s="21">
        <v>2.3804761428476167</v>
      </c>
    </row>
    <row r="258" spans="13:13" x14ac:dyDescent="0.25">
      <c r="M258" s="21">
        <v>2.9439202887759488</v>
      </c>
    </row>
    <row r="259" spans="13:13" x14ac:dyDescent="0.25">
      <c r="M259" s="21">
        <v>2.3629078131263039</v>
      </c>
    </row>
    <row r="260" spans="13:13" x14ac:dyDescent="0.25">
      <c r="M260" s="21">
        <v>2.0615528128088303</v>
      </c>
    </row>
    <row r="261" spans="13:13" x14ac:dyDescent="0.25">
      <c r="M261" s="21">
        <v>1.707825127659933</v>
      </c>
    </row>
    <row r="262" spans="13:13" x14ac:dyDescent="0.25">
      <c r="M262" s="21">
        <v>2.8284271247461903</v>
      </c>
    </row>
    <row r="263" spans="13:13" x14ac:dyDescent="0.25">
      <c r="M263" s="21">
        <v>1.707825127659933</v>
      </c>
    </row>
    <row r="264" spans="13:13" x14ac:dyDescent="0.25">
      <c r="M264" s="21">
        <v>1.8929694486000912</v>
      </c>
    </row>
    <row r="265" spans="13:13" x14ac:dyDescent="0.25">
      <c r="M265" s="21">
        <v>1.4142135623730951</v>
      </c>
    </row>
    <row r="266" spans="13:13" x14ac:dyDescent="0.25">
      <c r="M266" s="21">
        <v>1.8257418583505538</v>
      </c>
    </row>
    <row r="267" spans="13:13" x14ac:dyDescent="0.25">
      <c r="M267" s="21">
        <v>1.707825127659933</v>
      </c>
    </row>
    <row r="268" spans="13:13" x14ac:dyDescent="0.25">
      <c r="M268" s="21">
        <v>1.707825127659933</v>
      </c>
    </row>
    <row r="269" spans="13:13" x14ac:dyDescent="0.25">
      <c r="M269" s="21">
        <v>2</v>
      </c>
    </row>
    <row r="270" spans="13:13" x14ac:dyDescent="0.25">
      <c r="M270" s="21">
        <v>4.349329450233296</v>
      </c>
    </row>
    <row r="271" spans="13:13" x14ac:dyDescent="0.25">
      <c r="M271" s="21">
        <v>1.8929694486000912</v>
      </c>
    </row>
    <row r="272" spans="13:13" x14ac:dyDescent="0.25">
      <c r="M272" s="21">
        <v>1.5</v>
      </c>
    </row>
    <row r="273" spans="13:13" x14ac:dyDescent="0.25">
      <c r="M273" s="21">
        <v>1.2583057392117916</v>
      </c>
    </row>
    <row r="274" spans="13:13" x14ac:dyDescent="0.25">
      <c r="M274" s="21">
        <v>1.707825127659933</v>
      </c>
    </row>
    <row r="275" spans="13:13" x14ac:dyDescent="0.25">
      <c r="M275" s="21">
        <v>0.9574271077563381</v>
      </c>
    </row>
    <row r="276" spans="13:13" x14ac:dyDescent="0.25">
      <c r="M276" s="21">
        <v>1</v>
      </c>
    </row>
    <row r="277" spans="13:13" x14ac:dyDescent="0.25">
      <c r="M277" s="21">
        <v>2</v>
      </c>
    </row>
    <row r="278" spans="13:13" x14ac:dyDescent="0.25">
      <c r="M278" s="21">
        <v>0.9574271077563381</v>
      </c>
    </row>
    <row r="279" spans="13:13" x14ac:dyDescent="0.25">
      <c r="M279" s="21">
        <v>0.57735026918962573</v>
      </c>
    </row>
    <row r="280" spans="13:13" x14ac:dyDescent="0.25">
      <c r="M280" s="21">
        <v>1.2583057392117916</v>
      </c>
    </row>
    <row r="281" spans="13:13" x14ac:dyDescent="0.25">
      <c r="M281" s="21">
        <v>1</v>
      </c>
    </row>
    <row r="282" spans="13:13" x14ac:dyDescent="0.25">
      <c r="M282" s="21">
        <v>4.0414518843273806</v>
      </c>
    </row>
    <row r="283" spans="13:13" x14ac:dyDescent="0.25">
      <c r="M283" s="21">
        <v>1.7320508075688772</v>
      </c>
    </row>
    <row r="284" spans="13:13" x14ac:dyDescent="0.25">
      <c r="M284" s="21">
        <v>2.5</v>
      </c>
    </row>
    <row r="285" spans="13:13" x14ac:dyDescent="0.25">
      <c r="M285" s="21">
        <v>0.9574271077563381</v>
      </c>
    </row>
    <row r="286" spans="13:13" x14ac:dyDescent="0.25">
      <c r="M286" s="21">
        <v>1.2583057392117916</v>
      </c>
    </row>
    <row r="287" spans="13:13" x14ac:dyDescent="0.25">
      <c r="M287" s="21">
        <v>1.707825127659933</v>
      </c>
    </row>
    <row r="288" spans="13:13" x14ac:dyDescent="0.25">
      <c r="M288" s="21">
        <v>1.5</v>
      </c>
    </row>
    <row r="289" spans="13:13" x14ac:dyDescent="0.25">
      <c r="M289" s="21">
        <v>1.707825127659933</v>
      </c>
    </row>
    <row r="290" spans="13:13" x14ac:dyDescent="0.25">
      <c r="M290" s="21">
        <v>0.9574271077563381</v>
      </c>
    </row>
    <row r="291" spans="13:13" x14ac:dyDescent="0.25">
      <c r="M291" s="21">
        <v>1.707825127659933</v>
      </c>
    </row>
    <row r="292" spans="13:13" x14ac:dyDescent="0.25">
      <c r="M292" s="21">
        <v>1.7320508075688772</v>
      </c>
    </row>
    <row r="293" spans="13:13" x14ac:dyDescent="0.25">
      <c r="M293" s="21">
        <v>1.2909944487358056</v>
      </c>
    </row>
    <row r="294" spans="13:13" x14ac:dyDescent="0.25">
      <c r="M294" s="21">
        <v>2.70801280154532</v>
      </c>
    </row>
    <row r="295" spans="13:13" x14ac:dyDescent="0.25">
      <c r="M295" s="21">
        <v>2.5</v>
      </c>
    </row>
    <row r="296" spans="13:13" x14ac:dyDescent="0.25">
      <c r="M296" s="21">
        <v>1.5</v>
      </c>
    </row>
    <row r="297" spans="13:13" x14ac:dyDescent="0.25">
      <c r="M297" s="21">
        <v>1.7320508075688772</v>
      </c>
    </row>
    <row r="298" spans="13:13" x14ac:dyDescent="0.25">
      <c r="M298" s="21">
        <v>2.753785273643051</v>
      </c>
    </row>
    <row r="299" spans="13:13" x14ac:dyDescent="0.25">
      <c r="M299" s="21">
        <v>2.3804761428476167</v>
      </c>
    </row>
    <row r="300" spans="13:13" x14ac:dyDescent="0.25">
      <c r="M300" s="21">
        <v>0.9574271077563381</v>
      </c>
    </row>
    <row r="301" spans="13:13" x14ac:dyDescent="0.25">
      <c r="M301" s="21">
        <v>1.5</v>
      </c>
    </row>
    <row r="302" spans="13:13" x14ac:dyDescent="0.25">
      <c r="M302" s="21">
        <v>1.5</v>
      </c>
    </row>
    <row r="303" spans="13:13" x14ac:dyDescent="0.25">
      <c r="M303" s="21">
        <v>3.3040379335998349</v>
      </c>
    </row>
    <row r="304" spans="13:13" x14ac:dyDescent="0.25">
      <c r="M304" s="21">
        <v>1.707825127659933</v>
      </c>
    </row>
    <row r="305" spans="13:13" x14ac:dyDescent="0.25">
      <c r="M305" s="21">
        <v>1.4142135623730951</v>
      </c>
    </row>
    <row r="306" spans="13:13" x14ac:dyDescent="0.25">
      <c r="M306" s="21">
        <v>1.707825127659933</v>
      </c>
    </row>
    <row r="307" spans="13:13" x14ac:dyDescent="0.25">
      <c r="M307" s="21">
        <v>1.5</v>
      </c>
    </row>
    <row r="308" spans="13:13" x14ac:dyDescent="0.25">
      <c r="M308" s="21">
        <v>2.9439202887759488</v>
      </c>
    </row>
    <row r="309" spans="13:13" x14ac:dyDescent="0.25">
      <c r="M309" s="21">
        <v>0.9574271077563381</v>
      </c>
    </row>
    <row r="310" spans="13:13" x14ac:dyDescent="0.25">
      <c r="M310" s="21">
        <v>2.6299556396765835</v>
      </c>
    </row>
    <row r="311" spans="13:13" x14ac:dyDescent="0.25">
      <c r="M311" s="21">
        <v>2.0615528128088303</v>
      </c>
    </row>
    <row r="312" spans="13:13" x14ac:dyDescent="0.25">
      <c r="M312" s="21">
        <v>1.2909944487358056</v>
      </c>
    </row>
    <row r="313" spans="13:13" x14ac:dyDescent="0.25">
      <c r="M313" s="21">
        <v>2.5</v>
      </c>
    </row>
    <row r="314" spans="13:13" x14ac:dyDescent="0.25">
      <c r="M314" s="21">
        <v>1.4142135623730951</v>
      </c>
    </row>
    <row r="315" spans="13:13" x14ac:dyDescent="0.25">
      <c r="M315" s="21">
        <v>2.5166114784235831</v>
      </c>
    </row>
    <row r="316" spans="13:13" x14ac:dyDescent="0.25">
      <c r="M316" s="21">
        <v>1.7320508075688772</v>
      </c>
    </row>
    <row r="317" spans="13:13" x14ac:dyDescent="0.25">
      <c r="M317" s="21">
        <v>2.1602468994692869</v>
      </c>
    </row>
    <row r="318" spans="13:13" x14ac:dyDescent="0.25">
      <c r="M318" s="21">
        <v>2.0615528128088303</v>
      </c>
    </row>
    <row r="319" spans="13:13" x14ac:dyDescent="0.25">
      <c r="M319" s="21">
        <v>1.2583057392117916</v>
      </c>
    </row>
    <row r="320" spans="13:13" x14ac:dyDescent="0.25">
      <c r="M320" s="21">
        <v>1.2909944487358056</v>
      </c>
    </row>
    <row r="321" spans="13:13" x14ac:dyDescent="0.25">
      <c r="M321" s="21">
        <v>1.8257418583505538</v>
      </c>
    </row>
    <row r="322" spans="13:13" x14ac:dyDescent="0.25">
      <c r="M322" s="21">
        <v>2.6457513110645907</v>
      </c>
    </row>
    <row r="323" spans="13:13" x14ac:dyDescent="0.25">
      <c r="M323" s="21">
        <v>1</v>
      </c>
    </row>
    <row r="324" spans="13:13" x14ac:dyDescent="0.25">
      <c r="M324" s="21">
        <v>2.2173557826083452</v>
      </c>
    </row>
    <row r="325" spans="13:13" x14ac:dyDescent="0.25">
      <c r="M325" s="21">
        <v>1.5</v>
      </c>
    </row>
    <row r="326" spans="13:13" x14ac:dyDescent="0.25">
      <c r="M326" s="21">
        <v>2.2173557826083452</v>
      </c>
    </row>
    <row r="327" spans="13:13" x14ac:dyDescent="0.25">
      <c r="M327" s="21">
        <v>2.8722813232690143</v>
      </c>
    </row>
    <row r="328" spans="13:13" x14ac:dyDescent="0.25">
      <c r="M328" s="21">
        <v>2.5819888974716112</v>
      </c>
    </row>
    <row r="329" spans="13:13" x14ac:dyDescent="0.25">
      <c r="M329" s="21">
        <v>1.4142135623730951</v>
      </c>
    </row>
    <row r="330" spans="13:13" x14ac:dyDescent="0.25">
      <c r="M330" s="21">
        <v>0.5</v>
      </c>
    </row>
    <row r="331" spans="13:13" x14ac:dyDescent="0.25">
      <c r="M331" s="21">
        <v>1.2909944487358056</v>
      </c>
    </row>
    <row r="332" spans="13:13" x14ac:dyDescent="0.25">
      <c r="M332" s="21">
        <v>0.9574271077563381</v>
      </c>
    </row>
    <row r="333" spans="13:13" x14ac:dyDescent="0.25">
      <c r="M333" s="21">
        <v>3.415650255319866</v>
      </c>
    </row>
    <row r="334" spans="13:13" x14ac:dyDescent="0.25">
      <c r="M334" s="21">
        <v>2.753785273643051</v>
      </c>
    </row>
    <row r="335" spans="13:13" x14ac:dyDescent="0.25">
      <c r="M335" s="21">
        <v>0.9574271077563381</v>
      </c>
    </row>
    <row r="336" spans="13:13" x14ac:dyDescent="0.25">
      <c r="M336" s="21">
        <v>1.8257418583505538</v>
      </c>
    </row>
    <row r="337" spans="13:13" x14ac:dyDescent="0.25">
      <c r="M337" s="21">
        <v>1.2909944487358056</v>
      </c>
    </row>
    <row r="338" spans="13:13" x14ac:dyDescent="0.25">
      <c r="M338" s="21">
        <v>1.707825127659933</v>
      </c>
    </row>
    <row r="339" spans="13:13" x14ac:dyDescent="0.25">
      <c r="M339" s="21">
        <v>0.57735026918962573</v>
      </c>
    </row>
    <row r="340" spans="13:13" x14ac:dyDescent="0.25">
      <c r="M340" s="21">
        <v>2.3804761428476167</v>
      </c>
    </row>
    <row r="341" spans="13:13" x14ac:dyDescent="0.25">
      <c r="M341" s="21">
        <v>1.4142135623730951</v>
      </c>
    </row>
    <row r="342" spans="13:13" x14ac:dyDescent="0.25">
      <c r="M342" s="21">
        <v>1.2909944487358056</v>
      </c>
    </row>
    <row r="343" spans="13:13" x14ac:dyDescent="0.25">
      <c r="M343" s="21">
        <v>2.0615528128088303</v>
      </c>
    </row>
    <row r="344" spans="13:13" x14ac:dyDescent="0.25">
      <c r="M344" s="21">
        <v>1.5</v>
      </c>
    </row>
    <row r="345" spans="13:13" x14ac:dyDescent="0.25">
      <c r="M345" s="21">
        <v>2.2173557826083452</v>
      </c>
    </row>
    <row r="346" spans="13:13" x14ac:dyDescent="0.25">
      <c r="M346" s="21">
        <v>3.7749172176353749</v>
      </c>
    </row>
    <row r="347" spans="13:13" x14ac:dyDescent="0.25">
      <c r="M347" s="21">
        <v>2.6457513110645907</v>
      </c>
    </row>
    <row r="348" spans="13:13" x14ac:dyDescent="0.25">
      <c r="M348" s="21">
        <v>1.5</v>
      </c>
    </row>
    <row r="349" spans="13:13" x14ac:dyDescent="0.25">
      <c r="M349" s="21">
        <v>0.57735026918962573</v>
      </c>
    </row>
    <row r="350" spans="13:13" x14ac:dyDescent="0.25">
      <c r="M350" s="21">
        <v>3.1622776601683795</v>
      </c>
    </row>
    <row r="351" spans="13:13" x14ac:dyDescent="0.25">
      <c r="M351" s="21">
        <v>0.9574271077563381</v>
      </c>
    </row>
    <row r="352" spans="13:13" x14ac:dyDescent="0.25">
      <c r="M352" s="21">
        <v>2.753785273643051</v>
      </c>
    </row>
    <row r="353" spans="13:13" x14ac:dyDescent="0.25">
      <c r="M353" s="21">
        <v>1.8929694486000912</v>
      </c>
    </row>
    <row r="354" spans="13:13" x14ac:dyDescent="0.25">
      <c r="M354" s="21">
        <v>1.8257418583505538</v>
      </c>
    </row>
    <row r="355" spans="13:13" x14ac:dyDescent="0.25">
      <c r="M355" s="21">
        <v>1.2583057392117916</v>
      </c>
    </row>
    <row r="356" spans="13:13" x14ac:dyDescent="0.25">
      <c r="M356" s="21">
        <v>0.57735026918962573</v>
      </c>
    </row>
    <row r="357" spans="13:13" x14ac:dyDescent="0.25">
      <c r="M357" s="21">
        <v>1.8929694486000912</v>
      </c>
    </row>
    <row r="358" spans="13:13" x14ac:dyDescent="0.25">
      <c r="M358" s="21">
        <v>2.0615528128088303</v>
      </c>
    </row>
    <row r="359" spans="13:13" x14ac:dyDescent="0.25">
      <c r="M359" s="21">
        <v>2</v>
      </c>
    </row>
    <row r="360" spans="13:13" x14ac:dyDescent="0.25">
      <c r="M360" s="21">
        <v>2.4494897427831779</v>
      </c>
    </row>
    <row r="361" spans="13:13" x14ac:dyDescent="0.25">
      <c r="M361" s="21">
        <v>1.5</v>
      </c>
    </row>
    <row r="362" spans="13:13" x14ac:dyDescent="0.25">
      <c r="M362" s="21">
        <v>2</v>
      </c>
    </row>
    <row r="363" spans="13:13" x14ac:dyDescent="0.25">
      <c r="M363" s="21">
        <v>1.9148542155126762</v>
      </c>
    </row>
    <row r="364" spans="13:13" x14ac:dyDescent="0.25">
      <c r="M364" s="21">
        <v>0.9574271077563381</v>
      </c>
    </row>
    <row r="365" spans="13:13" x14ac:dyDescent="0.25">
      <c r="M365" s="21">
        <v>1.2909944487358056</v>
      </c>
    </row>
    <row r="366" spans="13:13" x14ac:dyDescent="0.25">
      <c r="M366" s="21">
        <v>0.9574271077563381</v>
      </c>
    </row>
    <row r="367" spans="13:13" x14ac:dyDescent="0.25">
      <c r="M367" s="21">
        <v>0.81649658092772603</v>
      </c>
    </row>
    <row r="368" spans="13:13" x14ac:dyDescent="0.25">
      <c r="M368" s="21">
        <v>1.2583057392117916</v>
      </c>
    </row>
    <row r="369" spans="13:13" x14ac:dyDescent="0.25">
      <c r="M369" s="21">
        <v>2.0615528128088303</v>
      </c>
    </row>
    <row r="370" spans="13:13" x14ac:dyDescent="0.25">
      <c r="M370" s="21">
        <v>2.5166114784235831</v>
      </c>
    </row>
    <row r="371" spans="13:13" x14ac:dyDescent="0.25">
      <c r="M371" s="21">
        <v>2.0816659994661326</v>
      </c>
    </row>
    <row r="372" spans="13:13" x14ac:dyDescent="0.25">
      <c r="M372" s="21">
        <v>1.4142135623730951</v>
      </c>
    </row>
    <row r="373" spans="13:13" x14ac:dyDescent="0.25">
      <c r="M373" s="21">
        <v>1.8257418583505538</v>
      </c>
    </row>
    <row r="374" spans="13:13" x14ac:dyDescent="0.25">
      <c r="M374" s="21">
        <v>1.9148542155126762</v>
      </c>
    </row>
    <row r="375" spans="13:13" x14ac:dyDescent="0.25">
      <c r="M375" s="21">
        <v>1</v>
      </c>
    </row>
    <row r="376" spans="13:13" x14ac:dyDescent="0.25">
      <c r="M376" s="21">
        <v>2.0615528128088303</v>
      </c>
    </row>
    <row r="377" spans="13:13" x14ac:dyDescent="0.25">
      <c r="M377" s="21">
        <v>1.2909944487358056</v>
      </c>
    </row>
    <row r="378" spans="13:13" x14ac:dyDescent="0.25">
      <c r="M378" s="21">
        <v>1.8257418583505538</v>
      </c>
    </row>
    <row r="379" spans="13:13" x14ac:dyDescent="0.25">
      <c r="M379" s="21">
        <v>1.8929694486000912</v>
      </c>
    </row>
    <row r="380" spans="13:13" x14ac:dyDescent="0.25">
      <c r="M380" s="21">
        <v>1.4142135623730951</v>
      </c>
    </row>
    <row r="381" spans="13:13" x14ac:dyDescent="0.25">
      <c r="M381" s="21">
        <v>1.2909944487358056</v>
      </c>
    </row>
    <row r="382" spans="13:13" x14ac:dyDescent="0.25">
      <c r="M382" s="21">
        <v>1.4142135623730951</v>
      </c>
    </row>
    <row r="383" spans="13:13" x14ac:dyDescent="0.25">
      <c r="M383" s="21">
        <v>0.9574271077563381</v>
      </c>
    </row>
    <row r="384" spans="13:13" x14ac:dyDescent="0.25">
      <c r="M384" s="21">
        <v>1.9148542155126762</v>
      </c>
    </row>
    <row r="385" spans="13:13" x14ac:dyDescent="0.25">
      <c r="M385" s="21">
        <v>2.5166114784235831</v>
      </c>
    </row>
    <row r="386" spans="13:13" x14ac:dyDescent="0.25">
      <c r="M386" s="21">
        <v>0.57735026918962573</v>
      </c>
    </row>
    <row r="387" spans="13:13" x14ac:dyDescent="0.25">
      <c r="M387" s="21">
        <v>1.707825127659933</v>
      </c>
    </row>
    <row r="388" spans="13:13" x14ac:dyDescent="0.25">
      <c r="M388" s="21">
        <v>1.707825127659933</v>
      </c>
    </row>
    <row r="389" spans="13:13" x14ac:dyDescent="0.25">
      <c r="M389" s="21">
        <v>1.4142135623730951</v>
      </c>
    </row>
    <row r="390" spans="13:13" x14ac:dyDescent="0.25">
      <c r="M390" s="21">
        <v>2.753785273643051</v>
      </c>
    </row>
    <row r="391" spans="13:13" x14ac:dyDescent="0.25">
      <c r="M391" s="21">
        <v>1.6329931618554521</v>
      </c>
    </row>
    <row r="392" spans="13:13" x14ac:dyDescent="0.25">
      <c r="M392" s="21">
        <v>1.2909944487358056</v>
      </c>
    </row>
    <row r="393" spans="13:13" x14ac:dyDescent="0.25">
      <c r="M393" s="21">
        <v>2.5</v>
      </c>
    </row>
    <row r="394" spans="13:13" x14ac:dyDescent="0.25">
      <c r="M394" s="21">
        <v>1.5</v>
      </c>
    </row>
    <row r="395" spans="13:13" x14ac:dyDescent="0.25">
      <c r="M395" s="21">
        <v>0.9574271077563381</v>
      </c>
    </row>
    <row r="396" spans="13:13" x14ac:dyDescent="0.25">
      <c r="M396" s="21">
        <v>2.2173557826083452</v>
      </c>
    </row>
    <row r="397" spans="13:13" x14ac:dyDescent="0.25">
      <c r="M397" s="21">
        <v>1.6329931618554521</v>
      </c>
    </row>
    <row r="398" spans="13:13" x14ac:dyDescent="0.25">
      <c r="M398" s="21">
        <v>2.0615528128088303</v>
      </c>
    </row>
    <row r="399" spans="13:13" x14ac:dyDescent="0.25">
      <c r="M399" s="21">
        <v>2.9860788111948193</v>
      </c>
    </row>
    <row r="400" spans="13:13" x14ac:dyDescent="0.25">
      <c r="M400" s="21">
        <v>2.6457513110645907</v>
      </c>
    </row>
    <row r="401" spans="13:13" x14ac:dyDescent="0.25">
      <c r="M401" s="21">
        <v>1.2909944487358056</v>
      </c>
    </row>
    <row r="402" spans="13:13" x14ac:dyDescent="0.25">
      <c r="M402" s="21">
        <v>2.70801280154532</v>
      </c>
    </row>
    <row r="403" spans="13:13" x14ac:dyDescent="0.25">
      <c r="M403" s="21">
        <v>2.5166114784235831</v>
      </c>
    </row>
    <row r="404" spans="13:13" x14ac:dyDescent="0.25">
      <c r="M404" s="21">
        <v>1.707825127659933</v>
      </c>
    </row>
    <row r="405" spans="13:13" x14ac:dyDescent="0.25">
      <c r="M405" s="21">
        <v>2.3629078131263039</v>
      </c>
    </row>
    <row r="406" spans="13:13" x14ac:dyDescent="0.25">
      <c r="M406" s="21">
        <v>2.0615528128088303</v>
      </c>
    </row>
    <row r="407" spans="13:13" x14ac:dyDescent="0.25">
      <c r="M407" s="21">
        <v>3.415650255319866</v>
      </c>
    </row>
    <row r="408" spans="13:13" x14ac:dyDescent="0.25">
      <c r="M408" s="21">
        <v>0.9574271077563381</v>
      </c>
    </row>
    <row r="409" spans="13:13" x14ac:dyDescent="0.25">
      <c r="M409" s="21">
        <v>1.707825127659933</v>
      </c>
    </row>
    <row r="410" spans="13:13" x14ac:dyDescent="0.25">
      <c r="M410" s="21">
        <v>1.2583057392117916</v>
      </c>
    </row>
    <row r="411" spans="13:13" x14ac:dyDescent="0.25">
      <c r="M411" s="21">
        <v>1.2909944487358056</v>
      </c>
    </row>
    <row r="412" spans="13:13" x14ac:dyDescent="0.25">
      <c r="M412" s="21">
        <v>1.4142135623730951</v>
      </c>
    </row>
    <row r="413" spans="13:13" x14ac:dyDescent="0.25">
      <c r="M413" s="21">
        <v>2.0615528128088303</v>
      </c>
    </row>
    <row r="414" spans="13:13" x14ac:dyDescent="0.25">
      <c r="M414" s="21">
        <v>2.2173557826083452</v>
      </c>
    </row>
    <row r="415" spans="13:13" x14ac:dyDescent="0.25">
      <c r="M415" s="21">
        <v>0.81649658092772603</v>
      </c>
    </row>
    <row r="416" spans="13:13" x14ac:dyDescent="0.25">
      <c r="M416" s="21">
        <v>1.1547005383792515</v>
      </c>
    </row>
    <row r="417" spans="13:13" x14ac:dyDescent="0.25">
      <c r="M417" s="21">
        <v>1.9148542155126762</v>
      </c>
    </row>
    <row r="418" spans="13:13" x14ac:dyDescent="0.25">
      <c r="M418" s="21">
        <v>1.4142135623730951</v>
      </c>
    </row>
    <row r="419" spans="13:13" x14ac:dyDescent="0.25">
      <c r="M419" s="21">
        <v>2.5</v>
      </c>
    </row>
    <row r="420" spans="13:13" x14ac:dyDescent="0.25">
      <c r="M420" s="21">
        <v>1.2909944487358056</v>
      </c>
    </row>
    <row r="421" spans="13:13" x14ac:dyDescent="0.25">
      <c r="M421" s="21">
        <v>3.5590260840104371</v>
      </c>
    </row>
    <row r="422" spans="13:13" x14ac:dyDescent="0.25">
      <c r="M422" s="21">
        <v>1.1547005383792515</v>
      </c>
    </row>
    <row r="423" spans="13:13" x14ac:dyDescent="0.25">
      <c r="M423" s="21">
        <v>2.9439202887759488</v>
      </c>
    </row>
    <row r="424" spans="13:13" x14ac:dyDescent="0.25">
      <c r="M424" s="21">
        <v>1</v>
      </c>
    </row>
    <row r="425" spans="13:13" x14ac:dyDescent="0.25">
      <c r="M425" s="21">
        <v>0.9574271077563381</v>
      </c>
    </row>
    <row r="426" spans="13:13" x14ac:dyDescent="0.25">
      <c r="M426" s="21">
        <v>2.9439202887759488</v>
      </c>
    </row>
    <row r="427" spans="13:13" x14ac:dyDescent="0.25">
      <c r="M427" s="21">
        <v>2.6457513110645907</v>
      </c>
    </row>
    <row r="428" spans="13:13" x14ac:dyDescent="0.25">
      <c r="M428" s="21">
        <v>1.4142135623730951</v>
      </c>
    </row>
    <row r="429" spans="13:13" x14ac:dyDescent="0.25">
      <c r="M429" s="21">
        <v>0.9574271077563381</v>
      </c>
    </row>
    <row r="430" spans="13:13" x14ac:dyDescent="0.25">
      <c r="M430" s="21">
        <v>1.707825127659933</v>
      </c>
    </row>
    <row r="431" spans="13:13" x14ac:dyDescent="0.25">
      <c r="M431" s="21">
        <v>1.2583057392117916</v>
      </c>
    </row>
    <row r="432" spans="13:13" x14ac:dyDescent="0.25">
      <c r="M432" s="21">
        <v>2.0615528128088303</v>
      </c>
    </row>
    <row r="433" spans="13:13" x14ac:dyDescent="0.25">
      <c r="M433" s="21">
        <v>1.6329931618554521</v>
      </c>
    </row>
    <row r="434" spans="13:13" x14ac:dyDescent="0.25">
      <c r="M434" s="21">
        <v>1.4142135623730951</v>
      </c>
    </row>
    <row r="435" spans="13:13" x14ac:dyDescent="0.25">
      <c r="M435" s="21">
        <v>1.5</v>
      </c>
    </row>
    <row r="436" spans="13:13" x14ac:dyDescent="0.25">
      <c r="M436" s="21">
        <v>0.5</v>
      </c>
    </row>
    <row r="437" spans="13:13" x14ac:dyDescent="0.25">
      <c r="M437" s="21">
        <v>2</v>
      </c>
    </row>
    <row r="438" spans="13:13" x14ac:dyDescent="0.25">
      <c r="M438" s="21">
        <v>1.1547005383792515</v>
      </c>
    </row>
    <row r="439" spans="13:13" x14ac:dyDescent="0.25">
      <c r="M439" s="21">
        <v>1.2583057392117916</v>
      </c>
    </row>
    <row r="440" spans="13:13" x14ac:dyDescent="0.25">
      <c r="M440" s="21">
        <v>1</v>
      </c>
    </row>
    <row r="441" spans="13:13" x14ac:dyDescent="0.25">
      <c r="M441" s="21">
        <v>3.0956959368344519</v>
      </c>
    </row>
    <row r="442" spans="13:13" x14ac:dyDescent="0.25">
      <c r="M442" s="21">
        <v>2.6299556396765835</v>
      </c>
    </row>
    <row r="443" spans="13:13" x14ac:dyDescent="0.25">
      <c r="M443" s="21">
        <v>1.2909944487358056</v>
      </c>
    </row>
    <row r="444" spans="13:13" x14ac:dyDescent="0.25">
      <c r="M444" s="21">
        <v>0.9574271077563381</v>
      </c>
    </row>
    <row r="445" spans="13:13" x14ac:dyDescent="0.25">
      <c r="M445" s="21">
        <v>1.5</v>
      </c>
    </row>
    <row r="446" spans="13:13" x14ac:dyDescent="0.25">
      <c r="M446" s="21">
        <v>1.7320508075688772</v>
      </c>
    </row>
    <row r="447" spans="13:13" x14ac:dyDescent="0.25">
      <c r="M447" s="21">
        <v>1.8257418583505538</v>
      </c>
    </row>
    <row r="448" spans="13:13" x14ac:dyDescent="0.25">
      <c r="M448" s="21">
        <v>2.8722813232690143</v>
      </c>
    </row>
    <row r="449" spans="13:13" x14ac:dyDescent="0.25">
      <c r="M449" s="21">
        <v>0.9574271077563381</v>
      </c>
    </row>
    <row r="450" spans="13:13" x14ac:dyDescent="0.25">
      <c r="M450" s="21">
        <v>1.2909944487358056</v>
      </c>
    </row>
    <row r="451" spans="13:13" x14ac:dyDescent="0.25">
      <c r="M451" s="21">
        <v>2.3804761428476167</v>
      </c>
    </row>
    <row r="452" spans="13:13" x14ac:dyDescent="0.25">
      <c r="M452" s="21">
        <v>2.5</v>
      </c>
    </row>
    <row r="453" spans="13:13" x14ac:dyDescent="0.25">
      <c r="M453" s="21">
        <v>0.57735026918962573</v>
      </c>
    </row>
    <row r="454" spans="13:13" x14ac:dyDescent="0.25">
      <c r="M454" s="21">
        <v>1.7320508075688772</v>
      </c>
    </row>
    <row r="455" spans="13:13" x14ac:dyDescent="0.25">
      <c r="M455" s="21">
        <v>2.2173557826083452</v>
      </c>
    </row>
    <row r="456" spans="13:13" x14ac:dyDescent="0.25">
      <c r="M456" s="21">
        <v>0.9574271077563381</v>
      </c>
    </row>
    <row r="457" spans="13:13" x14ac:dyDescent="0.25">
      <c r="M457" s="21">
        <v>1.5</v>
      </c>
    </row>
    <row r="458" spans="13:13" x14ac:dyDescent="0.25">
      <c r="M458" s="21">
        <v>0.5</v>
      </c>
    </row>
    <row r="459" spans="13:13" x14ac:dyDescent="0.25">
      <c r="M459" s="21">
        <v>1.1547005383792515</v>
      </c>
    </row>
    <row r="460" spans="13:13" x14ac:dyDescent="0.25">
      <c r="M460" s="21">
        <v>2.2173557826083452</v>
      </c>
    </row>
    <row r="461" spans="13:13" x14ac:dyDescent="0.25">
      <c r="M461" s="21">
        <v>1.707825127659933</v>
      </c>
    </row>
    <row r="462" spans="13:13" x14ac:dyDescent="0.25">
      <c r="M462" s="21">
        <v>2.0615528128088303</v>
      </c>
    </row>
    <row r="463" spans="13:13" x14ac:dyDescent="0.25">
      <c r="M463" s="21">
        <v>1.707825127659933</v>
      </c>
    </row>
    <row r="464" spans="13:13" x14ac:dyDescent="0.25">
      <c r="M464" s="21">
        <v>2.3804761428476167</v>
      </c>
    </row>
    <row r="465" spans="13:13" x14ac:dyDescent="0.25">
      <c r="M465" s="21">
        <v>2.6457513110645907</v>
      </c>
    </row>
    <row r="466" spans="13:13" x14ac:dyDescent="0.25">
      <c r="M466" s="21">
        <v>1.9148542155126762</v>
      </c>
    </row>
    <row r="467" spans="13:13" x14ac:dyDescent="0.25">
      <c r="M467" s="21">
        <v>1.4142135623730951</v>
      </c>
    </row>
    <row r="468" spans="13:13" x14ac:dyDescent="0.25">
      <c r="M468" s="21">
        <v>0.9574271077563381</v>
      </c>
    </row>
    <row r="469" spans="13:13" x14ac:dyDescent="0.25">
      <c r="M469" s="21">
        <v>1.8257418583505538</v>
      </c>
    </row>
    <row r="470" spans="13:13" x14ac:dyDescent="0.25">
      <c r="M470" s="21">
        <v>1.2583057392117916</v>
      </c>
    </row>
    <row r="471" spans="13:13" x14ac:dyDescent="0.25">
      <c r="M471" s="21">
        <v>1.707825127659933</v>
      </c>
    </row>
    <row r="472" spans="13:13" x14ac:dyDescent="0.25">
      <c r="M472" s="21">
        <v>1.8929694486000912</v>
      </c>
    </row>
    <row r="473" spans="13:13" x14ac:dyDescent="0.25">
      <c r="M473" s="21">
        <v>1.2909944487358056</v>
      </c>
    </row>
    <row r="474" spans="13:13" x14ac:dyDescent="0.25">
      <c r="M474" s="21">
        <v>2.1602468994692869</v>
      </c>
    </row>
    <row r="475" spans="13:13" x14ac:dyDescent="0.25">
      <c r="M475" s="21">
        <v>1.707825127659933</v>
      </c>
    </row>
    <row r="476" spans="13:13" x14ac:dyDescent="0.25">
      <c r="M476" s="21">
        <v>3.4641016151377544</v>
      </c>
    </row>
    <row r="477" spans="13:13" x14ac:dyDescent="0.25">
      <c r="M477" s="21">
        <v>1.2583057392117916</v>
      </c>
    </row>
    <row r="478" spans="13:13" x14ac:dyDescent="0.25">
      <c r="M478" s="21">
        <v>1.8257418583505538</v>
      </c>
    </row>
    <row r="479" spans="13:13" x14ac:dyDescent="0.25">
      <c r="M479" s="21">
        <v>2.5</v>
      </c>
    </row>
    <row r="480" spans="13:13" x14ac:dyDescent="0.25">
      <c r="M480" s="21">
        <v>1.4142135623730951</v>
      </c>
    </row>
    <row r="481" spans="13:13" x14ac:dyDescent="0.25">
      <c r="M481" s="21">
        <v>2.0816659994661326</v>
      </c>
    </row>
    <row r="482" spans="13:13" x14ac:dyDescent="0.25">
      <c r="M482" s="21">
        <v>1.707825127659933</v>
      </c>
    </row>
    <row r="483" spans="13:13" x14ac:dyDescent="0.25">
      <c r="M483" s="21">
        <v>0.81649658092772603</v>
      </c>
    </row>
    <row r="484" spans="13:13" x14ac:dyDescent="0.25">
      <c r="M484" s="21">
        <v>1.8257418583505538</v>
      </c>
    </row>
    <row r="485" spans="13:13" x14ac:dyDescent="0.25">
      <c r="M485" s="21">
        <v>1</v>
      </c>
    </row>
    <row r="486" spans="13:13" x14ac:dyDescent="0.25">
      <c r="M486" s="21">
        <v>1.4142135623730951</v>
      </c>
    </row>
    <row r="487" spans="13:13" x14ac:dyDescent="0.25">
      <c r="M487" s="21">
        <v>1.6329931618554521</v>
      </c>
    </row>
    <row r="488" spans="13:13" x14ac:dyDescent="0.25">
      <c r="M488" s="21">
        <v>1.707825127659933</v>
      </c>
    </row>
    <row r="489" spans="13:13" x14ac:dyDescent="0.25">
      <c r="M489" s="21">
        <v>1.8929694486000912</v>
      </c>
    </row>
    <row r="490" spans="13:13" x14ac:dyDescent="0.25">
      <c r="M490" s="21">
        <v>1.8929694486000912</v>
      </c>
    </row>
    <row r="491" spans="13:13" x14ac:dyDescent="0.25">
      <c r="M491" s="21">
        <v>0.9574271077563381</v>
      </c>
    </row>
    <row r="492" spans="13:13" x14ac:dyDescent="0.25">
      <c r="M492" s="21">
        <v>2.6457513110645907</v>
      </c>
    </row>
    <row r="493" spans="13:13" x14ac:dyDescent="0.25">
      <c r="M493" s="21">
        <v>2.2173557826083452</v>
      </c>
    </row>
    <row r="494" spans="13:13" x14ac:dyDescent="0.25">
      <c r="M494" s="21">
        <v>1.2909944487358056</v>
      </c>
    </row>
    <row r="495" spans="13:13" x14ac:dyDescent="0.25">
      <c r="M495" s="21">
        <v>1.6329931618554521</v>
      </c>
    </row>
    <row r="496" spans="13:13" x14ac:dyDescent="0.25">
      <c r="M496" s="21">
        <v>1</v>
      </c>
    </row>
    <row r="497" spans="13:13" x14ac:dyDescent="0.25">
      <c r="M497" s="21">
        <v>2.2173557826083452</v>
      </c>
    </row>
    <row r="498" spans="13:13" x14ac:dyDescent="0.25">
      <c r="M498" s="21">
        <v>1.4142135623730951</v>
      </c>
    </row>
    <row r="499" spans="13:13" x14ac:dyDescent="0.25">
      <c r="M499" s="21">
        <v>2.8284271247461903</v>
      </c>
    </row>
    <row r="500" spans="13:13" x14ac:dyDescent="0.25">
      <c r="M500" s="21">
        <v>1.5</v>
      </c>
    </row>
    <row r="501" spans="13:13" x14ac:dyDescent="0.25">
      <c r="M501" s="21">
        <v>1.6329931618554521</v>
      </c>
    </row>
    <row r="502" spans="13:13" x14ac:dyDescent="0.25">
      <c r="M502" s="21">
        <v>2.3804761428476167</v>
      </c>
    </row>
    <row r="503" spans="13:13" x14ac:dyDescent="0.25">
      <c r="M503" s="21">
        <v>1.2909944487358056</v>
      </c>
    </row>
    <row r="504" spans="13:13" x14ac:dyDescent="0.25">
      <c r="M504" s="21">
        <v>2.1602468994692869</v>
      </c>
    </row>
    <row r="505" spans="13:13" x14ac:dyDescent="0.25">
      <c r="M505" s="21">
        <v>2.8722813232690143</v>
      </c>
    </row>
    <row r="506" spans="13:13" x14ac:dyDescent="0.25">
      <c r="M506" s="21">
        <v>2.4494897427831779</v>
      </c>
    </row>
    <row r="507" spans="13:13" x14ac:dyDescent="0.25">
      <c r="M507" s="21">
        <v>0.57735026918962573</v>
      </c>
    </row>
    <row r="508" spans="13:13" x14ac:dyDescent="0.25">
      <c r="M508" s="21">
        <v>1.2909944487358056</v>
      </c>
    </row>
    <row r="509" spans="13:13" x14ac:dyDescent="0.25">
      <c r="M509" s="21">
        <v>3.1622776601683795</v>
      </c>
    </row>
    <row r="510" spans="13:13" x14ac:dyDescent="0.25">
      <c r="M510" s="21">
        <v>0.81649658092772603</v>
      </c>
    </row>
    <row r="511" spans="13:13" x14ac:dyDescent="0.25">
      <c r="M511" s="21">
        <v>1.1547005383792515</v>
      </c>
    </row>
    <row r="512" spans="13:13" x14ac:dyDescent="0.25">
      <c r="M512" s="21">
        <v>1.2909944487358056</v>
      </c>
    </row>
    <row r="513" spans="13:13" x14ac:dyDescent="0.25">
      <c r="M513" s="21">
        <v>1.7320508075688772</v>
      </c>
    </row>
    <row r="514" spans="13:13" x14ac:dyDescent="0.25">
      <c r="M514" s="21">
        <v>2.0615528128088303</v>
      </c>
    </row>
    <row r="515" spans="13:13" x14ac:dyDescent="0.25">
      <c r="M515" s="21">
        <v>1.2909944487358056</v>
      </c>
    </row>
    <row r="516" spans="13:13" x14ac:dyDescent="0.25">
      <c r="M516" s="21">
        <v>0.81649658092772603</v>
      </c>
    </row>
    <row r="517" spans="13:13" x14ac:dyDescent="0.25">
      <c r="M517" s="21">
        <v>2.5819888974716112</v>
      </c>
    </row>
    <row r="518" spans="13:13" x14ac:dyDescent="0.25">
      <c r="M518" s="21">
        <v>1.4142135623730951</v>
      </c>
    </row>
    <row r="519" spans="13:13" x14ac:dyDescent="0.25">
      <c r="M519" s="21">
        <v>4.5</v>
      </c>
    </row>
    <row r="520" spans="13:13" x14ac:dyDescent="0.25">
      <c r="M520" s="21">
        <v>0.9574271077563381</v>
      </c>
    </row>
    <row r="521" spans="13:13" x14ac:dyDescent="0.25">
      <c r="M521" s="21">
        <v>3.1622776601683795</v>
      </c>
    </row>
    <row r="522" spans="13:13" x14ac:dyDescent="0.25">
      <c r="M522" s="21">
        <v>2.6457513110645907</v>
      </c>
    </row>
    <row r="523" spans="13:13" x14ac:dyDescent="0.25">
      <c r="M523" s="21">
        <v>2.6299556396765835</v>
      </c>
    </row>
    <row r="524" spans="13:13" x14ac:dyDescent="0.25">
      <c r="M524" s="21">
        <v>1.707825127659933</v>
      </c>
    </row>
    <row r="525" spans="13:13" x14ac:dyDescent="0.25">
      <c r="M525" s="21">
        <v>3.3166247903553998</v>
      </c>
    </row>
    <row r="526" spans="13:13" x14ac:dyDescent="0.25">
      <c r="M526" s="21">
        <v>2.2173557826083452</v>
      </c>
    </row>
    <row r="527" spans="13:13" x14ac:dyDescent="0.25">
      <c r="M527" s="21">
        <v>2.1602468994692869</v>
      </c>
    </row>
    <row r="528" spans="13:13" x14ac:dyDescent="0.25">
      <c r="M528" s="21">
        <v>1.5</v>
      </c>
    </row>
    <row r="529" spans="13:13" x14ac:dyDescent="0.25">
      <c r="M529" s="21">
        <v>2.5819888974716112</v>
      </c>
    </row>
    <row r="530" spans="13:13" x14ac:dyDescent="0.25">
      <c r="M530" s="21">
        <v>0.9574271077563381</v>
      </c>
    </row>
    <row r="531" spans="13:13" x14ac:dyDescent="0.25">
      <c r="M531" s="21">
        <v>1.2909944487358056</v>
      </c>
    </row>
    <row r="532" spans="13:13" x14ac:dyDescent="0.25">
      <c r="M532" s="21">
        <v>1.8929694486000912</v>
      </c>
    </row>
    <row r="533" spans="13:13" x14ac:dyDescent="0.25">
      <c r="M533" s="21">
        <v>1.5</v>
      </c>
    </row>
    <row r="534" spans="13:13" x14ac:dyDescent="0.25">
      <c r="M534" s="21">
        <v>2.5819888974716112</v>
      </c>
    </row>
    <row r="535" spans="13:13" x14ac:dyDescent="0.25">
      <c r="M535" s="21">
        <v>0.57735026918962573</v>
      </c>
    </row>
    <row r="536" spans="13:13" x14ac:dyDescent="0.25">
      <c r="M536" s="21">
        <v>0.9574271077563381</v>
      </c>
    </row>
    <row r="537" spans="13:13" x14ac:dyDescent="0.25">
      <c r="M537" s="21">
        <v>0.9574271077563381</v>
      </c>
    </row>
    <row r="538" spans="13:13" x14ac:dyDescent="0.25">
      <c r="M538" s="21">
        <v>2.6457513110645907</v>
      </c>
    </row>
    <row r="539" spans="13:13" x14ac:dyDescent="0.25">
      <c r="M539" s="21">
        <v>1.4142135623730951</v>
      </c>
    </row>
    <row r="540" spans="13:13" x14ac:dyDescent="0.25">
      <c r="M540" s="21">
        <v>3.6968455021364721</v>
      </c>
    </row>
    <row r="541" spans="13:13" x14ac:dyDescent="0.25">
      <c r="M541" s="21">
        <v>1.4142135623730951</v>
      </c>
    </row>
    <row r="542" spans="13:13" x14ac:dyDescent="0.25">
      <c r="M542" s="21">
        <v>2.9439202887759488</v>
      </c>
    </row>
    <row r="543" spans="13:13" x14ac:dyDescent="0.25">
      <c r="M543" s="21">
        <v>0.9574271077563381</v>
      </c>
    </row>
    <row r="544" spans="13:13" x14ac:dyDescent="0.25">
      <c r="M544" s="21">
        <v>0.5</v>
      </c>
    </row>
    <row r="545" spans="13:13" x14ac:dyDescent="0.25">
      <c r="M545" s="21">
        <v>2.4494897427831779</v>
      </c>
    </row>
    <row r="546" spans="13:13" x14ac:dyDescent="0.25">
      <c r="M546" s="21">
        <v>1.707825127659933</v>
      </c>
    </row>
    <row r="547" spans="13:13" x14ac:dyDescent="0.25">
      <c r="M547" s="21">
        <v>1.7320508075688772</v>
      </c>
    </row>
    <row r="548" spans="13:13" x14ac:dyDescent="0.25">
      <c r="M548" s="21">
        <v>0.9574271077563381</v>
      </c>
    </row>
    <row r="549" spans="13:13" x14ac:dyDescent="0.25">
      <c r="M549" s="21">
        <v>2.0615528128088303</v>
      </c>
    </row>
    <row r="550" spans="13:13" x14ac:dyDescent="0.25">
      <c r="M550" s="21">
        <v>1.8929694486000912</v>
      </c>
    </row>
    <row r="551" spans="13:13" x14ac:dyDescent="0.25">
      <c r="M551" s="21">
        <v>1.6329931618554521</v>
      </c>
    </row>
    <row r="552" spans="13:13" x14ac:dyDescent="0.25">
      <c r="M552" s="21">
        <v>2.0615528128088303</v>
      </c>
    </row>
    <row r="553" spans="13:13" x14ac:dyDescent="0.25">
      <c r="M553" s="21">
        <v>2.6299556396765835</v>
      </c>
    </row>
    <row r="554" spans="13:13" x14ac:dyDescent="0.25">
      <c r="M554" s="21">
        <v>1.5</v>
      </c>
    </row>
    <row r="555" spans="13:13" x14ac:dyDescent="0.25">
      <c r="M555" s="21">
        <v>2.2173557826083452</v>
      </c>
    </row>
    <row r="556" spans="13:13" x14ac:dyDescent="0.25">
      <c r="M556" s="21">
        <v>1.4142135623730951</v>
      </c>
    </row>
    <row r="557" spans="13:13" x14ac:dyDescent="0.25">
      <c r="M557" s="21">
        <v>1.5</v>
      </c>
    </row>
    <row r="558" spans="13:13" x14ac:dyDescent="0.25">
      <c r="M558" s="21">
        <v>2.1602468994692869</v>
      </c>
    </row>
    <row r="559" spans="13:13" x14ac:dyDescent="0.25">
      <c r="M559" s="21">
        <v>2.1602468994692869</v>
      </c>
    </row>
    <row r="560" spans="13:13" x14ac:dyDescent="0.25">
      <c r="M560" s="21">
        <v>0.9574271077563381</v>
      </c>
    </row>
    <row r="561" spans="13:13" x14ac:dyDescent="0.25">
      <c r="M561" s="21">
        <v>2.6299556396765835</v>
      </c>
    </row>
    <row r="562" spans="13:13" x14ac:dyDescent="0.25">
      <c r="M562" s="21">
        <v>1</v>
      </c>
    </row>
    <row r="563" spans="13:13" x14ac:dyDescent="0.25">
      <c r="M563" s="21">
        <v>1.1547005383792515</v>
      </c>
    </row>
    <row r="564" spans="13:13" x14ac:dyDescent="0.25">
      <c r="M564" s="21">
        <v>1.4142135623730951</v>
      </c>
    </row>
    <row r="565" spans="13:13" x14ac:dyDescent="0.25">
      <c r="M565" s="21">
        <v>2.1602468994692869</v>
      </c>
    </row>
    <row r="566" spans="13:13" x14ac:dyDescent="0.25">
      <c r="M566" s="21">
        <v>1.2909944487358056</v>
      </c>
    </row>
    <row r="567" spans="13:13" x14ac:dyDescent="0.25">
      <c r="M567" s="21">
        <v>1.2909944487358056</v>
      </c>
    </row>
    <row r="568" spans="13:13" x14ac:dyDescent="0.25">
      <c r="M568" s="21">
        <v>1.707825127659933</v>
      </c>
    </row>
    <row r="569" spans="13:13" x14ac:dyDescent="0.25">
      <c r="M569" s="21">
        <v>1.7320508075688772</v>
      </c>
    </row>
    <row r="570" spans="13:13" x14ac:dyDescent="0.25">
      <c r="M570" s="21">
        <v>2.0615528128088303</v>
      </c>
    </row>
    <row r="571" spans="13:13" x14ac:dyDescent="0.25">
      <c r="M571" s="21">
        <v>0.57735026918962573</v>
      </c>
    </row>
    <row r="572" spans="13:13" x14ac:dyDescent="0.25">
      <c r="M572" s="21">
        <v>1.5</v>
      </c>
    </row>
    <row r="573" spans="13:13" x14ac:dyDescent="0.25">
      <c r="M573" s="21">
        <v>2.5819888974716112</v>
      </c>
    </row>
    <row r="574" spans="13:13" x14ac:dyDescent="0.25">
      <c r="M574" s="21">
        <v>3.5</v>
      </c>
    </row>
    <row r="575" spans="13:13" x14ac:dyDescent="0.25">
      <c r="M575" s="21">
        <v>2.2173557826083452</v>
      </c>
    </row>
    <row r="576" spans="13:13" x14ac:dyDescent="0.25">
      <c r="M576" s="21">
        <v>1</v>
      </c>
    </row>
    <row r="577" spans="13:13" x14ac:dyDescent="0.25">
      <c r="M577" s="21">
        <v>1.5</v>
      </c>
    </row>
    <row r="578" spans="13:13" x14ac:dyDescent="0.25">
      <c r="M578" s="21">
        <v>1.8929694486000912</v>
      </c>
    </row>
    <row r="579" spans="13:13" x14ac:dyDescent="0.25">
      <c r="M579" s="21">
        <v>1.1547005383792515</v>
      </c>
    </row>
    <row r="580" spans="13:13" x14ac:dyDescent="0.25">
      <c r="M580" s="21">
        <v>2.753785273643051</v>
      </c>
    </row>
    <row r="581" spans="13:13" x14ac:dyDescent="0.25">
      <c r="M581" s="21">
        <v>2.0816659994661326</v>
      </c>
    </row>
    <row r="582" spans="13:13" x14ac:dyDescent="0.25">
      <c r="M582" s="21">
        <v>0.81649658092772603</v>
      </c>
    </row>
    <row r="583" spans="13:13" x14ac:dyDescent="0.25">
      <c r="M583" s="21">
        <v>1.4142135623730951</v>
      </c>
    </row>
    <row r="584" spans="13:13" x14ac:dyDescent="0.25">
      <c r="M584" s="21">
        <v>1.8257418583505538</v>
      </c>
    </row>
    <row r="585" spans="13:13" x14ac:dyDescent="0.25">
      <c r="M585" s="21">
        <v>1.6329931618554521</v>
      </c>
    </row>
    <row r="586" spans="13:13" x14ac:dyDescent="0.25">
      <c r="M586" s="21">
        <v>1.707825127659933</v>
      </c>
    </row>
    <row r="587" spans="13:13" x14ac:dyDescent="0.25">
      <c r="M587" s="21">
        <v>0.5</v>
      </c>
    </row>
    <row r="588" spans="13:13" x14ac:dyDescent="0.25">
      <c r="M588" s="21">
        <v>1.4142135623730951</v>
      </c>
    </row>
    <row r="589" spans="13:13" x14ac:dyDescent="0.25">
      <c r="M589" s="21">
        <v>1.707825127659933</v>
      </c>
    </row>
    <row r="590" spans="13:13" x14ac:dyDescent="0.25">
      <c r="M590" s="21">
        <v>1.9148542155126762</v>
      </c>
    </row>
    <row r="591" spans="13:13" x14ac:dyDescent="0.25">
      <c r="M591" s="21">
        <v>2.0816659994661326</v>
      </c>
    </row>
    <row r="592" spans="13:13" x14ac:dyDescent="0.25">
      <c r="M592" s="21">
        <v>0.9574271077563381</v>
      </c>
    </row>
    <row r="593" spans="13:13" x14ac:dyDescent="0.25">
      <c r="M593" s="21">
        <v>3.415650255319866</v>
      </c>
    </row>
    <row r="594" spans="13:13" x14ac:dyDescent="0.25">
      <c r="M594" s="21">
        <v>3.2015621187164243</v>
      </c>
    </row>
    <row r="595" spans="13:13" x14ac:dyDescent="0.25">
      <c r="M595" s="21">
        <v>2.0615528128088303</v>
      </c>
    </row>
    <row r="596" spans="13:13" x14ac:dyDescent="0.25">
      <c r="M596" s="21">
        <v>3.3040379335998349</v>
      </c>
    </row>
    <row r="597" spans="13:13" x14ac:dyDescent="0.25">
      <c r="M597" s="21">
        <v>2.3804761428476167</v>
      </c>
    </row>
    <row r="598" spans="13:13" x14ac:dyDescent="0.25">
      <c r="M598" s="21">
        <v>2.1602468994692869</v>
      </c>
    </row>
    <row r="599" spans="13:13" x14ac:dyDescent="0.25">
      <c r="M599" s="21">
        <v>2.2173557826083452</v>
      </c>
    </row>
    <row r="600" spans="13:13" x14ac:dyDescent="0.25">
      <c r="M600" s="21">
        <v>2.9439202887759488</v>
      </c>
    </row>
    <row r="601" spans="13:13" x14ac:dyDescent="0.25">
      <c r="M601" s="21">
        <v>1.2583057392117916</v>
      </c>
    </row>
    <row r="602" spans="13:13" x14ac:dyDescent="0.25">
      <c r="M602" s="21">
        <v>0.9574271077563381</v>
      </c>
    </row>
    <row r="603" spans="13:13" x14ac:dyDescent="0.25">
      <c r="M603" s="21">
        <v>0.5</v>
      </c>
    </row>
    <row r="604" spans="13:13" x14ac:dyDescent="0.25">
      <c r="M604" s="21">
        <v>0.9574271077563381</v>
      </c>
    </row>
    <row r="605" spans="13:13" x14ac:dyDescent="0.25">
      <c r="M605" s="21">
        <v>0.9574271077563381</v>
      </c>
    </row>
    <row r="606" spans="13:13" x14ac:dyDescent="0.25">
      <c r="M606" s="21">
        <v>1</v>
      </c>
    </row>
    <row r="607" spans="13:13" x14ac:dyDescent="0.25">
      <c r="M607" s="21">
        <v>1.2583057392117916</v>
      </c>
    </row>
    <row r="608" spans="13:13" x14ac:dyDescent="0.25">
      <c r="M608" s="21">
        <v>1.4142135623730951</v>
      </c>
    </row>
    <row r="609" spans="13:13" x14ac:dyDescent="0.25">
      <c r="M609" s="21">
        <v>1</v>
      </c>
    </row>
    <row r="610" spans="13:13" x14ac:dyDescent="0.25">
      <c r="M610" s="21">
        <v>1.5</v>
      </c>
    </row>
    <row r="611" spans="13:13" x14ac:dyDescent="0.25">
      <c r="M611" s="21">
        <v>0.9574271077563381</v>
      </c>
    </row>
    <row r="612" spans="13:13" x14ac:dyDescent="0.25">
      <c r="M612" s="21">
        <v>1.7320508075688772</v>
      </c>
    </row>
    <row r="613" spans="13:13" x14ac:dyDescent="0.25">
      <c r="M613" s="21">
        <v>2.1602468994692869</v>
      </c>
    </row>
    <row r="614" spans="13:13" x14ac:dyDescent="0.25">
      <c r="M614" s="21">
        <v>2.6299556396765835</v>
      </c>
    </row>
    <row r="615" spans="13:13" x14ac:dyDescent="0.25">
      <c r="M615" s="21">
        <v>2.1602468994692869</v>
      </c>
    </row>
    <row r="616" spans="13:13" x14ac:dyDescent="0.25">
      <c r="M616" s="21">
        <v>3.1622776601683795</v>
      </c>
    </row>
    <row r="617" spans="13:13" x14ac:dyDescent="0.25">
      <c r="M617" s="21">
        <v>0.57735026918962573</v>
      </c>
    </row>
    <row r="618" spans="13:13" x14ac:dyDescent="0.25">
      <c r="M618" s="21">
        <v>3.3665016461206929</v>
      </c>
    </row>
    <row r="619" spans="13:13" x14ac:dyDescent="0.25">
      <c r="M619" s="21">
        <v>0.81649658092772603</v>
      </c>
    </row>
    <row r="620" spans="13:13" x14ac:dyDescent="0.25">
      <c r="M620" s="21">
        <v>0.9574271077563381</v>
      </c>
    </row>
    <row r="621" spans="13:13" x14ac:dyDescent="0.25">
      <c r="M621" s="21">
        <v>1.4142135623730951</v>
      </c>
    </row>
    <row r="622" spans="13:13" x14ac:dyDescent="0.25">
      <c r="M622" s="21">
        <v>2.5</v>
      </c>
    </row>
    <row r="623" spans="13:13" x14ac:dyDescent="0.25">
      <c r="M623" s="21">
        <v>2.8722813232690143</v>
      </c>
    </row>
    <row r="624" spans="13:13" x14ac:dyDescent="0.25">
      <c r="M624" s="21">
        <v>3.9157800414902435</v>
      </c>
    </row>
    <row r="625" spans="13:13" x14ac:dyDescent="0.25">
      <c r="M625" s="21">
        <v>2.2173557826083452</v>
      </c>
    </row>
    <row r="626" spans="13:13" x14ac:dyDescent="0.25">
      <c r="M626" s="21">
        <v>0.81649658092772603</v>
      </c>
    </row>
    <row r="627" spans="13:13" x14ac:dyDescent="0.25">
      <c r="M627" s="21">
        <v>2.6457513110645907</v>
      </c>
    </row>
    <row r="628" spans="13:13" x14ac:dyDescent="0.25">
      <c r="M628" s="21">
        <v>2.2173557826083452</v>
      </c>
    </row>
    <row r="629" spans="13:13" x14ac:dyDescent="0.25">
      <c r="M629" s="21">
        <v>2.753785273643051</v>
      </c>
    </row>
    <row r="630" spans="13:13" x14ac:dyDescent="0.25">
      <c r="M630" s="21">
        <v>1.6329931618554521</v>
      </c>
    </row>
    <row r="631" spans="13:13" x14ac:dyDescent="0.25">
      <c r="M631" s="21">
        <v>1.7320508075688772</v>
      </c>
    </row>
    <row r="632" spans="13:13" x14ac:dyDescent="0.25">
      <c r="M632" s="21">
        <v>1.1547005383792515</v>
      </c>
    </row>
    <row r="633" spans="13:13" x14ac:dyDescent="0.25">
      <c r="M633" s="21">
        <v>1.9148542155126762</v>
      </c>
    </row>
    <row r="634" spans="13:13" x14ac:dyDescent="0.25">
      <c r="M634" s="21">
        <v>0.81649658092772603</v>
      </c>
    </row>
    <row r="635" spans="13:13" x14ac:dyDescent="0.25">
      <c r="M635" s="21">
        <v>1.9148542155126762</v>
      </c>
    </row>
    <row r="636" spans="13:13" x14ac:dyDescent="0.25">
      <c r="M636" s="21">
        <v>1.707825127659933</v>
      </c>
    </row>
    <row r="637" spans="13:13" x14ac:dyDescent="0.25">
      <c r="M637" s="21">
        <v>2.2173557826083452</v>
      </c>
    </row>
    <row r="638" spans="13:13" x14ac:dyDescent="0.25">
      <c r="M638" s="21">
        <v>0.9574271077563381</v>
      </c>
    </row>
    <row r="639" spans="13:13" x14ac:dyDescent="0.25">
      <c r="M639" s="21">
        <v>3.2659863237109041</v>
      </c>
    </row>
    <row r="640" spans="13:13" x14ac:dyDescent="0.25">
      <c r="M640" s="21">
        <v>0.9574271077563381</v>
      </c>
    </row>
    <row r="641" spans="13:13" x14ac:dyDescent="0.25">
      <c r="M641" s="21">
        <v>0.57735026918962573</v>
      </c>
    </row>
    <row r="642" spans="13:13" x14ac:dyDescent="0.25">
      <c r="M642" s="21">
        <v>0.9574271077563381</v>
      </c>
    </row>
    <row r="643" spans="13:13" x14ac:dyDescent="0.25">
      <c r="M643" s="21">
        <v>2.1602468994692869</v>
      </c>
    </row>
    <row r="644" spans="13:13" x14ac:dyDescent="0.25">
      <c r="M644" s="21">
        <v>1.9148542155126762</v>
      </c>
    </row>
    <row r="645" spans="13:13" x14ac:dyDescent="0.25">
      <c r="M645" s="21">
        <v>2.0615528128088303</v>
      </c>
    </row>
    <row r="646" spans="13:13" x14ac:dyDescent="0.25">
      <c r="M646" s="21">
        <v>1.4142135623730951</v>
      </c>
    </row>
    <row r="647" spans="13:13" x14ac:dyDescent="0.25">
      <c r="M647" s="21">
        <v>1.9148542155126762</v>
      </c>
    </row>
    <row r="648" spans="13:13" x14ac:dyDescent="0.25">
      <c r="M648" s="21">
        <v>0.81649658092772603</v>
      </c>
    </row>
    <row r="649" spans="13:13" x14ac:dyDescent="0.25">
      <c r="M649" s="21">
        <v>1.707825127659933</v>
      </c>
    </row>
    <row r="650" spans="13:13" x14ac:dyDescent="0.25">
      <c r="M650" s="21">
        <v>0.57735026918962573</v>
      </c>
    </row>
    <row r="651" spans="13:13" x14ac:dyDescent="0.25">
      <c r="M651" s="21">
        <v>1</v>
      </c>
    </row>
    <row r="652" spans="13:13" x14ac:dyDescent="0.25">
      <c r="M652" s="21">
        <v>1.4142135623730951</v>
      </c>
    </row>
    <row r="653" spans="13:13" x14ac:dyDescent="0.25">
      <c r="M653" s="21">
        <v>1.2909944487358056</v>
      </c>
    </row>
    <row r="654" spans="13:13" x14ac:dyDescent="0.25">
      <c r="M654" s="21">
        <v>1.6329931618554521</v>
      </c>
    </row>
    <row r="655" spans="13:13" x14ac:dyDescent="0.25">
      <c r="M655" s="21">
        <v>2</v>
      </c>
    </row>
    <row r="656" spans="13:13" x14ac:dyDescent="0.25">
      <c r="M656" s="21">
        <v>2.6457513110645907</v>
      </c>
    </row>
    <row r="657" spans="13:13" x14ac:dyDescent="0.25">
      <c r="M657" s="21">
        <v>0.81649658092772603</v>
      </c>
    </row>
    <row r="658" spans="13:13" x14ac:dyDescent="0.25">
      <c r="M658" s="21">
        <v>1.5</v>
      </c>
    </row>
    <row r="659" spans="13:13" x14ac:dyDescent="0.25">
      <c r="M659" s="21">
        <v>0.9574271077563381</v>
      </c>
    </row>
    <row r="660" spans="13:13" x14ac:dyDescent="0.25">
      <c r="M660" s="21">
        <v>2.0615528128088303</v>
      </c>
    </row>
    <row r="661" spans="13:13" x14ac:dyDescent="0.25">
      <c r="M661" s="21">
        <v>1.707825127659933</v>
      </c>
    </row>
    <row r="662" spans="13:13" x14ac:dyDescent="0.25">
      <c r="M662" s="21">
        <v>2.9439202887759488</v>
      </c>
    </row>
    <row r="663" spans="13:13" x14ac:dyDescent="0.25">
      <c r="M663" s="21">
        <v>0.81649658092772603</v>
      </c>
    </row>
    <row r="664" spans="13:13" x14ac:dyDescent="0.25">
      <c r="M664" s="21">
        <v>1.2583057392117916</v>
      </c>
    </row>
    <row r="665" spans="13:13" x14ac:dyDescent="0.25">
      <c r="M665" s="21">
        <v>1.8257418583505538</v>
      </c>
    </row>
    <row r="666" spans="13:13" x14ac:dyDescent="0.25">
      <c r="M666" s="21">
        <v>2.2173557826083452</v>
      </c>
    </row>
    <row r="667" spans="13:13" x14ac:dyDescent="0.25">
      <c r="M667" s="21">
        <v>1.2909944487358056</v>
      </c>
    </row>
    <row r="668" spans="13:13" x14ac:dyDescent="0.25">
      <c r="M668" s="21">
        <v>2.3094010767585029</v>
      </c>
    </row>
    <row r="669" spans="13:13" x14ac:dyDescent="0.25">
      <c r="M669" s="21">
        <v>1.8929694486000912</v>
      </c>
    </row>
    <row r="670" spans="13:13" x14ac:dyDescent="0.25">
      <c r="M670" s="21">
        <v>1.2909944487358056</v>
      </c>
    </row>
    <row r="671" spans="13:13" x14ac:dyDescent="0.25">
      <c r="M671" s="21">
        <v>3.4034296427770228</v>
      </c>
    </row>
    <row r="672" spans="13:13" x14ac:dyDescent="0.25">
      <c r="M672" s="21">
        <v>2.6299556396765835</v>
      </c>
    </row>
    <row r="673" spans="13:13" x14ac:dyDescent="0.25">
      <c r="M673" s="21">
        <v>2.0816659994661326</v>
      </c>
    </row>
    <row r="674" spans="13:13" x14ac:dyDescent="0.25">
      <c r="M674" s="21">
        <v>2.2173557826083452</v>
      </c>
    </row>
    <row r="675" spans="13:13" x14ac:dyDescent="0.25">
      <c r="M675" s="21">
        <v>1.707825127659933</v>
      </c>
    </row>
    <row r="676" spans="13:13" x14ac:dyDescent="0.25">
      <c r="M676" s="21">
        <v>1.9148542155126762</v>
      </c>
    </row>
    <row r="677" spans="13:13" x14ac:dyDescent="0.25">
      <c r="M677" s="21">
        <v>0.9574271077563381</v>
      </c>
    </row>
    <row r="678" spans="13:13" x14ac:dyDescent="0.25">
      <c r="M678" s="21">
        <v>2.3804761428476167</v>
      </c>
    </row>
    <row r="679" spans="13:13" x14ac:dyDescent="0.25">
      <c r="M679" s="21">
        <v>2.3629078131263039</v>
      </c>
    </row>
    <row r="680" spans="13:13" x14ac:dyDescent="0.25">
      <c r="M680" s="21">
        <v>1.2583057392117916</v>
      </c>
    </row>
    <row r="681" spans="13:13" x14ac:dyDescent="0.25">
      <c r="M681" s="21">
        <v>2.1602468994692869</v>
      </c>
    </row>
    <row r="682" spans="13:13" x14ac:dyDescent="0.25">
      <c r="M682" s="21">
        <v>1.7320508075688772</v>
      </c>
    </row>
    <row r="683" spans="13:13" x14ac:dyDescent="0.25">
      <c r="M683" s="21">
        <v>1.9148542155126762</v>
      </c>
    </row>
    <row r="684" spans="13:13" x14ac:dyDescent="0.25">
      <c r="M684" s="21">
        <v>1.2909944487358056</v>
      </c>
    </row>
    <row r="685" spans="13:13" x14ac:dyDescent="0.25">
      <c r="M685" s="21">
        <v>1.2909944487358056</v>
      </c>
    </row>
    <row r="686" spans="13:13" x14ac:dyDescent="0.25">
      <c r="M686" s="21">
        <v>0.9574271077563381</v>
      </c>
    </row>
    <row r="687" spans="13:13" x14ac:dyDescent="0.25">
      <c r="M687" s="21">
        <v>1</v>
      </c>
    </row>
    <row r="688" spans="13:13" x14ac:dyDescent="0.25">
      <c r="M688" s="21">
        <v>2.2173557826083452</v>
      </c>
    </row>
    <row r="689" spans="13:13" x14ac:dyDescent="0.25">
      <c r="M689" s="21">
        <v>1.2583057392117916</v>
      </c>
    </row>
    <row r="690" spans="13:13" x14ac:dyDescent="0.25">
      <c r="M690" s="21">
        <v>2.8722813232690143</v>
      </c>
    </row>
    <row r="691" spans="13:13" x14ac:dyDescent="0.25">
      <c r="M691" s="21">
        <v>2.2173557826083452</v>
      </c>
    </row>
    <row r="692" spans="13:13" x14ac:dyDescent="0.25">
      <c r="M692" s="21">
        <v>1.707825127659933</v>
      </c>
    </row>
    <row r="693" spans="13:13" x14ac:dyDescent="0.25">
      <c r="M693" s="21">
        <v>1.4142135623730951</v>
      </c>
    </row>
    <row r="694" spans="13:13" x14ac:dyDescent="0.25">
      <c r="M694" s="21">
        <v>1.707825127659933</v>
      </c>
    </row>
    <row r="695" spans="13:13" x14ac:dyDescent="0.25">
      <c r="M695" s="21">
        <v>3</v>
      </c>
    </row>
    <row r="696" spans="13:13" x14ac:dyDescent="0.25">
      <c r="M696" s="21">
        <v>1.2909944487358056</v>
      </c>
    </row>
    <row r="697" spans="13:13" x14ac:dyDescent="0.25">
      <c r="M697" s="21">
        <v>2.0615528128088303</v>
      </c>
    </row>
    <row r="698" spans="13:13" x14ac:dyDescent="0.25">
      <c r="M698" s="21">
        <v>0.9574271077563381</v>
      </c>
    </row>
    <row r="699" spans="13:13" x14ac:dyDescent="0.25">
      <c r="M699" s="21">
        <v>1.2583057392117916</v>
      </c>
    </row>
    <row r="700" spans="13:13" x14ac:dyDescent="0.25">
      <c r="M700" s="21">
        <v>1.1547005383792515</v>
      </c>
    </row>
    <row r="701" spans="13:13" x14ac:dyDescent="0.25">
      <c r="M701" s="21">
        <v>1.9148542155126762</v>
      </c>
    </row>
    <row r="702" spans="13:13" x14ac:dyDescent="0.25">
      <c r="M702" s="21">
        <v>2.2173557826083452</v>
      </c>
    </row>
    <row r="703" spans="13:13" x14ac:dyDescent="0.25">
      <c r="M703" s="21">
        <v>1.7320508075688772</v>
      </c>
    </row>
    <row r="704" spans="13:13" x14ac:dyDescent="0.25">
      <c r="M704" s="21">
        <v>2.8722813232690143</v>
      </c>
    </row>
    <row r="705" spans="13:13" x14ac:dyDescent="0.25">
      <c r="M705" s="21">
        <v>0.81649658092772603</v>
      </c>
    </row>
    <row r="706" spans="13:13" x14ac:dyDescent="0.25">
      <c r="M706" s="21">
        <v>1.4142135623730951</v>
      </c>
    </row>
    <row r="707" spans="13:13" x14ac:dyDescent="0.25">
      <c r="M707" s="21">
        <v>1.5</v>
      </c>
    </row>
    <row r="708" spans="13:13" x14ac:dyDescent="0.25">
      <c r="M708" s="21">
        <v>1.8257418583505538</v>
      </c>
    </row>
    <row r="709" spans="13:13" x14ac:dyDescent="0.25">
      <c r="M709" s="21">
        <v>2.1602468994692869</v>
      </c>
    </row>
    <row r="710" spans="13:13" x14ac:dyDescent="0.25">
      <c r="M710" s="21">
        <v>0.9574271077563381</v>
      </c>
    </row>
    <row r="711" spans="13:13" x14ac:dyDescent="0.25">
      <c r="M711" s="21">
        <v>2.753785273643051</v>
      </c>
    </row>
    <row r="712" spans="13:13" x14ac:dyDescent="0.25">
      <c r="M712" s="21">
        <v>2.2173557826083452</v>
      </c>
    </row>
    <row r="713" spans="13:13" x14ac:dyDescent="0.25">
      <c r="M713" s="21">
        <v>2.4494897427831779</v>
      </c>
    </row>
    <row r="714" spans="13:13" x14ac:dyDescent="0.25">
      <c r="M714" s="21">
        <v>1.4142135623730951</v>
      </c>
    </row>
    <row r="715" spans="13:13" x14ac:dyDescent="0.25">
      <c r="M715" s="21">
        <v>2.0816659994661326</v>
      </c>
    </row>
    <row r="716" spans="13:13" x14ac:dyDescent="0.25">
      <c r="M716" s="21">
        <v>1.2909944487358056</v>
      </c>
    </row>
    <row r="717" spans="13:13" x14ac:dyDescent="0.25">
      <c r="M717" s="21">
        <v>1.2583057392117916</v>
      </c>
    </row>
    <row r="718" spans="13:13" x14ac:dyDescent="0.25">
      <c r="M718" s="21">
        <v>3.1622776601683795</v>
      </c>
    </row>
    <row r="719" spans="13:13" x14ac:dyDescent="0.25">
      <c r="M719" s="21">
        <v>0.9574271077563381</v>
      </c>
    </row>
    <row r="720" spans="13:13" x14ac:dyDescent="0.25">
      <c r="M720" s="21">
        <v>1.707825127659933</v>
      </c>
    </row>
    <row r="721" spans="13:13" x14ac:dyDescent="0.25">
      <c r="M721" s="21">
        <v>2.0615528128088303</v>
      </c>
    </row>
    <row r="722" spans="13:13" x14ac:dyDescent="0.25">
      <c r="M722" s="21">
        <v>1.8257418583505538</v>
      </c>
    </row>
    <row r="723" spans="13:13" x14ac:dyDescent="0.25">
      <c r="M723" s="21">
        <v>2.0615528128088303</v>
      </c>
    </row>
    <row r="724" spans="13:13" x14ac:dyDescent="0.25">
      <c r="M724" s="21">
        <v>2.3804761428476167</v>
      </c>
    </row>
    <row r="725" spans="13:13" x14ac:dyDescent="0.25">
      <c r="M725" s="21">
        <v>2.3804761428476167</v>
      </c>
    </row>
    <row r="726" spans="13:13" x14ac:dyDescent="0.25">
      <c r="M726" s="21">
        <v>0.5</v>
      </c>
    </row>
    <row r="727" spans="13:13" x14ac:dyDescent="0.25">
      <c r="M727" s="21">
        <v>1.707825127659933</v>
      </c>
    </row>
    <row r="728" spans="13:13" x14ac:dyDescent="0.25">
      <c r="M728" s="21">
        <v>0.9574271077563381</v>
      </c>
    </row>
    <row r="729" spans="13:13" x14ac:dyDescent="0.25">
      <c r="M729" s="21">
        <v>1.1547005383792515</v>
      </c>
    </row>
    <row r="730" spans="13:13" x14ac:dyDescent="0.25">
      <c r="M730" s="21">
        <v>3.3040379335998349</v>
      </c>
    </row>
    <row r="731" spans="13:13" x14ac:dyDescent="0.25">
      <c r="M731" s="21">
        <v>1.5</v>
      </c>
    </row>
    <row r="732" spans="13:13" x14ac:dyDescent="0.25">
      <c r="M732" s="21">
        <v>3.2015621187164243</v>
      </c>
    </row>
    <row r="733" spans="13:13" x14ac:dyDescent="0.25">
      <c r="M733" s="21">
        <v>1.5</v>
      </c>
    </row>
    <row r="734" spans="13:13" x14ac:dyDescent="0.25">
      <c r="M734" s="21">
        <v>0.81649658092772603</v>
      </c>
    </row>
    <row r="735" spans="13:13" x14ac:dyDescent="0.25">
      <c r="M735" s="21">
        <v>0.9574271077563381</v>
      </c>
    </row>
    <row r="736" spans="13:13" x14ac:dyDescent="0.25">
      <c r="M736" s="21">
        <v>0.81649658092772603</v>
      </c>
    </row>
    <row r="737" spans="13:13" x14ac:dyDescent="0.25">
      <c r="M737" s="21">
        <v>1.2583057392117916</v>
      </c>
    </row>
    <row r="738" spans="13:13" x14ac:dyDescent="0.25">
      <c r="M738" s="21">
        <v>2.0816659994661326</v>
      </c>
    </row>
    <row r="739" spans="13:13" x14ac:dyDescent="0.25">
      <c r="M739" s="21">
        <v>0.81649658092772603</v>
      </c>
    </row>
    <row r="740" spans="13:13" x14ac:dyDescent="0.25">
      <c r="M740" s="21">
        <v>1.5</v>
      </c>
    </row>
    <row r="741" spans="13:13" x14ac:dyDescent="0.25">
      <c r="M741" s="21">
        <v>1.7320508075688772</v>
      </c>
    </row>
    <row r="742" spans="13:13" x14ac:dyDescent="0.25">
      <c r="M742" s="21">
        <v>1.9148542155126762</v>
      </c>
    </row>
    <row r="743" spans="13:13" x14ac:dyDescent="0.25">
      <c r="M743" s="21">
        <v>0.9574271077563381</v>
      </c>
    </row>
    <row r="744" spans="13:13" x14ac:dyDescent="0.25">
      <c r="M744" s="21">
        <v>2.6299556396765835</v>
      </c>
    </row>
    <row r="745" spans="13:13" x14ac:dyDescent="0.25">
      <c r="M745" s="21">
        <v>0.81649658092772603</v>
      </c>
    </row>
    <row r="746" spans="13:13" x14ac:dyDescent="0.25">
      <c r="M746" s="21">
        <v>1</v>
      </c>
    </row>
    <row r="747" spans="13:13" x14ac:dyDescent="0.25">
      <c r="M747" s="21">
        <v>1.4142135623730951</v>
      </c>
    </row>
    <row r="748" spans="13:13" x14ac:dyDescent="0.25">
      <c r="M748" s="21">
        <v>1.707825127659933</v>
      </c>
    </row>
    <row r="749" spans="13:13" x14ac:dyDescent="0.25">
      <c r="M749" s="21">
        <v>0.9574271077563381</v>
      </c>
    </row>
    <row r="750" spans="13:13" x14ac:dyDescent="0.25">
      <c r="M750" s="21">
        <v>1.4142135623730951</v>
      </c>
    </row>
    <row r="751" spans="13:13" x14ac:dyDescent="0.25">
      <c r="M751" s="21">
        <v>1.2909944487358056</v>
      </c>
    </row>
    <row r="752" spans="13:13" x14ac:dyDescent="0.25">
      <c r="M752" s="21">
        <v>2.8284271247461903</v>
      </c>
    </row>
    <row r="753" spans="13:13" x14ac:dyDescent="0.25">
      <c r="M753" s="21">
        <v>0</v>
      </c>
    </row>
    <row r="754" spans="13:13" x14ac:dyDescent="0.25">
      <c r="M754" s="21">
        <v>1.8257418583505538</v>
      </c>
    </row>
    <row r="755" spans="13:13" x14ac:dyDescent="0.25">
      <c r="M755" s="21">
        <v>0.81649658092772603</v>
      </c>
    </row>
    <row r="756" spans="13:13" x14ac:dyDescent="0.25">
      <c r="M756" s="21">
        <v>2.0615528128088303</v>
      </c>
    </row>
    <row r="757" spans="13:13" x14ac:dyDescent="0.25">
      <c r="M757" s="21">
        <v>1.2583057392117916</v>
      </c>
    </row>
    <row r="758" spans="13:13" x14ac:dyDescent="0.25">
      <c r="M758" s="21">
        <v>1.8257418583505538</v>
      </c>
    </row>
    <row r="759" spans="13:13" x14ac:dyDescent="0.25">
      <c r="M759" s="21">
        <v>1.2583057392117916</v>
      </c>
    </row>
    <row r="760" spans="13:13" x14ac:dyDescent="0.25">
      <c r="M760" s="21">
        <v>2.0816659994661326</v>
      </c>
    </row>
    <row r="761" spans="13:13" x14ac:dyDescent="0.25">
      <c r="M761" s="21">
        <v>1.4142135623730951</v>
      </c>
    </row>
    <row r="762" spans="13:13" x14ac:dyDescent="0.25">
      <c r="M762" s="21">
        <v>1.8929694486000912</v>
      </c>
    </row>
    <row r="763" spans="13:13" x14ac:dyDescent="0.25">
      <c r="M763" s="21">
        <v>1.2909944487358056</v>
      </c>
    </row>
    <row r="764" spans="13:13" x14ac:dyDescent="0.25">
      <c r="M764" s="21">
        <v>0.5</v>
      </c>
    </row>
    <row r="765" spans="13:13" x14ac:dyDescent="0.25">
      <c r="M765" s="21">
        <v>1.2583057392117916</v>
      </c>
    </row>
    <row r="766" spans="13:13" x14ac:dyDescent="0.25">
      <c r="M766" s="21">
        <v>1.5</v>
      </c>
    </row>
    <row r="767" spans="13:13" x14ac:dyDescent="0.25">
      <c r="M767" s="21">
        <v>1.707825127659933</v>
      </c>
    </row>
    <row r="768" spans="13:13" x14ac:dyDescent="0.25">
      <c r="M768" s="21">
        <v>2</v>
      </c>
    </row>
    <row r="769" spans="13:13" x14ac:dyDescent="0.25">
      <c r="M769" s="21">
        <v>0.81649658092772603</v>
      </c>
    </row>
    <row r="770" spans="13:13" x14ac:dyDescent="0.25">
      <c r="M770" s="21">
        <v>1.7320508075688772</v>
      </c>
    </row>
    <row r="771" spans="13:13" x14ac:dyDescent="0.25">
      <c r="M771" s="21">
        <v>2.6299556396765835</v>
      </c>
    </row>
    <row r="772" spans="13:13" x14ac:dyDescent="0.25">
      <c r="M772" s="21">
        <v>1.9148542155126762</v>
      </c>
    </row>
    <row r="773" spans="13:13" x14ac:dyDescent="0.25">
      <c r="M773" s="21">
        <v>1.2583057392117916</v>
      </c>
    </row>
    <row r="774" spans="13:13" x14ac:dyDescent="0.25">
      <c r="M774" s="21">
        <v>1.2583057392117916</v>
      </c>
    </row>
    <row r="775" spans="13:13" x14ac:dyDescent="0.25">
      <c r="M775" s="21">
        <v>3.1622776601683795</v>
      </c>
    </row>
    <row r="776" spans="13:13" x14ac:dyDescent="0.25">
      <c r="M776" s="21">
        <v>4.1129875597510219</v>
      </c>
    </row>
    <row r="777" spans="13:13" x14ac:dyDescent="0.25">
      <c r="M777" s="21">
        <v>1.7320508075688772</v>
      </c>
    </row>
    <row r="778" spans="13:13" x14ac:dyDescent="0.25">
      <c r="M778" s="21">
        <v>1.8257418583505538</v>
      </c>
    </row>
    <row r="779" spans="13:13" x14ac:dyDescent="0.25">
      <c r="M779" s="21">
        <v>1.5</v>
      </c>
    </row>
    <row r="780" spans="13:13" x14ac:dyDescent="0.25">
      <c r="M780" s="21">
        <v>3.4034296427770228</v>
      </c>
    </row>
    <row r="781" spans="13:13" x14ac:dyDescent="0.25">
      <c r="M781" s="21">
        <v>1.4142135623730951</v>
      </c>
    </row>
    <row r="782" spans="13:13" x14ac:dyDescent="0.25">
      <c r="M782" s="21">
        <v>1.6329931618554521</v>
      </c>
    </row>
    <row r="783" spans="13:13" x14ac:dyDescent="0.25">
      <c r="M783" s="21">
        <v>3.5</v>
      </c>
    </row>
    <row r="784" spans="13:13" x14ac:dyDescent="0.25">
      <c r="M784" s="21">
        <v>2.4494897427831779</v>
      </c>
    </row>
    <row r="785" spans="13:13" x14ac:dyDescent="0.25">
      <c r="M785" s="21">
        <v>1</v>
      </c>
    </row>
    <row r="786" spans="13:13" x14ac:dyDescent="0.25">
      <c r="M786" s="21">
        <v>2.5166114784235831</v>
      </c>
    </row>
    <row r="787" spans="13:13" x14ac:dyDescent="0.25">
      <c r="M787" s="21">
        <v>1.7320508075688772</v>
      </c>
    </row>
    <row r="788" spans="13:13" x14ac:dyDescent="0.25">
      <c r="M788" s="21">
        <v>1.5</v>
      </c>
    </row>
    <row r="789" spans="13:13" x14ac:dyDescent="0.25">
      <c r="M789" s="21">
        <v>0.9574271077563381</v>
      </c>
    </row>
    <row r="790" spans="13:13" x14ac:dyDescent="0.25">
      <c r="M790" s="21">
        <v>1.4142135623730951</v>
      </c>
    </row>
    <row r="791" spans="13:13" x14ac:dyDescent="0.25">
      <c r="M791" s="21">
        <v>1.707825127659933</v>
      </c>
    </row>
    <row r="792" spans="13:13" x14ac:dyDescent="0.25">
      <c r="M792" s="21">
        <v>0.9574271077563381</v>
      </c>
    </row>
    <row r="793" spans="13:13" x14ac:dyDescent="0.25">
      <c r="M793" s="21">
        <v>2.1602468994692869</v>
      </c>
    </row>
    <row r="794" spans="13:13" x14ac:dyDescent="0.25">
      <c r="M794" s="21">
        <v>2.3629078131263039</v>
      </c>
    </row>
    <row r="795" spans="13:13" x14ac:dyDescent="0.25">
      <c r="M795" s="21">
        <v>1.8929694486000912</v>
      </c>
    </row>
    <row r="796" spans="13:13" x14ac:dyDescent="0.25">
      <c r="M796" s="21">
        <v>1.4142135623730951</v>
      </c>
    </row>
    <row r="797" spans="13:13" x14ac:dyDescent="0.25">
      <c r="M797" s="21">
        <v>3.3040379335998349</v>
      </c>
    </row>
    <row r="798" spans="13:13" x14ac:dyDescent="0.25">
      <c r="M798" s="21">
        <v>1.2583057392117916</v>
      </c>
    </row>
    <row r="799" spans="13:13" x14ac:dyDescent="0.25">
      <c r="M799" s="21">
        <v>2.0615528128088303</v>
      </c>
    </row>
    <row r="800" spans="13:13" x14ac:dyDescent="0.25">
      <c r="M800" s="21">
        <v>1.4142135623730951</v>
      </c>
    </row>
    <row r="801" spans="13:13" x14ac:dyDescent="0.25">
      <c r="M801" s="21">
        <v>2.5</v>
      </c>
    </row>
    <row r="802" spans="13:13" x14ac:dyDescent="0.25">
      <c r="M802" s="21">
        <v>2.753785273643051</v>
      </c>
    </row>
    <row r="803" spans="13:13" x14ac:dyDescent="0.25">
      <c r="M803" s="21">
        <v>1.7320508075688772</v>
      </c>
    </row>
    <row r="804" spans="13:13" x14ac:dyDescent="0.25">
      <c r="M804" s="21">
        <v>2.3629078131263039</v>
      </c>
    </row>
    <row r="805" spans="13:13" x14ac:dyDescent="0.25">
      <c r="M805" s="21">
        <v>0.81649658092772603</v>
      </c>
    </row>
    <row r="806" spans="13:13" x14ac:dyDescent="0.25">
      <c r="M806" s="21">
        <v>2.5166114784235831</v>
      </c>
    </row>
    <row r="807" spans="13:13" x14ac:dyDescent="0.25">
      <c r="M807" s="21">
        <v>2.2173557826083452</v>
      </c>
    </row>
    <row r="808" spans="13:13" x14ac:dyDescent="0.25">
      <c r="M808" s="21">
        <v>1.9148542155126762</v>
      </c>
    </row>
    <row r="809" spans="13:13" x14ac:dyDescent="0.25">
      <c r="M809" s="21">
        <v>1.5</v>
      </c>
    </row>
    <row r="810" spans="13:13" x14ac:dyDescent="0.25">
      <c r="M810" s="21">
        <v>1.707825127659933</v>
      </c>
    </row>
    <row r="811" spans="13:13" x14ac:dyDescent="0.25">
      <c r="M811" s="21">
        <v>1.8257418583505538</v>
      </c>
    </row>
    <row r="812" spans="13:13" x14ac:dyDescent="0.25">
      <c r="M812" s="21">
        <v>1.1547005383792515</v>
      </c>
    </row>
    <row r="813" spans="13:13" x14ac:dyDescent="0.25">
      <c r="M813" s="21">
        <v>2.3804761428476167</v>
      </c>
    </row>
    <row r="814" spans="13:13" x14ac:dyDescent="0.25">
      <c r="M814" s="21">
        <v>1.707825127659933</v>
      </c>
    </row>
    <row r="815" spans="13:13" x14ac:dyDescent="0.25">
      <c r="M815" s="21">
        <v>2.1602468994692869</v>
      </c>
    </row>
    <row r="816" spans="13:13" x14ac:dyDescent="0.25">
      <c r="M816" s="21">
        <v>1.2583057392117916</v>
      </c>
    </row>
    <row r="817" spans="13:13" x14ac:dyDescent="0.25">
      <c r="M817" s="21">
        <v>1.7320508075688772</v>
      </c>
    </row>
    <row r="818" spans="13:13" x14ac:dyDescent="0.25">
      <c r="M818" s="21">
        <v>1.8257418583505538</v>
      </c>
    </row>
    <row r="819" spans="13:13" x14ac:dyDescent="0.25">
      <c r="M819" s="21">
        <v>2.0615528128088303</v>
      </c>
    </row>
    <row r="820" spans="13:13" x14ac:dyDescent="0.25">
      <c r="M820" s="21">
        <v>1.7320508075688772</v>
      </c>
    </row>
    <row r="821" spans="13:13" x14ac:dyDescent="0.25">
      <c r="M821" s="21">
        <v>3.8297084310253524</v>
      </c>
    </row>
    <row r="822" spans="13:13" x14ac:dyDescent="0.25">
      <c r="M822" s="21">
        <v>2.0615528128088303</v>
      </c>
    </row>
    <row r="823" spans="13:13" x14ac:dyDescent="0.25">
      <c r="M823" s="21">
        <v>1.5</v>
      </c>
    </row>
    <row r="824" spans="13:13" x14ac:dyDescent="0.25">
      <c r="M824" s="21">
        <v>1.8929694486000912</v>
      </c>
    </row>
    <row r="825" spans="13:13" x14ac:dyDescent="0.25">
      <c r="M825" s="21">
        <v>0.81649658092772603</v>
      </c>
    </row>
    <row r="826" spans="13:13" x14ac:dyDescent="0.25">
      <c r="M826" s="21">
        <v>1.8929694486000912</v>
      </c>
    </row>
    <row r="827" spans="13:13" x14ac:dyDescent="0.25">
      <c r="M827" s="21">
        <v>1.8257418583505538</v>
      </c>
    </row>
    <row r="828" spans="13:13" x14ac:dyDescent="0.25">
      <c r="M828" s="21">
        <v>1.707825127659933</v>
      </c>
    </row>
    <row r="829" spans="13:13" x14ac:dyDescent="0.25">
      <c r="M829" s="21">
        <v>2.9860788111948193</v>
      </c>
    </row>
    <row r="830" spans="13:13" x14ac:dyDescent="0.25">
      <c r="M830" s="21">
        <v>2.0816659994661326</v>
      </c>
    </row>
    <row r="831" spans="13:13" x14ac:dyDescent="0.25">
      <c r="M831" s="21">
        <v>1.707825127659933</v>
      </c>
    </row>
    <row r="832" spans="13:13" x14ac:dyDescent="0.25">
      <c r="M832" s="21">
        <v>1.4142135623730951</v>
      </c>
    </row>
    <row r="833" spans="13:13" x14ac:dyDescent="0.25">
      <c r="M833" s="21">
        <v>1.9148542155126762</v>
      </c>
    </row>
    <row r="834" spans="13:13" x14ac:dyDescent="0.25">
      <c r="M834" s="21">
        <v>1.8929694486000912</v>
      </c>
    </row>
    <row r="835" spans="13:13" x14ac:dyDescent="0.25">
      <c r="M835" s="21">
        <v>2.8722813232690143</v>
      </c>
    </row>
    <row r="836" spans="13:13" x14ac:dyDescent="0.25">
      <c r="M836" s="21">
        <v>1.2909944487358056</v>
      </c>
    </row>
    <row r="837" spans="13:13" x14ac:dyDescent="0.25">
      <c r="M837" s="21">
        <v>1.2583057392117916</v>
      </c>
    </row>
    <row r="838" spans="13:13" x14ac:dyDescent="0.25">
      <c r="M838" s="21">
        <v>0.5</v>
      </c>
    </row>
    <row r="839" spans="13:13" x14ac:dyDescent="0.25">
      <c r="M839" s="21">
        <v>2.1602468994692869</v>
      </c>
    </row>
    <row r="840" spans="13:13" x14ac:dyDescent="0.25">
      <c r="M840" s="21">
        <v>2.70801280154532</v>
      </c>
    </row>
    <row r="841" spans="13:13" x14ac:dyDescent="0.25">
      <c r="M841" s="21">
        <v>1.4142135623730951</v>
      </c>
    </row>
    <row r="842" spans="13:13" x14ac:dyDescent="0.25">
      <c r="M842" s="21">
        <v>0.9574271077563381</v>
      </c>
    </row>
    <row r="843" spans="13:13" x14ac:dyDescent="0.25">
      <c r="M843" s="21">
        <v>1.4142135623730951</v>
      </c>
    </row>
    <row r="844" spans="13:13" x14ac:dyDescent="0.25">
      <c r="M844" s="21">
        <v>1.7320508075688772</v>
      </c>
    </row>
    <row r="845" spans="13:13" x14ac:dyDescent="0.25">
      <c r="M845" s="21">
        <v>0.57735026918962573</v>
      </c>
    </row>
    <row r="846" spans="13:13" x14ac:dyDescent="0.25">
      <c r="M846" s="21">
        <v>1.4142135623730951</v>
      </c>
    </row>
    <row r="847" spans="13:13" x14ac:dyDescent="0.25">
      <c r="M847" s="21">
        <v>1</v>
      </c>
    </row>
    <row r="848" spans="13:13" x14ac:dyDescent="0.25">
      <c r="M848" s="21">
        <v>2.3629078131263039</v>
      </c>
    </row>
    <row r="849" spans="13:13" x14ac:dyDescent="0.25">
      <c r="M849" s="21">
        <v>2.2173557826083452</v>
      </c>
    </row>
    <row r="850" spans="13:13" x14ac:dyDescent="0.25">
      <c r="M850" s="21">
        <v>1.707825127659933</v>
      </c>
    </row>
    <row r="851" spans="13:13" x14ac:dyDescent="0.25">
      <c r="M851" s="21">
        <v>2.2173557826083452</v>
      </c>
    </row>
    <row r="852" spans="13:13" x14ac:dyDescent="0.25">
      <c r="M852" s="21">
        <v>1</v>
      </c>
    </row>
    <row r="853" spans="13:13" x14ac:dyDescent="0.25">
      <c r="M853" s="21">
        <v>3.5939764421413041</v>
      </c>
    </row>
    <row r="854" spans="13:13" x14ac:dyDescent="0.25">
      <c r="M854" s="21">
        <v>1.4142135623730951</v>
      </c>
    </row>
    <row r="855" spans="13:13" x14ac:dyDescent="0.25">
      <c r="M855" s="21">
        <v>1.1547005383792515</v>
      </c>
    </row>
    <row r="856" spans="13:13" x14ac:dyDescent="0.25">
      <c r="M856" s="21">
        <v>2.1602468994692869</v>
      </c>
    </row>
    <row r="857" spans="13:13" x14ac:dyDescent="0.25">
      <c r="M857" s="21">
        <v>3.3166247903553998</v>
      </c>
    </row>
    <row r="858" spans="13:13" x14ac:dyDescent="0.25">
      <c r="M858" s="21">
        <v>0.81649658092772603</v>
      </c>
    </row>
    <row r="859" spans="13:13" x14ac:dyDescent="0.25">
      <c r="M859" s="21">
        <v>3.1091263510296048</v>
      </c>
    </row>
    <row r="860" spans="13:13" x14ac:dyDescent="0.25">
      <c r="M860" s="21">
        <v>2.8722813232690143</v>
      </c>
    </row>
    <row r="861" spans="13:13" x14ac:dyDescent="0.25">
      <c r="M861" s="21">
        <v>1.2583057392117916</v>
      </c>
    </row>
    <row r="862" spans="13:13" x14ac:dyDescent="0.25">
      <c r="M862" s="21">
        <v>1.8257418583505538</v>
      </c>
    </row>
    <row r="863" spans="13:13" x14ac:dyDescent="0.25">
      <c r="M863" s="21">
        <v>1.6329931618554521</v>
      </c>
    </row>
    <row r="864" spans="13:13" x14ac:dyDescent="0.25">
      <c r="M864" s="21">
        <v>2.1602468994692869</v>
      </c>
    </row>
    <row r="865" spans="13:13" x14ac:dyDescent="0.25">
      <c r="M865" s="21">
        <v>0.9574271077563381</v>
      </c>
    </row>
    <row r="866" spans="13:13" x14ac:dyDescent="0.25">
      <c r="M866" s="21">
        <v>2.1602468994692869</v>
      </c>
    </row>
    <row r="867" spans="13:13" x14ac:dyDescent="0.25">
      <c r="M867" s="21">
        <v>1.2909944487358056</v>
      </c>
    </row>
    <row r="868" spans="13:13" x14ac:dyDescent="0.25">
      <c r="M868" s="21">
        <v>2.0816659994661326</v>
      </c>
    </row>
    <row r="869" spans="13:13" x14ac:dyDescent="0.25">
      <c r="M869" s="21">
        <v>2.1602468994692869</v>
      </c>
    </row>
    <row r="870" spans="13:13" x14ac:dyDescent="0.25">
      <c r="M870" s="21">
        <v>2.6299556396765835</v>
      </c>
    </row>
    <row r="871" spans="13:13" x14ac:dyDescent="0.25">
      <c r="M871" s="21">
        <v>2.3804761428476167</v>
      </c>
    </row>
    <row r="872" spans="13:13" x14ac:dyDescent="0.25">
      <c r="M872" s="21">
        <v>1.5</v>
      </c>
    </row>
    <row r="873" spans="13:13" x14ac:dyDescent="0.25">
      <c r="M873" s="21">
        <v>1</v>
      </c>
    </row>
    <row r="874" spans="13:13" x14ac:dyDescent="0.25">
      <c r="M874" s="21">
        <v>1.2583057392117916</v>
      </c>
    </row>
    <row r="875" spans="13:13" x14ac:dyDescent="0.25">
      <c r="M875" s="21">
        <v>2.2173557826083452</v>
      </c>
    </row>
    <row r="876" spans="13:13" x14ac:dyDescent="0.25">
      <c r="M876" s="21">
        <v>1.8929694486000912</v>
      </c>
    </row>
    <row r="877" spans="13:13" x14ac:dyDescent="0.25">
      <c r="M877" s="21">
        <v>1.9148542155126762</v>
      </c>
    </row>
    <row r="878" spans="13:13" x14ac:dyDescent="0.25">
      <c r="M878" s="21">
        <v>1.8929694486000912</v>
      </c>
    </row>
    <row r="879" spans="13:13" x14ac:dyDescent="0.25">
      <c r="M879" s="21">
        <v>2.0615528128088303</v>
      </c>
    </row>
    <row r="880" spans="13:13" x14ac:dyDescent="0.25">
      <c r="M880" s="21">
        <v>0.5</v>
      </c>
    </row>
    <row r="881" spans="13:13" x14ac:dyDescent="0.25">
      <c r="M881" s="21">
        <v>1.707825127659933</v>
      </c>
    </row>
    <row r="882" spans="13:13" x14ac:dyDescent="0.25">
      <c r="M882" s="21">
        <v>0.5</v>
      </c>
    </row>
    <row r="883" spans="13:13" x14ac:dyDescent="0.25">
      <c r="M883" s="21">
        <v>1.2909944487358056</v>
      </c>
    </row>
    <row r="884" spans="13:13" x14ac:dyDescent="0.25">
      <c r="M884" s="21">
        <v>3.3665016461206929</v>
      </c>
    </row>
    <row r="885" spans="13:13" x14ac:dyDescent="0.25">
      <c r="M885" s="21">
        <v>2.5166114784235831</v>
      </c>
    </row>
    <row r="886" spans="13:13" x14ac:dyDescent="0.25">
      <c r="M886" s="21">
        <v>2.5</v>
      </c>
    </row>
    <row r="887" spans="13:13" x14ac:dyDescent="0.25">
      <c r="M887" s="21">
        <v>1.8929694486000912</v>
      </c>
    </row>
    <row r="888" spans="13:13" x14ac:dyDescent="0.25">
      <c r="M888" s="21">
        <v>1.2583057392117916</v>
      </c>
    </row>
    <row r="889" spans="13:13" x14ac:dyDescent="0.25">
      <c r="M889" s="21">
        <v>1.707825127659933</v>
      </c>
    </row>
    <row r="890" spans="13:13" x14ac:dyDescent="0.25">
      <c r="M890" s="21">
        <v>1.2909944487358056</v>
      </c>
    </row>
    <row r="891" spans="13:13" x14ac:dyDescent="0.25">
      <c r="M891" s="21">
        <v>2.5</v>
      </c>
    </row>
    <row r="892" spans="13:13" x14ac:dyDescent="0.25">
      <c r="M892" s="21">
        <v>0.5</v>
      </c>
    </row>
    <row r="893" spans="13:13" x14ac:dyDescent="0.25">
      <c r="M893" s="21">
        <v>2.9860788111948193</v>
      </c>
    </row>
    <row r="894" spans="13:13" x14ac:dyDescent="0.25">
      <c r="M894" s="21">
        <v>0.9574271077563381</v>
      </c>
    </row>
    <row r="895" spans="13:13" x14ac:dyDescent="0.25">
      <c r="M895" s="21">
        <v>0.57735026918962573</v>
      </c>
    </row>
    <row r="896" spans="13:13" x14ac:dyDescent="0.25">
      <c r="M896" s="21">
        <v>1.2583057392117916</v>
      </c>
    </row>
    <row r="897" spans="13:13" x14ac:dyDescent="0.25">
      <c r="M897" s="21">
        <v>1.4142135623730951</v>
      </c>
    </row>
    <row r="898" spans="13:13" x14ac:dyDescent="0.25">
      <c r="M898" s="21">
        <v>2.0615528128088303</v>
      </c>
    </row>
    <row r="899" spans="13:13" x14ac:dyDescent="0.25">
      <c r="M899" s="21">
        <v>2.1602468994692869</v>
      </c>
    </row>
    <row r="900" spans="13:13" x14ac:dyDescent="0.25">
      <c r="M900" s="21">
        <v>3.3040379335998349</v>
      </c>
    </row>
    <row r="901" spans="13:13" x14ac:dyDescent="0.25">
      <c r="M901" s="21">
        <v>2.0816659994661326</v>
      </c>
    </row>
    <row r="902" spans="13:13" x14ac:dyDescent="0.25">
      <c r="M902" s="21">
        <v>2.8867513459481291</v>
      </c>
    </row>
    <row r="903" spans="13:13" x14ac:dyDescent="0.25">
      <c r="M903" s="21">
        <v>1.2909944487358056</v>
      </c>
    </row>
    <row r="904" spans="13:13" x14ac:dyDescent="0.25">
      <c r="M904" s="21">
        <v>2.0615528128088303</v>
      </c>
    </row>
    <row r="905" spans="13:13" x14ac:dyDescent="0.25">
      <c r="M905" s="21">
        <v>2.3629078131263039</v>
      </c>
    </row>
    <row r="906" spans="13:13" x14ac:dyDescent="0.25">
      <c r="M906" s="21">
        <v>2.2173557826083452</v>
      </c>
    </row>
    <row r="907" spans="13:13" x14ac:dyDescent="0.25">
      <c r="M907" s="21">
        <v>2.6299556396765835</v>
      </c>
    </row>
    <row r="908" spans="13:13" x14ac:dyDescent="0.25">
      <c r="M908" s="21">
        <v>2.4494897427831779</v>
      </c>
    </row>
    <row r="909" spans="13:13" x14ac:dyDescent="0.25">
      <c r="M909" s="21">
        <v>1.707825127659933</v>
      </c>
    </row>
    <row r="910" spans="13:13" x14ac:dyDescent="0.25">
      <c r="M910" s="21">
        <v>1.2583057392117916</v>
      </c>
    </row>
    <row r="911" spans="13:13" x14ac:dyDescent="0.25">
      <c r="M911" s="21">
        <v>2.5819888974716112</v>
      </c>
    </row>
    <row r="912" spans="13:13" x14ac:dyDescent="0.25">
      <c r="M912" s="21">
        <v>1.7320508075688772</v>
      </c>
    </row>
    <row r="913" spans="13:13" x14ac:dyDescent="0.25">
      <c r="M913" s="21">
        <v>1.707825127659933</v>
      </c>
    </row>
    <row r="914" spans="13:13" x14ac:dyDescent="0.25">
      <c r="M914" s="21">
        <v>2</v>
      </c>
    </row>
    <row r="915" spans="13:13" x14ac:dyDescent="0.25">
      <c r="M915" s="21">
        <v>1.5</v>
      </c>
    </row>
    <row r="916" spans="13:13" x14ac:dyDescent="0.25">
      <c r="M916" s="21">
        <v>1.9148542155126762</v>
      </c>
    </row>
    <row r="917" spans="13:13" x14ac:dyDescent="0.25">
      <c r="M917" s="21">
        <v>1.707825127659933</v>
      </c>
    </row>
    <row r="918" spans="13:13" x14ac:dyDescent="0.25">
      <c r="M918" s="21">
        <v>2.3629078131263039</v>
      </c>
    </row>
    <row r="919" spans="13:13" x14ac:dyDescent="0.25">
      <c r="M919" s="21">
        <v>1.8929694486000912</v>
      </c>
    </row>
    <row r="920" spans="13:13" x14ac:dyDescent="0.25">
      <c r="M920" s="21">
        <v>0.81649658092772603</v>
      </c>
    </row>
    <row r="921" spans="13:13" x14ac:dyDescent="0.25">
      <c r="M921" s="21">
        <v>1.8257418583505538</v>
      </c>
    </row>
    <row r="922" spans="13:13" x14ac:dyDescent="0.25">
      <c r="M922" s="21">
        <v>1.5</v>
      </c>
    </row>
    <row r="923" spans="13:13" x14ac:dyDescent="0.25">
      <c r="M923" s="21">
        <v>2.4494897427831779</v>
      </c>
    </row>
    <row r="924" spans="13:13" x14ac:dyDescent="0.25">
      <c r="M924" s="21">
        <v>3.1091263510296048</v>
      </c>
    </row>
    <row r="925" spans="13:13" x14ac:dyDescent="0.25">
      <c r="M925" s="21">
        <v>2.8722813232690143</v>
      </c>
    </row>
    <row r="926" spans="13:13" x14ac:dyDescent="0.25">
      <c r="M926" s="21">
        <v>2.2173557826083452</v>
      </c>
    </row>
    <row r="927" spans="13:13" x14ac:dyDescent="0.25">
      <c r="M927" s="21">
        <v>2.6299556396765835</v>
      </c>
    </row>
    <row r="928" spans="13:13" x14ac:dyDescent="0.25">
      <c r="M928" s="21">
        <v>1.5</v>
      </c>
    </row>
    <row r="929" spans="13:13" x14ac:dyDescent="0.25">
      <c r="M929" s="21">
        <v>1.2909944487358056</v>
      </c>
    </row>
    <row r="930" spans="13:13" x14ac:dyDescent="0.25">
      <c r="M930" s="21">
        <v>1.707825127659933</v>
      </c>
    </row>
    <row r="931" spans="13:13" x14ac:dyDescent="0.25">
      <c r="M931" s="21">
        <v>1.4142135623730951</v>
      </c>
    </row>
    <row r="932" spans="13:13" x14ac:dyDescent="0.25">
      <c r="M932" s="21">
        <v>1.7320508075688772</v>
      </c>
    </row>
    <row r="933" spans="13:13" x14ac:dyDescent="0.25">
      <c r="M933" s="21">
        <v>2.5166114784235831</v>
      </c>
    </row>
    <row r="934" spans="13:13" x14ac:dyDescent="0.25">
      <c r="M934" s="21">
        <v>2.0615528128088303</v>
      </c>
    </row>
    <row r="935" spans="13:13" x14ac:dyDescent="0.25">
      <c r="M935" s="21">
        <v>0.81649658092772603</v>
      </c>
    </row>
    <row r="936" spans="13:13" x14ac:dyDescent="0.25">
      <c r="M936" s="21">
        <v>1.7320508075688772</v>
      </c>
    </row>
    <row r="937" spans="13:13" x14ac:dyDescent="0.25">
      <c r="M937" s="21">
        <v>2.3804761428476167</v>
      </c>
    </row>
    <row r="938" spans="13:13" x14ac:dyDescent="0.25">
      <c r="M938" s="21">
        <v>1.5</v>
      </c>
    </row>
    <row r="939" spans="13:13" x14ac:dyDescent="0.25">
      <c r="M939" s="21">
        <v>1.707825127659933</v>
      </c>
    </row>
    <row r="940" spans="13:13" x14ac:dyDescent="0.25">
      <c r="M940" s="21">
        <v>2.3094010767585029</v>
      </c>
    </row>
    <row r="941" spans="13:13" x14ac:dyDescent="0.25">
      <c r="M941" s="21">
        <v>1</v>
      </c>
    </row>
    <row r="942" spans="13:13" x14ac:dyDescent="0.25">
      <c r="M942" s="21">
        <v>1.5</v>
      </c>
    </row>
    <row r="943" spans="13:13" x14ac:dyDescent="0.25">
      <c r="M943" s="21">
        <v>2.0615528128088303</v>
      </c>
    </row>
    <row r="944" spans="13:13" x14ac:dyDescent="0.25">
      <c r="M944" s="21">
        <v>0.9574271077563381</v>
      </c>
    </row>
    <row r="945" spans="13:13" x14ac:dyDescent="0.25">
      <c r="M945" s="21">
        <v>1.2583057392117916</v>
      </c>
    </row>
    <row r="946" spans="13:13" x14ac:dyDescent="0.25">
      <c r="M946" s="21">
        <v>0.81649658092772603</v>
      </c>
    </row>
    <row r="947" spans="13:13" x14ac:dyDescent="0.25">
      <c r="M947" s="21">
        <v>1.2583057392117916</v>
      </c>
    </row>
    <row r="948" spans="13:13" x14ac:dyDescent="0.25">
      <c r="M948" s="21">
        <v>0.81649658092772603</v>
      </c>
    </row>
    <row r="949" spans="13:13" x14ac:dyDescent="0.25">
      <c r="M949" s="21">
        <v>1.7320508075688772</v>
      </c>
    </row>
    <row r="950" spans="13:13" x14ac:dyDescent="0.25">
      <c r="M950" s="21">
        <v>1.7320508075688772</v>
      </c>
    </row>
    <row r="951" spans="13:13" x14ac:dyDescent="0.25">
      <c r="M951" s="21">
        <v>0.9574271077563381</v>
      </c>
    </row>
    <row r="952" spans="13:13" x14ac:dyDescent="0.25">
      <c r="M952" s="21">
        <v>2.6299556396765835</v>
      </c>
    </row>
    <row r="953" spans="13:13" x14ac:dyDescent="0.25">
      <c r="M953" s="21">
        <v>0.9574271077563381</v>
      </c>
    </row>
    <row r="954" spans="13:13" x14ac:dyDescent="0.25">
      <c r="M954" s="21">
        <v>0.9574271077563381</v>
      </c>
    </row>
    <row r="955" spans="13:13" x14ac:dyDescent="0.25">
      <c r="M955" s="21">
        <v>1.8929694486000912</v>
      </c>
    </row>
    <row r="956" spans="13:13" x14ac:dyDescent="0.25">
      <c r="M956" s="21">
        <v>1</v>
      </c>
    </row>
    <row r="957" spans="13:13" x14ac:dyDescent="0.25">
      <c r="M957" s="21">
        <v>2.2173557826083452</v>
      </c>
    </row>
    <row r="958" spans="13:13" x14ac:dyDescent="0.25">
      <c r="M958" s="21">
        <v>1.707825127659933</v>
      </c>
    </row>
    <row r="959" spans="13:13" x14ac:dyDescent="0.25">
      <c r="M959" s="21">
        <v>3.8622100754188224</v>
      </c>
    </row>
    <row r="960" spans="13:13" x14ac:dyDescent="0.25">
      <c r="M960" s="21">
        <v>2.0615528128088303</v>
      </c>
    </row>
    <row r="961" spans="13:13" x14ac:dyDescent="0.25">
      <c r="M961" s="21">
        <v>0.9574271077563381</v>
      </c>
    </row>
    <row r="962" spans="13:13" x14ac:dyDescent="0.25">
      <c r="M962" s="21">
        <v>2.0615528128088303</v>
      </c>
    </row>
    <row r="963" spans="13:13" x14ac:dyDescent="0.25">
      <c r="M963" s="21">
        <v>0.9574271077563381</v>
      </c>
    </row>
    <row r="964" spans="13:13" x14ac:dyDescent="0.25">
      <c r="M964" s="21">
        <v>0.5</v>
      </c>
    </row>
    <row r="965" spans="13:13" x14ac:dyDescent="0.25">
      <c r="M965" s="21">
        <v>1.9148542155126762</v>
      </c>
    </row>
    <row r="966" spans="13:13" x14ac:dyDescent="0.25">
      <c r="M966" s="21">
        <v>1.9148542155126762</v>
      </c>
    </row>
    <row r="967" spans="13:13" x14ac:dyDescent="0.25">
      <c r="M967" s="21">
        <v>2.753785273643051</v>
      </c>
    </row>
    <row r="968" spans="13:13" x14ac:dyDescent="0.25">
      <c r="M968" s="21">
        <v>2.1602468994692869</v>
      </c>
    </row>
    <row r="969" spans="13:13" x14ac:dyDescent="0.25">
      <c r="M969" s="21">
        <v>2.6457513110645907</v>
      </c>
    </row>
    <row r="970" spans="13:13" x14ac:dyDescent="0.25">
      <c r="M970" s="21">
        <v>1.707825127659933</v>
      </c>
    </row>
    <row r="971" spans="13:13" x14ac:dyDescent="0.25">
      <c r="M971" s="21">
        <v>1.2909944487358056</v>
      </c>
    </row>
    <row r="972" spans="13:13" x14ac:dyDescent="0.25">
      <c r="M972" s="21">
        <v>1.707825127659933</v>
      </c>
    </row>
    <row r="973" spans="13:13" x14ac:dyDescent="0.25">
      <c r="M973" s="21">
        <v>1.2909944487358056</v>
      </c>
    </row>
    <row r="974" spans="13:13" x14ac:dyDescent="0.25">
      <c r="M974" s="21">
        <v>1.4142135623730951</v>
      </c>
    </row>
    <row r="975" spans="13:13" x14ac:dyDescent="0.25">
      <c r="M975" s="21">
        <v>2.1602468994692869</v>
      </c>
    </row>
    <row r="976" spans="13:13" x14ac:dyDescent="0.25">
      <c r="M976" s="21">
        <v>1.2583057392117916</v>
      </c>
    </row>
    <row r="977" spans="13:13" x14ac:dyDescent="0.25">
      <c r="M977" s="21">
        <v>2.1602468994692869</v>
      </c>
    </row>
    <row r="978" spans="13:13" x14ac:dyDescent="0.25">
      <c r="M978" s="21">
        <v>1.707825127659933</v>
      </c>
    </row>
    <row r="979" spans="13:13" x14ac:dyDescent="0.25">
      <c r="M979" s="21">
        <v>2.753785273643051</v>
      </c>
    </row>
    <row r="980" spans="13:13" x14ac:dyDescent="0.25">
      <c r="M980" s="21">
        <v>2</v>
      </c>
    </row>
    <row r="981" spans="13:13" x14ac:dyDescent="0.25">
      <c r="M981" s="21">
        <v>2.0615528128088303</v>
      </c>
    </row>
    <row r="982" spans="13:13" x14ac:dyDescent="0.25">
      <c r="M982" s="21">
        <v>1.8257418583505538</v>
      </c>
    </row>
    <row r="983" spans="13:13" x14ac:dyDescent="0.25">
      <c r="M983" s="21">
        <v>0.81649658092772603</v>
      </c>
    </row>
    <row r="984" spans="13:13" x14ac:dyDescent="0.25">
      <c r="M984" s="21">
        <v>1.7320508075688772</v>
      </c>
    </row>
    <row r="985" spans="13:13" x14ac:dyDescent="0.25">
      <c r="M985" s="21">
        <v>2.0615528128088303</v>
      </c>
    </row>
    <row r="986" spans="13:13" x14ac:dyDescent="0.25">
      <c r="M986" s="21">
        <v>0.9574271077563381</v>
      </c>
    </row>
    <row r="987" spans="13:13" x14ac:dyDescent="0.25">
      <c r="M987" s="21">
        <v>2.1602468994692869</v>
      </c>
    </row>
    <row r="988" spans="13:13" x14ac:dyDescent="0.25">
      <c r="M988" s="21">
        <v>1.707825127659933</v>
      </c>
    </row>
    <row r="989" spans="13:13" x14ac:dyDescent="0.25">
      <c r="M989" s="21">
        <v>0.9574271077563381</v>
      </c>
    </row>
    <row r="990" spans="13:13" x14ac:dyDescent="0.25">
      <c r="M990" s="21">
        <v>1.2583057392117916</v>
      </c>
    </row>
    <row r="991" spans="13:13" x14ac:dyDescent="0.25">
      <c r="M991" s="21">
        <v>3</v>
      </c>
    </row>
    <row r="992" spans="13:13" x14ac:dyDescent="0.25">
      <c r="M992" s="21">
        <v>1.2583057392117916</v>
      </c>
    </row>
    <row r="993" spans="13:13" x14ac:dyDescent="0.25">
      <c r="M993" s="21">
        <v>1.707825127659933</v>
      </c>
    </row>
    <row r="994" spans="13:13" x14ac:dyDescent="0.25">
      <c r="M994" s="21">
        <v>2.6299556396765835</v>
      </c>
    </row>
    <row r="995" spans="13:13" x14ac:dyDescent="0.25">
      <c r="M995" s="21">
        <v>3</v>
      </c>
    </row>
    <row r="996" spans="13:13" x14ac:dyDescent="0.25">
      <c r="M996" s="21">
        <v>1</v>
      </c>
    </row>
    <row r="997" spans="13:13" x14ac:dyDescent="0.25">
      <c r="M997" s="21">
        <v>1.8929694486000912</v>
      </c>
    </row>
    <row r="998" spans="13:13" x14ac:dyDescent="0.25">
      <c r="M998" s="21">
        <v>2</v>
      </c>
    </row>
    <row r="999" spans="13:13" x14ac:dyDescent="0.25">
      <c r="M999" s="21">
        <v>2.8867513459481291</v>
      </c>
    </row>
    <row r="1000" spans="13:13" x14ac:dyDescent="0.25">
      <c r="M1000" s="21">
        <v>1.707825127659933</v>
      </c>
    </row>
    <row r="1001" spans="13:13" x14ac:dyDescent="0.25">
      <c r="M1001" s="21">
        <v>1.7320508075688772</v>
      </c>
    </row>
    <row r="1002" spans="13:13" x14ac:dyDescent="0.25">
      <c r="M1002" s="21">
        <v>3.6514837167011076</v>
      </c>
    </row>
    <row r="1003" spans="13:13" x14ac:dyDescent="0.25">
      <c r="M1003" s="21">
        <v>1.6329931618554521</v>
      </c>
    </row>
    <row r="1004" spans="13:13" x14ac:dyDescent="0.25">
      <c r="M1004" s="21">
        <v>2.8722813232690143</v>
      </c>
    </row>
    <row r="1005" spans="13:13" x14ac:dyDescent="0.25">
      <c r="M1005" s="21"/>
    </row>
    <row r="1006" spans="13:13" x14ac:dyDescent="0.25">
      <c r="M1006" s="21"/>
    </row>
    <row r="1007" spans="13:13" x14ac:dyDescent="0.25">
      <c r="M1007" s="21"/>
    </row>
    <row r="1008" spans="13:13" x14ac:dyDescent="0.25">
      <c r="M1008" s="21"/>
    </row>
    <row r="1009" spans="13:13" x14ac:dyDescent="0.25">
      <c r="M1009" s="21"/>
    </row>
    <row r="1010" spans="13:13" x14ac:dyDescent="0.25">
      <c r="M1010" s="21"/>
    </row>
    <row r="1011" spans="13:13" x14ac:dyDescent="0.25">
      <c r="M1011" s="21"/>
    </row>
    <row r="1012" spans="13:13" x14ac:dyDescent="0.25">
      <c r="M1012" s="21"/>
    </row>
    <row r="1013" spans="13:13" x14ac:dyDescent="0.25">
      <c r="M1013" s="21"/>
    </row>
    <row r="1014" spans="13:13" x14ac:dyDescent="0.25">
      <c r="M1014" s="21"/>
    </row>
    <row r="1015" spans="13:13" x14ac:dyDescent="0.25">
      <c r="M1015" s="21"/>
    </row>
    <row r="1016" spans="13:13" x14ac:dyDescent="0.25">
      <c r="M1016" s="21"/>
    </row>
    <row r="1017" spans="13:13" x14ac:dyDescent="0.25">
      <c r="M1017" s="21"/>
    </row>
    <row r="1018" spans="13:13" x14ac:dyDescent="0.25">
      <c r="M1018" s="21"/>
    </row>
    <row r="1019" spans="13:13" x14ac:dyDescent="0.25">
      <c r="M1019" s="21"/>
    </row>
    <row r="1020" spans="13:13" x14ac:dyDescent="0.25">
      <c r="M1020" s="21"/>
    </row>
    <row r="1021" spans="13:13" x14ac:dyDescent="0.25">
      <c r="M1021" s="21"/>
    </row>
    <row r="1022" spans="13:13" x14ac:dyDescent="0.25">
      <c r="M1022" s="21"/>
    </row>
    <row r="1023" spans="13:13" x14ac:dyDescent="0.25">
      <c r="M1023" s="21"/>
    </row>
    <row r="1024" spans="13:13" x14ac:dyDescent="0.25">
      <c r="M1024" s="21"/>
    </row>
    <row r="1025" spans="13:13" x14ac:dyDescent="0.25">
      <c r="M1025" s="21"/>
    </row>
    <row r="1026" spans="13:13" x14ac:dyDescent="0.25">
      <c r="M1026" s="21"/>
    </row>
    <row r="1027" spans="13:13" x14ac:dyDescent="0.25">
      <c r="M1027" s="21"/>
    </row>
    <row r="1028" spans="13:13" x14ac:dyDescent="0.25">
      <c r="M1028" s="21"/>
    </row>
    <row r="1029" spans="13:13" x14ac:dyDescent="0.25">
      <c r="M1029" s="21"/>
    </row>
    <row r="1030" spans="13:13" x14ac:dyDescent="0.25">
      <c r="M1030" s="21"/>
    </row>
    <row r="1031" spans="13:13" x14ac:dyDescent="0.25">
      <c r="M1031" s="21"/>
    </row>
    <row r="1032" spans="13:13" x14ac:dyDescent="0.25">
      <c r="M1032" s="21"/>
    </row>
    <row r="1033" spans="13:13" x14ac:dyDescent="0.25">
      <c r="M1033" s="21"/>
    </row>
    <row r="1034" spans="13:13" x14ac:dyDescent="0.25">
      <c r="M1034" s="21"/>
    </row>
    <row r="1035" spans="13:13" x14ac:dyDescent="0.25">
      <c r="M1035" s="21"/>
    </row>
    <row r="1036" spans="13:13" x14ac:dyDescent="0.25">
      <c r="M1036" s="21"/>
    </row>
    <row r="1037" spans="13:13" x14ac:dyDescent="0.25">
      <c r="M1037" s="21"/>
    </row>
    <row r="1038" spans="13:13" x14ac:dyDescent="0.25">
      <c r="M1038" s="21"/>
    </row>
    <row r="1039" spans="13:13" x14ac:dyDescent="0.25">
      <c r="M1039" s="21"/>
    </row>
    <row r="1040" spans="13:13" x14ac:dyDescent="0.25">
      <c r="M1040" s="21"/>
    </row>
    <row r="1041" spans="13:13" x14ac:dyDescent="0.25">
      <c r="M1041" s="21"/>
    </row>
    <row r="1042" spans="13:13" x14ac:dyDescent="0.25">
      <c r="M1042" s="21"/>
    </row>
    <row r="1043" spans="13:13" x14ac:dyDescent="0.25">
      <c r="M1043" s="21"/>
    </row>
    <row r="1044" spans="13:13" x14ac:dyDescent="0.25">
      <c r="M1044" s="21"/>
    </row>
    <row r="1045" spans="13:13" x14ac:dyDescent="0.25">
      <c r="M1045" s="21"/>
    </row>
    <row r="1046" spans="13:13" x14ac:dyDescent="0.25">
      <c r="M1046" s="21"/>
    </row>
    <row r="1047" spans="13:13" x14ac:dyDescent="0.25">
      <c r="M1047" s="21"/>
    </row>
    <row r="1048" spans="13:13" x14ac:dyDescent="0.25">
      <c r="M1048" s="21"/>
    </row>
    <row r="1049" spans="13:13" x14ac:dyDescent="0.25">
      <c r="M1049" s="21"/>
    </row>
    <row r="1050" spans="13:13" x14ac:dyDescent="0.25">
      <c r="M1050" s="21"/>
    </row>
    <row r="1051" spans="13:13" x14ac:dyDescent="0.25">
      <c r="M1051" s="21"/>
    </row>
    <row r="1052" spans="13:13" x14ac:dyDescent="0.25">
      <c r="M1052" s="21"/>
    </row>
    <row r="1053" spans="13:13" x14ac:dyDescent="0.25">
      <c r="M1053" s="21"/>
    </row>
    <row r="1054" spans="13:13" x14ac:dyDescent="0.25">
      <c r="M1054" s="21"/>
    </row>
    <row r="1055" spans="13:13" x14ac:dyDescent="0.25">
      <c r="M1055" s="21"/>
    </row>
    <row r="1056" spans="13:13" x14ac:dyDescent="0.25">
      <c r="M1056" s="21"/>
    </row>
    <row r="1057" spans="13:13" x14ac:dyDescent="0.25">
      <c r="M1057" s="21"/>
    </row>
    <row r="1058" spans="13:13" x14ac:dyDescent="0.25">
      <c r="M1058" s="21"/>
    </row>
    <row r="1059" spans="13:13" x14ac:dyDescent="0.25">
      <c r="M1059" s="21"/>
    </row>
    <row r="1060" spans="13:13" x14ac:dyDescent="0.25">
      <c r="M1060" s="21"/>
    </row>
    <row r="1061" spans="13:13" x14ac:dyDescent="0.25">
      <c r="M1061" s="21"/>
    </row>
    <row r="1062" spans="13:13" x14ac:dyDescent="0.25">
      <c r="M1062" s="21"/>
    </row>
    <row r="1063" spans="13:13" x14ac:dyDescent="0.25">
      <c r="M1063" s="21"/>
    </row>
    <row r="1064" spans="13:13" x14ac:dyDescent="0.25">
      <c r="M1064" s="21"/>
    </row>
    <row r="1065" spans="13:13" x14ac:dyDescent="0.25">
      <c r="M1065" s="21"/>
    </row>
    <row r="1066" spans="13:13" x14ac:dyDescent="0.25">
      <c r="M1066" s="21"/>
    </row>
    <row r="1067" spans="13:13" x14ac:dyDescent="0.25">
      <c r="M1067" s="21"/>
    </row>
    <row r="1068" spans="13:13" x14ac:dyDescent="0.25">
      <c r="M1068" s="21"/>
    </row>
    <row r="1069" spans="13:13" x14ac:dyDescent="0.25">
      <c r="M1069" s="21"/>
    </row>
    <row r="1070" spans="13:13" x14ac:dyDescent="0.25">
      <c r="M1070" s="21"/>
    </row>
    <row r="1071" spans="13:13" x14ac:dyDescent="0.25">
      <c r="M1071" s="21"/>
    </row>
    <row r="1072" spans="13:13" x14ac:dyDescent="0.25">
      <c r="M1072" s="21"/>
    </row>
    <row r="1073" spans="13:13" x14ac:dyDescent="0.25">
      <c r="M1073" s="21"/>
    </row>
    <row r="1074" spans="13:13" x14ac:dyDescent="0.25">
      <c r="M1074" s="21"/>
    </row>
    <row r="1075" spans="13:13" x14ac:dyDescent="0.25">
      <c r="M1075" s="21"/>
    </row>
    <row r="1076" spans="13:13" x14ac:dyDescent="0.25">
      <c r="M1076" s="21"/>
    </row>
    <row r="1077" spans="13:13" x14ac:dyDescent="0.25">
      <c r="M1077" s="21"/>
    </row>
    <row r="1078" spans="13:13" x14ac:dyDescent="0.25">
      <c r="M1078" s="21"/>
    </row>
    <row r="1079" spans="13:13" x14ac:dyDescent="0.25">
      <c r="M1079" s="21"/>
    </row>
    <row r="1080" spans="13:13" x14ac:dyDescent="0.25">
      <c r="M1080" s="21"/>
    </row>
    <row r="1081" spans="13:13" x14ac:dyDescent="0.25">
      <c r="M1081" s="21"/>
    </row>
    <row r="1082" spans="13:13" x14ac:dyDescent="0.25">
      <c r="M1082" s="21"/>
    </row>
    <row r="1083" spans="13:13" x14ac:dyDescent="0.25">
      <c r="M1083" s="21"/>
    </row>
    <row r="1084" spans="13:13" x14ac:dyDescent="0.25">
      <c r="M1084" s="21"/>
    </row>
    <row r="1085" spans="13:13" x14ac:dyDescent="0.25">
      <c r="M1085" s="21"/>
    </row>
    <row r="1086" spans="13:13" x14ac:dyDescent="0.25">
      <c r="M1086" s="21"/>
    </row>
    <row r="1087" spans="13:13" x14ac:dyDescent="0.25">
      <c r="M1087" s="21"/>
    </row>
    <row r="1088" spans="13:13" x14ac:dyDescent="0.25">
      <c r="M1088" s="21"/>
    </row>
    <row r="1089" spans="13:13" x14ac:dyDescent="0.25">
      <c r="M1089" s="21"/>
    </row>
    <row r="1090" spans="13:13" x14ac:dyDescent="0.25">
      <c r="M1090" s="21"/>
    </row>
    <row r="1091" spans="13:13" x14ac:dyDescent="0.25">
      <c r="M1091" s="21"/>
    </row>
    <row r="1092" spans="13:13" x14ac:dyDescent="0.25">
      <c r="M1092" s="21"/>
    </row>
    <row r="1093" spans="13:13" x14ac:dyDescent="0.25">
      <c r="M1093" s="21"/>
    </row>
    <row r="1094" spans="13:13" x14ac:dyDescent="0.25">
      <c r="M1094" s="21"/>
    </row>
    <row r="1095" spans="13:13" x14ac:dyDescent="0.25">
      <c r="M1095" s="21"/>
    </row>
    <row r="1096" spans="13:13" x14ac:dyDescent="0.25">
      <c r="M1096" s="21"/>
    </row>
    <row r="1097" spans="13:13" x14ac:dyDescent="0.25">
      <c r="M1097" s="21"/>
    </row>
    <row r="1098" spans="13:13" x14ac:dyDescent="0.25">
      <c r="M1098" s="21"/>
    </row>
    <row r="1099" spans="13:13" x14ac:dyDescent="0.25">
      <c r="M1099" s="21"/>
    </row>
    <row r="1100" spans="13:13" x14ac:dyDescent="0.25">
      <c r="M1100" s="21"/>
    </row>
    <row r="1101" spans="13:13" x14ac:dyDescent="0.25">
      <c r="M1101" s="21"/>
    </row>
    <row r="1102" spans="13:13" x14ac:dyDescent="0.25">
      <c r="M1102" s="21"/>
    </row>
    <row r="1103" spans="13:13" x14ac:dyDescent="0.25">
      <c r="M1103" s="21"/>
    </row>
    <row r="1104" spans="13:13" x14ac:dyDescent="0.25">
      <c r="M1104" s="21"/>
    </row>
    <row r="1105" spans="13:13" x14ac:dyDescent="0.25">
      <c r="M1105" s="21"/>
    </row>
    <row r="1106" spans="13:13" x14ac:dyDescent="0.25">
      <c r="M1106" s="21"/>
    </row>
    <row r="1107" spans="13:13" x14ac:dyDescent="0.25">
      <c r="M1107" s="21"/>
    </row>
    <row r="1108" spans="13:13" x14ac:dyDescent="0.25">
      <c r="M1108" s="21"/>
    </row>
    <row r="1109" spans="13:13" x14ac:dyDescent="0.25">
      <c r="M1109" s="21"/>
    </row>
    <row r="1110" spans="13:13" x14ac:dyDescent="0.25">
      <c r="M1110" s="21"/>
    </row>
    <row r="1111" spans="13:13" x14ac:dyDescent="0.25">
      <c r="M1111" s="21"/>
    </row>
    <row r="1112" spans="13:13" x14ac:dyDescent="0.25">
      <c r="M1112" s="21"/>
    </row>
    <row r="1113" spans="13:13" x14ac:dyDescent="0.25">
      <c r="M1113" s="21"/>
    </row>
    <row r="1114" spans="13:13" x14ac:dyDescent="0.25">
      <c r="M1114" s="21"/>
    </row>
    <row r="1115" spans="13:13" x14ac:dyDescent="0.25">
      <c r="M1115" s="21"/>
    </row>
    <row r="1116" spans="13:13" x14ac:dyDescent="0.25">
      <c r="M1116" s="21"/>
    </row>
    <row r="1117" spans="13:13" x14ac:dyDescent="0.25">
      <c r="M1117" s="21"/>
    </row>
    <row r="1118" spans="13:13" x14ac:dyDescent="0.25">
      <c r="M1118" s="21"/>
    </row>
    <row r="1119" spans="13:13" x14ac:dyDescent="0.25">
      <c r="M1119" s="21"/>
    </row>
    <row r="1120" spans="13:13" x14ac:dyDescent="0.25">
      <c r="M1120" s="21"/>
    </row>
    <row r="1121" spans="13:13" x14ac:dyDescent="0.25">
      <c r="M1121" s="21"/>
    </row>
    <row r="1122" spans="13:13" x14ac:dyDescent="0.25">
      <c r="M1122" s="21"/>
    </row>
    <row r="1123" spans="13:13" x14ac:dyDescent="0.25">
      <c r="M1123" s="21"/>
    </row>
    <row r="1124" spans="13:13" x14ac:dyDescent="0.25">
      <c r="M1124" s="21"/>
    </row>
    <row r="1125" spans="13:13" x14ac:dyDescent="0.25">
      <c r="M1125" s="21"/>
    </row>
    <row r="1126" spans="13:13" x14ac:dyDescent="0.25">
      <c r="M1126" s="21"/>
    </row>
    <row r="1127" spans="13:13" x14ac:dyDescent="0.25">
      <c r="M1127" s="21"/>
    </row>
    <row r="1128" spans="13:13" x14ac:dyDescent="0.25">
      <c r="M1128" s="21"/>
    </row>
    <row r="1129" spans="13:13" x14ac:dyDescent="0.25">
      <c r="M1129" s="21"/>
    </row>
    <row r="1130" spans="13:13" x14ac:dyDescent="0.25">
      <c r="M1130" s="21"/>
    </row>
    <row r="1131" spans="13:13" x14ac:dyDescent="0.25">
      <c r="M1131" s="21"/>
    </row>
    <row r="1132" spans="13:13" x14ac:dyDescent="0.25">
      <c r="M1132" s="21"/>
    </row>
    <row r="1133" spans="13:13" x14ac:dyDescent="0.25">
      <c r="M1133" s="21"/>
    </row>
    <row r="1134" spans="13:13" x14ac:dyDescent="0.25">
      <c r="M1134" s="21"/>
    </row>
    <row r="1135" spans="13:13" x14ac:dyDescent="0.25">
      <c r="M1135" s="21"/>
    </row>
    <row r="1136" spans="13:13" x14ac:dyDescent="0.25">
      <c r="M1136" s="21"/>
    </row>
    <row r="1137" spans="13:13" x14ac:dyDescent="0.25">
      <c r="M1137" s="21"/>
    </row>
    <row r="1138" spans="13:13" x14ac:dyDescent="0.25">
      <c r="M1138" s="21"/>
    </row>
    <row r="1139" spans="13:13" x14ac:dyDescent="0.25">
      <c r="M1139" s="21"/>
    </row>
    <row r="1140" spans="13:13" x14ac:dyDescent="0.25">
      <c r="M1140" s="21"/>
    </row>
    <row r="1141" spans="13:13" x14ac:dyDescent="0.25">
      <c r="M1141" s="21"/>
    </row>
    <row r="1142" spans="13:13" x14ac:dyDescent="0.25">
      <c r="M1142" s="21"/>
    </row>
    <row r="1143" spans="13:13" x14ac:dyDescent="0.25">
      <c r="M1143" s="21"/>
    </row>
    <row r="1144" spans="13:13" x14ac:dyDescent="0.25">
      <c r="M1144" s="21"/>
    </row>
    <row r="1145" spans="13:13" x14ac:dyDescent="0.25">
      <c r="M1145" s="21"/>
    </row>
    <row r="1146" spans="13:13" x14ac:dyDescent="0.25">
      <c r="M1146" s="21"/>
    </row>
    <row r="1147" spans="13:13" x14ac:dyDescent="0.25">
      <c r="M1147" s="21"/>
    </row>
    <row r="1148" spans="13:13" x14ac:dyDescent="0.25">
      <c r="M1148" s="21"/>
    </row>
    <row r="1149" spans="13:13" x14ac:dyDescent="0.25">
      <c r="M1149" s="21"/>
    </row>
    <row r="1150" spans="13:13" x14ac:dyDescent="0.25">
      <c r="M1150" s="21"/>
    </row>
    <row r="1151" spans="13:13" x14ac:dyDescent="0.25">
      <c r="M1151" s="21"/>
    </row>
    <row r="1152" spans="13:13" x14ac:dyDescent="0.25">
      <c r="M1152" s="21"/>
    </row>
    <row r="1153" spans="13:13" x14ac:dyDescent="0.25">
      <c r="M1153" s="21"/>
    </row>
    <row r="1154" spans="13:13" x14ac:dyDescent="0.25">
      <c r="M1154" s="21"/>
    </row>
    <row r="1155" spans="13:13" x14ac:dyDescent="0.25">
      <c r="M1155" s="21"/>
    </row>
    <row r="1156" spans="13:13" x14ac:dyDescent="0.25">
      <c r="M1156" s="21"/>
    </row>
    <row r="1157" spans="13:13" x14ac:dyDescent="0.25">
      <c r="M1157" s="21"/>
    </row>
    <row r="1158" spans="13:13" x14ac:dyDescent="0.25">
      <c r="M1158" s="21"/>
    </row>
    <row r="1159" spans="13:13" x14ac:dyDescent="0.25">
      <c r="M1159" s="21"/>
    </row>
    <row r="1160" spans="13:13" x14ac:dyDescent="0.25">
      <c r="M1160" s="21"/>
    </row>
    <row r="1161" spans="13:13" x14ac:dyDescent="0.25">
      <c r="M1161" s="21"/>
    </row>
    <row r="1162" spans="13:13" x14ac:dyDescent="0.25">
      <c r="M1162" s="21"/>
    </row>
    <row r="1163" spans="13:13" x14ac:dyDescent="0.25">
      <c r="M1163" s="21"/>
    </row>
    <row r="1164" spans="13:13" x14ac:dyDescent="0.25">
      <c r="M1164" s="21"/>
    </row>
    <row r="1165" spans="13:13" x14ac:dyDescent="0.25">
      <c r="M1165" s="21"/>
    </row>
    <row r="1166" spans="13:13" x14ac:dyDescent="0.25">
      <c r="M1166" s="21"/>
    </row>
    <row r="1167" spans="13:13" x14ac:dyDescent="0.25">
      <c r="M1167" s="21"/>
    </row>
    <row r="1168" spans="13:13" x14ac:dyDescent="0.25">
      <c r="M1168" s="21"/>
    </row>
    <row r="1169" spans="13:13" x14ac:dyDescent="0.25">
      <c r="M1169" s="21"/>
    </row>
    <row r="1170" spans="13:13" x14ac:dyDescent="0.25">
      <c r="M1170" s="21"/>
    </row>
    <row r="1171" spans="13:13" x14ac:dyDescent="0.25">
      <c r="M1171" s="21"/>
    </row>
    <row r="1172" spans="13:13" x14ac:dyDescent="0.25">
      <c r="M1172" s="21"/>
    </row>
    <row r="1173" spans="13:13" x14ac:dyDescent="0.25">
      <c r="M1173" s="21"/>
    </row>
    <row r="1174" spans="13:13" x14ac:dyDescent="0.25">
      <c r="M1174" s="21"/>
    </row>
    <row r="1175" spans="13:13" x14ac:dyDescent="0.25">
      <c r="M1175" s="21"/>
    </row>
    <row r="1176" spans="13:13" x14ac:dyDescent="0.25">
      <c r="M1176" s="21"/>
    </row>
    <row r="1177" spans="13:13" x14ac:dyDescent="0.25">
      <c r="M1177" s="21"/>
    </row>
    <row r="1178" spans="13:13" x14ac:dyDescent="0.25">
      <c r="M1178" s="21"/>
    </row>
    <row r="1179" spans="13:13" x14ac:dyDescent="0.25">
      <c r="M1179" s="21"/>
    </row>
    <row r="1180" spans="13:13" x14ac:dyDescent="0.25">
      <c r="M1180" s="21"/>
    </row>
    <row r="1181" spans="13:13" x14ac:dyDescent="0.25">
      <c r="M1181" s="21"/>
    </row>
    <row r="1182" spans="13:13" x14ac:dyDescent="0.25">
      <c r="M1182" s="21"/>
    </row>
    <row r="1183" spans="13:13" x14ac:dyDescent="0.25">
      <c r="M1183" s="21"/>
    </row>
    <row r="1184" spans="13:13" x14ac:dyDescent="0.25">
      <c r="M1184" s="21"/>
    </row>
    <row r="1185" spans="13:13" x14ac:dyDescent="0.25">
      <c r="M1185" s="21"/>
    </row>
    <row r="1186" spans="13:13" x14ac:dyDescent="0.25">
      <c r="M1186" s="21"/>
    </row>
    <row r="1187" spans="13:13" x14ac:dyDescent="0.25">
      <c r="M1187" s="21"/>
    </row>
    <row r="1188" spans="13:13" x14ac:dyDescent="0.25">
      <c r="M1188" s="21"/>
    </row>
    <row r="1189" spans="13:13" x14ac:dyDescent="0.25">
      <c r="M1189" s="21"/>
    </row>
    <row r="1190" spans="13:13" x14ac:dyDescent="0.25">
      <c r="M1190" s="21"/>
    </row>
    <row r="1191" spans="13:13" x14ac:dyDescent="0.25">
      <c r="M1191" s="21"/>
    </row>
    <row r="1192" spans="13:13" x14ac:dyDescent="0.25">
      <c r="M1192" s="21"/>
    </row>
    <row r="1193" spans="13:13" x14ac:dyDescent="0.25">
      <c r="M1193" s="21"/>
    </row>
    <row r="1194" spans="13:13" x14ac:dyDescent="0.25">
      <c r="M1194" s="21"/>
    </row>
    <row r="1195" spans="13:13" x14ac:dyDescent="0.25">
      <c r="M1195" s="21"/>
    </row>
    <row r="1196" spans="13:13" x14ac:dyDescent="0.25">
      <c r="M1196" s="21"/>
    </row>
    <row r="1197" spans="13:13" x14ac:dyDescent="0.25">
      <c r="M1197" s="21"/>
    </row>
    <row r="1198" spans="13:13" x14ac:dyDescent="0.25">
      <c r="M1198" s="21"/>
    </row>
    <row r="1199" spans="13:13" x14ac:dyDescent="0.25">
      <c r="M1199" s="21"/>
    </row>
    <row r="1200" spans="13:13" x14ac:dyDescent="0.25">
      <c r="M1200" s="21"/>
    </row>
    <row r="1201" spans="13:13" x14ac:dyDescent="0.25">
      <c r="M1201" s="21"/>
    </row>
    <row r="1202" spans="13:13" x14ac:dyDescent="0.25">
      <c r="M1202" s="21"/>
    </row>
    <row r="1203" spans="13:13" x14ac:dyDescent="0.25">
      <c r="M1203" s="21"/>
    </row>
    <row r="1204" spans="13:13" x14ac:dyDescent="0.25">
      <c r="M1204" s="21"/>
    </row>
    <row r="1205" spans="13:13" x14ac:dyDescent="0.25">
      <c r="M1205" s="21"/>
    </row>
    <row r="1206" spans="13:13" x14ac:dyDescent="0.25">
      <c r="M1206" s="21"/>
    </row>
    <row r="1207" spans="13:13" x14ac:dyDescent="0.25">
      <c r="M1207" s="21"/>
    </row>
    <row r="1208" spans="13:13" x14ac:dyDescent="0.25">
      <c r="M1208" s="21"/>
    </row>
    <row r="1209" spans="13:13" x14ac:dyDescent="0.25">
      <c r="M1209" s="21"/>
    </row>
    <row r="1210" spans="13:13" x14ac:dyDescent="0.25">
      <c r="M1210" s="21"/>
    </row>
    <row r="1211" spans="13:13" x14ac:dyDescent="0.25">
      <c r="M1211" s="21"/>
    </row>
    <row r="1212" spans="13:13" x14ac:dyDescent="0.25">
      <c r="M1212" s="21"/>
    </row>
    <row r="1213" spans="13:13" x14ac:dyDescent="0.25">
      <c r="M1213" s="21"/>
    </row>
    <row r="1214" spans="13:13" x14ac:dyDescent="0.25">
      <c r="M1214" s="21"/>
    </row>
    <row r="1215" spans="13:13" x14ac:dyDescent="0.25">
      <c r="M1215" s="21"/>
    </row>
    <row r="1216" spans="13:13" x14ac:dyDescent="0.25">
      <c r="M1216" s="21"/>
    </row>
    <row r="1217" spans="13:13" x14ac:dyDescent="0.25">
      <c r="M1217" s="21"/>
    </row>
    <row r="1218" spans="13:13" x14ac:dyDescent="0.25">
      <c r="M1218" s="21"/>
    </row>
    <row r="1219" spans="13:13" x14ac:dyDescent="0.25">
      <c r="M1219" s="21"/>
    </row>
    <row r="1220" spans="13:13" x14ac:dyDescent="0.25">
      <c r="M1220" s="21"/>
    </row>
    <row r="1221" spans="13:13" x14ac:dyDescent="0.25">
      <c r="M1221" s="21"/>
    </row>
    <row r="1222" spans="13:13" x14ac:dyDescent="0.25">
      <c r="M1222" s="21"/>
    </row>
    <row r="1223" spans="13:13" x14ac:dyDescent="0.25">
      <c r="M1223" s="21"/>
    </row>
    <row r="1224" spans="13:13" x14ac:dyDescent="0.25">
      <c r="M1224" s="21"/>
    </row>
    <row r="1225" spans="13:13" x14ac:dyDescent="0.25">
      <c r="M1225" s="21"/>
    </row>
    <row r="1226" spans="13:13" x14ac:dyDescent="0.25">
      <c r="M1226" s="21"/>
    </row>
    <row r="1227" spans="13:13" x14ac:dyDescent="0.25">
      <c r="M1227" s="21"/>
    </row>
    <row r="1228" spans="13:13" x14ac:dyDescent="0.25">
      <c r="M1228" s="21"/>
    </row>
    <row r="1229" spans="13:13" x14ac:dyDescent="0.25">
      <c r="M1229" s="21"/>
    </row>
    <row r="1230" spans="13:13" x14ac:dyDescent="0.25">
      <c r="M1230" s="21"/>
    </row>
    <row r="1231" spans="13:13" x14ac:dyDescent="0.25">
      <c r="M1231" s="21"/>
    </row>
    <row r="1232" spans="13:13" x14ac:dyDescent="0.25">
      <c r="M1232" s="21"/>
    </row>
    <row r="1233" spans="13:13" x14ac:dyDescent="0.25">
      <c r="M1233" s="21"/>
    </row>
    <row r="1234" spans="13:13" x14ac:dyDescent="0.25">
      <c r="M1234" s="21"/>
    </row>
    <row r="1235" spans="13:13" x14ac:dyDescent="0.25">
      <c r="M1235" s="21"/>
    </row>
    <row r="1236" spans="13:13" x14ac:dyDescent="0.25">
      <c r="M1236" s="21"/>
    </row>
    <row r="1237" spans="13:13" x14ac:dyDescent="0.25">
      <c r="M1237" s="21"/>
    </row>
    <row r="1238" spans="13:13" x14ac:dyDescent="0.25">
      <c r="M1238" s="21"/>
    </row>
    <row r="1239" spans="13:13" x14ac:dyDescent="0.25">
      <c r="M1239" s="21"/>
    </row>
    <row r="1240" spans="13:13" x14ac:dyDescent="0.25">
      <c r="M1240" s="21"/>
    </row>
    <row r="1241" spans="13:13" x14ac:dyDescent="0.25">
      <c r="M1241" s="21"/>
    </row>
    <row r="1242" spans="13:13" x14ac:dyDescent="0.25">
      <c r="M1242" s="21"/>
    </row>
    <row r="1243" spans="13:13" x14ac:dyDescent="0.25">
      <c r="M1243" s="21"/>
    </row>
    <row r="1244" spans="13:13" x14ac:dyDescent="0.25">
      <c r="M1244" s="21"/>
    </row>
    <row r="1245" spans="13:13" x14ac:dyDescent="0.25">
      <c r="M1245" s="21"/>
    </row>
    <row r="1246" spans="13:13" x14ac:dyDescent="0.25">
      <c r="M1246" s="21"/>
    </row>
    <row r="1247" spans="13:13" x14ac:dyDescent="0.25">
      <c r="M1247" s="21"/>
    </row>
    <row r="1248" spans="13:13" x14ac:dyDescent="0.25">
      <c r="M1248" s="21"/>
    </row>
    <row r="1249" spans="13:13" x14ac:dyDescent="0.25">
      <c r="M1249" s="21"/>
    </row>
    <row r="1250" spans="13:13" x14ac:dyDescent="0.25">
      <c r="M1250" s="21"/>
    </row>
    <row r="1251" spans="13:13" x14ac:dyDescent="0.25">
      <c r="M1251" s="21"/>
    </row>
    <row r="1252" spans="13:13" x14ac:dyDescent="0.25">
      <c r="M1252" s="21"/>
    </row>
    <row r="1253" spans="13:13" x14ac:dyDescent="0.25">
      <c r="M1253" s="21"/>
    </row>
    <row r="1254" spans="13:13" x14ac:dyDescent="0.25">
      <c r="M1254" s="21"/>
    </row>
    <row r="1255" spans="13:13" x14ac:dyDescent="0.25">
      <c r="M1255" s="21"/>
    </row>
    <row r="1256" spans="13:13" x14ac:dyDescent="0.25">
      <c r="M1256" s="21"/>
    </row>
    <row r="1257" spans="13:13" x14ac:dyDescent="0.25">
      <c r="M1257" s="21"/>
    </row>
    <row r="1258" spans="13:13" x14ac:dyDescent="0.25">
      <c r="M1258" s="21"/>
    </row>
    <row r="1259" spans="13:13" x14ac:dyDescent="0.25">
      <c r="M1259" s="21"/>
    </row>
    <row r="1260" spans="13:13" x14ac:dyDescent="0.25">
      <c r="M1260" s="21"/>
    </row>
    <row r="1261" spans="13:13" x14ac:dyDescent="0.25">
      <c r="M1261" s="21"/>
    </row>
    <row r="1262" spans="13:13" x14ac:dyDescent="0.25">
      <c r="M1262" s="21"/>
    </row>
    <row r="1263" spans="13:13" x14ac:dyDescent="0.25">
      <c r="M1263" s="21"/>
    </row>
    <row r="1264" spans="13:13" x14ac:dyDescent="0.25">
      <c r="M1264" s="21"/>
    </row>
    <row r="1265" spans="13:13" x14ac:dyDescent="0.25">
      <c r="M1265" s="21"/>
    </row>
    <row r="1266" spans="13:13" x14ac:dyDescent="0.25">
      <c r="M1266" s="21"/>
    </row>
    <row r="1267" spans="13:13" x14ac:dyDescent="0.25">
      <c r="M1267" s="21"/>
    </row>
    <row r="1268" spans="13:13" x14ac:dyDescent="0.25">
      <c r="M1268" s="21"/>
    </row>
    <row r="1269" spans="13:13" x14ac:dyDescent="0.25">
      <c r="M1269" s="21"/>
    </row>
    <row r="1270" spans="13:13" x14ac:dyDescent="0.25">
      <c r="M1270" s="21"/>
    </row>
    <row r="1271" spans="13:13" x14ac:dyDescent="0.25">
      <c r="M1271" s="21"/>
    </row>
    <row r="1272" spans="13:13" x14ac:dyDescent="0.25">
      <c r="M1272" s="21"/>
    </row>
    <row r="1273" spans="13:13" x14ac:dyDescent="0.25">
      <c r="M1273" s="21"/>
    </row>
    <row r="1274" spans="13:13" x14ac:dyDescent="0.25">
      <c r="M1274" s="21"/>
    </row>
    <row r="1275" spans="13:13" x14ac:dyDescent="0.25">
      <c r="M1275" s="21"/>
    </row>
    <row r="1276" spans="13:13" x14ac:dyDescent="0.25">
      <c r="M1276" s="21"/>
    </row>
    <row r="1277" spans="13:13" x14ac:dyDescent="0.25">
      <c r="M1277" s="21"/>
    </row>
    <row r="1278" spans="13:13" x14ac:dyDescent="0.25">
      <c r="M1278" s="21"/>
    </row>
    <row r="1279" spans="13:13" x14ac:dyDescent="0.25">
      <c r="M1279" s="21"/>
    </row>
    <row r="1280" spans="13:13" x14ac:dyDescent="0.25">
      <c r="M1280" s="21"/>
    </row>
    <row r="1281" spans="13:13" x14ac:dyDescent="0.25">
      <c r="M1281" s="21"/>
    </row>
    <row r="1282" spans="13:13" x14ac:dyDescent="0.25">
      <c r="M1282" s="21"/>
    </row>
    <row r="1283" spans="13:13" x14ac:dyDescent="0.25">
      <c r="M1283" s="21"/>
    </row>
    <row r="1284" spans="13:13" x14ac:dyDescent="0.25">
      <c r="M1284" s="21"/>
    </row>
    <row r="1285" spans="13:13" x14ac:dyDescent="0.25">
      <c r="M1285" s="21"/>
    </row>
    <row r="1286" spans="13:13" x14ac:dyDescent="0.25">
      <c r="M1286" s="21"/>
    </row>
    <row r="1287" spans="13:13" x14ac:dyDescent="0.25">
      <c r="M1287" s="21"/>
    </row>
    <row r="1288" spans="13:13" x14ac:dyDescent="0.25">
      <c r="M1288" s="21"/>
    </row>
    <row r="1289" spans="13:13" x14ac:dyDescent="0.25">
      <c r="M1289" s="21"/>
    </row>
    <row r="1290" spans="13:13" x14ac:dyDescent="0.25">
      <c r="M1290" s="21"/>
    </row>
    <row r="1291" spans="13:13" x14ac:dyDescent="0.25">
      <c r="M1291" s="21"/>
    </row>
    <row r="1292" spans="13:13" x14ac:dyDescent="0.25">
      <c r="M1292" s="21"/>
    </row>
    <row r="1293" spans="13:13" x14ac:dyDescent="0.25">
      <c r="M1293" s="21"/>
    </row>
    <row r="1294" spans="13:13" x14ac:dyDescent="0.25">
      <c r="M1294" s="21"/>
    </row>
    <row r="1295" spans="13:13" x14ac:dyDescent="0.25">
      <c r="M1295" s="21"/>
    </row>
    <row r="1296" spans="13:13" x14ac:dyDescent="0.25">
      <c r="M1296" s="21"/>
    </row>
    <row r="1297" spans="13:13" x14ac:dyDescent="0.25">
      <c r="M1297" s="21"/>
    </row>
    <row r="1298" spans="13:13" x14ac:dyDescent="0.25">
      <c r="M1298" s="21"/>
    </row>
    <row r="1299" spans="13:13" x14ac:dyDescent="0.25">
      <c r="M1299" s="21"/>
    </row>
    <row r="1300" spans="13:13" x14ac:dyDescent="0.25">
      <c r="M1300" s="21"/>
    </row>
    <row r="1301" spans="13:13" x14ac:dyDescent="0.25">
      <c r="M1301" s="21"/>
    </row>
    <row r="1302" spans="13:13" x14ac:dyDescent="0.25">
      <c r="M1302" s="21"/>
    </row>
    <row r="1303" spans="13:13" x14ac:dyDescent="0.25">
      <c r="M1303" s="21"/>
    </row>
    <row r="1304" spans="13:13" x14ac:dyDescent="0.25">
      <c r="M1304" s="21"/>
    </row>
    <row r="1305" spans="13:13" x14ac:dyDescent="0.25">
      <c r="M1305" s="21"/>
    </row>
    <row r="1306" spans="13:13" x14ac:dyDescent="0.25">
      <c r="M1306" s="21"/>
    </row>
    <row r="1307" spans="13:13" x14ac:dyDescent="0.25">
      <c r="M1307" s="21"/>
    </row>
    <row r="1308" spans="13:13" x14ac:dyDescent="0.25">
      <c r="M1308" s="21"/>
    </row>
    <row r="1309" spans="13:13" x14ac:dyDescent="0.25">
      <c r="M1309" s="21"/>
    </row>
    <row r="1310" spans="13:13" x14ac:dyDescent="0.25">
      <c r="M1310" s="21"/>
    </row>
    <row r="1311" spans="13:13" x14ac:dyDescent="0.25">
      <c r="M1311" s="21"/>
    </row>
    <row r="1312" spans="13:13" x14ac:dyDescent="0.25">
      <c r="M1312" s="21"/>
    </row>
    <row r="1313" spans="13:13" x14ac:dyDescent="0.25">
      <c r="M1313" s="21"/>
    </row>
    <row r="1314" spans="13:13" x14ac:dyDescent="0.25">
      <c r="M1314" s="21"/>
    </row>
    <row r="1315" spans="13:13" x14ac:dyDescent="0.25">
      <c r="M1315" s="21"/>
    </row>
    <row r="1316" spans="13:13" x14ac:dyDescent="0.25">
      <c r="M1316" s="21"/>
    </row>
    <row r="1317" spans="13:13" x14ac:dyDescent="0.25">
      <c r="M1317" s="21"/>
    </row>
    <row r="1318" spans="13:13" x14ac:dyDescent="0.25">
      <c r="M1318" s="21"/>
    </row>
    <row r="1319" spans="13:13" x14ac:dyDescent="0.25">
      <c r="M1319" s="21"/>
    </row>
    <row r="1320" spans="13:13" x14ac:dyDescent="0.25">
      <c r="M1320" s="21"/>
    </row>
    <row r="1321" spans="13:13" x14ac:dyDescent="0.25">
      <c r="M1321" s="21"/>
    </row>
    <row r="1322" spans="13:13" x14ac:dyDescent="0.25">
      <c r="M1322" s="21"/>
    </row>
    <row r="1323" spans="13:13" x14ac:dyDescent="0.25">
      <c r="M1323" s="21"/>
    </row>
    <row r="1324" spans="13:13" x14ac:dyDescent="0.25">
      <c r="M1324" s="21"/>
    </row>
    <row r="1325" spans="13:13" x14ac:dyDescent="0.25">
      <c r="M1325" s="21"/>
    </row>
    <row r="1326" spans="13:13" x14ac:dyDescent="0.25">
      <c r="M1326" s="21"/>
    </row>
    <row r="1327" spans="13:13" x14ac:dyDescent="0.25">
      <c r="M1327" s="21"/>
    </row>
    <row r="1328" spans="13:13" x14ac:dyDescent="0.25">
      <c r="M1328" s="21"/>
    </row>
    <row r="1329" spans="13:13" x14ac:dyDescent="0.25">
      <c r="M1329" s="21"/>
    </row>
    <row r="1330" spans="13:13" x14ac:dyDescent="0.25">
      <c r="M1330" s="21"/>
    </row>
    <row r="1331" spans="13:13" x14ac:dyDescent="0.25">
      <c r="M1331" s="21"/>
    </row>
    <row r="1332" spans="13:13" x14ac:dyDescent="0.25">
      <c r="M1332" s="21"/>
    </row>
    <row r="1333" spans="13:13" x14ac:dyDescent="0.25">
      <c r="M1333" s="21"/>
    </row>
    <row r="1334" spans="13:13" x14ac:dyDescent="0.25">
      <c r="M1334" s="21"/>
    </row>
    <row r="1335" spans="13:13" x14ac:dyDescent="0.25">
      <c r="M1335" s="21"/>
    </row>
    <row r="1336" spans="13:13" x14ac:dyDescent="0.25">
      <c r="M1336" s="21"/>
    </row>
    <row r="1337" spans="13:13" x14ac:dyDescent="0.25">
      <c r="M1337" s="21"/>
    </row>
    <row r="1338" spans="13:13" x14ac:dyDescent="0.25">
      <c r="M1338" s="21"/>
    </row>
    <row r="1339" spans="13:13" x14ac:dyDescent="0.25">
      <c r="M1339" s="21"/>
    </row>
    <row r="1340" spans="13:13" x14ac:dyDescent="0.25">
      <c r="M1340" s="21"/>
    </row>
    <row r="1341" spans="13:13" x14ac:dyDescent="0.25">
      <c r="M1341" s="21"/>
    </row>
    <row r="1342" spans="13:13" x14ac:dyDescent="0.25">
      <c r="M1342" s="21"/>
    </row>
    <row r="1343" spans="13:13" x14ac:dyDescent="0.25">
      <c r="M1343" s="21"/>
    </row>
    <row r="1344" spans="13:13" x14ac:dyDescent="0.25">
      <c r="M1344" s="21"/>
    </row>
    <row r="1345" spans="13:13" x14ac:dyDescent="0.25">
      <c r="M1345" s="21"/>
    </row>
    <row r="1346" spans="13:13" x14ac:dyDescent="0.25">
      <c r="M1346" s="21"/>
    </row>
    <row r="1347" spans="13:13" x14ac:dyDescent="0.25">
      <c r="M1347" s="21"/>
    </row>
    <row r="1348" spans="13:13" x14ac:dyDescent="0.25">
      <c r="M1348" s="21"/>
    </row>
    <row r="1349" spans="13:13" x14ac:dyDescent="0.25">
      <c r="M1349" s="21"/>
    </row>
    <row r="1350" spans="13:13" x14ac:dyDescent="0.25">
      <c r="M1350" s="21"/>
    </row>
    <row r="1351" spans="13:13" x14ac:dyDescent="0.25">
      <c r="M1351" s="21"/>
    </row>
    <row r="1352" spans="13:13" x14ac:dyDescent="0.25">
      <c r="M1352" s="21"/>
    </row>
    <row r="1353" spans="13:13" x14ac:dyDescent="0.25">
      <c r="M1353" s="21"/>
    </row>
    <row r="1354" spans="13:13" x14ac:dyDescent="0.25">
      <c r="M1354" s="21"/>
    </row>
    <row r="1355" spans="13:13" x14ac:dyDescent="0.25">
      <c r="M1355" s="21"/>
    </row>
    <row r="1356" spans="13:13" x14ac:dyDescent="0.25">
      <c r="M1356" s="21"/>
    </row>
    <row r="1357" spans="13:13" x14ac:dyDescent="0.25">
      <c r="M1357" s="21"/>
    </row>
    <row r="1358" spans="13:13" x14ac:dyDescent="0.25">
      <c r="M1358" s="21"/>
    </row>
    <row r="1359" spans="13:13" x14ac:dyDescent="0.25">
      <c r="M1359" s="21"/>
    </row>
    <row r="1360" spans="13:13" x14ac:dyDescent="0.25">
      <c r="M1360" s="21"/>
    </row>
    <row r="1361" spans="13:13" x14ac:dyDescent="0.25">
      <c r="M1361" s="21"/>
    </row>
    <row r="1362" spans="13:13" x14ac:dyDescent="0.25">
      <c r="M1362" s="21"/>
    </row>
    <row r="1363" spans="13:13" x14ac:dyDescent="0.25">
      <c r="M1363" s="21"/>
    </row>
    <row r="1364" spans="13:13" x14ac:dyDescent="0.25">
      <c r="M1364" s="21"/>
    </row>
    <row r="1365" spans="13:13" x14ac:dyDescent="0.25">
      <c r="M1365" s="21"/>
    </row>
    <row r="1366" spans="13:13" x14ac:dyDescent="0.25">
      <c r="M1366" s="21"/>
    </row>
    <row r="1367" spans="13:13" x14ac:dyDescent="0.25">
      <c r="M1367" s="21"/>
    </row>
    <row r="1368" spans="13:13" x14ac:dyDescent="0.25">
      <c r="M1368" s="21"/>
    </row>
    <row r="1369" spans="13:13" x14ac:dyDescent="0.25">
      <c r="M1369" s="21"/>
    </row>
    <row r="1370" spans="13:13" x14ac:dyDescent="0.25">
      <c r="M1370" s="21"/>
    </row>
    <row r="1371" spans="13:13" x14ac:dyDescent="0.25">
      <c r="M1371" s="21"/>
    </row>
    <row r="1372" spans="13:13" x14ac:dyDescent="0.25">
      <c r="M1372" s="21"/>
    </row>
    <row r="1373" spans="13:13" x14ac:dyDescent="0.25">
      <c r="M1373" s="21"/>
    </row>
    <row r="1374" spans="13:13" x14ac:dyDescent="0.25">
      <c r="M1374" s="21"/>
    </row>
    <row r="1375" spans="13:13" x14ac:dyDescent="0.25">
      <c r="M1375" s="21"/>
    </row>
    <row r="1376" spans="13:13" x14ac:dyDescent="0.25">
      <c r="M1376" s="21"/>
    </row>
    <row r="1377" spans="13:13" x14ac:dyDescent="0.25">
      <c r="M1377" s="21"/>
    </row>
    <row r="1378" spans="13:13" x14ac:dyDescent="0.25">
      <c r="M1378" s="21"/>
    </row>
    <row r="1379" spans="13:13" x14ac:dyDescent="0.25">
      <c r="M1379" s="21"/>
    </row>
    <row r="1380" spans="13:13" x14ac:dyDescent="0.25">
      <c r="M1380" s="21"/>
    </row>
    <row r="1381" spans="13:13" x14ac:dyDescent="0.25">
      <c r="M1381" s="21"/>
    </row>
    <row r="1382" spans="13:13" x14ac:dyDescent="0.25">
      <c r="M1382" s="21"/>
    </row>
    <row r="1383" spans="13:13" x14ac:dyDescent="0.25">
      <c r="M1383" s="21"/>
    </row>
    <row r="1384" spans="13:13" x14ac:dyDescent="0.25">
      <c r="M1384" s="21"/>
    </row>
    <row r="1385" spans="13:13" x14ac:dyDescent="0.25">
      <c r="M1385" s="21"/>
    </row>
    <row r="1386" spans="13:13" x14ac:dyDescent="0.25">
      <c r="M1386" s="21"/>
    </row>
    <row r="1387" spans="13:13" x14ac:dyDescent="0.25">
      <c r="M1387" s="21"/>
    </row>
    <row r="1388" spans="13:13" x14ac:dyDescent="0.25">
      <c r="M1388" s="21"/>
    </row>
    <row r="1389" spans="13:13" x14ac:dyDescent="0.25">
      <c r="M1389" s="21"/>
    </row>
    <row r="1390" spans="13:13" x14ac:dyDescent="0.25">
      <c r="M1390" s="21"/>
    </row>
    <row r="1391" spans="13:13" x14ac:dyDescent="0.25">
      <c r="M1391" s="21"/>
    </row>
    <row r="1392" spans="13:13" x14ac:dyDescent="0.25">
      <c r="M1392" s="21"/>
    </row>
    <row r="1393" spans="13:13" x14ac:dyDescent="0.25">
      <c r="M1393" s="21"/>
    </row>
    <row r="1394" spans="13:13" x14ac:dyDescent="0.25">
      <c r="M1394" s="21"/>
    </row>
    <row r="1395" spans="13:13" x14ac:dyDescent="0.25">
      <c r="M1395" s="21"/>
    </row>
    <row r="1396" spans="13:13" x14ac:dyDescent="0.25">
      <c r="M1396" s="21"/>
    </row>
    <row r="1397" spans="13:13" x14ac:dyDescent="0.25">
      <c r="M1397" s="21"/>
    </row>
    <row r="1398" spans="13:13" x14ac:dyDescent="0.25">
      <c r="M1398" s="21"/>
    </row>
    <row r="1399" spans="13:13" x14ac:dyDescent="0.25">
      <c r="M1399" s="21"/>
    </row>
    <row r="1400" spans="13:13" x14ac:dyDescent="0.25">
      <c r="M1400" s="21"/>
    </row>
    <row r="1401" spans="13:13" x14ac:dyDescent="0.25">
      <c r="M1401" s="21"/>
    </row>
    <row r="1402" spans="13:13" x14ac:dyDescent="0.25">
      <c r="M1402" s="21"/>
    </row>
    <row r="1403" spans="13:13" x14ac:dyDescent="0.25">
      <c r="M1403" s="21"/>
    </row>
    <row r="1404" spans="13:13" x14ac:dyDescent="0.25">
      <c r="M1404" s="21"/>
    </row>
    <row r="1405" spans="13:13" x14ac:dyDescent="0.25">
      <c r="M1405" s="21"/>
    </row>
    <row r="1406" spans="13:13" x14ac:dyDescent="0.25">
      <c r="M1406" s="21"/>
    </row>
    <row r="1407" spans="13:13" x14ac:dyDescent="0.25">
      <c r="M1407" s="21"/>
    </row>
    <row r="1408" spans="13:13" x14ac:dyDescent="0.25">
      <c r="M1408" s="21"/>
    </row>
    <row r="1409" spans="13:13" x14ac:dyDescent="0.25">
      <c r="M1409" s="21"/>
    </row>
    <row r="1410" spans="13:13" x14ac:dyDescent="0.25">
      <c r="M1410" s="21"/>
    </row>
    <row r="1411" spans="13:13" x14ac:dyDescent="0.25">
      <c r="M1411" s="21"/>
    </row>
    <row r="1412" spans="13:13" x14ac:dyDescent="0.25">
      <c r="M1412" s="21"/>
    </row>
    <row r="1413" spans="13:13" x14ac:dyDescent="0.25">
      <c r="M1413" s="21"/>
    </row>
    <row r="1414" spans="13:13" x14ac:dyDescent="0.25">
      <c r="M1414" s="21"/>
    </row>
    <row r="1415" spans="13:13" x14ac:dyDescent="0.25">
      <c r="M1415" s="21"/>
    </row>
    <row r="1416" spans="13:13" x14ac:dyDescent="0.25">
      <c r="M1416" s="21"/>
    </row>
    <row r="1417" spans="13:13" x14ac:dyDescent="0.25">
      <c r="M1417" s="21"/>
    </row>
    <row r="1418" spans="13:13" x14ac:dyDescent="0.25">
      <c r="M1418" s="21"/>
    </row>
    <row r="1419" spans="13:13" x14ac:dyDescent="0.25">
      <c r="M1419" s="21"/>
    </row>
    <row r="1420" spans="13:13" x14ac:dyDescent="0.25">
      <c r="M1420" s="21"/>
    </row>
    <row r="1421" spans="13:13" x14ac:dyDescent="0.25">
      <c r="M1421" s="21"/>
    </row>
    <row r="1422" spans="13:13" x14ac:dyDescent="0.25">
      <c r="M1422" s="21"/>
    </row>
    <row r="1423" spans="13:13" x14ac:dyDescent="0.25">
      <c r="M1423" s="21"/>
    </row>
    <row r="1424" spans="13:13" x14ac:dyDescent="0.25">
      <c r="M1424" s="21"/>
    </row>
    <row r="1425" spans="13:13" x14ac:dyDescent="0.25">
      <c r="M1425" s="21"/>
    </row>
    <row r="1426" spans="13:13" x14ac:dyDescent="0.25">
      <c r="M1426" s="21"/>
    </row>
    <row r="1427" spans="13:13" x14ac:dyDescent="0.25">
      <c r="M1427" s="21"/>
    </row>
    <row r="1428" spans="13:13" x14ac:dyDescent="0.25">
      <c r="M1428" s="21"/>
    </row>
    <row r="1429" spans="13:13" x14ac:dyDescent="0.25">
      <c r="M1429" s="21"/>
    </row>
    <row r="1430" spans="13:13" x14ac:dyDescent="0.25">
      <c r="M1430" s="21"/>
    </row>
    <row r="1431" spans="13:13" x14ac:dyDescent="0.25">
      <c r="M1431" s="21"/>
    </row>
    <row r="1432" spans="13:13" x14ac:dyDescent="0.25">
      <c r="M1432" s="21"/>
    </row>
    <row r="1433" spans="13:13" x14ac:dyDescent="0.25">
      <c r="M1433" s="21"/>
    </row>
    <row r="1434" spans="13:13" x14ac:dyDescent="0.25">
      <c r="M1434" s="21"/>
    </row>
    <row r="1435" spans="13:13" x14ac:dyDescent="0.25">
      <c r="M1435" s="21"/>
    </row>
    <row r="1436" spans="13:13" x14ac:dyDescent="0.25">
      <c r="M1436" s="21"/>
    </row>
    <row r="1437" spans="13:13" x14ac:dyDescent="0.25">
      <c r="M1437" s="21"/>
    </row>
    <row r="1438" spans="13:13" x14ac:dyDescent="0.25">
      <c r="M1438" s="21"/>
    </row>
    <row r="1439" spans="13:13" x14ac:dyDescent="0.25">
      <c r="M1439" s="21"/>
    </row>
    <row r="1440" spans="13:13" x14ac:dyDescent="0.25">
      <c r="M1440" s="21"/>
    </row>
    <row r="1441" spans="13:13" x14ac:dyDescent="0.25">
      <c r="M1441" s="21"/>
    </row>
    <row r="1442" spans="13:13" x14ac:dyDescent="0.25">
      <c r="M1442" s="21"/>
    </row>
    <row r="1443" spans="13:13" x14ac:dyDescent="0.25">
      <c r="M1443" s="21"/>
    </row>
    <row r="1444" spans="13:13" x14ac:dyDescent="0.25">
      <c r="M1444" s="21"/>
    </row>
    <row r="1445" spans="13:13" x14ac:dyDescent="0.25">
      <c r="M1445" s="21"/>
    </row>
    <row r="1446" spans="13:13" x14ac:dyDescent="0.25">
      <c r="M1446" s="21"/>
    </row>
    <row r="1447" spans="13:13" x14ac:dyDescent="0.25">
      <c r="M1447" s="21"/>
    </row>
    <row r="1448" spans="13:13" x14ac:dyDescent="0.25">
      <c r="M1448" s="21"/>
    </row>
    <row r="1449" spans="13:13" x14ac:dyDescent="0.25">
      <c r="M1449" s="21"/>
    </row>
    <row r="1450" spans="13:13" x14ac:dyDescent="0.25">
      <c r="M1450" s="21"/>
    </row>
    <row r="1451" spans="13:13" x14ac:dyDescent="0.25">
      <c r="M1451" s="21"/>
    </row>
    <row r="1452" spans="13:13" x14ac:dyDescent="0.25">
      <c r="M1452" s="21"/>
    </row>
    <row r="1453" spans="13:13" x14ac:dyDescent="0.25">
      <c r="M1453" s="21"/>
    </row>
    <row r="1454" spans="13:13" x14ac:dyDescent="0.25">
      <c r="M1454" s="21"/>
    </row>
    <row r="1455" spans="13:13" x14ac:dyDescent="0.25">
      <c r="M1455" s="21"/>
    </row>
    <row r="1456" spans="13:13" x14ac:dyDescent="0.25">
      <c r="M1456" s="21"/>
    </row>
    <row r="1457" spans="13:13" x14ac:dyDescent="0.25">
      <c r="M1457" s="21"/>
    </row>
    <row r="1458" spans="13:13" x14ac:dyDescent="0.25">
      <c r="M1458" s="21"/>
    </row>
    <row r="1459" spans="13:13" x14ac:dyDescent="0.25">
      <c r="M1459" s="21"/>
    </row>
    <row r="1460" spans="13:13" x14ac:dyDescent="0.25">
      <c r="M1460" s="21"/>
    </row>
    <row r="1461" spans="13:13" x14ac:dyDescent="0.25">
      <c r="M1461" s="21"/>
    </row>
    <row r="1462" spans="13:13" x14ac:dyDescent="0.25">
      <c r="M1462" s="21"/>
    </row>
    <row r="1463" spans="13:13" x14ac:dyDescent="0.25">
      <c r="M1463" s="21"/>
    </row>
    <row r="1464" spans="13:13" x14ac:dyDescent="0.25">
      <c r="M1464" s="21"/>
    </row>
    <row r="1465" spans="13:13" x14ac:dyDescent="0.25">
      <c r="M1465" s="21"/>
    </row>
    <row r="1466" spans="13:13" x14ac:dyDescent="0.25">
      <c r="M1466" s="21"/>
    </row>
    <row r="1467" spans="13:13" x14ac:dyDescent="0.25">
      <c r="M1467" s="21"/>
    </row>
    <row r="1468" spans="13:13" x14ac:dyDescent="0.25">
      <c r="M1468" s="21"/>
    </row>
    <row r="1469" spans="13:13" x14ac:dyDescent="0.25">
      <c r="M1469" s="21"/>
    </row>
    <row r="1470" spans="13:13" x14ac:dyDescent="0.25">
      <c r="M1470" s="21"/>
    </row>
    <row r="1471" spans="13:13" x14ac:dyDescent="0.25">
      <c r="M1471" s="21"/>
    </row>
    <row r="1472" spans="13:13" x14ac:dyDescent="0.25">
      <c r="M1472" s="21"/>
    </row>
    <row r="1473" spans="13:13" x14ac:dyDescent="0.25">
      <c r="M1473" s="21"/>
    </row>
    <row r="1474" spans="13:13" x14ac:dyDescent="0.25">
      <c r="M1474" s="21"/>
    </row>
    <row r="1475" spans="13:13" x14ac:dyDescent="0.25">
      <c r="M1475" s="21"/>
    </row>
    <row r="1476" spans="13:13" x14ac:dyDescent="0.25">
      <c r="M1476" s="21"/>
    </row>
    <row r="1477" spans="13:13" x14ac:dyDescent="0.25">
      <c r="M1477" s="21"/>
    </row>
    <row r="1478" spans="13:13" x14ac:dyDescent="0.25">
      <c r="M1478" s="21"/>
    </row>
    <row r="1479" spans="13:13" x14ac:dyDescent="0.25">
      <c r="M1479" s="21"/>
    </row>
    <row r="1480" spans="13:13" x14ac:dyDescent="0.25">
      <c r="M1480" s="21"/>
    </row>
    <row r="1481" spans="13:13" x14ac:dyDescent="0.25">
      <c r="M1481" s="21"/>
    </row>
    <row r="1482" spans="13:13" x14ac:dyDescent="0.25">
      <c r="M1482" s="21"/>
    </row>
    <row r="1483" spans="13:13" x14ac:dyDescent="0.25">
      <c r="M1483" s="21"/>
    </row>
    <row r="1484" spans="13:13" x14ac:dyDescent="0.25">
      <c r="M1484" s="21"/>
    </row>
    <row r="1485" spans="13:13" x14ac:dyDescent="0.25">
      <c r="M1485" s="21"/>
    </row>
    <row r="1486" spans="13:13" x14ac:dyDescent="0.25">
      <c r="M1486" s="21"/>
    </row>
    <row r="1487" spans="13:13" x14ac:dyDescent="0.25">
      <c r="M1487" s="21"/>
    </row>
    <row r="1488" spans="13:13" x14ac:dyDescent="0.25">
      <c r="M1488" s="21"/>
    </row>
    <row r="1489" spans="13:13" x14ac:dyDescent="0.25">
      <c r="M1489" s="21"/>
    </row>
    <row r="1490" spans="13:13" x14ac:dyDescent="0.25">
      <c r="M1490" s="21"/>
    </row>
    <row r="1491" spans="13:13" x14ac:dyDescent="0.25">
      <c r="M1491" s="21"/>
    </row>
    <row r="1492" spans="13:13" x14ac:dyDescent="0.25">
      <c r="M1492" s="21"/>
    </row>
    <row r="1493" spans="13:13" x14ac:dyDescent="0.25">
      <c r="M1493" s="21"/>
    </row>
    <row r="1494" spans="13:13" x14ac:dyDescent="0.25">
      <c r="M1494" s="21"/>
    </row>
    <row r="1495" spans="13:13" x14ac:dyDescent="0.25">
      <c r="M1495" s="21"/>
    </row>
    <row r="1496" spans="13:13" x14ac:dyDescent="0.25">
      <c r="M1496" s="21"/>
    </row>
    <row r="1497" spans="13:13" x14ac:dyDescent="0.25">
      <c r="M1497" s="21"/>
    </row>
    <row r="1498" spans="13:13" x14ac:dyDescent="0.25">
      <c r="M1498" s="21"/>
    </row>
    <row r="1499" spans="13:13" x14ac:dyDescent="0.25">
      <c r="M1499" s="21"/>
    </row>
    <row r="1500" spans="13:13" x14ac:dyDescent="0.25">
      <c r="M1500" s="21"/>
    </row>
    <row r="1501" spans="13:13" x14ac:dyDescent="0.25">
      <c r="M1501" s="21"/>
    </row>
    <row r="1502" spans="13:13" x14ac:dyDescent="0.25">
      <c r="M1502" s="21"/>
    </row>
    <row r="1503" spans="13:13" x14ac:dyDescent="0.25">
      <c r="M1503" s="21"/>
    </row>
    <row r="1504" spans="13:13" x14ac:dyDescent="0.25">
      <c r="M1504" s="21"/>
    </row>
    <row r="1505" spans="13:13" x14ac:dyDescent="0.25">
      <c r="M1505" s="21"/>
    </row>
    <row r="1506" spans="13:13" x14ac:dyDescent="0.25">
      <c r="M1506" s="21"/>
    </row>
    <row r="1507" spans="13:13" x14ac:dyDescent="0.25">
      <c r="M1507" s="21"/>
    </row>
    <row r="1508" spans="13:13" x14ac:dyDescent="0.25">
      <c r="M1508" s="21"/>
    </row>
    <row r="1509" spans="13:13" x14ac:dyDescent="0.25">
      <c r="M1509" s="21"/>
    </row>
    <row r="1510" spans="13:13" x14ac:dyDescent="0.25">
      <c r="M1510" s="21"/>
    </row>
    <row r="1511" spans="13:13" x14ac:dyDescent="0.25">
      <c r="M1511" s="21"/>
    </row>
    <row r="1512" spans="13:13" x14ac:dyDescent="0.25">
      <c r="M1512" s="21"/>
    </row>
    <row r="1513" spans="13:13" x14ac:dyDescent="0.25">
      <c r="M1513" s="21"/>
    </row>
    <row r="1514" spans="13:13" x14ac:dyDescent="0.25">
      <c r="M1514" s="21"/>
    </row>
    <row r="1515" spans="13:13" x14ac:dyDescent="0.25">
      <c r="M1515" s="21"/>
    </row>
    <row r="1516" spans="13:13" x14ac:dyDescent="0.25">
      <c r="M1516" s="21"/>
    </row>
    <row r="1517" spans="13:13" x14ac:dyDescent="0.25">
      <c r="M1517" s="21"/>
    </row>
    <row r="1518" spans="13:13" x14ac:dyDescent="0.25">
      <c r="M1518" s="21"/>
    </row>
    <row r="1519" spans="13:13" x14ac:dyDescent="0.25">
      <c r="M1519" s="21"/>
    </row>
    <row r="1520" spans="13:13" x14ac:dyDescent="0.25">
      <c r="M1520" s="21"/>
    </row>
    <row r="1521" spans="13:13" x14ac:dyDescent="0.25">
      <c r="M1521" s="21"/>
    </row>
    <row r="1522" spans="13:13" x14ac:dyDescent="0.25">
      <c r="M1522" s="21"/>
    </row>
    <row r="1523" spans="13:13" x14ac:dyDescent="0.25">
      <c r="M1523" s="21"/>
    </row>
    <row r="1524" spans="13:13" x14ac:dyDescent="0.25">
      <c r="M1524" s="21"/>
    </row>
    <row r="1525" spans="13:13" x14ac:dyDescent="0.25">
      <c r="M1525" s="21"/>
    </row>
    <row r="1526" spans="13:13" x14ac:dyDescent="0.25">
      <c r="M1526" s="21"/>
    </row>
    <row r="1527" spans="13:13" x14ac:dyDescent="0.25">
      <c r="M1527" s="21"/>
    </row>
    <row r="1528" spans="13:13" x14ac:dyDescent="0.25">
      <c r="M1528" s="21"/>
    </row>
    <row r="1529" spans="13:13" x14ac:dyDescent="0.25">
      <c r="M1529" s="21"/>
    </row>
    <row r="1530" spans="13:13" x14ac:dyDescent="0.25">
      <c r="M1530" s="21"/>
    </row>
    <row r="1531" spans="13:13" x14ac:dyDescent="0.25">
      <c r="M1531" s="21"/>
    </row>
    <row r="1532" spans="13:13" x14ac:dyDescent="0.25">
      <c r="M1532" s="21"/>
    </row>
    <row r="1533" spans="13:13" x14ac:dyDescent="0.25">
      <c r="M1533" s="21"/>
    </row>
    <row r="1534" spans="13:13" x14ac:dyDescent="0.25">
      <c r="M1534" s="21"/>
    </row>
    <row r="1535" spans="13:13" x14ac:dyDescent="0.25">
      <c r="M1535" s="21"/>
    </row>
    <row r="1536" spans="13:13" x14ac:dyDescent="0.25">
      <c r="M1536" s="21"/>
    </row>
    <row r="1537" spans="13:13" x14ac:dyDescent="0.25">
      <c r="M1537" s="21"/>
    </row>
    <row r="1538" spans="13:13" x14ac:dyDescent="0.25">
      <c r="M1538" s="21"/>
    </row>
    <row r="1539" spans="13:13" x14ac:dyDescent="0.25">
      <c r="M1539" s="21"/>
    </row>
    <row r="1540" spans="13:13" x14ac:dyDescent="0.25">
      <c r="M1540" s="21"/>
    </row>
    <row r="1541" spans="13:13" x14ac:dyDescent="0.25">
      <c r="M1541" s="21"/>
    </row>
    <row r="1542" spans="13:13" x14ac:dyDescent="0.25">
      <c r="M1542" s="21"/>
    </row>
    <row r="1543" spans="13:13" x14ac:dyDescent="0.25">
      <c r="M1543" s="21"/>
    </row>
    <row r="1544" spans="13:13" x14ac:dyDescent="0.25">
      <c r="M1544" s="21"/>
    </row>
    <row r="1545" spans="13:13" x14ac:dyDescent="0.25">
      <c r="M1545" s="21"/>
    </row>
    <row r="1546" spans="13:13" x14ac:dyDescent="0.25">
      <c r="M1546" s="21"/>
    </row>
    <row r="1547" spans="13:13" x14ac:dyDescent="0.25">
      <c r="M1547" s="21"/>
    </row>
    <row r="1548" spans="13:13" x14ac:dyDescent="0.25">
      <c r="M1548" s="21"/>
    </row>
    <row r="1549" spans="13:13" x14ac:dyDescent="0.25">
      <c r="M1549" s="21"/>
    </row>
    <row r="1550" spans="13:13" x14ac:dyDescent="0.25">
      <c r="M1550" s="21"/>
    </row>
    <row r="1551" spans="13:13" x14ac:dyDescent="0.25">
      <c r="M1551" s="21"/>
    </row>
    <row r="1552" spans="13:13" x14ac:dyDescent="0.25">
      <c r="M1552" s="21"/>
    </row>
    <row r="1553" spans="13:13" x14ac:dyDescent="0.25">
      <c r="M1553" s="21"/>
    </row>
    <row r="1554" spans="13:13" x14ac:dyDescent="0.25">
      <c r="M1554" s="21"/>
    </row>
    <row r="1555" spans="13:13" x14ac:dyDescent="0.25">
      <c r="M1555" s="21"/>
    </row>
    <row r="1556" spans="13:13" x14ac:dyDescent="0.25">
      <c r="M1556" s="21"/>
    </row>
    <row r="1557" spans="13:13" x14ac:dyDescent="0.25">
      <c r="M1557" s="21"/>
    </row>
    <row r="1558" spans="13:13" x14ac:dyDescent="0.25">
      <c r="M1558" s="21"/>
    </row>
    <row r="1559" spans="13:13" x14ac:dyDescent="0.25">
      <c r="M1559" s="21"/>
    </row>
    <row r="1560" spans="13:13" x14ac:dyDescent="0.25">
      <c r="M1560" s="21"/>
    </row>
    <row r="1561" spans="13:13" x14ac:dyDescent="0.25">
      <c r="M1561" s="21"/>
    </row>
    <row r="1562" spans="13:13" x14ac:dyDescent="0.25">
      <c r="M1562" s="21"/>
    </row>
    <row r="1563" spans="13:13" x14ac:dyDescent="0.25">
      <c r="M1563" s="21"/>
    </row>
    <row r="1564" spans="13:13" x14ac:dyDescent="0.25">
      <c r="M1564" s="21"/>
    </row>
    <row r="1565" spans="13:13" x14ac:dyDescent="0.25">
      <c r="M1565" s="21"/>
    </row>
    <row r="1566" spans="13:13" x14ac:dyDescent="0.25">
      <c r="M1566" s="21"/>
    </row>
    <row r="1567" spans="13:13" x14ac:dyDescent="0.25">
      <c r="M1567" s="21"/>
    </row>
    <row r="1568" spans="13:13" x14ac:dyDescent="0.25">
      <c r="M1568" s="21"/>
    </row>
    <row r="1569" spans="13:13" x14ac:dyDescent="0.25">
      <c r="M1569" s="21"/>
    </row>
    <row r="1570" spans="13:13" x14ac:dyDescent="0.25">
      <c r="M1570" s="21"/>
    </row>
    <row r="1571" spans="13:13" x14ac:dyDescent="0.25">
      <c r="M1571" s="21"/>
    </row>
    <row r="1572" spans="13:13" x14ac:dyDescent="0.25">
      <c r="M1572" s="21"/>
    </row>
    <row r="1573" spans="13:13" x14ac:dyDescent="0.25">
      <c r="M1573" s="21"/>
    </row>
    <row r="1574" spans="13:13" x14ac:dyDescent="0.25">
      <c r="M1574" s="21"/>
    </row>
    <row r="1575" spans="13:13" x14ac:dyDescent="0.25">
      <c r="M1575" s="21"/>
    </row>
    <row r="1576" spans="13:13" x14ac:dyDescent="0.25">
      <c r="M1576" s="21"/>
    </row>
    <row r="1577" spans="13:13" x14ac:dyDescent="0.25">
      <c r="M1577" s="21"/>
    </row>
    <row r="1578" spans="13:13" x14ac:dyDescent="0.25">
      <c r="M1578" s="21"/>
    </row>
    <row r="1579" spans="13:13" x14ac:dyDescent="0.25">
      <c r="M1579" s="21"/>
    </row>
    <row r="1580" spans="13:13" x14ac:dyDescent="0.25">
      <c r="M1580" s="21"/>
    </row>
    <row r="1581" spans="13:13" x14ac:dyDescent="0.25">
      <c r="M1581" s="21"/>
    </row>
    <row r="1582" spans="13:13" x14ac:dyDescent="0.25">
      <c r="M1582" s="21"/>
    </row>
    <row r="1583" spans="13:13" x14ac:dyDescent="0.25">
      <c r="M1583" s="21"/>
    </row>
    <row r="1584" spans="13:13" x14ac:dyDescent="0.25">
      <c r="M1584" s="21"/>
    </row>
    <row r="1585" spans="13:13" x14ac:dyDescent="0.25">
      <c r="M1585" s="21"/>
    </row>
    <row r="1586" spans="13:13" x14ac:dyDescent="0.25">
      <c r="M1586" s="21"/>
    </row>
    <row r="1587" spans="13:13" x14ac:dyDescent="0.25">
      <c r="M1587" s="21"/>
    </row>
    <row r="1588" spans="13:13" x14ac:dyDescent="0.25">
      <c r="M1588" s="21"/>
    </row>
    <row r="1589" spans="13:13" x14ac:dyDescent="0.25">
      <c r="M1589" s="21"/>
    </row>
    <row r="1590" spans="13:13" x14ac:dyDescent="0.25">
      <c r="M1590" s="21"/>
    </row>
    <row r="1591" spans="13:13" x14ac:dyDescent="0.25">
      <c r="M1591" s="21"/>
    </row>
    <row r="1592" spans="13:13" x14ac:dyDescent="0.25">
      <c r="M1592" s="21"/>
    </row>
    <row r="1593" spans="13:13" x14ac:dyDescent="0.25">
      <c r="M1593" s="21"/>
    </row>
    <row r="1594" spans="13:13" x14ac:dyDescent="0.25">
      <c r="M1594" s="21"/>
    </row>
    <row r="1595" spans="13:13" x14ac:dyDescent="0.25">
      <c r="M1595" s="21"/>
    </row>
    <row r="1596" spans="13:13" x14ac:dyDescent="0.25">
      <c r="M1596" s="21"/>
    </row>
    <row r="1597" spans="13:13" x14ac:dyDescent="0.25">
      <c r="M1597" s="21"/>
    </row>
    <row r="1598" spans="13:13" x14ac:dyDescent="0.25">
      <c r="M1598" s="21"/>
    </row>
    <row r="1599" spans="13:13" x14ac:dyDescent="0.25">
      <c r="M1599" s="21"/>
    </row>
    <row r="1600" spans="13:13" x14ac:dyDescent="0.25">
      <c r="M1600" s="21"/>
    </row>
    <row r="1601" spans="13:13" x14ac:dyDescent="0.25">
      <c r="M1601" s="21"/>
    </row>
    <row r="1602" spans="13:13" x14ac:dyDescent="0.25">
      <c r="M1602" s="21"/>
    </row>
    <row r="1603" spans="13:13" x14ac:dyDescent="0.25">
      <c r="M1603" s="21"/>
    </row>
    <row r="1604" spans="13:13" x14ac:dyDescent="0.25">
      <c r="M1604" s="21"/>
    </row>
    <row r="1605" spans="13:13" x14ac:dyDescent="0.25">
      <c r="M1605" s="21"/>
    </row>
    <row r="1606" spans="13:13" x14ac:dyDescent="0.25">
      <c r="M1606" s="21"/>
    </row>
    <row r="1607" spans="13:13" x14ac:dyDescent="0.25">
      <c r="M1607" s="21"/>
    </row>
    <row r="1608" spans="13:13" x14ac:dyDescent="0.25">
      <c r="M1608" s="21"/>
    </row>
    <row r="1609" spans="13:13" x14ac:dyDescent="0.25">
      <c r="M1609" s="21"/>
    </row>
    <row r="1610" spans="13:13" x14ac:dyDescent="0.25">
      <c r="M1610" s="21"/>
    </row>
    <row r="1611" spans="13:13" x14ac:dyDescent="0.25">
      <c r="M1611" s="21"/>
    </row>
    <row r="1612" spans="13:13" x14ac:dyDescent="0.25">
      <c r="M1612" s="21"/>
    </row>
    <row r="1613" spans="13:13" x14ac:dyDescent="0.25">
      <c r="M1613" s="21"/>
    </row>
    <row r="1614" spans="13:13" x14ac:dyDescent="0.25">
      <c r="M1614" s="21"/>
    </row>
    <row r="1615" spans="13:13" x14ac:dyDescent="0.25">
      <c r="M1615" s="21"/>
    </row>
    <row r="1616" spans="13:13" x14ac:dyDescent="0.25">
      <c r="M1616" s="21"/>
    </row>
    <row r="1617" spans="13:13" x14ac:dyDescent="0.25">
      <c r="M1617" s="21"/>
    </row>
    <row r="1618" spans="13:13" x14ac:dyDescent="0.25">
      <c r="M1618" s="21"/>
    </row>
    <row r="1619" spans="13:13" x14ac:dyDescent="0.25">
      <c r="M1619" s="21"/>
    </row>
    <row r="1620" spans="13:13" x14ac:dyDescent="0.25">
      <c r="M1620" s="21"/>
    </row>
    <row r="1621" spans="13:13" x14ac:dyDescent="0.25">
      <c r="M1621" s="21"/>
    </row>
    <row r="1622" spans="13:13" x14ac:dyDescent="0.25">
      <c r="M1622" s="21"/>
    </row>
    <row r="1623" spans="13:13" x14ac:dyDescent="0.25">
      <c r="M1623" s="21"/>
    </row>
    <row r="1624" spans="13:13" x14ac:dyDescent="0.25">
      <c r="M1624" s="21"/>
    </row>
    <row r="1625" spans="13:13" x14ac:dyDescent="0.25">
      <c r="M1625" s="21"/>
    </row>
    <row r="1626" spans="13:13" x14ac:dyDescent="0.25">
      <c r="M1626" s="21"/>
    </row>
    <row r="1627" spans="13:13" x14ac:dyDescent="0.25">
      <c r="M1627" s="21"/>
    </row>
    <row r="1628" spans="13:13" x14ac:dyDescent="0.25">
      <c r="M1628" s="21"/>
    </row>
    <row r="1629" spans="13:13" x14ac:dyDescent="0.25">
      <c r="M1629" s="21"/>
    </row>
    <row r="1630" spans="13:13" x14ac:dyDescent="0.25">
      <c r="M1630" s="21"/>
    </row>
    <row r="1631" spans="13:13" x14ac:dyDescent="0.25">
      <c r="M1631" s="21"/>
    </row>
    <row r="1632" spans="13:13" x14ac:dyDescent="0.25">
      <c r="M1632" s="21"/>
    </row>
    <row r="1633" spans="13:13" x14ac:dyDescent="0.25">
      <c r="M1633" s="21"/>
    </row>
    <row r="1634" spans="13:13" x14ac:dyDescent="0.25">
      <c r="M1634" s="21"/>
    </row>
    <row r="1635" spans="13:13" x14ac:dyDescent="0.25">
      <c r="M1635" s="21"/>
    </row>
    <row r="1636" spans="13:13" x14ac:dyDescent="0.25">
      <c r="M1636" s="21"/>
    </row>
    <row r="1637" spans="13:13" x14ac:dyDescent="0.25">
      <c r="M1637" s="21"/>
    </row>
    <row r="1638" spans="13:13" x14ac:dyDescent="0.25">
      <c r="M1638" s="21"/>
    </row>
    <row r="1639" spans="13:13" x14ac:dyDescent="0.25">
      <c r="M1639" s="21"/>
    </row>
    <row r="1640" spans="13:13" x14ac:dyDescent="0.25">
      <c r="M1640" s="21"/>
    </row>
    <row r="1641" spans="13:13" x14ac:dyDescent="0.25">
      <c r="M1641" s="21"/>
    </row>
    <row r="1642" spans="13:13" x14ac:dyDescent="0.25">
      <c r="M1642" s="21"/>
    </row>
    <row r="1643" spans="13:13" x14ac:dyDescent="0.25">
      <c r="M1643" s="21"/>
    </row>
    <row r="1644" spans="13:13" x14ac:dyDescent="0.25">
      <c r="M1644" s="21"/>
    </row>
    <row r="1645" spans="13:13" x14ac:dyDescent="0.25">
      <c r="M1645" s="21"/>
    </row>
    <row r="1646" spans="13:13" x14ac:dyDescent="0.25">
      <c r="M1646" s="21"/>
    </row>
    <row r="1647" spans="13:13" x14ac:dyDescent="0.25">
      <c r="M1647" s="21"/>
    </row>
    <row r="1648" spans="13:13" x14ac:dyDescent="0.25">
      <c r="M1648" s="21"/>
    </row>
    <row r="1649" spans="13:13" x14ac:dyDescent="0.25">
      <c r="M1649" s="21"/>
    </row>
    <row r="1650" spans="13:13" x14ac:dyDescent="0.25">
      <c r="M1650" s="21"/>
    </row>
    <row r="1651" spans="13:13" x14ac:dyDescent="0.25">
      <c r="M1651" s="21"/>
    </row>
    <row r="1652" spans="13:13" x14ac:dyDescent="0.25">
      <c r="M1652" s="21"/>
    </row>
    <row r="1653" spans="13:13" x14ac:dyDescent="0.25">
      <c r="M1653" s="21"/>
    </row>
    <row r="1654" spans="13:13" x14ac:dyDescent="0.25">
      <c r="M1654" s="21"/>
    </row>
    <row r="1655" spans="13:13" x14ac:dyDescent="0.25">
      <c r="M1655" s="21"/>
    </row>
    <row r="1656" spans="13:13" x14ac:dyDescent="0.25">
      <c r="M1656" s="21"/>
    </row>
    <row r="1657" spans="13:13" x14ac:dyDescent="0.25">
      <c r="M1657" s="21"/>
    </row>
    <row r="1658" spans="13:13" x14ac:dyDescent="0.25">
      <c r="M1658" s="21"/>
    </row>
    <row r="1659" spans="13:13" x14ac:dyDescent="0.25">
      <c r="M1659" s="21"/>
    </row>
    <row r="1660" spans="13:13" x14ac:dyDescent="0.25">
      <c r="M1660" s="21"/>
    </row>
    <row r="1661" spans="13:13" x14ac:dyDescent="0.25">
      <c r="M1661" s="21"/>
    </row>
    <row r="1662" spans="13:13" x14ac:dyDescent="0.25">
      <c r="M1662" s="21"/>
    </row>
    <row r="1663" spans="13:13" x14ac:dyDescent="0.25">
      <c r="M1663" s="21"/>
    </row>
    <row r="1664" spans="13:13" x14ac:dyDescent="0.25">
      <c r="M1664" s="21"/>
    </row>
    <row r="1665" spans="13:13" x14ac:dyDescent="0.25">
      <c r="M1665" s="21"/>
    </row>
    <row r="1666" spans="13:13" x14ac:dyDescent="0.25">
      <c r="M1666" s="21"/>
    </row>
    <row r="1667" spans="13:13" x14ac:dyDescent="0.25">
      <c r="M1667" s="21"/>
    </row>
    <row r="1668" spans="13:13" x14ac:dyDescent="0.25">
      <c r="M1668" s="21"/>
    </row>
    <row r="1669" spans="13:13" x14ac:dyDescent="0.25">
      <c r="M1669" s="21"/>
    </row>
    <row r="1670" spans="13:13" x14ac:dyDescent="0.25">
      <c r="M1670" s="21"/>
    </row>
    <row r="1671" spans="13:13" x14ac:dyDescent="0.25">
      <c r="M1671" s="21"/>
    </row>
    <row r="1672" spans="13:13" x14ac:dyDescent="0.25">
      <c r="M1672" s="21"/>
    </row>
    <row r="1673" spans="13:13" x14ac:dyDescent="0.25">
      <c r="M1673" s="21"/>
    </row>
    <row r="1674" spans="13:13" x14ac:dyDescent="0.25">
      <c r="M1674" s="21"/>
    </row>
    <row r="1675" spans="13:13" x14ac:dyDescent="0.25">
      <c r="M1675" s="21"/>
    </row>
    <row r="1676" spans="13:13" x14ac:dyDescent="0.25">
      <c r="M1676" s="21"/>
    </row>
    <row r="1677" spans="13:13" x14ac:dyDescent="0.25">
      <c r="M1677" s="21"/>
    </row>
    <row r="1678" spans="13:13" x14ac:dyDescent="0.25">
      <c r="M1678" s="21"/>
    </row>
    <row r="1679" spans="13:13" x14ac:dyDescent="0.25">
      <c r="M1679" s="21"/>
    </row>
    <row r="1680" spans="13:13" x14ac:dyDescent="0.25">
      <c r="M1680" s="21"/>
    </row>
    <row r="1681" spans="13:13" x14ac:dyDescent="0.25">
      <c r="M1681" s="21"/>
    </row>
    <row r="1682" spans="13:13" x14ac:dyDescent="0.25">
      <c r="M1682" s="21"/>
    </row>
    <row r="1683" spans="13:13" x14ac:dyDescent="0.25">
      <c r="M1683" s="21"/>
    </row>
    <row r="1684" spans="13:13" x14ac:dyDescent="0.25">
      <c r="M1684" s="21"/>
    </row>
    <row r="1685" spans="13:13" x14ac:dyDescent="0.25">
      <c r="M1685" s="21"/>
    </row>
    <row r="1686" spans="13:13" x14ac:dyDescent="0.25">
      <c r="M1686" s="21"/>
    </row>
    <row r="1687" spans="13:13" x14ac:dyDescent="0.25">
      <c r="M1687" s="21"/>
    </row>
    <row r="1688" spans="13:13" x14ac:dyDescent="0.25">
      <c r="M1688" s="21"/>
    </row>
    <row r="1689" spans="13:13" x14ac:dyDescent="0.25">
      <c r="M1689" s="21"/>
    </row>
    <row r="1690" spans="13:13" x14ac:dyDescent="0.25">
      <c r="M1690" s="21"/>
    </row>
    <row r="1691" spans="13:13" x14ac:dyDescent="0.25">
      <c r="M1691" s="21"/>
    </row>
    <row r="1692" spans="13:13" x14ac:dyDescent="0.25">
      <c r="M1692" s="21"/>
    </row>
    <row r="1693" spans="13:13" x14ac:dyDescent="0.25">
      <c r="M1693" s="21"/>
    </row>
    <row r="1694" spans="13:13" x14ac:dyDescent="0.25">
      <c r="M1694" s="21"/>
    </row>
    <row r="1695" spans="13:13" x14ac:dyDescent="0.25">
      <c r="M1695" s="21"/>
    </row>
    <row r="1696" spans="13:13" x14ac:dyDescent="0.25">
      <c r="M1696" s="21"/>
    </row>
    <row r="1697" spans="13:13" x14ac:dyDescent="0.25">
      <c r="M1697" s="21"/>
    </row>
    <row r="1698" spans="13:13" x14ac:dyDescent="0.25">
      <c r="M1698" s="21"/>
    </row>
    <row r="1699" spans="13:13" x14ac:dyDescent="0.25">
      <c r="M1699" s="21"/>
    </row>
    <row r="1700" spans="13:13" x14ac:dyDescent="0.25">
      <c r="M1700" s="21"/>
    </row>
    <row r="1701" spans="13:13" x14ac:dyDescent="0.25">
      <c r="M1701" s="21"/>
    </row>
    <row r="1702" spans="13:13" x14ac:dyDescent="0.25">
      <c r="M1702" s="21"/>
    </row>
    <row r="1703" spans="13:13" x14ac:dyDescent="0.25">
      <c r="M1703" s="21"/>
    </row>
    <row r="1704" spans="13:13" x14ac:dyDescent="0.25">
      <c r="M1704" s="21"/>
    </row>
    <row r="1705" spans="13:13" x14ac:dyDescent="0.25">
      <c r="M1705" s="21"/>
    </row>
    <row r="1706" spans="13:13" x14ac:dyDescent="0.25">
      <c r="M1706" s="21"/>
    </row>
    <row r="1707" spans="13:13" x14ac:dyDescent="0.25">
      <c r="M1707" s="21"/>
    </row>
    <row r="1708" spans="13:13" x14ac:dyDescent="0.25">
      <c r="M1708" s="21"/>
    </row>
    <row r="1709" spans="13:13" x14ac:dyDescent="0.25">
      <c r="M1709" s="21"/>
    </row>
    <row r="1710" spans="13:13" x14ac:dyDescent="0.25">
      <c r="M1710" s="21"/>
    </row>
    <row r="1711" spans="13:13" x14ac:dyDescent="0.25">
      <c r="M1711" s="21"/>
    </row>
    <row r="1712" spans="13:13" x14ac:dyDescent="0.25">
      <c r="M1712" s="21"/>
    </row>
    <row r="1713" spans="13:13" x14ac:dyDescent="0.25">
      <c r="M1713" s="21"/>
    </row>
    <row r="1714" spans="13:13" x14ac:dyDescent="0.25">
      <c r="M1714" s="21"/>
    </row>
    <row r="1715" spans="13:13" x14ac:dyDescent="0.25">
      <c r="M1715" s="21"/>
    </row>
    <row r="1716" spans="13:13" x14ac:dyDescent="0.25">
      <c r="M1716" s="21"/>
    </row>
    <row r="1717" spans="13:13" x14ac:dyDescent="0.25">
      <c r="M1717" s="21"/>
    </row>
    <row r="1718" spans="13:13" x14ac:dyDescent="0.25">
      <c r="M1718" s="21"/>
    </row>
    <row r="1719" spans="13:13" x14ac:dyDescent="0.25">
      <c r="M1719" s="21"/>
    </row>
    <row r="1720" spans="13:13" x14ac:dyDescent="0.25">
      <c r="M1720" s="21"/>
    </row>
    <row r="1721" spans="13:13" x14ac:dyDescent="0.25">
      <c r="M1721" s="21"/>
    </row>
    <row r="1722" spans="13:13" x14ac:dyDescent="0.25">
      <c r="M1722" s="21"/>
    </row>
    <row r="1723" spans="13:13" x14ac:dyDescent="0.25">
      <c r="M1723" s="21"/>
    </row>
    <row r="1724" spans="13:13" x14ac:dyDescent="0.25">
      <c r="M1724" s="21"/>
    </row>
    <row r="1725" spans="13:13" x14ac:dyDescent="0.25">
      <c r="M1725" s="21"/>
    </row>
    <row r="1726" spans="13:13" x14ac:dyDescent="0.25">
      <c r="M1726" s="21"/>
    </row>
    <row r="1727" spans="13:13" x14ac:dyDescent="0.25">
      <c r="M1727" s="21"/>
    </row>
    <row r="1728" spans="13:13" x14ac:dyDescent="0.25">
      <c r="M1728" s="21"/>
    </row>
    <row r="1729" spans="13:13" x14ac:dyDescent="0.25">
      <c r="M1729" s="21"/>
    </row>
    <row r="1730" spans="13:13" x14ac:dyDescent="0.25">
      <c r="M1730" s="21"/>
    </row>
    <row r="1731" spans="13:13" x14ac:dyDescent="0.25">
      <c r="M1731" s="21"/>
    </row>
    <row r="1732" spans="13:13" x14ac:dyDescent="0.25">
      <c r="M1732" s="21"/>
    </row>
    <row r="1733" spans="13:13" x14ac:dyDescent="0.25">
      <c r="M1733" s="21"/>
    </row>
    <row r="1734" spans="13:13" x14ac:dyDescent="0.25">
      <c r="M1734" s="21"/>
    </row>
    <row r="1735" spans="13:13" x14ac:dyDescent="0.25">
      <c r="M1735" s="21"/>
    </row>
    <row r="1736" spans="13:13" x14ac:dyDescent="0.25">
      <c r="M1736" s="21"/>
    </row>
    <row r="1737" spans="13:13" x14ac:dyDescent="0.25">
      <c r="M1737" s="21"/>
    </row>
    <row r="1738" spans="13:13" x14ac:dyDescent="0.25">
      <c r="M1738" s="21"/>
    </row>
    <row r="1739" spans="13:13" x14ac:dyDescent="0.25">
      <c r="M1739" s="21"/>
    </row>
    <row r="1740" spans="13:13" x14ac:dyDescent="0.25">
      <c r="M1740" s="21"/>
    </row>
    <row r="1741" spans="13:13" x14ac:dyDescent="0.25">
      <c r="M1741" s="21"/>
    </row>
    <row r="1742" spans="13:13" x14ac:dyDescent="0.25">
      <c r="M1742" s="21"/>
    </row>
    <row r="1743" spans="13:13" x14ac:dyDescent="0.25">
      <c r="M1743" s="21"/>
    </row>
    <row r="1744" spans="13:13" x14ac:dyDescent="0.25">
      <c r="M1744" s="21"/>
    </row>
    <row r="1745" spans="13:13" x14ac:dyDescent="0.25">
      <c r="M1745" s="21"/>
    </row>
    <row r="1746" spans="13:13" x14ac:dyDescent="0.25">
      <c r="M1746" s="21"/>
    </row>
    <row r="1747" spans="13:13" x14ac:dyDescent="0.25">
      <c r="M1747" s="21"/>
    </row>
    <row r="1748" spans="13:13" x14ac:dyDescent="0.25">
      <c r="M1748" s="21"/>
    </row>
    <row r="1749" spans="13:13" x14ac:dyDescent="0.25">
      <c r="M1749" s="21"/>
    </row>
    <row r="1750" spans="13:13" x14ac:dyDescent="0.25">
      <c r="M1750" s="21"/>
    </row>
    <row r="1751" spans="13:13" x14ac:dyDescent="0.25">
      <c r="M1751" s="21"/>
    </row>
    <row r="1752" spans="13:13" x14ac:dyDescent="0.25">
      <c r="M1752" s="21"/>
    </row>
    <row r="1753" spans="13:13" x14ac:dyDescent="0.25">
      <c r="M1753" s="21"/>
    </row>
    <row r="1754" spans="13:13" x14ac:dyDescent="0.25">
      <c r="M1754" s="21"/>
    </row>
    <row r="1755" spans="13:13" x14ac:dyDescent="0.25">
      <c r="M1755" s="21"/>
    </row>
    <row r="1756" spans="13:13" x14ac:dyDescent="0.25">
      <c r="M1756" s="21"/>
    </row>
    <row r="1757" spans="13:13" x14ac:dyDescent="0.25">
      <c r="M1757" s="21"/>
    </row>
    <row r="1758" spans="13:13" x14ac:dyDescent="0.25">
      <c r="M1758" s="21"/>
    </row>
    <row r="1759" spans="13:13" x14ac:dyDescent="0.25">
      <c r="M1759" s="21"/>
    </row>
    <row r="1760" spans="13:13" x14ac:dyDescent="0.25">
      <c r="M1760" s="21"/>
    </row>
    <row r="1761" spans="13:13" x14ac:dyDescent="0.25">
      <c r="M1761" s="21"/>
    </row>
    <row r="1762" spans="13:13" x14ac:dyDescent="0.25">
      <c r="M1762" s="21"/>
    </row>
    <row r="1763" spans="13:13" x14ac:dyDescent="0.25">
      <c r="M1763" s="21"/>
    </row>
    <row r="1764" spans="13:13" x14ac:dyDescent="0.25">
      <c r="M1764" s="21"/>
    </row>
    <row r="1765" spans="13:13" x14ac:dyDescent="0.25">
      <c r="M1765" s="21"/>
    </row>
    <row r="1766" spans="13:13" x14ac:dyDescent="0.25">
      <c r="M1766" s="21"/>
    </row>
    <row r="1767" spans="13:13" x14ac:dyDescent="0.25">
      <c r="M1767" s="21"/>
    </row>
    <row r="1768" spans="13:13" x14ac:dyDescent="0.25">
      <c r="M1768" s="21"/>
    </row>
    <row r="1769" spans="13:13" x14ac:dyDescent="0.25">
      <c r="M1769" s="21"/>
    </row>
    <row r="1770" spans="13:13" x14ac:dyDescent="0.25">
      <c r="M1770" s="21"/>
    </row>
    <row r="1771" spans="13:13" x14ac:dyDescent="0.25">
      <c r="M1771" s="21"/>
    </row>
    <row r="1772" spans="13:13" x14ac:dyDescent="0.25">
      <c r="M1772" s="21"/>
    </row>
    <row r="1773" spans="13:13" x14ac:dyDescent="0.25">
      <c r="M1773" s="21"/>
    </row>
    <row r="1774" spans="13:13" x14ac:dyDescent="0.25">
      <c r="M1774" s="21"/>
    </row>
    <row r="1775" spans="13:13" x14ac:dyDescent="0.25">
      <c r="M1775" s="21"/>
    </row>
    <row r="1776" spans="13:13" x14ac:dyDescent="0.25">
      <c r="M1776" s="21"/>
    </row>
    <row r="1777" spans="13:13" x14ac:dyDescent="0.25">
      <c r="M1777" s="21"/>
    </row>
    <row r="1778" spans="13:13" x14ac:dyDescent="0.25">
      <c r="M1778" s="21"/>
    </row>
    <row r="1779" spans="13:13" x14ac:dyDescent="0.25">
      <c r="M1779" s="21"/>
    </row>
    <row r="1780" spans="13:13" x14ac:dyDescent="0.25">
      <c r="M1780" s="21"/>
    </row>
    <row r="1781" spans="13:13" x14ac:dyDescent="0.25">
      <c r="M1781" s="21"/>
    </row>
    <row r="1782" spans="13:13" x14ac:dyDescent="0.25">
      <c r="M1782" s="21"/>
    </row>
    <row r="1783" spans="13:13" x14ac:dyDescent="0.25">
      <c r="M1783" s="21"/>
    </row>
    <row r="1784" spans="13:13" x14ac:dyDescent="0.25">
      <c r="M1784" s="21"/>
    </row>
    <row r="1785" spans="13:13" x14ac:dyDescent="0.25">
      <c r="M1785" s="21"/>
    </row>
    <row r="1786" spans="13:13" x14ac:dyDescent="0.25">
      <c r="M1786" s="21"/>
    </row>
    <row r="1787" spans="13:13" x14ac:dyDescent="0.25">
      <c r="M1787" s="21"/>
    </row>
    <row r="1788" spans="13:13" x14ac:dyDescent="0.25">
      <c r="M1788" s="21"/>
    </row>
    <row r="1789" spans="13:13" x14ac:dyDescent="0.25">
      <c r="M1789" s="21"/>
    </row>
    <row r="1790" spans="13:13" x14ac:dyDescent="0.25">
      <c r="M1790" s="21"/>
    </row>
    <row r="1791" spans="13:13" x14ac:dyDescent="0.25">
      <c r="M1791" s="21"/>
    </row>
    <row r="1792" spans="13:13" x14ac:dyDescent="0.25">
      <c r="M1792" s="21"/>
    </row>
    <row r="1793" spans="13:13" x14ac:dyDescent="0.25">
      <c r="M1793" s="21"/>
    </row>
    <row r="1794" spans="13:13" x14ac:dyDescent="0.25">
      <c r="M1794" s="21"/>
    </row>
    <row r="1795" spans="13:13" x14ac:dyDescent="0.25">
      <c r="M1795" s="21"/>
    </row>
    <row r="1796" spans="13:13" x14ac:dyDescent="0.25">
      <c r="M1796" s="21"/>
    </row>
    <row r="1797" spans="13:13" x14ac:dyDescent="0.25">
      <c r="M1797" s="21"/>
    </row>
    <row r="1798" spans="13:13" x14ac:dyDescent="0.25">
      <c r="M1798" s="21"/>
    </row>
    <row r="1799" spans="13:13" x14ac:dyDescent="0.25">
      <c r="M1799" s="21"/>
    </row>
    <row r="1800" spans="13:13" x14ac:dyDescent="0.25">
      <c r="M1800" s="21"/>
    </row>
    <row r="1801" spans="13:13" x14ac:dyDescent="0.25">
      <c r="M1801" s="21"/>
    </row>
    <row r="1802" spans="13:13" x14ac:dyDescent="0.25">
      <c r="M1802" s="21"/>
    </row>
    <row r="1803" spans="13:13" x14ac:dyDescent="0.25">
      <c r="M1803" s="21"/>
    </row>
    <row r="1804" spans="13:13" x14ac:dyDescent="0.25">
      <c r="M1804" s="21"/>
    </row>
    <row r="1805" spans="13:13" x14ac:dyDescent="0.25">
      <c r="M1805" s="21"/>
    </row>
    <row r="1806" spans="13:13" x14ac:dyDescent="0.25">
      <c r="M1806" s="21"/>
    </row>
    <row r="1807" spans="13:13" x14ac:dyDescent="0.25">
      <c r="M1807" s="21"/>
    </row>
    <row r="1808" spans="13:13" x14ac:dyDescent="0.25">
      <c r="M1808" s="21"/>
    </row>
    <row r="1809" spans="13:13" x14ac:dyDescent="0.25">
      <c r="M1809" s="21"/>
    </row>
    <row r="1810" spans="13:13" x14ac:dyDescent="0.25">
      <c r="M1810" s="21"/>
    </row>
    <row r="1811" spans="13:13" x14ac:dyDescent="0.25">
      <c r="M1811" s="21"/>
    </row>
    <row r="1812" spans="13:13" x14ac:dyDescent="0.25">
      <c r="M1812" s="21"/>
    </row>
    <row r="1813" spans="13:13" x14ac:dyDescent="0.25">
      <c r="M1813" s="21"/>
    </row>
    <row r="1814" spans="13:13" x14ac:dyDescent="0.25">
      <c r="M1814" s="21"/>
    </row>
    <row r="1815" spans="13:13" x14ac:dyDescent="0.25">
      <c r="M1815" s="21"/>
    </row>
    <row r="1816" spans="13:13" x14ac:dyDescent="0.25">
      <c r="M1816" s="21"/>
    </row>
    <row r="1817" spans="13:13" x14ac:dyDescent="0.25">
      <c r="M1817" s="21"/>
    </row>
    <row r="1818" spans="13:13" x14ac:dyDescent="0.25">
      <c r="M1818" s="21"/>
    </row>
    <row r="1819" spans="13:13" x14ac:dyDescent="0.25">
      <c r="M1819" s="21"/>
    </row>
    <row r="1820" spans="13:13" x14ac:dyDescent="0.25">
      <c r="M1820" s="21"/>
    </row>
    <row r="1821" spans="13:13" x14ac:dyDescent="0.25">
      <c r="M1821" s="21"/>
    </row>
    <row r="1822" spans="13:13" x14ac:dyDescent="0.25">
      <c r="M1822" s="21"/>
    </row>
    <row r="1823" spans="13:13" x14ac:dyDescent="0.25">
      <c r="M1823" s="21"/>
    </row>
    <row r="1824" spans="13:13" x14ac:dyDescent="0.25">
      <c r="M1824" s="21"/>
    </row>
    <row r="1825" spans="13:13" x14ac:dyDescent="0.25">
      <c r="M1825" s="21"/>
    </row>
    <row r="1826" spans="13:13" x14ac:dyDescent="0.25">
      <c r="M1826" s="21"/>
    </row>
    <row r="1827" spans="13:13" x14ac:dyDescent="0.25">
      <c r="M1827" s="21"/>
    </row>
    <row r="1828" spans="13:13" x14ac:dyDescent="0.25">
      <c r="M1828" s="21"/>
    </row>
    <row r="1829" spans="13:13" x14ac:dyDescent="0.25">
      <c r="M1829" s="21"/>
    </row>
    <row r="1830" spans="13:13" x14ac:dyDescent="0.25">
      <c r="M1830" s="21"/>
    </row>
    <row r="1831" spans="13:13" x14ac:dyDescent="0.25">
      <c r="M1831" s="21"/>
    </row>
    <row r="1832" spans="13:13" x14ac:dyDescent="0.25">
      <c r="M1832" s="21"/>
    </row>
    <row r="1833" spans="13:13" x14ac:dyDescent="0.25">
      <c r="M1833" s="21"/>
    </row>
    <row r="1834" spans="13:13" x14ac:dyDescent="0.25">
      <c r="M1834" s="21"/>
    </row>
    <row r="1835" spans="13:13" x14ac:dyDescent="0.25">
      <c r="M1835" s="21"/>
    </row>
    <row r="1836" spans="13:13" x14ac:dyDescent="0.25">
      <c r="M1836" s="21"/>
    </row>
    <row r="1837" spans="13:13" x14ac:dyDescent="0.25">
      <c r="M1837" s="21"/>
    </row>
    <row r="1838" spans="13:13" x14ac:dyDescent="0.25">
      <c r="M1838" s="21"/>
    </row>
    <row r="1839" spans="13:13" x14ac:dyDescent="0.25">
      <c r="M1839" s="21"/>
    </row>
    <row r="1840" spans="13:13" x14ac:dyDescent="0.25">
      <c r="M1840" s="21"/>
    </row>
    <row r="1841" spans="13:13" x14ac:dyDescent="0.25">
      <c r="M1841" s="21"/>
    </row>
    <row r="1842" spans="13:13" x14ac:dyDescent="0.25">
      <c r="M1842" s="21"/>
    </row>
    <row r="1843" spans="13:13" x14ac:dyDescent="0.25">
      <c r="M1843" s="21"/>
    </row>
    <row r="1844" spans="13:13" x14ac:dyDescent="0.25">
      <c r="M1844" s="21"/>
    </row>
    <row r="1845" spans="13:13" x14ac:dyDescent="0.25">
      <c r="M1845" s="21"/>
    </row>
    <row r="1846" spans="13:13" x14ac:dyDescent="0.25">
      <c r="M1846" s="21"/>
    </row>
    <row r="1847" spans="13:13" x14ac:dyDescent="0.25">
      <c r="M1847" s="21"/>
    </row>
    <row r="1848" spans="13:13" x14ac:dyDescent="0.25">
      <c r="M1848" s="21"/>
    </row>
    <row r="1849" spans="13:13" x14ac:dyDescent="0.25">
      <c r="M1849" s="21"/>
    </row>
    <row r="1850" spans="13:13" x14ac:dyDescent="0.25">
      <c r="M1850" s="21"/>
    </row>
    <row r="1851" spans="13:13" x14ac:dyDescent="0.25">
      <c r="M1851" s="21"/>
    </row>
    <row r="1852" spans="13:13" x14ac:dyDescent="0.25">
      <c r="M1852" s="21"/>
    </row>
    <row r="1853" spans="13:13" x14ac:dyDescent="0.25">
      <c r="M1853" s="21"/>
    </row>
    <row r="1854" spans="13:13" x14ac:dyDescent="0.25">
      <c r="M1854" s="21"/>
    </row>
    <row r="1855" spans="13:13" x14ac:dyDescent="0.25">
      <c r="M1855" s="21"/>
    </row>
    <row r="1856" spans="13:13" x14ac:dyDescent="0.25">
      <c r="M1856" s="21"/>
    </row>
    <row r="1857" spans="13:13" x14ac:dyDescent="0.25">
      <c r="M1857" s="21"/>
    </row>
    <row r="1858" spans="13:13" x14ac:dyDescent="0.25">
      <c r="M1858" s="21"/>
    </row>
    <row r="1859" spans="13:13" x14ac:dyDescent="0.25">
      <c r="M1859" s="21"/>
    </row>
    <row r="1860" spans="13:13" x14ac:dyDescent="0.25">
      <c r="M1860" s="21"/>
    </row>
    <row r="1861" spans="13:13" x14ac:dyDescent="0.25">
      <c r="M1861" s="21"/>
    </row>
    <row r="1862" spans="13:13" x14ac:dyDescent="0.25">
      <c r="M1862" s="21"/>
    </row>
    <row r="1863" spans="13:13" x14ac:dyDescent="0.25">
      <c r="M1863" s="21"/>
    </row>
    <row r="1864" spans="13:13" x14ac:dyDescent="0.25">
      <c r="M1864" s="21"/>
    </row>
    <row r="1865" spans="13:13" x14ac:dyDescent="0.25">
      <c r="M1865" s="21"/>
    </row>
    <row r="1866" spans="13:13" x14ac:dyDescent="0.25">
      <c r="M1866" s="21"/>
    </row>
    <row r="1867" spans="13:13" x14ac:dyDescent="0.25">
      <c r="M1867" s="21"/>
    </row>
    <row r="1868" spans="13:13" x14ac:dyDescent="0.25">
      <c r="M1868" s="21"/>
    </row>
    <row r="1869" spans="13:13" x14ac:dyDescent="0.25">
      <c r="M1869" s="21"/>
    </row>
    <row r="1870" spans="13:13" x14ac:dyDescent="0.25">
      <c r="M1870" s="21"/>
    </row>
    <row r="1871" spans="13:13" x14ac:dyDescent="0.25">
      <c r="M1871" s="21"/>
    </row>
    <row r="1872" spans="13:13" x14ac:dyDescent="0.25">
      <c r="M1872" s="21"/>
    </row>
    <row r="1873" spans="13:13" x14ac:dyDescent="0.25">
      <c r="M1873" s="21"/>
    </row>
    <row r="1874" spans="13:13" x14ac:dyDescent="0.25">
      <c r="M1874" s="21"/>
    </row>
    <row r="1875" spans="13:13" x14ac:dyDescent="0.25">
      <c r="M1875" s="21"/>
    </row>
    <row r="1876" spans="13:13" x14ac:dyDescent="0.25">
      <c r="M1876" s="21"/>
    </row>
    <row r="1877" spans="13:13" x14ac:dyDescent="0.25">
      <c r="M1877" s="21"/>
    </row>
    <row r="1878" spans="13:13" x14ac:dyDescent="0.25">
      <c r="M1878" s="21"/>
    </row>
    <row r="1879" spans="13:13" x14ac:dyDescent="0.25">
      <c r="M1879" s="21"/>
    </row>
    <row r="1880" spans="13:13" x14ac:dyDescent="0.25">
      <c r="M1880" s="21"/>
    </row>
    <row r="1881" spans="13:13" x14ac:dyDescent="0.25">
      <c r="M1881" s="21"/>
    </row>
    <row r="1882" spans="13:13" x14ac:dyDescent="0.25">
      <c r="M1882" s="21"/>
    </row>
    <row r="1883" spans="13:13" x14ac:dyDescent="0.25">
      <c r="M1883" s="21"/>
    </row>
    <row r="1884" spans="13:13" x14ac:dyDescent="0.25">
      <c r="M1884" s="21"/>
    </row>
    <row r="1885" spans="13:13" x14ac:dyDescent="0.25">
      <c r="M1885" s="21"/>
    </row>
    <row r="1886" spans="13:13" x14ac:dyDescent="0.25">
      <c r="M1886" s="21"/>
    </row>
    <row r="1887" spans="13:13" x14ac:dyDescent="0.25">
      <c r="M1887" s="21"/>
    </row>
    <row r="1888" spans="13:13" x14ac:dyDescent="0.25">
      <c r="M1888" s="21"/>
    </row>
    <row r="1889" spans="13:13" x14ac:dyDescent="0.25">
      <c r="M1889" s="21"/>
    </row>
    <row r="1890" spans="13:13" x14ac:dyDescent="0.25">
      <c r="M1890" s="21"/>
    </row>
    <row r="1891" spans="13:13" x14ac:dyDescent="0.25">
      <c r="M1891" s="21"/>
    </row>
    <row r="1892" spans="13:13" x14ac:dyDescent="0.25">
      <c r="M1892" s="21"/>
    </row>
    <row r="1893" spans="13:13" x14ac:dyDescent="0.25">
      <c r="M1893" s="21"/>
    </row>
    <row r="1894" spans="13:13" x14ac:dyDescent="0.25">
      <c r="M1894" s="21"/>
    </row>
    <row r="1895" spans="13:13" x14ac:dyDescent="0.25">
      <c r="M1895" s="21"/>
    </row>
    <row r="1896" spans="13:13" x14ac:dyDescent="0.25">
      <c r="M1896" s="21"/>
    </row>
    <row r="1897" spans="13:13" x14ac:dyDescent="0.25">
      <c r="M1897" s="21"/>
    </row>
    <row r="1898" spans="13:13" x14ac:dyDescent="0.25">
      <c r="M1898" s="21"/>
    </row>
    <row r="1899" spans="13:13" x14ac:dyDescent="0.25">
      <c r="M1899" s="21"/>
    </row>
    <row r="1900" spans="13:13" x14ac:dyDescent="0.25">
      <c r="M1900" s="21"/>
    </row>
    <row r="1901" spans="13:13" x14ac:dyDescent="0.25">
      <c r="M1901" s="21"/>
    </row>
    <row r="1902" spans="13:13" x14ac:dyDescent="0.25">
      <c r="M1902" s="21"/>
    </row>
    <row r="1903" spans="13:13" x14ac:dyDescent="0.25">
      <c r="M1903" s="21"/>
    </row>
    <row r="1904" spans="13:13" x14ac:dyDescent="0.25">
      <c r="M1904" s="21"/>
    </row>
    <row r="1905" spans="13:13" x14ac:dyDescent="0.25">
      <c r="M1905" s="21"/>
    </row>
    <row r="1906" spans="13:13" x14ac:dyDescent="0.25">
      <c r="M1906" s="21"/>
    </row>
    <row r="1907" spans="13:13" x14ac:dyDescent="0.25">
      <c r="M1907" s="21"/>
    </row>
    <row r="1908" spans="13:13" x14ac:dyDescent="0.25">
      <c r="M1908" s="21"/>
    </row>
    <row r="1909" spans="13:13" x14ac:dyDescent="0.25">
      <c r="M1909" s="21"/>
    </row>
    <row r="1910" spans="13:13" x14ac:dyDescent="0.25">
      <c r="M1910" s="21"/>
    </row>
    <row r="1911" spans="13:13" x14ac:dyDescent="0.25">
      <c r="M1911" s="21"/>
    </row>
    <row r="1912" spans="13:13" x14ac:dyDescent="0.25">
      <c r="M1912" s="21"/>
    </row>
    <row r="1913" spans="13:13" x14ac:dyDescent="0.25">
      <c r="M1913" s="21"/>
    </row>
    <row r="1914" spans="13:13" x14ac:dyDescent="0.25">
      <c r="M1914" s="21"/>
    </row>
    <row r="1915" spans="13:13" x14ac:dyDescent="0.25">
      <c r="M1915" s="21"/>
    </row>
    <row r="1916" spans="13:13" x14ac:dyDescent="0.25">
      <c r="M1916" s="21"/>
    </row>
    <row r="1917" spans="13:13" x14ac:dyDescent="0.25">
      <c r="M1917" s="21"/>
    </row>
    <row r="1918" spans="13:13" x14ac:dyDescent="0.25">
      <c r="M1918" s="21"/>
    </row>
    <row r="1919" spans="13:13" x14ac:dyDescent="0.25">
      <c r="M1919" s="21"/>
    </row>
    <row r="1920" spans="13:13" x14ac:dyDescent="0.25">
      <c r="M1920" s="21"/>
    </row>
    <row r="1921" spans="13:13" x14ac:dyDescent="0.25">
      <c r="M1921" s="21"/>
    </row>
    <row r="1922" spans="13:13" x14ac:dyDescent="0.25">
      <c r="M1922" s="21"/>
    </row>
    <row r="1923" spans="13:13" x14ac:dyDescent="0.25">
      <c r="M1923" s="21"/>
    </row>
    <row r="1924" spans="13:13" x14ac:dyDescent="0.25">
      <c r="M1924" s="21"/>
    </row>
    <row r="1925" spans="13:13" x14ac:dyDescent="0.25">
      <c r="M1925" s="21"/>
    </row>
    <row r="1926" spans="13:13" x14ac:dyDescent="0.25">
      <c r="M1926" s="21"/>
    </row>
    <row r="1927" spans="13:13" x14ac:dyDescent="0.25">
      <c r="M1927" s="21"/>
    </row>
    <row r="1928" spans="13:13" x14ac:dyDescent="0.25">
      <c r="M1928" s="21"/>
    </row>
    <row r="1929" spans="13:13" x14ac:dyDescent="0.25">
      <c r="M1929" s="21"/>
    </row>
    <row r="1930" spans="13:13" x14ac:dyDescent="0.25">
      <c r="M1930" s="21"/>
    </row>
    <row r="1931" spans="13:13" x14ac:dyDescent="0.25">
      <c r="M1931" s="21"/>
    </row>
    <row r="1932" spans="13:13" x14ac:dyDescent="0.25">
      <c r="M1932" s="21"/>
    </row>
    <row r="1933" spans="13:13" x14ac:dyDescent="0.25">
      <c r="M1933" s="21"/>
    </row>
    <row r="1934" spans="13:13" x14ac:dyDescent="0.25">
      <c r="M1934" s="21"/>
    </row>
    <row r="1935" spans="13:13" x14ac:dyDescent="0.25">
      <c r="M1935" s="21"/>
    </row>
    <row r="1936" spans="13:13" x14ac:dyDescent="0.25">
      <c r="M1936" s="21"/>
    </row>
    <row r="1937" spans="13:13" x14ac:dyDescent="0.25">
      <c r="M1937" s="21"/>
    </row>
    <row r="1938" spans="13:13" x14ac:dyDescent="0.25">
      <c r="M1938" s="21"/>
    </row>
    <row r="1939" spans="13:13" x14ac:dyDescent="0.25">
      <c r="M1939" s="21"/>
    </row>
    <row r="1940" spans="13:13" x14ac:dyDescent="0.25">
      <c r="M1940" s="21"/>
    </row>
    <row r="1941" spans="13:13" x14ac:dyDescent="0.25">
      <c r="M1941" s="21"/>
    </row>
    <row r="1942" spans="13:13" x14ac:dyDescent="0.25">
      <c r="M1942" s="21"/>
    </row>
    <row r="1943" spans="13:13" x14ac:dyDescent="0.25">
      <c r="M1943" s="21"/>
    </row>
    <row r="1944" spans="13:13" x14ac:dyDescent="0.25">
      <c r="M1944" s="21"/>
    </row>
    <row r="1945" spans="13:13" x14ac:dyDescent="0.25">
      <c r="M1945" s="21"/>
    </row>
    <row r="1946" spans="13:13" x14ac:dyDescent="0.25">
      <c r="M1946" s="21"/>
    </row>
    <row r="1947" spans="13:13" x14ac:dyDescent="0.25">
      <c r="M1947" s="21"/>
    </row>
    <row r="1948" spans="13:13" x14ac:dyDescent="0.25">
      <c r="M1948" s="21"/>
    </row>
    <row r="1949" spans="13:13" x14ac:dyDescent="0.25">
      <c r="M1949" s="21"/>
    </row>
    <row r="1950" spans="13:13" x14ac:dyDescent="0.25">
      <c r="M1950" s="21"/>
    </row>
    <row r="1951" spans="13:13" x14ac:dyDescent="0.25">
      <c r="M1951" s="21"/>
    </row>
    <row r="1952" spans="13:13" x14ac:dyDescent="0.25">
      <c r="M1952" s="21"/>
    </row>
    <row r="1953" spans="13:13" x14ac:dyDescent="0.25">
      <c r="M1953" s="21"/>
    </row>
    <row r="1954" spans="13:13" x14ac:dyDescent="0.25">
      <c r="M1954" s="21"/>
    </row>
    <row r="1955" spans="13:13" x14ac:dyDescent="0.25">
      <c r="M1955" s="21"/>
    </row>
    <row r="1956" spans="13:13" x14ac:dyDescent="0.25">
      <c r="M1956" s="21"/>
    </row>
    <row r="1957" spans="13:13" x14ac:dyDescent="0.25">
      <c r="M1957" s="21"/>
    </row>
    <row r="1958" spans="13:13" x14ac:dyDescent="0.25">
      <c r="M1958" s="21"/>
    </row>
    <row r="1959" spans="13:13" x14ac:dyDescent="0.25">
      <c r="M1959" s="21"/>
    </row>
    <row r="1960" spans="13:13" x14ac:dyDescent="0.25">
      <c r="M1960" s="21"/>
    </row>
    <row r="1961" spans="13:13" x14ac:dyDescent="0.25">
      <c r="M1961" s="21"/>
    </row>
    <row r="1962" spans="13:13" x14ac:dyDescent="0.25">
      <c r="M1962" s="21"/>
    </row>
    <row r="1963" spans="13:13" x14ac:dyDescent="0.25">
      <c r="M1963" s="21"/>
    </row>
    <row r="1964" spans="13:13" x14ac:dyDescent="0.25">
      <c r="M1964" s="21"/>
    </row>
    <row r="1965" spans="13:13" x14ac:dyDescent="0.25">
      <c r="M1965" s="21"/>
    </row>
    <row r="1966" spans="13:13" x14ac:dyDescent="0.25">
      <c r="M1966" s="21"/>
    </row>
    <row r="1967" spans="13:13" x14ac:dyDescent="0.25">
      <c r="M1967" s="21"/>
    </row>
    <row r="1968" spans="13:13" x14ac:dyDescent="0.25">
      <c r="M1968" s="21"/>
    </row>
    <row r="1969" spans="13:13" x14ac:dyDescent="0.25">
      <c r="M1969" s="21"/>
    </row>
    <row r="1970" spans="13:13" x14ac:dyDescent="0.25">
      <c r="M1970" s="21"/>
    </row>
    <row r="1971" spans="13:13" x14ac:dyDescent="0.25">
      <c r="M1971" s="21"/>
    </row>
    <row r="1972" spans="13:13" x14ac:dyDescent="0.25">
      <c r="M1972" s="21"/>
    </row>
    <row r="1973" spans="13:13" x14ac:dyDescent="0.25">
      <c r="M1973" s="21"/>
    </row>
    <row r="1974" spans="13:13" x14ac:dyDescent="0.25">
      <c r="M1974" s="21"/>
    </row>
    <row r="1975" spans="13:13" x14ac:dyDescent="0.25">
      <c r="M1975" s="21"/>
    </row>
    <row r="1976" spans="13:13" x14ac:dyDescent="0.25">
      <c r="M1976" s="21"/>
    </row>
    <row r="1977" spans="13:13" x14ac:dyDescent="0.25">
      <c r="M1977" s="21"/>
    </row>
    <row r="1978" spans="13:13" x14ac:dyDescent="0.25">
      <c r="M1978" s="21"/>
    </row>
    <row r="1979" spans="13:13" x14ac:dyDescent="0.25">
      <c r="M1979" s="21"/>
    </row>
    <row r="1980" spans="13:13" x14ac:dyDescent="0.25">
      <c r="M1980" s="21"/>
    </row>
    <row r="1981" spans="13:13" x14ac:dyDescent="0.25">
      <c r="M1981" s="21"/>
    </row>
    <row r="1982" spans="13:13" x14ac:dyDescent="0.25">
      <c r="M1982" s="21"/>
    </row>
    <row r="1983" spans="13:13" x14ac:dyDescent="0.25">
      <c r="M1983" s="21"/>
    </row>
    <row r="1984" spans="13:13" x14ac:dyDescent="0.25">
      <c r="M1984" s="21"/>
    </row>
    <row r="1985" spans="13:13" x14ac:dyDescent="0.25">
      <c r="M1985" s="21"/>
    </row>
    <row r="1986" spans="13:13" x14ac:dyDescent="0.25">
      <c r="M1986" s="21"/>
    </row>
    <row r="1987" spans="13:13" x14ac:dyDescent="0.25">
      <c r="M1987" s="21"/>
    </row>
    <row r="1988" spans="13:13" x14ac:dyDescent="0.25">
      <c r="M1988" s="21"/>
    </row>
    <row r="1989" spans="13:13" x14ac:dyDescent="0.25">
      <c r="M1989" s="21"/>
    </row>
    <row r="1990" spans="13:13" x14ac:dyDescent="0.25">
      <c r="M1990" s="21"/>
    </row>
    <row r="1991" spans="13:13" x14ac:dyDescent="0.25">
      <c r="M1991" s="21"/>
    </row>
    <row r="1992" spans="13:13" x14ac:dyDescent="0.25">
      <c r="M1992" s="21"/>
    </row>
    <row r="1993" spans="13:13" x14ac:dyDescent="0.25">
      <c r="M1993" s="21"/>
    </row>
    <row r="1994" spans="13:13" x14ac:dyDescent="0.25">
      <c r="M1994" s="21"/>
    </row>
    <row r="1995" spans="13:13" x14ac:dyDescent="0.25">
      <c r="M1995" s="21"/>
    </row>
    <row r="1996" spans="13:13" x14ac:dyDescent="0.25">
      <c r="M1996" s="21"/>
    </row>
    <row r="1997" spans="13:13" x14ac:dyDescent="0.25">
      <c r="M1997" s="21"/>
    </row>
    <row r="1998" spans="13:13" x14ac:dyDescent="0.25">
      <c r="M1998" s="21"/>
    </row>
    <row r="1999" spans="13:13" x14ac:dyDescent="0.25">
      <c r="M1999" s="21"/>
    </row>
    <row r="2000" spans="13:13" x14ac:dyDescent="0.25">
      <c r="M2000" s="21"/>
    </row>
    <row r="2001" spans="13:13" x14ac:dyDescent="0.25">
      <c r="M2001" s="21"/>
    </row>
    <row r="2002" spans="13:13" x14ac:dyDescent="0.25">
      <c r="M2002" s="21"/>
    </row>
    <row r="2003" spans="13:13" x14ac:dyDescent="0.25">
      <c r="M2003" s="21"/>
    </row>
    <row r="2004" spans="13:13" x14ac:dyDescent="0.25">
      <c r="M2004" s="21"/>
    </row>
    <row r="2005" spans="13:13" x14ac:dyDescent="0.25">
      <c r="M2005" s="21"/>
    </row>
    <row r="2006" spans="13:13" x14ac:dyDescent="0.25">
      <c r="M2006" s="21"/>
    </row>
    <row r="2007" spans="13:13" x14ac:dyDescent="0.25">
      <c r="M2007" s="21"/>
    </row>
    <row r="2008" spans="13:13" x14ac:dyDescent="0.25">
      <c r="M2008" s="21"/>
    </row>
    <row r="2009" spans="13:13" x14ac:dyDescent="0.25">
      <c r="M2009" s="21"/>
    </row>
    <row r="2010" spans="13:13" x14ac:dyDescent="0.25">
      <c r="M2010" s="21"/>
    </row>
    <row r="2011" spans="13:13" x14ac:dyDescent="0.25">
      <c r="M2011" s="21"/>
    </row>
    <row r="2012" spans="13:13" x14ac:dyDescent="0.25">
      <c r="M2012" s="21"/>
    </row>
    <row r="2013" spans="13:13" x14ac:dyDescent="0.25">
      <c r="M2013" s="21"/>
    </row>
    <row r="2014" spans="13:13" x14ac:dyDescent="0.25">
      <c r="M2014" s="21"/>
    </row>
    <row r="2015" spans="13:13" x14ac:dyDescent="0.25">
      <c r="M2015" s="21"/>
    </row>
    <row r="2016" spans="13:13" x14ac:dyDescent="0.25">
      <c r="M2016" s="21"/>
    </row>
    <row r="2017" spans="13:13" x14ac:dyDescent="0.25">
      <c r="M2017" s="21"/>
    </row>
    <row r="2018" spans="13:13" x14ac:dyDescent="0.25">
      <c r="M2018" s="21"/>
    </row>
    <row r="2019" spans="13:13" x14ac:dyDescent="0.25">
      <c r="M2019" s="21"/>
    </row>
    <row r="2020" spans="13:13" x14ac:dyDescent="0.25">
      <c r="M2020" s="21"/>
    </row>
    <row r="2021" spans="13:13" x14ac:dyDescent="0.25">
      <c r="M2021" s="21"/>
    </row>
    <row r="2022" spans="13:13" x14ac:dyDescent="0.25">
      <c r="M2022" s="21"/>
    </row>
    <row r="2023" spans="13:13" x14ac:dyDescent="0.25">
      <c r="M2023" s="21"/>
    </row>
    <row r="2024" spans="13:13" x14ac:dyDescent="0.25">
      <c r="M2024" s="21"/>
    </row>
    <row r="2025" spans="13:13" x14ac:dyDescent="0.25">
      <c r="M2025" s="21"/>
    </row>
    <row r="2026" spans="13:13" x14ac:dyDescent="0.25">
      <c r="M2026" s="21"/>
    </row>
    <row r="2027" spans="13:13" x14ac:dyDescent="0.25">
      <c r="M2027" s="21"/>
    </row>
    <row r="2028" spans="13:13" x14ac:dyDescent="0.25">
      <c r="M2028" s="21"/>
    </row>
    <row r="2029" spans="13:13" x14ac:dyDescent="0.25">
      <c r="M2029" s="21"/>
    </row>
    <row r="2030" spans="13:13" x14ac:dyDescent="0.25">
      <c r="M2030" s="21"/>
    </row>
    <row r="2031" spans="13:13" x14ac:dyDescent="0.25">
      <c r="M2031" s="21"/>
    </row>
    <row r="2032" spans="13:13" x14ac:dyDescent="0.25">
      <c r="M2032" s="21"/>
    </row>
    <row r="2033" spans="13:13" x14ac:dyDescent="0.25">
      <c r="M2033" s="21"/>
    </row>
    <row r="2034" spans="13:13" x14ac:dyDescent="0.25">
      <c r="M2034" s="21"/>
    </row>
    <row r="2035" spans="13:13" x14ac:dyDescent="0.25">
      <c r="M2035" s="21"/>
    </row>
    <row r="2036" spans="13:13" x14ac:dyDescent="0.25">
      <c r="M2036" s="21"/>
    </row>
    <row r="2037" spans="13:13" x14ac:dyDescent="0.25">
      <c r="M2037" s="21"/>
    </row>
    <row r="2038" spans="13:13" x14ac:dyDescent="0.25">
      <c r="M2038" s="21"/>
    </row>
    <row r="2039" spans="13:13" x14ac:dyDescent="0.25">
      <c r="M2039" s="21"/>
    </row>
    <row r="2040" spans="13:13" x14ac:dyDescent="0.25">
      <c r="M2040" s="21"/>
    </row>
    <row r="2041" spans="13:13" x14ac:dyDescent="0.25">
      <c r="M2041" s="21"/>
    </row>
    <row r="2042" spans="13:13" x14ac:dyDescent="0.25">
      <c r="M2042" s="21"/>
    </row>
    <row r="2043" spans="13:13" x14ac:dyDescent="0.25">
      <c r="M2043" s="21"/>
    </row>
    <row r="2044" spans="13:13" x14ac:dyDescent="0.25">
      <c r="M2044" s="21"/>
    </row>
    <row r="2045" spans="13:13" x14ac:dyDescent="0.25">
      <c r="M2045" s="21"/>
    </row>
    <row r="2046" spans="13:13" x14ac:dyDescent="0.25">
      <c r="M2046" s="21"/>
    </row>
    <row r="2047" spans="13:13" x14ac:dyDescent="0.25">
      <c r="M2047" s="21"/>
    </row>
    <row r="2048" spans="13:13" x14ac:dyDescent="0.25">
      <c r="M2048" s="21"/>
    </row>
    <row r="2049" spans="13:13" x14ac:dyDescent="0.25">
      <c r="M2049" s="21"/>
    </row>
    <row r="2050" spans="13:13" x14ac:dyDescent="0.25">
      <c r="M2050" s="21"/>
    </row>
    <row r="2051" spans="13:13" x14ac:dyDescent="0.25">
      <c r="M2051" s="21"/>
    </row>
    <row r="2052" spans="13:13" x14ac:dyDescent="0.25">
      <c r="M2052" s="21"/>
    </row>
    <row r="2053" spans="13:13" x14ac:dyDescent="0.25">
      <c r="M2053" s="21"/>
    </row>
    <row r="2054" spans="13:13" x14ac:dyDescent="0.25">
      <c r="M2054" s="21"/>
    </row>
    <row r="2055" spans="13:13" x14ac:dyDescent="0.25">
      <c r="M2055" s="21"/>
    </row>
    <row r="2056" spans="13:13" x14ac:dyDescent="0.25">
      <c r="M2056" s="21"/>
    </row>
    <row r="2057" spans="13:13" x14ac:dyDescent="0.25">
      <c r="M2057" s="21"/>
    </row>
    <row r="2058" spans="13:13" x14ac:dyDescent="0.25">
      <c r="M2058" s="21"/>
    </row>
    <row r="2059" spans="13:13" x14ac:dyDescent="0.25">
      <c r="M2059" s="21"/>
    </row>
    <row r="2060" spans="13:13" x14ac:dyDescent="0.25">
      <c r="M2060" s="21"/>
    </row>
    <row r="2061" spans="13:13" x14ac:dyDescent="0.25">
      <c r="M2061" s="21"/>
    </row>
    <row r="2062" spans="13:13" x14ac:dyDescent="0.25">
      <c r="M2062" s="21"/>
    </row>
    <row r="2063" spans="13:13" x14ac:dyDescent="0.25">
      <c r="M2063" s="21"/>
    </row>
    <row r="2064" spans="13:13" x14ac:dyDescent="0.25">
      <c r="M2064" s="21"/>
    </row>
    <row r="2065" spans="13:13" x14ac:dyDescent="0.25">
      <c r="M2065" s="21"/>
    </row>
    <row r="2066" spans="13:13" x14ac:dyDescent="0.25">
      <c r="M2066" s="21"/>
    </row>
    <row r="2067" spans="13:13" x14ac:dyDescent="0.25">
      <c r="M2067" s="21"/>
    </row>
    <row r="2068" spans="13:13" x14ac:dyDescent="0.25">
      <c r="M2068" s="21"/>
    </row>
    <row r="2069" spans="13:13" x14ac:dyDescent="0.25">
      <c r="M2069" s="21"/>
    </row>
    <row r="2070" spans="13:13" x14ac:dyDescent="0.25">
      <c r="M2070" s="21"/>
    </row>
    <row r="2071" spans="13:13" x14ac:dyDescent="0.25">
      <c r="M2071" s="21"/>
    </row>
    <row r="2072" spans="13:13" x14ac:dyDescent="0.25">
      <c r="M2072" s="21"/>
    </row>
    <row r="2073" spans="13:13" x14ac:dyDescent="0.25">
      <c r="M2073" s="21"/>
    </row>
    <row r="2074" spans="13:13" x14ac:dyDescent="0.25">
      <c r="M2074" s="21"/>
    </row>
    <row r="2075" spans="13:13" x14ac:dyDescent="0.25">
      <c r="M2075" s="21"/>
    </row>
    <row r="2076" spans="13:13" x14ac:dyDescent="0.25">
      <c r="M2076" s="21"/>
    </row>
    <row r="2077" spans="13:13" x14ac:dyDescent="0.25">
      <c r="M2077" s="21"/>
    </row>
    <row r="2078" spans="13:13" x14ac:dyDescent="0.25">
      <c r="M2078" s="21"/>
    </row>
    <row r="2079" spans="13:13" x14ac:dyDescent="0.25">
      <c r="M2079" s="21"/>
    </row>
    <row r="2080" spans="13:13" x14ac:dyDescent="0.25">
      <c r="M2080" s="21"/>
    </row>
    <row r="2081" spans="13:13" x14ac:dyDescent="0.25">
      <c r="M2081" s="21"/>
    </row>
    <row r="2082" spans="13:13" x14ac:dyDescent="0.25">
      <c r="M2082" s="21"/>
    </row>
    <row r="2083" spans="13:13" x14ac:dyDescent="0.25">
      <c r="M2083" s="21"/>
    </row>
    <row r="2084" spans="13:13" x14ac:dyDescent="0.25">
      <c r="M2084" s="21"/>
    </row>
    <row r="2085" spans="13:13" x14ac:dyDescent="0.25">
      <c r="M2085" s="21"/>
    </row>
    <row r="2086" spans="13:13" x14ac:dyDescent="0.25">
      <c r="M2086" s="21"/>
    </row>
    <row r="2087" spans="13:13" x14ac:dyDescent="0.25">
      <c r="M2087" s="21"/>
    </row>
    <row r="2088" spans="13:13" x14ac:dyDescent="0.25">
      <c r="M2088" s="21"/>
    </row>
    <row r="2089" spans="13:13" x14ac:dyDescent="0.25">
      <c r="M2089" s="21"/>
    </row>
    <row r="2090" spans="13:13" x14ac:dyDescent="0.25">
      <c r="M2090" s="21"/>
    </row>
    <row r="2091" spans="13:13" x14ac:dyDescent="0.25">
      <c r="M2091" s="21"/>
    </row>
    <row r="2092" spans="13:13" x14ac:dyDescent="0.25">
      <c r="M2092" s="21"/>
    </row>
    <row r="2093" spans="13:13" x14ac:dyDescent="0.25">
      <c r="M2093" s="21"/>
    </row>
    <row r="2094" spans="13:13" x14ac:dyDescent="0.25">
      <c r="M2094" s="21"/>
    </row>
    <row r="2095" spans="13:13" x14ac:dyDescent="0.25">
      <c r="M2095" s="21"/>
    </row>
    <row r="2096" spans="13:13" x14ac:dyDescent="0.25">
      <c r="M2096" s="21"/>
    </row>
    <row r="2097" spans="13:13" x14ac:dyDescent="0.25">
      <c r="M2097" s="21"/>
    </row>
    <row r="2098" spans="13:13" x14ac:dyDescent="0.25">
      <c r="M2098" s="21"/>
    </row>
    <row r="2099" spans="13:13" x14ac:dyDescent="0.25">
      <c r="M2099" s="21"/>
    </row>
    <row r="2100" spans="13:13" x14ac:dyDescent="0.25">
      <c r="M2100" s="21"/>
    </row>
    <row r="2101" spans="13:13" x14ac:dyDescent="0.25">
      <c r="M2101" s="21"/>
    </row>
    <row r="2102" spans="13:13" x14ac:dyDescent="0.25">
      <c r="M2102" s="21"/>
    </row>
    <row r="2103" spans="13:13" x14ac:dyDescent="0.25">
      <c r="M2103" s="21"/>
    </row>
    <row r="2104" spans="13:13" x14ac:dyDescent="0.25">
      <c r="M2104" s="21"/>
    </row>
    <row r="2105" spans="13:13" x14ac:dyDescent="0.25">
      <c r="M2105" s="21"/>
    </row>
    <row r="2106" spans="13:13" x14ac:dyDescent="0.25">
      <c r="M2106" s="21"/>
    </row>
    <row r="2107" spans="13:13" x14ac:dyDescent="0.25">
      <c r="M2107" s="21"/>
    </row>
    <row r="2108" spans="13:13" x14ac:dyDescent="0.25">
      <c r="M2108" s="21"/>
    </row>
    <row r="2109" spans="13:13" x14ac:dyDescent="0.25">
      <c r="M2109" s="21"/>
    </row>
    <row r="2110" spans="13:13" x14ac:dyDescent="0.25">
      <c r="M2110" s="21"/>
    </row>
    <row r="2111" spans="13:13" x14ac:dyDescent="0.25">
      <c r="M2111" s="21"/>
    </row>
    <row r="2112" spans="13:13" x14ac:dyDescent="0.25">
      <c r="M2112" s="21"/>
    </row>
    <row r="2113" spans="13:13" x14ac:dyDescent="0.25">
      <c r="M2113" s="21"/>
    </row>
    <row r="2114" spans="13:13" x14ac:dyDescent="0.25">
      <c r="M2114" s="21"/>
    </row>
    <row r="2115" spans="13:13" x14ac:dyDescent="0.25">
      <c r="M2115" s="21"/>
    </row>
    <row r="2116" spans="13:13" x14ac:dyDescent="0.25">
      <c r="M2116" s="21"/>
    </row>
    <row r="2117" spans="13:13" x14ac:dyDescent="0.25">
      <c r="M2117" s="21"/>
    </row>
    <row r="2118" spans="13:13" x14ac:dyDescent="0.25">
      <c r="M2118" s="21"/>
    </row>
    <row r="2119" spans="13:13" x14ac:dyDescent="0.25">
      <c r="M2119" s="21"/>
    </row>
    <row r="2120" spans="13:13" x14ac:dyDescent="0.25">
      <c r="M2120" s="21"/>
    </row>
    <row r="2121" spans="13:13" x14ac:dyDescent="0.25">
      <c r="M2121" s="21"/>
    </row>
    <row r="2122" spans="13:13" x14ac:dyDescent="0.25">
      <c r="M2122" s="21"/>
    </row>
    <row r="2123" spans="13:13" x14ac:dyDescent="0.25">
      <c r="M2123" s="21"/>
    </row>
    <row r="2124" spans="13:13" x14ac:dyDescent="0.25">
      <c r="M2124" s="21"/>
    </row>
    <row r="2125" spans="13:13" x14ac:dyDescent="0.25">
      <c r="M2125" s="21"/>
    </row>
    <row r="2126" spans="13:13" x14ac:dyDescent="0.25">
      <c r="M2126" s="21"/>
    </row>
    <row r="2127" spans="13:13" x14ac:dyDescent="0.25">
      <c r="M2127" s="21"/>
    </row>
    <row r="2128" spans="13:13" x14ac:dyDescent="0.25">
      <c r="M2128" s="21"/>
    </row>
    <row r="2129" spans="13:13" x14ac:dyDescent="0.25">
      <c r="M2129" s="21"/>
    </row>
    <row r="2130" spans="13:13" x14ac:dyDescent="0.25">
      <c r="M2130" s="21"/>
    </row>
    <row r="2131" spans="13:13" x14ac:dyDescent="0.25">
      <c r="M2131" s="21"/>
    </row>
    <row r="2132" spans="13:13" x14ac:dyDescent="0.25">
      <c r="M2132" s="21"/>
    </row>
    <row r="2133" spans="13:13" x14ac:dyDescent="0.25">
      <c r="M2133" s="21"/>
    </row>
    <row r="2134" spans="13:13" x14ac:dyDescent="0.25">
      <c r="M2134" s="21"/>
    </row>
    <row r="2135" spans="13:13" x14ac:dyDescent="0.25">
      <c r="M2135" s="21"/>
    </row>
    <row r="2136" spans="13:13" x14ac:dyDescent="0.25">
      <c r="M2136" s="21"/>
    </row>
    <row r="2137" spans="13:13" x14ac:dyDescent="0.25">
      <c r="M2137" s="21"/>
    </row>
    <row r="2138" spans="13:13" x14ac:dyDescent="0.25">
      <c r="M2138" s="21"/>
    </row>
    <row r="2139" spans="13:13" x14ac:dyDescent="0.25">
      <c r="M2139" s="21"/>
    </row>
    <row r="2140" spans="13:13" x14ac:dyDescent="0.25">
      <c r="M2140" s="21"/>
    </row>
    <row r="2141" spans="13:13" x14ac:dyDescent="0.25">
      <c r="M2141" s="21"/>
    </row>
    <row r="2142" spans="13:13" x14ac:dyDescent="0.25">
      <c r="M2142" s="21"/>
    </row>
    <row r="2143" spans="13:13" x14ac:dyDescent="0.25">
      <c r="M2143" s="21"/>
    </row>
    <row r="2144" spans="13:13" x14ac:dyDescent="0.25">
      <c r="M2144" s="21"/>
    </row>
    <row r="2145" spans="13:13" x14ac:dyDescent="0.25">
      <c r="M2145" s="21"/>
    </row>
    <row r="2146" spans="13:13" x14ac:dyDescent="0.25">
      <c r="M2146" s="21"/>
    </row>
    <row r="2147" spans="13:13" x14ac:dyDescent="0.25">
      <c r="M2147" s="21"/>
    </row>
    <row r="2148" spans="13:13" x14ac:dyDescent="0.25">
      <c r="M2148" s="21"/>
    </row>
    <row r="2149" spans="13:13" x14ac:dyDescent="0.25">
      <c r="M2149" s="21"/>
    </row>
    <row r="2150" spans="13:13" x14ac:dyDescent="0.25">
      <c r="M2150" s="21"/>
    </row>
    <row r="2151" spans="13:13" x14ac:dyDescent="0.25">
      <c r="M2151" s="21"/>
    </row>
    <row r="2152" spans="13:13" x14ac:dyDescent="0.25">
      <c r="M2152" s="21"/>
    </row>
    <row r="2153" spans="13:13" x14ac:dyDescent="0.25">
      <c r="M2153" s="21"/>
    </row>
    <row r="2154" spans="13:13" x14ac:dyDescent="0.25">
      <c r="M2154" s="21"/>
    </row>
    <row r="2155" spans="13:13" x14ac:dyDescent="0.25">
      <c r="M2155" s="21"/>
    </row>
    <row r="2156" spans="13:13" x14ac:dyDescent="0.25">
      <c r="M2156" s="21"/>
    </row>
    <row r="2157" spans="13:13" x14ac:dyDescent="0.25">
      <c r="M2157" s="21"/>
    </row>
    <row r="2158" spans="13:13" x14ac:dyDescent="0.25">
      <c r="M2158" s="21"/>
    </row>
    <row r="2159" spans="13:13" x14ac:dyDescent="0.25">
      <c r="M2159" s="21"/>
    </row>
    <row r="2160" spans="13:13" x14ac:dyDescent="0.25">
      <c r="M2160" s="21"/>
    </row>
    <row r="2161" spans="13:13" x14ac:dyDescent="0.25">
      <c r="M2161" s="21"/>
    </row>
    <row r="2162" spans="13:13" x14ac:dyDescent="0.25">
      <c r="M2162" s="21"/>
    </row>
    <row r="2163" spans="13:13" x14ac:dyDescent="0.25">
      <c r="M2163" s="21"/>
    </row>
    <row r="2164" spans="13:13" x14ac:dyDescent="0.25">
      <c r="M2164" s="21"/>
    </row>
    <row r="2165" spans="13:13" x14ac:dyDescent="0.25">
      <c r="M2165" s="21"/>
    </row>
    <row r="2166" spans="13:13" x14ac:dyDescent="0.25">
      <c r="M2166" s="21"/>
    </row>
    <row r="2167" spans="13:13" x14ac:dyDescent="0.25">
      <c r="M2167" s="21"/>
    </row>
    <row r="2168" spans="13:13" x14ac:dyDescent="0.25">
      <c r="M2168" s="21"/>
    </row>
    <row r="2169" spans="13:13" x14ac:dyDescent="0.25">
      <c r="M2169" s="21"/>
    </row>
    <row r="2170" spans="13:13" x14ac:dyDescent="0.25">
      <c r="M2170" s="21"/>
    </row>
    <row r="2171" spans="13:13" x14ac:dyDescent="0.25">
      <c r="M2171" s="21"/>
    </row>
    <row r="2172" spans="13:13" x14ac:dyDescent="0.25">
      <c r="M2172" s="21"/>
    </row>
    <row r="2173" spans="13:13" x14ac:dyDescent="0.25">
      <c r="M2173" s="21"/>
    </row>
    <row r="2174" spans="13:13" x14ac:dyDescent="0.25">
      <c r="M2174" s="21"/>
    </row>
    <row r="2175" spans="13:13" x14ac:dyDescent="0.25">
      <c r="M2175" s="21"/>
    </row>
    <row r="2176" spans="13:13" x14ac:dyDescent="0.25">
      <c r="M2176" s="21"/>
    </row>
    <row r="2177" spans="13:13" x14ac:dyDescent="0.25">
      <c r="M2177" s="21"/>
    </row>
    <row r="2178" spans="13:13" x14ac:dyDescent="0.25">
      <c r="M2178" s="21"/>
    </row>
    <row r="2179" spans="13:13" x14ac:dyDescent="0.25">
      <c r="M2179" s="21"/>
    </row>
    <row r="2180" spans="13:13" x14ac:dyDescent="0.25">
      <c r="M2180" s="21"/>
    </row>
    <row r="2181" spans="13:13" x14ac:dyDescent="0.25">
      <c r="M2181" s="21"/>
    </row>
    <row r="2182" spans="13:13" x14ac:dyDescent="0.25">
      <c r="M2182" s="21"/>
    </row>
    <row r="2183" spans="13:13" x14ac:dyDescent="0.25">
      <c r="M2183" s="21"/>
    </row>
    <row r="2184" spans="13:13" x14ac:dyDescent="0.25">
      <c r="M2184" s="21"/>
    </row>
    <row r="2185" spans="13:13" x14ac:dyDescent="0.25">
      <c r="M2185" s="21"/>
    </row>
    <row r="2186" spans="13:13" x14ac:dyDescent="0.25">
      <c r="M2186" s="21"/>
    </row>
    <row r="2187" spans="13:13" x14ac:dyDescent="0.25">
      <c r="M2187" s="21"/>
    </row>
    <row r="2188" spans="13:13" x14ac:dyDescent="0.25">
      <c r="M2188" s="21"/>
    </row>
    <row r="2189" spans="13:13" x14ac:dyDescent="0.25">
      <c r="M2189" s="21"/>
    </row>
    <row r="2190" spans="13:13" x14ac:dyDescent="0.25">
      <c r="M2190" s="21"/>
    </row>
    <row r="2191" spans="13:13" x14ac:dyDescent="0.25">
      <c r="M2191" s="21"/>
    </row>
    <row r="2192" spans="13:13" x14ac:dyDescent="0.25">
      <c r="M2192" s="21"/>
    </row>
    <row r="2193" spans="13:13" x14ac:dyDescent="0.25">
      <c r="M2193" s="21"/>
    </row>
    <row r="2194" spans="13:13" x14ac:dyDescent="0.25">
      <c r="M2194" s="21"/>
    </row>
    <row r="2195" spans="13:13" x14ac:dyDescent="0.25">
      <c r="M2195" s="21"/>
    </row>
    <row r="2196" spans="13:13" x14ac:dyDescent="0.25">
      <c r="M2196" s="21"/>
    </row>
    <row r="2197" spans="13:13" x14ac:dyDescent="0.25">
      <c r="M2197" s="21"/>
    </row>
    <row r="2198" spans="13:13" x14ac:dyDescent="0.25">
      <c r="M2198" s="21"/>
    </row>
    <row r="2199" spans="13:13" x14ac:dyDescent="0.25">
      <c r="M2199" s="21"/>
    </row>
    <row r="2200" spans="13:13" x14ac:dyDescent="0.25">
      <c r="M2200" s="21"/>
    </row>
    <row r="2201" spans="13:13" x14ac:dyDescent="0.25">
      <c r="M2201" s="21"/>
    </row>
    <row r="2202" spans="13:13" x14ac:dyDescent="0.25">
      <c r="M2202" s="21"/>
    </row>
    <row r="2203" spans="13:13" x14ac:dyDescent="0.25">
      <c r="M2203" s="21"/>
    </row>
    <row r="2204" spans="13:13" x14ac:dyDescent="0.25">
      <c r="M2204" s="21"/>
    </row>
    <row r="2205" spans="13:13" x14ac:dyDescent="0.25">
      <c r="M2205" s="21"/>
    </row>
    <row r="2206" spans="13:13" x14ac:dyDescent="0.25">
      <c r="M2206" s="21"/>
    </row>
    <row r="2207" spans="13:13" x14ac:dyDescent="0.25">
      <c r="M2207" s="21"/>
    </row>
    <row r="2208" spans="13:13" x14ac:dyDescent="0.25">
      <c r="M2208" s="21"/>
    </row>
    <row r="2209" spans="13:13" x14ac:dyDescent="0.25">
      <c r="M2209" s="21"/>
    </row>
    <row r="2210" spans="13:13" x14ac:dyDescent="0.25">
      <c r="M2210" s="21"/>
    </row>
    <row r="2211" spans="13:13" x14ac:dyDescent="0.25">
      <c r="M2211" s="21"/>
    </row>
    <row r="2212" spans="13:13" x14ac:dyDescent="0.25">
      <c r="M2212" s="21"/>
    </row>
    <row r="2213" spans="13:13" x14ac:dyDescent="0.25">
      <c r="M2213" s="21"/>
    </row>
    <row r="2214" spans="13:13" x14ac:dyDescent="0.25">
      <c r="M2214" s="21"/>
    </row>
    <row r="2215" spans="13:13" x14ac:dyDescent="0.25">
      <c r="M2215" s="21"/>
    </row>
    <row r="2216" spans="13:13" x14ac:dyDescent="0.25">
      <c r="M2216" s="21"/>
    </row>
    <row r="2217" spans="13:13" x14ac:dyDescent="0.25">
      <c r="M2217" s="21"/>
    </row>
    <row r="2218" spans="13:13" x14ac:dyDescent="0.25">
      <c r="M2218" s="21"/>
    </row>
    <row r="2219" spans="13:13" x14ac:dyDescent="0.25">
      <c r="M2219" s="21"/>
    </row>
    <row r="2220" spans="13:13" x14ac:dyDescent="0.25">
      <c r="M2220" s="21"/>
    </row>
    <row r="2221" spans="13:13" x14ac:dyDescent="0.25">
      <c r="M2221" s="21"/>
    </row>
    <row r="2222" spans="13:13" x14ac:dyDescent="0.25">
      <c r="M2222" s="21"/>
    </row>
    <row r="2223" spans="13:13" x14ac:dyDescent="0.25">
      <c r="M2223" s="21"/>
    </row>
    <row r="2224" spans="13:13" x14ac:dyDescent="0.25">
      <c r="M2224" s="21"/>
    </row>
    <row r="2225" spans="13:13" x14ac:dyDescent="0.25">
      <c r="M2225" s="21"/>
    </row>
    <row r="2226" spans="13:13" x14ac:dyDescent="0.25">
      <c r="M2226" s="21"/>
    </row>
    <row r="2227" spans="13:13" x14ac:dyDescent="0.25">
      <c r="M2227" s="21"/>
    </row>
    <row r="2228" spans="13:13" x14ac:dyDescent="0.25">
      <c r="M2228" s="21"/>
    </row>
    <row r="2229" spans="13:13" x14ac:dyDescent="0.25">
      <c r="M2229" s="21"/>
    </row>
    <row r="2230" spans="13:13" x14ac:dyDescent="0.25">
      <c r="M2230" s="21"/>
    </row>
    <row r="2231" spans="13:13" x14ac:dyDescent="0.25">
      <c r="M2231" s="21"/>
    </row>
    <row r="2232" spans="13:13" x14ac:dyDescent="0.25">
      <c r="M2232" s="21"/>
    </row>
    <row r="2233" spans="13:13" x14ac:dyDescent="0.25">
      <c r="M2233" s="21"/>
    </row>
    <row r="2234" spans="13:13" x14ac:dyDescent="0.25">
      <c r="M2234" s="21"/>
    </row>
    <row r="2235" spans="13:13" x14ac:dyDescent="0.25">
      <c r="M2235" s="21"/>
    </row>
    <row r="2236" spans="13:13" x14ac:dyDescent="0.25">
      <c r="M2236" s="21"/>
    </row>
    <row r="2237" spans="13:13" x14ac:dyDescent="0.25">
      <c r="M2237" s="21"/>
    </row>
    <row r="2238" spans="13:13" x14ac:dyDescent="0.25">
      <c r="M2238" s="21"/>
    </row>
    <row r="2239" spans="13:13" x14ac:dyDescent="0.25">
      <c r="M2239" s="21"/>
    </row>
    <row r="2240" spans="13:13" x14ac:dyDescent="0.25">
      <c r="M2240" s="21"/>
    </row>
    <row r="2241" spans="13:13" x14ac:dyDescent="0.25">
      <c r="M2241" s="21"/>
    </row>
    <row r="2242" spans="13:13" x14ac:dyDescent="0.25">
      <c r="M2242" s="21"/>
    </row>
    <row r="2243" spans="13:13" x14ac:dyDescent="0.25">
      <c r="M2243" s="21"/>
    </row>
    <row r="2244" spans="13:13" x14ac:dyDescent="0.25">
      <c r="M2244" s="21"/>
    </row>
    <row r="2245" spans="13:13" x14ac:dyDescent="0.25">
      <c r="M2245" s="21"/>
    </row>
    <row r="2246" spans="13:13" x14ac:dyDescent="0.25">
      <c r="M2246" s="21"/>
    </row>
    <row r="2247" spans="13:13" x14ac:dyDescent="0.25">
      <c r="M2247" s="21"/>
    </row>
    <row r="2248" spans="13:13" x14ac:dyDescent="0.25">
      <c r="M2248" s="21"/>
    </row>
    <row r="2249" spans="13:13" x14ac:dyDescent="0.25">
      <c r="M2249" s="21"/>
    </row>
    <row r="2250" spans="13:13" x14ac:dyDescent="0.25">
      <c r="M2250" s="21"/>
    </row>
    <row r="2251" spans="13:13" x14ac:dyDescent="0.25">
      <c r="M2251" s="21"/>
    </row>
    <row r="2252" spans="13:13" x14ac:dyDescent="0.25">
      <c r="M2252" s="21"/>
    </row>
    <row r="2253" spans="13:13" x14ac:dyDescent="0.25">
      <c r="M2253" s="21"/>
    </row>
    <row r="2254" spans="13:13" x14ac:dyDescent="0.25">
      <c r="M2254" s="21"/>
    </row>
    <row r="2255" spans="13:13" x14ac:dyDescent="0.25">
      <c r="M2255" s="21"/>
    </row>
    <row r="2256" spans="13:13" x14ac:dyDescent="0.25">
      <c r="M2256" s="21"/>
    </row>
    <row r="2257" spans="13:13" x14ac:dyDescent="0.25">
      <c r="M2257" s="21"/>
    </row>
    <row r="2258" spans="13:13" x14ac:dyDescent="0.25">
      <c r="M2258" s="21"/>
    </row>
    <row r="2259" spans="13:13" x14ac:dyDescent="0.25">
      <c r="M2259" s="21"/>
    </row>
    <row r="2260" spans="13:13" x14ac:dyDescent="0.25">
      <c r="M2260" s="21"/>
    </row>
    <row r="2261" spans="13:13" x14ac:dyDescent="0.25">
      <c r="M2261" s="21"/>
    </row>
    <row r="2262" spans="13:13" x14ac:dyDescent="0.25">
      <c r="M2262" s="21"/>
    </row>
    <row r="2263" spans="13:13" x14ac:dyDescent="0.25">
      <c r="M2263" s="21"/>
    </row>
    <row r="2264" spans="13:13" x14ac:dyDescent="0.25">
      <c r="M2264" s="21"/>
    </row>
    <row r="2265" spans="13:13" x14ac:dyDescent="0.25">
      <c r="M2265" s="21"/>
    </row>
    <row r="2266" spans="13:13" x14ac:dyDescent="0.25">
      <c r="M2266" s="21"/>
    </row>
    <row r="2267" spans="13:13" x14ac:dyDescent="0.25">
      <c r="M2267" s="21"/>
    </row>
    <row r="2268" spans="13:13" x14ac:dyDescent="0.25">
      <c r="M2268" s="21"/>
    </row>
    <row r="2269" spans="13:13" x14ac:dyDescent="0.25">
      <c r="M2269" s="21"/>
    </row>
    <row r="2270" spans="13:13" x14ac:dyDescent="0.25">
      <c r="M2270" s="21"/>
    </row>
    <row r="2271" spans="13:13" x14ac:dyDescent="0.25">
      <c r="M2271" s="21"/>
    </row>
    <row r="2272" spans="13:13" x14ac:dyDescent="0.25">
      <c r="M2272" s="21"/>
    </row>
    <row r="2273" spans="13:13" x14ac:dyDescent="0.25">
      <c r="M2273" s="21"/>
    </row>
    <row r="2274" spans="13:13" x14ac:dyDescent="0.25">
      <c r="M2274" s="21"/>
    </row>
    <row r="2275" spans="13:13" x14ac:dyDescent="0.25">
      <c r="M2275" s="21"/>
    </row>
    <row r="2276" spans="13:13" x14ac:dyDescent="0.25">
      <c r="M2276" s="21"/>
    </row>
    <row r="2277" spans="13:13" x14ac:dyDescent="0.25">
      <c r="M2277" s="21"/>
    </row>
    <row r="2278" spans="13:13" x14ac:dyDescent="0.25">
      <c r="M2278" s="21"/>
    </row>
    <row r="2279" spans="13:13" x14ac:dyDescent="0.25">
      <c r="M2279" s="21"/>
    </row>
    <row r="2280" spans="13:13" x14ac:dyDescent="0.25">
      <c r="M2280" s="21"/>
    </row>
    <row r="2281" spans="13:13" x14ac:dyDescent="0.25">
      <c r="M2281" s="21"/>
    </row>
    <row r="2282" spans="13:13" x14ac:dyDescent="0.25">
      <c r="M2282" s="21"/>
    </row>
    <row r="2283" spans="13:13" x14ac:dyDescent="0.25">
      <c r="M2283" s="21"/>
    </row>
    <row r="2284" spans="13:13" x14ac:dyDescent="0.25">
      <c r="M2284" s="21"/>
    </row>
    <row r="2285" spans="13:13" x14ac:dyDescent="0.25">
      <c r="M2285" s="21"/>
    </row>
    <row r="2286" spans="13:13" x14ac:dyDescent="0.25">
      <c r="M2286" s="21"/>
    </row>
    <row r="2287" spans="13:13" x14ac:dyDescent="0.25">
      <c r="M2287" s="21"/>
    </row>
    <row r="2288" spans="13:13" x14ac:dyDescent="0.25">
      <c r="M2288" s="21"/>
    </row>
    <row r="2289" spans="13:13" x14ac:dyDescent="0.25">
      <c r="M2289" s="21"/>
    </row>
    <row r="2290" spans="13:13" x14ac:dyDescent="0.25">
      <c r="M2290" s="21"/>
    </row>
    <row r="2291" spans="13:13" x14ac:dyDescent="0.25">
      <c r="M2291" s="21"/>
    </row>
    <row r="2292" spans="13:13" x14ac:dyDescent="0.25">
      <c r="M2292" s="21"/>
    </row>
    <row r="2293" spans="13:13" x14ac:dyDescent="0.25">
      <c r="M2293" s="21"/>
    </row>
    <row r="2294" spans="13:13" x14ac:dyDescent="0.25">
      <c r="M2294" s="21"/>
    </row>
    <row r="2295" spans="13:13" x14ac:dyDescent="0.25">
      <c r="M2295" s="21"/>
    </row>
    <row r="2296" spans="13:13" x14ac:dyDescent="0.25">
      <c r="M2296" s="21"/>
    </row>
    <row r="2297" spans="13:13" x14ac:dyDescent="0.25">
      <c r="M2297" s="21"/>
    </row>
    <row r="2298" spans="13:13" x14ac:dyDescent="0.25">
      <c r="M2298" s="21"/>
    </row>
    <row r="2299" spans="13:13" x14ac:dyDescent="0.25">
      <c r="M2299" s="21"/>
    </row>
    <row r="2300" spans="13:13" x14ac:dyDescent="0.25">
      <c r="M2300" s="21"/>
    </row>
    <row r="2301" spans="13:13" x14ac:dyDescent="0.25">
      <c r="M2301" s="21"/>
    </row>
    <row r="2302" spans="13:13" x14ac:dyDescent="0.25">
      <c r="M2302" s="21"/>
    </row>
    <row r="2303" spans="13:13" x14ac:dyDescent="0.25">
      <c r="M2303" s="21"/>
    </row>
    <row r="2304" spans="13:13" x14ac:dyDescent="0.25">
      <c r="M2304" s="21"/>
    </row>
    <row r="2305" spans="13:13" x14ac:dyDescent="0.25">
      <c r="M2305" s="21"/>
    </row>
    <row r="2306" spans="13:13" x14ac:dyDescent="0.25">
      <c r="M2306" s="21"/>
    </row>
    <row r="2307" spans="13:13" x14ac:dyDescent="0.25">
      <c r="M2307" s="21"/>
    </row>
    <row r="2308" spans="13:13" x14ac:dyDescent="0.25">
      <c r="M2308" s="21"/>
    </row>
    <row r="2309" spans="13:13" x14ac:dyDescent="0.25">
      <c r="M2309" s="21"/>
    </row>
    <row r="2310" spans="13:13" x14ac:dyDescent="0.25">
      <c r="M2310" s="21"/>
    </row>
    <row r="2311" spans="13:13" x14ac:dyDescent="0.25">
      <c r="M2311" s="21"/>
    </row>
    <row r="2312" spans="13:13" x14ac:dyDescent="0.25">
      <c r="M2312" s="21"/>
    </row>
    <row r="2313" spans="13:13" x14ac:dyDescent="0.25">
      <c r="M2313" s="21"/>
    </row>
    <row r="2314" spans="13:13" x14ac:dyDescent="0.25">
      <c r="M2314" s="21"/>
    </row>
    <row r="2315" spans="13:13" x14ac:dyDescent="0.25">
      <c r="M2315" s="21"/>
    </row>
    <row r="2316" spans="13:13" x14ac:dyDescent="0.25">
      <c r="M2316" s="21"/>
    </row>
    <row r="2317" spans="13:13" x14ac:dyDescent="0.25">
      <c r="M2317" s="21"/>
    </row>
    <row r="2318" spans="13:13" x14ac:dyDescent="0.25">
      <c r="M2318" s="21"/>
    </row>
    <row r="2319" spans="13:13" x14ac:dyDescent="0.25">
      <c r="M2319" s="21"/>
    </row>
    <row r="2320" spans="13:13" x14ac:dyDescent="0.25">
      <c r="M2320" s="21"/>
    </row>
    <row r="2321" spans="13:13" x14ac:dyDescent="0.25">
      <c r="M2321" s="21"/>
    </row>
    <row r="2322" spans="13:13" x14ac:dyDescent="0.25">
      <c r="M2322" s="21"/>
    </row>
    <row r="2323" spans="13:13" x14ac:dyDescent="0.25">
      <c r="M2323" s="21"/>
    </row>
    <row r="2324" spans="13:13" x14ac:dyDescent="0.25">
      <c r="M2324" s="21"/>
    </row>
    <row r="2325" spans="13:13" x14ac:dyDescent="0.25">
      <c r="M2325" s="21"/>
    </row>
    <row r="2326" spans="13:13" x14ac:dyDescent="0.25">
      <c r="M2326" s="21"/>
    </row>
    <row r="2327" spans="13:13" x14ac:dyDescent="0.25">
      <c r="M2327" s="21"/>
    </row>
    <row r="2328" spans="13:13" x14ac:dyDescent="0.25">
      <c r="M2328" s="21"/>
    </row>
    <row r="2329" spans="13:13" x14ac:dyDescent="0.25">
      <c r="M2329" s="21"/>
    </row>
    <row r="2330" spans="13:13" x14ac:dyDescent="0.25">
      <c r="M2330" s="21"/>
    </row>
    <row r="2331" spans="13:13" x14ac:dyDescent="0.25">
      <c r="M2331" s="21"/>
    </row>
    <row r="2332" spans="13:13" x14ac:dyDescent="0.25">
      <c r="M2332" s="21"/>
    </row>
    <row r="2333" spans="13:13" x14ac:dyDescent="0.25">
      <c r="M2333" s="21"/>
    </row>
    <row r="2334" spans="13:13" x14ac:dyDescent="0.25">
      <c r="M2334" s="21"/>
    </row>
    <row r="2335" spans="13:13" x14ac:dyDescent="0.25">
      <c r="M2335" s="21"/>
    </row>
    <row r="2336" spans="13:13" x14ac:dyDescent="0.25">
      <c r="M2336" s="21"/>
    </row>
    <row r="2337" spans="13:13" x14ac:dyDescent="0.25">
      <c r="M2337" s="21"/>
    </row>
    <row r="2338" spans="13:13" x14ac:dyDescent="0.25">
      <c r="M2338" s="21"/>
    </row>
    <row r="2339" spans="13:13" x14ac:dyDescent="0.25">
      <c r="M2339" s="21"/>
    </row>
    <row r="2340" spans="13:13" x14ac:dyDescent="0.25">
      <c r="M2340" s="21"/>
    </row>
    <row r="2341" spans="13:13" x14ac:dyDescent="0.25">
      <c r="M2341" s="21"/>
    </row>
    <row r="2342" spans="13:13" x14ac:dyDescent="0.25">
      <c r="M2342" s="21"/>
    </row>
    <row r="2343" spans="13:13" x14ac:dyDescent="0.25">
      <c r="M2343" s="21"/>
    </row>
    <row r="2344" spans="13:13" x14ac:dyDescent="0.25">
      <c r="M2344" s="21"/>
    </row>
    <row r="2345" spans="13:13" x14ac:dyDescent="0.25">
      <c r="M2345" s="21"/>
    </row>
    <row r="2346" spans="13:13" x14ac:dyDescent="0.25">
      <c r="M2346" s="21"/>
    </row>
    <row r="2347" spans="13:13" x14ac:dyDescent="0.25">
      <c r="M2347" s="21"/>
    </row>
    <row r="2348" spans="13:13" x14ac:dyDescent="0.25">
      <c r="M2348" s="21"/>
    </row>
    <row r="2349" spans="13:13" x14ac:dyDescent="0.25">
      <c r="M2349" s="21"/>
    </row>
    <row r="2350" spans="13:13" x14ac:dyDescent="0.25">
      <c r="M2350" s="21"/>
    </row>
    <row r="2351" spans="13:13" x14ac:dyDescent="0.25">
      <c r="M2351" s="21"/>
    </row>
    <row r="2352" spans="13:13" x14ac:dyDescent="0.25">
      <c r="M2352" s="21"/>
    </row>
    <row r="2353" spans="13:13" x14ac:dyDescent="0.25">
      <c r="M2353" s="21"/>
    </row>
    <row r="2354" spans="13:13" x14ac:dyDescent="0.25">
      <c r="M2354" s="21"/>
    </row>
    <row r="2355" spans="13:13" x14ac:dyDescent="0.25">
      <c r="M2355" s="21"/>
    </row>
    <row r="2356" spans="13:13" x14ac:dyDescent="0.25">
      <c r="M2356" s="21"/>
    </row>
    <row r="2357" spans="13:13" x14ac:dyDescent="0.25">
      <c r="M2357" s="21"/>
    </row>
    <row r="2358" spans="13:13" x14ac:dyDescent="0.25">
      <c r="M2358" s="21"/>
    </row>
    <row r="2359" spans="13:13" x14ac:dyDescent="0.25">
      <c r="M2359" s="21"/>
    </row>
    <row r="2360" spans="13:13" x14ac:dyDescent="0.25">
      <c r="M2360" s="21"/>
    </row>
    <row r="2361" spans="13:13" x14ac:dyDescent="0.25">
      <c r="M2361" s="21"/>
    </row>
    <row r="2362" spans="13:13" x14ac:dyDescent="0.25">
      <c r="M2362" s="21"/>
    </row>
    <row r="2363" spans="13:13" x14ac:dyDescent="0.25">
      <c r="M2363" s="21"/>
    </row>
    <row r="2364" spans="13:13" x14ac:dyDescent="0.25">
      <c r="M2364" s="21"/>
    </row>
    <row r="2365" spans="13:13" x14ac:dyDescent="0.25">
      <c r="M2365" s="21"/>
    </row>
    <row r="2366" spans="13:13" x14ac:dyDescent="0.25">
      <c r="M2366" s="21"/>
    </row>
    <row r="2367" spans="13:13" x14ac:dyDescent="0.25">
      <c r="M2367" s="21"/>
    </row>
    <row r="2368" spans="13:13" x14ac:dyDescent="0.25">
      <c r="M2368" s="21"/>
    </row>
    <row r="2369" spans="13:13" x14ac:dyDescent="0.25">
      <c r="M2369" s="21"/>
    </row>
    <row r="2370" spans="13:13" x14ac:dyDescent="0.25">
      <c r="M2370" s="21"/>
    </row>
    <row r="2371" spans="13:13" x14ac:dyDescent="0.25">
      <c r="M2371" s="21"/>
    </row>
    <row r="2372" spans="13:13" x14ac:dyDescent="0.25">
      <c r="M2372" s="21"/>
    </row>
    <row r="2373" spans="13:13" x14ac:dyDescent="0.25">
      <c r="M2373" s="21"/>
    </row>
    <row r="2374" spans="13:13" x14ac:dyDescent="0.25">
      <c r="M2374" s="21"/>
    </row>
    <row r="2375" spans="13:13" x14ac:dyDescent="0.25">
      <c r="M2375" s="21"/>
    </row>
    <row r="2376" spans="13:13" x14ac:dyDescent="0.25">
      <c r="M2376" s="21"/>
    </row>
    <row r="2377" spans="13:13" x14ac:dyDescent="0.25">
      <c r="M2377" s="21"/>
    </row>
    <row r="2378" spans="13:13" x14ac:dyDescent="0.25">
      <c r="M2378" s="21"/>
    </row>
    <row r="2379" spans="13:13" x14ac:dyDescent="0.25">
      <c r="M2379" s="21"/>
    </row>
    <row r="2380" spans="13:13" x14ac:dyDescent="0.25">
      <c r="M2380" s="21"/>
    </row>
    <row r="2381" spans="13:13" x14ac:dyDescent="0.25">
      <c r="M2381" s="21"/>
    </row>
    <row r="2382" spans="13:13" x14ac:dyDescent="0.25">
      <c r="M2382" s="21"/>
    </row>
    <row r="2383" spans="13:13" x14ac:dyDescent="0.25">
      <c r="M2383" s="21"/>
    </row>
    <row r="2384" spans="13:13" x14ac:dyDescent="0.25">
      <c r="M2384" s="21"/>
    </row>
    <row r="2385" spans="13:13" x14ac:dyDescent="0.25">
      <c r="M2385" s="21"/>
    </row>
    <row r="2386" spans="13:13" x14ac:dyDescent="0.25">
      <c r="M2386" s="21"/>
    </row>
    <row r="2387" spans="13:13" x14ac:dyDescent="0.25">
      <c r="M2387" s="21"/>
    </row>
    <row r="2388" spans="13:13" x14ac:dyDescent="0.25">
      <c r="M2388" s="21"/>
    </row>
    <row r="2389" spans="13:13" x14ac:dyDescent="0.25">
      <c r="M2389" s="21"/>
    </row>
    <row r="2390" spans="13:13" x14ac:dyDescent="0.25">
      <c r="M2390" s="21"/>
    </row>
    <row r="2391" spans="13:13" x14ac:dyDescent="0.25">
      <c r="M2391" s="21"/>
    </row>
    <row r="2392" spans="13:13" x14ac:dyDescent="0.25">
      <c r="M2392" s="21"/>
    </row>
    <row r="2393" spans="13:13" x14ac:dyDescent="0.25">
      <c r="M2393" s="21"/>
    </row>
    <row r="2394" spans="13:13" x14ac:dyDescent="0.25">
      <c r="M2394" s="21"/>
    </row>
    <row r="2395" spans="13:13" x14ac:dyDescent="0.25">
      <c r="M2395" s="21"/>
    </row>
    <row r="2396" spans="13:13" x14ac:dyDescent="0.25">
      <c r="M2396" s="21"/>
    </row>
    <row r="2397" spans="13:13" x14ac:dyDescent="0.25">
      <c r="M2397" s="21"/>
    </row>
    <row r="2398" spans="13:13" x14ac:dyDescent="0.25">
      <c r="M2398" s="21"/>
    </row>
    <row r="2399" spans="13:13" x14ac:dyDescent="0.25">
      <c r="M2399" s="21"/>
    </row>
    <row r="2400" spans="13:13" x14ac:dyDescent="0.25">
      <c r="M2400" s="21"/>
    </row>
    <row r="2401" spans="13:13" x14ac:dyDescent="0.25">
      <c r="M2401" s="21"/>
    </row>
    <row r="2402" spans="13:13" x14ac:dyDescent="0.25">
      <c r="M2402" s="21"/>
    </row>
    <row r="2403" spans="13:13" x14ac:dyDescent="0.25">
      <c r="M2403" s="21"/>
    </row>
    <row r="2404" spans="13:13" x14ac:dyDescent="0.25">
      <c r="M2404" s="21"/>
    </row>
    <row r="2405" spans="13:13" x14ac:dyDescent="0.25">
      <c r="M2405" s="21"/>
    </row>
    <row r="2406" spans="13:13" x14ac:dyDescent="0.25">
      <c r="M2406" s="21"/>
    </row>
    <row r="2407" spans="13:13" x14ac:dyDescent="0.25">
      <c r="M2407" s="21"/>
    </row>
    <row r="2408" spans="13:13" x14ac:dyDescent="0.25">
      <c r="M2408" s="21"/>
    </row>
    <row r="2409" spans="13:13" x14ac:dyDescent="0.25">
      <c r="M2409" s="21"/>
    </row>
    <row r="2410" spans="13:13" x14ac:dyDescent="0.25">
      <c r="M2410" s="21"/>
    </row>
    <row r="2411" spans="13:13" x14ac:dyDescent="0.25">
      <c r="M2411" s="21"/>
    </row>
    <row r="2412" spans="13:13" x14ac:dyDescent="0.25">
      <c r="M2412" s="21"/>
    </row>
    <row r="2413" spans="13:13" x14ac:dyDescent="0.25">
      <c r="M2413" s="21"/>
    </row>
    <row r="2414" spans="13:13" x14ac:dyDescent="0.25">
      <c r="M2414" s="21"/>
    </row>
    <row r="2415" spans="13:13" x14ac:dyDescent="0.25">
      <c r="M2415" s="21"/>
    </row>
    <row r="2416" spans="13:13" x14ac:dyDescent="0.25">
      <c r="M2416" s="21"/>
    </row>
    <row r="2417" spans="13:13" x14ac:dyDescent="0.25">
      <c r="M2417" s="21"/>
    </row>
    <row r="2418" spans="13:13" x14ac:dyDescent="0.25">
      <c r="M2418" s="21"/>
    </row>
    <row r="2419" spans="13:13" x14ac:dyDescent="0.25">
      <c r="M2419" s="21"/>
    </row>
    <row r="2420" spans="13:13" x14ac:dyDescent="0.25">
      <c r="M2420" s="21"/>
    </row>
    <row r="2421" spans="13:13" x14ac:dyDescent="0.25">
      <c r="M2421" s="21"/>
    </row>
    <row r="2422" spans="13:13" x14ac:dyDescent="0.25">
      <c r="M2422" s="21"/>
    </row>
    <row r="2423" spans="13:13" x14ac:dyDescent="0.25">
      <c r="M2423" s="21"/>
    </row>
    <row r="2424" spans="13:13" x14ac:dyDescent="0.25">
      <c r="M2424" s="21"/>
    </row>
    <row r="2425" spans="13:13" x14ac:dyDescent="0.25">
      <c r="M2425" s="21"/>
    </row>
    <row r="2426" spans="13:13" x14ac:dyDescent="0.25">
      <c r="M2426" s="21"/>
    </row>
    <row r="2427" spans="13:13" x14ac:dyDescent="0.25">
      <c r="M2427" s="21"/>
    </row>
    <row r="2428" spans="13:13" x14ac:dyDescent="0.25">
      <c r="M2428" s="21"/>
    </row>
    <row r="2429" spans="13:13" x14ac:dyDescent="0.25">
      <c r="M2429" s="21"/>
    </row>
    <row r="2430" spans="13:13" x14ac:dyDescent="0.25">
      <c r="M2430" s="21"/>
    </row>
    <row r="2431" spans="13:13" x14ac:dyDescent="0.25">
      <c r="M2431" s="21"/>
    </row>
    <row r="2432" spans="13:13" x14ac:dyDescent="0.25">
      <c r="M2432" s="21"/>
    </row>
    <row r="2433" spans="13:13" x14ac:dyDescent="0.25">
      <c r="M2433" s="21"/>
    </row>
    <row r="2434" spans="13:13" x14ac:dyDescent="0.25">
      <c r="M2434" s="21"/>
    </row>
    <row r="2435" spans="13:13" x14ac:dyDescent="0.25">
      <c r="M2435" s="21"/>
    </row>
    <row r="2436" spans="13:13" x14ac:dyDescent="0.25">
      <c r="M2436" s="21"/>
    </row>
    <row r="2437" spans="13:13" x14ac:dyDescent="0.25">
      <c r="M2437" s="21"/>
    </row>
    <row r="2438" spans="13:13" x14ac:dyDescent="0.25">
      <c r="M2438" s="21"/>
    </row>
    <row r="2439" spans="13:13" x14ac:dyDescent="0.25">
      <c r="M2439" s="21"/>
    </row>
    <row r="2440" spans="13:13" x14ac:dyDescent="0.25">
      <c r="M2440" s="21"/>
    </row>
    <row r="2441" spans="13:13" x14ac:dyDescent="0.25">
      <c r="M2441" s="21"/>
    </row>
    <row r="2442" spans="13:13" x14ac:dyDescent="0.25">
      <c r="M2442" s="21"/>
    </row>
    <row r="2443" spans="13:13" x14ac:dyDescent="0.25">
      <c r="M2443" s="21"/>
    </row>
    <row r="2444" spans="13:13" x14ac:dyDescent="0.25">
      <c r="M2444" s="21"/>
    </row>
    <row r="2445" spans="13:13" x14ac:dyDescent="0.25">
      <c r="M2445" s="21"/>
    </row>
    <row r="2446" spans="13:13" x14ac:dyDescent="0.25">
      <c r="M2446" s="21"/>
    </row>
    <row r="2447" spans="13:13" x14ac:dyDescent="0.25">
      <c r="M2447" s="21"/>
    </row>
    <row r="2448" spans="13:13" x14ac:dyDescent="0.25">
      <c r="M2448" s="21"/>
    </row>
    <row r="2449" spans="13:13" x14ac:dyDescent="0.25">
      <c r="M2449" s="21"/>
    </row>
    <row r="2450" spans="13:13" x14ac:dyDescent="0.25">
      <c r="M2450" s="21"/>
    </row>
    <row r="2451" spans="13:13" x14ac:dyDescent="0.25">
      <c r="M2451" s="21"/>
    </row>
    <row r="2452" spans="13:13" x14ac:dyDescent="0.25">
      <c r="M2452" s="21"/>
    </row>
    <row r="2453" spans="13:13" x14ac:dyDescent="0.25">
      <c r="M2453" s="21"/>
    </row>
    <row r="2454" spans="13:13" x14ac:dyDescent="0.25">
      <c r="M2454" s="21"/>
    </row>
    <row r="2455" spans="13:13" x14ac:dyDescent="0.25">
      <c r="M2455" s="21"/>
    </row>
    <row r="2456" spans="13:13" x14ac:dyDescent="0.25">
      <c r="M2456" s="21"/>
    </row>
    <row r="2457" spans="13:13" x14ac:dyDescent="0.25">
      <c r="M2457" s="21"/>
    </row>
    <row r="2458" spans="13:13" x14ac:dyDescent="0.25">
      <c r="M2458" s="21"/>
    </row>
    <row r="2459" spans="13:13" x14ac:dyDescent="0.25">
      <c r="M2459" s="21"/>
    </row>
    <row r="2460" spans="13:13" x14ac:dyDescent="0.25">
      <c r="M2460" s="21"/>
    </row>
    <row r="2461" spans="13:13" x14ac:dyDescent="0.25">
      <c r="M2461" s="21"/>
    </row>
    <row r="2462" spans="13:13" x14ac:dyDescent="0.25">
      <c r="M2462" s="21"/>
    </row>
    <row r="2463" spans="13:13" x14ac:dyDescent="0.25">
      <c r="M2463" s="21"/>
    </row>
    <row r="2464" spans="13:13" x14ac:dyDescent="0.25">
      <c r="M2464" s="21"/>
    </row>
    <row r="2465" spans="13:13" x14ac:dyDescent="0.25">
      <c r="M2465" s="21"/>
    </row>
    <row r="2466" spans="13:13" x14ac:dyDescent="0.25">
      <c r="M2466" s="21"/>
    </row>
    <row r="2467" spans="13:13" x14ac:dyDescent="0.25">
      <c r="M2467" s="21"/>
    </row>
    <row r="2468" spans="13:13" x14ac:dyDescent="0.25">
      <c r="M2468" s="21"/>
    </row>
    <row r="2469" spans="13:13" x14ac:dyDescent="0.25">
      <c r="M2469" s="21"/>
    </row>
    <row r="2470" spans="13:13" x14ac:dyDescent="0.25">
      <c r="M2470" s="21"/>
    </row>
    <row r="2471" spans="13:13" x14ac:dyDescent="0.25">
      <c r="M2471" s="21"/>
    </row>
    <row r="2472" spans="13:13" x14ac:dyDescent="0.25">
      <c r="M2472" s="21"/>
    </row>
    <row r="2473" spans="13:13" x14ac:dyDescent="0.25">
      <c r="M2473" s="21"/>
    </row>
    <row r="2474" spans="13:13" x14ac:dyDescent="0.25">
      <c r="M2474" s="21"/>
    </row>
    <row r="2475" spans="13:13" x14ac:dyDescent="0.25">
      <c r="M2475" s="21"/>
    </row>
    <row r="2476" spans="13:13" x14ac:dyDescent="0.25">
      <c r="M2476" s="21"/>
    </row>
    <row r="2477" spans="13:13" x14ac:dyDescent="0.25">
      <c r="M2477" s="21"/>
    </row>
    <row r="2478" spans="13:13" x14ac:dyDescent="0.25">
      <c r="M2478" s="21"/>
    </row>
    <row r="2479" spans="13:13" x14ac:dyDescent="0.25">
      <c r="M2479" s="21"/>
    </row>
    <row r="2480" spans="13:13" x14ac:dyDescent="0.25">
      <c r="M2480" s="21"/>
    </row>
    <row r="2481" spans="13:13" x14ac:dyDescent="0.25">
      <c r="M2481" s="21"/>
    </row>
    <row r="2482" spans="13:13" x14ac:dyDescent="0.25">
      <c r="M2482" s="21"/>
    </row>
    <row r="2483" spans="13:13" x14ac:dyDescent="0.25">
      <c r="M2483" s="21"/>
    </row>
    <row r="2484" spans="13:13" x14ac:dyDescent="0.25">
      <c r="M2484" s="21"/>
    </row>
    <row r="2485" spans="13:13" x14ac:dyDescent="0.25">
      <c r="M2485" s="21"/>
    </row>
    <row r="2486" spans="13:13" x14ac:dyDescent="0.25">
      <c r="M2486" s="21"/>
    </row>
    <row r="2487" spans="13:13" x14ac:dyDescent="0.25">
      <c r="M2487" s="21"/>
    </row>
    <row r="2488" spans="13:13" x14ac:dyDescent="0.25">
      <c r="M2488" s="21"/>
    </row>
    <row r="2489" spans="13:13" x14ac:dyDescent="0.25">
      <c r="M2489" s="21"/>
    </row>
    <row r="2490" spans="13:13" x14ac:dyDescent="0.25">
      <c r="M2490" s="21"/>
    </row>
    <row r="2491" spans="13:13" x14ac:dyDescent="0.25">
      <c r="M2491" s="21"/>
    </row>
    <row r="2492" spans="13:13" x14ac:dyDescent="0.25">
      <c r="M2492" s="21"/>
    </row>
    <row r="2493" spans="13:13" x14ac:dyDescent="0.25">
      <c r="M2493" s="21"/>
    </row>
    <row r="2494" spans="13:13" x14ac:dyDescent="0.25">
      <c r="M2494" s="21"/>
    </row>
    <row r="2495" spans="13:13" x14ac:dyDescent="0.25">
      <c r="M2495" s="21"/>
    </row>
    <row r="2496" spans="13:13" x14ac:dyDescent="0.25">
      <c r="M2496" s="21"/>
    </row>
    <row r="2497" spans="13:13" x14ac:dyDescent="0.25">
      <c r="M2497" s="21"/>
    </row>
    <row r="2498" spans="13:13" x14ac:dyDescent="0.25">
      <c r="M2498" s="21"/>
    </row>
    <row r="2499" spans="13:13" x14ac:dyDescent="0.25">
      <c r="M2499" s="21"/>
    </row>
    <row r="2500" spans="13:13" x14ac:dyDescent="0.25">
      <c r="M2500" s="21"/>
    </row>
    <row r="2501" spans="13:13" x14ac:dyDescent="0.25">
      <c r="M2501" s="21"/>
    </row>
    <row r="2502" spans="13:13" x14ac:dyDescent="0.25">
      <c r="M2502" s="21"/>
    </row>
    <row r="2503" spans="13:13" x14ac:dyDescent="0.25">
      <c r="M2503" s="21"/>
    </row>
    <row r="2504" spans="13:13" x14ac:dyDescent="0.25">
      <c r="M2504" s="21"/>
    </row>
    <row r="2505" spans="13:13" x14ac:dyDescent="0.25">
      <c r="M2505" s="21"/>
    </row>
    <row r="2506" spans="13:13" x14ac:dyDescent="0.25">
      <c r="M2506" s="21"/>
    </row>
    <row r="2507" spans="13:13" x14ac:dyDescent="0.25">
      <c r="M2507" s="21"/>
    </row>
    <row r="2508" spans="13:13" x14ac:dyDescent="0.25">
      <c r="M2508" s="21"/>
    </row>
    <row r="2509" spans="13:13" x14ac:dyDescent="0.25">
      <c r="M2509" s="21"/>
    </row>
    <row r="2510" spans="13:13" x14ac:dyDescent="0.25">
      <c r="M2510" s="21"/>
    </row>
    <row r="2511" spans="13:13" x14ac:dyDescent="0.25">
      <c r="M2511" s="21"/>
    </row>
    <row r="2512" spans="13:13" x14ac:dyDescent="0.25">
      <c r="M2512" s="21"/>
    </row>
    <row r="2513" spans="13:13" x14ac:dyDescent="0.25">
      <c r="M2513" s="21"/>
    </row>
    <row r="2514" spans="13:13" x14ac:dyDescent="0.25">
      <c r="M2514" s="21"/>
    </row>
    <row r="2515" spans="13:13" x14ac:dyDescent="0.25">
      <c r="M2515" s="21"/>
    </row>
    <row r="2516" spans="13:13" x14ac:dyDescent="0.25">
      <c r="M2516" s="21"/>
    </row>
    <row r="2517" spans="13:13" x14ac:dyDescent="0.25">
      <c r="M2517" s="21"/>
    </row>
    <row r="2518" spans="13:13" x14ac:dyDescent="0.25">
      <c r="M2518" s="21"/>
    </row>
    <row r="2519" spans="13:13" x14ac:dyDescent="0.25">
      <c r="M2519" s="21"/>
    </row>
    <row r="2520" spans="13:13" x14ac:dyDescent="0.25">
      <c r="M2520" s="21"/>
    </row>
    <row r="2521" spans="13:13" x14ac:dyDescent="0.25">
      <c r="M2521" s="21"/>
    </row>
    <row r="2522" spans="13:13" x14ac:dyDescent="0.25">
      <c r="M2522" s="21"/>
    </row>
    <row r="2523" spans="13:13" x14ac:dyDescent="0.25">
      <c r="M2523" s="21"/>
    </row>
    <row r="2524" spans="13:13" x14ac:dyDescent="0.25">
      <c r="M2524" s="21"/>
    </row>
    <row r="2525" spans="13:13" x14ac:dyDescent="0.25">
      <c r="M2525" s="21"/>
    </row>
    <row r="2526" spans="13:13" x14ac:dyDescent="0.25">
      <c r="M2526" s="21"/>
    </row>
    <row r="2527" spans="13:13" x14ac:dyDescent="0.25">
      <c r="M2527" s="21"/>
    </row>
    <row r="2528" spans="13:13" x14ac:dyDescent="0.25">
      <c r="M2528" s="21"/>
    </row>
    <row r="2529" spans="13:13" x14ac:dyDescent="0.25">
      <c r="M2529" s="21"/>
    </row>
    <row r="2530" spans="13:13" x14ac:dyDescent="0.25">
      <c r="M2530" s="21"/>
    </row>
    <row r="2531" spans="13:13" x14ac:dyDescent="0.25">
      <c r="M2531" s="21"/>
    </row>
    <row r="2532" spans="13:13" x14ac:dyDescent="0.25">
      <c r="M2532" s="21"/>
    </row>
    <row r="2533" spans="13:13" x14ac:dyDescent="0.25">
      <c r="M2533" s="21"/>
    </row>
    <row r="2534" spans="13:13" x14ac:dyDescent="0.25">
      <c r="M2534" s="21"/>
    </row>
    <row r="2535" spans="13:13" x14ac:dyDescent="0.25">
      <c r="M2535" s="21"/>
    </row>
    <row r="2536" spans="13:13" x14ac:dyDescent="0.25">
      <c r="M2536" s="21"/>
    </row>
    <row r="2537" spans="13:13" x14ac:dyDescent="0.25">
      <c r="M2537" s="21"/>
    </row>
    <row r="2538" spans="13:13" x14ac:dyDescent="0.25">
      <c r="M2538" s="21"/>
    </row>
    <row r="2539" spans="13:13" x14ac:dyDescent="0.25">
      <c r="M2539" s="21"/>
    </row>
    <row r="2540" spans="13:13" x14ac:dyDescent="0.25">
      <c r="M2540" s="21"/>
    </row>
    <row r="2541" spans="13:13" x14ac:dyDescent="0.25">
      <c r="M2541" s="21"/>
    </row>
    <row r="2542" spans="13:13" x14ac:dyDescent="0.25">
      <c r="M2542" s="21"/>
    </row>
    <row r="2543" spans="13:13" x14ac:dyDescent="0.25">
      <c r="M2543" s="21"/>
    </row>
    <row r="2544" spans="13:13" x14ac:dyDescent="0.25">
      <c r="M2544" s="21"/>
    </row>
    <row r="2545" spans="13:13" x14ac:dyDescent="0.25">
      <c r="M2545" s="21"/>
    </row>
    <row r="2546" spans="13:13" x14ac:dyDescent="0.25">
      <c r="M2546" s="21"/>
    </row>
    <row r="2547" spans="13:13" x14ac:dyDescent="0.25">
      <c r="M2547" s="21"/>
    </row>
    <row r="2548" spans="13:13" x14ac:dyDescent="0.25">
      <c r="M2548" s="21"/>
    </row>
    <row r="2549" spans="13:13" x14ac:dyDescent="0.25">
      <c r="M2549" s="21"/>
    </row>
    <row r="2550" spans="13:13" x14ac:dyDescent="0.25">
      <c r="M2550" s="21"/>
    </row>
    <row r="2551" spans="13:13" x14ac:dyDescent="0.25">
      <c r="M2551" s="21"/>
    </row>
    <row r="2552" spans="13:13" x14ac:dyDescent="0.25">
      <c r="M2552" s="21"/>
    </row>
    <row r="2553" spans="13:13" x14ac:dyDescent="0.25">
      <c r="M2553" s="21"/>
    </row>
    <row r="2554" spans="13:13" x14ac:dyDescent="0.25">
      <c r="M2554" s="21"/>
    </row>
    <row r="2555" spans="13:13" x14ac:dyDescent="0.25">
      <c r="M2555" s="21"/>
    </row>
    <row r="2556" spans="13:13" x14ac:dyDescent="0.25">
      <c r="M2556" s="21"/>
    </row>
    <row r="2557" spans="13:13" x14ac:dyDescent="0.25">
      <c r="M2557" s="21"/>
    </row>
    <row r="2558" spans="13:13" x14ac:dyDescent="0.25">
      <c r="M2558" s="21"/>
    </row>
    <row r="2559" spans="13:13" x14ac:dyDescent="0.25">
      <c r="M2559" s="21"/>
    </row>
    <row r="2560" spans="13:13" x14ac:dyDescent="0.25">
      <c r="M2560" s="21"/>
    </row>
    <row r="2561" spans="13:13" x14ac:dyDescent="0.25">
      <c r="M2561" s="21"/>
    </row>
    <row r="2562" spans="13:13" x14ac:dyDescent="0.25">
      <c r="M2562" s="21"/>
    </row>
    <row r="2563" spans="13:13" x14ac:dyDescent="0.25">
      <c r="M2563" s="21"/>
    </row>
    <row r="2564" spans="13:13" x14ac:dyDescent="0.25">
      <c r="M2564" s="21"/>
    </row>
    <row r="2565" spans="13:13" x14ac:dyDescent="0.25">
      <c r="M2565" s="21"/>
    </row>
    <row r="2566" spans="13:13" x14ac:dyDescent="0.25">
      <c r="M2566" s="21"/>
    </row>
    <row r="2567" spans="13:13" x14ac:dyDescent="0.25">
      <c r="M2567" s="21"/>
    </row>
    <row r="2568" spans="13:13" x14ac:dyDescent="0.25">
      <c r="M2568" s="21"/>
    </row>
    <row r="2569" spans="13:13" x14ac:dyDescent="0.25">
      <c r="M2569" s="21"/>
    </row>
    <row r="2570" spans="13:13" x14ac:dyDescent="0.25">
      <c r="M2570" s="21"/>
    </row>
    <row r="2571" spans="13:13" x14ac:dyDescent="0.25">
      <c r="M2571" s="21"/>
    </row>
    <row r="2572" spans="13:13" x14ac:dyDescent="0.25">
      <c r="M2572" s="21"/>
    </row>
    <row r="2573" spans="13:13" x14ac:dyDescent="0.25">
      <c r="M2573" s="21"/>
    </row>
    <row r="2574" spans="13:13" x14ac:dyDescent="0.25">
      <c r="M2574" s="21"/>
    </row>
    <row r="2575" spans="13:13" x14ac:dyDescent="0.25">
      <c r="M2575" s="21"/>
    </row>
    <row r="2576" spans="13:13" x14ac:dyDescent="0.25">
      <c r="M2576" s="21"/>
    </row>
    <row r="2577" spans="13:13" x14ac:dyDescent="0.25">
      <c r="M2577" s="21"/>
    </row>
    <row r="2578" spans="13:13" x14ac:dyDescent="0.25">
      <c r="M2578" s="21"/>
    </row>
    <row r="2579" spans="13:13" x14ac:dyDescent="0.25">
      <c r="M2579" s="21"/>
    </row>
    <row r="2580" spans="13:13" x14ac:dyDescent="0.25">
      <c r="M2580" s="21"/>
    </row>
    <row r="2581" spans="13:13" x14ac:dyDescent="0.25">
      <c r="M2581" s="21"/>
    </row>
    <row r="2582" spans="13:13" x14ac:dyDescent="0.25">
      <c r="M2582" s="21"/>
    </row>
    <row r="2583" spans="13:13" x14ac:dyDescent="0.25">
      <c r="M2583" s="21"/>
    </row>
    <row r="2584" spans="13:13" x14ac:dyDescent="0.25">
      <c r="M2584" s="21"/>
    </row>
    <row r="2585" spans="13:13" x14ac:dyDescent="0.25">
      <c r="M2585" s="21"/>
    </row>
    <row r="2586" spans="13:13" x14ac:dyDescent="0.25">
      <c r="M2586" s="21"/>
    </row>
    <row r="2587" spans="13:13" x14ac:dyDescent="0.25">
      <c r="M2587" s="21"/>
    </row>
    <row r="2588" spans="13:13" x14ac:dyDescent="0.25">
      <c r="M2588" s="21"/>
    </row>
    <row r="2589" spans="13:13" x14ac:dyDescent="0.25">
      <c r="M2589" s="21"/>
    </row>
    <row r="2590" spans="13:13" x14ac:dyDescent="0.25">
      <c r="M2590" s="21"/>
    </row>
    <row r="2591" spans="13:13" x14ac:dyDescent="0.25">
      <c r="M2591" s="21"/>
    </row>
    <row r="2592" spans="13:13" x14ac:dyDescent="0.25">
      <c r="M2592" s="21"/>
    </row>
    <row r="2593" spans="13:13" x14ac:dyDescent="0.25">
      <c r="M2593" s="21"/>
    </row>
    <row r="2594" spans="13:13" x14ac:dyDescent="0.25">
      <c r="M2594" s="21"/>
    </row>
    <row r="2595" spans="13:13" x14ac:dyDescent="0.25">
      <c r="M2595" s="21"/>
    </row>
    <row r="2596" spans="13:13" x14ac:dyDescent="0.25">
      <c r="M2596" s="21"/>
    </row>
    <row r="2597" spans="13:13" x14ac:dyDescent="0.25">
      <c r="M2597" s="21"/>
    </row>
    <row r="2598" spans="13:13" x14ac:dyDescent="0.25">
      <c r="M2598" s="21"/>
    </row>
    <row r="2599" spans="13:13" x14ac:dyDescent="0.25">
      <c r="M2599" s="21"/>
    </row>
    <row r="2600" spans="13:13" x14ac:dyDescent="0.25">
      <c r="M2600" s="21"/>
    </row>
    <row r="2601" spans="13:13" x14ac:dyDescent="0.25">
      <c r="M2601" s="21"/>
    </row>
    <row r="2602" spans="13:13" x14ac:dyDescent="0.25">
      <c r="M2602" s="21"/>
    </row>
    <row r="2603" spans="13:13" x14ac:dyDescent="0.25">
      <c r="M2603" s="21"/>
    </row>
    <row r="2604" spans="13:13" x14ac:dyDescent="0.25">
      <c r="M2604" s="21"/>
    </row>
    <row r="2605" spans="13:13" x14ac:dyDescent="0.25">
      <c r="M2605" s="21"/>
    </row>
    <row r="2606" spans="13:13" x14ac:dyDescent="0.25">
      <c r="M2606" s="21"/>
    </row>
    <row r="2607" spans="13:13" x14ac:dyDescent="0.25">
      <c r="M2607" s="21"/>
    </row>
    <row r="2608" spans="13:13" x14ac:dyDescent="0.25">
      <c r="M2608" s="21"/>
    </row>
    <row r="2609" spans="13:13" x14ac:dyDescent="0.25">
      <c r="M2609" s="21"/>
    </row>
    <row r="2610" spans="13:13" x14ac:dyDescent="0.25">
      <c r="M2610" s="21"/>
    </row>
    <row r="2611" spans="13:13" x14ac:dyDescent="0.25">
      <c r="M2611" s="21"/>
    </row>
    <row r="2612" spans="13:13" x14ac:dyDescent="0.25">
      <c r="M2612" s="21"/>
    </row>
    <row r="2613" spans="13:13" x14ac:dyDescent="0.25">
      <c r="M2613" s="21"/>
    </row>
    <row r="2614" spans="13:13" x14ac:dyDescent="0.25">
      <c r="M2614" s="21"/>
    </row>
    <row r="2615" spans="13:13" x14ac:dyDescent="0.25">
      <c r="M2615" s="21"/>
    </row>
    <row r="2616" spans="13:13" x14ac:dyDescent="0.25">
      <c r="M2616" s="21"/>
    </row>
    <row r="2617" spans="13:13" x14ac:dyDescent="0.25">
      <c r="M2617" s="21"/>
    </row>
    <row r="2618" spans="13:13" x14ac:dyDescent="0.25">
      <c r="M2618" s="21"/>
    </row>
    <row r="2619" spans="13:13" x14ac:dyDescent="0.25">
      <c r="M2619" s="21"/>
    </row>
    <row r="2620" spans="13:13" x14ac:dyDescent="0.25">
      <c r="M2620" s="21"/>
    </row>
    <row r="2621" spans="13:13" x14ac:dyDescent="0.25">
      <c r="M2621" s="21"/>
    </row>
    <row r="2622" spans="13:13" x14ac:dyDescent="0.25">
      <c r="M2622" s="21"/>
    </row>
    <row r="2623" spans="13:13" x14ac:dyDescent="0.25">
      <c r="M2623" s="21"/>
    </row>
    <row r="2624" spans="13:13" x14ac:dyDescent="0.25">
      <c r="M2624" s="21"/>
    </row>
    <row r="2625" spans="13:13" x14ac:dyDescent="0.25">
      <c r="M2625" s="21"/>
    </row>
    <row r="2626" spans="13:13" x14ac:dyDescent="0.25">
      <c r="M2626" s="21"/>
    </row>
    <row r="2627" spans="13:13" x14ac:dyDescent="0.25">
      <c r="M2627" s="21"/>
    </row>
    <row r="2628" spans="13:13" x14ac:dyDescent="0.25">
      <c r="M2628" s="21"/>
    </row>
    <row r="2629" spans="13:13" x14ac:dyDescent="0.25">
      <c r="M2629" s="21"/>
    </row>
    <row r="2630" spans="13:13" x14ac:dyDescent="0.25">
      <c r="M2630" s="21"/>
    </row>
    <row r="2631" spans="13:13" x14ac:dyDescent="0.25">
      <c r="M2631" s="21"/>
    </row>
    <row r="2632" spans="13:13" x14ac:dyDescent="0.25">
      <c r="M2632" s="21"/>
    </row>
    <row r="2633" spans="13:13" x14ac:dyDescent="0.25">
      <c r="M2633" s="21"/>
    </row>
    <row r="2634" spans="13:13" x14ac:dyDescent="0.25">
      <c r="M2634" s="21"/>
    </row>
    <row r="2635" spans="13:13" x14ac:dyDescent="0.25">
      <c r="M2635" s="21"/>
    </row>
    <row r="2636" spans="13:13" x14ac:dyDescent="0.25">
      <c r="M2636" s="21"/>
    </row>
    <row r="2637" spans="13:13" x14ac:dyDescent="0.25">
      <c r="M2637" s="21"/>
    </row>
    <row r="2638" spans="13:13" x14ac:dyDescent="0.25">
      <c r="M2638" s="21"/>
    </row>
    <row r="2639" spans="13:13" x14ac:dyDescent="0.25">
      <c r="M2639" s="21"/>
    </row>
    <row r="2640" spans="13:13" x14ac:dyDescent="0.25">
      <c r="M2640" s="21"/>
    </row>
    <row r="2641" spans="13:13" x14ac:dyDescent="0.25">
      <c r="M2641" s="21"/>
    </row>
    <row r="2642" spans="13:13" x14ac:dyDescent="0.25">
      <c r="M2642" s="21"/>
    </row>
    <row r="2643" spans="13:13" x14ac:dyDescent="0.25">
      <c r="M2643" s="21"/>
    </row>
    <row r="2644" spans="13:13" x14ac:dyDescent="0.25">
      <c r="M2644" s="21"/>
    </row>
    <row r="2645" spans="13:13" x14ac:dyDescent="0.25">
      <c r="M2645" s="21"/>
    </row>
    <row r="2646" spans="13:13" x14ac:dyDescent="0.25">
      <c r="M2646" s="21"/>
    </row>
    <row r="2647" spans="13:13" x14ac:dyDescent="0.25">
      <c r="M2647" s="21"/>
    </row>
    <row r="2648" spans="13:13" x14ac:dyDescent="0.25">
      <c r="M2648" s="21"/>
    </row>
    <row r="2649" spans="13:13" x14ac:dyDescent="0.25">
      <c r="M2649" s="21"/>
    </row>
    <row r="2650" spans="13:13" x14ac:dyDescent="0.25">
      <c r="M2650" s="21"/>
    </row>
    <row r="2651" spans="13:13" x14ac:dyDescent="0.25">
      <c r="M2651" s="21"/>
    </row>
    <row r="2652" spans="13:13" x14ac:dyDescent="0.25">
      <c r="M2652" s="21"/>
    </row>
    <row r="2653" spans="13:13" x14ac:dyDescent="0.25">
      <c r="M2653" s="21"/>
    </row>
    <row r="2654" spans="13:13" x14ac:dyDescent="0.25">
      <c r="M2654" s="21"/>
    </row>
    <row r="2655" spans="13:13" x14ac:dyDescent="0.25">
      <c r="M2655" s="21"/>
    </row>
    <row r="2656" spans="13:13" x14ac:dyDescent="0.25">
      <c r="M2656" s="21"/>
    </row>
    <row r="2657" spans="13:13" x14ac:dyDescent="0.25">
      <c r="M2657" s="21"/>
    </row>
    <row r="2658" spans="13:13" x14ac:dyDescent="0.25">
      <c r="M2658" s="21"/>
    </row>
    <row r="2659" spans="13:13" x14ac:dyDescent="0.25">
      <c r="M2659" s="21"/>
    </row>
    <row r="2660" spans="13:13" x14ac:dyDescent="0.25">
      <c r="M2660" s="21"/>
    </row>
    <row r="2661" spans="13:13" x14ac:dyDescent="0.25">
      <c r="M2661" s="21"/>
    </row>
    <row r="2662" spans="13:13" x14ac:dyDescent="0.25">
      <c r="M2662" s="21"/>
    </row>
    <row r="2663" spans="13:13" x14ac:dyDescent="0.25">
      <c r="M2663" s="21"/>
    </row>
    <row r="2664" spans="13:13" x14ac:dyDescent="0.25">
      <c r="M2664" s="21"/>
    </row>
    <row r="2665" spans="13:13" x14ac:dyDescent="0.25">
      <c r="M2665" s="21"/>
    </row>
    <row r="2666" spans="13:13" x14ac:dyDescent="0.25">
      <c r="M2666" s="21"/>
    </row>
    <row r="2667" spans="13:13" x14ac:dyDescent="0.25">
      <c r="M2667" s="21"/>
    </row>
    <row r="2668" spans="13:13" x14ac:dyDescent="0.25">
      <c r="M2668" s="21"/>
    </row>
    <row r="2669" spans="13:13" x14ac:dyDescent="0.25">
      <c r="M2669" s="21"/>
    </row>
    <row r="2670" spans="13:13" x14ac:dyDescent="0.25">
      <c r="M2670" s="21"/>
    </row>
    <row r="2671" spans="13:13" x14ac:dyDescent="0.25">
      <c r="M2671" s="21"/>
    </row>
    <row r="2672" spans="13:13" x14ac:dyDescent="0.25">
      <c r="M2672" s="21"/>
    </row>
    <row r="2673" spans="13:13" x14ac:dyDescent="0.25">
      <c r="M2673" s="21"/>
    </row>
    <row r="2674" spans="13:13" x14ac:dyDescent="0.25">
      <c r="M2674" s="21"/>
    </row>
    <row r="2675" spans="13:13" x14ac:dyDescent="0.25">
      <c r="M2675" s="21"/>
    </row>
    <row r="2676" spans="13:13" x14ac:dyDescent="0.25">
      <c r="M2676" s="21"/>
    </row>
    <row r="2677" spans="13:13" x14ac:dyDescent="0.25">
      <c r="M2677" s="21"/>
    </row>
    <row r="2678" spans="13:13" x14ac:dyDescent="0.25">
      <c r="M2678" s="21"/>
    </row>
    <row r="2679" spans="13:13" x14ac:dyDescent="0.25">
      <c r="M2679" s="21"/>
    </row>
    <row r="2680" spans="13:13" x14ac:dyDescent="0.25">
      <c r="M2680" s="21"/>
    </row>
    <row r="2681" spans="13:13" x14ac:dyDescent="0.25">
      <c r="M2681" s="21"/>
    </row>
    <row r="2682" spans="13:13" x14ac:dyDescent="0.25">
      <c r="M2682" s="21"/>
    </row>
    <row r="2683" spans="13:13" x14ac:dyDescent="0.25">
      <c r="M2683" s="21"/>
    </row>
    <row r="2684" spans="13:13" x14ac:dyDescent="0.25">
      <c r="M2684" s="21"/>
    </row>
    <row r="2685" spans="13:13" x14ac:dyDescent="0.25">
      <c r="M2685" s="21"/>
    </row>
    <row r="2686" spans="13:13" x14ac:dyDescent="0.25">
      <c r="M2686" s="21"/>
    </row>
    <row r="2687" spans="13:13" x14ac:dyDescent="0.25">
      <c r="M2687" s="21"/>
    </row>
    <row r="2688" spans="13:13" x14ac:dyDescent="0.25">
      <c r="M2688" s="21"/>
    </row>
    <row r="2689" spans="13:13" x14ac:dyDescent="0.25">
      <c r="M2689" s="21"/>
    </row>
    <row r="2690" spans="13:13" x14ac:dyDescent="0.25">
      <c r="M2690" s="21"/>
    </row>
    <row r="2691" spans="13:13" x14ac:dyDescent="0.25">
      <c r="M2691" s="21"/>
    </row>
    <row r="2692" spans="13:13" x14ac:dyDescent="0.25">
      <c r="M2692" s="21"/>
    </row>
    <row r="2693" spans="13:13" x14ac:dyDescent="0.25">
      <c r="M2693" s="21"/>
    </row>
    <row r="2694" spans="13:13" x14ac:dyDescent="0.25">
      <c r="M2694" s="21"/>
    </row>
    <row r="2695" spans="13:13" x14ac:dyDescent="0.25">
      <c r="M2695" s="21"/>
    </row>
    <row r="2696" spans="13:13" x14ac:dyDescent="0.25">
      <c r="M2696" s="21"/>
    </row>
    <row r="2697" spans="13:13" x14ac:dyDescent="0.25">
      <c r="M2697" s="21"/>
    </row>
    <row r="2698" spans="13:13" x14ac:dyDescent="0.25">
      <c r="M2698" s="21"/>
    </row>
    <row r="2699" spans="13:13" x14ac:dyDescent="0.25">
      <c r="M2699" s="21"/>
    </row>
    <row r="2700" spans="13:13" x14ac:dyDescent="0.25">
      <c r="M2700" s="21"/>
    </row>
    <row r="2701" spans="13:13" x14ac:dyDescent="0.25">
      <c r="M2701" s="21"/>
    </row>
    <row r="2702" spans="13:13" x14ac:dyDescent="0.25">
      <c r="M2702" s="21"/>
    </row>
    <row r="2703" spans="13:13" x14ac:dyDescent="0.25">
      <c r="M2703" s="21"/>
    </row>
    <row r="2704" spans="13:13" x14ac:dyDescent="0.25">
      <c r="M2704" s="21"/>
    </row>
    <row r="2705" spans="13:13" x14ac:dyDescent="0.25">
      <c r="M2705" s="21"/>
    </row>
    <row r="2706" spans="13:13" x14ac:dyDescent="0.25">
      <c r="M2706" s="21"/>
    </row>
    <row r="2707" spans="13:13" x14ac:dyDescent="0.25">
      <c r="M2707" s="21"/>
    </row>
    <row r="2708" spans="13:13" x14ac:dyDescent="0.25">
      <c r="M2708" s="21"/>
    </row>
    <row r="2709" spans="13:13" x14ac:dyDescent="0.25">
      <c r="M2709" s="21"/>
    </row>
    <row r="2710" spans="13:13" x14ac:dyDescent="0.25">
      <c r="M2710" s="21"/>
    </row>
    <row r="2711" spans="13:13" x14ac:dyDescent="0.25">
      <c r="M2711" s="21"/>
    </row>
    <row r="2712" spans="13:13" x14ac:dyDescent="0.25">
      <c r="M2712" s="21"/>
    </row>
    <row r="2713" spans="13:13" x14ac:dyDescent="0.25">
      <c r="M2713" s="21"/>
    </row>
    <row r="2714" spans="13:13" x14ac:dyDescent="0.25">
      <c r="M2714" s="21"/>
    </row>
    <row r="2715" spans="13:13" x14ac:dyDescent="0.25">
      <c r="M2715" s="21"/>
    </row>
    <row r="2716" spans="13:13" x14ac:dyDescent="0.25">
      <c r="M2716" s="21"/>
    </row>
    <row r="2717" spans="13:13" x14ac:dyDescent="0.25">
      <c r="M2717" s="21"/>
    </row>
    <row r="2718" spans="13:13" x14ac:dyDescent="0.25">
      <c r="M2718" s="21"/>
    </row>
    <row r="2719" spans="13:13" x14ac:dyDescent="0.25">
      <c r="M2719" s="21"/>
    </row>
    <row r="2720" spans="13:13" x14ac:dyDescent="0.25">
      <c r="M2720" s="21"/>
    </row>
    <row r="2721" spans="13:13" x14ac:dyDescent="0.25">
      <c r="M2721" s="21"/>
    </row>
    <row r="2722" spans="13:13" x14ac:dyDescent="0.25">
      <c r="M2722" s="21"/>
    </row>
    <row r="2723" spans="13:13" x14ac:dyDescent="0.25">
      <c r="M2723" s="21"/>
    </row>
    <row r="2724" spans="13:13" x14ac:dyDescent="0.25">
      <c r="M2724" s="21"/>
    </row>
    <row r="2725" spans="13:13" x14ac:dyDescent="0.25">
      <c r="M2725" s="21"/>
    </row>
    <row r="2726" spans="13:13" x14ac:dyDescent="0.25">
      <c r="M2726" s="21"/>
    </row>
    <row r="2727" spans="13:13" x14ac:dyDescent="0.25">
      <c r="M2727" s="21"/>
    </row>
    <row r="2728" spans="13:13" x14ac:dyDescent="0.25">
      <c r="M2728" s="21"/>
    </row>
    <row r="2729" spans="13:13" x14ac:dyDescent="0.25">
      <c r="M2729" s="21"/>
    </row>
    <row r="2730" spans="13:13" x14ac:dyDescent="0.25">
      <c r="M2730" s="21"/>
    </row>
    <row r="2731" spans="13:13" x14ac:dyDescent="0.25">
      <c r="M2731" s="21"/>
    </row>
    <row r="2732" spans="13:13" x14ac:dyDescent="0.25">
      <c r="M2732" s="21"/>
    </row>
    <row r="2733" spans="13:13" x14ac:dyDescent="0.25">
      <c r="M2733" s="21"/>
    </row>
    <row r="2734" spans="13:13" x14ac:dyDescent="0.25">
      <c r="M2734" s="21"/>
    </row>
    <row r="2735" spans="13:13" x14ac:dyDescent="0.25">
      <c r="M2735" s="21"/>
    </row>
    <row r="2736" spans="13:13" x14ac:dyDescent="0.25">
      <c r="M2736" s="21"/>
    </row>
    <row r="2737" spans="13:13" x14ac:dyDescent="0.25">
      <c r="M2737" s="21"/>
    </row>
    <row r="2738" spans="13:13" x14ac:dyDescent="0.25">
      <c r="M2738" s="21"/>
    </row>
    <row r="2739" spans="13:13" x14ac:dyDescent="0.25">
      <c r="M2739" s="21"/>
    </row>
    <row r="2740" spans="13:13" x14ac:dyDescent="0.25">
      <c r="M2740" s="21"/>
    </row>
    <row r="2741" spans="13:13" x14ac:dyDescent="0.25">
      <c r="M2741" s="21"/>
    </row>
    <row r="2742" spans="13:13" x14ac:dyDescent="0.25">
      <c r="M2742" s="21"/>
    </row>
    <row r="2743" spans="13:13" x14ac:dyDescent="0.25">
      <c r="M2743" s="21"/>
    </row>
    <row r="2744" spans="13:13" x14ac:dyDescent="0.25">
      <c r="M2744" s="21"/>
    </row>
    <row r="2745" spans="13:13" x14ac:dyDescent="0.25">
      <c r="M2745" s="21"/>
    </row>
    <row r="2746" spans="13:13" x14ac:dyDescent="0.25">
      <c r="M2746" s="21"/>
    </row>
    <row r="2747" spans="13:13" x14ac:dyDescent="0.25">
      <c r="M2747" s="21"/>
    </row>
    <row r="2748" spans="13:13" x14ac:dyDescent="0.25">
      <c r="M2748" s="21"/>
    </row>
    <row r="2749" spans="13:13" x14ac:dyDescent="0.25">
      <c r="M2749" s="21"/>
    </row>
    <row r="2750" spans="13:13" x14ac:dyDescent="0.25">
      <c r="M2750" s="21"/>
    </row>
    <row r="2751" spans="13:13" x14ac:dyDescent="0.25">
      <c r="M2751" s="21"/>
    </row>
    <row r="2752" spans="13:13" x14ac:dyDescent="0.25">
      <c r="M2752" s="21"/>
    </row>
    <row r="2753" spans="13:13" x14ac:dyDescent="0.25">
      <c r="M2753" s="21"/>
    </row>
    <row r="2754" spans="13:13" x14ac:dyDescent="0.25">
      <c r="M2754" s="21"/>
    </row>
    <row r="2755" spans="13:13" x14ac:dyDescent="0.25">
      <c r="M2755" s="21"/>
    </row>
    <row r="2756" spans="13:13" x14ac:dyDescent="0.25">
      <c r="M2756" s="21"/>
    </row>
    <row r="2757" spans="13:13" x14ac:dyDescent="0.25">
      <c r="M2757" s="21"/>
    </row>
    <row r="2758" spans="13:13" x14ac:dyDescent="0.25">
      <c r="M2758" s="21"/>
    </row>
    <row r="2759" spans="13:13" x14ac:dyDescent="0.25">
      <c r="M2759" s="21"/>
    </row>
    <row r="2760" spans="13:13" x14ac:dyDescent="0.25">
      <c r="M2760" s="21"/>
    </row>
    <row r="2761" spans="13:13" x14ac:dyDescent="0.25">
      <c r="M2761" s="21"/>
    </row>
    <row r="2762" spans="13:13" x14ac:dyDescent="0.25">
      <c r="M2762" s="21"/>
    </row>
    <row r="2763" spans="13:13" x14ac:dyDescent="0.25">
      <c r="M2763" s="21"/>
    </row>
    <row r="2764" spans="13:13" x14ac:dyDescent="0.25">
      <c r="M2764" s="21"/>
    </row>
    <row r="2765" spans="13:13" x14ac:dyDescent="0.25">
      <c r="M2765" s="21"/>
    </row>
    <row r="2766" spans="13:13" x14ac:dyDescent="0.25">
      <c r="M2766" s="21"/>
    </row>
    <row r="2767" spans="13:13" x14ac:dyDescent="0.25">
      <c r="M2767" s="21"/>
    </row>
    <row r="2768" spans="13:13" x14ac:dyDescent="0.25">
      <c r="M2768" s="21"/>
    </row>
    <row r="2769" spans="13:13" x14ac:dyDescent="0.25">
      <c r="M2769" s="21"/>
    </row>
    <row r="2770" spans="13:13" x14ac:dyDescent="0.25">
      <c r="M2770" s="21"/>
    </row>
    <row r="2771" spans="13:13" x14ac:dyDescent="0.25">
      <c r="M2771" s="21"/>
    </row>
    <row r="2772" spans="13:13" x14ac:dyDescent="0.25">
      <c r="M2772" s="21"/>
    </row>
    <row r="2773" spans="13:13" x14ac:dyDescent="0.25">
      <c r="M2773" s="21"/>
    </row>
    <row r="2774" spans="13:13" x14ac:dyDescent="0.25">
      <c r="M2774" s="21"/>
    </row>
    <row r="2775" spans="13:13" x14ac:dyDescent="0.25">
      <c r="M2775" s="21"/>
    </row>
    <row r="2776" spans="13:13" x14ac:dyDescent="0.25">
      <c r="M2776" s="21"/>
    </row>
    <row r="2777" spans="13:13" x14ac:dyDescent="0.25">
      <c r="M2777" s="21"/>
    </row>
    <row r="2778" spans="13:13" x14ac:dyDescent="0.25">
      <c r="M2778" s="21"/>
    </row>
    <row r="2779" spans="13:13" x14ac:dyDescent="0.25">
      <c r="M2779" s="21"/>
    </row>
    <row r="2780" spans="13:13" x14ac:dyDescent="0.25">
      <c r="M2780" s="21"/>
    </row>
    <row r="2781" spans="13:13" x14ac:dyDescent="0.25">
      <c r="M2781" s="21"/>
    </row>
    <row r="2782" spans="13:13" x14ac:dyDescent="0.25">
      <c r="M2782" s="21"/>
    </row>
    <row r="2783" spans="13:13" x14ac:dyDescent="0.25">
      <c r="M2783" s="21"/>
    </row>
    <row r="2784" spans="13:13" x14ac:dyDescent="0.25">
      <c r="M2784" s="21"/>
    </row>
    <row r="2785" spans="13:13" x14ac:dyDescent="0.25">
      <c r="M2785" s="21"/>
    </row>
    <row r="2786" spans="13:13" x14ac:dyDescent="0.25">
      <c r="M2786" s="21"/>
    </row>
    <row r="2787" spans="13:13" x14ac:dyDescent="0.25">
      <c r="M2787" s="21"/>
    </row>
    <row r="2788" spans="13:13" x14ac:dyDescent="0.25">
      <c r="M2788" s="21"/>
    </row>
    <row r="2789" spans="13:13" x14ac:dyDescent="0.25">
      <c r="M2789" s="21"/>
    </row>
    <row r="2790" spans="13:13" x14ac:dyDescent="0.25">
      <c r="M2790" s="21"/>
    </row>
    <row r="2791" spans="13:13" x14ac:dyDescent="0.25">
      <c r="M2791" s="21"/>
    </row>
    <row r="2792" spans="13:13" x14ac:dyDescent="0.25">
      <c r="M2792" s="21"/>
    </row>
    <row r="2793" spans="13:13" x14ac:dyDescent="0.25">
      <c r="M2793" s="21"/>
    </row>
    <row r="2794" spans="13:13" x14ac:dyDescent="0.25">
      <c r="M2794" s="21"/>
    </row>
    <row r="2795" spans="13:13" x14ac:dyDescent="0.25">
      <c r="M2795" s="21"/>
    </row>
    <row r="2796" spans="13:13" x14ac:dyDescent="0.25">
      <c r="M2796" s="21"/>
    </row>
    <row r="2797" spans="13:13" x14ac:dyDescent="0.25">
      <c r="M2797" s="21"/>
    </row>
    <row r="2798" spans="13:13" x14ac:dyDescent="0.25">
      <c r="M2798" s="21"/>
    </row>
    <row r="2799" spans="13:13" x14ac:dyDescent="0.25">
      <c r="M2799" s="21"/>
    </row>
    <row r="2800" spans="13:13" x14ac:dyDescent="0.25">
      <c r="M2800" s="21"/>
    </row>
    <row r="2801" spans="13:13" x14ac:dyDescent="0.25">
      <c r="M2801" s="21"/>
    </row>
    <row r="2802" spans="13:13" x14ac:dyDescent="0.25">
      <c r="M2802" s="21"/>
    </row>
    <row r="2803" spans="13:13" x14ac:dyDescent="0.25">
      <c r="M2803" s="21"/>
    </row>
    <row r="2804" spans="13:13" x14ac:dyDescent="0.25">
      <c r="M2804" s="21"/>
    </row>
    <row r="2805" spans="13:13" x14ac:dyDescent="0.25">
      <c r="M2805" s="21"/>
    </row>
    <row r="2806" spans="13:13" x14ac:dyDescent="0.25">
      <c r="M2806" s="21"/>
    </row>
    <row r="2807" spans="13:13" x14ac:dyDescent="0.25">
      <c r="M2807" s="21"/>
    </row>
    <row r="2808" spans="13:13" x14ac:dyDescent="0.25">
      <c r="M2808" s="21"/>
    </row>
    <row r="2809" spans="13:13" x14ac:dyDescent="0.25">
      <c r="M2809" s="21"/>
    </row>
    <row r="2810" spans="13:13" x14ac:dyDescent="0.25">
      <c r="M2810" s="21"/>
    </row>
    <row r="2811" spans="13:13" x14ac:dyDescent="0.25">
      <c r="M2811" s="21"/>
    </row>
    <row r="2812" spans="13:13" x14ac:dyDescent="0.25">
      <c r="M2812" s="21"/>
    </row>
    <row r="2813" spans="13:13" x14ac:dyDescent="0.25">
      <c r="M2813" s="21"/>
    </row>
    <row r="2814" spans="13:13" x14ac:dyDescent="0.25">
      <c r="M2814" s="21"/>
    </row>
    <row r="2815" spans="13:13" x14ac:dyDescent="0.25">
      <c r="M2815" s="21"/>
    </row>
    <row r="2816" spans="13:13" x14ac:dyDescent="0.25">
      <c r="M2816" s="21"/>
    </row>
    <row r="2817" spans="13:13" x14ac:dyDescent="0.25">
      <c r="M2817" s="21"/>
    </row>
    <row r="2818" spans="13:13" x14ac:dyDescent="0.25">
      <c r="M2818" s="21"/>
    </row>
    <row r="2819" spans="13:13" x14ac:dyDescent="0.25">
      <c r="M2819" s="21"/>
    </row>
    <row r="2820" spans="13:13" x14ac:dyDescent="0.25">
      <c r="M2820" s="21"/>
    </row>
    <row r="2821" spans="13:13" x14ac:dyDescent="0.25">
      <c r="M2821" s="21"/>
    </row>
    <row r="2822" spans="13:13" x14ac:dyDescent="0.25">
      <c r="M2822" s="21"/>
    </row>
    <row r="2823" spans="13:13" x14ac:dyDescent="0.25">
      <c r="M2823" s="21"/>
    </row>
    <row r="2824" spans="13:13" x14ac:dyDescent="0.25">
      <c r="M2824" s="21"/>
    </row>
    <row r="2825" spans="13:13" x14ac:dyDescent="0.25">
      <c r="M2825" s="21"/>
    </row>
    <row r="2826" spans="13:13" x14ac:dyDescent="0.25">
      <c r="M2826" s="21"/>
    </row>
    <row r="2827" spans="13:13" x14ac:dyDescent="0.25">
      <c r="M2827" s="21"/>
    </row>
    <row r="2828" spans="13:13" x14ac:dyDescent="0.25">
      <c r="M2828" s="21"/>
    </row>
    <row r="2829" spans="13:13" x14ac:dyDescent="0.25">
      <c r="M2829" s="21"/>
    </row>
    <row r="2830" spans="13:13" x14ac:dyDescent="0.25">
      <c r="M2830" s="21"/>
    </row>
    <row r="2831" spans="13:13" x14ac:dyDescent="0.25">
      <c r="M2831" s="21"/>
    </row>
    <row r="2832" spans="13:13" x14ac:dyDescent="0.25">
      <c r="M2832" s="21"/>
    </row>
    <row r="2833" spans="13:13" x14ac:dyDescent="0.25">
      <c r="M2833" s="21"/>
    </row>
    <row r="2834" spans="13:13" x14ac:dyDescent="0.25">
      <c r="M2834" s="21"/>
    </row>
    <row r="2835" spans="13:13" x14ac:dyDescent="0.25">
      <c r="M2835" s="21"/>
    </row>
    <row r="2836" spans="13:13" x14ac:dyDescent="0.25">
      <c r="M2836" s="21"/>
    </row>
    <row r="2837" spans="13:13" x14ac:dyDescent="0.25">
      <c r="M2837" s="21"/>
    </row>
    <row r="2838" spans="13:13" x14ac:dyDescent="0.25">
      <c r="M2838" s="21"/>
    </row>
    <row r="2839" spans="13:13" x14ac:dyDescent="0.25">
      <c r="M2839" s="21"/>
    </row>
    <row r="2840" spans="13:13" x14ac:dyDescent="0.25">
      <c r="M2840" s="21"/>
    </row>
    <row r="2841" spans="13:13" x14ac:dyDescent="0.25">
      <c r="M2841" s="21"/>
    </row>
    <row r="2842" spans="13:13" x14ac:dyDescent="0.25">
      <c r="M2842" s="21"/>
    </row>
    <row r="2843" spans="13:13" x14ac:dyDescent="0.25">
      <c r="M2843" s="21"/>
    </row>
    <row r="2844" spans="13:13" x14ac:dyDescent="0.25">
      <c r="M2844" s="21"/>
    </row>
    <row r="2845" spans="13:13" x14ac:dyDescent="0.25">
      <c r="M2845" s="21"/>
    </row>
    <row r="2846" spans="13:13" x14ac:dyDescent="0.25">
      <c r="M2846" s="21"/>
    </row>
    <row r="2847" spans="13:13" x14ac:dyDescent="0.25">
      <c r="M2847" s="21"/>
    </row>
    <row r="2848" spans="13:13" x14ac:dyDescent="0.25">
      <c r="M2848" s="21"/>
    </row>
    <row r="2849" spans="13:13" x14ac:dyDescent="0.25">
      <c r="M2849" s="21"/>
    </row>
    <row r="2850" spans="13:13" x14ac:dyDescent="0.25">
      <c r="M2850" s="21"/>
    </row>
    <row r="2851" spans="13:13" x14ac:dyDescent="0.25">
      <c r="M2851" s="21"/>
    </row>
    <row r="2852" spans="13:13" x14ac:dyDescent="0.25">
      <c r="M2852" s="21"/>
    </row>
    <row r="2853" spans="13:13" x14ac:dyDescent="0.25">
      <c r="M2853" s="21"/>
    </row>
    <row r="2854" spans="13:13" x14ac:dyDescent="0.25">
      <c r="M2854" s="21"/>
    </row>
    <row r="2855" spans="13:13" x14ac:dyDescent="0.25">
      <c r="M2855" s="21"/>
    </row>
    <row r="2856" spans="13:13" x14ac:dyDescent="0.25">
      <c r="M2856" s="21"/>
    </row>
    <row r="2857" spans="13:13" x14ac:dyDescent="0.25">
      <c r="M2857" s="21"/>
    </row>
    <row r="2858" spans="13:13" x14ac:dyDescent="0.25">
      <c r="M2858" s="21"/>
    </row>
    <row r="2859" spans="13:13" x14ac:dyDescent="0.25">
      <c r="M2859" s="21"/>
    </row>
    <row r="2860" spans="13:13" x14ac:dyDescent="0.25">
      <c r="M2860" s="21"/>
    </row>
    <row r="2861" spans="13:13" x14ac:dyDescent="0.25">
      <c r="M2861" s="21"/>
    </row>
    <row r="2862" spans="13:13" x14ac:dyDescent="0.25">
      <c r="M2862" s="21"/>
    </row>
    <row r="2863" spans="13:13" x14ac:dyDescent="0.25">
      <c r="M2863" s="21"/>
    </row>
    <row r="2864" spans="13:13" x14ac:dyDescent="0.25">
      <c r="M2864" s="21"/>
    </row>
    <row r="2865" spans="13:13" x14ac:dyDescent="0.25">
      <c r="M2865" s="21"/>
    </row>
    <row r="2866" spans="13:13" x14ac:dyDescent="0.25">
      <c r="M2866" s="21"/>
    </row>
    <row r="2867" spans="13:13" x14ac:dyDescent="0.25">
      <c r="M2867" s="21"/>
    </row>
    <row r="2868" spans="13:13" x14ac:dyDescent="0.25">
      <c r="M2868" s="21"/>
    </row>
    <row r="2869" spans="13:13" x14ac:dyDescent="0.25">
      <c r="M2869" s="21"/>
    </row>
    <row r="2870" spans="13:13" x14ac:dyDescent="0.25">
      <c r="M2870" s="21"/>
    </row>
    <row r="2871" spans="13:13" x14ac:dyDescent="0.25">
      <c r="M2871" s="21"/>
    </row>
    <row r="2872" spans="13:13" x14ac:dyDescent="0.25">
      <c r="M2872" s="21"/>
    </row>
    <row r="2873" spans="13:13" x14ac:dyDescent="0.25">
      <c r="M2873" s="21"/>
    </row>
    <row r="2874" spans="13:13" x14ac:dyDescent="0.25">
      <c r="M2874" s="21"/>
    </row>
    <row r="2875" spans="13:13" x14ac:dyDescent="0.25">
      <c r="M2875" s="21"/>
    </row>
    <row r="2876" spans="13:13" x14ac:dyDescent="0.25">
      <c r="M2876" s="21"/>
    </row>
    <row r="2877" spans="13:13" x14ac:dyDescent="0.25">
      <c r="M2877" s="21"/>
    </row>
    <row r="2878" spans="13:13" x14ac:dyDescent="0.25">
      <c r="M2878" s="21"/>
    </row>
    <row r="2879" spans="13:13" x14ac:dyDescent="0.25">
      <c r="M2879" s="21"/>
    </row>
    <row r="2880" spans="13:13" x14ac:dyDescent="0.25">
      <c r="M2880" s="21"/>
    </row>
    <row r="2881" spans="13:13" x14ac:dyDescent="0.25">
      <c r="M2881" s="21"/>
    </row>
    <row r="2882" spans="13:13" x14ac:dyDescent="0.25">
      <c r="M2882" s="21"/>
    </row>
    <row r="2883" spans="13:13" x14ac:dyDescent="0.25">
      <c r="M2883" s="21"/>
    </row>
    <row r="2884" spans="13:13" x14ac:dyDescent="0.25">
      <c r="M2884" s="21"/>
    </row>
    <row r="2885" spans="13:13" x14ac:dyDescent="0.25">
      <c r="M2885" s="21"/>
    </row>
    <row r="2886" spans="13:13" x14ac:dyDescent="0.25">
      <c r="M2886" s="21"/>
    </row>
    <row r="2887" spans="13:13" x14ac:dyDescent="0.25">
      <c r="M2887" s="21"/>
    </row>
    <row r="2888" spans="13:13" x14ac:dyDescent="0.25">
      <c r="M2888" s="21"/>
    </row>
    <row r="2889" spans="13:13" x14ac:dyDescent="0.25">
      <c r="M2889" s="21"/>
    </row>
    <row r="2890" spans="13:13" x14ac:dyDescent="0.25">
      <c r="M2890" s="21"/>
    </row>
    <row r="2891" spans="13:13" x14ac:dyDescent="0.25">
      <c r="M2891" s="21"/>
    </row>
    <row r="2892" spans="13:13" x14ac:dyDescent="0.25">
      <c r="M2892" s="21"/>
    </row>
    <row r="2893" spans="13:13" x14ac:dyDescent="0.25">
      <c r="M2893" s="21"/>
    </row>
    <row r="2894" spans="13:13" x14ac:dyDescent="0.25">
      <c r="M2894" s="21"/>
    </row>
    <row r="2895" spans="13:13" x14ac:dyDescent="0.25">
      <c r="M2895" s="21"/>
    </row>
    <row r="2896" spans="13:13" x14ac:dyDescent="0.25">
      <c r="M2896" s="21"/>
    </row>
    <row r="2897" spans="13:13" x14ac:dyDescent="0.25">
      <c r="M2897" s="21"/>
    </row>
    <row r="2898" spans="13:13" x14ac:dyDescent="0.25">
      <c r="M2898" s="21"/>
    </row>
    <row r="2899" spans="13:13" x14ac:dyDescent="0.25">
      <c r="M2899" s="21"/>
    </row>
    <row r="2900" spans="13:13" x14ac:dyDescent="0.25">
      <c r="M2900" s="21"/>
    </row>
    <row r="2901" spans="13:13" x14ac:dyDescent="0.25">
      <c r="M2901" s="21"/>
    </row>
    <row r="2902" spans="13:13" x14ac:dyDescent="0.25">
      <c r="M2902" s="21"/>
    </row>
    <row r="2903" spans="13:13" x14ac:dyDescent="0.25">
      <c r="M2903" s="21"/>
    </row>
    <row r="2904" spans="13:13" x14ac:dyDescent="0.25">
      <c r="M2904" s="21"/>
    </row>
    <row r="2905" spans="13:13" x14ac:dyDescent="0.25">
      <c r="M2905" s="21"/>
    </row>
    <row r="2906" spans="13:13" x14ac:dyDescent="0.25">
      <c r="M2906" s="21"/>
    </row>
    <row r="2907" spans="13:13" x14ac:dyDescent="0.25">
      <c r="M2907" s="21"/>
    </row>
    <row r="2908" spans="13:13" x14ac:dyDescent="0.25">
      <c r="M2908" s="21"/>
    </row>
    <row r="2909" spans="13:13" x14ac:dyDescent="0.25">
      <c r="M2909" s="21"/>
    </row>
    <row r="2910" spans="13:13" x14ac:dyDescent="0.25">
      <c r="M2910" s="21"/>
    </row>
    <row r="2911" spans="13:13" x14ac:dyDescent="0.25">
      <c r="M2911" s="21"/>
    </row>
    <row r="2912" spans="13:13" x14ac:dyDescent="0.25">
      <c r="M2912" s="21"/>
    </row>
    <row r="2913" spans="13:13" x14ac:dyDescent="0.25">
      <c r="M2913" s="21"/>
    </row>
    <row r="2914" spans="13:13" x14ac:dyDescent="0.25">
      <c r="M2914" s="21"/>
    </row>
    <row r="2915" spans="13:13" x14ac:dyDescent="0.25">
      <c r="M2915" s="21"/>
    </row>
    <row r="2916" spans="13:13" x14ac:dyDescent="0.25">
      <c r="M2916" s="21"/>
    </row>
    <row r="2917" spans="13:13" x14ac:dyDescent="0.25">
      <c r="M2917" s="21"/>
    </row>
    <row r="2918" spans="13:13" x14ac:dyDescent="0.25">
      <c r="M2918" s="21"/>
    </row>
    <row r="2919" spans="13:13" x14ac:dyDescent="0.25">
      <c r="M2919" s="21"/>
    </row>
    <row r="2920" spans="13:13" x14ac:dyDescent="0.25">
      <c r="M2920" s="21"/>
    </row>
    <row r="2921" spans="13:13" x14ac:dyDescent="0.25">
      <c r="M2921" s="21"/>
    </row>
    <row r="2922" spans="13:13" x14ac:dyDescent="0.25">
      <c r="M2922" s="21"/>
    </row>
    <row r="2923" spans="13:13" x14ac:dyDescent="0.25">
      <c r="M2923" s="21"/>
    </row>
    <row r="2924" spans="13:13" x14ac:dyDescent="0.25">
      <c r="M2924" s="21"/>
    </row>
    <row r="2925" spans="13:13" x14ac:dyDescent="0.25">
      <c r="M2925" s="21"/>
    </row>
    <row r="2926" spans="13:13" x14ac:dyDescent="0.25">
      <c r="M2926" s="21"/>
    </row>
    <row r="2927" spans="13:13" x14ac:dyDescent="0.25">
      <c r="M2927" s="21"/>
    </row>
    <row r="2928" spans="13:13" x14ac:dyDescent="0.25">
      <c r="M2928" s="21"/>
    </row>
    <row r="2929" spans="13:13" x14ac:dyDescent="0.25">
      <c r="M2929" s="21"/>
    </row>
    <row r="2930" spans="13:13" x14ac:dyDescent="0.25">
      <c r="M2930" s="21"/>
    </row>
    <row r="2931" spans="13:13" x14ac:dyDescent="0.25">
      <c r="M2931" s="21"/>
    </row>
    <row r="2932" spans="13:13" x14ac:dyDescent="0.25">
      <c r="M2932" s="21"/>
    </row>
    <row r="2933" spans="13:13" x14ac:dyDescent="0.25">
      <c r="M2933" s="21"/>
    </row>
    <row r="2934" spans="13:13" x14ac:dyDescent="0.25">
      <c r="M2934" s="21"/>
    </row>
    <row r="2935" spans="13:13" x14ac:dyDescent="0.25">
      <c r="M2935" s="21"/>
    </row>
    <row r="2936" spans="13:13" x14ac:dyDescent="0.25">
      <c r="M2936" s="21"/>
    </row>
    <row r="2937" spans="13:13" x14ac:dyDescent="0.25">
      <c r="M2937" s="21"/>
    </row>
    <row r="2938" spans="13:13" x14ac:dyDescent="0.25">
      <c r="M2938" s="21"/>
    </row>
    <row r="2939" spans="13:13" x14ac:dyDescent="0.25">
      <c r="M2939" s="21"/>
    </row>
    <row r="2940" spans="13:13" x14ac:dyDescent="0.25">
      <c r="M2940" s="21"/>
    </row>
    <row r="2941" spans="13:13" x14ac:dyDescent="0.25">
      <c r="M2941" s="21"/>
    </row>
    <row r="2942" spans="13:13" x14ac:dyDescent="0.25">
      <c r="M2942" s="21"/>
    </row>
    <row r="2943" spans="13:13" x14ac:dyDescent="0.25">
      <c r="M2943" s="21"/>
    </row>
    <row r="2944" spans="13:13" x14ac:dyDescent="0.25">
      <c r="M2944" s="21"/>
    </row>
    <row r="2945" spans="13:13" x14ac:dyDescent="0.25">
      <c r="M2945" s="21"/>
    </row>
    <row r="2946" spans="13:13" x14ac:dyDescent="0.25">
      <c r="M2946" s="21"/>
    </row>
    <row r="2947" spans="13:13" x14ac:dyDescent="0.25">
      <c r="M2947" s="21"/>
    </row>
    <row r="2948" spans="13:13" x14ac:dyDescent="0.25">
      <c r="M2948" s="21"/>
    </row>
    <row r="2949" spans="13:13" x14ac:dyDescent="0.25">
      <c r="M2949" s="21"/>
    </row>
    <row r="2950" spans="13:13" x14ac:dyDescent="0.25">
      <c r="M2950" s="21"/>
    </row>
    <row r="2951" spans="13:13" x14ac:dyDescent="0.25">
      <c r="M2951" s="21"/>
    </row>
    <row r="2952" spans="13:13" x14ac:dyDescent="0.25">
      <c r="M2952" s="21"/>
    </row>
    <row r="2953" spans="13:13" x14ac:dyDescent="0.25">
      <c r="M2953" s="21"/>
    </row>
    <row r="2954" spans="13:13" x14ac:dyDescent="0.25">
      <c r="M2954" s="21"/>
    </row>
    <row r="2955" spans="13:13" x14ac:dyDescent="0.25">
      <c r="M2955" s="21"/>
    </row>
    <row r="2956" spans="13:13" x14ac:dyDescent="0.25">
      <c r="M2956" s="21"/>
    </row>
    <row r="2957" spans="13:13" x14ac:dyDescent="0.25">
      <c r="M2957" s="21"/>
    </row>
    <row r="2958" spans="13:13" x14ac:dyDescent="0.25">
      <c r="M2958" s="21"/>
    </row>
    <row r="2959" spans="13:13" x14ac:dyDescent="0.25">
      <c r="M2959" s="21"/>
    </row>
    <row r="2960" spans="13:13" x14ac:dyDescent="0.25">
      <c r="M2960" s="21"/>
    </row>
    <row r="2961" spans="13:13" x14ac:dyDescent="0.25">
      <c r="M2961" s="21"/>
    </row>
    <row r="2962" spans="13:13" x14ac:dyDescent="0.25">
      <c r="M2962" s="21"/>
    </row>
    <row r="2963" spans="13:13" x14ac:dyDescent="0.25">
      <c r="M2963" s="21"/>
    </row>
    <row r="2964" spans="13:13" x14ac:dyDescent="0.25">
      <c r="M2964" s="21"/>
    </row>
    <row r="2965" spans="13:13" x14ac:dyDescent="0.25">
      <c r="M2965" s="21"/>
    </row>
    <row r="2966" spans="13:13" x14ac:dyDescent="0.25">
      <c r="M2966" s="21"/>
    </row>
    <row r="2967" spans="13:13" x14ac:dyDescent="0.25">
      <c r="M2967" s="21"/>
    </row>
    <row r="2968" spans="13:13" x14ac:dyDescent="0.25">
      <c r="M2968" s="21"/>
    </row>
    <row r="2969" spans="13:13" x14ac:dyDescent="0.25">
      <c r="M2969" s="21"/>
    </row>
    <row r="2970" spans="13:13" x14ac:dyDescent="0.25">
      <c r="M2970" s="21"/>
    </row>
    <row r="2971" spans="13:13" x14ac:dyDescent="0.25">
      <c r="M2971" s="21"/>
    </row>
    <row r="2972" spans="13:13" x14ac:dyDescent="0.25">
      <c r="M2972" s="21"/>
    </row>
    <row r="2973" spans="13:13" x14ac:dyDescent="0.25">
      <c r="M2973" s="21"/>
    </row>
    <row r="2974" spans="13:13" x14ac:dyDescent="0.25">
      <c r="M2974" s="21"/>
    </row>
    <row r="2975" spans="13:13" x14ac:dyDescent="0.25">
      <c r="M2975" s="21"/>
    </row>
    <row r="2976" spans="13:13" x14ac:dyDescent="0.25">
      <c r="M2976" s="21"/>
    </row>
    <row r="2977" spans="13:13" x14ac:dyDescent="0.25">
      <c r="M2977" s="21"/>
    </row>
    <row r="2978" spans="13:13" x14ac:dyDescent="0.25">
      <c r="M2978" s="21"/>
    </row>
    <row r="2979" spans="13:13" x14ac:dyDescent="0.25">
      <c r="M2979" s="21"/>
    </row>
    <row r="2980" spans="13:13" x14ac:dyDescent="0.25">
      <c r="M2980" s="21"/>
    </row>
    <row r="2981" spans="13:13" x14ac:dyDescent="0.25">
      <c r="M2981" s="21"/>
    </row>
    <row r="2982" spans="13:13" x14ac:dyDescent="0.25">
      <c r="M2982" s="21"/>
    </row>
    <row r="2983" spans="13:13" x14ac:dyDescent="0.25">
      <c r="M2983" s="21"/>
    </row>
    <row r="2984" spans="13:13" x14ac:dyDescent="0.25">
      <c r="M2984" s="21"/>
    </row>
    <row r="2985" spans="13:13" x14ac:dyDescent="0.25">
      <c r="M2985" s="21"/>
    </row>
    <row r="2986" spans="13:13" x14ac:dyDescent="0.25">
      <c r="M2986" s="21"/>
    </row>
    <row r="2987" spans="13:13" x14ac:dyDescent="0.25">
      <c r="M2987" s="21"/>
    </row>
    <row r="2988" spans="13:13" x14ac:dyDescent="0.25">
      <c r="M2988" s="21"/>
    </row>
    <row r="2989" spans="13:13" x14ac:dyDescent="0.25">
      <c r="M2989" s="21"/>
    </row>
    <row r="2990" spans="13:13" x14ac:dyDescent="0.25">
      <c r="M2990" s="21"/>
    </row>
    <row r="2991" spans="13:13" x14ac:dyDescent="0.25">
      <c r="M2991" s="21"/>
    </row>
    <row r="2992" spans="13:13" x14ac:dyDescent="0.25">
      <c r="M2992" s="21"/>
    </row>
    <row r="2993" spans="13:13" x14ac:dyDescent="0.25">
      <c r="M2993" s="21"/>
    </row>
    <row r="2994" spans="13:13" x14ac:dyDescent="0.25">
      <c r="M2994" s="21"/>
    </row>
    <row r="2995" spans="13:13" x14ac:dyDescent="0.25">
      <c r="M2995" s="21"/>
    </row>
    <row r="2996" spans="13:13" x14ac:dyDescent="0.25">
      <c r="M2996" s="21"/>
    </row>
    <row r="2997" spans="13:13" x14ac:dyDescent="0.25">
      <c r="M2997" s="21"/>
    </row>
    <row r="2998" spans="13:13" x14ac:dyDescent="0.25">
      <c r="M2998" s="21"/>
    </row>
    <row r="2999" spans="13:13" x14ac:dyDescent="0.25">
      <c r="M2999" s="21"/>
    </row>
    <row r="3000" spans="13:13" x14ac:dyDescent="0.25">
      <c r="M3000" s="21"/>
    </row>
    <row r="3001" spans="13:13" x14ac:dyDescent="0.25">
      <c r="M3001" s="21"/>
    </row>
    <row r="3002" spans="13:13" x14ac:dyDescent="0.25">
      <c r="M3002" s="21"/>
    </row>
    <row r="3003" spans="13:13" x14ac:dyDescent="0.25">
      <c r="M3003" s="21"/>
    </row>
    <row r="3004" spans="13:13" x14ac:dyDescent="0.25">
      <c r="M3004" s="21"/>
    </row>
    <row r="3005" spans="13:13" x14ac:dyDescent="0.25">
      <c r="M3005" s="21"/>
    </row>
    <row r="3006" spans="13:13" x14ac:dyDescent="0.25">
      <c r="M3006" s="21"/>
    </row>
    <row r="3007" spans="13:13" x14ac:dyDescent="0.25">
      <c r="M3007" s="21"/>
    </row>
    <row r="3008" spans="13:13" x14ac:dyDescent="0.25">
      <c r="M3008" s="21"/>
    </row>
    <row r="3009" spans="13:13" x14ac:dyDescent="0.25">
      <c r="M3009" s="21"/>
    </row>
    <row r="3010" spans="13:13" x14ac:dyDescent="0.25">
      <c r="M3010" s="21"/>
    </row>
    <row r="3011" spans="13:13" x14ac:dyDescent="0.25">
      <c r="M3011" s="21"/>
    </row>
    <row r="3012" spans="13:13" x14ac:dyDescent="0.25">
      <c r="M3012" s="21"/>
    </row>
    <row r="3013" spans="13:13" x14ac:dyDescent="0.25">
      <c r="M3013" s="21"/>
    </row>
    <row r="3014" spans="13:13" x14ac:dyDescent="0.25">
      <c r="M3014" s="21"/>
    </row>
    <row r="3015" spans="13:13" x14ac:dyDescent="0.25">
      <c r="M3015" s="21"/>
    </row>
    <row r="3016" spans="13:13" x14ac:dyDescent="0.25">
      <c r="M3016" s="21"/>
    </row>
    <row r="3017" spans="13:13" x14ac:dyDescent="0.25">
      <c r="M3017" s="21"/>
    </row>
    <row r="3018" spans="13:13" x14ac:dyDescent="0.25">
      <c r="M3018" s="21"/>
    </row>
    <row r="3019" spans="13:13" x14ac:dyDescent="0.25">
      <c r="M3019" s="21"/>
    </row>
    <row r="3020" spans="13:13" x14ac:dyDescent="0.25">
      <c r="M3020" s="21"/>
    </row>
    <row r="3021" spans="13:13" x14ac:dyDescent="0.25">
      <c r="M3021" s="21"/>
    </row>
    <row r="3022" spans="13:13" x14ac:dyDescent="0.25">
      <c r="M3022" s="21"/>
    </row>
    <row r="3023" spans="13:13" x14ac:dyDescent="0.25">
      <c r="M3023" s="21"/>
    </row>
    <row r="3024" spans="13:13" x14ac:dyDescent="0.25">
      <c r="M3024" s="21"/>
    </row>
    <row r="3025" spans="13:13" x14ac:dyDescent="0.25">
      <c r="M3025" s="21"/>
    </row>
    <row r="3026" spans="13:13" x14ac:dyDescent="0.25">
      <c r="M3026" s="21"/>
    </row>
    <row r="3027" spans="13:13" x14ac:dyDescent="0.25">
      <c r="M3027" s="21"/>
    </row>
    <row r="3028" spans="13:13" x14ac:dyDescent="0.25">
      <c r="M3028" s="21"/>
    </row>
    <row r="3029" spans="13:13" x14ac:dyDescent="0.25">
      <c r="M3029" s="21"/>
    </row>
    <row r="3030" spans="13:13" x14ac:dyDescent="0.25">
      <c r="M3030" s="21"/>
    </row>
    <row r="3031" spans="13:13" x14ac:dyDescent="0.25">
      <c r="M3031" s="21"/>
    </row>
    <row r="3032" spans="13:13" x14ac:dyDescent="0.25">
      <c r="M3032" s="21"/>
    </row>
    <row r="3033" spans="13:13" x14ac:dyDescent="0.25">
      <c r="M3033" s="21"/>
    </row>
    <row r="3034" spans="13:13" x14ac:dyDescent="0.25">
      <c r="M3034" s="21"/>
    </row>
    <row r="3035" spans="13:13" x14ac:dyDescent="0.25">
      <c r="M3035" s="21"/>
    </row>
    <row r="3036" spans="13:13" x14ac:dyDescent="0.25">
      <c r="M3036" s="21"/>
    </row>
    <row r="3037" spans="13:13" x14ac:dyDescent="0.25">
      <c r="M3037" s="21"/>
    </row>
    <row r="3038" spans="13:13" x14ac:dyDescent="0.25">
      <c r="M3038" s="21"/>
    </row>
    <row r="3039" spans="13:13" x14ac:dyDescent="0.25">
      <c r="M3039" s="21"/>
    </row>
    <row r="3040" spans="13:13" x14ac:dyDescent="0.25">
      <c r="M3040" s="21"/>
    </row>
    <row r="3041" spans="13:13" x14ac:dyDescent="0.25">
      <c r="M3041" s="21"/>
    </row>
    <row r="3042" spans="13:13" x14ac:dyDescent="0.25">
      <c r="M3042" s="21"/>
    </row>
    <row r="3043" spans="13:13" x14ac:dyDescent="0.25">
      <c r="M3043" s="21"/>
    </row>
    <row r="3044" spans="13:13" x14ac:dyDescent="0.25">
      <c r="M3044" s="21"/>
    </row>
    <row r="3045" spans="13:13" x14ac:dyDescent="0.25">
      <c r="M3045" s="21"/>
    </row>
    <row r="3046" spans="13:13" x14ac:dyDescent="0.25">
      <c r="M3046" s="21"/>
    </row>
    <row r="3047" spans="13:13" x14ac:dyDescent="0.25">
      <c r="M3047" s="21"/>
    </row>
    <row r="3048" spans="13:13" x14ac:dyDescent="0.25">
      <c r="M3048" s="21"/>
    </row>
    <row r="3049" spans="13:13" x14ac:dyDescent="0.25">
      <c r="M3049" s="21"/>
    </row>
    <row r="3050" spans="13:13" x14ac:dyDescent="0.25">
      <c r="M3050" s="21"/>
    </row>
    <row r="3051" spans="13:13" x14ac:dyDescent="0.25">
      <c r="M3051" s="21"/>
    </row>
    <row r="3052" spans="13:13" x14ac:dyDescent="0.25">
      <c r="M3052" s="21"/>
    </row>
    <row r="3053" spans="13:13" x14ac:dyDescent="0.25">
      <c r="M3053" s="21"/>
    </row>
    <row r="3054" spans="13:13" x14ac:dyDescent="0.25">
      <c r="M3054" s="21"/>
    </row>
    <row r="3055" spans="13:13" x14ac:dyDescent="0.25">
      <c r="M3055" s="21"/>
    </row>
    <row r="3056" spans="13:13" x14ac:dyDescent="0.25">
      <c r="M3056" s="21"/>
    </row>
    <row r="3057" spans="13:13" x14ac:dyDescent="0.25">
      <c r="M3057" s="21"/>
    </row>
    <row r="3058" spans="13:13" x14ac:dyDescent="0.25">
      <c r="M3058" s="21"/>
    </row>
    <row r="3059" spans="13:13" x14ac:dyDescent="0.25">
      <c r="M3059" s="21"/>
    </row>
    <row r="3060" spans="13:13" x14ac:dyDescent="0.25">
      <c r="M3060" s="21"/>
    </row>
    <row r="3061" spans="13:13" x14ac:dyDescent="0.25">
      <c r="M3061" s="21"/>
    </row>
    <row r="3062" spans="13:13" x14ac:dyDescent="0.25">
      <c r="M3062" s="21"/>
    </row>
    <row r="3063" spans="13:13" x14ac:dyDescent="0.25">
      <c r="M3063" s="21"/>
    </row>
    <row r="3064" spans="13:13" x14ac:dyDescent="0.25">
      <c r="M3064" s="21"/>
    </row>
    <row r="3065" spans="13:13" x14ac:dyDescent="0.25">
      <c r="M3065" s="21"/>
    </row>
    <row r="3066" spans="13:13" x14ac:dyDescent="0.25">
      <c r="M3066" s="21"/>
    </row>
    <row r="3067" spans="13:13" x14ac:dyDescent="0.25">
      <c r="M3067" s="21"/>
    </row>
    <row r="3068" spans="13:13" x14ac:dyDescent="0.25">
      <c r="M3068" s="21"/>
    </row>
    <row r="3069" spans="13:13" x14ac:dyDescent="0.25">
      <c r="M3069" s="21"/>
    </row>
    <row r="3070" spans="13:13" x14ac:dyDescent="0.25">
      <c r="M3070" s="21"/>
    </row>
    <row r="3071" spans="13:13" x14ac:dyDescent="0.25">
      <c r="M3071" s="21"/>
    </row>
    <row r="3072" spans="13:13" x14ac:dyDescent="0.25">
      <c r="M3072" s="21"/>
    </row>
    <row r="3073" spans="13:13" x14ac:dyDescent="0.25">
      <c r="M3073" s="21"/>
    </row>
    <row r="3074" spans="13:13" x14ac:dyDescent="0.25">
      <c r="M3074" s="21"/>
    </row>
    <row r="3075" spans="13:13" x14ac:dyDescent="0.25">
      <c r="M3075" s="21"/>
    </row>
    <row r="3076" spans="13:13" x14ac:dyDescent="0.25">
      <c r="M3076" s="21"/>
    </row>
    <row r="3077" spans="13:13" x14ac:dyDescent="0.25">
      <c r="M3077" s="21"/>
    </row>
    <row r="3078" spans="13:13" x14ac:dyDescent="0.25">
      <c r="M3078" s="21"/>
    </row>
    <row r="3079" spans="13:13" x14ac:dyDescent="0.25">
      <c r="M3079" s="21"/>
    </row>
    <row r="3080" spans="13:13" x14ac:dyDescent="0.25">
      <c r="M3080" s="21"/>
    </row>
    <row r="3081" spans="13:13" x14ac:dyDescent="0.25">
      <c r="M3081" s="21"/>
    </row>
    <row r="3082" spans="13:13" x14ac:dyDescent="0.25">
      <c r="M3082" s="21"/>
    </row>
    <row r="3083" spans="13:13" x14ac:dyDescent="0.25">
      <c r="M3083" s="21"/>
    </row>
    <row r="3084" spans="13:13" x14ac:dyDescent="0.25">
      <c r="M3084" s="21"/>
    </row>
    <row r="3085" spans="13:13" x14ac:dyDescent="0.25">
      <c r="M3085" s="21"/>
    </row>
    <row r="3086" spans="13:13" x14ac:dyDescent="0.25">
      <c r="M3086" s="21"/>
    </row>
    <row r="3087" spans="13:13" x14ac:dyDescent="0.25">
      <c r="M3087" s="21"/>
    </row>
    <row r="3088" spans="13:13" x14ac:dyDescent="0.25">
      <c r="M3088" s="21"/>
    </row>
    <row r="3089" spans="13:13" x14ac:dyDescent="0.25">
      <c r="M3089" s="21"/>
    </row>
    <row r="3090" spans="13:13" x14ac:dyDescent="0.25">
      <c r="M3090" s="21"/>
    </row>
    <row r="3091" spans="13:13" x14ac:dyDescent="0.25">
      <c r="M3091" s="21"/>
    </row>
    <row r="3092" spans="13:13" x14ac:dyDescent="0.25">
      <c r="M3092" s="21"/>
    </row>
    <row r="3093" spans="13:13" x14ac:dyDescent="0.25">
      <c r="M3093" s="21"/>
    </row>
    <row r="3094" spans="13:13" x14ac:dyDescent="0.25">
      <c r="M3094" s="21"/>
    </row>
    <row r="3095" spans="13:13" x14ac:dyDescent="0.25">
      <c r="M3095" s="21"/>
    </row>
    <row r="3096" spans="13:13" x14ac:dyDescent="0.25">
      <c r="M3096" s="21"/>
    </row>
    <row r="3097" spans="13:13" x14ac:dyDescent="0.25">
      <c r="M3097" s="21"/>
    </row>
    <row r="3098" spans="13:13" x14ac:dyDescent="0.25">
      <c r="M3098" s="21"/>
    </row>
    <row r="3099" spans="13:13" x14ac:dyDescent="0.25">
      <c r="M3099" s="21"/>
    </row>
    <row r="3100" spans="13:13" x14ac:dyDescent="0.25">
      <c r="M3100" s="21"/>
    </row>
    <row r="3101" spans="13:13" x14ac:dyDescent="0.25">
      <c r="M3101" s="21"/>
    </row>
    <row r="3102" spans="13:13" x14ac:dyDescent="0.25">
      <c r="M3102" s="21"/>
    </row>
    <row r="3103" spans="13:13" x14ac:dyDescent="0.25">
      <c r="M3103" s="21"/>
    </row>
    <row r="3104" spans="13:13" x14ac:dyDescent="0.25">
      <c r="M3104" s="21"/>
    </row>
    <row r="3105" spans="13:13" x14ac:dyDescent="0.25">
      <c r="M3105" s="21"/>
    </row>
    <row r="3106" spans="13:13" x14ac:dyDescent="0.25">
      <c r="M3106" s="21"/>
    </row>
    <row r="3107" spans="13:13" x14ac:dyDescent="0.25">
      <c r="M3107" s="21"/>
    </row>
    <row r="3108" spans="13:13" x14ac:dyDescent="0.25">
      <c r="M3108" s="21"/>
    </row>
    <row r="3109" spans="13:13" x14ac:dyDescent="0.25">
      <c r="M3109" s="21"/>
    </row>
    <row r="3110" spans="13:13" x14ac:dyDescent="0.25">
      <c r="M3110" s="21"/>
    </row>
    <row r="3111" spans="13:13" x14ac:dyDescent="0.25">
      <c r="M3111" s="21"/>
    </row>
    <row r="3112" spans="13:13" x14ac:dyDescent="0.25">
      <c r="M3112" s="21"/>
    </row>
    <row r="3113" spans="13:13" x14ac:dyDescent="0.25">
      <c r="M3113" s="21"/>
    </row>
    <row r="3114" spans="13:13" x14ac:dyDescent="0.25">
      <c r="M3114" s="21"/>
    </row>
    <row r="3115" spans="13:13" x14ac:dyDescent="0.25">
      <c r="M3115" s="21"/>
    </row>
    <row r="3116" spans="13:13" x14ac:dyDescent="0.25">
      <c r="M3116" s="21"/>
    </row>
    <row r="3117" spans="13:13" x14ac:dyDescent="0.25">
      <c r="M3117" s="21"/>
    </row>
    <row r="3118" spans="13:13" x14ac:dyDescent="0.25">
      <c r="M3118" s="21"/>
    </row>
    <row r="3119" spans="13:13" x14ac:dyDescent="0.25">
      <c r="M3119" s="21"/>
    </row>
    <row r="3120" spans="13:13" x14ac:dyDescent="0.25">
      <c r="M3120" s="21"/>
    </row>
    <row r="3121" spans="13:13" x14ac:dyDescent="0.25">
      <c r="M3121" s="21"/>
    </row>
    <row r="3122" spans="13:13" x14ac:dyDescent="0.25">
      <c r="M3122" s="21"/>
    </row>
    <row r="3123" spans="13:13" x14ac:dyDescent="0.25">
      <c r="M3123" s="21"/>
    </row>
    <row r="3124" spans="13:13" x14ac:dyDescent="0.25">
      <c r="M3124" s="21"/>
    </row>
    <row r="3125" spans="13:13" x14ac:dyDescent="0.25">
      <c r="M3125" s="21"/>
    </row>
    <row r="3126" spans="13:13" x14ac:dyDescent="0.25">
      <c r="M3126" s="21"/>
    </row>
    <row r="3127" spans="13:13" x14ac:dyDescent="0.25">
      <c r="M3127" s="21"/>
    </row>
    <row r="3128" spans="13:13" x14ac:dyDescent="0.25">
      <c r="M3128" s="21"/>
    </row>
    <row r="3129" spans="13:13" x14ac:dyDescent="0.25">
      <c r="M3129" s="21"/>
    </row>
    <row r="3130" spans="13:13" x14ac:dyDescent="0.25">
      <c r="M3130" s="21"/>
    </row>
    <row r="3131" spans="13:13" x14ac:dyDescent="0.25">
      <c r="M3131" s="21"/>
    </row>
    <row r="3132" spans="13:13" x14ac:dyDescent="0.25">
      <c r="M3132" s="21"/>
    </row>
    <row r="3133" spans="13:13" x14ac:dyDescent="0.25">
      <c r="M3133" s="21"/>
    </row>
    <row r="3134" spans="13:13" x14ac:dyDescent="0.25">
      <c r="M3134" s="21"/>
    </row>
    <row r="3135" spans="13:13" x14ac:dyDescent="0.25">
      <c r="M3135" s="21"/>
    </row>
    <row r="3136" spans="13:13" x14ac:dyDescent="0.25">
      <c r="M3136" s="21"/>
    </row>
    <row r="3137" spans="13:13" x14ac:dyDescent="0.25">
      <c r="M3137" s="21"/>
    </row>
    <row r="3138" spans="13:13" x14ac:dyDescent="0.25">
      <c r="M3138" s="21"/>
    </row>
    <row r="3139" spans="13:13" x14ac:dyDescent="0.25">
      <c r="M3139" s="21"/>
    </row>
    <row r="3140" spans="13:13" x14ac:dyDescent="0.25">
      <c r="M3140" s="21"/>
    </row>
    <row r="3141" spans="13:13" x14ac:dyDescent="0.25">
      <c r="M3141" s="21"/>
    </row>
    <row r="3142" spans="13:13" x14ac:dyDescent="0.25">
      <c r="M3142" s="21"/>
    </row>
    <row r="3143" spans="13:13" x14ac:dyDescent="0.25">
      <c r="M3143" s="21"/>
    </row>
    <row r="3144" spans="13:13" x14ac:dyDescent="0.25">
      <c r="M3144" s="21"/>
    </row>
    <row r="3145" spans="13:13" x14ac:dyDescent="0.25">
      <c r="M3145" s="21"/>
    </row>
    <row r="3146" spans="13:13" x14ac:dyDescent="0.25">
      <c r="M3146" s="21"/>
    </row>
    <row r="3147" spans="13:13" x14ac:dyDescent="0.25">
      <c r="M3147" s="21"/>
    </row>
    <row r="3148" spans="13:13" x14ac:dyDescent="0.25">
      <c r="M3148" s="21"/>
    </row>
    <row r="3149" spans="13:13" x14ac:dyDescent="0.25">
      <c r="M3149" s="21"/>
    </row>
    <row r="3150" spans="13:13" x14ac:dyDescent="0.25">
      <c r="M3150" s="21"/>
    </row>
    <row r="3151" spans="13:13" x14ac:dyDescent="0.25">
      <c r="M3151" s="21"/>
    </row>
    <row r="3152" spans="13:13" x14ac:dyDescent="0.25">
      <c r="M3152" s="21"/>
    </row>
    <row r="3153" spans="13:13" x14ac:dyDescent="0.25">
      <c r="M3153" s="21"/>
    </row>
    <row r="3154" spans="13:13" x14ac:dyDescent="0.25">
      <c r="M3154" s="21"/>
    </row>
    <row r="3155" spans="13:13" x14ac:dyDescent="0.25">
      <c r="M3155" s="21"/>
    </row>
    <row r="3156" spans="13:13" x14ac:dyDescent="0.25">
      <c r="M3156" s="21"/>
    </row>
    <row r="3157" spans="13:13" x14ac:dyDescent="0.25">
      <c r="M3157" s="21"/>
    </row>
    <row r="3158" spans="13:13" x14ac:dyDescent="0.25">
      <c r="M3158" s="21"/>
    </row>
    <row r="3159" spans="13:13" x14ac:dyDescent="0.25">
      <c r="M3159" s="21"/>
    </row>
    <row r="3160" spans="13:13" x14ac:dyDescent="0.25">
      <c r="M3160" s="21"/>
    </row>
    <row r="3161" spans="13:13" x14ac:dyDescent="0.25">
      <c r="M3161" s="21"/>
    </row>
    <row r="3162" spans="13:13" x14ac:dyDescent="0.25">
      <c r="M3162" s="21"/>
    </row>
    <row r="3163" spans="13:13" x14ac:dyDescent="0.25">
      <c r="M3163" s="21"/>
    </row>
    <row r="3164" spans="13:13" x14ac:dyDescent="0.25">
      <c r="M3164" s="21"/>
    </row>
    <row r="3165" spans="13:13" x14ac:dyDescent="0.25">
      <c r="M3165" s="21"/>
    </row>
    <row r="3166" spans="13:13" x14ac:dyDescent="0.25">
      <c r="M3166" s="21"/>
    </row>
    <row r="3167" spans="13:13" x14ac:dyDescent="0.25">
      <c r="M3167" s="21"/>
    </row>
    <row r="3168" spans="13:13" x14ac:dyDescent="0.25">
      <c r="M3168" s="21"/>
    </row>
    <row r="3169" spans="13:13" x14ac:dyDescent="0.25">
      <c r="M3169" s="21"/>
    </row>
    <row r="3170" spans="13:13" x14ac:dyDescent="0.25">
      <c r="M3170" s="21"/>
    </row>
    <row r="3171" spans="13:13" x14ac:dyDescent="0.25">
      <c r="M3171" s="21"/>
    </row>
    <row r="3172" spans="13:13" x14ac:dyDescent="0.25">
      <c r="M3172" s="21"/>
    </row>
    <row r="3173" spans="13:13" x14ac:dyDescent="0.25">
      <c r="M3173" s="21"/>
    </row>
    <row r="3174" spans="13:13" x14ac:dyDescent="0.25">
      <c r="M3174" s="21"/>
    </row>
    <row r="3175" spans="13:13" x14ac:dyDescent="0.25">
      <c r="M3175" s="21"/>
    </row>
    <row r="3176" spans="13:13" x14ac:dyDescent="0.25">
      <c r="M3176" s="21"/>
    </row>
    <row r="3177" spans="13:13" x14ac:dyDescent="0.25">
      <c r="M3177" s="21"/>
    </row>
    <row r="3178" spans="13:13" x14ac:dyDescent="0.25">
      <c r="M3178" s="21"/>
    </row>
    <row r="3179" spans="13:13" x14ac:dyDescent="0.25">
      <c r="M3179" s="21"/>
    </row>
    <row r="3180" spans="13:13" x14ac:dyDescent="0.25">
      <c r="M3180" s="21"/>
    </row>
    <row r="3181" spans="13:13" x14ac:dyDescent="0.25">
      <c r="M3181" s="21"/>
    </row>
    <row r="3182" spans="13:13" x14ac:dyDescent="0.25">
      <c r="M3182" s="21"/>
    </row>
    <row r="3183" spans="13:13" x14ac:dyDescent="0.25">
      <c r="M3183" s="21"/>
    </row>
    <row r="3184" spans="13:13" x14ac:dyDescent="0.25">
      <c r="M3184" s="21"/>
    </row>
    <row r="3185" spans="13:13" x14ac:dyDescent="0.25">
      <c r="M3185" s="21"/>
    </row>
    <row r="3186" spans="13:13" x14ac:dyDescent="0.25">
      <c r="M3186" s="21"/>
    </row>
    <row r="3187" spans="13:13" x14ac:dyDescent="0.25">
      <c r="M3187" s="21"/>
    </row>
    <row r="3188" spans="13:13" x14ac:dyDescent="0.25">
      <c r="M3188" s="21"/>
    </row>
    <row r="3189" spans="13:13" x14ac:dyDescent="0.25">
      <c r="M3189" s="21"/>
    </row>
    <row r="3190" spans="13:13" x14ac:dyDescent="0.25">
      <c r="M3190" s="21"/>
    </row>
    <row r="3191" spans="13:13" x14ac:dyDescent="0.25">
      <c r="M3191" s="21"/>
    </row>
    <row r="3192" spans="13:13" x14ac:dyDescent="0.25">
      <c r="M3192" s="21"/>
    </row>
    <row r="3193" spans="13:13" x14ac:dyDescent="0.25">
      <c r="M3193" s="21"/>
    </row>
    <row r="3194" spans="13:13" x14ac:dyDescent="0.25">
      <c r="M3194" s="21"/>
    </row>
    <row r="3195" spans="13:13" x14ac:dyDescent="0.25">
      <c r="M3195" s="21"/>
    </row>
    <row r="3196" spans="13:13" x14ac:dyDescent="0.25">
      <c r="M3196" s="21"/>
    </row>
    <row r="3197" spans="13:13" x14ac:dyDescent="0.25">
      <c r="M3197" s="21"/>
    </row>
    <row r="3198" spans="13:13" x14ac:dyDescent="0.25">
      <c r="M3198" s="21"/>
    </row>
    <row r="3199" spans="13:13" x14ac:dyDescent="0.25">
      <c r="M3199" s="21"/>
    </row>
    <row r="3200" spans="13:13" x14ac:dyDescent="0.25">
      <c r="M3200" s="21"/>
    </row>
    <row r="3201" spans="13:13" x14ac:dyDescent="0.25">
      <c r="M3201" s="21"/>
    </row>
    <row r="3202" spans="13:13" x14ac:dyDescent="0.25">
      <c r="M3202" s="21"/>
    </row>
    <row r="3203" spans="13:13" x14ac:dyDescent="0.25">
      <c r="M3203" s="21"/>
    </row>
    <row r="3204" spans="13:13" x14ac:dyDescent="0.25">
      <c r="M3204" s="21"/>
    </row>
    <row r="3205" spans="13:13" x14ac:dyDescent="0.25">
      <c r="M3205" s="21"/>
    </row>
    <row r="3206" spans="13:13" x14ac:dyDescent="0.25">
      <c r="M3206" s="21"/>
    </row>
    <row r="3207" spans="13:13" x14ac:dyDescent="0.25">
      <c r="M3207" s="21"/>
    </row>
    <row r="3208" spans="13:13" x14ac:dyDescent="0.25">
      <c r="M3208" s="21"/>
    </row>
    <row r="3209" spans="13:13" x14ac:dyDescent="0.25">
      <c r="M3209" s="21"/>
    </row>
    <row r="3210" spans="13:13" x14ac:dyDescent="0.25">
      <c r="M3210" s="21"/>
    </row>
    <row r="3211" spans="13:13" x14ac:dyDescent="0.25">
      <c r="M3211" s="21"/>
    </row>
    <row r="3212" spans="13:13" x14ac:dyDescent="0.25">
      <c r="M3212" s="21"/>
    </row>
    <row r="3213" spans="13:13" x14ac:dyDescent="0.25">
      <c r="M3213" s="21"/>
    </row>
    <row r="3214" spans="13:13" x14ac:dyDescent="0.25">
      <c r="M3214" s="21"/>
    </row>
    <row r="3215" spans="13:13" x14ac:dyDescent="0.25">
      <c r="M3215" s="21"/>
    </row>
    <row r="3216" spans="13:13" x14ac:dyDescent="0.25">
      <c r="M3216" s="21"/>
    </row>
    <row r="3217" spans="13:13" x14ac:dyDescent="0.25">
      <c r="M3217" s="21"/>
    </row>
    <row r="3218" spans="13:13" x14ac:dyDescent="0.25">
      <c r="M3218" s="21"/>
    </row>
    <row r="3219" spans="13:13" x14ac:dyDescent="0.25">
      <c r="M3219" s="21"/>
    </row>
    <row r="3220" spans="13:13" x14ac:dyDescent="0.25">
      <c r="M3220" s="21"/>
    </row>
    <row r="3221" spans="13:13" x14ac:dyDescent="0.25">
      <c r="M3221" s="21"/>
    </row>
    <row r="3222" spans="13:13" x14ac:dyDescent="0.25">
      <c r="M3222" s="21"/>
    </row>
    <row r="3223" spans="13:13" x14ac:dyDescent="0.25">
      <c r="M3223" s="21"/>
    </row>
    <row r="3224" spans="13:13" x14ac:dyDescent="0.25">
      <c r="M3224" s="21"/>
    </row>
    <row r="3225" spans="13:13" x14ac:dyDescent="0.25">
      <c r="M3225" s="21"/>
    </row>
    <row r="3226" spans="13:13" x14ac:dyDescent="0.25">
      <c r="M3226" s="21"/>
    </row>
    <row r="3227" spans="13:13" x14ac:dyDescent="0.25">
      <c r="M3227" s="21"/>
    </row>
    <row r="3228" spans="13:13" x14ac:dyDescent="0.25">
      <c r="M3228" s="21"/>
    </row>
    <row r="3229" spans="13:13" x14ac:dyDescent="0.25">
      <c r="M3229" s="21"/>
    </row>
    <row r="3230" spans="13:13" x14ac:dyDescent="0.25">
      <c r="M3230" s="21"/>
    </row>
    <row r="3231" spans="13:13" x14ac:dyDescent="0.25">
      <c r="M3231" s="21"/>
    </row>
    <row r="3232" spans="13:13" x14ac:dyDescent="0.25">
      <c r="M3232" s="21"/>
    </row>
    <row r="3233" spans="13:13" x14ac:dyDescent="0.25">
      <c r="M3233" s="21"/>
    </row>
    <row r="3234" spans="13:13" x14ac:dyDescent="0.25">
      <c r="M3234" s="21"/>
    </row>
    <row r="3235" spans="13:13" x14ac:dyDescent="0.25">
      <c r="M3235" s="21"/>
    </row>
    <row r="3236" spans="13:13" x14ac:dyDescent="0.25">
      <c r="M3236" s="21"/>
    </row>
    <row r="3237" spans="13:13" x14ac:dyDescent="0.25">
      <c r="M3237" s="21"/>
    </row>
    <row r="3238" spans="13:13" x14ac:dyDescent="0.25">
      <c r="M3238" s="21"/>
    </row>
    <row r="3239" spans="13:13" x14ac:dyDescent="0.25">
      <c r="M3239" s="21"/>
    </row>
    <row r="3240" spans="13:13" x14ac:dyDescent="0.25">
      <c r="M3240" s="21"/>
    </row>
    <row r="3241" spans="13:13" x14ac:dyDescent="0.25">
      <c r="M3241" s="21"/>
    </row>
    <row r="3242" spans="13:13" x14ac:dyDescent="0.25">
      <c r="M3242" s="21"/>
    </row>
    <row r="3243" spans="13:13" x14ac:dyDescent="0.25">
      <c r="M3243" s="21"/>
    </row>
    <row r="3244" spans="13:13" x14ac:dyDescent="0.25">
      <c r="M3244" s="21"/>
    </row>
    <row r="3245" spans="13:13" x14ac:dyDescent="0.25">
      <c r="M3245" s="21"/>
    </row>
    <row r="3246" spans="13:13" x14ac:dyDescent="0.25">
      <c r="M3246" s="21"/>
    </row>
    <row r="3247" spans="13:13" x14ac:dyDescent="0.25">
      <c r="M3247" s="21"/>
    </row>
    <row r="3248" spans="13:13" x14ac:dyDescent="0.25">
      <c r="M3248" s="21"/>
    </row>
    <row r="3249" spans="13:13" x14ac:dyDescent="0.25">
      <c r="M3249" s="21"/>
    </row>
    <row r="3250" spans="13:13" x14ac:dyDescent="0.25">
      <c r="M3250" s="21"/>
    </row>
    <row r="3251" spans="13:13" x14ac:dyDescent="0.25">
      <c r="M3251" s="21"/>
    </row>
    <row r="3252" spans="13:13" x14ac:dyDescent="0.25">
      <c r="M3252" s="21"/>
    </row>
    <row r="3253" spans="13:13" x14ac:dyDescent="0.25">
      <c r="M3253" s="21"/>
    </row>
    <row r="3254" spans="13:13" x14ac:dyDescent="0.25">
      <c r="M3254" s="21"/>
    </row>
    <row r="3255" spans="13:13" x14ac:dyDescent="0.25">
      <c r="M3255" s="21"/>
    </row>
    <row r="3256" spans="13:13" x14ac:dyDescent="0.25">
      <c r="M3256" s="21"/>
    </row>
    <row r="3257" spans="13:13" x14ac:dyDescent="0.25">
      <c r="M3257" s="21"/>
    </row>
    <row r="3258" spans="13:13" x14ac:dyDescent="0.25">
      <c r="M3258" s="21"/>
    </row>
    <row r="3259" spans="13:13" x14ac:dyDescent="0.25">
      <c r="M3259" s="21"/>
    </row>
    <row r="3260" spans="13:13" x14ac:dyDescent="0.25">
      <c r="M3260" s="21"/>
    </row>
    <row r="3261" spans="13:13" x14ac:dyDescent="0.25">
      <c r="M3261" s="21"/>
    </row>
    <row r="3262" spans="13:13" x14ac:dyDescent="0.25">
      <c r="M3262" s="21"/>
    </row>
    <row r="3263" spans="13:13" x14ac:dyDescent="0.25">
      <c r="M3263" s="21"/>
    </row>
    <row r="3264" spans="13:13" x14ac:dyDescent="0.25">
      <c r="M3264" s="21"/>
    </row>
    <row r="3265" spans="13:13" x14ac:dyDescent="0.25">
      <c r="M3265" s="21"/>
    </row>
    <row r="3266" spans="13:13" x14ac:dyDescent="0.25">
      <c r="M3266" s="21"/>
    </row>
    <row r="3267" spans="13:13" x14ac:dyDescent="0.25">
      <c r="M3267" s="21"/>
    </row>
    <row r="3268" spans="13:13" x14ac:dyDescent="0.25">
      <c r="M3268" s="21"/>
    </row>
    <row r="3269" spans="13:13" x14ac:dyDescent="0.25">
      <c r="M3269" s="21"/>
    </row>
    <row r="3270" spans="13:13" x14ac:dyDescent="0.25">
      <c r="M3270" s="21"/>
    </row>
    <row r="3271" spans="13:13" x14ac:dyDescent="0.25">
      <c r="M3271" s="21"/>
    </row>
    <row r="3272" spans="13:13" x14ac:dyDescent="0.25">
      <c r="M3272" s="21"/>
    </row>
    <row r="3273" spans="13:13" x14ac:dyDescent="0.25">
      <c r="M3273" s="21"/>
    </row>
    <row r="3274" spans="13:13" x14ac:dyDescent="0.25">
      <c r="M3274" s="21"/>
    </row>
    <row r="3275" spans="13:13" x14ac:dyDescent="0.25">
      <c r="M3275" s="21"/>
    </row>
    <row r="3276" spans="13:13" x14ac:dyDescent="0.25">
      <c r="M3276" s="21"/>
    </row>
    <row r="3277" spans="13:13" x14ac:dyDescent="0.25">
      <c r="M3277" s="21"/>
    </row>
    <row r="3278" spans="13:13" x14ac:dyDescent="0.25">
      <c r="M3278" s="21"/>
    </row>
    <row r="3279" spans="13:13" x14ac:dyDescent="0.25">
      <c r="M3279" s="21"/>
    </row>
    <row r="3280" spans="13:13" x14ac:dyDescent="0.25">
      <c r="M3280" s="21"/>
    </row>
    <row r="3281" spans="13:13" x14ac:dyDescent="0.25">
      <c r="M3281" s="21"/>
    </row>
    <row r="3282" spans="13:13" x14ac:dyDescent="0.25">
      <c r="M3282" s="21"/>
    </row>
    <row r="3283" spans="13:13" x14ac:dyDescent="0.25">
      <c r="M3283" s="21"/>
    </row>
    <row r="3284" spans="13:13" x14ac:dyDescent="0.25">
      <c r="M3284" s="21"/>
    </row>
    <row r="3285" spans="13:13" x14ac:dyDescent="0.25">
      <c r="M3285" s="21"/>
    </row>
    <row r="3286" spans="13:13" x14ac:dyDescent="0.25">
      <c r="M3286" s="21"/>
    </row>
    <row r="3287" spans="13:13" x14ac:dyDescent="0.25">
      <c r="M3287" s="21"/>
    </row>
    <row r="3288" spans="13:13" x14ac:dyDescent="0.25">
      <c r="M3288" s="21"/>
    </row>
    <row r="3289" spans="13:13" x14ac:dyDescent="0.25">
      <c r="M3289" s="21"/>
    </row>
    <row r="3290" spans="13:13" x14ac:dyDescent="0.25">
      <c r="M3290" s="21"/>
    </row>
    <row r="3291" spans="13:13" x14ac:dyDescent="0.25">
      <c r="M3291" s="21"/>
    </row>
    <row r="3292" spans="13:13" x14ac:dyDescent="0.25">
      <c r="M3292" s="21"/>
    </row>
    <row r="3293" spans="13:13" x14ac:dyDescent="0.25">
      <c r="M3293" s="21"/>
    </row>
    <row r="3294" spans="13:13" x14ac:dyDescent="0.25">
      <c r="M3294" s="21"/>
    </row>
    <row r="3295" spans="13:13" x14ac:dyDescent="0.25">
      <c r="M3295" s="21"/>
    </row>
    <row r="3296" spans="13:13" x14ac:dyDescent="0.25">
      <c r="M3296" s="21"/>
    </row>
    <row r="3297" spans="13:13" x14ac:dyDescent="0.25">
      <c r="M3297" s="21"/>
    </row>
    <row r="3298" spans="13:13" x14ac:dyDescent="0.25">
      <c r="M3298" s="21"/>
    </row>
    <row r="3299" spans="13:13" x14ac:dyDescent="0.25">
      <c r="M3299" s="21"/>
    </row>
    <row r="3300" spans="13:13" x14ac:dyDescent="0.25">
      <c r="M3300" s="21"/>
    </row>
    <row r="3301" spans="13:13" x14ac:dyDescent="0.25">
      <c r="M3301" s="21"/>
    </row>
    <row r="3302" spans="13:13" x14ac:dyDescent="0.25">
      <c r="M3302" s="21"/>
    </row>
    <row r="3303" spans="13:13" x14ac:dyDescent="0.25">
      <c r="M3303" s="21"/>
    </row>
    <row r="3304" spans="13:13" x14ac:dyDescent="0.25">
      <c r="M3304" s="21"/>
    </row>
    <row r="3305" spans="13:13" x14ac:dyDescent="0.25">
      <c r="M3305" s="21"/>
    </row>
    <row r="3306" spans="13:13" x14ac:dyDescent="0.25">
      <c r="M3306" s="21"/>
    </row>
    <row r="3307" spans="13:13" x14ac:dyDescent="0.25">
      <c r="M3307" s="21"/>
    </row>
    <row r="3308" spans="13:13" x14ac:dyDescent="0.25">
      <c r="M3308" s="21"/>
    </row>
    <row r="3309" spans="13:13" x14ac:dyDescent="0.25">
      <c r="M3309" s="21"/>
    </row>
    <row r="3310" spans="13:13" x14ac:dyDescent="0.25">
      <c r="M3310" s="21"/>
    </row>
    <row r="3311" spans="13:13" x14ac:dyDescent="0.25">
      <c r="M3311" s="21"/>
    </row>
    <row r="3312" spans="13:13" x14ac:dyDescent="0.25">
      <c r="M3312" s="21"/>
    </row>
    <row r="3313" spans="13:13" x14ac:dyDescent="0.25">
      <c r="M3313" s="21"/>
    </row>
    <row r="3314" spans="13:13" x14ac:dyDescent="0.25">
      <c r="M3314" s="21"/>
    </row>
    <row r="3315" spans="13:13" x14ac:dyDescent="0.25">
      <c r="M3315" s="21"/>
    </row>
    <row r="3316" spans="13:13" x14ac:dyDescent="0.25">
      <c r="M3316" s="21"/>
    </row>
    <row r="3317" spans="13:13" x14ac:dyDescent="0.25">
      <c r="M3317" s="21"/>
    </row>
    <row r="3318" spans="13:13" x14ac:dyDescent="0.25">
      <c r="M3318" s="21"/>
    </row>
    <row r="3319" spans="13:13" x14ac:dyDescent="0.25">
      <c r="M3319" s="21"/>
    </row>
    <row r="3320" spans="13:13" x14ac:dyDescent="0.25">
      <c r="M3320" s="21"/>
    </row>
    <row r="3321" spans="13:13" x14ac:dyDescent="0.25">
      <c r="M3321" s="21"/>
    </row>
    <row r="3322" spans="13:13" x14ac:dyDescent="0.25">
      <c r="M3322" s="21"/>
    </row>
    <row r="3323" spans="13:13" x14ac:dyDescent="0.25">
      <c r="M3323" s="21"/>
    </row>
    <row r="3324" spans="13:13" x14ac:dyDescent="0.25">
      <c r="M3324" s="21"/>
    </row>
    <row r="3325" spans="13:13" x14ac:dyDescent="0.25">
      <c r="M3325" s="21"/>
    </row>
    <row r="3326" spans="13:13" x14ac:dyDescent="0.25">
      <c r="M3326" s="21"/>
    </row>
    <row r="3327" spans="13:13" x14ac:dyDescent="0.25">
      <c r="M3327" s="21"/>
    </row>
    <row r="3328" spans="13:13" x14ac:dyDescent="0.25">
      <c r="M3328" s="21"/>
    </row>
    <row r="3329" spans="13:13" x14ac:dyDescent="0.25">
      <c r="M3329" s="21"/>
    </row>
    <row r="3330" spans="13:13" x14ac:dyDescent="0.25">
      <c r="M3330" s="21"/>
    </row>
    <row r="3331" spans="13:13" x14ac:dyDescent="0.25">
      <c r="M3331" s="21"/>
    </row>
    <row r="3332" spans="13:13" x14ac:dyDescent="0.25">
      <c r="M3332" s="21"/>
    </row>
    <row r="3333" spans="13:13" x14ac:dyDescent="0.25">
      <c r="M3333" s="21"/>
    </row>
    <row r="3334" spans="13:13" x14ac:dyDescent="0.25">
      <c r="M3334" s="21"/>
    </row>
    <row r="3335" spans="13:13" x14ac:dyDescent="0.25">
      <c r="M3335" s="21"/>
    </row>
    <row r="3336" spans="13:13" x14ac:dyDescent="0.25">
      <c r="M3336" s="21"/>
    </row>
    <row r="3337" spans="13:13" x14ac:dyDescent="0.25">
      <c r="M3337" s="21"/>
    </row>
    <row r="3338" spans="13:13" x14ac:dyDescent="0.25">
      <c r="M3338" s="21"/>
    </row>
    <row r="3339" spans="13:13" x14ac:dyDescent="0.25">
      <c r="M3339" s="21"/>
    </row>
    <row r="3340" spans="13:13" x14ac:dyDescent="0.25">
      <c r="M3340" s="21"/>
    </row>
    <row r="3341" spans="13:13" x14ac:dyDescent="0.25">
      <c r="M3341" s="21"/>
    </row>
    <row r="3342" spans="13:13" x14ac:dyDescent="0.25">
      <c r="M3342" s="21"/>
    </row>
    <row r="3343" spans="13:13" x14ac:dyDescent="0.25">
      <c r="M3343" s="21"/>
    </row>
    <row r="3344" spans="13:13" x14ac:dyDescent="0.25">
      <c r="M3344" s="21"/>
    </row>
    <row r="3345" spans="13:13" x14ac:dyDescent="0.25">
      <c r="M3345" s="21"/>
    </row>
    <row r="3346" spans="13:13" x14ac:dyDescent="0.25">
      <c r="M3346" s="21"/>
    </row>
    <row r="3347" spans="13:13" x14ac:dyDescent="0.25">
      <c r="M3347" s="21"/>
    </row>
    <row r="3348" spans="13:13" x14ac:dyDescent="0.25">
      <c r="M3348" s="21"/>
    </row>
    <row r="3349" spans="13:13" x14ac:dyDescent="0.25">
      <c r="M3349" s="21"/>
    </row>
    <row r="3350" spans="13:13" x14ac:dyDescent="0.25">
      <c r="M3350" s="21"/>
    </row>
    <row r="3351" spans="13:13" x14ac:dyDescent="0.25">
      <c r="M3351" s="21"/>
    </row>
    <row r="3352" spans="13:13" x14ac:dyDescent="0.25">
      <c r="M3352" s="21"/>
    </row>
    <row r="3353" spans="13:13" x14ac:dyDescent="0.25">
      <c r="M3353" s="21"/>
    </row>
    <row r="3354" spans="13:13" x14ac:dyDescent="0.25">
      <c r="M3354" s="21"/>
    </row>
    <row r="3355" spans="13:13" x14ac:dyDescent="0.25">
      <c r="M3355" s="21"/>
    </row>
    <row r="3356" spans="13:13" x14ac:dyDescent="0.25">
      <c r="M3356" s="21"/>
    </row>
    <row r="3357" spans="13:13" x14ac:dyDescent="0.25">
      <c r="M3357" s="21"/>
    </row>
    <row r="3358" spans="13:13" x14ac:dyDescent="0.25">
      <c r="M3358" s="21"/>
    </row>
    <row r="3359" spans="13:13" x14ac:dyDescent="0.25">
      <c r="M3359" s="21"/>
    </row>
    <row r="3360" spans="13:13" x14ac:dyDescent="0.25">
      <c r="M3360" s="21"/>
    </row>
    <row r="3361" spans="13:13" x14ac:dyDescent="0.25">
      <c r="M3361" s="21"/>
    </row>
    <row r="3362" spans="13:13" x14ac:dyDescent="0.25">
      <c r="M3362" s="21"/>
    </row>
    <row r="3363" spans="13:13" x14ac:dyDescent="0.25">
      <c r="M3363" s="21"/>
    </row>
    <row r="3364" spans="13:13" x14ac:dyDescent="0.25">
      <c r="M3364" s="21"/>
    </row>
    <row r="3365" spans="13:13" x14ac:dyDescent="0.25">
      <c r="M3365" s="21"/>
    </row>
    <row r="3366" spans="13:13" x14ac:dyDescent="0.25">
      <c r="M3366" s="21"/>
    </row>
    <row r="3367" spans="13:13" x14ac:dyDescent="0.25">
      <c r="M3367" s="21"/>
    </row>
    <row r="3368" spans="13:13" x14ac:dyDescent="0.25">
      <c r="M3368" s="21"/>
    </row>
    <row r="3369" spans="13:13" x14ac:dyDescent="0.25">
      <c r="M3369" s="21"/>
    </row>
    <row r="3370" spans="13:13" x14ac:dyDescent="0.25">
      <c r="M3370" s="21"/>
    </row>
    <row r="3371" spans="13:13" x14ac:dyDescent="0.25">
      <c r="M3371" s="21"/>
    </row>
    <row r="3372" spans="13:13" x14ac:dyDescent="0.25">
      <c r="M3372" s="21"/>
    </row>
    <row r="3373" spans="13:13" x14ac:dyDescent="0.25">
      <c r="M3373" s="21"/>
    </row>
    <row r="3374" spans="13:13" x14ac:dyDescent="0.25">
      <c r="M3374" s="21"/>
    </row>
    <row r="3375" spans="13:13" x14ac:dyDescent="0.25">
      <c r="M3375" s="21"/>
    </row>
    <row r="3376" spans="13:13" x14ac:dyDescent="0.25">
      <c r="M3376" s="21"/>
    </row>
    <row r="3377" spans="13:13" x14ac:dyDescent="0.25">
      <c r="M3377" s="21"/>
    </row>
    <row r="3378" spans="13:13" x14ac:dyDescent="0.25">
      <c r="M3378" s="21"/>
    </row>
    <row r="3379" spans="13:13" x14ac:dyDescent="0.25">
      <c r="M3379" s="21"/>
    </row>
    <row r="3380" spans="13:13" x14ac:dyDescent="0.25">
      <c r="M3380" s="21"/>
    </row>
    <row r="3381" spans="13:13" x14ac:dyDescent="0.25">
      <c r="M3381" s="21"/>
    </row>
    <row r="3382" spans="13:13" x14ac:dyDescent="0.25">
      <c r="M3382" s="21"/>
    </row>
    <row r="3383" spans="13:13" x14ac:dyDescent="0.25">
      <c r="M3383" s="21"/>
    </row>
    <row r="3384" spans="13:13" x14ac:dyDescent="0.25">
      <c r="M3384" s="21"/>
    </row>
    <row r="3385" spans="13:13" x14ac:dyDescent="0.25">
      <c r="M3385" s="21"/>
    </row>
    <row r="3386" spans="13:13" x14ac:dyDescent="0.25">
      <c r="M3386" s="21"/>
    </row>
    <row r="3387" spans="13:13" x14ac:dyDescent="0.25">
      <c r="M3387" s="21"/>
    </row>
    <row r="3388" spans="13:13" x14ac:dyDescent="0.25">
      <c r="M3388" s="21"/>
    </row>
    <row r="3389" spans="13:13" x14ac:dyDescent="0.25">
      <c r="M3389" s="21"/>
    </row>
    <row r="3390" spans="13:13" x14ac:dyDescent="0.25">
      <c r="M3390" s="21"/>
    </row>
    <row r="3391" spans="13:13" x14ac:dyDescent="0.25">
      <c r="M3391" s="21"/>
    </row>
    <row r="3392" spans="13:13" x14ac:dyDescent="0.25">
      <c r="M3392" s="21"/>
    </row>
    <row r="3393" spans="13:13" x14ac:dyDescent="0.25">
      <c r="M3393" s="21"/>
    </row>
    <row r="3394" spans="13:13" x14ac:dyDescent="0.25">
      <c r="M3394" s="21"/>
    </row>
    <row r="3395" spans="13:13" x14ac:dyDescent="0.25">
      <c r="M3395" s="21"/>
    </row>
    <row r="3396" spans="13:13" x14ac:dyDescent="0.25">
      <c r="M3396" s="21"/>
    </row>
    <row r="3397" spans="13:13" x14ac:dyDescent="0.25">
      <c r="M3397" s="21"/>
    </row>
    <row r="3398" spans="13:13" x14ac:dyDescent="0.25">
      <c r="M3398" s="21"/>
    </row>
    <row r="3399" spans="13:13" x14ac:dyDescent="0.25">
      <c r="M3399" s="21"/>
    </row>
    <row r="3400" spans="13:13" x14ac:dyDescent="0.25">
      <c r="M3400" s="21"/>
    </row>
    <row r="3401" spans="13:13" x14ac:dyDescent="0.25">
      <c r="M3401" s="21"/>
    </row>
    <row r="3402" spans="13:13" x14ac:dyDescent="0.25">
      <c r="M3402" s="21"/>
    </row>
    <row r="3403" spans="13:13" x14ac:dyDescent="0.25">
      <c r="M3403" s="21"/>
    </row>
    <row r="3404" spans="13:13" x14ac:dyDescent="0.25">
      <c r="M3404" s="21"/>
    </row>
    <row r="3405" spans="13:13" x14ac:dyDescent="0.25">
      <c r="M3405" s="21"/>
    </row>
    <row r="3406" spans="13:13" x14ac:dyDescent="0.25">
      <c r="M3406" s="21"/>
    </row>
    <row r="3407" spans="13:13" x14ac:dyDescent="0.25">
      <c r="M3407" s="21"/>
    </row>
    <row r="3408" spans="13:13" x14ac:dyDescent="0.25">
      <c r="M3408" s="21"/>
    </row>
    <row r="3409" spans="13:13" x14ac:dyDescent="0.25">
      <c r="M3409" s="21"/>
    </row>
    <row r="3410" spans="13:13" x14ac:dyDescent="0.25">
      <c r="M3410" s="21"/>
    </row>
    <row r="3411" spans="13:13" x14ac:dyDescent="0.25">
      <c r="M3411" s="21"/>
    </row>
    <row r="3412" spans="13:13" x14ac:dyDescent="0.25">
      <c r="M3412" s="21"/>
    </row>
    <row r="3413" spans="13:13" x14ac:dyDescent="0.25">
      <c r="M3413" s="21"/>
    </row>
    <row r="3414" spans="13:13" x14ac:dyDescent="0.25">
      <c r="M3414" s="21"/>
    </row>
    <row r="3415" spans="13:13" x14ac:dyDescent="0.25">
      <c r="M3415" s="21"/>
    </row>
    <row r="3416" spans="13:13" x14ac:dyDescent="0.25">
      <c r="M3416" s="21"/>
    </row>
    <row r="3417" spans="13:13" x14ac:dyDescent="0.25">
      <c r="M3417" s="21"/>
    </row>
    <row r="3418" spans="13:13" x14ac:dyDescent="0.25">
      <c r="M3418" s="21"/>
    </row>
    <row r="3419" spans="13:13" x14ac:dyDescent="0.25">
      <c r="M3419" s="21"/>
    </row>
    <row r="3420" spans="13:13" x14ac:dyDescent="0.25">
      <c r="M3420" s="21"/>
    </row>
    <row r="3421" spans="13:13" x14ac:dyDescent="0.25">
      <c r="M3421" s="21"/>
    </row>
    <row r="3422" spans="13:13" x14ac:dyDescent="0.25">
      <c r="M3422" s="21"/>
    </row>
    <row r="3423" spans="13:13" x14ac:dyDescent="0.25">
      <c r="M3423" s="21"/>
    </row>
    <row r="3424" spans="13:13" x14ac:dyDescent="0.25">
      <c r="M3424" s="21"/>
    </row>
    <row r="3425" spans="13:13" x14ac:dyDescent="0.25">
      <c r="M3425" s="21"/>
    </row>
    <row r="3426" spans="13:13" x14ac:dyDescent="0.25">
      <c r="M3426" s="21"/>
    </row>
    <row r="3427" spans="13:13" x14ac:dyDescent="0.25">
      <c r="M3427" s="21"/>
    </row>
    <row r="3428" spans="13:13" x14ac:dyDescent="0.25">
      <c r="M3428" s="21"/>
    </row>
    <row r="3429" spans="13:13" x14ac:dyDescent="0.25">
      <c r="M3429" s="21"/>
    </row>
    <row r="3430" spans="13:13" x14ac:dyDescent="0.25">
      <c r="M3430" s="21"/>
    </row>
    <row r="3431" spans="13:13" x14ac:dyDescent="0.25">
      <c r="M3431" s="21"/>
    </row>
    <row r="3432" spans="13:13" x14ac:dyDescent="0.25">
      <c r="M3432" s="21"/>
    </row>
    <row r="3433" spans="13:13" x14ac:dyDescent="0.25">
      <c r="M3433" s="21"/>
    </row>
    <row r="3434" spans="13:13" x14ac:dyDescent="0.25">
      <c r="M3434" s="21"/>
    </row>
    <row r="3435" spans="13:13" x14ac:dyDescent="0.25">
      <c r="M3435" s="21"/>
    </row>
    <row r="3436" spans="13:13" x14ac:dyDescent="0.25">
      <c r="M3436" s="21"/>
    </row>
    <row r="3437" spans="13:13" x14ac:dyDescent="0.25">
      <c r="M3437" s="21"/>
    </row>
    <row r="3438" spans="13:13" x14ac:dyDescent="0.25">
      <c r="M3438" s="21"/>
    </row>
    <row r="3439" spans="13:13" x14ac:dyDescent="0.25">
      <c r="M3439" s="21"/>
    </row>
    <row r="3440" spans="13:13" x14ac:dyDescent="0.25">
      <c r="M3440" s="21"/>
    </row>
    <row r="3441" spans="13:13" x14ac:dyDescent="0.25">
      <c r="M3441" s="21"/>
    </row>
    <row r="3442" spans="13:13" x14ac:dyDescent="0.25">
      <c r="M3442" s="21"/>
    </row>
    <row r="3443" spans="13:13" x14ac:dyDescent="0.25">
      <c r="M3443" s="21"/>
    </row>
    <row r="3444" spans="13:13" x14ac:dyDescent="0.25">
      <c r="M3444" s="21"/>
    </row>
    <row r="3445" spans="13:13" x14ac:dyDescent="0.25">
      <c r="M3445" s="21"/>
    </row>
    <row r="3446" spans="13:13" x14ac:dyDescent="0.25">
      <c r="M3446" s="21"/>
    </row>
    <row r="3447" spans="13:13" x14ac:dyDescent="0.25">
      <c r="M3447" s="21"/>
    </row>
    <row r="3448" spans="13:13" x14ac:dyDescent="0.25">
      <c r="M3448" s="21"/>
    </row>
    <row r="3449" spans="13:13" x14ac:dyDescent="0.25">
      <c r="M3449" s="21"/>
    </row>
    <row r="3450" spans="13:13" x14ac:dyDescent="0.25">
      <c r="M3450" s="21"/>
    </row>
    <row r="3451" spans="13:13" x14ac:dyDescent="0.25">
      <c r="M3451" s="21"/>
    </row>
    <row r="3452" spans="13:13" x14ac:dyDescent="0.25">
      <c r="M3452" s="21"/>
    </row>
    <row r="3453" spans="13:13" x14ac:dyDescent="0.25">
      <c r="M3453" s="21"/>
    </row>
    <row r="3454" spans="13:13" x14ac:dyDescent="0.25">
      <c r="M3454" s="21"/>
    </row>
    <row r="3455" spans="13:13" x14ac:dyDescent="0.25">
      <c r="M3455" s="21"/>
    </row>
    <row r="3456" spans="13:13" x14ac:dyDescent="0.25">
      <c r="M3456" s="21"/>
    </row>
    <row r="3457" spans="13:13" x14ac:dyDescent="0.25">
      <c r="M3457" s="21"/>
    </row>
    <row r="3458" spans="13:13" x14ac:dyDescent="0.25">
      <c r="M3458" s="21"/>
    </row>
    <row r="3459" spans="13:13" x14ac:dyDescent="0.25">
      <c r="M3459" s="21"/>
    </row>
    <row r="3460" spans="13:13" x14ac:dyDescent="0.25">
      <c r="M3460" s="21"/>
    </row>
    <row r="3461" spans="13:13" x14ac:dyDescent="0.25">
      <c r="M3461" s="21"/>
    </row>
    <row r="3462" spans="13:13" x14ac:dyDescent="0.25">
      <c r="M3462" s="21"/>
    </row>
    <row r="3463" spans="13:13" x14ac:dyDescent="0.25">
      <c r="M3463" s="21"/>
    </row>
    <row r="3464" spans="13:13" x14ac:dyDescent="0.25">
      <c r="M3464" s="21"/>
    </row>
    <row r="3465" spans="13:13" x14ac:dyDescent="0.25">
      <c r="M3465" s="21"/>
    </row>
    <row r="3466" spans="13:13" x14ac:dyDescent="0.25">
      <c r="M3466" s="21"/>
    </row>
    <row r="3467" spans="13:13" x14ac:dyDescent="0.25">
      <c r="M3467" s="21"/>
    </row>
    <row r="3468" spans="13:13" x14ac:dyDescent="0.25">
      <c r="M3468" s="21"/>
    </row>
    <row r="3469" spans="13:13" x14ac:dyDescent="0.25">
      <c r="M3469" s="21"/>
    </row>
    <row r="3470" spans="13:13" x14ac:dyDescent="0.25">
      <c r="M3470" s="21"/>
    </row>
    <row r="3471" spans="13:13" x14ac:dyDescent="0.25">
      <c r="M3471" s="21"/>
    </row>
    <row r="3472" spans="13:13" x14ac:dyDescent="0.25">
      <c r="M3472" s="21"/>
    </row>
    <row r="3473" spans="13:13" x14ac:dyDescent="0.25">
      <c r="M3473" s="21"/>
    </row>
    <row r="3474" spans="13:13" x14ac:dyDescent="0.25">
      <c r="M3474" s="21"/>
    </row>
    <row r="3475" spans="13:13" x14ac:dyDescent="0.25">
      <c r="M3475" s="21"/>
    </row>
    <row r="3476" spans="13:13" x14ac:dyDescent="0.25">
      <c r="M3476" s="21"/>
    </row>
    <row r="3477" spans="13:13" x14ac:dyDescent="0.25">
      <c r="M3477" s="21"/>
    </row>
    <row r="3478" spans="13:13" x14ac:dyDescent="0.25">
      <c r="M3478" s="21"/>
    </row>
    <row r="3479" spans="13:13" x14ac:dyDescent="0.25">
      <c r="M3479" s="21"/>
    </row>
    <row r="3480" spans="13:13" x14ac:dyDescent="0.25">
      <c r="M3480" s="21"/>
    </row>
    <row r="3481" spans="13:13" x14ac:dyDescent="0.25">
      <c r="M3481" s="21"/>
    </row>
    <row r="3482" spans="13:13" x14ac:dyDescent="0.25">
      <c r="M3482" s="21"/>
    </row>
    <row r="3483" spans="13:13" x14ac:dyDescent="0.25">
      <c r="M3483" s="21"/>
    </row>
    <row r="3484" spans="13:13" x14ac:dyDescent="0.25">
      <c r="M3484" s="21"/>
    </row>
    <row r="3485" spans="13:13" x14ac:dyDescent="0.25">
      <c r="M3485" s="21"/>
    </row>
    <row r="3486" spans="13:13" x14ac:dyDescent="0.25">
      <c r="M3486" s="21"/>
    </row>
    <row r="3487" spans="13:13" x14ac:dyDescent="0.25">
      <c r="M3487" s="21"/>
    </row>
    <row r="3488" spans="13:13" x14ac:dyDescent="0.25">
      <c r="M3488" s="21"/>
    </row>
    <row r="3489" spans="13:13" x14ac:dyDescent="0.25">
      <c r="M3489" s="21"/>
    </row>
    <row r="3490" spans="13:13" x14ac:dyDescent="0.25">
      <c r="M3490" s="21"/>
    </row>
    <row r="3491" spans="13:13" x14ac:dyDescent="0.25">
      <c r="M3491" s="21"/>
    </row>
    <row r="3492" spans="13:13" x14ac:dyDescent="0.25">
      <c r="M3492" s="21"/>
    </row>
    <row r="3493" spans="13:13" x14ac:dyDescent="0.25">
      <c r="M3493" s="21"/>
    </row>
    <row r="3494" spans="13:13" x14ac:dyDescent="0.25">
      <c r="M3494" s="21"/>
    </row>
    <row r="3495" spans="13:13" x14ac:dyDescent="0.25">
      <c r="M3495" s="21"/>
    </row>
    <row r="3496" spans="13:13" x14ac:dyDescent="0.25">
      <c r="M3496" s="21"/>
    </row>
    <row r="3497" spans="13:13" x14ac:dyDescent="0.25">
      <c r="M3497" s="21"/>
    </row>
    <row r="3498" spans="13:13" x14ac:dyDescent="0.25">
      <c r="M3498" s="21"/>
    </row>
    <row r="3499" spans="13:13" x14ac:dyDescent="0.25">
      <c r="M3499" s="21"/>
    </row>
    <row r="3500" spans="13:13" x14ac:dyDescent="0.25">
      <c r="M3500" s="21"/>
    </row>
    <row r="3501" spans="13:13" x14ac:dyDescent="0.25">
      <c r="M3501" s="21"/>
    </row>
    <row r="3502" spans="13:13" x14ac:dyDescent="0.25">
      <c r="M3502" s="21"/>
    </row>
    <row r="3503" spans="13:13" x14ac:dyDescent="0.25">
      <c r="M3503" s="21"/>
    </row>
    <row r="3504" spans="13:13" x14ac:dyDescent="0.25">
      <c r="M3504" s="21"/>
    </row>
    <row r="3505" spans="13:13" x14ac:dyDescent="0.25">
      <c r="M3505" s="21"/>
    </row>
    <row r="3506" spans="13:13" x14ac:dyDescent="0.25">
      <c r="M3506" s="21"/>
    </row>
    <row r="3507" spans="13:13" x14ac:dyDescent="0.25">
      <c r="M3507" s="21"/>
    </row>
    <row r="3508" spans="13:13" x14ac:dyDescent="0.25">
      <c r="M3508" s="21"/>
    </row>
    <row r="3509" spans="13:13" x14ac:dyDescent="0.25">
      <c r="M3509" s="21"/>
    </row>
    <row r="3510" spans="13:13" x14ac:dyDescent="0.25">
      <c r="M3510" s="21"/>
    </row>
    <row r="3511" spans="13:13" x14ac:dyDescent="0.25">
      <c r="M3511" s="21"/>
    </row>
    <row r="3512" spans="13:13" x14ac:dyDescent="0.25">
      <c r="M3512" s="21"/>
    </row>
    <row r="3513" spans="13:13" x14ac:dyDescent="0.25">
      <c r="M3513" s="21"/>
    </row>
    <row r="3514" spans="13:13" x14ac:dyDescent="0.25">
      <c r="M3514" s="21"/>
    </row>
    <row r="3515" spans="13:13" x14ac:dyDescent="0.25">
      <c r="M3515" s="21"/>
    </row>
    <row r="3516" spans="13:13" x14ac:dyDescent="0.25">
      <c r="M3516" s="21"/>
    </row>
    <row r="3517" spans="13:13" x14ac:dyDescent="0.25">
      <c r="M3517" s="21"/>
    </row>
    <row r="3518" spans="13:13" x14ac:dyDescent="0.25">
      <c r="M3518" s="21"/>
    </row>
    <row r="3519" spans="13:13" x14ac:dyDescent="0.25">
      <c r="M3519" s="21"/>
    </row>
    <row r="3520" spans="13:13" x14ac:dyDescent="0.25">
      <c r="M3520" s="21"/>
    </row>
    <row r="3521" spans="13:13" x14ac:dyDescent="0.25">
      <c r="M3521" s="21"/>
    </row>
    <row r="3522" spans="13:13" x14ac:dyDescent="0.25">
      <c r="M3522" s="21"/>
    </row>
    <row r="3523" spans="13:13" x14ac:dyDescent="0.25">
      <c r="M3523" s="21"/>
    </row>
    <row r="3524" spans="13:13" x14ac:dyDescent="0.25">
      <c r="M3524" s="21"/>
    </row>
    <row r="3525" spans="13:13" x14ac:dyDescent="0.25">
      <c r="M3525" s="21"/>
    </row>
    <row r="3526" spans="13:13" x14ac:dyDescent="0.25">
      <c r="M3526" s="21"/>
    </row>
    <row r="3527" spans="13:13" x14ac:dyDescent="0.25">
      <c r="M3527" s="21"/>
    </row>
    <row r="3528" spans="13:13" x14ac:dyDescent="0.25">
      <c r="M3528" s="21"/>
    </row>
    <row r="3529" spans="13:13" x14ac:dyDescent="0.25">
      <c r="M3529" s="21"/>
    </row>
    <row r="3530" spans="13:13" x14ac:dyDescent="0.25">
      <c r="M3530" s="21"/>
    </row>
    <row r="3531" spans="13:13" x14ac:dyDescent="0.25">
      <c r="M3531" s="21"/>
    </row>
    <row r="3532" spans="13:13" x14ac:dyDescent="0.25">
      <c r="M3532" s="21"/>
    </row>
    <row r="3533" spans="13:13" x14ac:dyDescent="0.25">
      <c r="M3533" s="21"/>
    </row>
    <row r="3534" spans="13:13" x14ac:dyDescent="0.25">
      <c r="M3534" s="21"/>
    </row>
    <row r="3535" spans="13:13" x14ac:dyDescent="0.25">
      <c r="M3535" s="21"/>
    </row>
    <row r="3536" spans="13:13" x14ac:dyDescent="0.25">
      <c r="M3536" s="21"/>
    </row>
    <row r="3537" spans="13:13" x14ac:dyDescent="0.25">
      <c r="M3537" s="21"/>
    </row>
    <row r="3538" spans="13:13" x14ac:dyDescent="0.25">
      <c r="M3538" s="21"/>
    </row>
    <row r="3539" spans="13:13" x14ac:dyDescent="0.25">
      <c r="M3539" s="21"/>
    </row>
    <row r="3540" spans="13:13" x14ac:dyDescent="0.25">
      <c r="M3540" s="21"/>
    </row>
    <row r="3541" spans="13:13" x14ac:dyDescent="0.25">
      <c r="M3541" s="21"/>
    </row>
    <row r="3542" spans="13:13" x14ac:dyDescent="0.25">
      <c r="M3542" s="21"/>
    </row>
    <row r="3543" spans="13:13" x14ac:dyDescent="0.25">
      <c r="M3543" s="21"/>
    </row>
    <row r="3544" spans="13:13" x14ac:dyDescent="0.25">
      <c r="M3544" s="21"/>
    </row>
    <row r="3545" spans="13:13" x14ac:dyDescent="0.25">
      <c r="M3545" s="21"/>
    </row>
    <row r="3546" spans="13:13" x14ac:dyDescent="0.25">
      <c r="M3546" s="21"/>
    </row>
    <row r="3547" spans="13:13" x14ac:dyDescent="0.25">
      <c r="M3547" s="21"/>
    </row>
    <row r="3548" spans="13:13" x14ac:dyDescent="0.25">
      <c r="M3548" s="21"/>
    </row>
    <row r="3549" spans="13:13" x14ac:dyDescent="0.25">
      <c r="M3549" s="21"/>
    </row>
    <row r="3550" spans="13:13" x14ac:dyDescent="0.25">
      <c r="M3550" s="21"/>
    </row>
    <row r="3551" spans="13:13" x14ac:dyDescent="0.25">
      <c r="M3551" s="21"/>
    </row>
    <row r="3552" spans="13:13" x14ac:dyDescent="0.25">
      <c r="M3552" s="21"/>
    </row>
    <row r="3553" spans="13:13" x14ac:dyDescent="0.25">
      <c r="M3553" s="21"/>
    </row>
    <row r="3554" spans="13:13" x14ac:dyDescent="0.25">
      <c r="M3554" s="21"/>
    </row>
    <row r="3555" spans="13:13" x14ac:dyDescent="0.25">
      <c r="M3555" s="21"/>
    </row>
    <row r="3556" spans="13:13" x14ac:dyDescent="0.25">
      <c r="M3556" s="21"/>
    </row>
    <row r="3557" spans="13:13" x14ac:dyDescent="0.25">
      <c r="M3557" s="21"/>
    </row>
    <row r="3558" spans="13:13" x14ac:dyDescent="0.25">
      <c r="M3558" s="21"/>
    </row>
    <row r="3559" spans="13:13" x14ac:dyDescent="0.25">
      <c r="M3559" s="21"/>
    </row>
    <row r="3560" spans="13:13" x14ac:dyDescent="0.25">
      <c r="M3560" s="21"/>
    </row>
    <row r="3561" spans="13:13" x14ac:dyDescent="0.25">
      <c r="M3561" s="21"/>
    </row>
    <row r="3562" spans="13:13" x14ac:dyDescent="0.25">
      <c r="M3562" s="21"/>
    </row>
    <row r="3563" spans="13:13" x14ac:dyDescent="0.25">
      <c r="M3563" s="21"/>
    </row>
    <row r="3564" spans="13:13" x14ac:dyDescent="0.25">
      <c r="M3564" s="21"/>
    </row>
    <row r="3565" spans="13:13" x14ac:dyDescent="0.25">
      <c r="M3565" s="21"/>
    </row>
    <row r="3566" spans="13:13" x14ac:dyDescent="0.25">
      <c r="M3566" s="21"/>
    </row>
    <row r="3567" spans="13:13" x14ac:dyDescent="0.25">
      <c r="M3567" s="21"/>
    </row>
    <row r="3568" spans="13:13" x14ac:dyDescent="0.25">
      <c r="M3568" s="21"/>
    </row>
    <row r="3569" spans="13:13" x14ac:dyDescent="0.25">
      <c r="M3569" s="21"/>
    </row>
    <row r="3570" spans="13:13" x14ac:dyDescent="0.25">
      <c r="M3570" s="21"/>
    </row>
    <row r="3571" spans="13:13" x14ac:dyDescent="0.25">
      <c r="M3571" s="21"/>
    </row>
    <row r="3572" spans="13:13" x14ac:dyDescent="0.25">
      <c r="M3572" s="21"/>
    </row>
    <row r="3573" spans="13:13" x14ac:dyDescent="0.25">
      <c r="M3573" s="21"/>
    </row>
    <row r="3574" spans="13:13" x14ac:dyDescent="0.25">
      <c r="M3574" s="21"/>
    </row>
    <row r="3575" spans="13:13" x14ac:dyDescent="0.25">
      <c r="M3575" s="21"/>
    </row>
    <row r="3576" spans="13:13" x14ac:dyDescent="0.25">
      <c r="M3576" s="21"/>
    </row>
    <row r="3577" spans="13:13" x14ac:dyDescent="0.25">
      <c r="M3577" s="21"/>
    </row>
    <row r="3578" spans="13:13" x14ac:dyDescent="0.25">
      <c r="M3578" s="21"/>
    </row>
    <row r="3579" spans="13:13" x14ac:dyDescent="0.25">
      <c r="M3579" s="21"/>
    </row>
    <row r="3580" spans="13:13" x14ac:dyDescent="0.25">
      <c r="M3580" s="21"/>
    </row>
    <row r="3581" spans="13:13" x14ac:dyDescent="0.25">
      <c r="M3581" s="21"/>
    </row>
    <row r="3582" spans="13:13" x14ac:dyDescent="0.25">
      <c r="M3582" s="21"/>
    </row>
    <row r="3583" spans="13:13" x14ac:dyDescent="0.25">
      <c r="M3583" s="21"/>
    </row>
    <row r="3584" spans="13:13" x14ac:dyDescent="0.25">
      <c r="M3584" s="21"/>
    </row>
    <row r="3585" spans="13:13" x14ac:dyDescent="0.25">
      <c r="M3585" s="21"/>
    </row>
    <row r="3586" spans="13:13" x14ac:dyDescent="0.25">
      <c r="M3586" s="21"/>
    </row>
    <row r="3587" spans="13:13" x14ac:dyDescent="0.25">
      <c r="M3587" s="21"/>
    </row>
    <row r="3588" spans="13:13" x14ac:dyDescent="0.25">
      <c r="M3588" s="21"/>
    </row>
    <row r="3589" spans="13:13" x14ac:dyDescent="0.25">
      <c r="M3589" s="21"/>
    </row>
    <row r="3590" spans="13:13" x14ac:dyDescent="0.25">
      <c r="M3590" s="21"/>
    </row>
    <row r="3591" spans="13:13" x14ac:dyDescent="0.25">
      <c r="M3591" s="21"/>
    </row>
    <row r="3592" spans="13:13" x14ac:dyDescent="0.25">
      <c r="M3592" s="21"/>
    </row>
    <row r="3593" spans="13:13" x14ac:dyDescent="0.25">
      <c r="M3593" s="21"/>
    </row>
    <row r="3594" spans="13:13" x14ac:dyDescent="0.25">
      <c r="M3594" s="21"/>
    </row>
    <row r="3595" spans="13:13" x14ac:dyDescent="0.25">
      <c r="M3595" s="21"/>
    </row>
    <row r="3596" spans="13:13" x14ac:dyDescent="0.25">
      <c r="M3596" s="21"/>
    </row>
    <row r="3597" spans="13:13" x14ac:dyDescent="0.25">
      <c r="M3597" s="21"/>
    </row>
    <row r="3598" spans="13:13" x14ac:dyDescent="0.25">
      <c r="M3598" s="21"/>
    </row>
    <row r="3599" spans="13:13" x14ac:dyDescent="0.25">
      <c r="M3599" s="21"/>
    </row>
    <row r="3600" spans="13:13" x14ac:dyDescent="0.25">
      <c r="M3600" s="21"/>
    </row>
    <row r="3601" spans="13:13" x14ac:dyDescent="0.25">
      <c r="M3601" s="21"/>
    </row>
    <row r="3602" spans="13:13" x14ac:dyDescent="0.25">
      <c r="M3602" s="21"/>
    </row>
    <row r="3603" spans="13:13" x14ac:dyDescent="0.25">
      <c r="M3603" s="21"/>
    </row>
    <row r="3604" spans="13:13" x14ac:dyDescent="0.25">
      <c r="M3604" s="21"/>
    </row>
    <row r="3605" spans="13:13" x14ac:dyDescent="0.25">
      <c r="M3605" s="21"/>
    </row>
    <row r="3606" spans="13:13" x14ac:dyDescent="0.25">
      <c r="M3606" s="21"/>
    </row>
    <row r="3607" spans="13:13" x14ac:dyDescent="0.25">
      <c r="M3607" s="21"/>
    </row>
    <row r="3608" spans="13:13" x14ac:dyDescent="0.25">
      <c r="M3608" s="21"/>
    </row>
    <row r="3609" spans="13:13" x14ac:dyDescent="0.25">
      <c r="M3609" s="21"/>
    </row>
    <row r="3610" spans="13:13" x14ac:dyDescent="0.25">
      <c r="M3610" s="21"/>
    </row>
    <row r="3611" spans="13:13" x14ac:dyDescent="0.25">
      <c r="M3611" s="21"/>
    </row>
    <row r="3612" spans="13:13" x14ac:dyDescent="0.25">
      <c r="M3612" s="21"/>
    </row>
    <row r="3613" spans="13:13" x14ac:dyDescent="0.25">
      <c r="M3613" s="21"/>
    </row>
    <row r="3614" spans="13:13" x14ac:dyDescent="0.25">
      <c r="M3614" s="21"/>
    </row>
    <row r="3615" spans="13:13" x14ac:dyDescent="0.25">
      <c r="M3615" s="21"/>
    </row>
    <row r="3616" spans="13:13" x14ac:dyDescent="0.25">
      <c r="M3616" s="21"/>
    </row>
    <row r="3617" spans="13:13" x14ac:dyDescent="0.25">
      <c r="M3617" s="21"/>
    </row>
    <row r="3618" spans="13:13" x14ac:dyDescent="0.25">
      <c r="M3618" s="21"/>
    </row>
    <row r="3619" spans="13:13" x14ac:dyDescent="0.25">
      <c r="M3619" s="21"/>
    </row>
    <row r="3620" spans="13:13" x14ac:dyDescent="0.25">
      <c r="M3620" s="21"/>
    </row>
    <row r="3621" spans="13:13" x14ac:dyDescent="0.25">
      <c r="M3621" s="21"/>
    </row>
    <row r="3622" spans="13:13" x14ac:dyDescent="0.25">
      <c r="M3622" s="21"/>
    </row>
    <row r="3623" spans="13:13" x14ac:dyDescent="0.25">
      <c r="M3623" s="21"/>
    </row>
    <row r="3624" spans="13:13" x14ac:dyDescent="0.25">
      <c r="M3624" s="21"/>
    </row>
    <row r="3625" spans="13:13" x14ac:dyDescent="0.25">
      <c r="M3625" s="21"/>
    </row>
    <row r="3626" spans="13:13" x14ac:dyDescent="0.25">
      <c r="M3626" s="21"/>
    </row>
    <row r="3627" spans="13:13" x14ac:dyDescent="0.25">
      <c r="M3627" s="21"/>
    </row>
    <row r="3628" spans="13:13" x14ac:dyDescent="0.25">
      <c r="M3628" s="21"/>
    </row>
    <row r="3629" spans="13:13" x14ac:dyDescent="0.25">
      <c r="M3629" s="21"/>
    </row>
    <row r="3630" spans="13:13" x14ac:dyDescent="0.25">
      <c r="M3630" s="21"/>
    </row>
    <row r="3631" spans="13:13" x14ac:dyDescent="0.25">
      <c r="M3631" s="21"/>
    </row>
    <row r="3632" spans="13:13" x14ac:dyDescent="0.25">
      <c r="M3632" s="21"/>
    </row>
    <row r="3633" spans="13:13" x14ac:dyDescent="0.25">
      <c r="M3633" s="21"/>
    </row>
    <row r="3634" spans="13:13" x14ac:dyDescent="0.25">
      <c r="M3634" s="21"/>
    </row>
    <row r="3635" spans="13:13" x14ac:dyDescent="0.25">
      <c r="M3635" s="21"/>
    </row>
    <row r="3636" spans="13:13" x14ac:dyDescent="0.25">
      <c r="M3636" s="21"/>
    </row>
    <row r="3637" spans="13:13" x14ac:dyDescent="0.25">
      <c r="M3637" s="21"/>
    </row>
    <row r="3638" spans="13:13" x14ac:dyDescent="0.25">
      <c r="M3638" s="21"/>
    </row>
    <row r="3639" spans="13:13" x14ac:dyDescent="0.25">
      <c r="M3639" s="21"/>
    </row>
    <row r="3640" spans="13:13" x14ac:dyDescent="0.25">
      <c r="M3640" s="21"/>
    </row>
    <row r="3641" spans="13:13" x14ac:dyDescent="0.25">
      <c r="M3641" s="21"/>
    </row>
    <row r="3642" spans="13:13" x14ac:dyDescent="0.25">
      <c r="M3642" s="21"/>
    </row>
    <row r="3643" spans="13:13" x14ac:dyDescent="0.25">
      <c r="M3643" s="21"/>
    </row>
    <row r="3644" spans="13:13" x14ac:dyDescent="0.25">
      <c r="M3644" s="21"/>
    </row>
    <row r="3645" spans="13:13" x14ac:dyDescent="0.25">
      <c r="M3645" s="21"/>
    </row>
    <row r="3646" spans="13:13" x14ac:dyDescent="0.25">
      <c r="M3646" s="21"/>
    </row>
    <row r="3647" spans="13:13" x14ac:dyDescent="0.25">
      <c r="M3647" s="21"/>
    </row>
    <row r="3648" spans="13:13" x14ac:dyDescent="0.25">
      <c r="M3648" s="21"/>
    </row>
    <row r="3649" spans="13:13" x14ac:dyDescent="0.25">
      <c r="M3649" s="21"/>
    </row>
    <row r="3650" spans="13:13" x14ac:dyDescent="0.25">
      <c r="M3650" s="21"/>
    </row>
    <row r="3651" spans="13:13" x14ac:dyDescent="0.25">
      <c r="M3651" s="21"/>
    </row>
    <row r="3652" spans="13:13" x14ac:dyDescent="0.25">
      <c r="M3652" s="21"/>
    </row>
    <row r="3653" spans="13:13" x14ac:dyDescent="0.25">
      <c r="M3653" s="21"/>
    </row>
    <row r="3654" spans="13:13" x14ac:dyDescent="0.25">
      <c r="M3654" s="21"/>
    </row>
    <row r="3655" spans="13:13" x14ac:dyDescent="0.25">
      <c r="M3655" s="21"/>
    </row>
    <row r="3656" spans="13:13" x14ac:dyDescent="0.25">
      <c r="M3656" s="21"/>
    </row>
    <row r="3657" spans="13:13" x14ac:dyDescent="0.25">
      <c r="M3657" s="21"/>
    </row>
    <row r="3658" spans="13:13" x14ac:dyDescent="0.25">
      <c r="M3658" s="21"/>
    </row>
    <row r="3659" spans="13:13" x14ac:dyDescent="0.25">
      <c r="M3659" s="21"/>
    </row>
    <row r="3660" spans="13:13" x14ac:dyDescent="0.25">
      <c r="M3660" s="21"/>
    </row>
    <row r="3661" spans="13:13" x14ac:dyDescent="0.25">
      <c r="M3661" s="21"/>
    </row>
    <row r="3662" spans="13:13" x14ac:dyDescent="0.25">
      <c r="M3662" s="21"/>
    </row>
    <row r="3663" spans="13:13" x14ac:dyDescent="0.25">
      <c r="M3663" s="21"/>
    </row>
    <row r="3664" spans="13:13" x14ac:dyDescent="0.25">
      <c r="M3664" s="21"/>
    </row>
    <row r="3665" spans="13:13" x14ac:dyDescent="0.25">
      <c r="M3665" s="21"/>
    </row>
    <row r="3666" spans="13:13" x14ac:dyDescent="0.25">
      <c r="M3666" s="21"/>
    </row>
    <row r="3667" spans="13:13" x14ac:dyDescent="0.25">
      <c r="M3667" s="21"/>
    </row>
    <row r="3668" spans="13:13" x14ac:dyDescent="0.25">
      <c r="M3668" s="21"/>
    </row>
    <row r="3669" spans="13:13" x14ac:dyDescent="0.25">
      <c r="M3669" s="21"/>
    </row>
    <row r="3670" spans="13:13" x14ac:dyDescent="0.25">
      <c r="M3670" s="21"/>
    </row>
    <row r="3671" spans="13:13" x14ac:dyDescent="0.25">
      <c r="M3671" s="21"/>
    </row>
    <row r="3672" spans="13:13" x14ac:dyDescent="0.25">
      <c r="M3672" s="21"/>
    </row>
    <row r="3673" spans="13:13" x14ac:dyDescent="0.25">
      <c r="M3673" s="21"/>
    </row>
    <row r="3674" spans="13:13" x14ac:dyDescent="0.25">
      <c r="M3674" s="21"/>
    </row>
    <row r="3675" spans="13:13" x14ac:dyDescent="0.25">
      <c r="M3675" s="21"/>
    </row>
    <row r="3676" spans="13:13" x14ac:dyDescent="0.25">
      <c r="M3676" s="21"/>
    </row>
    <row r="3677" spans="13:13" x14ac:dyDescent="0.25">
      <c r="M3677" s="21"/>
    </row>
    <row r="3678" spans="13:13" x14ac:dyDescent="0.25">
      <c r="M3678" s="21"/>
    </row>
    <row r="3679" spans="13:13" x14ac:dyDescent="0.25">
      <c r="M3679" s="21"/>
    </row>
    <row r="3680" spans="13:13" x14ac:dyDescent="0.25">
      <c r="M3680" s="21"/>
    </row>
    <row r="3681" spans="13:13" x14ac:dyDescent="0.25">
      <c r="M3681" s="21"/>
    </row>
    <row r="3682" spans="13:13" x14ac:dyDescent="0.25">
      <c r="M3682" s="21"/>
    </row>
    <row r="3683" spans="13:13" x14ac:dyDescent="0.25">
      <c r="M3683" s="21"/>
    </row>
    <row r="3684" spans="13:13" x14ac:dyDescent="0.25">
      <c r="M3684" s="21"/>
    </row>
    <row r="3685" spans="13:13" x14ac:dyDescent="0.25">
      <c r="M3685" s="21"/>
    </row>
    <row r="3686" spans="13:13" x14ac:dyDescent="0.25">
      <c r="M3686" s="21"/>
    </row>
    <row r="3687" spans="13:13" x14ac:dyDescent="0.25">
      <c r="M3687" s="21"/>
    </row>
    <row r="3688" spans="13:13" x14ac:dyDescent="0.25">
      <c r="M3688" s="21"/>
    </row>
    <row r="3689" spans="13:13" x14ac:dyDescent="0.25">
      <c r="M3689" s="21"/>
    </row>
    <row r="3690" spans="13:13" x14ac:dyDescent="0.25">
      <c r="M3690" s="21"/>
    </row>
    <row r="3691" spans="13:13" x14ac:dyDescent="0.25">
      <c r="M3691" s="21"/>
    </row>
    <row r="3692" spans="13:13" x14ac:dyDescent="0.25">
      <c r="M3692" s="21"/>
    </row>
    <row r="3693" spans="13:13" x14ac:dyDescent="0.25">
      <c r="M3693" s="21"/>
    </row>
    <row r="3694" spans="13:13" x14ac:dyDescent="0.25">
      <c r="M3694" s="21"/>
    </row>
    <row r="3695" spans="13:13" x14ac:dyDescent="0.25">
      <c r="M3695" s="21"/>
    </row>
    <row r="3696" spans="13:13" x14ac:dyDescent="0.25">
      <c r="M3696" s="21"/>
    </row>
    <row r="3697" spans="13:13" x14ac:dyDescent="0.25">
      <c r="M3697" s="21"/>
    </row>
    <row r="3698" spans="13:13" x14ac:dyDescent="0.25">
      <c r="M3698" s="21"/>
    </row>
    <row r="3699" spans="13:13" x14ac:dyDescent="0.25">
      <c r="M3699" s="21"/>
    </row>
    <row r="3700" spans="13:13" x14ac:dyDescent="0.25">
      <c r="M3700" s="21"/>
    </row>
    <row r="3701" spans="13:13" x14ac:dyDescent="0.25">
      <c r="M3701" s="21"/>
    </row>
    <row r="3702" spans="13:13" x14ac:dyDescent="0.25">
      <c r="M3702" s="21"/>
    </row>
    <row r="3703" spans="13:13" x14ac:dyDescent="0.25">
      <c r="M3703" s="21"/>
    </row>
    <row r="3704" spans="13:13" x14ac:dyDescent="0.25">
      <c r="M3704" s="21"/>
    </row>
    <row r="3705" spans="13:13" x14ac:dyDescent="0.25">
      <c r="M3705" s="21"/>
    </row>
    <row r="3706" spans="13:13" x14ac:dyDescent="0.25">
      <c r="M3706" s="21"/>
    </row>
    <row r="3707" spans="13:13" x14ac:dyDescent="0.25">
      <c r="M3707" s="21"/>
    </row>
    <row r="3708" spans="13:13" x14ac:dyDescent="0.25">
      <c r="M3708" s="21"/>
    </row>
    <row r="3709" spans="13:13" x14ac:dyDescent="0.25">
      <c r="M3709" s="21"/>
    </row>
    <row r="3710" spans="13:13" x14ac:dyDescent="0.25">
      <c r="M3710" s="21"/>
    </row>
    <row r="3711" spans="13:13" x14ac:dyDescent="0.25">
      <c r="M3711" s="21"/>
    </row>
    <row r="3712" spans="13:13" x14ac:dyDescent="0.25">
      <c r="M3712" s="21"/>
    </row>
    <row r="3713" spans="13:13" x14ac:dyDescent="0.25">
      <c r="M3713" s="21"/>
    </row>
    <row r="3714" spans="13:13" x14ac:dyDescent="0.25">
      <c r="M3714" s="21"/>
    </row>
    <row r="3715" spans="13:13" x14ac:dyDescent="0.25">
      <c r="M3715" s="21"/>
    </row>
    <row r="3716" spans="13:13" x14ac:dyDescent="0.25">
      <c r="M3716" s="21"/>
    </row>
    <row r="3717" spans="13:13" x14ac:dyDescent="0.25">
      <c r="M3717" s="21"/>
    </row>
    <row r="3718" spans="13:13" x14ac:dyDescent="0.25">
      <c r="M3718" s="21"/>
    </row>
    <row r="3719" spans="13:13" x14ac:dyDescent="0.25">
      <c r="M3719" s="21"/>
    </row>
    <row r="3720" spans="13:13" x14ac:dyDescent="0.25">
      <c r="M3720" s="21"/>
    </row>
    <row r="3721" spans="13:13" x14ac:dyDescent="0.25">
      <c r="M3721" s="21"/>
    </row>
    <row r="3722" spans="13:13" x14ac:dyDescent="0.25">
      <c r="M3722" s="21"/>
    </row>
    <row r="3723" spans="13:13" x14ac:dyDescent="0.25">
      <c r="M3723" s="21"/>
    </row>
    <row r="3724" spans="13:13" x14ac:dyDescent="0.25">
      <c r="M3724" s="21"/>
    </row>
    <row r="3725" spans="13:13" x14ac:dyDescent="0.25">
      <c r="M3725" s="21"/>
    </row>
    <row r="3726" spans="13:13" x14ac:dyDescent="0.25">
      <c r="M3726" s="21"/>
    </row>
    <row r="3727" spans="13:13" x14ac:dyDescent="0.25">
      <c r="M3727" s="21"/>
    </row>
    <row r="3728" spans="13:13" x14ac:dyDescent="0.25">
      <c r="M3728" s="21"/>
    </row>
    <row r="3729" spans="13:13" x14ac:dyDescent="0.25">
      <c r="M3729" s="21"/>
    </row>
    <row r="3730" spans="13:13" x14ac:dyDescent="0.25">
      <c r="M3730" s="21"/>
    </row>
    <row r="3731" spans="13:13" x14ac:dyDescent="0.25">
      <c r="M3731" s="21"/>
    </row>
    <row r="3732" spans="13:13" x14ac:dyDescent="0.25">
      <c r="M3732" s="21"/>
    </row>
    <row r="3733" spans="13:13" x14ac:dyDescent="0.25">
      <c r="M3733" s="21"/>
    </row>
    <row r="3734" spans="13:13" x14ac:dyDescent="0.25">
      <c r="M3734" s="21"/>
    </row>
    <row r="3735" spans="13:13" x14ac:dyDescent="0.25">
      <c r="M3735" s="21"/>
    </row>
    <row r="3736" spans="13:13" x14ac:dyDescent="0.25">
      <c r="M3736" s="21"/>
    </row>
    <row r="3737" spans="13:13" x14ac:dyDescent="0.25">
      <c r="M3737" s="21"/>
    </row>
    <row r="3738" spans="13:13" x14ac:dyDescent="0.25">
      <c r="M3738" s="21"/>
    </row>
    <row r="3739" spans="13:13" x14ac:dyDescent="0.25">
      <c r="M3739" s="21"/>
    </row>
    <row r="3740" spans="13:13" x14ac:dyDescent="0.25">
      <c r="M3740" s="21"/>
    </row>
    <row r="3741" spans="13:13" x14ac:dyDescent="0.25">
      <c r="M3741" s="21"/>
    </row>
    <row r="3742" spans="13:13" x14ac:dyDescent="0.25">
      <c r="M3742" s="21"/>
    </row>
    <row r="3743" spans="13:13" x14ac:dyDescent="0.25">
      <c r="M3743" s="21"/>
    </row>
    <row r="3744" spans="13:13" x14ac:dyDescent="0.25">
      <c r="M3744" s="21"/>
    </row>
    <row r="3745" spans="13:13" x14ac:dyDescent="0.25">
      <c r="M3745" s="21"/>
    </row>
    <row r="3746" spans="13:13" x14ac:dyDescent="0.25">
      <c r="M3746" s="21"/>
    </row>
    <row r="3747" spans="13:13" x14ac:dyDescent="0.25">
      <c r="M3747" s="21"/>
    </row>
    <row r="3748" spans="13:13" x14ac:dyDescent="0.25">
      <c r="M3748" s="21"/>
    </row>
    <row r="3749" spans="13:13" x14ac:dyDescent="0.25">
      <c r="M3749" s="21"/>
    </row>
    <row r="3750" spans="13:13" x14ac:dyDescent="0.25">
      <c r="M3750" s="21"/>
    </row>
    <row r="3751" spans="13:13" x14ac:dyDescent="0.25">
      <c r="M3751" s="21"/>
    </row>
    <row r="3752" spans="13:13" x14ac:dyDescent="0.25">
      <c r="M3752" s="21"/>
    </row>
    <row r="3753" spans="13:13" x14ac:dyDescent="0.25">
      <c r="M3753" s="21"/>
    </row>
    <row r="3754" spans="13:13" x14ac:dyDescent="0.25">
      <c r="M3754" s="21"/>
    </row>
    <row r="3755" spans="13:13" x14ac:dyDescent="0.25">
      <c r="M3755" s="21"/>
    </row>
    <row r="3756" spans="13:13" x14ac:dyDescent="0.25">
      <c r="M3756" s="21"/>
    </row>
    <row r="3757" spans="13:13" x14ac:dyDescent="0.25">
      <c r="M3757" s="21"/>
    </row>
    <row r="3758" spans="13:13" x14ac:dyDescent="0.25">
      <c r="M3758" s="21"/>
    </row>
    <row r="3759" spans="13:13" x14ac:dyDescent="0.25">
      <c r="M3759" s="21"/>
    </row>
    <row r="3760" spans="13:13" x14ac:dyDescent="0.25">
      <c r="M3760" s="21"/>
    </row>
    <row r="3761" spans="13:13" x14ac:dyDescent="0.25">
      <c r="M3761" s="21"/>
    </row>
    <row r="3762" spans="13:13" x14ac:dyDescent="0.25">
      <c r="M3762" s="21"/>
    </row>
    <row r="3763" spans="13:13" x14ac:dyDescent="0.25">
      <c r="M3763" s="21"/>
    </row>
    <row r="3764" spans="13:13" x14ac:dyDescent="0.25">
      <c r="M3764" s="21"/>
    </row>
    <row r="3765" spans="13:13" x14ac:dyDescent="0.25">
      <c r="M3765" s="21"/>
    </row>
    <row r="3766" spans="13:13" x14ac:dyDescent="0.25">
      <c r="M3766" s="21"/>
    </row>
    <row r="3767" spans="13:13" x14ac:dyDescent="0.25">
      <c r="M3767" s="21"/>
    </row>
    <row r="3768" spans="13:13" x14ac:dyDescent="0.25">
      <c r="M3768" s="21"/>
    </row>
    <row r="3769" spans="13:13" x14ac:dyDescent="0.25">
      <c r="M3769" s="21"/>
    </row>
    <row r="3770" spans="13:13" x14ac:dyDescent="0.25">
      <c r="M3770" s="21"/>
    </row>
    <row r="3771" spans="13:13" x14ac:dyDescent="0.25">
      <c r="M3771" s="21"/>
    </row>
    <row r="3772" spans="13:13" x14ac:dyDescent="0.25">
      <c r="M3772" s="21"/>
    </row>
    <row r="3773" spans="13:13" x14ac:dyDescent="0.25">
      <c r="M3773" s="21"/>
    </row>
    <row r="3774" spans="13:13" x14ac:dyDescent="0.25">
      <c r="M3774" s="21"/>
    </row>
    <row r="3775" spans="13:13" x14ac:dyDescent="0.25">
      <c r="M3775" s="21"/>
    </row>
    <row r="3776" spans="13:13" x14ac:dyDescent="0.25">
      <c r="M3776" s="21"/>
    </row>
    <row r="3777" spans="13:13" x14ac:dyDescent="0.25">
      <c r="M3777" s="21"/>
    </row>
    <row r="3778" spans="13:13" x14ac:dyDescent="0.25">
      <c r="M3778" s="21"/>
    </row>
    <row r="3779" spans="13:13" x14ac:dyDescent="0.25">
      <c r="M3779" s="21"/>
    </row>
    <row r="3780" spans="13:13" x14ac:dyDescent="0.25">
      <c r="M3780" s="21"/>
    </row>
    <row r="3781" spans="13:13" x14ac:dyDescent="0.25">
      <c r="M3781" s="21"/>
    </row>
    <row r="3782" spans="13:13" x14ac:dyDescent="0.25">
      <c r="M3782" s="21"/>
    </row>
    <row r="3783" spans="13:13" x14ac:dyDescent="0.25">
      <c r="M3783" s="21"/>
    </row>
    <row r="3784" spans="13:13" x14ac:dyDescent="0.25">
      <c r="M3784" s="21"/>
    </row>
    <row r="3785" spans="13:13" x14ac:dyDescent="0.25">
      <c r="M3785" s="21"/>
    </row>
    <row r="3786" spans="13:13" x14ac:dyDescent="0.25">
      <c r="M3786" s="21"/>
    </row>
    <row r="3787" spans="13:13" x14ac:dyDescent="0.25">
      <c r="M3787" s="21"/>
    </row>
    <row r="3788" spans="13:13" x14ac:dyDescent="0.25">
      <c r="M3788" s="21"/>
    </row>
    <row r="3789" spans="13:13" x14ac:dyDescent="0.25">
      <c r="M3789" s="21"/>
    </row>
    <row r="3790" spans="13:13" x14ac:dyDescent="0.25">
      <c r="M3790" s="21"/>
    </row>
    <row r="3791" spans="13:13" x14ac:dyDescent="0.25">
      <c r="M3791" s="21"/>
    </row>
    <row r="3792" spans="13:13" x14ac:dyDescent="0.25">
      <c r="M3792" s="21"/>
    </row>
    <row r="3793" spans="13:13" x14ac:dyDescent="0.25">
      <c r="M3793" s="21"/>
    </row>
    <row r="3794" spans="13:13" x14ac:dyDescent="0.25">
      <c r="M3794" s="21"/>
    </row>
    <row r="3795" spans="13:13" x14ac:dyDescent="0.25">
      <c r="M3795" s="21"/>
    </row>
    <row r="3796" spans="13:13" x14ac:dyDescent="0.25">
      <c r="M3796" s="21"/>
    </row>
    <row r="3797" spans="13:13" x14ac:dyDescent="0.25">
      <c r="M3797" s="21"/>
    </row>
    <row r="3798" spans="13:13" x14ac:dyDescent="0.25">
      <c r="M3798" s="21"/>
    </row>
    <row r="3799" spans="13:13" x14ac:dyDescent="0.25">
      <c r="M3799" s="21"/>
    </row>
    <row r="3800" spans="13:13" x14ac:dyDescent="0.25">
      <c r="M3800" s="21"/>
    </row>
    <row r="3801" spans="13:13" x14ac:dyDescent="0.25">
      <c r="M3801" s="21"/>
    </row>
    <row r="3802" spans="13:13" x14ac:dyDescent="0.25">
      <c r="M3802" s="21"/>
    </row>
    <row r="3803" spans="13:13" x14ac:dyDescent="0.25">
      <c r="M3803" s="21"/>
    </row>
    <row r="3804" spans="13:13" x14ac:dyDescent="0.25">
      <c r="M3804" s="21"/>
    </row>
    <row r="3805" spans="13:13" x14ac:dyDescent="0.25">
      <c r="M3805" s="21"/>
    </row>
    <row r="3806" spans="13:13" x14ac:dyDescent="0.25">
      <c r="M3806" s="21"/>
    </row>
    <row r="3807" spans="13:13" x14ac:dyDescent="0.25">
      <c r="M3807" s="21"/>
    </row>
    <row r="3808" spans="13:13" x14ac:dyDescent="0.25">
      <c r="M3808" s="21"/>
    </row>
    <row r="3809" spans="13:13" x14ac:dyDescent="0.25">
      <c r="M3809" s="21"/>
    </row>
    <row r="3810" spans="13:13" x14ac:dyDescent="0.25">
      <c r="M3810" s="21"/>
    </row>
    <row r="3811" spans="13:13" x14ac:dyDescent="0.25">
      <c r="M3811" s="21"/>
    </row>
    <row r="3812" spans="13:13" x14ac:dyDescent="0.25">
      <c r="M3812" s="21"/>
    </row>
    <row r="3813" spans="13:13" x14ac:dyDescent="0.25">
      <c r="M3813" s="21"/>
    </row>
    <row r="3814" spans="13:13" x14ac:dyDescent="0.25">
      <c r="M3814" s="21"/>
    </row>
    <row r="3815" spans="13:13" x14ac:dyDescent="0.25">
      <c r="M3815" s="21"/>
    </row>
    <row r="3816" spans="13:13" x14ac:dyDescent="0.25">
      <c r="M3816" s="21"/>
    </row>
    <row r="3817" spans="13:13" x14ac:dyDescent="0.25">
      <c r="M3817" s="21"/>
    </row>
    <row r="3818" spans="13:13" x14ac:dyDescent="0.25">
      <c r="M3818" s="21"/>
    </row>
    <row r="3819" spans="13:13" x14ac:dyDescent="0.25">
      <c r="M3819" s="21"/>
    </row>
    <row r="3820" spans="13:13" x14ac:dyDescent="0.25">
      <c r="M3820" s="21"/>
    </row>
    <row r="3821" spans="13:13" x14ac:dyDescent="0.25">
      <c r="M3821" s="21"/>
    </row>
    <row r="3822" spans="13:13" x14ac:dyDescent="0.25">
      <c r="M3822" s="21"/>
    </row>
    <row r="3823" spans="13:13" x14ac:dyDescent="0.25">
      <c r="M3823" s="21"/>
    </row>
    <row r="3824" spans="13:13" x14ac:dyDescent="0.25">
      <c r="M3824" s="21"/>
    </row>
    <row r="3825" spans="13:13" x14ac:dyDescent="0.25">
      <c r="M3825" s="21"/>
    </row>
    <row r="3826" spans="13:13" x14ac:dyDescent="0.25">
      <c r="M3826" s="21"/>
    </row>
    <row r="3827" spans="13:13" x14ac:dyDescent="0.25">
      <c r="M3827" s="21"/>
    </row>
    <row r="3828" spans="13:13" x14ac:dyDescent="0.25">
      <c r="M3828" s="21"/>
    </row>
    <row r="3829" spans="13:13" x14ac:dyDescent="0.25">
      <c r="M3829" s="21"/>
    </row>
    <row r="3830" spans="13:13" x14ac:dyDescent="0.25">
      <c r="M3830" s="21"/>
    </row>
    <row r="3831" spans="13:13" x14ac:dyDescent="0.25">
      <c r="M3831" s="21"/>
    </row>
    <row r="3832" spans="13:13" x14ac:dyDescent="0.25">
      <c r="M3832" s="21"/>
    </row>
    <row r="3833" spans="13:13" x14ac:dyDescent="0.25">
      <c r="M3833" s="21"/>
    </row>
    <row r="3834" spans="13:13" x14ac:dyDescent="0.25">
      <c r="M3834" s="21"/>
    </row>
    <row r="3835" spans="13:13" x14ac:dyDescent="0.25">
      <c r="M3835" s="21"/>
    </row>
    <row r="3836" spans="13:13" x14ac:dyDescent="0.25">
      <c r="M3836" s="21"/>
    </row>
    <row r="3837" spans="13:13" x14ac:dyDescent="0.25">
      <c r="M3837" s="21"/>
    </row>
    <row r="3838" spans="13:13" x14ac:dyDescent="0.25">
      <c r="M3838" s="21"/>
    </row>
    <row r="3839" spans="13:13" x14ac:dyDescent="0.25">
      <c r="M3839" s="21"/>
    </row>
    <row r="3840" spans="13:13" x14ac:dyDescent="0.25">
      <c r="M3840" s="21"/>
    </row>
    <row r="3841" spans="13:13" x14ac:dyDescent="0.25">
      <c r="M3841" s="21"/>
    </row>
    <row r="3842" spans="13:13" x14ac:dyDescent="0.25">
      <c r="M3842" s="21"/>
    </row>
    <row r="3843" spans="13:13" x14ac:dyDescent="0.25">
      <c r="M3843" s="21"/>
    </row>
    <row r="3844" spans="13:13" x14ac:dyDescent="0.25">
      <c r="M3844" s="21"/>
    </row>
    <row r="3845" spans="13:13" x14ac:dyDescent="0.25">
      <c r="M3845" s="21"/>
    </row>
    <row r="3846" spans="13:13" x14ac:dyDescent="0.25">
      <c r="M3846" s="21"/>
    </row>
    <row r="3847" spans="13:13" x14ac:dyDescent="0.25">
      <c r="M3847" s="21"/>
    </row>
    <row r="3848" spans="13:13" x14ac:dyDescent="0.25">
      <c r="M3848" s="21"/>
    </row>
    <row r="3849" spans="13:13" x14ac:dyDescent="0.25">
      <c r="M3849" s="21"/>
    </row>
    <row r="3850" spans="13:13" x14ac:dyDescent="0.25">
      <c r="M3850" s="21"/>
    </row>
    <row r="3851" spans="13:13" x14ac:dyDescent="0.25">
      <c r="M3851" s="21"/>
    </row>
    <row r="3852" spans="13:13" x14ac:dyDescent="0.25">
      <c r="M3852" s="21"/>
    </row>
    <row r="3853" spans="13:13" x14ac:dyDescent="0.25">
      <c r="M3853" s="21"/>
    </row>
    <row r="3854" spans="13:13" x14ac:dyDescent="0.25">
      <c r="M3854" s="21"/>
    </row>
    <row r="3855" spans="13:13" x14ac:dyDescent="0.25">
      <c r="M3855" s="21"/>
    </row>
    <row r="3856" spans="13:13" x14ac:dyDescent="0.25">
      <c r="M3856" s="21"/>
    </row>
    <row r="3857" spans="13:13" x14ac:dyDescent="0.25">
      <c r="M3857" s="21"/>
    </row>
    <row r="3858" spans="13:13" x14ac:dyDescent="0.25">
      <c r="M3858" s="21"/>
    </row>
    <row r="3859" spans="13:13" x14ac:dyDescent="0.25">
      <c r="M3859" s="21"/>
    </row>
    <row r="3860" spans="13:13" x14ac:dyDescent="0.25">
      <c r="M3860" s="21"/>
    </row>
    <row r="3861" spans="13:13" x14ac:dyDescent="0.25">
      <c r="M3861" s="21"/>
    </row>
    <row r="3862" spans="13:13" x14ac:dyDescent="0.25">
      <c r="M3862" s="21"/>
    </row>
    <row r="3863" spans="13:13" x14ac:dyDescent="0.25">
      <c r="M3863" s="21"/>
    </row>
    <row r="3864" spans="13:13" x14ac:dyDescent="0.25">
      <c r="M3864" s="21"/>
    </row>
    <row r="3865" spans="13:13" x14ac:dyDescent="0.25">
      <c r="M3865" s="21"/>
    </row>
    <row r="3866" spans="13:13" x14ac:dyDescent="0.25">
      <c r="M3866" s="21"/>
    </row>
    <row r="3867" spans="13:13" x14ac:dyDescent="0.25">
      <c r="M3867" s="21"/>
    </row>
    <row r="3868" spans="13:13" x14ac:dyDescent="0.25">
      <c r="M3868" s="21"/>
    </row>
    <row r="3869" spans="13:13" x14ac:dyDescent="0.25">
      <c r="M3869" s="21"/>
    </row>
    <row r="3870" spans="13:13" x14ac:dyDescent="0.25">
      <c r="M3870" s="21"/>
    </row>
    <row r="3871" spans="13:13" x14ac:dyDescent="0.25">
      <c r="M3871" s="21"/>
    </row>
    <row r="3872" spans="13:13" x14ac:dyDescent="0.25">
      <c r="M3872" s="21"/>
    </row>
    <row r="3873" spans="13:13" x14ac:dyDescent="0.25">
      <c r="M3873" s="21"/>
    </row>
    <row r="3874" spans="13:13" x14ac:dyDescent="0.25">
      <c r="M3874" s="21"/>
    </row>
    <row r="3875" spans="13:13" x14ac:dyDescent="0.25">
      <c r="M3875" s="21"/>
    </row>
    <row r="3876" spans="13:13" x14ac:dyDescent="0.25">
      <c r="M3876" s="21"/>
    </row>
    <row r="3877" spans="13:13" x14ac:dyDescent="0.25">
      <c r="M3877" s="21"/>
    </row>
    <row r="3878" spans="13:13" x14ac:dyDescent="0.25">
      <c r="M3878" s="21"/>
    </row>
    <row r="3879" spans="13:13" x14ac:dyDescent="0.25">
      <c r="M3879" s="21"/>
    </row>
    <row r="3880" spans="13:13" x14ac:dyDescent="0.25">
      <c r="M3880" s="21"/>
    </row>
    <row r="3881" spans="13:13" x14ac:dyDescent="0.25">
      <c r="M3881" s="21"/>
    </row>
    <row r="3882" spans="13:13" x14ac:dyDescent="0.25">
      <c r="M3882" s="21"/>
    </row>
    <row r="3883" spans="13:13" x14ac:dyDescent="0.25">
      <c r="M3883" s="21"/>
    </row>
    <row r="3884" spans="13:13" x14ac:dyDescent="0.25">
      <c r="M3884" s="21"/>
    </row>
    <row r="3885" spans="13:13" x14ac:dyDescent="0.25">
      <c r="M3885" s="21"/>
    </row>
    <row r="3886" spans="13:13" x14ac:dyDescent="0.25">
      <c r="M3886" s="21"/>
    </row>
    <row r="3887" spans="13:13" x14ac:dyDescent="0.25">
      <c r="M3887" s="21"/>
    </row>
    <row r="3888" spans="13:13" x14ac:dyDescent="0.25">
      <c r="M3888" s="21"/>
    </row>
    <row r="3889" spans="13:13" x14ac:dyDescent="0.25">
      <c r="M3889" s="21"/>
    </row>
    <row r="3890" spans="13:13" x14ac:dyDescent="0.25">
      <c r="M3890" s="21"/>
    </row>
    <row r="3891" spans="13:13" x14ac:dyDescent="0.25">
      <c r="M3891" s="21"/>
    </row>
    <row r="3892" spans="13:13" x14ac:dyDescent="0.25">
      <c r="M3892" s="21"/>
    </row>
    <row r="3893" spans="13:13" x14ac:dyDescent="0.25">
      <c r="M3893" s="21"/>
    </row>
    <row r="3894" spans="13:13" x14ac:dyDescent="0.25">
      <c r="M3894" s="21"/>
    </row>
    <row r="3895" spans="13:13" x14ac:dyDescent="0.25">
      <c r="M3895" s="21"/>
    </row>
    <row r="3896" spans="13:13" x14ac:dyDescent="0.25">
      <c r="M3896" s="21"/>
    </row>
    <row r="3897" spans="13:13" x14ac:dyDescent="0.25">
      <c r="M3897" s="21"/>
    </row>
    <row r="3898" spans="13:13" x14ac:dyDescent="0.25">
      <c r="M3898" s="21"/>
    </row>
    <row r="3899" spans="13:13" x14ac:dyDescent="0.25">
      <c r="M3899" s="21"/>
    </row>
    <row r="3900" spans="13:13" x14ac:dyDescent="0.25">
      <c r="M3900" s="21"/>
    </row>
    <row r="3901" spans="13:13" x14ac:dyDescent="0.25">
      <c r="M3901" s="21"/>
    </row>
    <row r="3902" spans="13:13" x14ac:dyDescent="0.25">
      <c r="M3902" s="21"/>
    </row>
    <row r="3903" spans="13:13" x14ac:dyDescent="0.25">
      <c r="M3903" s="21"/>
    </row>
    <row r="3904" spans="13:13" x14ac:dyDescent="0.25">
      <c r="M3904" s="21"/>
    </row>
    <row r="3905" spans="13:13" x14ac:dyDescent="0.25">
      <c r="M3905" s="21"/>
    </row>
    <row r="3906" spans="13:13" x14ac:dyDescent="0.25">
      <c r="M3906" s="21"/>
    </row>
    <row r="3907" spans="13:13" x14ac:dyDescent="0.25">
      <c r="M3907" s="21"/>
    </row>
    <row r="3908" spans="13:13" x14ac:dyDescent="0.25">
      <c r="M3908" s="21"/>
    </row>
    <row r="3909" spans="13:13" x14ac:dyDescent="0.25">
      <c r="M3909" s="21"/>
    </row>
    <row r="3910" spans="13:13" x14ac:dyDescent="0.25">
      <c r="M3910" s="21"/>
    </row>
    <row r="3911" spans="13:13" x14ac:dyDescent="0.25">
      <c r="M3911" s="21"/>
    </row>
    <row r="3912" spans="13:13" x14ac:dyDescent="0.25">
      <c r="M3912" s="21"/>
    </row>
    <row r="3913" spans="13:13" x14ac:dyDescent="0.25">
      <c r="M3913" s="21"/>
    </row>
    <row r="3914" spans="13:13" x14ac:dyDescent="0.25">
      <c r="M3914" s="21"/>
    </row>
    <row r="3915" spans="13:13" x14ac:dyDescent="0.25">
      <c r="M3915" s="21"/>
    </row>
    <row r="3916" spans="13:13" x14ac:dyDescent="0.25">
      <c r="M3916" s="21"/>
    </row>
    <row r="3917" spans="13:13" x14ac:dyDescent="0.25">
      <c r="M3917" s="21"/>
    </row>
    <row r="3918" spans="13:13" x14ac:dyDescent="0.25">
      <c r="M3918" s="21"/>
    </row>
    <row r="3919" spans="13:13" x14ac:dyDescent="0.25">
      <c r="M3919" s="21"/>
    </row>
    <row r="3920" spans="13:13" x14ac:dyDescent="0.25">
      <c r="M3920" s="21"/>
    </row>
    <row r="3921" spans="13:13" x14ac:dyDescent="0.25">
      <c r="M3921" s="21"/>
    </row>
    <row r="3922" spans="13:13" x14ac:dyDescent="0.25">
      <c r="M3922" s="21"/>
    </row>
    <row r="3923" spans="13:13" x14ac:dyDescent="0.25">
      <c r="M3923" s="21"/>
    </row>
    <row r="3924" spans="13:13" x14ac:dyDescent="0.25">
      <c r="M3924" s="21"/>
    </row>
    <row r="3925" spans="13:13" x14ac:dyDescent="0.25">
      <c r="M3925" s="21"/>
    </row>
    <row r="3926" spans="13:13" x14ac:dyDescent="0.25">
      <c r="M3926" s="21"/>
    </row>
    <row r="3927" spans="13:13" x14ac:dyDescent="0.25">
      <c r="M3927" s="21"/>
    </row>
    <row r="3928" spans="13:13" x14ac:dyDescent="0.25">
      <c r="M3928" s="21"/>
    </row>
    <row r="3929" spans="13:13" x14ac:dyDescent="0.25">
      <c r="M3929" s="21"/>
    </row>
    <row r="3930" spans="13:13" x14ac:dyDescent="0.25">
      <c r="M3930" s="21"/>
    </row>
    <row r="3931" spans="13:13" x14ac:dyDescent="0.25">
      <c r="M3931" s="21"/>
    </row>
    <row r="3932" spans="13:13" x14ac:dyDescent="0.25">
      <c r="M3932" s="21"/>
    </row>
    <row r="3933" spans="13:13" x14ac:dyDescent="0.25">
      <c r="M3933" s="21"/>
    </row>
    <row r="3934" spans="13:13" x14ac:dyDescent="0.25">
      <c r="M3934" s="21"/>
    </row>
    <row r="3935" spans="13:13" x14ac:dyDescent="0.25">
      <c r="M3935" s="21"/>
    </row>
    <row r="3936" spans="13:13" x14ac:dyDescent="0.25">
      <c r="M3936" s="21"/>
    </row>
    <row r="3937" spans="13:13" x14ac:dyDescent="0.25">
      <c r="M3937" s="21"/>
    </row>
    <row r="3938" spans="13:13" x14ac:dyDescent="0.25">
      <c r="M3938" s="21"/>
    </row>
    <row r="3939" spans="13:13" x14ac:dyDescent="0.25">
      <c r="M3939" s="21"/>
    </row>
    <row r="3940" spans="13:13" x14ac:dyDescent="0.25">
      <c r="M3940" s="21"/>
    </row>
    <row r="3941" spans="13:13" x14ac:dyDescent="0.25">
      <c r="M3941" s="21"/>
    </row>
    <row r="3942" spans="13:13" x14ac:dyDescent="0.25">
      <c r="M3942" s="21"/>
    </row>
    <row r="3943" spans="13:13" x14ac:dyDescent="0.25">
      <c r="M3943" s="21"/>
    </row>
    <row r="3944" spans="13:13" x14ac:dyDescent="0.25">
      <c r="M3944" s="21"/>
    </row>
    <row r="3945" spans="13:13" x14ac:dyDescent="0.25">
      <c r="M3945" s="21"/>
    </row>
    <row r="3946" spans="13:13" x14ac:dyDescent="0.25">
      <c r="M3946" s="21"/>
    </row>
    <row r="3947" spans="13:13" x14ac:dyDescent="0.25">
      <c r="M3947" s="21"/>
    </row>
    <row r="3948" spans="13:13" x14ac:dyDescent="0.25">
      <c r="M3948" s="21"/>
    </row>
    <row r="3949" spans="13:13" x14ac:dyDescent="0.25">
      <c r="M3949" s="21"/>
    </row>
    <row r="3950" spans="13:13" x14ac:dyDescent="0.25">
      <c r="M3950" s="21"/>
    </row>
    <row r="3951" spans="13:13" x14ac:dyDescent="0.25">
      <c r="M3951" s="21"/>
    </row>
    <row r="3952" spans="13:13" x14ac:dyDescent="0.25">
      <c r="M3952" s="21"/>
    </row>
    <row r="3953" spans="13:13" x14ac:dyDescent="0.25">
      <c r="M3953" s="21"/>
    </row>
    <row r="3954" spans="13:13" x14ac:dyDescent="0.25">
      <c r="M3954" s="21"/>
    </row>
    <row r="3955" spans="13:13" x14ac:dyDescent="0.25">
      <c r="M3955" s="21"/>
    </row>
    <row r="3956" spans="13:13" x14ac:dyDescent="0.25">
      <c r="M3956" s="21"/>
    </row>
    <row r="3957" spans="13:13" x14ac:dyDescent="0.25">
      <c r="M3957" s="21"/>
    </row>
    <row r="3958" spans="13:13" x14ac:dyDescent="0.25">
      <c r="M3958" s="21"/>
    </row>
    <row r="3959" spans="13:13" x14ac:dyDescent="0.25">
      <c r="M3959" s="21"/>
    </row>
    <row r="3960" spans="13:13" x14ac:dyDescent="0.25">
      <c r="M3960" s="21"/>
    </row>
    <row r="3961" spans="13:13" x14ac:dyDescent="0.25">
      <c r="M3961" s="21"/>
    </row>
    <row r="3962" spans="13:13" x14ac:dyDescent="0.25">
      <c r="M3962" s="21"/>
    </row>
    <row r="3963" spans="13:13" x14ac:dyDescent="0.25">
      <c r="M3963" s="21"/>
    </row>
    <row r="3964" spans="13:13" x14ac:dyDescent="0.25">
      <c r="M3964" s="21"/>
    </row>
    <row r="3965" spans="13:13" x14ac:dyDescent="0.25">
      <c r="M3965" s="21"/>
    </row>
    <row r="3966" spans="13:13" x14ac:dyDescent="0.25">
      <c r="M3966" s="21"/>
    </row>
    <row r="3967" spans="13:13" x14ac:dyDescent="0.25">
      <c r="M3967" s="21"/>
    </row>
    <row r="3968" spans="13:13" x14ac:dyDescent="0.25">
      <c r="M3968" s="21"/>
    </row>
    <row r="3969" spans="13:13" x14ac:dyDescent="0.25">
      <c r="M3969" s="21"/>
    </row>
    <row r="3970" spans="13:13" x14ac:dyDescent="0.25">
      <c r="M3970" s="21"/>
    </row>
    <row r="3971" spans="13:13" x14ac:dyDescent="0.25">
      <c r="M3971" s="21"/>
    </row>
    <row r="3972" spans="13:13" x14ac:dyDescent="0.25">
      <c r="M3972" s="21"/>
    </row>
    <row r="3973" spans="13:13" x14ac:dyDescent="0.25">
      <c r="M3973" s="21"/>
    </row>
    <row r="3974" spans="13:13" x14ac:dyDescent="0.25">
      <c r="M3974" s="21"/>
    </row>
    <row r="3975" spans="13:13" x14ac:dyDescent="0.25">
      <c r="M3975" s="21"/>
    </row>
    <row r="3976" spans="13:13" x14ac:dyDescent="0.25">
      <c r="M3976" s="21"/>
    </row>
    <row r="3977" spans="13:13" x14ac:dyDescent="0.25">
      <c r="M3977" s="21"/>
    </row>
    <row r="3978" spans="13:13" x14ac:dyDescent="0.25">
      <c r="M3978" s="21"/>
    </row>
    <row r="3979" spans="13:13" x14ac:dyDescent="0.25">
      <c r="M3979" s="21"/>
    </row>
    <row r="3980" spans="13:13" x14ac:dyDescent="0.25">
      <c r="M3980" s="21"/>
    </row>
    <row r="3981" spans="13:13" x14ac:dyDescent="0.25">
      <c r="M3981" s="21"/>
    </row>
    <row r="3982" spans="13:13" x14ac:dyDescent="0.25">
      <c r="M3982" s="21"/>
    </row>
    <row r="3983" spans="13:13" x14ac:dyDescent="0.25">
      <c r="M3983" s="21"/>
    </row>
    <row r="3984" spans="13:13" x14ac:dyDescent="0.25">
      <c r="M3984" s="21"/>
    </row>
    <row r="3985" spans="13:13" x14ac:dyDescent="0.25">
      <c r="M3985" s="21"/>
    </row>
    <row r="3986" spans="13:13" x14ac:dyDescent="0.25">
      <c r="M3986" s="21"/>
    </row>
    <row r="3987" spans="13:13" x14ac:dyDescent="0.25">
      <c r="M3987" s="21"/>
    </row>
    <row r="3988" spans="13:13" x14ac:dyDescent="0.25">
      <c r="M3988" s="21"/>
    </row>
    <row r="3989" spans="13:13" x14ac:dyDescent="0.25">
      <c r="M3989" s="21"/>
    </row>
    <row r="3990" spans="13:13" x14ac:dyDescent="0.25">
      <c r="M3990" s="21"/>
    </row>
    <row r="3991" spans="13:13" x14ac:dyDescent="0.25">
      <c r="M3991" s="21"/>
    </row>
    <row r="3992" spans="13:13" x14ac:dyDescent="0.25">
      <c r="M3992" s="21"/>
    </row>
    <row r="3993" spans="13:13" x14ac:dyDescent="0.25">
      <c r="M3993" s="21"/>
    </row>
    <row r="3994" spans="13:13" x14ac:dyDescent="0.25">
      <c r="M3994" s="21"/>
    </row>
    <row r="3995" spans="13:13" x14ac:dyDescent="0.25">
      <c r="M3995" s="21"/>
    </row>
    <row r="3996" spans="13:13" x14ac:dyDescent="0.25">
      <c r="M3996" s="21"/>
    </row>
    <row r="3997" spans="13:13" x14ac:dyDescent="0.25">
      <c r="M3997" s="21"/>
    </row>
    <row r="3998" spans="13:13" x14ac:dyDescent="0.25">
      <c r="M3998" s="21"/>
    </row>
    <row r="3999" spans="13:13" x14ac:dyDescent="0.25">
      <c r="M3999" s="21"/>
    </row>
    <row r="4000" spans="13:13" x14ac:dyDescent="0.25">
      <c r="M4000" s="21"/>
    </row>
    <row r="4001" spans="13:13" x14ac:dyDescent="0.25">
      <c r="M4001" s="21"/>
    </row>
    <row r="4002" spans="13:13" x14ac:dyDescent="0.25">
      <c r="M4002" s="21"/>
    </row>
    <row r="4003" spans="13:13" x14ac:dyDescent="0.25">
      <c r="M4003" s="21"/>
    </row>
    <row r="4004" spans="13:13" x14ac:dyDescent="0.25">
      <c r="M4004" s="21"/>
    </row>
    <row r="4005" spans="13:13" x14ac:dyDescent="0.25">
      <c r="M4005" s="21"/>
    </row>
    <row r="4006" spans="13:13" x14ac:dyDescent="0.25">
      <c r="M4006" s="21"/>
    </row>
    <row r="4007" spans="13:13" x14ac:dyDescent="0.25">
      <c r="M4007" s="21"/>
    </row>
    <row r="4008" spans="13:13" x14ac:dyDescent="0.25">
      <c r="M4008" s="21"/>
    </row>
    <row r="4009" spans="13:13" x14ac:dyDescent="0.25">
      <c r="M4009" s="21"/>
    </row>
    <row r="4010" spans="13:13" x14ac:dyDescent="0.25">
      <c r="M4010" s="21"/>
    </row>
    <row r="4011" spans="13:13" x14ac:dyDescent="0.25">
      <c r="M4011" s="21"/>
    </row>
    <row r="4012" spans="13:13" x14ac:dyDescent="0.25">
      <c r="M4012" s="21"/>
    </row>
    <row r="4013" spans="13:13" x14ac:dyDescent="0.25">
      <c r="M4013" s="21"/>
    </row>
    <row r="4014" spans="13:13" x14ac:dyDescent="0.25">
      <c r="M4014" s="21"/>
    </row>
    <row r="4015" spans="13:13" x14ac:dyDescent="0.25">
      <c r="M4015" s="21"/>
    </row>
    <row r="4016" spans="13:13" x14ac:dyDescent="0.25">
      <c r="M4016" s="21"/>
    </row>
    <row r="4017" spans="13:13" x14ac:dyDescent="0.25">
      <c r="M4017" s="21"/>
    </row>
    <row r="4018" spans="13:13" x14ac:dyDescent="0.25">
      <c r="M4018" s="21"/>
    </row>
    <row r="4019" spans="13:13" x14ac:dyDescent="0.25">
      <c r="M4019" s="21"/>
    </row>
    <row r="4020" spans="13:13" x14ac:dyDescent="0.25">
      <c r="M4020" s="21"/>
    </row>
    <row r="4021" spans="13:13" x14ac:dyDescent="0.25">
      <c r="M4021" s="21"/>
    </row>
    <row r="4022" spans="13:13" x14ac:dyDescent="0.25">
      <c r="M4022" s="21"/>
    </row>
    <row r="4023" spans="13:13" x14ac:dyDescent="0.25">
      <c r="M4023" s="21"/>
    </row>
    <row r="4024" spans="13:13" x14ac:dyDescent="0.25">
      <c r="M4024" s="21"/>
    </row>
    <row r="4025" spans="13:13" x14ac:dyDescent="0.25">
      <c r="M4025" s="21"/>
    </row>
    <row r="4026" spans="13:13" x14ac:dyDescent="0.25">
      <c r="M4026" s="21"/>
    </row>
    <row r="4027" spans="13:13" x14ac:dyDescent="0.25">
      <c r="M4027" s="21"/>
    </row>
    <row r="4028" spans="13:13" x14ac:dyDescent="0.25">
      <c r="M4028" s="21"/>
    </row>
    <row r="4029" spans="13:13" x14ac:dyDescent="0.25">
      <c r="M4029" s="21"/>
    </row>
    <row r="4030" spans="13:13" x14ac:dyDescent="0.25">
      <c r="M4030" s="21"/>
    </row>
    <row r="4031" spans="13:13" x14ac:dyDescent="0.25">
      <c r="M4031" s="21"/>
    </row>
    <row r="4032" spans="13:13" x14ac:dyDescent="0.25">
      <c r="M4032" s="21"/>
    </row>
    <row r="4033" spans="13:13" x14ac:dyDescent="0.25">
      <c r="M4033" s="21"/>
    </row>
    <row r="4034" spans="13:13" x14ac:dyDescent="0.25">
      <c r="M4034" s="21"/>
    </row>
    <row r="4035" spans="13:13" x14ac:dyDescent="0.25">
      <c r="M4035" s="21"/>
    </row>
    <row r="4036" spans="13:13" x14ac:dyDescent="0.25">
      <c r="M4036" s="21"/>
    </row>
    <row r="4037" spans="13:13" x14ac:dyDescent="0.25">
      <c r="M4037" s="21"/>
    </row>
    <row r="4038" spans="13:13" x14ac:dyDescent="0.25">
      <c r="M4038" s="21"/>
    </row>
    <row r="4039" spans="13:13" x14ac:dyDescent="0.25">
      <c r="M4039" s="21"/>
    </row>
    <row r="4040" spans="13:13" x14ac:dyDescent="0.25">
      <c r="M4040" s="21"/>
    </row>
    <row r="4041" spans="13:13" x14ac:dyDescent="0.25">
      <c r="M4041" s="21"/>
    </row>
    <row r="4042" spans="13:13" x14ac:dyDescent="0.25">
      <c r="M4042" s="21"/>
    </row>
    <row r="4043" spans="13:13" x14ac:dyDescent="0.25">
      <c r="M4043" s="21"/>
    </row>
    <row r="4044" spans="13:13" x14ac:dyDescent="0.25">
      <c r="M4044" s="21"/>
    </row>
    <row r="4045" spans="13:13" x14ac:dyDescent="0.25">
      <c r="M4045" s="21"/>
    </row>
    <row r="4046" spans="13:13" x14ac:dyDescent="0.25">
      <c r="M4046" s="21"/>
    </row>
    <row r="4047" spans="13:13" x14ac:dyDescent="0.25">
      <c r="M4047" s="21"/>
    </row>
    <row r="4048" spans="13:13" x14ac:dyDescent="0.25">
      <c r="M4048" s="21"/>
    </row>
    <row r="4049" spans="13:13" x14ac:dyDescent="0.25">
      <c r="M4049" s="21"/>
    </row>
    <row r="4050" spans="13:13" x14ac:dyDescent="0.25">
      <c r="M4050" s="21"/>
    </row>
    <row r="4051" spans="13:13" x14ac:dyDescent="0.25">
      <c r="M4051" s="21"/>
    </row>
    <row r="4052" spans="13:13" x14ac:dyDescent="0.25">
      <c r="M4052" s="21"/>
    </row>
    <row r="4053" spans="13:13" x14ac:dyDescent="0.25">
      <c r="M4053" s="21"/>
    </row>
    <row r="4054" spans="13:13" x14ac:dyDescent="0.25">
      <c r="M4054" s="21"/>
    </row>
    <row r="4055" spans="13:13" x14ac:dyDescent="0.25">
      <c r="M4055" s="21"/>
    </row>
    <row r="4056" spans="13:13" x14ac:dyDescent="0.25">
      <c r="M4056" s="21"/>
    </row>
    <row r="4057" spans="13:13" x14ac:dyDescent="0.25">
      <c r="M4057" s="21"/>
    </row>
    <row r="4058" spans="13:13" x14ac:dyDescent="0.25">
      <c r="M4058" s="21"/>
    </row>
    <row r="4059" spans="13:13" x14ac:dyDescent="0.25">
      <c r="M4059" s="21"/>
    </row>
    <row r="4060" spans="13:13" x14ac:dyDescent="0.25">
      <c r="M4060" s="21"/>
    </row>
    <row r="4061" spans="13:13" x14ac:dyDescent="0.25">
      <c r="M4061" s="21"/>
    </row>
    <row r="4062" spans="13:13" x14ac:dyDescent="0.25">
      <c r="M4062" s="21"/>
    </row>
    <row r="4063" spans="13:13" x14ac:dyDescent="0.25">
      <c r="M4063" s="21"/>
    </row>
    <row r="4064" spans="13:13" x14ac:dyDescent="0.25">
      <c r="M4064" s="21"/>
    </row>
    <row r="4065" spans="13:13" x14ac:dyDescent="0.25">
      <c r="M4065" s="21"/>
    </row>
    <row r="4066" spans="13:13" x14ac:dyDescent="0.25">
      <c r="M4066" s="21"/>
    </row>
    <row r="4067" spans="13:13" x14ac:dyDescent="0.25">
      <c r="M4067" s="21"/>
    </row>
    <row r="4068" spans="13:13" x14ac:dyDescent="0.25">
      <c r="M4068" s="21"/>
    </row>
    <row r="4069" spans="13:13" x14ac:dyDescent="0.25">
      <c r="M4069" s="21"/>
    </row>
    <row r="4070" spans="13:13" x14ac:dyDescent="0.25">
      <c r="M4070" s="21"/>
    </row>
    <row r="4071" spans="13:13" x14ac:dyDescent="0.25">
      <c r="M4071" s="21"/>
    </row>
    <row r="4072" spans="13:13" x14ac:dyDescent="0.25">
      <c r="M4072" s="21"/>
    </row>
    <row r="4073" spans="13:13" x14ac:dyDescent="0.25">
      <c r="M4073" s="21"/>
    </row>
    <row r="4074" spans="13:13" x14ac:dyDescent="0.25">
      <c r="M4074" s="21"/>
    </row>
    <row r="4075" spans="13:13" x14ac:dyDescent="0.25">
      <c r="M4075" s="21"/>
    </row>
    <row r="4076" spans="13:13" x14ac:dyDescent="0.25">
      <c r="M4076" s="21"/>
    </row>
    <row r="4077" spans="13:13" x14ac:dyDescent="0.25">
      <c r="M4077" s="21"/>
    </row>
    <row r="4078" spans="13:13" x14ac:dyDescent="0.25">
      <c r="M4078" s="21"/>
    </row>
    <row r="4079" spans="13:13" x14ac:dyDescent="0.25">
      <c r="M4079" s="21"/>
    </row>
    <row r="4080" spans="13:13" x14ac:dyDescent="0.25">
      <c r="M4080" s="21"/>
    </row>
    <row r="4081" spans="13:13" x14ac:dyDescent="0.25">
      <c r="M4081" s="21"/>
    </row>
    <row r="4082" spans="13:13" x14ac:dyDescent="0.25">
      <c r="M4082" s="21"/>
    </row>
    <row r="4083" spans="13:13" x14ac:dyDescent="0.25">
      <c r="M4083" s="21"/>
    </row>
    <row r="4084" spans="13:13" x14ac:dyDescent="0.25">
      <c r="M4084" s="21"/>
    </row>
    <row r="4085" spans="13:13" x14ac:dyDescent="0.25">
      <c r="M4085" s="21"/>
    </row>
    <row r="4086" spans="13:13" x14ac:dyDescent="0.25">
      <c r="M4086" s="21"/>
    </row>
    <row r="4087" spans="13:13" x14ac:dyDescent="0.25">
      <c r="M4087" s="21"/>
    </row>
    <row r="4088" spans="13:13" x14ac:dyDescent="0.25">
      <c r="M4088" s="21"/>
    </row>
    <row r="4089" spans="13:13" x14ac:dyDescent="0.25">
      <c r="M4089" s="21"/>
    </row>
    <row r="4090" spans="13:13" x14ac:dyDescent="0.25">
      <c r="M4090" s="21"/>
    </row>
    <row r="4091" spans="13:13" x14ac:dyDescent="0.25">
      <c r="M4091" s="21"/>
    </row>
    <row r="4092" spans="13:13" x14ac:dyDescent="0.25">
      <c r="M4092" s="21"/>
    </row>
    <row r="4093" spans="13:13" x14ac:dyDescent="0.25">
      <c r="M4093" s="21"/>
    </row>
    <row r="4094" spans="13:13" x14ac:dyDescent="0.25">
      <c r="M4094" s="21"/>
    </row>
    <row r="4095" spans="13:13" x14ac:dyDescent="0.25">
      <c r="M4095" s="21"/>
    </row>
    <row r="4096" spans="13:13" x14ac:dyDescent="0.25">
      <c r="M4096" s="21"/>
    </row>
    <row r="4097" spans="13:13" x14ac:dyDescent="0.25">
      <c r="M4097" s="21"/>
    </row>
    <row r="4098" spans="13:13" x14ac:dyDescent="0.25">
      <c r="M4098" s="21"/>
    </row>
    <row r="4099" spans="13:13" x14ac:dyDescent="0.25">
      <c r="M4099" s="21"/>
    </row>
    <row r="4100" spans="13:13" x14ac:dyDescent="0.25">
      <c r="M4100" s="21"/>
    </row>
    <row r="4101" spans="13:13" x14ac:dyDescent="0.25">
      <c r="M4101" s="21"/>
    </row>
    <row r="4102" spans="13:13" x14ac:dyDescent="0.25">
      <c r="M4102" s="21"/>
    </row>
    <row r="4103" spans="13:13" x14ac:dyDescent="0.25">
      <c r="M4103" s="21"/>
    </row>
    <row r="4104" spans="13:13" x14ac:dyDescent="0.25">
      <c r="M4104" s="21"/>
    </row>
    <row r="4105" spans="13:13" x14ac:dyDescent="0.25">
      <c r="M4105" s="21"/>
    </row>
    <row r="4106" spans="13:13" x14ac:dyDescent="0.25">
      <c r="M4106" s="21"/>
    </row>
    <row r="4107" spans="13:13" x14ac:dyDescent="0.25">
      <c r="M4107" s="21"/>
    </row>
    <row r="4108" spans="13:13" x14ac:dyDescent="0.25">
      <c r="M4108" s="21"/>
    </row>
    <row r="4109" spans="13:13" x14ac:dyDescent="0.25">
      <c r="M4109" s="21"/>
    </row>
    <row r="4110" spans="13:13" x14ac:dyDescent="0.25">
      <c r="M4110" s="21"/>
    </row>
    <row r="4111" spans="13:13" x14ac:dyDescent="0.25">
      <c r="M4111" s="21"/>
    </row>
    <row r="4112" spans="13:13" x14ac:dyDescent="0.25">
      <c r="M4112" s="21"/>
    </row>
    <row r="4113" spans="13:13" x14ac:dyDescent="0.25">
      <c r="M4113" s="21"/>
    </row>
    <row r="4114" spans="13:13" x14ac:dyDescent="0.25">
      <c r="M4114" s="21"/>
    </row>
    <row r="4115" spans="13:13" x14ac:dyDescent="0.25">
      <c r="M4115" s="21"/>
    </row>
    <row r="4116" spans="13:13" x14ac:dyDescent="0.25">
      <c r="M4116" s="21"/>
    </row>
    <row r="4117" spans="13:13" x14ac:dyDescent="0.25">
      <c r="M4117" s="21"/>
    </row>
    <row r="4118" spans="13:13" x14ac:dyDescent="0.25">
      <c r="M4118" s="21"/>
    </row>
    <row r="4119" spans="13:13" x14ac:dyDescent="0.25">
      <c r="M4119" s="21"/>
    </row>
    <row r="4120" spans="13:13" x14ac:dyDescent="0.25">
      <c r="M4120" s="21"/>
    </row>
    <row r="4121" spans="13:13" x14ac:dyDescent="0.25">
      <c r="M4121" s="21"/>
    </row>
    <row r="4122" spans="13:13" x14ac:dyDescent="0.25">
      <c r="M4122" s="21"/>
    </row>
    <row r="4123" spans="13:13" x14ac:dyDescent="0.25">
      <c r="M4123" s="21"/>
    </row>
    <row r="4124" spans="13:13" x14ac:dyDescent="0.25">
      <c r="M4124" s="21"/>
    </row>
    <row r="4125" spans="13:13" x14ac:dyDescent="0.25">
      <c r="M4125" s="21"/>
    </row>
    <row r="4126" spans="13:13" x14ac:dyDescent="0.25">
      <c r="M4126" s="21"/>
    </row>
    <row r="4127" spans="13:13" x14ac:dyDescent="0.25">
      <c r="M4127" s="21"/>
    </row>
    <row r="4128" spans="13:13" x14ac:dyDescent="0.25">
      <c r="M4128" s="21"/>
    </row>
    <row r="4129" spans="13:13" x14ac:dyDescent="0.25">
      <c r="M4129" s="21"/>
    </row>
    <row r="4130" spans="13:13" x14ac:dyDescent="0.25">
      <c r="M4130" s="21"/>
    </row>
    <row r="4131" spans="13:13" x14ac:dyDescent="0.25">
      <c r="M4131" s="21"/>
    </row>
    <row r="4132" spans="13:13" x14ac:dyDescent="0.25">
      <c r="M4132" s="21"/>
    </row>
    <row r="4133" spans="13:13" x14ac:dyDescent="0.25">
      <c r="M4133" s="21"/>
    </row>
    <row r="4134" spans="13:13" x14ac:dyDescent="0.25">
      <c r="M4134" s="21"/>
    </row>
    <row r="4135" spans="13:13" x14ac:dyDescent="0.25">
      <c r="M4135" s="21"/>
    </row>
    <row r="4136" spans="13:13" x14ac:dyDescent="0.25">
      <c r="M4136" s="21"/>
    </row>
    <row r="4137" spans="13:13" x14ac:dyDescent="0.25">
      <c r="M4137" s="21"/>
    </row>
    <row r="4138" spans="13:13" x14ac:dyDescent="0.25">
      <c r="M4138" s="21"/>
    </row>
    <row r="4139" spans="13:13" x14ac:dyDescent="0.25">
      <c r="M4139" s="21"/>
    </row>
    <row r="4140" spans="13:13" x14ac:dyDescent="0.25">
      <c r="M4140" s="21"/>
    </row>
    <row r="4141" spans="13:13" x14ac:dyDescent="0.25">
      <c r="M4141" s="21"/>
    </row>
    <row r="4142" spans="13:13" x14ac:dyDescent="0.25">
      <c r="M4142" s="21"/>
    </row>
    <row r="4143" spans="13:13" x14ac:dyDescent="0.25">
      <c r="M4143" s="21"/>
    </row>
    <row r="4144" spans="13:13" x14ac:dyDescent="0.25">
      <c r="M4144" s="21"/>
    </row>
    <row r="4145" spans="13:13" x14ac:dyDescent="0.25">
      <c r="M4145" s="21"/>
    </row>
    <row r="4146" spans="13:13" x14ac:dyDescent="0.25">
      <c r="M4146" s="21"/>
    </row>
    <row r="4147" spans="13:13" x14ac:dyDescent="0.25">
      <c r="M4147" s="21"/>
    </row>
    <row r="4148" spans="13:13" x14ac:dyDescent="0.25">
      <c r="M4148" s="21"/>
    </row>
    <row r="4149" spans="13:13" x14ac:dyDescent="0.25">
      <c r="M4149" s="21"/>
    </row>
    <row r="4150" spans="13:13" x14ac:dyDescent="0.25">
      <c r="M4150" s="21"/>
    </row>
    <row r="4151" spans="13:13" x14ac:dyDescent="0.25">
      <c r="M4151" s="21"/>
    </row>
    <row r="4152" spans="13:13" x14ac:dyDescent="0.25">
      <c r="M4152" s="21"/>
    </row>
    <row r="4153" spans="13:13" x14ac:dyDescent="0.25">
      <c r="M4153" s="21"/>
    </row>
    <row r="4154" spans="13:13" x14ac:dyDescent="0.25">
      <c r="M4154" s="21"/>
    </row>
    <row r="4155" spans="13:13" x14ac:dyDescent="0.25">
      <c r="M4155" s="21"/>
    </row>
    <row r="4156" spans="13:13" x14ac:dyDescent="0.25">
      <c r="M4156" s="21"/>
    </row>
    <row r="4157" spans="13:13" x14ac:dyDescent="0.25">
      <c r="M4157" s="21"/>
    </row>
    <row r="4158" spans="13:13" x14ac:dyDescent="0.25">
      <c r="M4158" s="21"/>
    </row>
    <row r="4159" spans="13:13" x14ac:dyDescent="0.25">
      <c r="M4159" s="21"/>
    </row>
    <row r="4160" spans="13:13" x14ac:dyDescent="0.25">
      <c r="M4160" s="21"/>
    </row>
    <row r="4161" spans="13:13" x14ac:dyDescent="0.25">
      <c r="M4161" s="21"/>
    </row>
    <row r="4162" spans="13:13" x14ac:dyDescent="0.25">
      <c r="M4162" s="21"/>
    </row>
    <row r="4163" spans="13:13" x14ac:dyDescent="0.25">
      <c r="M4163" s="21"/>
    </row>
    <row r="4164" spans="13:13" x14ac:dyDescent="0.25">
      <c r="M4164" s="21"/>
    </row>
    <row r="4165" spans="13:13" x14ac:dyDescent="0.25">
      <c r="M4165" s="21"/>
    </row>
    <row r="4166" spans="13:13" x14ac:dyDescent="0.25">
      <c r="M4166" s="21"/>
    </row>
    <row r="4167" spans="13:13" x14ac:dyDescent="0.25">
      <c r="M4167" s="21"/>
    </row>
    <row r="4168" spans="13:13" x14ac:dyDescent="0.25">
      <c r="M4168" s="21"/>
    </row>
    <row r="4169" spans="13:13" x14ac:dyDescent="0.25">
      <c r="M4169" s="21"/>
    </row>
    <row r="4170" spans="13:13" x14ac:dyDescent="0.25">
      <c r="M4170" s="21"/>
    </row>
    <row r="4171" spans="13:13" x14ac:dyDescent="0.25">
      <c r="M4171" s="21"/>
    </row>
    <row r="4172" spans="13:13" x14ac:dyDescent="0.25">
      <c r="M4172" s="21"/>
    </row>
    <row r="4173" spans="13:13" x14ac:dyDescent="0.25">
      <c r="M4173" s="21"/>
    </row>
    <row r="4174" spans="13:13" x14ac:dyDescent="0.25">
      <c r="M4174" s="21"/>
    </row>
    <row r="4175" spans="13:13" x14ac:dyDescent="0.25">
      <c r="M4175" s="21"/>
    </row>
    <row r="4176" spans="13:13" x14ac:dyDescent="0.25">
      <c r="M4176" s="21"/>
    </row>
    <row r="4177" spans="13:13" x14ac:dyDescent="0.25">
      <c r="M4177" s="21"/>
    </row>
    <row r="4178" spans="13:13" x14ac:dyDescent="0.25">
      <c r="M4178" s="21"/>
    </row>
    <row r="4179" spans="13:13" x14ac:dyDescent="0.25">
      <c r="M4179" s="21"/>
    </row>
    <row r="4180" spans="13:13" x14ac:dyDescent="0.25">
      <c r="M4180" s="21"/>
    </row>
    <row r="4181" spans="13:13" x14ac:dyDescent="0.25">
      <c r="M4181" s="21"/>
    </row>
    <row r="4182" spans="13:13" x14ac:dyDescent="0.25">
      <c r="M4182" s="21"/>
    </row>
    <row r="4183" spans="13:13" x14ac:dyDescent="0.25">
      <c r="M4183" s="21"/>
    </row>
    <row r="4184" spans="13:13" x14ac:dyDescent="0.25">
      <c r="M4184" s="21"/>
    </row>
    <row r="4185" spans="13:13" x14ac:dyDescent="0.25">
      <c r="M4185" s="21"/>
    </row>
    <row r="4186" spans="13:13" x14ac:dyDescent="0.25">
      <c r="M4186" s="21"/>
    </row>
    <row r="4187" spans="13:13" x14ac:dyDescent="0.25">
      <c r="M4187" s="21"/>
    </row>
    <row r="4188" spans="13:13" x14ac:dyDescent="0.25">
      <c r="M4188" s="21"/>
    </row>
    <row r="4189" spans="13:13" x14ac:dyDescent="0.25">
      <c r="M4189" s="21"/>
    </row>
    <row r="4190" spans="13:13" x14ac:dyDescent="0.25">
      <c r="M4190" s="21"/>
    </row>
    <row r="4191" spans="13:13" x14ac:dyDescent="0.25">
      <c r="M4191" s="21"/>
    </row>
    <row r="4192" spans="13:13" x14ac:dyDescent="0.25">
      <c r="M4192" s="21"/>
    </row>
    <row r="4193" spans="13:13" x14ac:dyDescent="0.25">
      <c r="M4193" s="21"/>
    </row>
    <row r="4194" spans="13:13" x14ac:dyDescent="0.25">
      <c r="M4194" s="21"/>
    </row>
    <row r="4195" spans="13:13" x14ac:dyDescent="0.25">
      <c r="M4195" s="21"/>
    </row>
    <row r="4196" spans="13:13" x14ac:dyDescent="0.25">
      <c r="M4196" s="21"/>
    </row>
    <row r="4197" spans="13:13" x14ac:dyDescent="0.25">
      <c r="M4197" s="21"/>
    </row>
    <row r="4198" spans="13:13" x14ac:dyDescent="0.25">
      <c r="M4198" s="21"/>
    </row>
    <row r="4199" spans="13:13" x14ac:dyDescent="0.25">
      <c r="M4199" s="21"/>
    </row>
    <row r="4200" spans="13:13" x14ac:dyDescent="0.25">
      <c r="M4200" s="21"/>
    </row>
    <row r="4201" spans="13:13" x14ac:dyDescent="0.25">
      <c r="M4201" s="21"/>
    </row>
    <row r="4202" spans="13:13" x14ac:dyDescent="0.25">
      <c r="M4202" s="21"/>
    </row>
    <row r="4203" spans="13:13" x14ac:dyDescent="0.25">
      <c r="M4203" s="21"/>
    </row>
    <row r="4204" spans="13:13" x14ac:dyDescent="0.25">
      <c r="M4204" s="21"/>
    </row>
    <row r="4205" spans="13:13" x14ac:dyDescent="0.25">
      <c r="M4205" s="21"/>
    </row>
    <row r="4206" spans="13:13" x14ac:dyDescent="0.25">
      <c r="M4206" s="21"/>
    </row>
    <row r="4207" spans="13:13" x14ac:dyDescent="0.25">
      <c r="M4207" s="21"/>
    </row>
    <row r="4208" spans="13:13" x14ac:dyDescent="0.25">
      <c r="M4208" s="21"/>
    </row>
    <row r="4209" spans="13:13" x14ac:dyDescent="0.25">
      <c r="M4209" s="21"/>
    </row>
    <row r="4210" spans="13:13" x14ac:dyDescent="0.25">
      <c r="M4210" s="21"/>
    </row>
    <row r="4211" spans="13:13" x14ac:dyDescent="0.25">
      <c r="M4211" s="21"/>
    </row>
    <row r="4212" spans="13:13" x14ac:dyDescent="0.25">
      <c r="M4212" s="21"/>
    </row>
    <row r="4213" spans="13:13" x14ac:dyDescent="0.25">
      <c r="M4213" s="21"/>
    </row>
    <row r="4214" spans="13:13" x14ac:dyDescent="0.25">
      <c r="M4214" s="21"/>
    </row>
    <row r="4215" spans="13:13" x14ac:dyDescent="0.25">
      <c r="M4215" s="21"/>
    </row>
    <row r="4216" spans="13:13" x14ac:dyDescent="0.25">
      <c r="M4216" s="21"/>
    </row>
    <row r="4217" spans="13:13" x14ac:dyDescent="0.25">
      <c r="M4217" s="21"/>
    </row>
    <row r="4218" spans="13:13" x14ac:dyDescent="0.25">
      <c r="M4218" s="21"/>
    </row>
    <row r="4219" spans="13:13" x14ac:dyDescent="0.25">
      <c r="M4219" s="21"/>
    </row>
    <row r="4220" spans="13:13" x14ac:dyDescent="0.25">
      <c r="M4220" s="21"/>
    </row>
    <row r="4221" spans="13:13" x14ac:dyDescent="0.25">
      <c r="M4221" s="21"/>
    </row>
    <row r="4222" spans="13:13" x14ac:dyDescent="0.25">
      <c r="M4222" s="21"/>
    </row>
    <row r="4223" spans="13:13" x14ac:dyDescent="0.25">
      <c r="M4223" s="21"/>
    </row>
    <row r="4224" spans="13:13" x14ac:dyDescent="0.25">
      <c r="M4224" s="21"/>
    </row>
    <row r="4225" spans="13:13" x14ac:dyDescent="0.25">
      <c r="M4225" s="21"/>
    </row>
    <row r="4226" spans="13:13" x14ac:dyDescent="0.25">
      <c r="M4226" s="21"/>
    </row>
    <row r="4227" spans="13:13" x14ac:dyDescent="0.25">
      <c r="M4227" s="21"/>
    </row>
    <row r="4228" spans="13:13" x14ac:dyDescent="0.25">
      <c r="M4228" s="21"/>
    </row>
    <row r="4229" spans="13:13" x14ac:dyDescent="0.25">
      <c r="M4229" s="21"/>
    </row>
    <row r="4230" spans="13:13" x14ac:dyDescent="0.25">
      <c r="M4230" s="21"/>
    </row>
    <row r="4231" spans="13:13" x14ac:dyDescent="0.25">
      <c r="M4231" s="21"/>
    </row>
    <row r="4232" spans="13:13" x14ac:dyDescent="0.25">
      <c r="M4232" s="21"/>
    </row>
    <row r="4233" spans="13:13" x14ac:dyDescent="0.25">
      <c r="M4233" s="21"/>
    </row>
    <row r="4234" spans="13:13" x14ac:dyDescent="0.25">
      <c r="M4234" s="21"/>
    </row>
    <row r="4235" spans="13:13" x14ac:dyDescent="0.25">
      <c r="M4235" s="21"/>
    </row>
    <row r="4236" spans="13:13" x14ac:dyDescent="0.25">
      <c r="M4236" s="21"/>
    </row>
    <row r="4237" spans="13:13" x14ac:dyDescent="0.25">
      <c r="M4237" s="21"/>
    </row>
    <row r="4238" spans="13:13" x14ac:dyDescent="0.25">
      <c r="M4238" s="21"/>
    </row>
    <row r="4239" spans="13:13" x14ac:dyDescent="0.25">
      <c r="M4239" s="21"/>
    </row>
    <row r="4240" spans="13:13" x14ac:dyDescent="0.25">
      <c r="M4240" s="21"/>
    </row>
    <row r="4241" spans="13:13" x14ac:dyDescent="0.25">
      <c r="M4241" s="21"/>
    </row>
    <row r="4242" spans="13:13" x14ac:dyDescent="0.25">
      <c r="M4242" s="21"/>
    </row>
    <row r="4243" spans="13:13" x14ac:dyDescent="0.25">
      <c r="M4243" s="21"/>
    </row>
    <row r="4244" spans="13:13" x14ac:dyDescent="0.25">
      <c r="M4244" s="21"/>
    </row>
    <row r="4245" spans="13:13" x14ac:dyDescent="0.25">
      <c r="M4245" s="21"/>
    </row>
    <row r="4246" spans="13:13" x14ac:dyDescent="0.25">
      <c r="M4246" s="21"/>
    </row>
    <row r="4247" spans="13:13" x14ac:dyDescent="0.25">
      <c r="M4247" s="21"/>
    </row>
    <row r="4248" spans="13:13" x14ac:dyDescent="0.25">
      <c r="M4248" s="21"/>
    </row>
    <row r="4249" spans="13:13" x14ac:dyDescent="0.25">
      <c r="M4249" s="21"/>
    </row>
    <row r="4250" spans="13:13" x14ac:dyDescent="0.25">
      <c r="M4250" s="21"/>
    </row>
    <row r="4251" spans="13:13" x14ac:dyDescent="0.25">
      <c r="M4251" s="21"/>
    </row>
    <row r="4252" spans="13:13" x14ac:dyDescent="0.25">
      <c r="M4252" s="21"/>
    </row>
    <row r="4253" spans="13:13" x14ac:dyDescent="0.25">
      <c r="M4253" s="21"/>
    </row>
    <row r="4254" spans="13:13" x14ac:dyDescent="0.25">
      <c r="M4254" s="21"/>
    </row>
    <row r="4255" spans="13:13" x14ac:dyDescent="0.25">
      <c r="M4255" s="21"/>
    </row>
    <row r="4256" spans="13:13" x14ac:dyDescent="0.25">
      <c r="M4256" s="21"/>
    </row>
    <row r="4257" spans="13:13" x14ac:dyDescent="0.25">
      <c r="M4257" s="21"/>
    </row>
    <row r="4258" spans="13:13" x14ac:dyDescent="0.25">
      <c r="M4258" s="21"/>
    </row>
    <row r="4259" spans="13:13" x14ac:dyDescent="0.25">
      <c r="M4259" s="21"/>
    </row>
    <row r="4260" spans="13:13" x14ac:dyDescent="0.25">
      <c r="M4260" s="21"/>
    </row>
    <row r="4261" spans="13:13" x14ac:dyDescent="0.25">
      <c r="M4261" s="21"/>
    </row>
    <row r="4262" spans="13:13" x14ac:dyDescent="0.25">
      <c r="M4262" s="21"/>
    </row>
    <row r="4263" spans="13:13" x14ac:dyDescent="0.25">
      <c r="M4263" s="21"/>
    </row>
    <row r="4264" spans="13:13" x14ac:dyDescent="0.25">
      <c r="M4264" s="21"/>
    </row>
    <row r="4265" spans="13:13" x14ac:dyDescent="0.25">
      <c r="M4265" s="21"/>
    </row>
    <row r="4266" spans="13:13" x14ac:dyDescent="0.25">
      <c r="M4266" s="21"/>
    </row>
    <row r="4267" spans="13:13" x14ac:dyDescent="0.25">
      <c r="M4267" s="21"/>
    </row>
    <row r="4268" spans="13:13" x14ac:dyDescent="0.25">
      <c r="M4268" s="21"/>
    </row>
    <row r="4269" spans="13:13" x14ac:dyDescent="0.25">
      <c r="M4269" s="21"/>
    </row>
    <row r="4270" spans="13:13" x14ac:dyDescent="0.25">
      <c r="M4270" s="21"/>
    </row>
    <row r="4271" spans="13:13" x14ac:dyDescent="0.25">
      <c r="M4271" s="21"/>
    </row>
    <row r="4272" spans="13:13" x14ac:dyDescent="0.25">
      <c r="M4272" s="21"/>
    </row>
    <row r="4273" spans="13:13" x14ac:dyDescent="0.25">
      <c r="M4273" s="21"/>
    </row>
    <row r="4274" spans="13:13" x14ac:dyDescent="0.25">
      <c r="M4274" s="21"/>
    </row>
    <row r="4275" spans="13:13" x14ac:dyDescent="0.25">
      <c r="M4275" s="21"/>
    </row>
    <row r="4276" spans="13:13" x14ac:dyDescent="0.25">
      <c r="M4276" s="21"/>
    </row>
    <row r="4277" spans="13:13" x14ac:dyDescent="0.25">
      <c r="M4277" s="21"/>
    </row>
    <row r="4278" spans="13:13" x14ac:dyDescent="0.25">
      <c r="M4278" s="21"/>
    </row>
    <row r="4279" spans="13:13" x14ac:dyDescent="0.25">
      <c r="M4279" s="21"/>
    </row>
    <row r="4280" spans="13:13" x14ac:dyDescent="0.25">
      <c r="M4280" s="21"/>
    </row>
    <row r="4281" spans="13:13" x14ac:dyDescent="0.25">
      <c r="M4281" s="21"/>
    </row>
    <row r="4282" spans="13:13" x14ac:dyDescent="0.25">
      <c r="M4282" s="21"/>
    </row>
    <row r="4283" spans="13:13" x14ac:dyDescent="0.25">
      <c r="M4283" s="21"/>
    </row>
    <row r="4284" spans="13:13" x14ac:dyDescent="0.25">
      <c r="M4284" s="21"/>
    </row>
    <row r="4285" spans="13:13" x14ac:dyDescent="0.25">
      <c r="M4285" s="21"/>
    </row>
    <row r="4286" spans="13:13" x14ac:dyDescent="0.25">
      <c r="M4286" s="21"/>
    </row>
    <row r="4287" spans="13:13" x14ac:dyDescent="0.25">
      <c r="M4287" s="21"/>
    </row>
    <row r="4288" spans="13:13" x14ac:dyDescent="0.25">
      <c r="M4288" s="21"/>
    </row>
    <row r="4289" spans="13:13" x14ac:dyDescent="0.25">
      <c r="M4289" s="21"/>
    </row>
    <row r="4290" spans="13:13" x14ac:dyDescent="0.25">
      <c r="M4290" s="21"/>
    </row>
    <row r="4291" spans="13:13" x14ac:dyDescent="0.25">
      <c r="M4291" s="21"/>
    </row>
    <row r="4292" spans="13:13" x14ac:dyDescent="0.25">
      <c r="M4292" s="21"/>
    </row>
    <row r="4293" spans="13:13" x14ac:dyDescent="0.25">
      <c r="M4293" s="21"/>
    </row>
    <row r="4294" spans="13:13" x14ac:dyDescent="0.25">
      <c r="M4294" s="21"/>
    </row>
    <row r="4295" spans="13:13" x14ac:dyDescent="0.25">
      <c r="M4295" s="21"/>
    </row>
    <row r="4296" spans="13:13" x14ac:dyDescent="0.25">
      <c r="M4296" s="21"/>
    </row>
    <row r="4297" spans="13:13" x14ac:dyDescent="0.25">
      <c r="M4297" s="21"/>
    </row>
    <row r="4298" spans="13:13" x14ac:dyDescent="0.25">
      <c r="M4298" s="21"/>
    </row>
    <row r="4299" spans="13:13" x14ac:dyDescent="0.25">
      <c r="M4299" s="21"/>
    </row>
    <row r="4300" spans="13:13" x14ac:dyDescent="0.25">
      <c r="M4300" s="21"/>
    </row>
    <row r="4301" spans="13:13" x14ac:dyDescent="0.25">
      <c r="M4301" s="21"/>
    </row>
    <row r="4302" spans="13:13" x14ac:dyDescent="0.25">
      <c r="M4302" s="21"/>
    </row>
    <row r="4303" spans="13:13" x14ac:dyDescent="0.25">
      <c r="M4303" s="21"/>
    </row>
    <row r="4304" spans="13:13" x14ac:dyDescent="0.25">
      <c r="M4304" s="21"/>
    </row>
    <row r="4305" spans="13:13" x14ac:dyDescent="0.25">
      <c r="M4305" s="21"/>
    </row>
    <row r="4306" spans="13:13" x14ac:dyDescent="0.25">
      <c r="M4306" s="21"/>
    </row>
    <row r="4307" spans="13:13" x14ac:dyDescent="0.25">
      <c r="M4307" s="21"/>
    </row>
    <row r="4308" spans="13:13" x14ac:dyDescent="0.25">
      <c r="M4308" s="21"/>
    </row>
    <row r="4309" spans="13:13" x14ac:dyDescent="0.25">
      <c r="M4309" s="21"/>
    </row>
    <row r="4310" spans="13:13" x14ac:dyDescent="0.25">
      <c r="M4310" s="21"/>
    </row>
    <row r="4311" spans="13:13" x14ac:dyDescent="0.25">
      <c r="M4311" s="21"/>
    </row>
    <row r="4312" spans="13:13" x14ac:dyDescent="0.25">
      <c r="M4312" s="21"/>
    </row>
    <row r="4313" spans="13:13" x14ac:dyDescent="0.25">
      <c r="M4313" s="21"/>
    </row>
    <row r="4314" spans="13:13" x14ac:dyDescent="0.25">
      <c r="M4314" s="21"/>
    </row>
    <row r="4315" spans="13:13" x14ac:dyDescent="0.25">
      <c r="M4315" s="21"/>
    </row>
    <row r="4316" spans="13:13" x14ac:dyDescent="0.25">
      <c r="M4316" s="21"/>
    </row>
    <row r="4317" spans="13:13" x14ac:dyDescent="0.25">
      <c r="M4317" s="21"/>
    </row>
    <row r="4318" spans="13:13" x14ac:dyDescent="0.25">
      <c r="M4318" s="21"/>
    </row>
    <row r="4319" spans="13:13" x14ac:dyDescent="0.25">
      <c r="M4319" s="21"/>
    </row>
    <row r="4320" spans="13:13" x14ac:dyDescent="0.25">
      <c r="M4320" s="21"/>
    </row>
    <row r="4321" spans="13:13" x14ac:dyDescent="0.25">
      <c r="M4321" s="21"/>
    </row>
    <row r="4322" spans="13:13" x14ac:dyDescent="0.25">
      <c r="M4322" s="21"/>
    </row>
    <row r="4323" spans="13:13" x14ac:dyDescent="0.25">
      <c r="M4323" s="21"/>
    </row>
    <row r="4324" spans="13:13" x14ac:dyDescent="0.25">
      <c r="M4324" s="21"/>
    </row>
    <row r="4325" spans="13:13" x14ac:dyDescent="0.25">
      <c r="M4325" s="21"/>
    </row>
    <row r="4326" spans="13:13" x14ac:dyDescent="0.25">
      <c r="M4326" s="21"/>
    </row>
    <row r="4327" spans="13:13" x14ac:dyDescent="0.25">
      <c r="M4327" s="21"/>
    </row>
    <row r="4328" spans="13:13" x14ac:dyDescent="0.25">
      <c r="M4328" s="21"/>
    </row>
    <row r="4329" spans="13:13" x14ac:dyDescent="0.25">
      <c r="M4329" s="21"/>
    </row>
    <row r="4330" spans="13:13" x14ac:dyDescent="0.25">
      <c r="M4330" s="21"/>
    </row>
    <row r="4331" spans="13:13" x14ac:dyDescent="0.25">
      <c r="M4331" s="21"/>
    </row>
    <row r="4332" spans="13:13" x14ac:dyDescent="0.25">
      <c r="M4332" s="21"/>
    </row>
    <row r="4333" spans="13:13" x14ac:dyDescent="0.25">
      <c r="M4333" s="21"/>
    </row>
    <row r="4334" spans="13:13" x14ac:dyDescent="0.25">
      <c r="M4334" s="21"/>
    </row>
    <row r="4335" spans="13:13" x14ac:dyDescent="0.25">
      <c r="M4335" s="21"/>
    </row>
    <row r="4336" spans="13:13" x14ac:dyDescent="0.25">
      <c r="M4336" s="21"/>
    </row>
    <row r="4337" spans="13:13" x14ac:dyDescent="0.25">
      <c r="M4337" s="21"/>
    </row>
    <row r="4338" spans="13:13" x14ac:dyDescent="0.25">
      <c r="M4338" s="21"/>
    </row>
    <row r="4339" spans="13:13" x14ac:dyDescent="0.25">
      <c r="M4339" s="21"/>
    </row>
    <row r="4340" spans="13:13" x14ac:dyDescent="0.25">
      <c r="M4340" s="21"/>
    </row>
    <row r="4341" spans="13:13" x14ac:dyDescent="0.25">
      <c r="M4341" s="21"/>
    </row>
    <row r="4342" spans="13:13" x14ac:dyDescent="0.25">
      <c r="M4342" s="21"/>
    </row>
    <row r="4343" spans="13:13" x14ac:dyDescent="0.25">
      <c r="M4343" s="21"/>
    </row>
    <row r="4344" spans="13:13" x14ac:dyDescent="0.25">
      <c r="M4344" s="21"/>
    </row>
    <row r="4345" spans="13:13" x14ac:dyDescent="0.25">
      <c r="M4345" s="21"/>
    </row>
    <row r="4346" spans="13:13" x14ac:dyDescent="0.25">
      <c r="M4346" s="21"/>
    </row>
    <row r="4347" spans="13:13" x14ac:dyDescent="0.25">
      <c r="M4347" s="21"/>
    </row>
    <row r="4348" spans="13:13" x14ac:dyDescent="0.25">
      <c r="M4348" s="21"/>
    </row>
    <row r="4349" spans="13:13" x14ac:dyDescent="0.25">
      <c r="M4349" s="21"/>
    </row>
    <row r="4350" spans="13:13" x14ac:dyDescent="0.25">
      <c r="M4350" s="21"/>
    </row>
    <row r="4351" spans="13:13" x14ac:dyDescent="0.25">
      <c r="M4351" s="21"/>
    </row>
    <row r="4352" spans="13:13" x14ac:dyDescent="0.25">
      <c r="M4352" s="21"/>
    </row>
    <row r="4353" spans="13:13" x14ac:dyDescent="0.25">
      <c r="M4353" s="21"/>
    </row>
    <row r="4354" spans="13:13" x14ac:dyDescent="0.25">
      <c r="M4354" s="21"/>
    </row>
    <row r="4355" spans="13:13" x14ac:dyDescent="0.25">
      <c r="M4355" s="21"/>
    </row>
    <row r="4356" spans="13:13" x14ac:dyDescent="0.25">
      <c r="M4356" s="21"/>
    </row>
    <row r="4357" spans="13:13" x14ac:dyDescent="0.25">
      <c r="M4357" s="21"/>
    </row>
    <row r="4358" spans="13:13" x14ac:dyDescent="0.25">
      <c r="M4358" s="21"/>
    </row>
    <row r="4359" spans="13:13" x14ac:dyDescent="0.25">
      <c r="M4359" s="21"/>
    </row>
    <row r="4360" spans="13:13" x14ac:dyDescent="0.25">
      <c r="M4360" s="21"/>
    </row>
    <row r="4361" spans="13:13" x14ac:dyDescent="0.25">
      <c r="M4361" s="21"/>
    </row>
    <row r="4362" spans="13:13" x14ac:dyDescent="0.25">
      <c r="M4362" s="21"/>
    </row>
    <row r="4363" spans="13:13" x14ac:dyDescent="0.25">
      <c r="M4363" s="21"/>
    </row>
    <row r="4364" spans="13:13" x14ac:dyDescent="0.25">
      <c r="M4364" s="21"/>
    </row>
    <row r="4365" spans="13:13" x14ac:dyDescent="0.25">
      <c r="M4365" s="21"/>
    </row>
    <row r="4366" spans="13:13" x14ac:dyDescent="0.25">
      <c r="M4366" s="21"/>
    </row>
    <row r="4367" spans="13:13" x14ac:dyDescent="0.25">
      <c r="M4367" s="21"/>
    </row>
    <row r="4368" spans="13:13" x14ac:dyDescent="0.25">
      <c r="M4368" s="21"/>
    </row>
    <row r="4369" spans="13:13" x14ac:dyDescent="0.25">
      <c r="M4369" s="21"/>
    </row>
    <row r="4370" spans="13:13" x14ac:dyDescent="0.25">
      <c r="M4370" s="21"/>
    </row>
    <row r="4371" spans="13:13" x14ac:dyDescent="0.25">
      <c r="M4371" s="21"/>
    </row>
    <row r="4372" spans="13:13" x14ac:dyDescent="0.25">
      <c r="M4372" s="21"/>
    </row>
    <row r="4373" spans="13:13" x14ac:dyDescent="0.25">
      <c r="M4373" s="21"/>
    </row>
    <row r="4374" spans="13:13" x14ac:dyDescent="0.25">
      <c r="M4374" s="21"/>
    </row>
    <row r="4375" spans="13:13" x14ac:dyDescent="0.25">
      <c r="M4375" s="21"/>
    </row>
    <row r="4376" spans="13:13" x14ac:dyDescent="0.25">
      <c r="M4376" s="21"/>
    </row>
    <row r="4377" spans="13:13" x14ac:dyDescent="0.25">
      <c r="M4377" s="21"/>
    </row>
    <row r="4378" spans="13:13" x14ac:dyDescent="0.25">
      <c r="M4378" s="21"/>
    </row>
    <row r="4379" spans="13:13" x14ac:dyDescent="0.25">
      <c r="M4379" s="21"/>
    </row>
    <row r="4380" spans="13:13" x14ac:dyDescent="0.25">
      <c r="M4380" s="21"/>
    </row>
    <row r="4381" spans="13:13" x14ac:dyDescent="0.25">
      <c r="M4381" s="21"/>
    </row>
    <row r="4382" spans="13:13" x14ac:dyDescent="0.25">
      <c r="M4382" s="21"/>
    </row>
    <row r="4383" spans="13:13" x14ac:dyDescent="0.25">
      <c r="M4383" s="21"/>
    </row>
    <row r="4384" spans="13:13" x14ac:dyDescent="0.25">
      <c r="M4384" s="21"/>
    </row>
    <row r="4385" spans="13:13" x14ac:dyDescent="0.25">
      <c r="M4385" s="21"/>
    </row>
    <row r="4386" spans="13:13" x14ac:dyDescent="0.25">
      <c r="M4386" s="21"/>
    </row>
    <row r="4387" spans="13:13" x14ac:dyDescent="0.25">
      <c r="M4387" s="21"/>
    </row>
    <row r="4388" spans="13:13" x14ac:dyDescent="0.25">
      <c r="M4388" s="21"/>
    </row>
    <row r="4389" spans="13:13" x14ac:dyDescent="0.25">
      <c r="M4389" s="21"/>
    </row>
    <row r="4390" spans="13:13" x14ac:dyDescent="0.25">
      <c r="M4390" s="21"/>
    </row>
    <row r="4391" spans="13:13" x14ac:dyDescent="0.25">
      <c r="M4391" s="21"/>
    </row>
    <row r="4392" spans="13:13" x14ac:dyDescent="0.25">
      <c r="M4392" s="21"/>
    </row>
    <row r="4393" spans="13:13" x14ac:dyDescent="0.25">
      <c r="M4393" s="21"/>
    </row>
    <row r="4394" spans="13:13" x14ac:dyDescent="0.25">
      <c r="M4394" s="21"/>
    </row>
    <row r="4395" spans="13:13" x14ac:dyDescent="0.25">
      <c r="M4395" s="21"/>
    </row>
    <row r="4396" spans="13:13" x14ac:dyDescent="0.25">
      <c r="M4396" s="21"/>
    </row>
    <row r="4397" spans="13:13" x14ac:dyDescent="0.25">
      <c r="M4397" s="21"/>
    </row>
    <row r="4398" spans="13:13" x14ac:dyDescent="0.25">
      <c r="M4398" s="21"/>
    </row>
    <row r="4399" spans="13:13" x14ac:dyDescent="0.25">
      <c r="M4399" s="21"/>
    </row>
    <row r="4400" spans="13:13" x14ac:dyDescent="0.25">
      <c r="M4400" s="21"/>
    </row>
    <row r="4401" spans="13:13" x14ac:dyDescent="0.25">
      <c r="M4401" s="21"/>
    </row>
    <row r="4402" spans="13:13" x14ac:dyDescent="0.25">
      <c r="M4402" s="21"/>
    </row>
    <row r="4403" spans="13:13" x14ac:dyDescent="0.25">
      <c r="M4403" s="21"/>
    </row>
    <row r="4404" spans="13:13" x14ac:dyDescent="0.25">
      <c r="M4404" s="21"/>
    </row>
    <row r="4405" spans="13:13" x14ac:dyDescent="0.25">
      <c r="M4405" s="21"/>
    </row>
    <row r="4406" spans="13:13" x14ac:dyDescent="0.25">
      <c r="M4406" s="21"/>
    </row>
    <row r="4407" spans="13:13" x14ac:dyDescent="0.25">
      <c r="M4407" s="21"/>
    </row>
    <row r="4408" spans="13:13" x14ac:dyDescent="0.25">
      <c r="M4408" s="21"/>
    </row>
    <row r="4409" spans="13:13" x14ac:dyDescent="0.25">
      <c r="M4409" s="21"/>
    </row>
    <row r="4410" spans="13:13" x14ac:dyDescent="0.25">
      <c r="M4410" s="21"/>
    </row>
    <row r="4411" spans="13:13" x14ac:dyDescent="0.25">
      <c r="M4411" s="21"/>
    </row>
    <row r="4412" spans="13:13" x14ac:dyDescent="0.25">
      <c r="M4412" s="21"/>
    </row>
    <row r="4413" spans="13:13" x14ac:dyDescent="0.25">
      <c r="M4413" s="21"/>
    </row>
    <row r="4414" spans="13:13" x14ac:dyDescent="0.25">
      <c r="M4414" s="21"/>
    </row>
    <row r="4415" spans="13:13" x14ac:dyDescent="0.25">
      <c r="M4415" s="21"/>
    </row>
    <row r="4416" spans="13:13" x14ac:dyDescent="0.25">
      <c r="M4416" s="21"/>
    </row>
    <row r="4417" spans="13:13" x14ac:dyDescent="0.25">
      <c r="M4417" s="21"/>
    </row>
    <row r="4418" spans="13:13" x14ac:dyDescent="0.25">
      <c r="M4418" s="21"/>
    </row>
    <row r="4419" spans="13:13" x14ac:dyDescent="0.25">
      <c r="M4419" s="21"/>
    </row>
    <row r="4420" spans="13:13" x14ac:dyDescent="0.25">
      <c r="M4420" s="21"/>
    </row>
    <row r="4421" spans="13:13" x14ac:dyDescent="0.25">
      <c r="M4421" s="21"/>
    </row>
    <row r="4422" spans="13:13" x14ac:dyDescent="0.25">
      <c r="M4422" s="21"/>
    </row>
    <row r="4423" spans="13:13" x14ac:dyDescent="0.25">
      <c r="M4423" s="21"/>
    </row>
    <row r="4424" spans="13:13" x14ac:dyDescent="0.25">
      <c r="M4424" s="21"/>
    </row>
    <row r="4425" spans="13:13" x14ac:dyDescent="0.25">
      <c r="M4425" s="21"/>
    </row>
    <row r="4426" spans="13:13" x14ac:dyDescent="0.25">
      <c r="M4426" s="21"/>
    </row>
    <row r="4427" spans="13:13" x14ac:dyDescent="0.25">
      <c r="M4427" s="21"/>
    </row>
    <row r="4428" spans="13:13" x14ac:dyDescent="0.25">
      <c r="M4428" s="21"/>
    </row>
    <row r="4429" spans="13:13" x14ac:dyDescent="0.25">
      <c r="M4429" s="21"/>
    </row>
    <row r="4430" spans="13:13" x14ac:dyDescent="0.25">
      <c r="M4430" s="21"/>
    </row>
    <row r="4431" spans="13:13" x14ac:dyDescent="0.25">
      <c r="M4431" s="21"/>
    </row>
    <row r="4432" spans="13:13" x14ac:dyDescent="0.25">
      <c r="M4432" s="21"/>
    </row>
    <row r="4433" spans="13:13" x14ac:dyDescent="0.25">
      <c r="M4433" s="21"/>
    </row>
    <row r="4434" spans="13:13" x14ac:dyDescent="0.25">
      <c r="M4434" s="21"/>
    </row>
    <row r="4435" spans="13:13" x14ac:dyDescent="0.25">
      <c r="M4435" s="21"/>
    </row>
    <row r="4436" spans="13:13" x14ac:dyDescent="0.25">
      <c r="M4436" s="21"/>
    </row>
    <row r="4437" spans="13:13" x14ac:dyDescent="0.25">
      <c r="M4437" s="21"/>
    </row>
    <row r="4438" spans="13:13" x14ac:dyDescent="0.25">
      <c r="M4438" s="21"/>
    </row>
    <row r="4439" spans="13:13" x14ac:dyDescent="0.25">
      <c r="M4439" s="21"/>
    </row>
    <row r="4440" spans="13:13" x14ac:dyDescent="0.25">
      <c r="M4440" s="21"/>
    </row>
    <row r="4441" spans="13:13" x14ac:dyDescent="0.25">
      <c r="M4441" s="21"/>
    </row>
    <row r="4442" spans="13:13" x14ac:dyDescent="0.25">
      <c r="M4442" s="21"/>
    </row>
    <row r="4443" spans="13:13" x14ac:dyDescent="0.25">
      <c r="M4443" s="21"/>
    </row>
    <row r="4444" spans="13:13" x14ac:dyDescent="0.25">
      <c r="M4444" s="21"/>
    </row>
    <row r="4445" spans="13:13" x14ac:dyDescent="0.25">
      <c r="M4445" s="21"/>
    </row>
    <row r="4446" spans="13:13" x14ac:dyDescent="0.25">
      <c r="M4446" s="21"/>
    </row>
    <row r="4447" spans="13:13" x14ac:dyDescent="0.25">
      <c r="M4447" s="21"/>
    </row>
    <row r="4448" spans="13:13" x14ac:dyDescent="0.25">
      <c r="M4448" s="21"/>
    </row>
    <row r="4449" spans="13:13" x14ac:dyDescent="0.25">
      <c r="M4449" s="21"/>
    </row>
    <row r="4450" spans="13:13" x14ac:dyDescent="0.25">
      <c r="M4450" s="21"/>
    </row>
    <row r="4451" spans="13:13" x14ac:dyDescent="0.25">
      <c r="M4451" s="21"/>
    </row>
    <row r="4452" spans="13:13" x14ac:dyDescent="0.25">
      <c r="M4452" s="21"/>
    </row>
    <row r="4453" spans="13:13" x14ac:dyDescent="0.25">
      <c r="M4453" s="21"/>
    </row>
    <row r="4454" spans="13:13" x14ac:dyDescent="0.25">
      <c r="M4454" s="21"/>
    </row>
    <row r="4455" spans="13:13" x14ac:dyDescent="0.25">
      <c r="M4455" s="21"/>
    </row>
    <row r="4456" spans="13:13" x14ac:dyDescent="0.25">
      <c r="M4456" s="21"/>
    </row>
    <row r="4457" spans="13:13" x14ac:dyDescent="0.25">
      <c r="M4457" s="21"/>
    </row>
    <row r="4458" spans="13:13" x14ac:dyDescent="0.25">
      <c r="M4458" s="21"/>
    </row>
    <row r="4459" spans="13:13" x14ac:dyDescent="0.25">
      <c r="M4459" s="21"/>
    </row>
    <row r="4460" spans="13:13" x14ac:dyDescent="0.25">
      <c r="M4460" s="21"/>
    </row>
    <row r="4461" spans="13:13" x14ac:dyDescent="0.25">
      <c r="M4461" s="21"/>
    </row>
    <row r="4462" spans="13:13" x14ac:dyDescent="0.25">
      <c r="M4462" s="21"/>
    </row>
    <row r="4463" spans="13:13" x14ac:dyDescent="0.25">
      <c r="M4463" s="21"/>
    </row>
    <row r="4464" spans="13:13" x14ac:dyDescent="0.25">
      <c r="M4464" s="21"/>
    </row>
    <row r="4465" spans="13:13" x14ac:dyDescent="0.25">
      <c r="M4465" s="21"/>
    </row>
    <row r="4466" spans="13:13" x14ac:dyDescent="0.25">
      <c r="M4466" s="21"/>
    </row>
    <row r="4467" spans="13:13" x14ac:dyDescent="0.25">
      <c r="M4467" s="21"/>
    </row>
    <row r="4468" spans="13:13" x14ac:dyDescent="0.25">
      <c r="M4468" s="21"/>
    </row>
    <row r="4469" spans="13:13" x14ac:dyDescent="0.25">
      <c r="M4469" s="21"/>
    </row>
    <row r="4470" spans="13:13" x14ac:dyDescent="0.25">
      <c r="M4470" s="21"/>
    </row>
    <row r="4471" spans="13:13" x14ac:dyDescent="0.25">
      <c r="M4471" s="21"/>
    </row>
    <row r="4472" spans="13:13" x14ac:dyDescent="0.25">
      <c r="M4472" s="21"/>
    </row>
    <row r="4473" spans="13:13" x14ac:dyDescent="0.25">
      <c r="M4473" s="21"/>
    </row>
    <row r="4474" spans="13:13" x14ac:dyDescent="0.25">
      <c r="M4474" s="21"/>
    </row>
    <row r="4475" spans="13:13" x14ac:dyDescent="0.25">
      <c r="M4475" s="21"/>
    </row>
    <row r="4476" spans="13:13" x14ac:dyDescent="0.25">
      <c r="M4476" s="21"/>
    </row>
    <row r="4477" spans="13:13" x14ac:dyDescent="0.25">
      <c r="M4477" s="21"/>
    </row>
    <row r="4478" spans="13:13" x14ac:dyDescent="0.25">
      <c r="M4478" s="21"/>
    </row>
    <row r="4479" spans="13:13" x14ac:dyDescent="0.25">
      <c r="M4479" s="21"/>
    </row>
    <row r="4480" spans="13:13" x14ac:dyDescent="0.25">
      <c r="M4480" s="21"/>
    </row>
    <row r="4481" spans="13:13" x14ac:dyDescent="0.25">
      <c r="M4481" s="21"/>
    </row>
    <row r="4482" spans="13:13" x14ac:dyDescent="0.25">
      <c r="M4482" s="21"/>
    </row>
    <row r="4483" spans="13:13" x14ac:dyDescent="0.25">
      <c r="M4483" s="21"/>
    </row>
    <row r="4484" spans="13:13" x14ac:dyDescent="0.25">
      <c r="M4484" s="21"/>
    </row>
    <row r="4485" spans="13:13" x14ac:dyDescent="0.25">
      <c r="M4485" s="21"/>
    </row>
    <row r="4486" spans="13:13" x14ac:dyDescent="0.25">
      <c r="M4486" s="21"/>
    </row>
    <row r="4487" spans="13:13" x14ac:dyDescent="0.25">
      <c r="M4487" s="21"/>
    </row>
    <row r="4488" spans="13:13" x14ac:dyDescent="0.25">
      <c r="M4488" s="21"/>
    </row>
    <row r="4489" spans="13:13" x14ac:dyDescent="0.25">
      <c r="M4489" s="21"/>
    </row>
    <row r="4490" spans="13:13" x14ac:dyDescent="0.25">
      <c r="M4490" s="21"/>
    </row>
    <row r="4491" spans="13:13" x14ac:dyDescent="0.25">
      <c r="M4491" s="21"/>
    </row>
    <row r="4492" spans="13:13" x14ac:dyDescent="0.25">
      <c r="M4492" s="21"/>
    </row>
    <row r="4493" spans="13:13" x14ac:dyDescent="0.25">
      <c r="M4493" s="21"/>
    </row>
    <row r="4494" spans="13:13" x14ac:dyDescent="0.25">
      <c r="M4494" s="21"/>
    </row>
    <row r="4495" spans="13:13" x14ac:dyDescent="0.25">
      <c r="M4495" s="21"/>
    </row>
    <row r="4496" spans="13:13" x14ac:dyDescent="0.25">
      <c r="M4496" s="21"/>
    </row>
    <row r="4497" spans="13:13" x14ac:dyDescent="0.25">
      <c r="M4497" s="21"/>
    </row>
    <row r="4498" spans="13:13" x14ac:dyDescent="0.25">
      <c r="M4498" s="21"/>
    </row>
    <row r="4499" spans="13:13" x14ac:dyDescent="0.25">
      <c r="M4499" s="21"/>
    </row>
    <row r="4500" spans="13:13" x14ac:dyDescent="0.25">
      <c r="M4500" s="21"/>
    </row>
    <row r="4501" spans="13:13" x14ac:dyDescent="0.25">
      <c r="M4501" s="21"/>
    </row>
    <row r="4502" spans="13:13" x14ac:dyDescent="0.25">
      <c r="M4502" s="21"/>
    </row>
    <row r="4503" spans="13:13" x14ac:dyDescent="0.25">
      <c r="M4503" s="21"/>
    </row>
    <row r="4504" spans="13:13" x14ac:dyDescent="0.25">
      <c r="M4504" s="21"/>
    </row>
    <row r="4505" spans="13:13" x14ac:dyDescent="0.25">
      <c r="M4505" s="21"/>
    </row>
    <row r="4506" spans="13:13" x14ac:dyDescent="0.25">
      <c r="M4506" s="21"/>
    </row>
    <row r="4507" spans="13:13" x14ac:dyDescent="0.25">
      <c r="M4507" s="21"/>
    </row>
    <row r="4508" spans="13:13" x14ac:dyDescent="0.25">
      <c r="M4508" s="21"/>
    </row>
    <row r="4509" spans="13:13" x14ac:dyDescent="0.25">
      <c r="M4509" s="21"/>
    </row>
    <row r="4510" spans="13:13" x14ac:dyDescent="0.25">
      <c r="M4510" s="21"/>
    </row>
    <row r="4511" spans="13:13" x14ac:dyDescent="0.25">
      <c r="M4511" s="21"/>
    </row>
    <row r="4512" spans="13:13" x14ac:dyDescent="0.25">
      <c r="M4512" s="21"/>
    </row>
    <row r="4513" spans="13:13" x14ac:dyDescent="0.25">
      <c r="M4513" s="21"/>
    </row>
    <row r="4514" spans="13:13" x14ac:dyDescent="0.25">
      <c r="M4514" s="21"/>
    </row>
    <row r="4515" spans="13:13" x14ac:dyDescent="0.25">
      <c r="M4515" s="21"/>
    </row>
    <row r="4516" spans="13:13" x14ac:dyDescent="0.25">
      <c r="M4516" s="21"/>
    </row>
    <row r="4517" spans="13:13" x14ac:dyDescent="0.25">
      <c r="M4517" s="21"/>
    </row>
    <row r="4518" spans="13:13" x14ac:dyDescent="0.25">
      <c r="M4518" s="21"/>
    </row>
    <row r="4519" spans="13:13" x14ac:dyDescent="0.25">
      <c r="M4519" s="21"/>
    </row>
    <row r="4520" spans="13:13" x14ac:dyDescent="0.25">
      <c r="M4520" s="21"/>
    </row>
    <row r="4521" spans="13:13" x14ac:dyDescent="0.25">
      <c r="M4521" s="21"/>
    </row>
    <row r="4522" spans="13:13" x14ac:dyDescent="0.25">
      <c r="M4522" s="21"/>
    </row>
    <row r="4523" spans="13:13" x14ac:dyDescent="0.25">
      <c r="M4523" s="21"/>
    </row>
    <row r="4524" spans="13:13" x14ac:dyDescent="0.25">
      <c r="M4524" s="21"/>
    </row>
    <row r="4525" spans="13:13" x14ac:dyDescent="0.25">
      <c r="M4525" s="21"/>
    </row>
    <row r="4526" spans="13:13" x14ac:dyDescent="0.25">
      <c r="M4526" s="21"/>
    </row>
    <row r="4527" spans="13:13" x14ac:dyDescent="0.25">
      <c r="M4527" s="21"/>
    </row>
    <row r="4528" spans="13:13" x14ac:dyDescent="0.25">
      <c r="M4528" s="21"/>
    </row>
    <row r="4529" spans="13:13" x14ac:dyDescent="0.25">
      <c r="M4529" s="21"/>
    </row>
    <row r="4530" spans="13:13" x14ac:dyDescent="0.25">
      <c r="M4530" s="21"/>
    </row>
    <row r="4531" spans="13:13" x14ac:dyDescent="0.25">
      <c r="M4531" s="21"/>
    </row>
    <row r="4532" spans="13:13" x14ac:dyDescent="0.25">
      <c r="M4532" s="21"/>
    </row>
    <row r="4533" spans="13:13" x14ac:dyDescent="0.25">
      <c r="M4533" s="21"/>
    </row>
    <row r="4534" spans="13:13" x14ac:dyDescent="0.25">
      <c r="M4534" s="21"/>
    </row>
    <row r="4535" spans="13:13" x14ac:dyDescent="0.25">
      <c r="M4535" s="21"/>
    </row>
    <row r="4536" spans="13:13" x14ac:dyDescent="0.25">
      <c r="M4536" s="21"/>
    </row>
    <row r="4537" spans="13:13" x14ac:dyDescent="0.25">
      <c r="M4537" s="21"/>
    </row>
    <row r="4538" spans="13:13" x14ac:dyDescent="0.25">
      <c r="M4538" s="21"/>
    </row>
    <row r="4539" spans="13:13" x14ac:dyDescent="0.25">
      <c r="M4539" s="21"/>
    </row>
    <row r="4540" spans="13:13" x14ac:dyDescent="0.25">
      <c r="M4540" s="21"/>
    </row>
    <row r="4541" spans="13:13" x14ac:dyDescent="0.25">
      <c r="M4541" s="21"/>
    </row>
    <row r="4542" spans="13:13" x14ac:dyDescent="0.25">
      <c r="M4542" s="21"/>
    </row>
    <row r="4543" spans="13:13" x14ac:dyDescent="0.25">
      <c r="M4543" s="21"/>
    </row>
    <row r="4544" spans="13:13" x14ac:dyDescent="0.25">
      <c r="M4544" s="21"/>
    </row>
    <row r="4545" spans="13:13" x14ac:dyDescent="0.25">
      <c r="M4545" s="21"/>
    </row>
    <row r="4546" spans="13:13" x14ac:dyDescent="0.25">
      <c r="M4546" s="21"/>
    </row>
    <row r="4547" spans="13:13" x14ac:dyDescent="0.25">
      <c r="M4547" s="21"/>
    </row>
    <row r="4548" spans="13:13" x14ac:dyDescent="0.25">
      <c r="M4548" s="21"/>
    </row>
    <row r="4549" spans="13:13" x14ac:dyDescent="0.25">
      <c r="M4549" s="21"/>
    </row>
    <row r="4550" spans="13:13" x14ac:dyDescent="0.25">
      <c r="M4550" s="21"/>
    </row>
    <row r="4551" spans="13:13" x14ac:dyDescent="0.25">
      <c r="M4551" s="21"/>
    </row>
    <row r="4552" spans="13:13" x14ac:dyDescent="0.25">
      <c r="M4552" s="21"/>
    </row>
    <row r="4553" spans="13:13" x14ac:dyDescent="0.25">
      <c r="M4553" s="21"/>
    </row>
    <row r="4554" spans="13:13" x14ac:dyDescent="0.25">
      <c r="M4554" s="21"/>
    </row>
    <row r="4555" spans="13:13" x14ac:dyDescent="0.25">
      <c r="M4555" s="21"/>
    </row>
    <row r="4556" spans="13:13" x14ac:dyDescent="0.25">
      <c r="M4556" s="21"/>
    </row>
    <row r="4557" spans="13:13" x14ac:dyDescent="0.25">
      <c r="M4557" s="21"/>
    </row>
    <row r="4558" spans="13:13" x14ac:dyDescent="0.25">
      <c r="M4558" s="21"/>
    </row>
    <row r="4559" spans="13:13" x14ac:dyDescent="0.25">
      <c r="M4559" s="21"/>
    </row>
    <row r="4560" spans="13:13" x14ac:dyDescent="0.25">
      <c r="M4560" s="21"/>
    </row>
    <row r="4561" spans="13:13" x14ac:dyDescent="0.25">
      <c r="M4561" s="21"/>
    </row>
    <row r="4562" spans="13:13" x14ac:dyDescent="0.25">
      <c r="M4562" s="21"/>
    </row>
    <row r="4563" spans="13:13" x14ac:dyDescent="0.25">
      <c r="M4563" s="21"/>
    </row>
    <row r="4564" spans="13:13" x14ac:dyDescent="0.25">
      <c r="M4564" s="21"/>
    </row>
    <row r="4565" spans="13:13" x14ac:dyDescent="0.25">
      <c r="M4565" s="21"/>
    </row>
    <row r="4566" spans="13:13" x14ac:dyDescent="0.25">
      <c r="M4566" s="21"/>
    </row>
    <row r="4567" spans="13:13" x14ac:dyDescent="0.25">
      <c r="M4567" s="21"/>
    </row>
    <row r="4568" spans="13:13" x14ac:dyDescent="0.25">
      <c r="M4568" s="21"/>
    </row>
    <row r="4569" spans="13:13" x14ac:dyDescent="0.25">
      <c r="M4569" s="21"/>
    </row>
    <row r="4570" spans="13:13" x14ac:dyDescent="0.25">
      <c r="M4570" s="21"/>
    </row>
    <row r="4571" spans="13:13" x14ac:dyDescent="0.25">
      <c r="M4571" s="21"/>
    </row>
    <row r="4572" spans="13:13" x14ac:dyDescent="0.25">
      <c r="M4572" s="21"/>
    </row>
    <row r="4573" spans="13:13" x14ac:dyDescent="0.25">
      <c r="M4573" s="21"/>
    </row>
    <row r="4574" spans="13:13" x14ac:dyDescent="0.25">
      <c r="M4574" s="21"/>
    </row>
    <row r="4575" spans="13:13" x14ac:dyDescent="0.25">
      <c r="M4575" s="21"/>
    </row>
    <row r="4576" spans="13:13" x14ac:dyDescent="0.25">
      <c r="M4576" s="21"/>
    </row>
    <row r="4577" spans="13:13" x14ac:dyDescent="0.25">
      <c r="M4577" s="21"/>
    </row>
    <row r="4578" spans="13:13" x14ac:dyDescent="0.25">
      <c r="M4578" s="21"/>
    </row>
    <row r="4579" spans="13:13" x14ac:dyDescent="0.25">
      <c r="M4579" s="21"/>
    </row>
    <row r="4580" spans="13:13" x14ac:dyDescent="0.25">
      <c r="M4580" s="21"/>
    </row>
    <row r="4581" spans="13:13" x14ac:dyDescent="0.25">
      <c r="M4581" s="21"/>
    </row>
    <row r="4582" spans="13:13" x14ac:dyDescent="0.25">
      <c r="M4582" s="21"/>
    </row>
    <row r="4583" spans="13:13" x14ac:dyDescent="0.25">
      <c r="M4583" s="21"/>
    </row>
    <row r="4584" spans="13:13" x14ac:dyDescent="0.25">
      <c r="M4584" s="21"/>
    </row>
    <row r="4585" spans="13:13" x14ac:dyDescent="0.25">
      <c r="M4585" s="21"/>
    </row>
    <row r="4586" spans="13:13" x14ac:dyDescent="0.25">
      <c r="M4586" s="21"/>
    </row>
    <row r="4587" spans="13:13" x14ac:dyDescent="0.25">
      <c r="M4587" s="21"/>
    </row>
    <row r="4588" spans="13:13" x14ac:dyDescent="0.25">
      <c r="M4588" s="21"/>
    </row>
    <row r="4589" spans="13:13" x14ac:dyDescent="0.25">
      <c r="M4589" s="21"/>
    </row>
    <row r="4590" spans="13:13" x14ac:dyDescent="0.25">
      <c r="M4590" s="21"/>
    </row>
    <row r="4591" spans="13:13" x14ac:dyDescent="0.25">
      <c r="M4591" s="21"/>
    </row>
    <row r="4592" spans="13:13" x14ac:dyDescent="0.25">
      <c r="M4592" s="21"/>
    </row>
    <row r="4593" spans="13:13" x14ac:dyDescent="0.25">
      <c r="M4593" s="21"/>
    </row>
    <row r="4594" spans="13:13" x14ac:dyDescent="0.25">
      <c r="M4594" s="21"/>
    </row>
    <row r="4595" spans="13:13" x14ac:dyDescent="0.25">
      <c r="M4595" s="21"/>
    </row>
    <row r="4596" spans="13:13" x14ac:dyDescent="0.25">
      <c r="M4596" s="21"/>
    </row>
    <row r="4597" spans="13:13" x14ac:dyDescent="0.25">
      <c r="M4597" s="21"/>
    </row>
    <row r="4598" spans="13:13" x14ac:dyDescent="0.25">
      <c r="M4598" s="21"/>
    </row>
    <row r="4599" spans="13:13" x14ac:dyDescent="0.25">
      <c r="M4599" s="21"/>
    </row>
    <row r="4600" spans="13:13" x14ac:dyDescent="0.25">
      <c r="M4600" s="21"/>
    </row>
    <row r="4601" spans="13:13" x14ac:dyDescent="0.25">
      <c r="M4601" s="21"/>
    </row>
    <row r="4602" spans="13:13" x14ac:dyDescent="0.25">
      <c r="M4602" s="21"/>
    </row>
    <row r="4603" spans="13:13" x14ac:dyDescent="0.25">
      <c r="M4603" s="21"/>
    </row>
    <row r="4604" spans="13:13" x14ac:dyDescent="0.25">
      <c r="M4604" s="21"/>
    </row>
    <row r="4605" spans="13:13" x14ac:dyDescent="0.25">
      <c r="M4605" s="21"/>
    </row>
    <row r="4606" spans="13:13" x14ac:dyDescent="0.25">
      <c r="M4606" s="21"/>
    </row>
    <row r="4607" spans="13:13" x14ac:dyDescent="0.25">
      <c r="M4607" s="21"/>
    </row>
    <row r="4608" spans="13:13" x14ac:dyDescent="0.25">
      <c r="M4608" s="21"/>
    </row>
    <row r="4609" spans="13:13" x14ac:dyDescent="0.25">
      <c r="M4609" s="21"/>
    </row>
    <row r="4610" spans="13:13" x14ac:dyDescent="0.25">
      <c r="M4610" s="21"/>
    </row>
    <row r="4611" spans="13:13" x14ac:dyDescent="0.25">
      <c r="M4611" s="21"/>
    </row>
    <row r="4612" spans="13:13" x14ac:dyDescent="0.25">
      <c r="M4612" s="21"/>
    </row>
    <row r="4613" spans="13:13" x14ac:dyDescent="0.25">
      <c r="M4613" s="21"/>
    </row>
    <row r="4614" spans="13:13" x14ac:dyDescent="0.25">
      <c r="M4614" s="21"/>
    </row>
    <row r="4615" spans="13:13" x14ac:dyDescent="0.25">
      <c r="M4615" s="21"/>
    </row>
    <row r="4616" spans="13:13" x14ac:dyDescent="0.25">
      <c r="M4616" s="21"/>
    </row>
    <row r="4617" spans="13:13" x14ac:dyDescent="0.25">
      <c r="M4617" s="21"/>
    </row>
    <row r="4618" spans="13:13" x14ac:dyDescent="0.25">
      <c r="M4618" s="21"/>
    </row>
    <row r="4619" spans="13:13" x14ac:dyDescent="0.25">
      <c r="M4619" s="21"/>
    </row>
    <row r="4620" spans="13:13" x14ac:dyDescent="0.25">
      <c r="M4620" s="21"/>
    </row>
    <row r="4621" spans="13:13" x14ac:dyDescent="0.25">
      <c r="M4621" s="21"/>
    </row>
    <row r="4622" spans="13:13" x14ac:dyDescent="0.25">
      <c r="M4622" s="21"/>
    </row>
    <row r="4623" spans="13:13" x14ac:dyDescent="0.25">
      <c r="M4623" s="21"/>
    </row>
    <row r="4624" spans="13:13" x14ac:dyDescent="0.25">
      <c r="M4624" s="21"/>
    </row>
    <row r="4625" spans="13:13" x14ac:dyDescent="0.25">
      <c r="M4625" s="21"/>
    </row>
    <row r="4626" spans="13:13" x14ac:dyDescent="0.25">
      <c r="M4626" s="21"/>
    </row>
    <row r="4627" spans="13:13" x14ac:dyDescent="0.25">
      <c r="M4627" s="21"/>
    </row>
    <row r="4628" spans="13:13" x14ac:dyDescent="0.25">
      <c r="M4628" s="21"/>
    </row>
    <row r="4629" spans="13:13" x14ac:dyDescent="0.25">
      <c r="M4629" s="21"/>
    </row>
    <row r="4630" spans="13:13" x14ac:dyDescent="0.25">
      <c r="M4630" s="21"/>
    </row>
    <row r="4631" spans="13:13" x14ac:dyDescent="0.25">
      <c r="M4631" s="21"/>
    </row>
    <row r="4632" spans="13:13" x14ac:dyDescent="0.25">
      <c r="M4632" s="21"/>
    </row>
    <row r="4633" spans="13:13" x14ac:dyDescent="0.25">
      <c r="M4633" s="21"/>
    </row>
    <row r="4634" spans="13:13" x14ac:dyDescent="0.25">
      <c r="M4634" s="21"/>
    </row>
    <row r="4635" spans="13:13" x14ac:dyDescent="0.25">
      <c r="M4635" s="21"/>
    </row>
    <row r="4636" spans="13:13" x14ac:dyDescent="0.25">
      <c r="M4636" s="21"/>
    </row>
    <row r="4637" spans="13:13" x14ac:dyDescent="0.25">
      <c r="M4637" s="21"/>
    </row>
    <row r="4638" spans="13:13" x14ac:dyDescent="0.25">
      <c r="M4638" s="21"/>
    </row>
    <row r="4639" spans="13:13" x14ac:dyDescent="0.25">
      <c r="M4639" s="21"/>
    </row>
    <row r="4640" spans="13:13" x14ac:dyDescent="0.25">
      <c r="M4640" s="21"/>
    </row>
    <row r="4641" spans="13:13" x14ac:dyDescent="0.25">
      <c r="M4641" s="21"/>
    </row>
    <row r="4642" spans="13:13" x14ac:dyDescent="0.25">
      <c r="M4642" s="21"/>
    </row>
    <row r="4643" spans="13:13" x14ac:dyDescent="0.25">
      <c r="M4643" s="21"/>
    </row>
    <row r="4644" spans="13:13" x14ac:dyDescent="0.25">
      <c r="M4644" s="21"/>
    </row>
    <row r="4645" spans="13:13" x14ac:dyDescent="0.25">
      <c r="M4645" s="21"/>
    </row>
    <row r="4646" spans="13:13" x14ac:dyDescent="0.25">
      <c r="M4646" s="21"/>
    </row>
    <row r="4647" spans="13:13" x14ac:dyDescent="0.25">
      <c r="M4647" s="21"/>
    </row>
    <row r="4648" spans="13:13" x14ac:dyDescent="0.25">
      <c r="M4648" s="21"/>
    </row>
    <row r="4649" spans="13:13" x14ac:dyDescent="0.25">
      <c r="M4649" s="21"/>
    </row>
    <row r="4650" spans="13:13" x14ac:dyDescent="0.25">
      <c r="M4650" s="21"/>
    </row>
    <row r="4651" spans="13:13" x14ac:dyDescent="0.25">
      <c r="M4651" s="21"/>
    </row>
    <row r="4652" spans="13:13" x14ac:dyDescent="0.25">
      <c r="M4652" s="21"/>
    </row>
    <row r="4653" spans="13:13" x14ac:dyDescent="0.25">
      <c r="M4653" s="21"/>
    </row>
    <row r="4654" spans="13:13" x14ac:dyDescent="0.25">
      <c r="M4654" s="21"/>
    </row>
    <row r="4655" spans="13:13" x14ac:dyDescent="0.25">
      <c r="M4655" s="21"/>
    </row>
    <row r="4656" spans="13:13" x14ac:dyDescent="0.25">
      <c r="M4656" s="21"/>
    </row>
    <row r="4657" spans="13:13" x14ac:dyDescent="0.25">
      <c r="M4657" s="21"/>
    </row>
    <row r="4658" spans="13:13" x14ac:dyDescent="0.25">
      <c r="M4658" s="21"/>
    </row>
    <row r="4659" spans="13:13" x14ac:dyDescent="0.25">
      <c r="M4659" s="21"/>
    </row>
    <row r="4660" spans="13:13" x14ac:dyDescent="0.25">
      <c r="M4660" s="21"/>
    </row>
    <row r="4661" spans="13:13" x14ac:dyDescent="0.25">
      <c r="M4661" s="21"/>
    </row>
    <row r="4662" spans="13:13" x14ac:dyDescent="0.25">
      <c r="M4662" s="21"/>
    </row>
    <row r="4663" spans="13:13" x14ac:dyDescent="0.25">
      <c r="M4663" s="21"/>
    </row>
    <row r="4664" spans="13:13" x14ac:dyDescent="0.25">
      <c r="M4664" s="21"/>
    </row>
    <row r="4665" spans="13:13" x14ac:dyDescent="0.25">
      <c r="M4665" s="21"/>
    </row>
    <row r="4666" spans="13:13" x14ac:dyDescent="0.25">
      <c r="M4666" s="21"/>
    </row>
    <row r="4667" spans="13:13" x14ac:dyDescent="0.25">
      <c r="M4667" s="21"/>
    </row>
    <row r="4668" spans="13:13" x14ac:dyDescent="0.25">
      <c r="M4668" s="21"/>
    </row>
    <row r="4669" spans="13:13" x14ac:dyDescent="0.25">
      <c r="M4669" s="21"/>
    </row>
    <row r="4670" spans="13:13" x14ac:dyDescent="0.25">
      <c r="M4670" s="21"/>
    </row>
    <row r="4671" spans="13:13" x14ac:dyDescent="0.25">
      <c r="M4671" s="21"/>
    </row>
    <row r="4672" spans="13:13" x14ac:dyDescent="0.25">
      <c r="M4672" s="21"/>
    </row>
    <row r="4673" spans="13:13" x14ac:dyDescent="0.25">
      <c r="M4673" s="21"/>
    </row>
    <row r="4674" spans="13:13" x14ac:dyDescent="0.25">
      <c r="M4674" s="21"/>
    </row>
    <row r="4675" spans="13:13" x14ac:dyDescent="0.25">
      <c r="M4675" s="21"/>
    </row>
    <row r="4676" spans="13:13" x14ac:dyDescent="0.25">
      <c r="M4676" s="21"/>
    </row>
    <row r="4677" spans="13:13" x14ac:dyDescent="0.25">
      <c r="M4677" s="21"/>
    </row>
    <row r="4678" spans="13:13" x14ac:dyDescent="0.25">
      <c r="M4678" s="21"/>
    </row>
    <row r="4679" spans="13:13" x14ac:dyDescent="0.25">
      <c r="M4679" s="21"/>
    </row>
    <row r="4680" spans="13:13" x14ac:dyDescent="0.25">
      <c r="M4680" s="21"/>
    </row>
    <row r="4681" spans="13:13" x14ac:dyDescent="0.25">
      <c r="M4681" s="21"/>
    </row>
    <row r="4682" spans="13:13" x14ac:dyDescent="0.25">
      <c r="M4682" s="21"/>
    </row>
    <row r="4683" spans="13:13" x14ac:dyDescent="0.25">
      <c r="M4683" s="21"/>
    </row>
    <row r="4684" spans="13:13" x14ac:dyDescent="0.25">
      <c r="M4684" s="21"/>
    </row>
    <row r="4685" spans="13:13" x14ac:dyDescent="0.25">
      <c r="M4685" s="21"/>
    </row>
    <row r="4686" spans="13:13" x14ac:dyDescent="0.25">
      <c r="M4686" s="21"/>
    </row>
    <row r="4687" spans="13:13" x14ac:dyDescent="0.25">
      <c r="M4687" s="21"/>
    </row>
    <row r="4688" spans="13:13" x14ac:dyDescent="0.25">
      <c r="M4688" s="21"/>
    </row>
    <row r="4689" spans="13:13" x14ac:dyDescent="0.25">
      <c r="M4689" s="21"/>
    </row>
    <row r="4690" spans="13:13" x14ac:dyDescent="0.25">
      <c r="M4690" s="21"/>
    </row>
    <row r="4691" spans="13:13" x14ac:dyDescent="0.25">
      <c r="M4691" s="21"/>
    </row>
    <row r="4692" spans="13:13" x14ac:dyDescent="0.25">
      <c r="M4692" s="21"/>
    </row>
    <row r="4693" spans="13:13" x14ac:dyDescent="0.25">
      <c r="M4693" s="21"/>
    </row>
    <row r="4694" spans="13:13" x14ac:dyDescent="0.25">
      <c r="M4694" s="21"/>
    </row>
    <row r="4695" spans="13:13" x14ac:dyDescent="0.25">
      <c r="M4695" s="21"/>
    </row>
    <row r="4696" spans="13:13" x14ac:dyDescent="0.25">
      <c r="M4696" s="21"/>
    </row>
    <row r="4697" spans="13:13" x14ac:dyDescent="0.25">
      <c r="M4697" s="21"/>
    </row>
    <row r="4698" spans="13:13" x14ac:dyDescent="0.25">
      <c r="M4698" s="21"/>
    </row>
    <row r="4699" spans="13:13" x14ac:dyDescent="0.25">
      <c r="M4699" s="21"/>
    </row>
    <row r="4700" spans="13:13" x14ac:dyDescent="0.25">
      <c r="M4700" s="21"/>
    </row>
    <row r="4701" spans="13:13" x14ac:dyDescent="0.25">
      <c r="M4701" s="21"/>
    </row>
    <row r="4702" spans="13:13" x14ac:dyDescent="0.25">
      <c r="M4702" s="21"/>
    </row>
    <row r="4703" spans="13:13" x14ac:dyDescent="0.25">
      <c r="M4703" s="21"/>
    </row>
    <row r="4704" spans="13:13" x14ac:dyDescent="0.25">
      <c r="M4704" s="21"/>
    </row>
    <row r="4705" spans="13:13" x14ac:dyDescent="0.25">
      <c r="M4705" s="21"/>
    </row>
    <row r="4706" spans="13:13" x14ac:dyDescent="0.25">
      <c r="M4706" s="21"/>
    </row>
    <row r="4707" spans="13:13" x14ac:dyDescent="0.25">
      <c r="M4707" s="21"/>
    </row>
    <row r="4708" spans="13:13" x14ac:dyDescent="0.25">
      <c r="M4708" s="21"/>
    </row>
    <row r="4709" spans="13:13" x14ac:dyDescent="0.25">
      <c r="M4709" s="21"/>
    </row>
    <row r="4710" spans="13:13" x14ac:dyDescent="0.25">
      <c r="M4710" s="21"/>
    </row>
    <row r="4711" spans="13:13" x14ac:dyDescent="0.25">
      <c r="M4711" s="21"/>
    </row>
    <row r="4712" spans="13:13" x14ac:dyDescent="0.25">
      <c r="M4712" s="21"/>
    </row>
    <row r="4713" spans="13:13" x14ac:dyDescent="0.25">
      <c r="M4713" s="21"/>
    </row>
    <row r="4714" spans="13:13" x14ac:dyDescent="0.25">
      <c r="M4714" s="21"/>
    </row>
    <row r="4715" spans="13:13" x14ac:dyDescent="0.25">
      <c r="M4715" s="21"/>
    </row>
    <row r="4716" spans="13:13" x14ac:dyDescent="0.25">
      <c r="M4716" s="21"/>
    </row>
    <row r="4717" spans="13:13" x14ac:dyDescent="0.25">
      <c r="M4717" s="21"/>
    </row>
    <row r="4718" spans="13:13" x14ac:dyDescent="0.25">
      <c r="M4718" s="21"/>
    </row>
    <row r="4719" spans="13:13" x14ac:dyDescent="0.25">
      <c r="M4719" s="21"/>
    </row>
    <row r="4720" spans="13:13" x14ac:dyDescent="0.25">
      <c r="M4720" s="21"/>
    </row>
    <row r="4721" spans="13:13" x14ac:dyDescent="0.25">
      <c r="M4721" s="21"/>
    </row>
    <row r="4722" spans="13:13" x14ac:dyDescent="0.25">
      <c r="M4722" s="21"/>
    </row>
    <row r="4723" spans="13:13" x14ac:dyDescent="0.25">
      <c r="M4723" s="21"/>
    </row>
    <row r="4724" spans="13:13" x14ac:dyDescent="0.25">
      <c r="M4724" s="21"/>
    </row>
    <row r="4725" spans="13:13" x14ac:dyDescent="0.25">
      <c r="M4725" s="21"/>
    </row>
    <row r="4726" spans="13:13" x14ac:dyDescent="0.25">
      <c r="M4726" s="21"/>
    </row>
    <row r="4727" spans="13:13" x14ac:dyDescent="0.25">
      <c r="M4727" s="21"/>
    </row>
    <row r="4728" spans="13:13" x14ac:dyDescent="0.25">
      <c r="M4728" s="21"/>
    </row>
    <row r="4729" spans="13:13" x14ac:dyDescent="0.25">
      <c r="M4729" s="21"/>
    </row>
    <row r="4730" spans="13:13" x14ac:dyDescent="0.25">
      <c r="M4730" s="21"/>
    </row>
    <row r="4731" spans="13:13" x14ac:dyDescent="0.25">
      <c r="M4731" s="21"/>
    </row>
    <row r="4732" spans="13:13" x14ac:dyDescent="0.25">
      <c r="M4732" s="21"/>
    </row>
    <row r="4733" spans="13:13" x14ac:dyDescent="0.25">
      <c r="M4733" s="21"/>
    </row>
    <row r="4734" spans="13:13" x14ac:dyDescent="0.25">
      <c r="M4734" s="21"/>
    </row>
    <row r="4735" spans="13:13" x14ac:dyDescent="0.25">
      <c r="M4735" s="21"/>
    </row>
    <row r="4736" spans="13:13" x14ac:dyDescent="0.25">
      <c r="M4736" s="21"/>
    </row>
    <row r="4737" spans="13:13" x14ac:dyDescent="0.25">
      <c r="M4737" s="21"/>
    </row>
    <row r="4738" spans="13:13" x14ac:dyDescent="0.25">
      <c r="M4738" s="21"/>
    </row>
    <row r="4739" spans="13:13" x14ac:dyDescent="0.25">
      <c r="M4739" s="21"/>
    </row>
    <row r="4740" spans="13:13" x14ac:dyDescent="0.25">
      <c r="M4740" s="21"/>
    </row>
    <row r="4741" spans="13:13" x14ac:dyDescent="0.25">
      <c r="M4741" s="21"/>
    </row>
    <row r="4742" spans="13:13" x14ac:dyDescent="0.25">
      <c r="M4742" s="21"/>
    </row>
    <row r="4743" spans="13:13" x14ac:dyDescent="0.25">
      <c r="M4743" s="21"/>
    </row>
    <row r="4744" spans="13:13" x14ac:dyDescent="0.25">
      <c r="M4744" s="21"/>
    </row>
    <row r="4745" spans="13:13" x14ac:dyDescent="0.25">
      <c r="M4745" s="21"/>
    </row>
    <row r="4746" spans="13:13" x14ac:dyDescent="0.25">
      <c r="M4746" s="21"/>
    </row>
    <row r="4747" spans="13:13" x14ac:dyDescent="0.25">
      <c r="M4747" s="21"/>
    </row>
    <row r="4748" spans="13:13" x14ac:dyDescent="0.25">
      <c r="M4748" s="21"/>
    </row>
    <row r="4749" spans="13:13" x14ac:dyDescent="0.25">
      <c r="M4749" s="21"/>
    </row>
    <row r="4750" spans="13:13" x14ac:dyDescent="0.25">
      <c r="M4750" s="21"/>
    </row>
    <row r="4751" spans="13:13" x14ac:dyDescent="0.25">
      <c r="M4751" s="21"/>
    </row>
    <row r="4752" spans="13:13" x14ac:dyDescent="0.25">
      <c r="M4752" s="21"/>
    </row>
    <row r="4753" spans="13:13" x14ac:dyDescent="0.25">
      <c r="M4753" s="21"/>
    </row>
    <row r="4754" spans="13:13" x14ac:dyDescent="0.25">
      <c r="M4754" s="21"/>
    </row>
    <row r="4755" spans="13:13" x14ac:dyDescent="0.25">
      <c r="M4755" s="21"/>
    </row>
    <row r="4756" spans="13:13" x14ac:dyDescent="0.25">
      <c r="M4756" s="21"/>
    </row>
    <row r="4757" spans="13:13" x14ac:dyDescent="0.25">
      <c r="M4757" s="21"/>
    </row>
    <row r="4758" spans="13:13" x14ac:dyDescent="0.25">
      <c r="M4758" s="21"/>
    </row>
    <row r="4759" spans="13:13" x14ac:dyDescent="0.25">
      <c r="M4759" s="21"/>
    </row>
    <row r="4760" spans="13:13" x14ac:dyDescent="0.25">
      <c r="M4760" s="21"/>
    </row>
    <row r="4761" spans="13:13" x14ac:dyDescent="0.25">
      <c r="M4761" s="21"/>
    </row>
    <row r="4762" spans="13:13" x14ac:dyDescent="0.25">
      <c r="M4762" s="21"/>
    </row>
    <row r="4763" spans="13:13" x14ac:dyDescent="0.25">
      <c r="M4763" s="21"/>
    </row>
    <row r="4764" spans="13:13" x14ac:dyDescent="0.25">
      <c r="M4764" s="21"/>
    </row>
    <row r="4765" spans="13:13" x14ac:dyDescent="0.25">
      <c r="M4765" s="21"/>
    </row>
    <row r="4766" spans="13:13" x14ac:dyDescent="0.25">
      <c r="M4766" s="21"/>
    </row>
    <row r="4767" spans="13:13" x14ac:dyDescent="0.25">
      <c r="M4767" s="21"/>
    </row>
    <row r="4768" spans="13:13" x14ac:dyDescent="0.25">
      <c r="M4768" s="21"/>
    </row>
    <row r="4769" spans="13:13" x14ac:dyDescent="0.25">
      <c r="M4769" s="21"/>
    </row>
    <row r="4770" spans="13:13" x14ac:dyDescent="0.25">
      <c r="M4770" s="21"/>
    </row>
    <row r="4771" spans="13:13" x14ac:dyDescent="0.25">
      <c r="M4771" s="21"/>
    </row>
    <row r="4772" spans="13:13" x14ac:dyDescent="0.25">
      <c r="M4772" s="21"/>
    </row>
    <row r="4773" spans="13:13" x14ac:dyDescent="0.25">
      <c r="M4773" s="21"/>
    </row>
    <row r="4774" spans="13:13" x14ac:dyDescent="0.25">
      <c r="M4774" s="21"/>
    </row>
    <row r="4775" spans="13:13" x14ac:dyDescent="0.25">
      <c r="M4775" s="21"/>
    </row>
    <row r="4776" spans="13:13" x14ac:dyDescent="0.25">
      <c r="M4776" s="21"/>
    </row>
    <row r="4777" spans="13:13" x14ac:dyDescent="0.25">
      <c r="M4777" s="21"/>
    </row>
    <row r="4778" spans="13:13" x14ac:dyDescent="0.25">
      <c r="M4778" s="21"/>
    </row>
    <row r="4779" spans="13:13" x14ac:dyDescent="0.25">
      <c r="M4779" s="21"/>
    </row>
    <row r="4780" spans="13:13" x14ac:dyDescent="0.25">
      <c r="M4780" s="21"/>
    </row>
    <row r="4781" spans="13:13" x14ac:dyDescent="0.25">
      <c r="M4781" s="21"/>
    </row>
    <row r="4782" spans="13:13" x14ac:dyDescent="0.25">
      <c r="M4782" s="21"/>
    </row>
    <row r="4783" spans="13:13" x14ac:dyDescent="0.25">
      <c r="M4783" s="21"/>
    </row>
    <row r="4784" spans="13:13" x14ac:dyDescent="0.25">
      <c r="M4784" s="21"/>
    </row>
    <row r="4785" spans="13:13" x14ac:dyDescent="0.25">
      <c r="M4785" s="21"/>
    </row>
    <row r="4786" spans="13:13" x14ac:dyDescent="0.25">
      <c r="M4786" s="21"/>
    </row>
    <row r="4787" spans="13:13" x14ac:dyDescent="0.25">
      <c r="M4787" s="21"/>
    </row>
    <row r="4788" spans="13:13" x14ac:dyDescent="0.25">
      <c r="M4788" s="21"/>
    </row>
    <row r="4789" spans="13:13" x14ac:dyDescent="0.25">
      <c r="M4789" s="21"/>
    </row>
    <row r="4790" spans="13:13" x14ac:dyDescent="0.25">
      <c r="M4790" s="21"/>
    </row>
    <row r="4791" spans="13:13" x14ac:dyDescent="0.25">
      <c r="M4791" s="21"/>
    </row>
    <row r="4792" spans="13:13" x14ac:dyDescent="0.25">
      <c r="M4792" s="21"/>
    </row>
    <row r="4793" spans="13:13" x14ac:dyDescent="0.25">
      <c r="M4793" s="21"/>
    </row>
    <row r="4794" spans="13:13" x14ac:dyDescent="0.25">
      <c r="M4794" s="21"/>
    </row>
    <row r="4795" spans="13:13" x14ac:dyDescent="0.25">
      <c r="M4795" s="21"/>
    </row>
    <row r="4796" spans="13:13" x14ac:dyDescent="0.25">
      <c r="M4796" s="21"/>
    </row>
    <row r="4797" spans="13:13" x14ac:dyDescent="0.25">
      <c r="M4797" s="21"/>
    </row>
    <row r="4798" spans="13:13" x14ac:dyDescent="0.25">
      <c r="M4798" s="21"/>
    </row>
    <row r="4799" spans="13:13" x14ac:dyDescent="0.25">
      <c r="M4799" s="21"/>
    </row>
    <row r="4800" spans="13:13" x14ac:dyDescent="0.25">
      <c r="M4800" s="21"/>
    </row>
    <row r="4801" spans="13:13" x14ac:dyDescent="0.25">
      <c r="M4801" s="21"/>
    </row>
    <row r="4802" spans="13:13" x14ac:dyDescent="0.25">
      <c r="M4802" s="21"/>
    </row>
    <row r="4803" spans="13:13" x14ac:dyDescent="0.25">
      <c r="M4803" s="21"/>
    </row>
    <row r="4804" spans="13:13" x14ac:dyDescent="0.25">
      <c r="M4804" s="21"/>
    </row>
    <row r="4805" spans="13:13" x14ac:dyDescent="0.25">
      <c r="M4805" s="21"/>
    </row>
    <row r="4806" spans="13:13" x14ac:dyDescent="0.25">
      <c r="M4806" s="21"/>
    </row>
    <row r="4807" spans="13:13" x14ac:dyDescent="0.25">
      <c r="M4807" s="21"/>
    </row>
    <row r="4808" spans="13:13" x14ac:dyDescent="0.25">
      <c r="M4808" s="21"/>
    </row>
    <row r="4809" spans="13:13" x14ac:dyDescent="0.25">
      <c r="M4809" s="21"/>
    </row>
    <row r="4810" spans="13:13" x14ac:dyDescent="0.25">
      <c r="M4810" s="21"/>
    </row>
    <row r="4811" spans="13:13" x14ac:dyDescent="0.25">
      <c r="M4811" s="21"/>
    </row>
    <row r="4812" spans="13:13" x14ac:dyDescent="0.25">
      <c r="M4812" s="21"/>
    </row>
    <row r="4813" spans="13:13" x14ac:dyDescent="0.25">
      <c r="M4813" s="21"/>
    </row>
    <row r="4814" spans="13:13" x14ac:dyDescent="0.25">
      <c r="M4814" s="21"/>
    </row>
    <row r="4815" spans="13:13" x14ac:dyDescent="0.25">
      <c r="M4815" s="21"/>
    </row>
    <row r="4816" spans="13:13" x14ac:dyDescent="0.25">
      <c r="M4816" s="21"/>
    </row>
    <row r="4817" spans="13:13" x14ac:dyDescent="0.25">
      <c r="M4817" s="21"/>
    </row>
    <row r="4818" spans="13:13" x14ac:dyDescent="0.25">
      <c r="M4818" s="21"/>
    </row>
    <row r="4819" spans="13:13" x14ac:dyDescent="0.25">
      <c r="M4819" s="21"/>
    </row>
    <row r="4820" spans="13:13" x14ac:dyDescent="0.25">
      <c r="M4820" s="21"/>
    </row>
    <row r="4821" spans="13:13" x14ac:dyDescent="0.25">
      <c r="M4821" s="21"/>
    </row>
    <row r="4822" spans="13:13" x14ac:dyDescent="0.25">
      <c r="M4822" s="21"/>
    </row>
    <row r="4823" spans="13:13" x14ac:dyDescent="0.25">
      <c r="M4823" s="21"/>
    </row>
    <row r="4824" spans="13:13" x14ac:dyDescent="0.25">
      <c r="M4824" s="21"/>
    </row>
    <row r="4825" spans="13:13" x14ac:dyDescent="0.25">
      <c r="M4825" s="21"/>
    </row>
    <row r="4826" spans="13:13" x14ac:dyDescent="0.25">
      <c r="M4826" s="21"/>
    </row>
    <row r="4827" spans="13:13" x14ac:dyDescent="0.25">
      <c r="M4827" s="21"/>
    </row>
    <row r="4828" spans="13:13" x14ac:dyDescent="0.25">
      <c r="M4828" s="21"/>
    </row>
    <row r="4829" spans="13:13" x14ac:dyDescent="0.25">
      <c r="M4829" s="21"/>
    </row>
    <row r="4830" spans="13:13" x14ac:dyDescent="0.25">
      <c r="M4830" s="21"/>
    </row>
    <row r="4831" spans="13:13" x14ac:dyDescent="0.25">
      <c r="M4831" s="21"/>
    </row>
    <row r="4832" spans="13:13" x14ac:dyDescent="0.25">
      <c r="M4832" s="21"/>
    </row>
    <row r="4833" spans="13:13" x14ac:dyDescent="0.25">
      <c r="M4833" s="21"/>
    </row>
    <row r="4834" spans="13:13" x14ac:dyDescent="0.25">
      <c r="M4834" s="21"/>
    </row>
    <row r="4835" spans="13:13" x14ac:dyDescent="0.25">
      <c r="M4835" s="21"/>
    </row>
    <row r="4836" spans="13:13" x14ac:dyDescent="0.25">
      <c r="M4836" s="21"/>
    </row>
    <row r="4837" spans="13:13" x14ac:dyDescent="0.25">
      <c r="M4837" s="21"/>
    </row>
    <row r="4838" spans="13:13" x14ac:dyDescent="0.25">
      <c r="M4838" s="21"/>
    </row>
    <row r="4839" spans="13:13" x14ac:dyDescent="0.25">
      <c r="M4839" s="21"/>
    </row>
    <row r="4840" spans="13:13" x14ac:dyDescent="0.25">
      <c r="M4840" s="21"/>
    </row>
    <row r="4841" spans="13:13" x14ac:dyDescent="0.25">
      <c r="M4841" s="21"/>
    </row>
    <row r="4842" spans="13:13" x14ac:dyDescent="0.25">
      <c r="M4842" s="21"/>
    </row>
    <row r="4843" spans="13:13" x14ac:dyDescent="0.25">
      <c r="M4843" s="21"/>
    </row>
    <row r="4844" spans="13:13" x14ac:dyDescent="0.25">
      <c r="M4844" s="21"/>
    </row>
    <row r="4845" spans="13:13" x14ac:dyDescent="0.25">
      <c r="M4845" s="21"/>
    </row>
    <row r="4846" spans="13:13" x14ac:dyDescent="0.25">
      <c r="M4846" s="21"/>
    </row>
    <row r="4847" spans="13:13" x14ac:dyDescent="0.25">
      <c r="M4847" s="21"/>
    </row>
    <row r="4848" spans="13:13" x14ac:dyDescent="0.25">
      <c r="M4848" s="21"/>
    </row>
    <row r="4849" spans="13:13" x14ac:dyDescent="0.25">
      <c r="M4849" s="21"/>
    </row>
    <row r="4850" spans="13:13" x14ac:dyDescent="0.25">
      <c r="M4850" s="21"/>
    </row>
    <row r="4851" spans="13:13" x14ac:dyDescent="0.25">
      <c r="M4851" s="21"/>
    </row>
    <row r="4852" spans="13:13" x14ac:dyDescent="0.25">
      <c r="M4852" s="21"/>
    </row>
    <row r="4853" spans="13:13" x14ac:dyDescent="0.25">
      <c r="M4853" s="21"/>
    </row>
    <row r="4854" spans="13:13" x14ac:dyDescent="0.25">
      <c r="M4854" s="21"/>
    </row>
    <row r="4855" spans="13:13" x14ac:dyDescent="0.25">
      <c r="M4855" s="21"/>
    </row>
    <row r="4856" spans="13:13" x14ac:dyDescent="0.25">
      <c r="M4856" s="21"/>
    </row>
    <row r="4857" spans="13:13" x14ac:dyDescent="0.25">
      <c r="M4857" s="21"/>
    </row>
    <row r="4858" spans="13:13" x14ac:dyDescent="0.25">
      <c r="M4858" s="21"/>
    </row>
    <row r="4859" spans="13:13" x14ac:dyDescent="0.25">
      <c r="M4859" s="21"/>
    </row>
    <row r="4860" spans="13:13" x14ac:dyDescent="0.25">
      <c r="M4860" s="21"/>
    </row>
    <row r="4861" spans="13:13" x14ac:dyDescent="0.25">
      <c r="M4861" s="21"/>
    </row>
    <row r="4862" spans="13:13" x14ac:dyDescent="0.25">
      <c r="M4862" s="21"/>
    </row>
    <row r="4863" spans="13:13" x14ac:dyDescent="0.25">
      <c r="M4863" s="21"/>
    </row>
    <row r="4864" spans="13:13" x14ac:dyDescent="0.25">
      <c r="M4864" s="21"/>
    </row>
    <row r="4865" spans="13:13" x14ac:dyDescent="0.25">
      <c r="M4865" s="21"/>
    </row>
    <row r="4866" spans="13:13" x14ac:dyDescent="0.25">
      <c r="M4866" s="21"/>
    </row>
    <row r="4867" spans="13:13" x14ac:dyDescent="0.25">
      <c r="M4867" s="21"/>
    </row>
    <row r="4868" spans="13:13" x14ac:dyDescent="0.25">
      <c r="M4868" s="21"/>
    </row>
    <row r="4869" spans="13:13" x14ac:dyDescent="0.25">
      <c r="M4869" s="21"/>
    </row>
    <row r="4870" spans="13:13" x14ac:dyDescent="0.25">
      <c r="M4870" s="21"/>
    </row>
    <row r="4871" spans="13:13" x14ac:dyDescent="0.25">
      <c r="M4871" s="21"/>
    </row>
    <row r="4872" spans="13:13" x14ac:dyDescent="0.25">
      <c r="M4872" s="21"/>
    </row>
    <row r="4873" spans="13:13" x14ac:dyDescent="0.25">
      <c r="M4873" s="21"/>
    </row>
    <row r="4874" spans="13:13" x14ac:dyDescent="0.25">
      <c r="M4874" s="21"/>
    </row>
    <row r="4875" spans="13:13" x14ac:dyDescent="0.25">
      <c r="M4875" s="21"/>
    </row>
    <row r="4876" spans="13:13" x14ac:dyDescent="0.25">
      <c r="M4876" s="21"/>
    </row>
    <row r="4877" spans="13:13" x14ac:dyDescent="0.25">
      <c r="M4877" s="21"/>
    </row>
    <row r="4878" spans="13:13" x14ac:dyDescent="0.25">
      <c r="M4878" s="21"/>
    </row>
    <row r="4879" spans="13:13" x14ac:dyDescent="0.25">
      <c r="M4879" s="21"/>
    </row>
    <row r="4880" spans="13:13" x14ac:dyDescent="0.25">
      <c r="M4880" s="21"/>
    </row>
    <row r="4881" spans="13:13" x14ac:dyDescent="0.25">
      <c r="M4881" s="21"/>
    </row>
    <row r="4882" spans="13:13" x14ac:dyDescent="0.25">
      <c r="M4882" s="21"/>
    </row>
    <row r="4883" spans="13:13" x14ac:dyDescent="0.25">
      <c r="M4883" s="21"/>
    </row>
    <row r="4884" spans="13:13" x14ac:dyDescent="0.25">
      <c r="M4884" s="21"/>
    </row>
    <row r="4885" spans="13:13" x14ac:dyDescent="0.25">
      <c r="M4885" s="21"/>
    </row>
    <row r="4886" spans="13:13" x14ac:dyDescent="0.25">
      <c r="M4886" s="21"/>
    </row>
    <row r="4887" spans="13:13" x14ac:dyDescent="0.25">
      <c r="M4887" s="21"/>
    </row>
    <row r="4888" spans="13:13" x14ac:dyDescent="0.25">
      <c r="M4888" s="21"/>
    </row>
    <row r="4889" spans="13:13" x14ac:dyDescent="0.25">
      <c r="M4889" s="21"/>
    </row>
    <row r="4890" spans="13:13" x14ac:dyDescent="0.25">
      <c r="M4890" s="21"/>
    </row>
    <row r="4891" spans="13:13" x14ac:dyDescent="0.25">
      <c r="M4891" s="21"/>
    </row>
    <row r="4892" spans="13:13" x14ac:dyDescent="0.25">
      <c r="M4892" s="21"/>
    </row>
    <row r="4893" spans="13:13" x14ac:dyDescent="0.25">
      <c r="M4893" s="21"/>
    </row>
    <row r="4894" spans="13:13" x14ac:dyDescent="0.25">
      <c r="M4894" s="21"/>
    </row>
    <row r="4895" spans="13:13" x14ac:dyDescent="0.25">
      <c r="M4895" s="21"/>
    </row>
    <row r="4896" spans="13:13" x14ac:dyDescent="0.25">
      <c r="M4896" s="21"/>
    </row>
    <row r="4897" spans="13:13" x14ac:dyDescent="0.25">
      <c r="M4897" s="21"/>
    </row>
    <row r="4898" spans="13:13" x14ac:dyDescent="0.25">
      <c r="M4898" s="21"/>
    </row>
    <row r="4899" spans="13:13" x14ac:dyDescent="0.25">
      <c r="M4899" s="21"/>
    </row>
    <row r="4900" spans="13:13" x14ac:dyDescent="0.25">
      <c r="M4900" s="21"/>
    </row>
    <row r="4901" spans="13:13" x14ac:dyDescent="0.25">
      <c r="M4901" s="21"/>
    </row>
    <row r="4902" spans="13:13" x14ac:dyDescent="0.25">
      <c r="M4902" s="21"/>
    </row>
    <row r="4903" spans="13:13" x14ac:dyDescent="0.25">
      <c r="M4903" s="21"/>
    </row>
    <row r="4904" spans="13:13" x14ac:dyDescent="0.25">
      <c r="M4904" s="21"/>
    </row>
    <row r="4905" spans="13:13" x14ac:dyDescent="0.25">
      <c r="M4905" s="21"/>
    </row>
    <row r="4906" spans="13:13" x14ac:dyDescent="0.25">
      <c r="M4906" s="21"/>
    </row>
    <row r="4907" spans="13:13" x14ac:dyDescent="0.25">
      <c r="M4907" s="21"/>
    </row>
    <row r="4908" spans="13:13" x14ac:dyDescent="0.25">
      <c r="M4908" s="21"/>
    </row>
    <row r="4909" spans="13:13" x14ac:dyDescent="0.25">
      <c r="M4909" s="21"/>
    </row>
    <row r="4910" spans="13:13" x14ac:dyDescent="0.25">
      <c r="M4910" s="21"/>
    </row>
    <row r="4911" spans="13:13" x14ac:dyDescent="0.25">
      <c r="M4911" s="21"/>
    </row>
    <row r="4912" spans="13:13" x14ac:dyDescent="0.25">
      <c r="M4912" s="21"/>
    </row>
    <row r="4913" spans="13:13" x14ac:dyDescent="0.25">
      <c r="M4913" s="21"/>
    </row>
    <row r="4914" spans="13:13" x14ac:dyDescent="0.25">
      <c r="M4914" s="21"/>
    </row>
    <row r="4915" spans="13:13" x14ac:dyDescent="0.25">
      <c r="M4915" s="21"/>
    </row>
    <row r="4916" spans="13:13" x14ac:dyDescent="0.25">
      <c r="M4916" s="21"/>
    </row>
    <row r="4917" spans="13:13" x14ac:dyDescent="0.25">
      <c r="M4917" s="21"/>
    </row>
    <row r="4918" spans="13:13" x14ac:dyDescent="0.25">
      <c r="M4918" s="21"/>
    </row>
    <row r="4919" spans="13:13" x14ac:dyDescent="0.25">
      <c r="M4919" s="21"/>
    </row>
    <row r="4920" spans="13:13" x14ac:dyDescent="0.25">
      <c r="M4920" s="21"/>
    </row>
    <row r="4921" spans="13:13" x14ac:dyDescent="0.25">
      <c r="M4921" s="21"/>
    </row>
    <row r="4922" spans="13:13" x14ac:dyDescent="0.25">
      <c r="M4922" s="21"/>
    </row>
    <row r="4923" spans="13:13" x14ac:dyDescent="0.25">
      <c r="M4923" s="21"/>
    </row>
    <row r="4924" spans="13:13" x14ac:dyDescent="0.25">
      <c r="M4924" s="21"/>
    </row>
    <row r="4925" spans="13:13" x14ac:dyDescent="0.25">
      <c r="M4925" s="21"/>
    </row>
    <row r="4926" spans="13:13" x14ac:dyDescent="0.25">
      <c r="M4926" s="21"/>
    </row>
    <row r="4927" spans="13:13" x14ac:dyDescent="0.25">
      <c r="M4927" s="21"/>
    </row>
    <row r="4928" spans="13:13" x14ac:dyDescent="0.25">
      <c r="M4928" s="21"/>
    </row>
    <row r="4929" spans="13:13" x14ac:dyDescent="0.25">
      <c r="M4929" s="21"/>
    </row>
    <row r="4930" spans="13:13" x14ac:dyDescent="0.25">
      <c r="M4930" s="21"/>
    </row>
    <row r="4931" spans="13:13" x14ac:dyDescent="0.25">
      <c r="M4931" s="21"/>
    </row>
    <row r="4932" spans="13:13" x14ac:dyDescent="0.25">
      <c r="M4932" s="21"/>
    </row>
    <row r="4933" spans="13:13" x14ac:dyDescent="0.25">
      <c r="M4933" s="21"/>
    </row>
    <row r="4934" spans="13:13" x14ac:dyDescent="0.25">
      <c r="M4934" s="21"/>
    </row>
    <row r="4935" spans="13:13" x14ac:dyDescent="0.25">
      <c r="M4935" s="21"/>
    </row>
    <row r="4936" spans="13:13" x14ac:dyDescent="0.25">
      <c r="M4936" s="21"/>
    </row>
    <row r="4937" spans="13:13" x14ac:dyDescent="0.25">
      <c r="M4937" s="21"/>
    </row>
    <row r="4938" spans="13:13" x14ac:dyDescent="0.25">
      <c r="M4938" s="21"/>
    </row>
    <row r="4939" spans="13:13" x14ac:dyDescent="0.25">
      <c r="M4939" s="21"/>
    </row>
    <row r="4940" spans="13:13" x14ac:dyDescent="0.25">
      <c r="M4940" s="21"/>
    </row>
    <row r="4941" spans="13:13" x14ac:dyDescent="0.25">
      <c r="M4941" s="21"/>
    </row>
    <row r="4942" spans="13:13" x14ac:dyDescent="0.25">
      <c r="M4942" s="21"/>
    </row>
    <row r="4943" spans="13:13" x14ac:dyDescent="0.25">
      <c r="M4943" s="21"/>
    </row>
    <row r="4944" spans="13:13" x14ac:dyDescent="0.25">
      <c r="M4944" s="21"/>
    </row>
    <row r="4945" spans="13:13" x14ac:dyDescent="0.25">
      <c r="M4945" s="21"/>
    </row>
    <row r="4946" spans="13:13" x14ac:dyDescent="0.25">
      <c r="M4946" s="21"/>
    </row>
    <row r="4947" spans="13:13" x14ac:dyDescent="0.25">
      <c r="M4947" s="21"/>
    </row>
    <row r="4948" spans="13:13" x14ac:dyDescent="0.25">
      <c r="M4948" s="21"/>
    </row>
    <row r="4949" spans="13:13" x14ac:dyDescent="0.25">
      <c r="M4949" s="21"/>
    </row>
    <row r="4950" spans="13:13" x14ac:dyDescent="0.25">
      <c r="M4950" s="21"/>
    </row>
    <row r="4951" spans="13:13" x14ac:dyDescent="0.25">
      <c r="M4951" s="21"/>
    </row>
    <row r="4952" spans="13:13" x14ac:dyDescent="0.25">
      <c r="M4952" s="21"/>
    </row>
    <row r="4953" spans="13:13" x14ac:dyDescent="0.25">
      <c r="M4953" s="21"/>
    </row>
    <row r="4954" spans="13:13" x14ac:dyDescent="0.25">
      <c r="M4954" s="21"/>
    </row>
    <row r="4955" spans="13:13" x14ac:dyDescent="0.25">
      <c r="M4955" s="21"/>
    </row>
    <row r="4956" spans="13:13" x14ac:dyDescent="0.25">
      <c r="M4956" s="21"/>
    </row>
    <row r="4957" spans="13:13" x14ac:dyDescent="0.25">
      <c r="M4957" s="21"/>
    </row>
    <row r="4958" spans="13:13" x14ac:dyDescent="0.25">
      <c r="M4958" s="21"/>
    </row>
    <row r="4959" spans="13:13" x14ac:dyDescent="0.25">
      <c r="M4959" s="21"/>
    </row>
    <row r="4960" spans="13:13" x14ac:dyDescent="0.25">
      <c r="M4960" s="21"/>
    </row>
    <row r="4961" spans="13:13" x14ac:dyDescent="0.25">
      <c r="M4961" s="21"/>
    </row>
    <row r="4962" spans="13:13" x14ac:dyDescent="0.25">
      <c r="M4962" s="21"/>
    </row>
    <row r="4963" spans="13:13" x14ac:dyDescent="0.25">
      <c r="M4963" s="21"/>
    </row>
    <row r="4964" spans="13:13" x14ac:dyDescent="0.25">
      <c r="M4964" s="21"/>
    </row>
    <row r="4965" spans="13:13" x14ac:dyDescent="0.25">
      <c r="M4965" s="21"/>
    </row>
    <row r="4966" spans="13:13" x14ac:dyDescent="0.25">
      <c r="M4966" s="21"/>
    </row>
    <row r="4967" spans="13:13" x14ac:dyDescent="0.25">
      <c r="M4967" s="21"/>
    </row>
    <row r="4968" spans="13:13" x14ac:dyDescent="0.25">
      <c r="M4968" s="21"/>
    </row>
    <row r="4969" spans="13:13" x14ac:dyDescent="0.25">
      <c r="M4969" s="21"/>
    </row>
    <row r="4970" spans="13:13" x14ac:dyDescent="0.25">
      <c r="M4970" s="21"/>
    </row>
    <row r="4971" spans="13:13" x14ac:dyDescent="0.25">
      <c r="M4971" s="21"/>
    </row>
    <row r="4972" spans="13:13" x14ac:dyDescent="0.25">
      <c r="M4972" s="21"/>
    </row>
    <row r="4973" spans="13:13" x14ac:dyDescent="0.25">
      <c r="M4973" s="21"/>
    </row>
    <row r="4974" spans="13:13" x14ac:dyDescent="0.25">
      <c r="M4974" s="21"/>
    </row>
    <row r="4975" spans="13:13" x14ac:dyDescent="0.25">
      <c r="M4975" s="21"/>
    </row>
    <row r="4976" spans="13:13" x14ac:dyDescent="0.25">
      <c r="M4976" s="21"/>
    </row>
    <row r="4977" spans="13:13" x14ac:dyDescent="0.25">
      <c r="M4977" s="21"/>
    </row>
    <row r="4978" spans="13:13" x14ac:dyDescent="0.25">
      <c r="M4978" s="21"/>
    </row>
    <row r="4979" spans="13:13" x14ac:dyDescent="0.25">
      <c r="M4979" s="21"/>
    </row>
    <row r="4980" spans="13:13" x14ac:dyDescent="0.25">
      <c r="M4980" s="21"/>
    </row>
    <row r="4981" spans="13:13" x14ac:dyDescent="0.25">
      <c r="M4981" s="21"/>
    </row>
    <row r="4982" spans="13:13" x14ac:dyDescent="0.25">
      <c r="M4982" s="21"/>
    </row>
    <row r="4983" spans="13:13" x14ac:dyDescent="0.25">
      <c r="M4983" s="21"/>
    </row>
    <row r="4984" spans="13:13" x14ac:dyDescent="0.25">
      <c r="M4984" s="21"/>
    </row>
    <row r="4985" spans="13:13" x14ac:dyDescent="0.25">
      <c r="M4985" s="21"/>
    </row>
    <row r="4986" spans="13:13" x14ac:dyDescent="0.25">
      <c r="M4986" s="21"/>
    </row>
    <row r="4987" spans="13:13" x14ac:dyDescent="0.25">
      <c r="M4987" s="21"/>
    </row>
    <row r="4988" spans="13:13" x14ac:dyDescent="0.25">
      <c r="M4988" s="21"/>
    </row>
    <row r="4989" spans="13:13" x14ac:dyDescent="0.25">
      <c r="M4989" s="21"/>
    </row>
    <row r="4990" spans="13:13" x14ac:dyDescent="0.25">
      <c r="M4990" s="21"/>
    </row>
    <row r="4991" spans="13:13" x14ac:dyDescent="0.25">
      <c r="M4991" s="21"/>
    </row>
    <row r="4992" spans="13:13" x14ac:dyDescent="0.25">
      <c r="M4992" s="21"/>
    </row>
    <row r="4993" spans="13:13" x14ac:dyDescent="0.25">
      <c r="M4993" s="21"/>
    </row>
    <row r="4994" spans="13:13" x14ac:dyDescent="0.25">
      <c r="M4994" s="21"/>
    </row>
    <row r="4995" spans="13:13" x14ac:dyDescent="0.25">
      <c r="M4995" s="21"/>
    </row>
    <row r="4996" spans="13:13" x14ac:dyDescent="0.25">
      <c r="M4996" s="21"/>
    </row>
    <row r="4997" spans="13:13" x14ac:dyDescent="0.25">
      <c r="M4997" s="21"/>
    </row>
    <row r="4998" spans="13:13" x14ac:dyDescent="0.25">
      <c r="M4998" s="21"/>
    </row>
    <row r="4999" spans="13:13" x14ac:dyDescent="0.25">
      <c r="M4999" s="21"/>
    </row>
    <row r="5000" spans="13:13" x14ac:dyDescent="0.25">
      <c r="M5000" s="21"/>
    </row>
    <row r="5001" spans="13:13" x14ac:dyDescent="0.25">
      <c r="M5001" s="21"/>
    </row>
    <row r="5002" spans="13:13" x14ac:dyDescent="0.25">
      <c r="M5002" s="21"/>
    </row>
    <row r="5003" spans="13:13" x14ac:dyDescent="0.25">
      <c r="M5003" s="21"/>
    </row>
    <row r="5004" spans="13:13" x14ac:dyDescent="0.25">
      <c r="M5004" s="21"/>
    </row>
    <row r="5005" spans="13:13" x14ac:dyDescent="0.25">
      <c r="M5005" s="21"/>
    </row>
    <row r="5006" spans="13:13" x14ac:dyDescent="0.25">
      <c r="M5006" s="21"/>
    </row>
    <row r="5007" spans="13:13" x14ac:dyDescent="0.25">
      <c r="M5007" s="21"/>
    </row>
    <row r="5008" spans="13:13" x14ac:dyDescent="0.25">
      <c r="M5008" s="21"/>
    </row>
    <row r="5009" spans="13:13" x14ac:dyDescent="0.25">
      <c r="M5009" s="21"/>
    </row>
    <row r="5010" spans="13:13" x14ac:dyDescent="0.25">
      <c r="M5010" s="21"/>
    </row>
    <row r="5011" spans="13:13" x14ac:dyDescent="0.25">
      <c r="M5011" s="21"/>
    </row>
    <row r="5012" spans="13:13" x14ac:dyDescent="0.25">
      <c r="M5012" s="21"/>
    </row>
    <row r="5013" spans="13:13" x14ac:dyDescent="0.25">
      <c r="M5013" s="21"/>
    </row>
    <row r="5014" spans="13:13" x14ac:dyDescent="0.25">
      <c r="M5014" s="21"/>
    </row>
    <row r="5015" spans="13:13" x14ac:dyDescent="0.25">
      <c r="M5015" s="21"/>
    </row>
    <row r="5016" spans="13:13" x14ac:dyDescent="0.25">
      <c r="M5016" s="21"/>
    </row>
    <row r="5017" spans="13:13" x14ac:dyDescent="0.25">
      <c r="M5017" s="21"/>
    </row>
    <row r="5018" spans="13:13" x14ac:dyDescent="0.25">
      <c r="M5018" s="21"/>
    </row>
    <row r="5019" spans="13:13" x14ac:dyDescent="0.25">
      <c r="M5019" s="21"/>
    </row>
    <row r="5020" spans="13:13" x14ac:dyDescent="0.25">
      <c r="M5020" s="21"/>
    </row>
    <row r="5021" spans="13:13" x14ac:dyDescent="0.25">
      <c r="M5021" s="21"/>
    </row>
    <row r="5022" spans="13:13" x14ac:dyDescent="0.25">
      <c r="M5022" s="21"/>
    </row>
    <row r="5023" spans="13:13" x14ac:dyDescent="0.25">
      <c r="M5023" s="21"/>
    </row>
    <row r="5024" spans="13:13" x14ac:dyDescent="0.25">
      <c r="M5024" s="21"/>
    </row>
    <row r="5025" spans="13:13" x14ac:dyDescent="0.25">
      <c r="M5025" s="21"/>
    </row>
    <row r="5026" spans="13:13" x14ac:dyDescent="0.25">
      <c r="M5026" s="21"/>
    </row>
    <row r="5027" spans="13:13" x14ac:dyDescent="0.25">
      <c r="M5027" s="21"/>
    </row>
    <row r="5028" spans="13:13" x14ac:dyDescent="0.25">
      <c r="M5028" s="21"/>
    </row>
    <row r="5029" spans="13:13" x14ac:dyDescent="0.25">
      <c r="M5029" s="21"/>
    </row>
    <row r="5030" spans="13:13" x14ac:dyDescent="0.25">
      <c r="M5030" s="21"/>
    </row>
    <row r="5031" spans="13:13" x14ac:dyDescent="0.25">
      <c r="M5031" s="21"/>
    </row>
    <row r="5032" spans="13:13" x14ac:dyDescent="0.25">
      <c r="M5032" s="21"/>
    </row>
    <row r="5033" spans="13:13" x14ac:dyDescent="0.25">
      <c r="M5033" s="21"/>
    </row>
    <row r="5034" spans="13:13" x14ac:dyDescent="0.25">
      <c r="M5034" s="21"/>
    </row>
    <row r="5035" spans="13:13" x14ac:dyDescent="0.25">
      <c r="M5035" s="21"/>
    </row>
    <row r="5036" spans="13:13" x14ac:dyDescent="0.25">
      <c r="M5036" s="21"/>
    </row>
    <row r="5037" spans="13:13" x14ac:dyDescent="0.25">
      <c r="M5037" s="21"/>
    </row>
    <row r="5038" spans="13:13" x14ac:dyDescent="0.25">
      <c r="M5038" s="21"/>
    </row>
    <row r="5039" spans="13:13" x14ac:dyDescent="0.25">
      <c r="M5039" s="21"/>
    </row>
    <row r="5040" spans="13:13" x14ac:dyDescent="0.25">
      <c r="M5040" s="21"/>
    </row>
    <row r="5041" spans="13:13" x14ac:dyDescent="0.25">
      <c r="M5041" s="21"/>
    </row>
    <row r="5042" spans="13:13" x14ac:dyDescent="0.25">
      <c r="M5042" s="21"/>
    </row>
    <row r="5043" spans="13:13" x14ac:dyDescent="0.25">
      <c r="M5043" s="21"/>
    </row>
    <row r="5044" spans="13:13" x14ac:dyDescent="0.25">
      <c r="M5044" s="21"/>
    </row>
    <row r="5045" spans="13:13" x14ac:dyDescent="0.25">
      <c r="M5045" s="21"/>
    </row>
    <row r="5046" spans="13:13" x14ac:dyDescent="0.25">
      <c r="M5046" s="21"/>
    </row>
    <row r="5047" spans="13:13" x14ac:dyDescent="0.25">
      <c r="M5047" s="21"/>
    </row>
    <row r="5048" spans="13:13" x14ac:dyDescent="0.25">
      <c r="M5048" s="21"/>
    </row>
    <row r="5049" spans="13:13" x14ac:dyDescent="0.25">
      <c r="M5049" s="21"/>
    </row>
    <row r="5050" spans="13:13" x14ac:dyDescent="0.25">
      <c r="M5050" s="21"/>
    </row>
    <row r="5051" spans="13:13" x14ac:dyDescent="0.25">
      <c r="M5051" s="21"/>
    </row>
    <row r="5052" spans="13:13" x14ac:dyDescent="0.25">
      <c r="M5052" s="21"/>
    </row>
    <row r="5053" spans="13:13" x14ac:dyDescent="0.25">
      <c r="M5053" s="21"/>
    </row>
    <row r="5054" spans="13:13" x14ac:dyDescent="0.25">
      <c r="M5054" s="21"/>
    </row>
    <row r="5055" spans="13:13" x14ac:dyDescent="0.25">
      <c r="M5055" s="21"/>
    </row>
    <row r="5056" spans="13:13" x14ac:dyDescent="0.25">
      <c r="M5056" s="21"/>
    </row>
    <row r="5057" spans="13:13" x14ac:dyDescent="0.25">
      <c r="M5057" s="21"/>
    </row>
    <row r="5058" spans="13:13" x14ac:dyDescent="0.25">
      <c r="M5058" s="21"/>
    </row>
    <row r="5059" spans="13:13" x14ac:dyDescent="0.25">
      <c r="M5059" s="21"/>
    </row>
    <row r="5060" spans="13:13" x14ac:dyDescent="0.25">
      <c r="M5060" s="21"/>
    </row>
    <row r="5061" spans="13:13" x14ac:dyDescent="0.25">
      <c r="M5061" s="21"/>
    </row>
    <row r="5062" spans="13:13" x14ac:dyDescent="0.25">
      <c r="M5062" s="21"/>
    </row>
    <row r="5063" spans="13:13" x14ac:dyDescent="0.25">
      <c r="M5063" s="21"/>
    </row>
    <row r="5064" spans="13:13" x14ac:dyDescent="0.25">
      <c r="M5064" s="21"/>
    </row>
    <row r="5065" spans="13:13" x14ac:dyDescent="0.25">
      <c r="M5065" s="21"/>
    </row>
    <row r="5066" spans="13:13" x14ac:dyDescent="0.25">
      <c r="M5066" s="21"/>
    </row>
    <row r="5067" spans="13:13" x14ac:dyDescent="0.25">
      <c r="M5067" s="21"/>
    </row>
    <row r="5068" spans="13:13" x14ac:dyDescent="0.25">
      <c r="M5068" s="21"/>
    </row>
    <row r="5069" spans="13:13" x14ac:dyDescent="0.25">
      <c r="M5069" s="21"/>
    </row>
    <row r="5070" spans="13:13" x14ac:dyDescent="0.25">
      <c r="M5070" s="21"/>
    </row>
    <row r="5071" spans="13:13" x14ac:dyDescent="0.25">
      <c r="M5071" s="21"/>
    </row>
    <row r="5072" spans="13:13" x14ac:dyDescent="0.25">
      <c r="M5072" s="21"/>
    </row>
    <row r="5073" spans="13:13" x14ac:dyDescent="0.25">
      <c r="M5073" s="21"/>
    </row>
    <row r="5074" spans="13:13" x14ac:dyDescent="0.25">
      <c r="M5074" s="21"/>
    </row>
    <row r="5075" spans="13:13" x14ac:dyDescent="0.25">
      <c r="M5075" s="21"/>
    </row>
    <row r="5076" spans="13:13" x14ac:dyDescent="0.25">
      <c r="M5076" s="21"/>
    </row>
    <row r="5077" spans="13:13" x14ac:dyDescent="0.25">
      <c r="M5077" s="21"/>
    </row>
    <row r="5078" spans="13:13" x14ac:dyDescent="0.25">
      <c r="M5078" s="21"/>
    </row>
    <row r="5079" spans="13:13" x14ac:dyDescent="0.25">
      <c r="M5079" s="21"/>
    </row>
    <row r="5080" spans="13:13" x14ac:dyDescent="0.25">
      <c r="M5080" s="21"/>
    </row>
    <row r="5081" spans="13:13" x14ac:dyDescent="0.25">
      <c r="M5081" s="21"/>
    </row>
    <row r="5082" spans="13:13" x14ac:dyDescent="0.25">
      <c r="M5082" s="21"/>
    </row>
    <row r="5083" spans="13:13" x14ac:dyDescent="0.25">
      <c r="M5083" s="21"/>
    </row>
    <row r="5084" spans="13:13" x14ac:dyDescent="0.25">
      <c r="M5084" s="21"/>
    </row>
    <row r="5085" spans="13:13" x14ac:dyDescent="0.25">
      <c r="M5085" s="21"/>
    </row>
    <row r="5086" spans="13:13" x14ac:dyDescent="0.25">
      <c r="M5086" s="21"/>
    </row>
    <row r="5087" spans="13:13" x14ac:dyDescent="0.25">
      <c r="M5087" s="21"/>
    </row>
    <row r="5088" spans="13:13" x14ac:dyDescent="0.25">
      <c r="M5088" s="21"/>
    </row>
    <row r="5089" spans="13:13" x14ac:dyDescent="0.25">
      <c r="M5089" s="21"/>
    </row>
    <row r="5090" spans="13:13" x14ac:dyDescent="0.25">
      <c r="M5090" s="21"/>
    </row>
    <row r="5091" spans="13:13" x14ac:dyDescent="0.25">
      <c r="M5091" s="21"/>
    </row>
    <row r="5092" spans="13:13" x14ac:dyDescent="0.25">
      <c r="M5092" s="21"/>
    </row>
    <row r="5093" spans="13:13" x14ac:dyDescent="0.25">
      <c r="M5093" s="21"/>
    </row>
    <row r="5094" spans="13:13" x14ac:dyDescent="0.25">
      <c r="M5094" s="21"/>
    </row>
    <row r="5095" spans="13:13" x14ac:dyDescent="0.25">
      <c r="M5095" s="21"/>
    </row>
    <row r="5096" spans="13:13" x14ac:dyDescent="0.25">
      <c r="M5096" s="21"/>
    </row>
    <row r="5097" spans="13:13" x14ac:dyDescent="0.25">
      <c r="M5097" s="21"/>
    </row>
    <row r="5098" spans="13:13" x14ac:dyDescent="0.25">
      <c r="M5098" s="21"/>
    </row>
    <row r="5099" spans="13:13" x14ac:dyDescent="0.25">
      <c r="M5099" s="21"/>
    </row>
    <row r="5100" spans="13:13" x14ac:dyDescent="0.25">
      <c r="M5100" s="21"/>
    </row>
    <row r="5101" spans="13:13" x14ac:dyDescent="0.25">
      <c r="M5101" s="21"/>
    </row>
    <row r="5102" spans="13:13" x14ac:dyDescent="0.25">
      <c r="M5102" s="21"/>
    </row>
    <row r="5103" spans="13:13" x14ac:dyDescent="0.25">
      <c r="M5103" s="21"/>
    </row>
    <row r="5104" spans="13:13" x14ac:dyDescent="0.25">
      <c r="M5104" s="21"/>
    </row>
    <row r="5105" spans="13:13" x14ac:dyDescent="0.25">
      <c r="M5105" s="21"/>
    </row>
    <row r="5106" spans="13:13" x14ac:dyDescent="0.25">
      <c r="M5106" s="21"/>
    </row>
    <row r="5107" spans="13:13" x14ac:dyDescent="0.25">
      <c r="M5107" s="21"/>
    </row>
    <row r="5108" spans="13:13" x14ac:dyDescent="0.25">
      <c r="M5108" s="21"/>
    </row>
    <row r="5109" spans="13:13" x14ac:dyDescent="0.25">
      <c r="M5109" s="21"/>
    </row>
    <row r="5110" spans="13:13" x14ac:dyDescent="0.25">
      <c r="M5110" s="21"/>
    </row>
    <row r="5111" spans="13:13" x14ac:dyDescent="0.25">
      <c r="M5111" s="21"/>
    </row>
    <row r="5112" spans="13:13" x14ac:dyDescent="0.25">
      <c r="M5112" s="21"/>
    </row>
    <row r="5113" spans="13:13" x14ac:dyDescent="0.25">
      <c r="M5113" s="21"/>
    </row>
    <row r="5114" spans="13:13" x14ac:dyDescent="0.25">
      <c r="M5114" s="21"/>
    </row>
    <row r="5115" spans="13:13" x14ac:dyDescent="0.25">
      <c r="M5115" s="21"/>
    </row>
    <row r="5116" spans="13:13" x14ac:dyDescent="0.25">
      <c r="M5116" s="21"/>
    </row>
    <row r="5117" spans="13:13" x14ac:dyDescent="0.25">
      <c r="M5117" s="21"/>
    </row>
    <row r="5118" spans="13:13" x14ac:dyDescent="0.25">
      <c r="M5118" s="21"/>
    </row>
    <row r="5119" spans="13:13" x14ac:dyDescent="0.25">
      <c r="M5119" s="21"/>
    </row>
    <row r="5120" spans="13:13" x14ac:dyDescent="0.25">
      <c r="M5120" s="21"/>
    </row>
    <row r="5121" spans="13:13" x14ac:dyDescent="0.25">
      <c r="M5121" s="21"/>
    </row>
    <row r="5122" spans="13:13" x14ac:dyDescent="0.25">
      <c r="M5122" s="21"/>
    </row>
    <row r="5123" spans="13:13" x14ac:dyDescent="0.25">
      <c r="M5123" s="21"/>
    </row>
    <row r="5124" spans="13:13" x14ac:dyDescent="0.25">
      <c r="M5124" s="21"/>
    </row>
    <row r="5125" spans="13:13" x14ac:dyDescent="0.25">
      <c r="M5125" s="21"/>
    </row>
    <row r="5126" spans="13:13" x14ac:dyDescent="0.25">
      <c r="M5126" s="21"/>
    </row>
    <row r="5127" spans="13:13" x14ac:dyDescent="0.25">
      <c r="M5127" s="21"/>
    </row>
    <row r="5128" spans="13:13" x14ac:dyDescent="0.25">
      <c r="M5128" s="21"/>
    </row>
    <row r="5129" spans="13:13" x14ac:dyDescent="0.25">
      <c r="M5129" s="21"/>
    </row>
    <row r="5130" spans="13:13" x14ac:dyDescent="0.25">
      <c r="M5130" s="21"/>
    </row>
    <row r="5131" spans="13:13" x14ac:dyDescent="0.25">
      <c r="M5131" s="21"/>
    </row>
    <row r="5132" spans="13:13" x14ac:dyDescent="0.25">
      <c r="M5132" s="21"/>
    </row>
    <row r="5133" spans="13:13" x14ac:dyDescent="0.25">
      <c r="M5133" s="21"/>
    </row>
    <row r="5134" spans="13:13" x14ac:dyDescent="0.25">
      <c r="M5134" s="21"/>
    </row>
    <row r="5135" spans="13:13" x14ac:dyDescent="0.25">
      <c r="M5135" s="21"/>
    </row>
    <row r="5136" spans="13:13" x14ac:dyDescent="0.25">
      <c r="M5136" s="21"/>
    </row>
    <row r="5137" spans="13:13" x14ac:dyDescent="0.25">
      <c r="M5137" s="21"/>
    </row>
    <row r="5138" spans="13:13" x14ac:dyDescent="0.25">
      <c r="M5138" s="21"/>
    </row>
    <row r="5139" spans="13:13" x14ac:dyDescent="0.25">
      <c r="M5139" s="21"/>
    </row>
    <row r="5140" spans="13:13" x14ac:dyDescent="0.25">
      <c r="M5140" s="21"/>
    </row>
    <row r="5141" spans="13:13" x14ac:dyDescent="0.25">
      <c r="M5141" s="21"/>
    </row>
    <row r="5142" spans="13:13" x14ac:dyDescent="0.25">
      <c r="M5142" s="21"/>
    </row>
    <row r="5143" spans="13:13" x14ac:dyDescent="0.25">
      <c r="M5143" s="21"/>
    </row>
    <row r="5144" spans="13:13" x14ac:dyDescent="0.25">
      <c r="M5144" s="21"/>
    </row>
    <row r="5145" spans="13:13" x14ac:dyDescent="0.25">
      <c r="M5145" s="21"/>
    </row>
    <row r="5146" spans="13:13" x14ac:dyDescent="0.25">
      <c r="M5146" s="21"/>
    </row>
    <row r="5147" spans="13:13" x14ac:dyDescent="0.25">
      <c r="M5147" s="21"/>
    </row>
    <row r="5148" spans="13:13" x14ac:dyDescent="0.25">
      <c r="M5148" s="21"/>
    </row>
    <row r="5149" spans="13:13" x14ac:dyDescent="0.25">
      <c r="M5149" s="21"/>
    </row>
    <row r="5150" spans="13:13" x14ac:dyDescent="0.25">
      <c r="M5150" s="21"/>
    </row>
    <row r="5151" spans="13:13" x14ac:dyDescent="0.25">
      <c r="M5151" s="21"/>
    </row>
    <row r="5152" spans="13:13" x14ac:dyDescent="0.25">
      <c r="M5152" s="21"/>
    </row>
    <row r="5153" spans="13:13" x14ac:dyDescent="0.25">
      <c r="M5153" s="21"/>
    </row>
    <row r="5154" spans="13:13" x14ac:dyDescent="0.25">
      <c r="M5154" s="21"/>
    </row>
    <row r="5155" spans="13:13" x14ac:dyDescent="0.25">
      <c r="M5155" s="21"/>
    </row>
    <row r="5156" spans="13:13" x14ac:dyDescent="0.25">
      <c r="M5156" s="21"/>
    </row>
    <row r="5157" spans="13:13" x14ac:dyDescent="0.25">
      <c r="M5157" s="21"/>
    </row>
    <row r="5158" spans="13:13" x14ac:dyDescent="0.25">
      <c r="M5158" s="21"/>
    </row>
    <row r="5159" spans="13:13" x14ac:dyDescent="0.25">
      <c r="M5159" s="21"/>
    </row>
    <row r="5160" spans="13:13" x14ac:dyDescent="0.25">
      <c r="M5160" s="21"/>
    </row>
    <row r="5161" spans="13:13" x14ac:dyDescent="0.25">
      <c r="M5161" s="21"/>
    </row>
    <row r="5162" spans="13:13" x14ac:dyDescent="0.25">
      <c r="M5162" s="21"/>
    </row>
    <row r="5163" spans="13:13" x14ac:dyDescent="0.25">
      <c r="M5163" s="21"/>
    </row>
    <row r="5164" spans="13:13" x14ac:dyDescent="0.25">
      <c r="M5164" s="21"/>
    </row>
    <row r="5165" spans="13:13" x14ac:dyDescent="0.25">
      <c r="M5165" s="21"/>
    </row>
    <row r="5166" spans="13:13" x14ac:dyDescent="0.25">
      <c r="M5166" s="21"/>
    </row>
    <row r="5167" spans="13:13" x14ac:dyDescent="0.25">
      <c r="M5167" s="21"/>
    </row>
    <row r="5168" spans="13:13" x14ac:dyDescent="0.25">
      <c r="M5168" s="21"/>
    </row>
    <row r="5169" spans="13:13" x14ac:dyDescent="0.25">
      <c r="M5169" s="21"/>
    </row>
    <row r="5170" spans="13:13" x14ac:dyDescent="0.25">
      <c r="M5170" s="21"/>
    </row>
    <row r="5171" spans="13:13" x14ac:dyDescent="0.25">
      <c r="M5171" s="21"/>
    </row>
    <row r="5172" spans="13:13" x14ac:dyDescent="0.25">
      <c r="M5172" s="21"/>
    </row>
    <row r="5173" spans="13:13" x14ac:dyDescent="0.25">
      <c r="M5173" s="21"/>
    </row>
    <row r="5174" spans="13:13" x14ac:dyDescent="0.25">
      <c r="M5174" s="21"/>
    </row>
    <row r="5175" spans="13:13" x14ac:dyDescent="0.25">
      <c r="M5175" s="21"/>
    </row>
    <row r="5176" spans="13:13" x14ac:dyDescent="0.25">
      <c r="M5176" s="21"/>
    </row>
    <row r="5177" spans="13:13" x14ac:dyDescent="0.25">
      <c r="M5177" s="21"/>
    </row>
    <row r="5178" spans="13:13" x14ac:dyDescent="0.25">
      <c r="M5178" s="21"/>
    </row>
    <row r="5179" spans="13:13" x14ac:dyDescent="0.25">
      <c r="M5179" s="21"/>
    </row>
    <row r="5180" spans="13:13" x14ac:dyDescent="0.25">
      <c r="M5180" s="21"/>
    </row>
    <row r="5181" spans="13:13" x14ac:dyDescent="0.25">
      <c r="M5181" s="21"/>
    </row>
    <row r="5182" spans="13:13" x14ac:dyDescent="0.25">
      <c r="M5182" s="21"/>
    </row>
    <row r="5183" spans="13:13" x14ac:dyDescent="0.25">
      <c r="M5183" s="21"/>
    </row>
    <row r="5184" spans="13:13" x14ac:dyDescent="0.25">
      <c r="M5184" s="21"/>
    </row>
    <row r="5185" spans="13:13" x14ac:dyDescent="0.25">
      <c r="M5185" s="21"/>
    </row>
    <row r="5186" spans="13:13" x14ac:dyDescent="0.25">
      <c r="M5186" s="21"/>
    </row>
    <row r="5187" spans="13:13" x14ac:dyDescent="0.25">
      <c r="M5187" s="21"/>
    </row>
    <row r="5188" spans="13:13" x14ac:dyDescent="0.25">
      <c r="M5188" s="21"/>
    </row>
    <row r="5189" spans="13:13" x14ac:dyDescent="0.25">
      <c r="M5189" s="21"/>
    </row>
    <row r="5190" spans="13:13" x14ac:dyDescent="0.25">
      <c r="M5190" s="21"/>
    </row>
    <row r="5191" spans="13:13" x14ac:dyDescent="0.25">
      <c r="M5191" s="21"/>
    </row>
    <row r="5192" spans="13:13" x14ac:dyDescent="0.25">
      <c r="M5192" s="21"/>
    </row>
    <row r="5193" spans="13:13" x14ac:dyDescent="0.25">
      <c r="M5193" s="21"/>
    </row>
    <row r="5194" spans="13:13" x14ac:dyDescent="0.25">
      <c r="M5194" s="21"/>
    </row>
    <row r="5195" spans="13:13" x14ac:dyDescent="0.25">
      <c r="M5195" s="21"/>
    </row>
    <row r="5196" spans="13:13" x14ac:dyDescent="0.25">
      <c r="M5196" s="21"/>
    </row>
    <row r="5197" spans="13:13" x14ac:dyDescent="0.25">
      <c r="M5197" s="21"/>
    </row>
    <row r="5198" spans="13:13" x14ac:dyDescent="0.25">
      <c r="M5198" s="21"/>
    </row>
    <row r="5199" spans="13:13" x14ac:dyDescent="0.25">
      <c r="M5199" s="21"/>
    </row>
    <row r="5200" spans="13:13" x14ac:dyDescent="0.25">
      <c r="M5200" s="21"/>
    </row>
    <row r="5201" spans="13:13" x14ac:dyDescent="0.25">
      <c r="M5201" s="21"/>
    </row>
    <row r="5202" spans="13:13" x14ac:dyDescent="0.25">
      <c r="M5202" s="21"/>
    </row>
    <row r="5203" spans="13:13" x14ac:dyDescent="0.25">
      <c r="M5203" s="21"/>
    </row>
    <row r="5204" spans="13:13" x14ac:dyDescent="0.25">
      <c r="M5204" s="21"/>
    </row>
    <row r="5205" spans="13:13" x14ac:dyDescent="0.25">
      <c r="M5205" s="21"/>
    </row>
    <row r="5206" spans="13:13" x14ac:dyDescent="0.25">
      <c r="M5206" s="21"/>
    </row>
    <row r="5207" spans="13:13" x14ac:dyDescent="0.25">
      <c r="M5207" s="21"/>
    </row>
    <row r="5208" spans="13:13" x14ac:dyDescent="0.25">
      <c r="M5208" s="21"/>
    </row>
    <row r="5209" spans="13:13" x14ac:dyDescent="0.25">
      <c r="M5209" s="21"/>
    </row>
    <row r="5210" spans="13:13" x14ac:dyDescent="0.25">
      <c r="M5210" s="21"/>
    </row>
    <row r="5211" spans="13:13" x14ac:dyDescent="0.25">
      <c r="M5211" s="21"/>
    </row>
    <row r="5212" spans="13:13" x14ac:dyDescent="0.25">
      <c r="M5212" s="21"/>
    </row>
    <row r="5213" spans="13:13" x14ac:dyDescent="0.25">
      <c r="M5213" s="21"/>
    </row>
    <row r="5214" spans="13:13" x14ac:dyDescent="0.25">
      <c r="M5214" s="21"/>
    </row>
    <row r="5215" spans="13:13" x14ac:dyDescent="0.25">
      <c r="M5215" s="21"/>
    </row>
    <row r="5216" spans="13:13" x14ac:dyDescent="0.25">
      <c r="M5216" s="21"/>
    </row>
    <row r="5217" spans="13:13" x14ac:dyDescent="0.25">
      <c r="M5217" s="21"/>
    </row>
    <row r="5218" spans="13:13" x14ac:dyDescent="0.25">
      <c r="M5218" s="21"/>
    </row>
    <row r="5219" spans="13:13" x14ac:dyDescent="0.25">
      <c r="M5219" s="21"/>
    </row>
    <row r="5220" spans="13:13" x14ac:dyDescent="0.25">
      <c r="M5220" s="21"/>
    </row>
    <row r="5221" spans="13:13" x14ac:dyDescent="0.25">
      <c r="M5221" s="21"/>
    </row>
    <row r="5222" spans="13:13" x14ac:dyDescent="0.25">
      <c r="M5222" s="21"/>
    </row>
    <row r="5223" spans="13:13" x14ac:dyDescent="0.25">
      <c r="M5223" s="21"/>
    </row>
    <row r="5224" spans="13:13" x14ac:dyDescent="0.25">
      <c r="M5224" s="21"/>
    </row>
    <row r="5225" spans="13:13" x14ac:dyDescent="0.25">
      <c r="M5225" s="21"/>
    </row>
    <row r="5226" spans="13:13" x14ac:dyDescent="0.25">
      <c r="M5226" s="21"/>
    </row>
    <row r="5227" spans="13:13" x14ac:dyDescent="0.25">
      <c r="M5227" s="21"/>
    </row>
    <row r="5228" spans="13:13" x14ac:dyDescent="0.25">
      <c r="M5228" s="21"/>
    </row>
    <row r="5229" spans="13:13" x14ac:dyDescent="0.25">
      <c r="M5229" s="21"/>
    </row>
    <row r="5230" spans="13:13" x14ac:dyDescent="0.25">
      <c r="M5230" s="21"/>
    </row>
    <row r="5231" spans="13:13" x14ac:dyDescent="0.25">
      <c r="M5231" s="21"/>
    </row>
    <row r="5232" spans="13:13" x14ac:dyDescent="0.25">
      <c r="M5232" s="21"/>
    </row>
    <row r="5233" spans="13:13" x14ac:dyDescent="0.25">
      <c r="M5233" s="21"/>
    </row>
    <row r="5234" spans="13:13" x14ac:dyDescent="0.25">
      <c r="M5234" s="21"/>
    </row>
    <row r="5235" spans="13:13" x14ac:dyDescent="0.25">
      <c r="M5235" s="21"/>
    </row>
    <row r="5236" spans="13:13" x14ac:dyDescent="0.25">
      <c r="M5236" s="21"/>
    </row>
    <row r="5237" spans="13:13" x14ac:dyDescent="0.25">
      <c r="M5237" s="21"/>
    </row>
    <row r="5238" spans="13:13" x14ac:dyDescent="0.25">
      <c r="M5238" s="21"/>
    </row>
    <row r="5239" spans="13:13" x14ac:dyDescent="0.25">
      <c r="M5239" s="21"/>
    </row>
    <row r="5240" spans="13:13" x14ac:dyDescent="0.25">
      <c r="M5240" s="21"/>
    </row>
    <row r="5241" spans="13:13" x14ac:dyDescent="0.25">
      <c r="M5241" s="21"/>
    </row>
    <row r="5242" spans="13:13" x14ac:dyDescent="0.25">
      <c r="M5242" s="21"/>
    </row>
    <row r="5243" spans="13:13" x14ac:dyDescent="0.25">
      <c r="M5243" s="21"/>
    </row>
    <row r="5244" spans="13:13" x14ac:dyDescent="0.25">
      <c r="M5244" s="21"/>
    </row>
    <row r="5245" spans="13:13" x14ac:dyDescent="0.25">
      <c r="M5245" s="21"/>
    </row>
    <row r="5246" spans="13:13" x14ac:dyDescent="0.25">
      <c r="M5246" s="21"/>
    </row>
    <row r="5247" spans="13:13" x14ac:dyDescent="0.25">
      <c r="M5247" s="21"/>
    </row>
    <row r="5248" spans="13:13" x14ac:dyDescent="0.25">
      <c r="M5248" s="21"/>
    </row>
    <row r="5249" spans="13:13" x14ac:dyDescent="0.25">
      <c r="M5249" s="21"/>
    </row>
    <row r="5250" spans="13:13" x14ac:dyDescent="0.25">
      <c r="M5250" s="21"/>
    </row>
    <row r="5251" spans="13:13" x14ac:dyDescent="0.25">
      <c r="M5251" s="21"/>
    </row>
    <row r="5252" spans="13:13" x14ac:dyDescent="0.25">
      <c r="M5252" s="21"/>
    </row>
    <row r="5253" spans="13:13" x14ac:dyDescent="0.25">
      <c r="M5253" s="21"/>
    </row>
    <row r="5254" spans="13:13" x14ac:dyDescent="0.25">
      <c r="M5254" s="21"/>
    </row>
    <row r="5255" spans="13:13" x14ac:dyDescent="0.25">
      <c r="M5255" s="21"/>
    </row>
    <row r="5256" spans="13:13" x14ac:dyDescent="0.25">
      <c r="M5256" s="21"/>
    </row>
    <row r="5257" spans="13:13" x14ac:dyDescent="0.25">
      <c r="M5257" s="21"/>
    </row>
    <row r="5258" spans="13:13" x14ac:dyDescent="0.25">
      <c r="M5258" s="21"/>
    </row>
    <row r="5259" spans="13:13" x14ac:dyDescent="0.25">
      <c r="M5259" s="21"/>
    </row>
    <row r="5260" spans="13:13" x14ac:dyDescent="0.25">
      <c r="M5260" s="21"/>
    </row>
    <row r="5261" spans="13:13" x14ac:dyDescent="0.25">
      <c r="M5261" s="21"/>
    </row>
    <row r="5262" spans="13:13" x14ac:dyDescent="0.25">
      <c r="M5262" s="21"/>
    </row>
    <row r="5263" spans="13:13" x14ac:dyDescent="0.25">
      <c r="M5263" s="21"/>
    </row>
    <row r="5264" spans="13:13" x14ac:dyDescent="0.25">
      <c r="M5264" s="21"/>
    </row>
    <row r="5265" spans="13:13" x14ac:dyDescent="0.25">
      <c r="M5265" s="21"/>
    </row>
    <row r="5266" spans="13:13" x14ac:dyDescent="0.25">
      <c r="M5266" s="21"/>
    </row>
    <row r="5267" spans="13:13" x14ac:dyDescent="0.25">
      <c r="M5267" s="21"/>
    </row>
    <row r="5268" spans="13:13" x14ac:dyDescent="0.25">
      <c r="M5268" s="21"/>
    </row>
    <row r="5269" spans="13:13" x14ac:dyDescent="0.25">
      <c r="M5269" s="21"/>
    </row>
    <row r="5270" spans="13:13" x14ac:dyDescent="0.25">
      <c r="M5270" s="21"/>
    </row>
    <row r="5271" spans="13:13" x14ac:dyDescent="0.25">
      <c r="M5271" s="21"/>
    </row>
    <row r="5272" spans="13:13" x14ac:dyDescent="0.25">
      <c r="M5272" s="21"/>
    </row>
    <row r="5273" spans="13:13" x14ac:dyDescent="0.25">
      <c r="M5273" s="21"/>
    </row>
    <row r="5274" spans="13:13" x14ac:dyDescent="0.25">
      <c r="M5274" s="21"/>
    </row>
    <row r="5275" spans="13:13" x14ac:dyDescent="0.25">
      <c r="M5275" s="21"/>
    </row>
    <row r="5276" spans="13:13" x14ac:dyDescent="0.25">
      <c r="M5276" s="21"/>
    </row>
    <row r="5277" spans="13:13" x14ac:dyDescent="0.25">
      <c r="M5277" s="21"/>
    </row>
    <row r="5278" spans="13:13" x14ac:dyDescent="0.25">
      <c r="M5278" s="21"/>
    </row>
    <row r="5279" spans="13:13" x14ac:dyDescent="0.25">
      <c r="M5279" s="21"/>
    </row>
    <row r="5280" spans="13:13" x14ac:dyDescent="0.25">
      <c r="M5280" s="21"/>
    </row>
    <row r="5281" spans="13:13" x14ac:dyDescent="0.25">
      <c r="M5281" s="21"/>
    </row>
    <row r="5282" spans="13:13" x14ac:dyDescent="0.25">
      <c r="M5282" s="21"/>
    </row>
    <row r="5283" spans="13:13" x14ac:dyDescent="0.25">
      <c r="M5283" s="21"/>
    </row>
    <row r="5284" spans="13:13" x14ac:dyDescent="0.25">
      <c r="M5284" s="21"/>
    </row>
    <row r="5285" spans="13:13" x14ac:dyDescent="0.25">
      <c r="M5285" s="21"/>
    </row>
    <row r="5286" spans="13:13" x14ac:dyDescent="0.25">
      <c r="M5286" s="21"/>
    </row>
    <row r="5287" spans="13:13" x14ac:dyDescent="0.25">
      <c r="M5287" s="21"/>
    </row>
    <row r="5288" spans="13:13" x14ac:dyDescent="0.25">
      <c r="M5288" s="21"/>
    </row>
    <row r="5289" spans="13:13" x14ac:dyDescent="0.25">
      <c r="M5289" s="21"/>
    </row>
    <row r="5290" spans="13:13" x14ac:dyDescent="0.25">
      <c r="M5290" s="21"/>
    </row>
    <row r="5291" spans="13:13" x14ac:dyDescent="0.25">
      <c r="M5291" s="21"/>
    </row>
    <row r="5292" spans="13:13" x14ac:dyDescent="0.25">
      <c r="M5292" s="21"/>
    </row>
    <row r="5293" spans="13:13" x14ac:dyDescent="0.25">
      <c r="M5293" s="21"/>
    </row>
    <row r="5294" spans="13:13" x14ac:dyDescent="0.25">
      <c r="M5294" s="21"/>
    </row>
    <row r="5295" spans="13:13" x14ac:dyDescent="0.25">
      <c r="M5295" s="21"/>
    </row>
    <row r="5296" spans="13:13" x14ac:dyDescent="0.25">
      <c r="M5296" s="21"/>
    </row>
    <row r="5297" spans="13:13" x14ac:dyDescent="0.25">
      <c r="M5297" s="21"/>
    </row>
    <row r="5298" spans="13:13" x14ac:dyDescent="0.25">
      <c r="M5298" s="21"/>
    </row>
    <row r="5299" spans="13:13" x14ac:dyDescent="0.25">
      <c r="M5299" s="21"/>
    </row>
    <row r="5300" spans="13:13" x14ac:dyDescent="0.25">
      <c r="M5300" s="21"/>
    </row>
    <row r="5301" spans="13:13" x14ac:dyDescent="0.25">
      <c r="M5301" s="21"/>
    </row>
    <row r="5302" spans="13:13" x14ac:dyDescent="0.25">
      <c r="M5302" s="21"/>
    </row>
    <row r="5303" spans="13:13" x14ac:dyDescent="0.25">
      <c r="M5303" s="21"/>
    </row>
    <row r="5304" spans="13:13" x14ac:dyDescent="0.25">
      <c r="M5304" s="21"/>
    </row>
    <row r="5305" spans="13:13" x14ac:dyDescent="0.25">
      <c r="M5305" s="21"/>
    </row>
    <row r="5306" spans="13:13" x14ac:dyDescent="0.25">
      <c r="M5306" s="21"/>
    </row>
    <row r="5307" spans="13:13" x14ac:dyDescent="0.25">
      <c r="M5307" s="21"/>
    </row>
    <row r="5308" spans="13:13" x14ac:dyDescent="0.25">
      <c r="M5308" s="21"/>
    </row>
    <row r="5309" spans="13:13" x14ac:dyDescent="0.25">
      <c r="M5309" s="21"/>
    </row>
    <row r="5310" spans="13:13" x14ac:dyDescent="0.25">
      <c r="M5310" s="21"/>
    </row>
    <row r="5311" spans="13:13" x14ac:dyDescent="0.25">
      <c r="M5311" s="21"/>
    </row>
    <row r="5312" spans="13:13" x14ac:dyDescent="0.25">
      <c r="M5312" s="21"/>
    </row>
    <row r="5313" spans="13:13" x14ac:dyDescent="0.25">
      <c r="M5313" s="21"/>
    </row>
    <row r="5314" spans="13:13" x14ac:dyDescent="0.25">
      <c r="M5314" s="21"/>
    </row>
    <row r="5315" spans="13:13" x14ac:dyDescent="0.25">
      <c r="M5315" s="21"/>
    </row>
    <row r="5316" spans="13:13" x14ac:dyDescent="0.25">
      <c r="M5316" s="21"/>
    </row>
    <row r="5317" spans="13:13" x14ac:dyDescent="0.25">
      <c r="M5317" s="21"/>
    </row>
    <row r="5318" spans="13:13" x14ac:dyDescent="0.25">
      <c r="M5318" s="21"/>
    </row>
    <row r="5319" spans="13:13" x14ac:dyDescent="0.25">
      <c r="M5319" s="21"/>
    </row>
    <row r="5320" spans="13:13" x14ac:dyDescent="0.25">
      <c r="M5320" s="21"/>
    </row>
    <row r="5321" spans="13:13" x14ac:dyDescent="0.25">
      <c r="M5321" s="21"/>
    </row>
    <row r="5322" spans="13:13" x14ac:dyDescent="0.25">
      <c r="M5322" s="21"/>
    </row>
    <row r="5323" spans="13:13" x14ac:dyDescent="0.25">
      <c r="M5323" s="21"/>
    </row>
    <row r="5324" spans="13:13" x14ac:dyDescent="0.25">
      <c r="M5324" s="21"/>
    </row>
    <row r="5325" spans="13:13" x14ac:dyDescent="0.25">
      <c r="M5325" s="21"/>
    </row>
    <row r="5326" spans="13:13" x14ac:dyDescent="0.25">
      <c r="M5326" s="21"/>
    </row>
    <row r="5327" spans="13:13" x14ac:dyDescent="0.25">
      <c r="M5327" s="21"/>
    </row>
    <row r="5328" spans="13:13" x14ac:dyDescent="0.25">
      <c r="M5328" s="21"/>
    </row>
    <row r="5329" spans="13:13" x14ac:dyDescent="0.25">
      <c r="M5329" s="21"/>
    </row>
    <row r="5330" spans="13:13" x14ac:dyDescent="0.25">
      <c r="M5330" s="21"/>
    </row>
    <row r="5331" spans="13:13" x14ac:dyDescent="0.25">
      <c r="M5331" s="21"/>
    </row>
    <row r="5332" spans="13:13" x14ac:dyDescent="0.25">
      <c r="M5332" s="21"/>
    </row>
    <row r="5333" spans="13:13" x14ac:dyDescent="0.25">
      <c r="M5333" s="21"/>
    </row>
    <row r="5334" spans="13:13" x14ac:dyDescent="0.25">
      <c r="M5334" s="21"/>
    </row>
    <row r="5335" spans="13:13" x14ac:dyDescent="0.25">
      <c r="M5335" s="21"/>
    </row>
    <row r="5336" spans="13:13" x14ac:dyDescent="0.25">
      <c r="M5336" s="21"/>
    </row>
    <row r="5337" spans="13:13" x14ac:dyDescent="0.25">
      <c r="M5337" s="21"/>
    </row>
    <row r="5338" spans="13:13" x14ac:dyDescent="0.25">
      <c r="M5338" s="21"/>
    </row>
    <row r="5339" spans="13:13" x14ac:dyDescent="0.25">
      <c r="M5339" s="21"/>
    </row>
    <row r="5340" spans="13:13" x14ac:dyDescent="0.25">
      <c r="M5340" s="21"/>
    </row>
    <row r="5341" spans="13:13" x14ac:dyDescent="0.25">
      <c r="M5341" s="21"/>
    </row>
    <row r="5342" spans="13:13" x14ac:dyDescent="0.25">
      <c r="M5342" s="21"/>
    </row>
    <row r="5343" spans="13:13" x14ac:dyDescent="0.25">
      <c r="M5343" s="21"/>
    </row>
    <row r="5344" spans="13:13" x14ac:dyDescent="0.25">
      <c r="M5344" s="21"/>
    </row>
    <row r="5345" spans="13:13" x14ac:dyDescent="0.25">
      <c r="M5345" s="21"/>
    </row>
    <row r="5346" spans="13:13" x14ac:dyDescent="0.25">
      <c r="M5346" s="21"/>
    </row>
    <row r="5347" spans="13:13" x14ac:dyDescent="0.25">
      <c r="M5347" s="21"/>
    </row>
    <row r="5348" spans="13:13" x14ac:dyDescent="0.25">
      <c r="M5348" s="21"/>
    </row>
    <row r="5349" spans="13:13" x14ac:dyDescent="0.25">
      <c r="M5349" s="21"/>
    </row>
    <row r="5350" spans="13:13" x14ac:dyDescent="0.25">
      <c r="M5350" s="21"/>
    </row>
    <row r="5351" spans="13:13" x14ac:dyDescent="0.25">
      <c r="M5351" s="21"/>
    </row>
    <row r="5352" spans="13:13" x14ac:dyDescent="0.25">
      <c r="M5352" s="21"/>
    </row>
    <row r="5353" spans="13:13" x14ac:dyDescent="0.25">
      <c r="M5353" s="21"/>
    </row>
    <row r="5354" spans="13:13" x14ac:dyDescent="0.25">
      <c r="M5354" s="21"/>
    </row>
    <row r="5355" spans="13:13" x14ac:dyDescent="0.25">
      <c r="M5355" s="21"/>
    </row>
    <row r="5356" spans="13:13" x14ac:dyDescent="0.25">
      <c r="M5356" s="21"/>
    </row>
    <row r="5357" spans="13:13" x14ac:dyDescent="0.25">
      <c r="M5357" s="21"/>
    </row>
    <row r="5358" spans="13:13" x14ac:dyDescent="0.25">
      <c r="M5358" s="21"/>
    </row>
    <row r="5359" spans="13:13" x14ac:dyDescent="0.25">
      <c r="M5359" s="21"/>
    </row>
    <row r="5360" spans="13:13" x14ac:dyDescent="0.25">
      <c r="M5360" s="21"/>
    </row>
    <row r="5361" spans="13:13" x14ac:dyDescent="0.25">
      <c r="M5361" s="21"/>
    </row>
    <row r="5362" spans="13:13" x14ac:dyDescent="0.25">
      <c r="M5362" s="21"/>
    </row>
    <row r="5363" spans="13:13" x14ac:dyDescent="0.25">
      <c r="M5363" s="21"/>
    </row>
    <row r="5364" spans="13:13" x14ac:dyDescent="0.25">
      <c r="M5364" s="21"/>
    </row>
    <row r="5365" spans="13:13" x14ac:dyDescent="0.25">
      <c r="M5365" s="21"/>
    </row>
    <row r="5366" spans="13:13" x14ac:dyDescent="0.25">
      <c r="M5366" s="21"/>
    </row>
    <row r="5367" spans="13:13" x14ac:dyDescent="0.25">
      <c r="M5367" s="21"/>
    </row>
    <row r="5368" spans="13:13" x14ac:dyDescent="0.25">
      <c r="M5368" s="21"/>
    </row>
    <row r="5369" spans="13:13" x14ac:dyDescent="0.25">
      <c r="M5369" s="21"/>
    </row>
    <row r="5370" spans="13:13" x14ac:dyDescent="0.25">
      <c r="M5370" s="21"/>
    </row>
    <row r="5371" spans="13:13" x14ac:dyDescent="0.25">
      <c r="M5371" s="21"/>
    </row>
    <row r="5372" spans="13:13" x14ac:dyDescent="0.25">
      <c r="M5372" s="21"/>
    </row>
    <row r="5373" spans="13:13" x14ac:dyDescent="0.25">
      <c r="M5373" s="21"/>
    </row>
    <row r="5374" spans="13:13" x14ac:dyDescent="0.25">
      <c r="M5374" s="21"/>
    </row>
    <row r="5375" spans="13:13" x14ac:dyDescent="0.25">
      <c r="M5375" s="21"/>
    </row>
    <row r="5376" spans="13:13" x14ac:dyDescent="0.25">
      <c r="M5376" s="21"/>
    </row>
    <row r="5377" spans="13:13" x14ac:dyDescent="0.25">
      <c r="M5377" s="21"/>
    </row>
    <row r="5378" spans="13:13" x14ac:dyDescent="0.25">
      <c r="M5378" s="21"/>
    </row>
    <row r="5379" spans="13:13" x14ac:dyDescent="0.25">
      <c r="M5379" s="21"/>
    </row>
    <row r="5380" spans="13:13" x14ac:dyDescent="0.25">
      <c r="M5380" s="21"/>
    </row>
    <row r="5381" spans="13:13" x14ac:dyDescent="0.25">
      <c r="M5381" s="21"/>
    </row>
    <row r="5382" spans="13:13" x14ac:dyDescent="0.25">
      <c r="M5382" s="21"/>
    </row>
    <row r="5383" spans="13:13" x14ac:dyDescent="0.25">
      <c r="M5383" s="21"/>
    </row>
    <row r="5384" spans="13:13" x14ac:dyDescent="0.25">
      <c r="M5384" s="21"/>
    </row>
    <row r="5385" spans="13:13" x14ac:dyDescent="0.25">
      <c r="M5385" s="21"/>
    </row>
    <row r="5386" spans="13:13" x14ac:dyDescent="0.25">
      <c r="M5386" s="21"/>
    </row>
    <row r="5387" spans="13:13" x14ac:dyDescent="0.25">
      <c r="M5387" s="21"/>
    </row>
    <row r="5388" spans="13:13" x14ac:dyDescent="0.25">
      <c r="M5388" s="21"/>
    </row>
    <row r="5389" spans="13:13" x14ac:dyDescent="0.25">
      <c r="M5389" s="21"/>
    </row>
    <row r="5390" spans="13:13" x14ac:dyDescent="0.25">
      <c r="M5390" s="21"/>
    </row>
    <row r="5391" spans="13:13" x14ac:dyDescent="0.25">
      <c r="M5391" s="21"/>
    </row>
    <row r="5392" spans="13:13" x14ac:dyDescent="0.25">
      <c r="M5392" s="21"/>
    </row>
    <row r="5393" spans="13:13" x14ac:dyDescent="0.25">
      <c r="M5393" s="21"/>
    </row>
    <row r="5394" spans="13:13" x14ac:dyDescent="0.25">
      <c r="M5394" s="21"/>
    </row>
    <row r="5395" spans="13:13" x14ac:dyDescent="0.25">
      <c r="M5395" s="21"/>
    </row>
    <row r="5396" spans="13:13" x14ac:dyDescent="0.25">
      <c r="M5396" s="21"/>
    </row>
    <row r="5397" spans="13:13" x14ac:dyDescent="0.25">
      <c r="M5397" s="21"/>
    </row>
    <row r="5398" spans="13:13" x14ac:dyDescent="0.25">
      <c r="M5398" s="21"/>
    </row>
    <row r="5399" spans="13:13" x14ac:dyDescent="0.25">
      <c r="M5399" s="21"/>
    </row>
    <row r="5400" spans="13:13" x14ac:dyDescent="0.25">
      <c r="M5400" s="21"/>
    </row>
    <row r="5401" spans="13:13" x14ac:dyDescent="0.25">
      <c r="M5401" s="21"/>
    </row>
    <row r="5402" spans="13:13" x14ac:dyDescent="0.25">
      <c r="M5402" s="21"/>
    </row>
    <row r="5403" spans="13:13" x14ac:dyDescent="0.25">
      <c r="M5403" s="21"/>
    </row>
    <row r="5404" spans="13:13" x14ac:dyDescent="0.25">
      <c r="M5404" s="21"/>
    </row>
    <row r="5405" spans="13:13" x14ac:dyDescent="0.25">
      <c r="M5405" s="21"/>
    </row>
    <row r="5406" spans="13:13" x14ac:dyDescent="0.25">
      <c r="M5406" s="21"/>
    </row>
    <row r="5407" spans="13:13" x14ac:dyDescent="0.25">
      <c r="M5407" s="21"/>
    </row>
    <row r="5408" spans="13:13" x14ac:dyDescent="0.25">
      <c r="M5408" s="21"/>
    </row>
    <row r="5409" spans="13:13" x14ac:dyDescent="0.25">
      <c r="M5409" s="21"/>
    </row>
    <row r="5410" spans="13:13" x14ac:dyDescent="0.25">
      <c r="M5410" s="21"/>
    </row>
    <row r="5411" spans="13:13" x14ac:dyDescent="0.25">
      <c r="M5411" s="21"/>
    </row>
    <row r="5412" spans="13:13" x14ac:dyDescent="0.25">
      <c r="M5412" s="21"/>
    </row>
    <row r="5413" spans="13:13" x14ac:dyDescent="0.25">
      <c r="M5413" s="21"/>
    </row>
    <row r="5414" spans="13:13" x14ac:dyDescent="0.25">
      <c r="M5414" s="21"/>
    </row>
    <row r="5415" spans="13:13" x14ac:dyDescent="0.25">
      <c r="M5415" s="21"/>
    </row>
    <row r="5416" spans="13:13" x14ac:dyDescent="0.25">
      <c r="M5416" s="21"/>
    </row>
    <row r="5417" spans="13:13" x14ac:dyDescent="0.25">
      <c r="M5417" s="21"/>
    </row>
    <row r="5418" spans="13:13" x14ac:dyDescent="0.25">
      <c r="M5418" s="21"/>
    </row>
    <row r="5419" spans="13:13" x14ac:dyDescent="0.25">
      <c r="M5419" s="21"/>
    </row>
    <row r="5420" spans="13:13" x14ac:dyDescent="0.25">
      <c r="M5420" s="21"/>
    </row>
    <row r="5421" spans="13:13" x14ac:dyDescent="0.25">
      <c r="M5421" s="21"/>
    </row>
    <row r="5422" spans="13:13" x14ac:dyDescent="0.25">
      <c r="M5422" s="21"/>
    </row>
    <row r="5423" spans="13:13" x14ac:dyDescent="0.25">
      <c r="M5423" s="21"/>
    </row>
    <row r="5424" spans="13:13" x14ac:dyDescent="0.25">
      <c r="M5424" s="21"/>
    </row>
    <row r="5425" spans="13:13" x14ac:dyDescent="0.25">
      <c r="M5425" s="21"/>
    </row>
    <row r="5426" spans="13:13" x14ac:dyDescent="0.25">
      <c r="M5426" s="21"/>
    </row>
    <row r="5427" spans="13:13" x14ac:dyDescent="0.25">
      <c r="M5427" s="21"/>
    </row>
    <row r="5428" spans="13:13" x14ac:dyDescent="0.25">
      <c r="M5428" s="21"/>
    </row>
    <row r="5429" spans="13:13" x14ac:dyDescent="0.25">
      <c r="M5429" s="21"/>
    </row>
    <row r="5430" spans="13:13" x14ac:dyDescent="0.25">
      <c r="M5430" s="21"/>
    </row>
    <row r="5431" spans="13:13" x14ac:dyDescent="0.25">
      <c r="M5431" s="21"/>
    </row>
    <row r="5432" spans="13:13" x14ac:dyDescent="0.25">
      <c r="M5432" s="21"/>
    </row>
    <row r="5433" spans="13:13" x14ac:dyDescent="0.25">
      <c r="M5433" s="21"/>
    </row>
    <row r="5434" spans="13:13" x14ac:dyDescent="0.25">
      <c r="M5434" s="21"/>
    </row>
    <row r="5435" spans="13:13" x14ac:dyDescent="0.25">
      <c r="M5435" s="21"/>
    </row>
    <row r="5436" spans="13:13" x14ac:dyDescent="0.25">
      <c r="M5436" s="21"/>
    </row>
    <row r="5437" spans="13:13" x14ac:dyDescent="0.25">
      <c r="M5437" s="21"/>
    </row>
    <row r="5438" spans="13:13" x14ac:dyDescent="0.25">
      <c r="M5438" s="21"/>
    </row>
    <row r="5439" spans="13:13" x14ac:dyDescent="0.25">
      <c r="M5439" s="21"/>
    </row>
    <row r="5440" spans="13:13" x14ac:dyDescent="0.25">
      <c r="M5440" s="21"/>
    </row>
    <row r="5441" spans="13:13" x14ac:dyDescent="0.25">
      <c r="M5441" s="21"/>
    </row>
    <row r="5442" spans="13:13" x14ac:dyDescent="0.25">
      <c r="M5442" s="21"/>
    </row>
    <row r="5443" spans="13:13" x14ac:dyDescent="0.25">
      <c r="M5443" s="21"/>
    </row>
    <row r="5444" spans="13:13" x14ac:dyDescent="0.25">
      <c r="M5444" s="21"/>
    </row>
    <row r="5445" spans="13:13" x14ac:dyDescent="0.25">
      <c r="M5445" s="21"/>
    </row>
    <row r="5446" spans="13:13" x14ac:dyDescent="0.25">
      <c r="M5446" s="21"/>
    </row>
    <row r="5447" spans="13:13" x14ac:dyDescent="0.25">
      <c r="M5447" s="21"/>
    </row>
    <row r="5448" spans="13:13" x14ac:dyDescent="0.25">
      <c r="M5448" s="21"/>
    </row>
    <row r="5449" spans="13:13" x14ac:dyDescent="0.25">
      <c r="M5449" s="21"/>
    </row>
    <row r="5450" spans="13:13" x14ac:dyDescent="0.25">
      <c r="M5450" s="21"/>
    </row>
    <row r="5451" spans="13:13" x14ac:dyDescent="0.25">
      <c r="M5451" s="21"/>
    </row>
    <row r="5452" spans="13:13" x14ac:dyDescent="0.25">
      <c r="M5452" s="21"/>
    </row>
    <row r="5453" spans="13:13" x14ac:dyDescent="0.25">
      <c r="M5453" s="21"/>
    </row>
    <row r="5454" spans="13:13" x14ac:dyDescent="0.25">
      <c r="M5454" s="21"/>
    </row>
    <row r="5455" spans="13:13" x14ac:dyDescent="0.25">
      <c r="M5455" s="21"/>
    </row>
    <row r="5456" spans="13:13" x14ac:dyDescent="0.25">
      <c r="M5456" s="21"/>
    </row>
    <row r="5457" spans="13:13" x14ac:dyDescent="0.25">
      <c r="M5457" s="21"/>
    </row>
    <row r="5458" spans="13:13" x14ac:dyDescent="0.25">
      <c r="M5458" s="21"/>
    </row>
    <row r="5459" spans="13:13" x14ac:dyDescent="0.25">
      <c r="M5459" s="21"/>
    </row>
    <row r="5460" spans="13:13" x14ac:dyDescent="0.25">
      <c r="M5460" s="21"/>
    </row>
    <row r="5461" spans="13:13" x14ac:dyDescent="0.25">
      <c r="M5461" s="21"/>
    </row>
    <row r="5462" spans="13:13" x14ac:dyDescent="0.25">
      <c r="M5462" s="21"/>
    </row>
    <row r="5463" spans="13:13" x14ac:dyDescent="0.25">
      <c r="M5463" s="21"/>
    </row>
    <row r="5464" spans="13:13" x14ac:dyDescent="0.25">
      <c r="M5464" s="21"/>
    </row>
    <row r="5465" spans="13:13" x14ac:dyDescent="0.25">
      <c r="M5465" s="21"/>
    </row>
    <row r="5466" spans="13:13" x14ac:dyDescent="0.25">
      <c r="M5466" s="21"/>
    </row>
    <row r="5467" spans="13:13" x14ac:dyDescent="0.25">
      <c r="M5467" s="21"/>
    </row>
    <row r="5468" spans="13:13" x14ac:dyDescent="0.25">
      <c r="M5468" s="21"/>
    </row>
    <row r="5469" spans="13:13" x14ac:dyDescent="0.25">
      <c r="M5469" s="21"/>
    </row>
    <row r="5470" spans="13:13" x14ac:dyDescent="0.25">
      <c r="M5470" s="21"/>
    </row>
    <row r="5471" spans="13:13" x14ac:dyDescent="0.25">
      <c r="M5471" s="21"/>
    </row>
    <row r="5472" spans="13:13" x14ac:dyDescent="0.25">
      <c r="M5472" s="21"/>
    </row>
    <row r="5473" spans="13:13" x14ac:dyDescent="0.25">
      <c r="M5473" s="21"/>
    </row>
    <row r="5474" spans="13:13" x14ac:dyDescent="0.25">
      <c r="M5474" s="21"/>
    </row>
    <row r="5475" spans="13:13" x14ac:dyDescent="0.25">
      <c r="M5475" s="21"/>
    </row>
    <row r="5476" spans="13:13" x14ac:dyDescent="0.25">
      <c r="M5476" s="21"/>
    </row>
    <row r="5477" spans="13:13" x14ac:dyDescent="0.25">
      <c r="M5477" s="21"/>
    </row>
    <row r="5478" spans="13:13" x14ac:dyDescent="0.25">
      <c r="M5478" s="21"/>
    </row>
    <row r="5479" spans="13:13" x14ac:dyDescent="0.25">
      <c r="M5479" s="21"/>
    </row>
    <row r="5480" spans="13:13" x14ac:dyDescent="0.25">
      <c r="M5480" s="21"/>
    </row>
    <row r="5481" spans="13:13" x14ac:dyDescent="0.25">
      <c r="M5481" s="21"/>
    </row>
    <row r="5482" spans="13:13" x14ac:dyDescent="0.25">
      <c r="M5482" s="21"/>
    </row>
    <row r="5483" spans="13:13" x14ac:dyDescent="0.25">
      <c r="M5483" s="21"/>
    </row>
    <row r="5484" spans="13:13" x14ac:dyDescent="0.25">
      <c r="M5484" s="21"/>
    </row>
    <row r="5485" spans="13:13" x14ac:dyDescent="0.25">
      <c r="M5485" s="21"/>
    </row>
    <row r="5486" spans="13:13" x14ac:dyDescent="0.25">
      <c r="M5486" s="21"/>
    </row>
    <row r="5487" spans="13:13" x14ac:dyDescent="0.25">
      <c r="M5487" s="21"/>
    </row>
    <row r="5488" spans="13:13" x14ac:dyDescent="0.25">
      <c r="M5488" s="21"/>
    </row>
    <row r="5489" spans="13:13" x14ac:dyDescent="0.25">
      <c r="M5489" s="21"/>
    </row>
    <row r="5490" spans="13:13" x14ac:dyDescent="0.25">
      <c r="M5490" s="21"/>
    </row>
    <row r="5491" spans="13:13" x14ac:dyDescent="0.25">
      <c r="M5491" s="21"/>
    </row>
    <row r="5492" spans="13:13" x14ac:dyDescent="0.25">
      <c r="M5492" s="21"/>
    </row>
    <row r="5493" spans="13:13" x14ac:dyDescent="0.25">
      <c r="M5493" s="21"/>
    </row>
    <row r="5494" spans="13:13" x14ac:dyDescent="0.25">
      <c r="M5494" s="21"/>
    </row>
    <row r="5495" spans="13:13" x14ac:dyDescent="0.25">
      <c r="M5495" s="21"/>
    </row>
    <row r="5496" spans="13:13" x14ac:dyDescent="0.25">
      <c r="M5496" s="21"/>
    </row>
    <row r="5497" spans="13:13" x14ac:dyDescent="0.25">
      <c r="M5497" s="21"/>
    </row>
    <row r="5498" spans="13:13" x14ac:dyDescent="0.25">
      <c r="M5498" s="21"/>
    </row>
    <row r="5499" spans="13:13" x14ac:dyDescent="0.25">
      <c r="M5499" s="21"/>
    </row>
    <row r="5500" spans="13:13" x14ac:dyDescent="0.25">
      <c r="M5500" s="21"/>
    </row>
    <row r="5501" spans="13:13" x14ac:dyDescent="0.25">
      <c r="M5501" s="21"/>
    </row>
    <row r="5502" spans="13:13" x14ac:dyDescent="0.25">
      <c r="M5502" s="21"/>
    </row>
    <row r="5503" spans="13:13" x14ac:dyDescent="0.25">
      <c r="M5503" s="21"/>
    </row>
    <row r="5504" spans="13:13" x14ac:dyDescent="0.25">
      <c r="M5504" s="21"/>
    </row>
    <row r="5505" spans="13:13" x14ac:dyDescent="0.25">
      <c r="M5505" s="21"/>
    </row>
    <row r="5506" spans="13:13" x14ac:dyDescent="0.25">
      <c r="M5506" s="21"/>
    </row>
    <row r="5507" spans="13:13" x14ac:dyDescent="0.25">
      <c r="M5507" s="21"/>
    </row>
    <row r="5508" spans="13:13" x14ac:dyDescent="0.25">
      <c r="M5508" s="21"/>
    </row>
    <row r="5509" spans="13:13" x14ac:dyDescent="0.25">
      <c r="M5509" s="21"/>
    </row>
    <row r="5510" spans="13:13" x14ac:dyDescent="0.25">
      <c r="M5510" s="21"/>
    </row>
    <row r="5511" spans="13:13" x14ac:dyDescent="0.25">
      <c r="M5511" s="21"/>
    </row>
    <row r="5512" spans="13:13" x14ac:dyDescent="0.25">
      <c r="M5512" s="21"/>
    </row>
    <row r="5513" spans="13:13" x14ac:dyDescent="0.25">
      <c r="M5513" s="21"/>
    </row>
    <row r="5514" spans="13:13" x14ac:dyDescent="0.25">
      <c r="M5514" s="21"/>
    </row>
    <row r="5515" spans="13:13" x14ac:dyDescent="0.25">
      <c r="M5515" s="21"/>
    </row>
    <row r="5516" spans="13:13" x14ac:dyDescent="0.25">
      <c r="M5516" s="21"/>
    </row>
    <row r="5517" spans="13:13" x14ac:dyDescent="0.25">
      <c r="M5517" s="21"/>
    </row>
    <row r="5518" spans="13:13" x14ac:dyDescent="0.25">
      <c r="M5518" s="21"/>
    </row>
    <row r="5519" spans="13:13" x14ac:dyDescent="0.25">
      <c r="M5519" s="21"/>
    </row>
    <row r="5520" spans="13:13" x14ac:dyDescent="0.25">
      <c r="M5520" s="21"/>
    </row>
    <row r="5521" spans="13:13" x14ac:dyDescent="0.25">
      <c r="M5521" s="21"/>
    </row>
    <row r="5522" spans="13:13" x14ac:dyDescent="0.25">
      <c r="M5522" s="21"/>
    </row>
    <row r="5523" spans="13:13" x14ac:dyDescent="0.25">
      <c r="M5523" s="21"/>
    </row>
    <row r="5524" spans="13:13" x14ac:dyDescent="0.25">
      <c r="M5524" s="21"/>
    </row>
    <row r="5525" spans="13:13" x14ac:dyDescent="0.25">
      <c r="M5525" s="21"/>
    </row>
    <row r="5526" spans="13:13" x14ac:dyDescent="0.25">
      <c r="M5526" s="21"/>
    </row>
    <row r="5527" spans="13:13" x14ac:dyDescent="0.25">
      <c r="M5527" s="21"/>
    </row>
    <row r="5528" spans="13:13" x14ac:dyDescent="0.25">
      <c r="M5528" s="21"/>
    </row>
    <row r="5529" spans="13:13" x14ac:dyDescent="0.25">
      <c r="M5529" s="21"/>
    </row>
    <row r="5530" spans="13:13" x14ac:dyDescent="0.25">
      <c r="M5530" s="21"/>
    </row>
    <row r="5531" spans="13:13" x14ac:dyDescent="0.25">
      <c r="M5531" s="21"/>
    </row>
    <row r="5532" spans="13:13" x14ac:dyDescent="0.25">
      <c r="M5532" s="21"/>
    </row>
    <row r="5533" spans="13:13" x14ac:dyDescent="0.25">
      <c r="M5533" s="21"/>
    </row>
    <row r="5534" spans="13:13" x14ac:dyDescent="0.25">
      <c r="M5534" s="21"/>
    </row>
    <row r="5535" spans="13:13" x14ac:dyDescent="0.25">
      <c r="M5535" s="21"/>
    </row>
    <row r="5536" spans="13:13" x14ac:dyDescent="0.25">
      <c r="M5536" s="21"/>
    </row>
    <row r="5537" spans="13:13" x14ac:dyDescent="0.25">
      <c r="M5537" s="21"/>
    </row>
    <row r="5538" spans="13:13" x14ac:dyDescent="0.25">
      <c r="M5538" s="21"/>
    </row>
    <row r="5539" spans="13:13" x14ac:dyDescent="0.25">
      <c r="M5539" s="21"/>
    </row>
    <row r="5540" spans="13:13" x14ac:dyDescent="0.25">
      <c r="M5540" s="21"/>
    </row>
    <row r="5541" spans="13:13" x14ac:dyDescent="0.25">
      <c r="M5541" s="21"/>
    </row>
    <row r="5542" spans="13:13" x14ac:dyDescent="0.25">
      <c r="M5542" s="21"/>
    </row>
    <row r="5543" spans="13:13" x14ac:dyDescent="0.25">
      <c r="M5543" s="21"/>
    </row>
    <row r="5544" spans="13:13" x14ac:dyDescent="0.25">
      <c r="M5544" s="21"/>
    </row>
    <row r="5545" spans="13:13" x14ac:dyDescent="0.25">
      <c r="M5545" s="21"/>
    </row>
    <row r="5546" spans="13:13" x14ac:dyDescent="0.25">
      <c r="M5546" s="21"/>
    </row>
    <row r="5547" spans="13:13" x14ac:dyDescent="0.25">
      <c r="M5547" s="21"/>
    </row>
    <row r="5548" spans="13:13" x14ac:dyDescent="0.25">
      <c r="M5548" s="21"/>
    </row>
    <row r="5549" spans="13:13" x14ac:dyDescent="0.25">
      <c r="M5549" s="21"/>
    </row>
    <row r="5550" spans="13:13" x14ac:dyDescent="0.25">
      <c r="M5550" s="21"/>
    </row>
    <row r="5551" spans="13:13" x14ac:dyDescent="0.25">
      <c r="M5551" s="21"/>
    </row>
    <row r="5552" spans="13:13" x14ac:dyDescent="0.25">
      <c r="M5552" s="21"/>
    </row>
    <row r="5553" spans="13:13" x14ac:dyDescent="0.25">
      <c r="M5553" s="21"/>
    </row>
    <row r="5554" spans="13:13" x14ac:dyDescent="0.25">
      <c r="M5554" s="21"/>
    </row>
    <row r="5555" spans="13:13" x14ac:dyDescent="0.25">
      <c r="M5555" s="21"/>
    </row>
    <row r="5556" spans="13:13" x14ac:dyDescent="0.25">
      <c r="M5556" s="21"/>
    </row>
    <row r="5557" spans="13:13" x14ac:dyDescent="0.25">
      <c r="M5557" s="21"/>
    </row>
    <row r="5558" spans="13:13" x14ac:dyDescent="0.25">
      <c r="M5558" s="21"/>
    </row>
    <row r="5559" spans="13:13" x14ac:dyDescent="0.25">
      <c r="M5559" s="21"/>
    </row>
    <row r="5560" spans="13:13" x14ac:dyDescent="0.25">
      <c r="M5560" s="21"/>
    </row>
    <row r="5561" spans="13:13" x14ac:dyDescent="0.25">
      <c r="M5561" s="21"/>
    </row>
    <row r="5562" spans="13:13" x14ac:dyDescent="0.25">
      <c r="M5562" s="21"/>
    </row>
    <row r="5563" spans="13:13" x14ac:dyDescent="0.25">
      <c r="M5563" s="21"/>
    </row>
    <row r="5564" spans="13:13" x14ac:dyDescent="0.25">
      <c r="M5564" s="21"/>
    </row>
    <row r="5565" spans="13:13" x14ac:dyDescent="0.25">
      <c r="M5565" s="21"/>
    </row>
    <row r="5566" spans="13:13" x14ac:dyDescent="0.25">
      <c r="M5566" s="21"/>
    </row>
    <row r="5567" spans="13:13" x14ac:dyDescent="0.25">
      <c r="M5567" s="21"/>
    </row>
    <row r="5568" spans="13:13" x14ac:dyDescent="0.25">
      <c r="M5568" s="21"/>
    </row>
    <row r="5569" spans="13:13" x14ac:dyDescent="0.25">
      <c r="M5569" s="21"/>
    </row>
    <row r="5570" spans="13:13" x14ac:dyDescent="0.25">
      <c r="M5570" s="21"/>
    </row>
    <row r="5571" spans="13:13" x14ac:dyDescent="0.25">
      <c r="M5571" s="21"/>
    </row>
    <row r="5572" spans="13:13" x14ac:dyDescent="0.25">
      <c r="M5572" s="21"/>
    </row>
    <row r="5573" spans="13:13" x14ac:dyDescent="0.25">
      <c r="M5573" s="21"/>
    </row>
    <row r="5574" spans="13:13" x14ac:dyDescent="0.25">
      <c r="M5574" s="21"/>
    </row>
    <row r="5575" spans="13:13" x14ac:dyDescent="0.25">
      <c r="M5575" s="21"/>
    </row>
    <row r="5576" spans="13:13" x14ac:dyDescent="0.25">
      <c r="M5576" s="21"/>
    </row>
    <row r="5577" spans="13:13" x14ac:dyDescent="0.25">
      <c r="M5577" s="21"/>
    </row>
    <row r="5578" spans="13:13" x14ac:dyDescent="0.25">
      <c r="M5578" s="21"/>
    </row>
    <row r="5579" spans="13:13" x14ac:dyDescent="0.25">
      <c r="M5579" s="21"/>
    </row>
    <row r="5580" spans="13:13" x14ac:dyDescent="0.25">
      <c r="M5580" s="21"/>
    </row>
    <row r="5581" spans="13:13" x14ac:dyDescent="0.25">
      <c r="M5581" s="21"/>
    </row>
    <row r="5582" spans="13:13" x14ac:dyDescent="0.25">
      <c r="M5582" s="21"/>
    </row>
    <row r="5583" spans="13:13" x14ac:dyDescent="0.25">
      <c r="M5583" s="21"/>
    </row>
    <row r="5584" spans="13:13" x14ac:dyDescent="0.25">
      <c r="M5584" s="21"/>
    </row>
    <row r="5585" spans="13:13" x14ac:dyDescent="0.25">
      <c r="M5585" s="21"/>
    </row>
    <row r="5586" spans="13:13" x14ac:dyDescent="0.25">
      <c r="M5586" s="21"/>
    </row>
    <row r="5587" spans="13:13" x14ac:dyDescent="0.25">
      <c r="M5587" s="21"/>
    </row>
    <row r="5588" spans="13:13" x14ac:dyDescent="0.25">
      <c r="M5588" s="21"/>
    </row>
    <row r="5589" spans="13:13" x14ac:dyDescent="0.25">
      <c r="M5589" s="21"/>
    </row>
    <row r="5590" spans="13:13" x14ac:dyDescent="0.25">
      <c r="M5590" s="21"/>
    </row>
    <row r="5591" spans="13:13" x14ac:dyDescent="0.25">
      <c r="M5591" s="21"/>
    </row>
    <row r="5592" spans="13:13" x14ac:dyDescent="0.25">
      <c r="M5592" s="21"/>
    </row>
    <row r="5593" spans="13:13" x14ac:dyDescent="0.25">
      <c r="M5593" s="21"/>
    </row>
    <row r="5594" spans="13:13" x14ac:dyDescent="0.25">
      <c r="M5594" s="21"/>
    </row>
    <row r="5595" spans="13:13" x14ac:dyDescent="0.25">
      <c r="M5595" s="21"/>
    </row>
    <row r="5596" spans="13:13" x14ac:dyDescent="0.25">
      <c r="M5596" s="21"/>
    </row>
    <row r="5597" spans="13:13" x14ac:dyDescent="0.25">
      <c r="M5597" s="21"/>
    </row>
    <row r="5598" spans="13:13" x14ac:dyDescent="0.25">
      <c r="M5598" s="21"/>
    </row>
    <row r="5599" spans="13:13" x14ac:dyDescent="0.25">
      <c r="M5599" s="21"/>
    </row>
    <row r="5600" spans="13:13" x14ac:dyDescent="0.25">
      <c r="M5600" s="21"/>
    </row>
    <row r="5601" spans="13:13" x14ac:dyDescent="0.25">
      <c r="M5601" s="21"/>
    </row>
    <row r="5602" spans="13:13" x14ac:dyDescent="0.25">
      <c r="M5602" s="21"/>
    </row>
    <row r="5603" spans="13:13" x14ac:dyDescent="0.25">
      <c r="M5603" s="21"/>
    </row>
    <row r="5604" spans="13:13" x14ac:dyDescent="0.25">
      <c r="M5604" s="21"/>
    </row>
    <row r="5605" spans="13:13" x14ac:dyDescent="0.25">
      <c r="M5605" s="21"/>
    </row>
    <row r="5606" spans="13:13" x14ac:dyDescent="0.25">
      <c r="M5606" s="21"/>
    </row>
    <row r="5607" spans="13:13" x14ac:dyDescent="0.25">
      <c r="M5607" s="21"/>
    </row>
    <row r="5608" spans="13:13" x14ac:dyDescent="0.25">
      <c r="M5608" s="21"/>
    </row>
    <row r="5609" spans="13:13" x14ac:dyDescent="0.25">
      <c r="M5609" s="21"/>
    </row>
    <row r="5610" spans="13:13" x14ac:dyDescent="0.25">
      <c r="M5610" s="21"/>
    </row>
    <row r="5611" spans="13:13" x14ac:dyDescent="0.25">
      <c r="M5611" s="21"/>
    </row>
    <row r="5612" spans="13:13" x14ac:dyDescent="0.25">
      <c r="M5612" s="21"/>
    </row>
    <row r="5613" spans="13:13" x14ac:dyDescent="0.25">
      <c r="M5613" s="21"/>
    </row>
    <row r="5614" spans="13:13" x14ac:dyDescent="0.25">
      <c r="M5614" s="21"/>
    </row>
    <row r="5615" spans="13:13" x14ac:dyDescent="0.25">
      <c r="M5615" s="21"/>
    </row>
    <row r="5616" spans="13:13" x14ac:dyDescent="0.25">
      <c r="M5616" s="21"/>
    </row>
    <row r="5617" spans="13:13" x14ac:dyDescent="0.25">
      <c r="M5617" s="21"/>
    </row>
    <row r="5618" spans="13:13" x14ac:dyDescent="0.25">
      <c r="M5618" s="21"/>
    </row>
    <row r="5619" spans="13:13" x14ac:dyDescent="0.25">
      <c r="M5619" s="21"/>
    </row>
    <row r="5620" spans="13:13" x14ac:dyDescent="0.25">
      <c r="M5620" s="21"/>
    </row>
    <row r="5621" spans="13:13" x14ac:dyDescent="0.25">
      <c r="M5621" s="21"/>
    </row>
    <row r="5622" spans="13:13" x14ac:dyDescent="0.25">
      <c r="M5622" s="21"/>
    </row>
    <row r="5623" spans="13:13" x14ac:dyDescent="0.25">
      <c r="M5623" s="21"/>
    </row>
    <row r="5624" spans="13:13" x14ac:dyDescent="0.25">
      <c r="M5624" s="21"/>
    </row>
    <row r="5625" spans="13:13" x14ac:dyDescent="0.25">
      <c r="M5625" s="21"/>
    </row>
    <row r="5626" spans="13:13" x14ac:dyDescent="0.25">
      <c r="M5626" s="21"/>
    </row>
    <row r="5627" spans="13:13" x14ac:dyDescent="0.25">
      <c r="M5627" s="21"/>
    </row>
    <row r="5628" spans="13:13" x14ac:dyDescent="0.25">
      <c r="M5628" s="21"/>
    </row>
    <row r="5629" spans="13:13" x14ac:dyDescent="0.25">
      <c r="M5629" s="21"/>
    </row>
    <row r="5630" spans="13:13" x14ac:dyDescent="0.25">
      <c r="M5630" s="21"/>
    </row>
    <row r="5631" spans="13:13" x14ac:dyDescent="0.25">
      <c r="M5631" s="21"/>
    </row>
    <row r="5632" spans="13:13" x14ac:dyDescent="0.25">
      <c r="M5632" s="21"/>
    </row>
    <row r="5633" spans="13:13" x14ac:dyDescent="0.25">
      <c r="M5633" s="21"/>
    </row>
    <row r="5634" spans="13:13" x14ac:dyDescent="0.25">
      <c r="M5634" s="21"/>
    </row>
    <row r="5635" spans="13:13" x14ac:dyDescent="0.25">
      <c r="M5635" s="21"/>
    </row>
    <row r="5636" spans="13:13" x14ac:dyDescent="0.25">
      <c r="M5636" s="21"/>
    </row>
    <row r="5637" spans="13:13" x14ac:dyDescent="0.25">
      <c r="M5637" s="21"/>
    </row>
    <row r="5638" spans="13:13" x14ac:dyDescent="0.25">
      <c r="M5638" s="21"/>
    </row>
    <row r="5639" spans="13:13" x14ac:dyDescent="0.25">
      <c r="M5639" s="21"/>
    </row>
    <row r="5640" spans="13:13" x14ac:dyDescent="0.25">
      <c r="M5640" s="21"/>
    </row>
    <row r="5641" spans="13:13" x14ac:dyDescent="0.25">
      <c r="M5641" s="21"/>
    </row>
    <row r="5642" spans="13:13" x14ac:dyDescent="0.25">
      <c r="M5642" s="21"/>
    </row>
    <row r="5643" spans="13:13" x14ac:dyDescent="0.25">
      <c r="M5643" s="21"/>
    </row>
    <row r="5644" spans="13:13" x14ac:dyDescent="0.25">
      <c r="M5644" s="21"/>
    </row>
    <row r="5645" spans="13:13" x14ac:dyDescent="0.25">
      <c r="M5645" s="21"/>
    </row>
    <row r="5646" spans="13:13" x14ac:dyDescent="0.25">
      <c r="M5646" s="21"/>
    </row>
    <row r="5647" spans="13:13" x14ac:dyDescent="0.25">
      <c r="M5647" s="21"/>
    </row>
    <row r="5648" spans="13:13" x14ac:dyDescent="0.25">
      <c r="M5648" s="21"/>
    </row>
    <row r="5649" spans="13:13" x14ac:dyDescent="0.25">
      <c r="M5649" s="21"/>
    </row>
    <row r="5650" spans="13:13" x14ac:dyDescent="0.25">
      <c r="M5650" s="21"/>
    </row>
    <row r="5651" spans="13:13" x14ac:dyDescent="0.25">
      <c r="M5651" s="21"/>
    </row>
    <row r="5652" spans="13:13" x14ac:dyDescent="0.25">
      <c r="M5652" s="21"/>
    </row>
    <row r="5653" spans="13:13" x14ac:dyDescent="0.25">
      <c r="M5653" s="21"/>
    </row>
    <row r="5654" spans="13:13" x14ac:dyDescent="0.25">
      <c r="M5654" s="21"/>
    </row>
    <row r="5655" spans="13:13" x14ac:dyDescent="0.25">
      <c r="M5655" s="21"/>
    </row>
    <row r="5656" spans="13:13" x14ac:dyDescent="0.25">
      <c r="M5656" s="21"/>
    </row>
    <row r="5657" spans="13:13" x14ac:dyDescent="0.25">
      <c r="M5657" s="21"/>
    </row>
    <row r="5658" spans="13:13" x14ac:dyDescent="0.25">
      <c r="M5658" s="21"/>
    </row>
    <row r="5659" spans="13:13" x14ac:dyDescent="0.25">
      <c r="M5659" s="21"/>
    </row>
    <row r="5660" spans="13:13" x14ac:dyDescent="0.25">
      <c r="M5660" s="21"/>
    </row>
    <row r="5661" spans="13:13" x14ac:dyDescent="0.25">
      <c r="M5661" s="21"/>
    </row>
    <row r="5662" spans="13:13" x14ac:dyDescent="0.25">
      <c r="M5662" s="21"/>
    </row>
    <row r="5663" spans="13:13" x14ac:dyDescent="0.25">
      <c r="M5663" s="21"/>
    </row>
    <row r="5664" spans="13:13" x14ac:dyDescent="0.25">
      <c r="M5664" s="21"/>
    </row>
    <row r="5665" spans="13:13" x14ac:dyDescent="0.25">
      <c r="M5665" s="21"/>
    </row>
    <row r="5666" spans="13:13" x14ac:dyDescent="0.25">
      <c r="M5666" s="21"/>
    </row>
    <row r="5667" spans="13:13" x14ac:dyDescent="0.25">
      <c r="M5667" s="21"/>
    </row>
    <row r="5668" spans="13:13" x14ac:dyDescent="0.25">
      <c r="M5668" s="21"/>
    </row>
    <row r="5669" spans="13:13" x14ac:dyDescent="0.25">
      <c r="M5669" s="21"/>
    </row>
    <row r="5670" spans="13:13" x14ac:dyDescent="0.25">
      <c r="M5670" s="21"/>
    </row>
    <row r="5671" spans="13:13" x14ac:dyDescent="0.25">
      <c r="M5671" s="21"/>
    </row>
    <row r="5672" spans="13:13" x14ac:dyDescent="0.25">
      <c r="M5672" s="21"/>
    </row>
    <row r="5673" spans="13:13" x14ac:dyDescent="0.25">
      <c r="M5673" s="21"/>
    </row>
    <row r="5674" spans="13:13" x14ac:dyDescent="0.25">
      <c r="M5674" s="21"/>
    </row>
    <row r="5675" spans="13:13" x14ac:dyDescent="0.25">
      <c r="M5675" s="21"/>
    </row>
    <row r="5676" spans="13:13" x14ac:dyDescent="0.25">
      <c r="M5676" s="21"/>
    </row>
    <row r="5677" spans="13:13" x14ac:dyDescent="0.25">
      <c r="M5677" s="21"/>
    </row>
    <row r="5678" spans="13:13" x14ac:dyDescent="0.25">
      <c r="M5678" s="21"/>
    </row>
    <row r="5679" spans="13:13" x14ac:dyDescent="0.25">
      <c r="M5679" s="21"/>
    </row>
    <row r="5680" spans="13:13" x14ac:dyDescent="0.25">
      <c r="M5680" s="21"/>
    </row>
    <row r="5681" spans="13:13" x14ac:dyDescent="0.25">
      <c r="M5681" s="21"/>
    </row>
    <row r="5682" spans="13:13" x14ac:dyDescent="0.25">
      <c r="M5682" s="21"/>
    </row>
    <row r="5683" spans="13:13" x14ac:dyDescent="0.25">
      <c r="M5683" s="21"/>
    </row>
    <row r="5684" spans="13:13" x14ac:dyDescent="0.25">
      <c r="M5684" s="21"/>
    </row>
    <row r="5685" spans="13:13" x14ac:dyDescent="0.25">
      <c r="M5685" s="21"/>
    </row>
    <row r="5686" spans="13:13" x14ac:dyDescent="0.25">
      <c r="M5686" s="21"/>
    </row>
    <row r="5687" spans="13:13" x14ac:dyDescent="0.25">
      <c r="M5687" s="21"/>
    </row>
    <row r="5688" spans="13:13" x14ac:dyDescent="0.25">
      <c r="M5688" s="21"/>
    </row>
    <row r="5689" spans="13:13" x14ac:dyDescent="0.25">
      <c r="M5689" s="21"/>
    </row>
    <row r="5690" spans="13:13" x14ac:dyDescent="0.25">
      <c r="M5690" s="21"/>
    </row>
    <row r="5691" spans="13:13" x14ac:dyDescent="0.25">
      <c r="M5691" s="21"/>
    </row>
    <row r="5692" spans="13:13" x14ac:dyDescent="0.25">
      <c r="M5692" s="21"/>
    </row>
    <row r="5693" spans="13:13" x14ac:dyDescent="0.25">
      <c r="M5693" s="21"/>
    </row>
    <row r="5694" spans="13:13" x14ac:dyDescent="0.25">
      <c r="M5694" s="21"/>
    </row>
    <row r="5695" spans="13:13" x14ac:dyDescent="0.25">
      <c r="M5695" s="21"/>
    </row>
    <row r="5696" spans="13:13" x14ac:dyDescent="0.25">
      <c r="M5696" s="21"/>
    </row>
    <row r="5697" spans="13:13" x14ac:dyDescent="0.25">
      <c r="M5697" s="21"/>
    </row>
    <row r="5698" spans="13:13" x14ac:dyDescent="0.25">
      <c r="M5698" s="21"/>
    </row>
    <row r="5699" spans="13:13" x14ac:dyDescent="0.25">
      <c r="M5699" s="21"/>
    </row>
    <row r="5700" spans="13:13" x14ac:dyDescent="0.25">
      <c r="M5700" s="21"/>
    </row>
    <row r="5701" spans="13:13" x14ac:dyDescent="0.25">
      <c r="M5701" s="21"/>
    </row>
    <row r="5702" spans="13:13" x14ac:dyDescent="0.25">
      <c r="M5702" s="21"/>
    </row>
    <row r="5703" spans="13:13" x14ac:dyDescent="0.25">
      <c r="M5703" s="21"/>
    </row>
    <row r="5704" spans="13:13" x14ac:dyDescent="0.25">
      <c r="M5704" s="21"/>
    </row>
    <row r="5705" spans="13:13" x14ac:dyDescent="0.25">
      <c r="M5705" s="21"/>
    </row>
    <row r="5706" spans="13:13" x14ac:dyDescent="0.25">
      <c r="M5706" s="21"/>
    </row>
    <row r="5707" spans="13:13" x14ac:dyDescent="0.25">
      <c r="M5707" s="21"/>
    </row>
    <row r="5708" spans="13:13" x14ac:dyDescent="0.25">
      <c r="M5708" s="21"/>
    </row>
    <row r="5709" spans="13:13" x14ac:dyDescent="0.25">
      <c r="M5709" s="21"/>
    </row>
    <row r="5710" spans="13:13" x14ac:dyDescent="0.25">
      <c r="M5710" s="21"/>
    </row>
    <row r="5711" spans="13:13" x14ac:dyDescent="0.25">
      <c r="M5711" s="21"/>
    </row>
    <row r="5712" spans="13:13" x14ac:dyDescent="0.25">
      <c r="M5712" s="21"/>
    </row>
    <row r="5713" spans="13:13" x14ac:dyDescent="0.25">
      <c r="M5713" s="21"/>
    </row>
    <row r="5714" spans="13:13" x14ac:dyDescent="0.25">
      <c r="M5714" s="21"/>
    </row>
    <row r="5715" spans="13:13" x14ac:dyDescent="0.25">
      <c r="M5715" s="21"/>
    </row>
    <row r="5716" spans="13:13" x14ac:dyDescent="0.25">
      <c r="M5716" s="21"/>
    </row>
    <row r="5717" spans="13:13" x14ac:dyDescent="0.25">
      <c r="M5717" s="21"/>
    </row>
    <row r="5718" spans="13:13" x14ac:dyDescent="0.25">
      <c r="M5718" s="21"/>
    </row>
    <row r="5719" spans="13:13" x14ac:dyDescent="0.25">
      <c r="M5719" s="21"/>
    </row>
    <row r="5720" spans="13:13" x14ac:dyDescent="0.25">
      <c r="M5720" s="21"/>
    </row>
    <row r="5721" spans="13:13" x14ac:dyDescent="0.25">
      <c r="M5721" s="21"/>
    </row>
    <row r="5722" spans="13:13" x14ac:dyDescent="0.25">
      <c r="M5722" s="21"/>
    </row>
    <row r="5723" spans="13:13" x14ac:dyDescent="0.25">
      <c r="M5723" s="21"/>
    </row>
    <row r="5724" spans="13:13" x14ac:dyDescent="0.25">
      <c r="M5724" s="21"/>
    </row>
    <row r="5725" spans="13:13" x14ac:dyDescent="0.25">
      <c r="M5725" s="21"/>
    </row>
    <row r="5726" spans="13:13" x14ac:dyDescent="0.25">
      <c r="M5726" s="21"/>
    </row>
    <row r="5727" spans="13:13" x14ac:dyDescent="0.25">
      <c r="M5727" s="21"/>
    </row>
    <row r="5728" spans="13:13" x14ac:dyDescent="0.25">
      <c r="M5728" s="21"/>
    </row>
    <row r="5729" spans="13:13" x14ac:dyDescent="0.25">
      <c r="M5729" s="21"/>
    </row>
    <row r="5730" spans="13:13" x14ac:dyDescent="0.25">
      <c r="M5730" s="21"/>
    </row>
    <row r="5731" spans="13:13" x14ac:dyDescent="0.25">
      <c r="M5731" s="21"/>
    </row>
    <row r="5732" spans="13:13" x14ac:dyDescent="0.25">
      <c r="M5732" s="21"/>
    </row>
    <row r="5733" spans="13:13" x14ac:dyDescent="0.25">
      <c r="M5733" s="21"/>
    </row>
    <row r="5734" spans="13:13" x14ac:dyDescent="0.25">
      <c r="M5734" s="21"/>
    </row>
    <row r="5735" spans="13:13" x14ac:dyDescent="0.25">
      <c r="M5735" s="21"/>
    </row>
    <row r="5736" spans="13:13" x14ac:dyDescent="0.25">
      <c r="M5736" s="21"/>
    </row>
    <row r="5737" spans="13:13" x14ac:dyDescent="0.25">
      <c r="M5737" s="21"/>
    </row>
    <row r="5738" spans="13:13" x14ac:dyDescent="0.25">
      <c r="M5738" s="21"/>
    </row>
    <row r="5739" spans="13:13" x14ac:dyDescent="0.25">
      <c r="M5739" s="21"/>
    </row>
    <row r="5740" spans="13:13" x14ac:dyDescent="0.25">
      <c r="M5740" s="21"/>
    </row>
    <row r="5741" spans="13:13" x14ac:dyDescent="0.25">
      <c r="M5741" s="21"/>
    </row>
    <row r="5742" spans="13:13" x14ac:dyDescent="0.25">
      <c r="M5742" s="21"/>
    </row>
    <row r="5743" spans="13:13" x14ac:dyDescent="0.25">
      <c r="M5743" s="21"/>
    </row>
    <row r="5744" spans="13:13" x14ac:dyDescent="0.25">
      <c r="M5744" s="21"/>
    </row>
    <row r="5745" spans="13:13" x14ac:dyDescent="0.25">
      <c r="M5745" s="21"/>
    </row>
    <row r="5746" spans="13:13" x14ac:dyDescent="0.25">
      <c r="M5746" s="21"/>
    </row>
    <row r="5747" spans="13:13" x14ac:dyDescent="0.25">
      <c r="M5747" s="21"/>
    </row>
    <row r="5748" spans="13:13" x14ac:dyDescent="0.25">
      <c r="M5748" s="21"/>
    </row>
    <row r="5749" spans="13:13" x14ac:dyDescent="0.25">
      <c r="M5749" s="21"/>
    </row>
    <row r="5750" spans="13:13" x14ac:dyDescent="0.25">
      <c r="M5750" s="21"/>
    </row>
    <row r="5751" spans="13:13" x14ac:dyDescent="0.25">
      <c r="M5751" s="21"/>
    </row>
    <row r="5752" spans="13:13" x14ac:dyDescent="0.25">
      <c r="M5752" s="21"/>
    </row>
    <row r="5753" spans="13:13" x14ac:dyDescent="0.25">
      <c r="M5753" s="21"/>
    </row>
    <row r="5754" spans="13:13" x14ac:dyDescent="0.25">
      <c r="M5754" s="21"/>
    </row>
    <row r="5755" spans="13:13" x14ac:dyDescent="0.25">
      <c r="M5755" s="21"/>
    </row>
    <row r="5756" spans="13:13" x14ac:dyDescent="0.25">
      <c r="M5756" s="21"/>
    </row>
    <row r="5757" spans="13:13" x14ac:dyDescent="0.25">
      <c r="M5757" s="21"/>
    </row>
    <row r="5758" spans="13:13" x14ac:dyDescent="0.25">
      <c r="M5758" s="21"/>
    </row>
    <row r="5759" spans="13:13" x14ac:dyDescent="0.25">
      <c r="M5759" s="21"/>
    </row>
    <row r="5760" spans="13:13" x14ac:dyDescent="0.25">
      <c r="M5760" s="21"/>
    </row>
    <row r="5761" spans="13:13" x14ac:dyDescent="0.25">
      <c r="M5761" s="21"/>
    </row>
    <row r="5762" spans="13:13" x14ac:dyDescent="0.25">
      <c r="M5762" s="21"/>
    </row>
    <row r="5763" spans="13:13" x14ac:dyDescent="0.25">
      <c r="M5763" s="21"/>
    </row>
    <row r="5764" spans="13:13" x14ac:dyDescent="0.25">
      <c r="M5764" s="21"/>
    </row>
    <row r="5765" spans="13:13" x14ac:dyDescent="0.25">
      <c r="M5765" s="21"/>
    </row>
    <row r="5766" spans="13:13" x14ac:dyDescent="0.25">
      <c r="M5766" s="21"/>
    </row>
    <row r="5767" spans="13:13" x14ac:dyDescent="0.25">
      <c r="M5767" s="21"/>
    </row>
    <row r="5768" spans="13:13" x14ac:dyDescent="0.25">
      <c r="M5768" s="21"/>
    </row>
    <row r="5769" spans="13:13" x14ac:dyDescent="0.25">
      <c r="M5769" s="21"/>
    </row>
    <row r="5770" spans="13:13" x14ac:dyDescent="0.25">
      <c r="M5770" s="21"/>
    </row>
    <row r="5771" spans="13:13" x14ac:dyDescent="0.25">
      <c r="M5771" s="21"/>
    </row>
    <row r="5772" spans="13:13" x14ac:dyDescent="0.25">
      <c r="M5772" s="21"/>
    </row>
    <row r="5773" spans="13:13" x14ac:dyDescent="0.25">
      <c r="M5773" s="21"/>
    </row>
    <row r="5774" spans="13:13" x14ac:dyDescent="0.25">
      <c r="M5774" s="21"/>
    </row>
    <row r="5775" spans="13:13" x14ac:dyDescent="0.25">
      <c r="M5775" s="21"/>
    </row>
    <row r="5776" spans="13:13" x14ac:dyDescent="0.25">
      <c r="M5776" s="21"/>
    </row>
    <row r="5777" spans="13:13" x14ac:dyDescent="0.25">
      <c r="M5777" s="21"/>
    </row>
    <row r="5778" spans="13:13" x14ac:dyDescent="0.25">
      <c r="M5778" s="21"/>
    </row>
    <row r="5779" spans="13:13" x14ac:dyDescent="0.25">
      <c r="M5779" s="21"/>
    </row>
    <row r="5780" spans="13:13" x14ac:dyDescent="0.25">
      <c r="M5780" s="21"/>
    </row>
    <row r="5781" spans="13:13" x14ac:dyDescent="0.25">
      <c r="M5781" s="21"/>
    </row>
    <row r="5782" spans="13:13" x14ac:dyDescent="0.25">
      <c r="M5782" s="21"/>
    </row>
    <row r="5783" spans="13:13" x14ac:dyDescent="0.25">
      <c r="M5783" s="21"/>
    </row>
    <row r="5784" spans="13:13" x14ac:dyDescent="0.25">
      <c r="M5784" s="21"/>
    </row>
    <row r="5785" spans="13:13" x14ac:dyDescent="0.25">
      <c r="M5785" s="21"/>
    </row>
    <row r="5786" spans="13:13" x14ac:dyDescent="0.25">
      <c r="M5786" s="21"/>
    </row>
    <row r="5787" spans="13:13" x14ac:dyDescent="0.25">
      <c r="M5787" s="21"/>
    </row>
    <row r="5788" spans="13:13" x14ac:dyDescent="0.25">
      <c r="M5788" s="21"/>
    </row>
    <row r="5789" spans="13:13" x14ac:dyDescent="0.25">
      <c r="M5789" s="21"/>
    </row>
    <row r="5790" spans="13:13" x14ac:dyDescent="0.25">
      <c r="M5790" s="21"/>
    </row>
    <row r="5791" spans="13:13" x14ac:dyDescent="0.25">
      <c r="M5791" s="21"/>
    </row>
    <row r="5792" spans="13:13" x14ac:dyDescent="0.25">
      <c r="M5792" s="21"/>
    </row>
    <row r="5793" spans="13:13" x14ac:dyDescent="0.25">
      <c r="M5793" s="21"/>
    </row>
    <row r="5794" spans="13:13" x14ac:dyDescent="0.25">
      <c r="M5794" s="21"/>
    </row>
    <row r="5795" spans="13:13" x14ac:dyDescent="0.25">
      <c r="M5795" s="21"/>
    </row>
    <row r="5796" spans="13:13" x14ac:dyDescent="0.25">
      <c r="M5796" s="21"/>
    </row>
    <row r="5797" spans="13:13" x14ac:dyDescent="0.25">
      <c r="M5797" s="21"/>
    </row>
    <row r="5798" spans="13:13" x14ac:dyDescent="0.25">
      <c r="M5798" s="21"/>
    </row>
    <row r="5799" spans="13:13" x14ac:dyDescent="0.25">
      <c r="M5799" s="21"/>
    </row>
    <row r="5800" spans="13:13" x14ac:dyDescent="0.25">
      <c r="M5800" s="21"/>
    </row>
    <row r="5801" spans="13:13" x14ac:dyDescent="0.25">
      <c r="M5801" s="21"/>
    </row>
    <row r="5802" spans="13:13" x14ac:dyDescent="0.25">
      <c r="M5802" s="21"/>
    </row>
    <row r="5803" spans="13:13" x14ac:dyDescent="0.25">
      <c r="M5803" s="21"/>
    </row>
    <row r="5804" spans="13:13" x14ac:dyDescent="0.25">
      <c r="M5804" s="21"/>
    </row>
    <row r="5805" spans="13:13" x14ac:dyDescent="0.25">
      <c r="M5805" s="21"/>
    </row>
    <row r="5806" spans="13:13" x14ac:dyDescent="0.25">
      <c r="M5806" s="21"/>
    </row>
    <row r="5807" spans="13:13" x14ac:dyDescent="0.25">
      <c r="M5807" s="21"/>
    </row>
    <row r="5808" spans="13:13" x14ac:dyDescent="0.25">
      <c r="M5808" s="21"/>
    </row>
    <row r="5809" spans="13:13" x14ac:dyDescent="0.25">
      <c r="M5809" s="21"/>
    </row>
    <row r="5810" spans="13:13" x14ac:dyDescent="0.25">
      <c r="M5810" s="21"/>
    </row>
    <row r="5811" spans="13:13" x14ac:dyDescent="0.25">
      <c r="M5811" s="21"/>
    </row>
    <row r="5812" spans="13:13" x14ac:dyDescent="0.25">
      <c r="M5812" s="21"/>
    </row>
    <row r="5813" spans="13:13" x14ac:dyDescent="0.25">
      <c r="M5813" s="21"/>
    </row>
    <row r="5814" spans="13:13" x14ac:dyDescent="0.25">
      <c r="M5814" s="21"/>
    </row>
    <row r="5815" spans="13:13" x14ac:dyDescent="0.25">
      <c r="M5815" s="21"/>
    </row>
    <row r="5816" spans="13:13" x14ac:dyDescent="0.25">
      <c r="M5816" s="21"/>
    </row>
    <row r="5817" spans="13:13" x14ac:dyDescent="0.25">
      <c r="M5817" s="21"/>
    </row>
    <row r="5818" spans="13:13" x14ac:dyDescent="0.25">
      <c r="M5818" s="21"/>
    </row>
    <row r="5819" spans="13:13" x14ac:dyDescent="0.25">
      <c r="M5819" s="21"/>
    </row>
    <row r="5820" spans="13:13" x14ac:dyDescent="0.25">
      <c r="M5820" s="21"/>
    </row>
    <row r="5821" spans="13:13" x14ac:dyDescent="0.25">
      <c r="M5821" s="21"/>
    </row>
    <row r="5822" spans="13:13" x14ac:dyDescent="0.25">
      <c r="M5822" s="21"/>
    </row>
    <row r="5823" spans="13:13" x14ac:dyDescent="0.25">
      <c r="M5823" s="21"/>
    </row>
    <row r="5824" spans="13:13" x14ac:dyDescent="0.25">
      <c r="M5824" s="21"/>
    </row>
    <row r="5825" spans="13:13" x14ac:dyDescent="0.25">
      <c r="M5825" s="21"/>
    </row>
    <row r="5826" spans="13:13" x14ac:dyDescent="0.25">
      <c r="M5826" s="21"/>
    </row>
    <row r="5827" spans="13:13" x14ac:dyDescent="0.25">
      <c r="M5827" s="21"/>
    </row>
    <row r="5828" spans="13:13" x14ac:dyDescent="0.25">
      <c r="M5828" s="21"/>
    </row>
    <row r="5829" spans="13:13" x14ac:dyDescent="0.25">
      <c r="M5829" s="21"/>
    </row>
    <row r="5830" spans="13:13" x14ac:dyDescent="0.25">
      <c r="M5830" s="21"/>
    </row>
    <row r="5831" spans="13:13" x14ac:dyDescent="0.25">
      <c r="M5831" s="21"/>
    </row>
    <row r="5832" spans="13:13" x14ac:dyDescent="0.25">
      <c r="M5832" s="21"/>
    </row>
    <row r="5833" spans="13:13" x14ac:dyDescent="0.25">
      <c r="M5833" s="21"/>
    </row>
    <row r="5834" spans="13:13" x14ac:dyDescent="0.25">
      <c r="M5834" s="21"/>
    </row>
    <row r="5835" spans="13:13" x14ac:dyDescent="0.25">
      <c r="M5835" s="21"/>
    </row>
    <row r="5836" spans="13:13" x14ac:dyDescent="0.25">
      <c r="M5836" s="21"/>
    </row>
    <row r="5837" spans="13:13" x14ac:dyDescent="0.25">
      <c r="M5837" s="21"/>
    </row>
    <row r="5838" spans="13:13" x14ac:dyDescent="0.25">
      <c r="M5838" s="21"/>
    </row>
    <row r="5839" spans="13:13" x14ac:dyDescent="0.25">
      <c r="M5839" s="21"/>
    </row>
    <row r="5840" spans="13:13" x14ac:dyDescent="0.25">
      <c r="M5840" s="21"/>
    </row>
    <row r="5841" spans="13:13" x14ac:dyDescent="0.25">
      <c r="M5841" s="21"/>
    </row>
    <row r="5842" spans="13:13" x14ac:dyDescent="0.25">
      <c r="M5842" s="21"/>
    </row>
    <row r="5843" spans="13:13" x14ac:dyDescent="0.25">
      <c r="M5843" s="21"/>
    </row>
    <row r="5844" spans="13:13" x14ac:dyDescent="0.25">
      <c r="M5844" s="21"/>
    </row>
    <row r="5845" spans="13:13" x14ac:dyDescent="0.25">
      <c r="M5845" s="21"/>
    </row>
    <row r="5846" spans="13:13" x14ac:dyDescent="0.25">
      <c r="M5846" s="21"/>
    </row>
    <row r="5847" spans="13:13" x14ac:dyDescent="0.25">
      <c r="M5847" s="21"/>
    </row>
    <row r="5848" spans="13:13" x14ac:dyDescent="0.25">
      <c r="M5848" s="21"/>
    </row>
    <row r="5849" spans="13:13" x14ac:dyDescent="0.25">
      <c r="M5849" s="21"/>
    </row>
    <row r="5850" spans="13:13" x14ac:dyDescent="0.25">
      <c r="M5850" s="21"/>
    </row>
    <row r="5851" spans="13:13" x14ac:dyDescent="0.25">
      <c r="M5851" s="21"/>
    </row>
    <row r="5852" spans="13:13" x14ac:dyDescent="0.25">
      <c r="M5852" s="21"/>
    </row>
    <row r="5853" spans="13:13" x14ac:dyDescent="0.25">
      <c r="M5853" s="21"/>
    </row>
    <row r="5854" spans="13:13" x14ac:dyDescent="0.25">
      <c r="M5854" s="21"/>
    </row>
    <row r="5855" spans="13:13" x14ac:dyDescent="0.25">
      <c r="M5855" s="21"/>
    </row>
    <row r="5856" spans="13:13" x14ac:dyDescent="0.25">
      <c r="M5856" s="21"/>
    </row>
    <row r="5857" spans="13:13" x14ac:dyDescent="0.25">
      <c r="M5857" s="21"/>
    </row>
    <row r="5858" spans="13:13" x14ac:dyDescent="0.25">
      <c r="M5858" s="21"/>
    </row>
    <row r="5859" spans="13:13" x14ac:dyDescent="0.25">
      <c r="M5859" s="21"/>
    </row>
    <row r="5860" spans="13:13" x14ac:dyDescent="0.25">
      <c r="M5860" s="21"/>
    </row>
    <row r="5861" spans="13:13" x14ac:dyDescent="0.25">
      <c r="M5861" s="21"/>
    </row>
    <row r="5862" spans="13:13" x14ac:dyDescent="0.25">
      <c r="M5862" s="21"/>
    </row>
    <row r="5863" spans="13:13" x14ac:dyDescent="0.25">
      <c r="M5863" s="21"/>
    </row>
    <row r="5864" spans="13:13" x14ac:dyDescent="0.25">
      <c r="M5864" s="21"/>
    </row>
    <row r="5865" spans="13:13" x14ac:dyDescent="0.25">
      <c r="M5865" s="21"/>
    </row>
    <row r="5866" spans="13:13" x14ac:dyDescent="0.25">
      <c r="M5866" s="21"/>
    </row>
    <row r="5867" spans="13:13" x14ac:dyDescent="0.25">
      <c r="M5867" s="21"/>
    </row>
    <row r="5868" spans="13:13" x14ac:dyDescent="0.25">
      <c r="M5868" s="21"/>
    </row>
    <row r="5869" spans="13:13" x14ac:dyDescent="0.25">
      <c r="M5869" s="21"/>
    </row>
    <row r="5870" spans="13:13" x14ac:dyDescent="0.25">
      <c r="M5870" s="21"/>
    </row>
    <row r="5871" spans="13:13" x14ac:dyDescent="0.25">
      <c r="M5871" s="21"/>
    </row>
    <row r="5872" spans="13:13" x14ac:dyDescent="0.25">
      <c r="M5872" s="21"/>
    </row>
    <row r="5873" spans="13:13" x14ac:dyDescent="0.25">
      <c r="M5873" s="21"/>
    </row>
    <row r="5874" spans="13:13" x14ac:dyDescent="0.25">
      <c r="M5874" s="21"/>
    </row>
    <row r="5875" spans="13:13" x14ac:dyDescent="0.25">
      <c r="M5875" s="21"/>
    </row>
    <row r="5876" spans="13:13" x14ac:dyDescent="0.25">
      <c r="M5876" s="21"/>
    </row>
    <row r="5877" spans="13:13" x14ac:dyDescent="0.25">
      <c r="M5877" s="21"/>
    </row>
    <row r="5878" spans="13:13" x14ac:dyDescent="0.25">
      <c r="M5878" s="21"/>
    </row>
    <row r="5879" spans="13:13" x14ac:dyDescent="0.25">
      <c r="M5879" s="21"/>
    </row>
    <row r="5880" spans="13:13" x14ac:dyDescent="0.25">
      <c r="M5880" s="21"/>
    </row>
    <row r="5881" spans="13:13" x14ac:dyDescent="0.25">
      <c r="M5881" s="21"/>
    </row>
    <row r="5882" spans="13:13" x14ac:dyDescent="0.25">
      <c r="M5882" s="21"/>
    </row>
    <row r="5883" spans="13:13" x14ac:dyDescent="0.25">
      <c r="M5883" s="21"/>
    </row>
    <row r="5884" spans="13:13" x14ac:dyDescent="0.25">
      <c r="M5884" s="21"/>
    </row>
    <row r="5885" spans="13:13" x14ac:dyDescent="0.25">
      <c r="M5885" s="21"/>
    </row>
    <row r="5886" spans="13:13" x14ac:dyDescent="0.25">
      <c r="M5886" s="21"/>
    </row>
    <row r="5887" spans="13:13" x14ac:dyDescent="0.25">
      <c r="M5887" s="21"/>
    </row>
    <row r="5888" spans="13:13" x14ac:dyDescent="0.25">
      <c r="M5888" s="21"/>
    </row>
    <row r="5889" spans="13:13" x14ac:dyDescent="0.25">
      <c r="M5889" s="21"/>
    </row>
    <row r="5890" spans="13:13" x14ac:dyDescent="0.25">
      <c r="M5890" s="21"/>
    </row>
    <row r="5891" spans="13:13" x14ac:dyDescent="0.25">
      <c r="M5891" s="21"/>
    </row>
    <row r="5892" spans="13:13" x14ac:dyDescent="0.25">
      <c r="M5892" s="21"/>
    </row>
    <row r="5893" spans="13:13" x14ac:dyDescent="0.25">
      <c r="M5893" s="21"/>
    </row>
    <row r="5894" spans="13:13" x14ac:dyDescent="0.25">
      <c r="M5894" s="21"/>
    </row>
    <row r="5895" spans="13:13" x14ac:dyDescent="0.25">
      <c r="M5895" s="21"/>
    </row>
    <row r="5896" spans="13:13" x14ac:dyDescent="0.25">
      <c r="M5896" s="21"/>
    </row>
    <row r="5897" spans="13:13" x14ac:dyDescent="0.25">
      <c r="M5897" s="21"/>
    </row>
    <row r="5898" spans="13:13" x14ac:dyDescent="0.25">
      <c r="M5898" s="21"/>
    </row>
    <row r="5899" spans="13:13" x14ac:dyDescent="0.25">
      <c r="M5899" s="21"/>
    </row>
    <row r="5900" spans="13:13" x14ac:dyDescent="0.25">
      <c r="M5900" s="21"/>
    </row>
    <row r="5901" spans="13:13" x14ac:dyDescent="0.25">
      <c r="M5901" s="21"/>
    </row>
    <row r="5902" spans="13:13" x14ac:dyDescent="0.25">
      <c r="M5902" s="21"/>
    </row>
    <row r="5903" spans="13:13" x14ac:dyDescent="0.25">
      <c r="M5903" s="21"/>
    </row>
    <row r="5904" spans="13:13" x14ac:dyDescent="0.25">
      <c r="M5904" s="21"/>
    </row>
    <row r="5905" spans="13:13" x14ac:dyDescent="0.25">
      <c r="M5905" s="21"/>
    </row>
    <row r="5906" spans="13:13" x14ac:dyDescent="0.25">
      <c r="M5906" s="21"/>
    </row>
    <row r="5907" spans="13:13" x14ac:dyDescent="0.25">
      <c r="M5907" s="21"/>
    </row>
    <row r="5908" spans="13:13" x14ac:dyDescent="0.25">
      <c r="M5908" s="21"/>
    </row>
    <row r="5909" spans="13:13" x14ac:dyDescent="0.25">
      <c r="M5909" s="21"/>
    </row>
    <row r="5910" spans="13:13" x14ac:dyDescent="0.25">
      <c r="M5910" s="21"/>
    </row>
    <row r="5911" spans="13:13" x14ac:dyDescent="0.25">
      <c r="M5911" s="21"/>
    </row>
    <row r="5912" spans="13:13" x14ac:dyDescent="0.25">
      <c r="M5912" s="21"/>
    </row>
    <row r="5913" spans="13:13" x14ac:dyDescent="0.25">
      <c r="M5913" s="21"/>
    </row>
    <row r="5914" spans="13:13" x14ac:dyDescent="0.25">
      <c r="M5914" s="21"/>
    </row>
    <row r="5915" spans="13:13" x14ac:dyDescent="0.25">
      <c r="M5915" s="21"/>
    </row>
    <row r="5916" spans="13:13" x14ac:dyDescent="0.25">
      <c r="M5916" s="21"/>
    </row>
    <row r="5917" spans="13:13" x14ac:dyDescent="0.25">
      <c r="M5917" s="21"/>
    </row>
    <row r="5918" spans="13:13" x14ac:dyDescent="0.25">
      <c r="M5918" s="21"/>
    </row>
    <row r="5919" spans="13:13" x14ac:dyDescent="0.25">
      <c r="M5919" s="21"/>
    </row>
    <row r="5920" spans="13:13" x14ac:dyDescent="0.25">
      <c r="M5920" s="21"/>
    </row>
    <row r="5921" spans="13:13" x14ac:dyDescent="0.25">
      <c r="M5921" s="21"/>
    </row>
    <row r="5922" spans="13:13" x14ac:dyDescent="0.25">
      <c r="M5922" s="21"/>
    </row>
    <row r="5923" spans="13:13" x14ac:dyDescent="0.25">
      <c r="M5923" s="21"/>
    </row>
    <row r="5924" spans="13:13" x14ac:dyDescent="0.25">
      <c r="M5924" s="21"/>
    </row>
    <row r="5925" spans="13:13" x14ac:dyDescent="0.25">
      <c r="M5925" s="21"/>
    </row>
    <row r="5926" spans="13:13" x14ac:dyDescent="0.25">
      <c r="M5926" s="21"/>
    </row>
    <row r="5927" spans="13:13" x14ac:dyDescent="0.25">
      <c r="M5927" s="21"/>
    </row>
    <row r="5928" spans="13:13" x14ac:dyDescent="0.25">
      <c r="M5928" s="21"/>
    </row>
    <row r="5929" spans="13:13" x14ac:dyDescent="0.25">
      <c r="M5929" s="21"/>
    </row>
    <row r="5930" spans="13:13" x14ac:dyDescent="0.25">
      <c r="M5930" s="21"/>
    </row>
    <row r="5931" spans="13:13" x14ac:dyDescent="0.25">
      <c r="M5931" s="21"/>
    </row>
    <row r="5932" spans="13:13" x14ac:dyDescent="0.25">
      <c r="M5932" s="21"/>
    </row>
    <row r="5933" spans="13:13" x14ac:dyDescent="0.25">
      <c r="M5933" s="21"/>
    </row>
    <row r="5934" spans="13:13" x14ac:dyDescent="0.25">
      <c r="M5934" s="21"/>
    </row>
    <row r="5935" spans="13:13" x14ac:dyDescent="0.25">
      <c r="M5935" s="21"/>
    </row>
    <row r="5936" spans="13:13" x14ac:dyDescent="0.25">
      <c r="M5936" s="21"/>
    </row>
    <row r="5937" spans="13:13" x14ac:dyDescent="0.25">
      <c r="M5937" s="21"/>
    </row>
    <row r="5938" spans="13:13" x14ac:dyDescent="0.25">
      <c r="M5938" s="21"/>
    </row>
    <row r="5939" spans="13:13" x14ac:dyDescent="0.25">
      <c r="M5939" s="21"/>
    </row>
    <row r="5940" spans="13:13" x14ac:dyDescent="0.25">
      <c r="M5940" s="21"/>
    </row>
    <row r="5941" spans="13:13" x14ac:dyDescent="0.25">
      <c r="M5941" s="21"/>
    </row>
    <row r="5942" spans="13:13" x14ac:dyDescent="0.25">
      <c r="M5942" s="21"/>
    </row>
    <row r="5943" spans="13:13" x14ac:dyDescent="0.25">
      <c r="M5943" s="21"/>
    </row>
    <row r="5944" spans="13:13" x14ac:dyDescent="0.25">
      <c r="M5944" s="21"/>
    </row>
    <row r="5945" spans="13:13" x14ac:dyDescent="0.25">
      <c r="M5945" s="21"/>
    </row>
    <row r="5946" spans="13:13" x14ac:dyDescent="0.25">
      <c r="M5946" s="21"/>
    </row>
    <row r="5947" spans="13:13" x14ac:dyDescent="0.25">
      <c r="M5947" s="21"/>
    </row>
    <row r="5948" spans="13:13" x14ac:dyDescent="0.25">
      <c r="M5948" s="21"/>
    </row>
    <row r="5949" spans="13:13" x14ac:dyDescent="0.25">
      <c r="M5949" s="21"/>
    </row>
    <row r="5950" spans="13:13" x14ac:dyDescent="0.25">
      <c r="M5950" s="21"/>
    </row>
    <row r="5951" spans="13:13" x14ac:dyDescent="0.25">
      <c r="M5951" s="21"/>
    </row>
    <row r="5952" spans="13:13" x14ac:dyDescent="0.25">
      <c r="M5952" s="21"/>
    </row>
    <row r="5953" spans="13:13" x14ac:dyDescent="0.25">
      <c r="M5953" s="21"/>
    </row>
    <row r="5954" spans="13:13" x14ac:dyDescent="0.25">
      <c r="M5954" s="21"/>
    </row>
    <row r="5955" spans="13:13" x14ac:dyDescent="0.25">
      <c r="M5955" s="21"/>
    </row>
    <row r="5956" spans="13:13" x14ac:dyDescent="0.25">
      <c r="M5956" s="21"/>
    </row>
    <row r="5957" spans="13:13" x14ac:dyDescent="0.25">
      <c r="M5957" s="21"/>
    </row>
    <row r="5958" spans="13:13" x14ac:dyDescent="0.25">
      <c r="M5958" s="21"/>
    </row>
    <row r="5959" spans="13:13" x14ac:dyDescent="0.25">
      <c r="M5959" s="21"/>
    </row>
    <row r="5960" spans="13:13" x14ac:dyDescent="0.25">
      <c r="M5960" s="21"/>
    </row>
    <row r="5961" spans="13:13" x14ac:dyDescent="0.25">
      <c r="M5961" s="21"/>
    </row>
    <row r="5962" spans="13:13" x14ac:dyDescent="0.25">
      <c r="M5962" s="21"/>
    </row>
    <row r="5963" spans="13:13" x14ac:dyDescent="0.25">
      <c r="M5963" s="21"/>
    </row>
    <row r="5964" spans="13:13" x14ac:dyDescent="0.25">
      <c r="M5964" s="21"/>
    </row>
    <row r="5965" spans="13:13" x14ac:dyDescent="0.25">
      <c r="M5965" s="21"/>
    </row>
    <row r="5966" spans="13:13" x14ac:dyDescent="0.25">
      <c r="M5966" s="21"/>
    </row>
    <row r="5967" spans="13:13" x14ac:dyDescent="0.25">
      <c r="M5967" s="21"/>
    </row>
    <row r="5968" spans="13:13" x14ac:dyDescent="0.25">
      <c r="M5968" s="21"/>
    </row>
    <row r="5969" spans="13:13" x14ac:dyDescent="0.25">
      <c r="M5969" s="21"/>
    </row>
    <row r="5970" spans="13:13" x14ac:dyDescent="0.25">
      <c r="M5970" s="21"/>
    </row>
    <row r="5971" spans="13:13" x14ac:dyDescent="0.25">
      <c r="M5971" s="21"/>
    </row>
    <row r="5972" spans="13:13" x14ac:dyDescent="0.25">
      <c r="M5972" s="21"/>
    </row>
    <row r="5973" spans="13:13" x14ac:dyDescent="0.25">
      <c r="M5973" s="21"/>
    </row>
    <row r="5974" spans="13:13" x14ac:dyDescent="0.25">
      <c r="M5974" s="21"/>
    </row>
    <row r="5975" spans="13:13" x14ac:dyDescent="0.25">
      <c r="M5975" s="21"/>
    </row>
    <row r="5976" spans="13:13" x14ac:dyDescent="0.25">
      <c r="M5976" s="21"/>
    </row>
    <row r="5977" spans="13:13" x14ac:dyDescent="0.25">
      <c r="M5977" s="21"/>
    </row>
    <row r="5978" spans="13:13" x14ac:dyDescent="0.25">
      <c r="M5978" s="21"/>
    </row>
    <row r="5979" spans="13:13" x14ac:dyDescent="0.25">
      <c r="M5979" s="21"/>
    </row>
    <row r="5980" spans="13:13" x14ac:dyDescent="0.25">
      <c r="M5980" s="21"/>
    </row>
    <row r="5981" spans="13:13" x14ac:dyDescent="0.25">
      <c r="M5981" s="21"/>
    </row>
    <row r="5982" spans="13:13" x14ac:dyDescent="0.25">
      <c r="M5982" s="21"/>
    </row>
    <row r="5983" spans="13:13" x14ac:dyDescent="0.25">
      <c r="M5983" s="21"/>
    </row>
    <row r="5984" spans="13:13" x14ac:dyDescent="0.25">
      <c r="M5984" s="21"/>
    </row>
    <row r="5985" spans="13:13" x14ac:dyDescent="0.25">
      <c r="M5985" s="21"/>
    </row>
    <row r="5986" spans="13:13" x14ac:dyDescent="0.25">
      <c r="M5986" s="21"/>
    </row>
    <row r="5987" spans="13:13" x14ac:dyDescent="0.25">
      <c r="M5987" s="21"/>
    </row>
    <row r="5988" spans="13:13" x14ac:dyDescent="0.25">
      <c r="M5988" s="21"/>
    </row>
    <row r="5989" spans="13:13" x14ac:dyDescent="0.25">
      <c r="M5989" s="21"/>
    </row>
    <row r="5990" spans="13:13" x14ac:dyDescent="0.25">
      <c r="M5990" s="21"/>
    </row>
    <row r="5991" spans="13:13" x14ac:dyDescent="0.25">
      <c r="M5991" s="21"/>
    </row>
    <row r="5992" spans="13:13" x14ac:dyDescent="0.25">
      <c r="M5992" s="21"/>
    </row>
    <row r="5993" spans="13:13" x14ac:dyDescent="0.25">
      <c r="M5993" s="21"/>
    </row>
    <row r="5994" spans="13:13" x14ac:dyDescent="0.25">
      <c r="M5994" s="21"/>
    </row>
    <row r="5995" spans="13:13" x14ac:dyDescent="0.25">
      <c r="M5995" s="21"/>
    </row>
    <row r="5996" spans="13:13" x14ac:dyDescent="0.25">
      <c r="M5996" s="21"/>
    </row>
    <row r="5997" spans="13:13" x14ac:dyDescent="0.25">
      <c r="M5997" s="21"/>
    </row>
    <row r="5998" spans="13:13" x14ac:dyDescent="0.25">
      <c r="M5998" s="21"/>
    </row>
    <row r="5999" spans="13:13" x14ac:dyDescent="0.25">
      <c r="M5999" s="21"/>
    </row>
    <row r="6000" spans="13:13" x14ac:dyDescent="0.25">
      <c r="M6000" s="21"/>
    </row>
    <row r="6001" spans="13:13" x14ac:dyDescent="0.25">
      <c r="M6001" s="21"/>
    </row>
    <row r="6002" spans="13:13" x14ac:dyDescent="0.25">
      <c r="M6002" s="21"/>
    </row>
    <row r="6003" spans="13:13" x14ac:dyDescent="0.25">
      <c r="M6003" s="21"/>
    </row>
    <row r="6004" spans="13:13" x14ac:dyDescent="0.25">
      <c r="M6004" s="21"/>
    </row>
    <row r="6005" spans="13:13" x14ac:dyDescent="0.25">
      <c r="M6005" s="21"/>
    </row>
    <row r="6006" spans="13:13" x14ac:dyDescent="0.25">
      <c r="M6006" s="21"/>
    </row>
    <row r="6007" spans="13:13" x14ac:dyDescent="0.25">
      <c r="M6007" s="21"/>
    </row>
    <row r="6008" spans="13:13" x14ac:dyDescent="0.25">
      <c r="M6008" s="21"/>
    </row>
    <row r="6009" spans="13:13" x14ac:dyDescent="0.25">
      <c r="M6009" s="21"/>
    </row>
    <row r="6010" spans="13:13" x14ac:dyDescent="0.25">
      <c r="M6010" s="21"/>
    </row>
    <row r="6011" spans="13:13" x14ac:dyDescent="0.25">
      <c r="M6011" s="21"/>
    </row>
    <row r="6012" spans="13:13" x14ac:dyDescent="0.25">
      <c r="M6012" s="21"/>
    </row>
    <row r="6013" spans="13:13" x14ac:dyDescent="0.25">
      <c r="M6013" s="21"/>
    </row>
    <row r="6014" spans="13:13" x14ac:dyDescent="0.25">
      <c r="M6014" s="21"/>
    </row>
    <row r="6015" spans="13:13" x14ac:dyDescent="0.25">
      <c r="M6015" s="21"/>
    </row>
    <row r="6016" spans="13:13" x14ac:dyDescent="0.25">
      <c r="M6016" s="21"/>
    </row>
    <row r="6017" spans="13:13" x14ac:dyDescent="0.25">
      <c r="M6017" s="21"/>
    </row>
    <row r="6018" spans="13:13" x14ac:dyDescent="0.25">
      <c r="M6018" s="21"/>
    </row>
    <row r="6019" spans="13:13" x14ac:dyDescent="0.25">
      <c r="M6019" s="21"/>
    </row>
    <row r="6020" spans="13:13" x14ac:dyDescent="0.25">
      <c r="M6020" s="21"/>
    </row>
    <row r="6021" spans="13:13" x14ac:dyDescent="0.25">
      <c r="M6021" s="21"/>
    </row>
    <row r="6022" spans="13:13" x14ac:dyDescent="0.25">
      <c r="M6022" s="21"/>
    </row>
    <row r="6023" spans="13:13" x14ac:dyDescent="0.25">
      <c r="M6023" s="21"/>
    </row>
    <row r="6024" spans="13:13" x14ac:dyDescent="0.25">
      <c r="M6024" s="21"/>
    </row>
    <row r="6025" spans="13:13" x14ac:dyDescent="0.25">
      <c r="M6025" s="21"/>
    </row>
    <row r="6026" spans="13:13" x14ac:dyDescent="0.25">
      <c r="M6026" s="21"/>
    </row>
    <row r="6027" spans="13:13" x14ac:dyDescent="0.25">
      <c r="M6027" s="21"/>
    </row>
    <row r="6028" spans="13:13" x14ac:dyDescent="0.25">
      <c r="M6028" s="21"/>
    </row>
    <row r="6029" spans="13:13" x14ac:dyDescent="0.25">
      <c r="M6029" s="21"/>
    </row>
    <row r="6030" spans="13:13" x14ac:dyDescent="0.25">
      <c r="M6030" s="21"/>
    </row>
    <row r="6031" spans="13:13" x14ac:dyDescent="0.25">
      <c r="M6031" s="21"/>
    </row>
    <row r="6032" spans="13:13" x14ac:dyDescent="0.25">
      <c r="M6032" s="21"/>
    </row>
    <row r="6033" spans="13:13" x14ac:dyDescent="0.25">
      <c r="M6033" s="21"/>
    </row>
    <row r="6034" spans="13:13" x14ac:dyDescent="0.25">
      <c r="M6034" s="21"/>
    </row>
    <row r="6035" spans="13:13" x14ac:dyDescent="0.25">
      <c r="M6035" s="21"/>
    </row>
    <row r="6036" spans="13:13" x14ac:dyDescent="0.25">
      <c r="M6036" s="21"/>
    </row>
    <row r="6037" spans="13:13" x14ac:dyDescent="0.25">
      <c r="M6037" s="21"/>
    </row>
    <row r="6038" spans="13:13" x14ac:dyDescent="0.25">
      <c r="M6038" s="21"/>
    </row>
    <row r="6039" spans="13:13" x14ac:dyDescent="0.25">
      <c r="M6039" s="21"/>
    </row>
    <row r="6040" spans="13:13" x14ac:dyDescent="0.25">
      <c r="M6040" s="21"/>
    </row>
    <row r="6041" spans="13:13" x14ac:dyDescent="0.25">
      <c r="M6041" s="21"/>
    </row>
    <row r="6042" spans="13:13" x14ac:dyDescent="0.25">
      <c r="M6042" s="21"/>
    </row>
    <row r="6043" spans="13:13" x14ac:dyDescent="0.25">
      <c r="M6043" s="21"/>
    </row>
    <row r="6044" spans="13:13" x14ac:dyDescent="0.25">
      <c r="M6044" s="21"/>
    </row>
    <row r="6045" spans="13:13" x14ac:dyDescent="0.25">
      <c r="M6045" s="21"/>
    </row>
    <row r="6046" spans="13:13" x14ac:dyDescent="0.25">
      <c r="M6046" s="21"/>
    </row>
    <row r="6047" spans="13:13" x14ac:dyDescent="0.25">
      <c r="M6047" s="21"/>
    </row>
    <row r="6048" spans="13:13" x14ac:dyDescent="0.25">
      <c r="M6048" s="21"/>
    </row>
    <row r="6049" spans="13:13" x14ac:dyDescent="0.25">
      <c r="M6049" s="21"/>
    </row>
    <row r="6050" spans="13:13" x14ac:dyDescent="0.25">
      <c r="M6050" s="21"/>
    </row>
    <row r="6051" spans="13:13" x14ac:dyDescent="0.25">
      <c r="M6051" s="21"/>
    </row>
    <row r="6052" spans="13:13" x14ac:dyDescent="0.25">
      <c r="M6052" s="21"/>
    </row>
    <row r="6053" spans="13:13" x14ac:dyDescent="0.25">
      <c r="M6053" s="21"/>
    </row>
    <row r="6054" spans="13:13" x14ac:dyDescent="0.25">
      <c r="M6054" s="21"/>
    </row>
    <row r="6055" spans="13:13" x14ac:dyDescent="0.25">
      <c r="M6055" s="21"/>
    </row>
    <row r="6056" spans="13:13" x14ac:dyDescent="0.25">
      <c r="M6056" s="21"/>
    </row>
    <row r="6057" spans="13:13" x14ac:dyDescent="0.25">
      <c r="M6057" s="21"/>
    </row>
    <row r="6058" spans="13:13" x14ac:dyDescent="0.25">
      <c r="M6058" s="21"/>
    </row>
    <row r="6059" spans="13:13" x14ac:dyDescent="0.25">
      <c r="M6059" s="21"/>
    </row>
    <row r="6060" spans="13:13" x14ac:dyDescent="0.25">
      <c r="M6060" s="21"/>
    </row>
    <row r="6061" spans="13:13" x14ac:dyDescent="0.25">
      <c r="M6061" s="21"/>
    </row>
    <row r="6062" spans="13:13" x14ac:dyDescent="0.25">
      <c r="M6062" s="21"/>
    </row>
    <row r="6063" spans="13:13" x14ac:dyDescent="0.25">
      <c r="M6063" s="21"/>
    </row>
    <row r="6064" spans="13:13" x14ac:dyDescent="0.25">
      <c r="M6064" s="21"/>
    </row>
    <row r="6065" spans="13:13" x14ac:dyDescent="0.25">
      <c r="M6065" s="21"/>
    </row>
    <row r="6066" spans="13:13" x14ac:dyDescent="0.25">
      <c r="M6066" s="21"/>
    </row>
    <row r="6067" spans="13:13" x14ac:dyDescent="0.25">
      <c r="M6067" s="21"/>
    </row>
    <row r="6068" spans="13:13" x14ac:dyDescent="0.25">
      <c r="M6068" s="21"/>
    </row>
    <row r="6069" spans="13:13" x14ac:dyDescent="0.25">
      <c r="M6069" s="21"/>
    </row>
    <row r="6070" spans="13:13" x14ac:dyDescent="0.25">
      <c r="M6070" s="21"/>
    </row>
    <row r="6071" spans="13:13" x14ac:dyDescent="0.25">
      <c r="M6071" s="21"/>
    </row>
    <row r="6072" spans="13:13" x14ac:dyDescent="0.25">
      <c r="M6072" s="21"/>
    </row>
    <row r="6073" spans="13:13" x14ac:dyDescent="0.25">
      <c r="M6073" s="21"/>
    </row>
    <row r="6074" spans="13:13" x14ac:dyDescent="0.25">
      <c r="M6074" s="21"/>
    </row>
    <row r="6075" spans="13:13" x14ac:dyDescent="0.25">
      <c r="M6075" s="21"/>
    </row>
    <row r="6076" spans="13:13" x14ac:dyDescent="0.25">
      <c r="M6076" s="21"/>
    </row>
    <row r="6077" spans="13:13" x14ac:dyDescent="0.25">
      <c r="M6077" s="21"/>
    </row>
    <row r="6078" spans="13:13" x14ac:dyDescent="0.25">
      <c r="M6078" s="21"/>
    </row>
    <row r="6079" spans="13:13" x14ac:dyDescent="0.25">
      <c r="M6079" s="21"/>
    </row>
    <row r="6080" spans="13:13" x14ac:dyDescent="0.25">
      <c r="M6080" s="21"/>
    </row>
    <row r="6081" spans="13:13" x14ac:dyDescent="0.25">
      <c r="M6081" s="21"/>
    </row>
    <row r="6082" spans="13:13" x14ac:dyDescent="0.25">
      <c r="M6082" s="21"/>
    </row>
    <row r="6083" spans="13:13" x14ac:dyDescent="0.25">
      <c r="M6083" s="21"/>
    </row>
    <row r="6084" spans="13:13" x14ac:dyDescent="0.25">
      <c r="M6084" s="21"/>
    </row>
    <row r="6085" spans="13:13" x14ac:dyDescent="0.25">
      <c r="M6085" s="21"/>
    </row>
    <row r="6086" spans="13:13" x14ac:dyDescent="0.25">
      <c r="M6086" s="21"/>
    </row>
    <row r="6087" spans="13:13" x14ac:dyDescent="0.25">
      <c r="M6087" s="21"/>
    </row>
    <row r="6088" spans="13:13" x14ac:dyDescent="0.25">
      <c r="M6088" s="21"/>
    </row>
    <row r="6089" spans="13:13" x14ac:dyDescent="0.25">
      <c r="M6089" s="21"/>
    </row>
    <row r="6090" spans="13:13" x14ac:dyDescent="0.25">
      <c r="M6090" s="21"/>
    </row>
    <row r="6091" spans="13:13" x14ac:dyDescent="0.25">
      <c r="M6091" s="21"/>
    </row>
    <row r="6092" spans="13:13" x14ac:dyDescent="0.25">
      <c r="M6092" s="21"/>
    </row>
    <row r="6093" spans="13:13" x14ac:dyDescent="0.25">
      <c r="M6093" s="21"/>
    </row>
    <row r="6094" spans="13:13" x14ac:dyDescent="0.25">
      <c r="M6094" s="21"/>
    </row>
    <row r="6095" spans="13:13" x14ac:dyDescent="0.25">
      <c r="M6095" s="21"/>
    </row>
    <row r="6096" spans="13:13" x14ac:dyDescent="0.25">
      <c r="M6096" s="21"/>
    </row>
    <row r="6097" spans="13:13" x14ac:dyDescent="0.25">
      <c r="M6097" s="21"/>
    </row>
    <row r="6098" spans="13:13" x14ac:dyDescent="0.25">
      <c r="M6098" s="21"/>
    </row>
    <row r="6099" spans="13:13" x14ac:dyDescent="0.25">
      <c r="M6099" s="21"/>
    </row>
    <row r="6100" spans="13:13" x14ac:dyDescent="0.25">
      <c r="M6100" s="21"/>
    </row>
    <row r="6101" spans="13:13" x14ac:dyDescent="0.25">
      <c r="M6101" s="21"/>
    </row>
    <row r="6102" spans="13:13" x14ac:dyDescent="0.25">
      <c r="M6102" s="21"/>
    </row>
    <row r="6103" spans="13:13" x14ac:dyDescent="0.25">
      <c r="M6103" s="21"/>
    </row>
    <row r="6104" spans="13:13" x14ac:dyDescent="0.25">
      <c r="M6104" s="21"/>
    </row>
    <row r="6105" spans="13:13" x14ac:dyDescent="0.25">
      <c r="M6105" s="21"/>
    </row>
    <row r="6106" spans="13:13" x14ac:dyDescent="0.25">
      <c r="M6106" s="21"/>
    </row>
    <row r="6107" spans="13:13" x14ac:dyDescent="0.25">
      <c r="M6107" s="21"/>
    </row>
    <row r="6108" spans="13:13" x14ac:dyDescent="0.25">
      <c r="M6108" s="21"/>
    </row>
    <row r="6109" spans="13:13" x14ac:dyDescent="0.25">
      <c r="M6109" s="21"/>
    </row>
    <row r="6110" spans="13:13" x14ac:dyDescent="0.25">
      <c r="M6110" s="21"/>
    </row>
    <row r="6111" spans="13:13" x14ac:dyDescent="0.25">
      <c r="M6111" s="21"/>
    </row>
    <row r="6112" spans="13:13" x14ac:dyDescent="0.25">
      <c r="M6112" s="21"/>
    </row>
    <row r="6113" spans="13:13" x14ac:dyDescent="0.25">
      <c r="M6113" s="21"/>
    </row>
    <row r="6114" spans="13:13" x14ac:dyDescent="0.25">
      <c r="M6114" s="21"/>
    </row>
    <row r="6115" spans="13:13" x14ac:dyDescent="0.25">
      <c r="M6115" s="21"/>
    </row>
    <row r="6116" spans="13:13" x14ac:dyDescent="0.25">
      <c r="M6116" s="21"/>
    </row>
    <row r="6117" spans="13:13" x14ac:dyDescent="0.25">
      <c r="M6117" s="21"/>
    </row>
    <row r="6118" spans="13:13" x14ac:dyDescent="0.25">
      <c r="M6118" s="21"/>
    </row>
    <row r="6119" spans="13:13" x14ac:dyDescent="0.25">
      <c r="M6119" s="21"/>
    </row>
    <row r="6120" spans="13:13" x14ac:dyDescent="0.25">
      <c r="M6120" s="21"/>
    </row>
    <row r="6121" spans="13:13" x14ac:dyDescent="0.25">
      <c r="M6121" s="21"/>
    </row>
    <row r="6122" spans="13:13" x14ac:dyDescent="0.25">
      <c r="M6122" s="21"/>
    </row>
    <row r="6123" spans="13:13" x14ac:dyDescent="0.25">
      <c r="M6123" s="21"/>
    </row>
    <row r="6124" spans="13:13" x14ac:dyDescent="0.25">
      <c r="M6124" s="21"/>
    </row>
    <row r="6125" spans="13:13" x14ac:dyDescent="0.25">
      <c r="M6125" s="21"/>
    </row>
    <row r="6126" spans="13:13" x14ac:dyDescent="0.25">
      <c r="M6126" s="21"/>
    </row>
    <row r="6127" spans="13:13" x14ac:dyDescent="0.25">
      <c r="M6127" s="21"/>
    </row>
    <row r="6128" spans="13:13" x14ac:dyDescent="0.25">
      <c r="M6128" s="21"/>
    </row>
    <row r="6129" spans="13:13" x14ac:dyDescent="0.25">
      <c r="M6129" s="21"/>
    </row>
    <row r="6130" spans="13:13" x14ac:dyDescent="0.25">
      <c r="M6130" s="21"/>
    </row>
    <row r="6131" spans="13:13" x14ac:dyDescent="0.25">
      <c r="M6131" s="21"/>
    </row>
    <row r="6132" spans="13:13" x14ac:dyDescent="0.25">
      <c r="M6132" s="21"/>
    </row>
    <row r="6133" spans="13:13" x14ac:dyDescent="0.25">
      <c r="M6133" s="21"/>
    </row>
    <row r="6134" spans="13:13" x14ac:dyDescent="0.25">
      <c r="M6134" s="21"/>
    </row>
    <row r="6135" spans="13:13" x14ac:dyDescent="0.25">
      <c r="M6135" s="21"/>
    </row>
    <row r="6136" spans="13:13" x14ac:dyDescent="0.25">
      <c r="M6136" s="21"/>
    </row>
    <row r="6137" spans="13:13" x14ac:dyDescent="0.25">
      <c r="M6137" s="21"/>
    </row>
    <row r="6138" spans="13:13" x14ac:dyDescent="0.25">
      <c r="M6138" s="21"/>
    </row>
    <row r="6139" spans="13:13" x14ac:dyDescent="0.25">
      <c r="M6139" s="21"/>
    </row>
    <row r="6140" spans="13:13" x14ac:dyDescent="0.25">
      <c r="M6140" s="21"/>
    </row>
    <row r="6141" spans="13:13" x14ac:dyDescent="0.25">
      <c r="M6141" s="21"/>
    </row>
    <row r="6142" spans="13:13" x14ac:dyDescent="0.25">
      <c r="M6142" s="21"/>
    </row>
    <row r="6143" spans="13:13" x14ac:dyDescent="0.25">
      <c r="M6143" s="21"/>
    </row>
    <row r="6144" spans="13:13" x14ac:dyDescent="0.25">
      <c r="M6144" s="21"/>
    </row>
    <row r="6145" spans="13:13" x14ac:dyDescent="0.25">
      <c r="M6145" s="21"/>
    </row>
    <row r="6146" spans="13:13" x14ac:dyDescent="0.25">
      <c r="M6146" s="21"/>
    </row>
    <row r="6147" spans="13:13" x14ac:dyDescent="0.25">
      <c r="M6147" s="21"/>
    </row>
    <row r="6148" spans="13:13" x14ac:dyDescent="0.25">
      <c r="M6148" s="21"/>
    </row>
    <row r="6149" spans="13:13" x14ac:dyDescent="0.25">
      <c r="M6149" s="21"/>
    </row>
    <row r="6150" spans="13:13" x14ac:dyDescent="0.25">
      <c r="M6150" s="21"/>
    </row>
    <row r="6151" spans="13:13" x14ac:dyDescent="0.25">
      <c r="M6151" s="21"/>
    </row>
    <row r="6152" spans="13:13" x14ac:dyDescent="0.25">
      <c r="M6152" s="21"/>
    </row>
    <row r="6153" spans="13:13" x14ac:dyDescent="0.25">
      <c r="M6153" s="21"/>
    </row>
    <row r="6154" spans="13:13" x14ac:dyDescent="0.25">
      <c r="M6154" s="21"/>
    </row>
    <row r="6155" spans="13:13" x14ac:dyDescent="0.25">
      <c r="M6155" s="21"/>
    </row>
    <row r="6156" spans="13:13" x14ac:dyDescent="0.25">
      <c r="M6156" s="21"/>
    </row>
    <row r="6157" spans="13:13" x14ac:dyDescent="0.25">
      <c r="M6157" s="21"/>
    </row>
    <row r="6158" spans="13:13" x14ac:dyDescent="0.25">
      <c r="M6158" s="21"/>
    </row>
    <row r="6159" spans="13:13" x14ac:dyDescent="0.25">
      <c r="M6159" s="21"/>
    </row>
    <row r="6160" spans="13:13" x14ac:dyDescent="0.25">
      <c r="M6160" s="21"/>
    </row>
    <row r="6161" spans="13:13" x14ac:dyDescent="0.25">
      <c r="M6161" s="21"/>
    </row>
    <row r="6162" spans="13:13" x14ac:dyDescent="0.25">
      <c r="M6162" s="21"/>
    </row>
    <row r="6163" spans="13:13" x14ac:dyDescent="0.25">
      <c r="M6163" s="21"/>
    </row>
    <row r="6164" spans="13:13" x14ac:dyDescent="0.25">
      <c r="M6164" s="21"/>
    </row>
    <row r="6165" spans="13:13" x14ac:dyDescent="0.25">
      <c r="M6165" s="21"/>
    </row>
    <row r="6166" spans="13:13" x14ac:dyDescent="0.25">
      <c r="M6166" s="21"/>
    </row>
    <row r="6167" spans="13:13" x14ac:dyDescent="0.25">
      <c r="M6167" s="21"/>
    </row>
    <row r="6168" spans="13:13" x14ac:dyDescent="0.25">
      <c r="M6168" s="21"/>
    </row>
    <row r="6169" spans="13:13" x14ac:dyDescent="0.25">
      <c r="M6169" s="21"/>
    </row>
    <row r="6170" spans="13:13" x14ac:dyDescent="0.25">
      <c r="M6170" s="21"/>
    </row>
    <row r="6171" spans="13:13" x14ac:dyDescent="0.25">
      <c r="M6171" s="21"/>
    </row>
    <row r="6172" spans="13:13" x14ac:dyDescent="0.25">
      <c r="M6172" s="21"/>
    </row>
    <row r="6173" spans="13:13" x14ac:dyDescent="0.25">
      <c r="M6173" s="21"/>
    </row>
    <row r="6174" spans="13:13" x14ac:dyDescent="0.25">
      <c r="M6174" s="21"/>
    </row>
    <row r="6175" spans="13:13" x14ac:dyDescent="0.25">
      <c r="M6175" s="21"/>
    </row>
    <row r="6176" spans="13:13" x14ac:dyDescent="0.25">
      <c r="M6176" s="21"/>
    </row>
    <row r="6177" spans="13:13" x14ac:dyDescent="0.25">
      <c r="M6177" s="21"/>
    </row>
    <row r="6178" spans="13:13" x14ac:dyDescent="0.25">
      <c r="M6178" s="21"/>
    </row>
    <row r="6179" spans="13:13" x14ac:dyDescent="0.25">
      <c r="M6179" s="21"/>
    </row>
    <row r="6180" spans="13:13" x14ac:dyDescent="0.25">
      <c r="M6180" s="21"/>
    </row>
    <row r="6181" spans="13:13" x14ac:dyDescent="0.25">
      <c r="M6181" s="21"/>
    </row>
    <row r="6182" spans="13:13" x14ac:dyDescent="0.25">
      <c r="M6182" s="21"/>
    </row>
    <row r="6183" spans="13:13" x14ac:dyDescent="0.25">
      <c r="M6183" s="21"/>
    </row>
    <row r="6184" spans="13:13" x14ac:dyDescent="0.25">
      <c r="M6184" s="21"/>
    </row>
    <row r="6185" spans="13:13" x14ac:dyDescent="0.25">
      <c r="M6185" s="21"/>
    </row>
    <row r="6186" spans="13:13" x14ac:dyDescent="0.25">
      <c r="M6186" s="21"/>
    </row>
    <row r="6187" spans="13:13" x14ac:dyDescent="0.25">
      <c r="M6187" s="21"/>
    </row>
    <row r="6188" spans="13:13" x14ac:dyDescent="0.25">
      <c r="M6188" s="21"/>
    </row>
    <row r="6189" spans="13:13" x14ac:dyDescent="0.25">
      <c r="M6189" s="21"/>
    </row>
    <row r="6190" spans="13:13" x14ac:dyDescent="0.25">
      <c r="M6190" s="21"/>
    </row>
    <row r="6191" spans="13:13" x14ac:dyDescent="0.25">
      <c r="M6191" s="21"/>
    </row>
    <row r="6192" spans="13:13" x14ac:dyDescent="0.25">
      <c r="M6192" s="21"/>
    </row>
    <row r="6193" spans="13:13" x14ac:dyDescent="0.25">
      <c r="M6193" s="21"/>
    </row>
    <row r="6194" spans="13:13" x14ac:dyDescent="0.25">
      <c r="M6194" s="21"/>
    </row>
    <row r="6195" spans="13:13" x14ac:dyDescent="0.25">
      <c r="M6195" s="21"/>
    </row>
    <row r="6196" spans="13:13" x14ac:dyDescent="0.25">
      <c r="M6196" s="21"/>
    </row>
    <row r="6197" spans="13:13" x14ac:dyDescent="0.25">
      <c r="M6197" s="21"/>
    </row>
    <row r="6198" spans="13:13" x14ac:dyDescent="0.25">
      <c r="M6198" s="21"/>
    </row>
    <row r="6199" spans="13:13" x14ac:dyDescent="0.25">
      <c r="M6199" s="21"/>
    </row>
    <row r="6200" spans="13:13" x14ac:dyDescent="0.25">
      <c r="M6200" s="21"/>
    </row>
    <row r="6201" spans="13:13" x14ac:dyDescent="0.25">
      <c r="M6201" s="21"/>
    </row>
    <row r="6202" spans="13:13" x14ac:dyDescent="0.25">
      <c r="M6202" s="21"/>
    </row>
    <row r="6203" spans="13:13" x14ac:dyDescent="0.25">
      <c r="M6203" s="21"/>
    </row>
    <row r="6204" spans="13:13" x14ac:dyDescent="0.25">
      <c r="M6204" s="21"/>
    </row>
    <row r="6205" spans="13:13" x14ac:dyDescent="0.25">
      <c r="M6205" s="21"/>
    </row>
    <row r="6206" spans="13:13" x14ac:dyDescent="0.25">
      <c r="M6206" s="21"/>
    </row>
    <row r="6207" spans="13:13" x14ac:dyDescent="0.25">
      <c r="M6207" s="21"/>
    </row>
    <row r="6208" spans="13:13" x14ac:dyDescent="0.25">
      <c r="M6208" s="21"/>
    </row>
    <row r="6209" spans="13:13" x14ac:dyDescent="0.25">
      <c r="M6209" s="21"/>
    </row>
    <row r="6210" spans="13:13" x14ac:dyDescent="0.25">
      <c r="M6210" s="21"/>
    </row>
    <row r="6211" spans="13:13" x14ac:dyDescent="0.25">
      <c r="M6211" s="21"/>
    </row>
    <row r="6212" spans="13:13" x14ac:dyDescent="0.25">
      <c r="M6212" s="21"/>
    </row>
    <row r="6213" spans="13:13" x14ac:dyDescent="0.25">
      <c r="M6213" s="21"/>
    </row>
    <row r="6214" spans="13:13" x14ac:dyDescent="0.25">
      <c r="M6214" s="21"/>
    </row>
    <row r="6215" spans="13:13" x14ac:dyDescent="0.25">
      <c r="M6215" s="21"/>
    </row>
    <row r="6216" spans="13:13" x14ac:dyDescent="0.25">
      <c r="M6216" s="21"/>
    </row>
    <row r="6217" spans="13:13" x14ac:dyDescent="0.25">
      <c r="M6217" s="21"/>
    </row>
    <row r="6218" spans="13:13" x14ac:dyDescent="0.25">
      <c r="M6218" s="21"/>
    </row>
    <row r="6219" spans="13:13" x14ac:dyDescent="0.25">
      <c r="M6219" s="21"/>
    </row>
    <row r="6220" spans="13:13" x14ac:dyDescent="0.25">
      <c r="M6220" s="21"/>
    </row>
    <row r="6221" spans="13:13" x14ac:dyDescent="0.25">
      <c r="M6221" s="21"/>
    </row>
    <row r="6222" spans="13:13" x14ac:dyDescent="0.25">
      <c r="M6222" s="21"/>
    </row>
    <row r="6223" spans="13:13" x14ac:dyDescent="0.25">
      <c r="M6223" s="21"/>
    </row>
    <row r="6224" spans="13:13" x14ac:dyDescent="0.25">
      <c r="M6224" s="21"/>
    </row>
    <row r="6225" spans="13:13" x14ac:dyDescent="0.25">
      <c r="M6225" s="21"/>
    </row>
    <row r="6226" spans="13:13" x14ac:dyDescent="0.25">
      <c r="M6226" s="21"/>
    </row>
    <row r="6227" spans="13:13" x14ac:dyDescent="0.25">
      <c r="M6227" s="21"/>
    </row>
    <row r="6228" spans="13:13" x14ac:dyDescent="0.25">
      <c r="M6228" s="21"/>
    </row>
    <row r="6229" spans="13:13" x14ac:dyDescent="0.25">
      <c r="M6229" s="21"/>
    </row>
    <row r="6230" spans="13:13" x14ac:dyDescent="0.25">
      <c r="M6230" s="21"/>
    </row>
    <row r="6231" spans="13:13" x14ac:dyDescent="0.25">
      <c r="M6231" s="21"/>
    </row>
    <row r="6232" spans="13:13" x14ac:dyDescent="0.25">
      <c r="M6232" s="21"/>
    </row>
    <row r="6233" spans="13:13" x14ac:dyDescent="0.25">
      <c r="M6233" s="21"/>
    </row>
    <row r="6234" spans="13:13" x14ac:dyDescent="0.25">
      <c r="M6234" s="21"/>
    </row>
    <row r="6235" spans="13:13" x14ac:dyDescent="0.25">
      <c r="M6235" s="21"/>
    </row>
    <row r="6236" spans="13:13" x14ac:dyDescent="0.25">
      <c r="M6236" s="21"/>
    </row>
    <row r="6237" spans="13:13" x14ac:dyDescent="0.25">
      <c r="M6237" s="21"/>
    </row>
    <row r="6238" spans="13:13" x14ac:dyDescent="0.25">
      <c r="M6238" s="21"/>
    </row>
    <row r="6239" spans="13:13" x14ac:dyDescent="0.25">
      <c r="M6239" s="21"/>
    </row>
    <row r="6240" spans="13:13" x14ac:dyDescent="0.25">
      <c r="M6240" s="21"/>
    </row>
    <row r="6241" spans="13:13" x14ac:dyDescent="0.25">
      <c r="M6241" s="21"/>
    </row>
    <row r="6242" spans="13:13" x14ac:dyDescent="0.25">
      <c r="M6242" s="21"/>
    </row>
    <row r="6243" spans="13:13" x14ac:dyDescent="0.25">
      <c r="M6243" s="21"/>
    </row>
    <row r="6244" spans="13:13" x14ac:dyDescent="0.25">
      <c r="M6244" s="21"/>
    </row>
    <row r="6245" spans="13:13" x14ac:dyDescent="0.25">
      <c r="M6245" s="21"/>
    </row>
    <row r="6246" spans="13:13" x14ac:dyDescent="0.25">
      <c r="M6246" s="21"/>
    </row>
    <row r="6247" spans="13:13" x14ac:dyDescent="0.25">
      <c r="M6247" s="21"/>
    </row>
    <row r="6248" spans="13:13" x14ac:dyDescent="0.25">
      <c r="M6248" s="21"/>
    </row>
    <row r="6249" spans="13:13" x14ac:dyDescent="0.25">
      <c r="M6249" s="21"/>
    </row>
    <row r="6250" spans="13:13" x14ac:dyDescent="0.25">
      <c r="M6250" s="21"/>
    </row>
    <row r="6251" spans="13:13" x14ac:dyDescent="0.25">
      <c r="M6251" s="21"/>
    </row>
    <row r="6252" spans="13:13" x14ac:dyDescent="0.25">
      <c r="M6252" s="21"/>
    </row>
    <row r="6253" spans="13:13" x14ac:dyDescent="0.25">
      <c r="M6253" s="21"/>
    </row>
    <row r="6254" spans="13:13" x14ac:dyDescent="0.25">
      <c r="M6254" s="21"/>
    </row>
    <row r="6255" spans="13:13" x14ac:dyDescent="0.25">
      <c r="M6255" s="21"/>
    </row>
    <row r="6256" spans="13:13" x14ac:dyDescent="0.25">
      <c r="M6256" s="21"/>
    </row>
    <row r="6257" spans="13:13" x14ac:dyDescent="0.25">
      <c r="M6257" s="21"/>
    </row>
    <row r="6258" spans="13:13" x14ac:dyDescent="0.25">
      <c r="M6258" s="21"/>
    </row>
    <row r="6259" spans="13:13" x14ac:dyDescent="0.25">
      <c r="M6259" s="21"/>
    </row>
    <row r="6260" spans="13:13" x14ac:dyDescent="0.25">
      <c r="M6260" s="21"/>
    </row>
    <row r="6261" spans="13:13" x14ac:dyDescent="0.25">
      <c r="M6261" s="21"/>
    </row>
    <row r="6262" spans="13:13" x14ac:dyDescent="0.25">
      <c r="M6262" s="21"/>
    </row>
    <row r="6263" spans="13:13" x14ac:dyDescent="0.25">
      <c r="M6263" s="21"/>
    </row>
    <row r="6264" spans="13:13" x14ac:dyDescent="0.25">
      <c r="M6264" s="21"/>
    </row>
    <row r="6265" spans="13:13" x14ac:dyDescent="0.25">
      <c r="M6265" s="21"/>
    </row>
    <row r="6266" spans="13:13" x14ac:dyDescent="0.25">
      <c r="M6266" s="21"/>
    </row>
    <row r="6267" spans="13:13" x14ac:dyDescent="0.25">
      <c r="M6267" s="21"/>
    </row>
    <row r="6268" spans="13:13" x14ac:dyDescent="0.25">
      <c r="M6268" s="21"/>
    </row>
    <row r="6269" spans="13:13" x14ac:dyDescent="0.25">
      <c r="M6269" s="21"/>
    </row>
    <row r="6270" spans="13:13" x14ac:dyDescent="0.25">
      <c r="M6270" s="21"/>
    </row>
    <row r="6271" spans="13:13" x14ac:dyDescent="0.25">
      <c r="M6271" s="21"/>
    </row>
    <row r="6272" spans="13:13" x14ac:dyDescent="0.25">
      <c r="M6272" s="21"/>
    </row>
    <row r="6273" spans="13:13" x14ac:dyDescent="0.25">
      <c r="M6273" s="21"/>
    </row>
    <row r="6274" spans="13:13" x14ac:dyDescent="0.25">
      <c r="M6274" s="21"/>
    </row>
    <row r="6275" spans="13:13" x14ac:dyDescent="0.25">
      <c r="M6275" s="21"/>
    </row>
    <row r="6276" spans="13:13" x14ac:dyDescent="0.25">
      <c r="M6276" s="21"/>
    </row>
    <row r="6277" spans="13:13" x14ac:dyDescent="0.25">
      <c r="M6277" s="21"/>
    </row>
    <row r="6278" spans="13:13" x14ac:dyDescent="0.25">
      <c r="M6278" s="21"/>
    </row>
    <row r="6279" spans="13:13" x14ac:dyDescent="0.25">
      <c r="M6279" s="21"/>
    </row>
    <row r="6280" spans="13:13" x14ac:dyDescent="0.25">
      <c r="M6280" s="21"/>
    </row>
    <row r="6281" spans="13:13" x14ac:dyDescent="0.25">
      <c r="M6281" s="21"/>
    </row>
    <row r="6282" spans="13:13" x14ac:dyDescent="0.25">
      <c r="M6282" s="21"/>
    </row>
    <row r="6283" spans="13:13" x14ac:dyDescent="0.25">
      <c r="M6283" s="21"/>
    </row>
    <row r="6284" spans="13:13" x14ac:dyDescent="0.25">
      <c r="M6284" s="21"/>
    </row>
    <row r="6285" spans="13:13" x14ac:dyDescent="0.25">
      <c r="M6285" s="21"/>
    </row>
    <row r="6286" spans="13:13" x14ac:dyDescent="0.25">
      <c r="M6286" s="21"/>
    </row>
    <row r="6287" spans="13:13" x14ac:dyDescent="0.25">
      <c r="M6287" s="21"/>
    </row>
    <row r="6288" spans="13:13" x14ac:dyDescent="0.25">
      <c r="M6288" s="21"/>
    </row>
    <row r="6289" spans="13:13" x14ac:dyDescent="0.25">
      <c r="M6289" s="21"/>
    </row>
    <row r="6290" spans="13:13" x14ac:dyDescent="0.25">
      <c r="M6290" s="21"/>
    </row>
    <row r="6291" spans="13:13" x14ac:dyDescent="0.25">
      <c r="M6291" s="21"/>
    </row>
    <row r="6292" spans="13:13" x14ac:dyDescent="0.25">
      <c r="M6292" s="21"/>
    </row>
    <row r="6293" spans="13:13" x14ac:dyDescent="0.25">
      <c r="M6293" s="21"/>
    </row>
    <row r="6294" spans="13:13" x14ac:dyDescent="0.25">
      <c r="M6294" s="21"/>
    </row>
    <row r="6295" spans="13:13" x14ac:dyDescent="0.25">
      <c r="M6295" s="21"/>
    </row>
    <row r="6296" spans="13:13" x14ac:dyDescent="0.25">
      <c r="M6296" s="21"/>
    </row>
    <row r="6297" spans="13:13" x14ac:dyDescent="0.25">
      <c r="M6297" s="21"/>
    </row>
    <row r="6298" spans="13:13" x14ac:dyDescent="0.25">
      <c r="M6298" s="21"/>
    </row>
    <row r="6299" spans="13:13" x14ac:dyDescent="0.25">
      <c r="M6299" s="21"/>
    </row>
    <row r="6300" spans="13:13" x14ac:dyDescent="0.25">
      <c r="M6300" s="21"/>
    </row>
    <row r="6301" spans="13:13" x14ac:dyDescent="0.25">
      <c r="M6301" s="21"/>
    </row>
    <row r="6302" spans="13:13" x14ac:dyDescent="0.25">
      <c r="M6302" s="21"/>
    </row>
    <row r="6303" spans="13:13" x14ac:dyDescent="0.25">
      <c r="M6303" s="21"/>
    </row>
    <row r="6304" spans="13:13" x14ac:dyDescent="0.25">
      <c r="M6304" s="21"/>
    </row>
    <row r="6305" spans="13:13" x14ac:dyDescent="0.25">
      <c r="M6305" s="21"/>
    </row>
    <row r="6306" spans="13:13" x14ac:dyDescent="0.25">
      <c r="M6306" s="21"/>
    </row>
    <row r="6307" spans="13:13" x14ac:dyDescent="0.25">
      <c r="M6307" s="21"/>
    </row>
    <row r="6308" spans="13:13" x14ac:dyDescent="0.25">
      <c r="M6308" s="21"/>
    </row>
    <row r="6309" spans="13:13" x14ac:dyDescent="0.25">
      <c r="M6309" s="21"/>
    </row>
    <row r="6310" spans="13:13" x14ac:dyDescent="0.25">
      <c r="M6310" s="21"/>
    </row>
    <row r="6311" spans="13:13" x14ac:dyDescent="0.25">
      <c r="M6311" s="21"/>
    </row>
    <row r="6312" spans="13:13" x14ac:dyDescent="0.25">
      <c r="M6312" s="21"/>
    </row>
    <row r="6313" spans="13:13" x14ac:dyDescent="0.25">
      <c r="M6313" s="21"/>
    </row>
    <row r="6314" spans="13:13" x14ac:dyDescent="0.25">
      <c r="M6314" s="21"/>
    </row>
    <row r="6315" spans="13:13" x14ac:dyDescent="0.25">
      <c r="M6315" s="21"/>
    </row>
    <row r="6316" spans="13:13" x14ac:dyDescent="0.25">
      <c r="M6316" s="21"/>
    </row>
    <row r="6317" spans="13:13" x14ac:dyDescent="0.25">
      <c r="M6317" s="21"/>
    </row>
    <row r="6318" spans="13:13" x14ac:dyDescent="0.25">
      <c r="M6318" s="21"/>
    </row>
    <row r="6319" spans="13:13" x14ac:dyDescent="0.25">
      <c r="M6319" s="21"/>
    </row>
    <row r="6320" spans="13:13" x14ac:dyDescent="0.25">
      <c r="M6320" s="21"/>
    </row>
    <row r="6321" spans="13:13" x14ac:dyDescent="0.25">
      <c r="M6321" s="21"/>
    </row>
    <row r="6322" spans="13:13" x14ac:dyDescent="0.25">
      <c r="M6322" s="21"/>
    </row>
    <row r="6323" spans="13:13" x14ac:dyDescent="0.25">
      <c r="M6323" s="21"/>
    </row>
    <row r="6324" spans="13:13" x14ac:dyDescent="0.25">
      <c r="M6324" s="21"/>
    </row>
    <row r="6325" spans="13:13" x14ac:dyDescent="0.25">
      <c r="M6325" s="21"/>
    </row>
    <row r="6326" spans="13:13" x14ac:dyDescent="0.25">
      <c r="M6326" s="21"/>
    </row>
    <row r="6327" spans="13:13" x14ac:dyDescent="0.25">
      <c r="M6327" s="21"/>
    </row>
    <row r="6328" spans="13:13" x14ac:dyDescent="0.25">
      <c r="M6328" s="21"/>
    </row>
    <row r="6329" spans="13:13" x14ac:dyDescent="0.25">
      <c r="M6329" s="21"/>
    </row>
    <row r="6330" spans="13:13" x14ac:dyDescent="0.25">
      <c r="M6330" s="21"/>
    </row>
    <row r="6331" spans="13:13" x14ac:dyDescent="0.25">
      <c r="M6331" s="21"/>
    </row>
    <row r="6332" spans="13:13" x14ac:dyDescent="0.25">
      <c r="M6332" s="21"/>
    </row>
    <row r="6333" spans="13:13" x14ac:dyDescent="0.25">
      <c r="M6333" s="21"/>
    </row>
    <row r="6334" spans="13:13" x14ac:dyDescent="0.25">
      <c r="M6334" s="21"/>
    </row>
    <row r="6335" spans="13:13" x14ac:dyDescent="0.25">
      <c r="M6335" s="21"/>
    </row>
    <row r="6336" spans="13:13" x14ac:dyDescent="0.25">
      <c r="M6336" s="21"/>
    </row>
    <row r="6337" spans="13:13" x14ac:dyDescent="0.25">
      <c r="M6337" s="21"/>
    </row>
    <row r="6338" spans="13:13" x14ac:dyDescent="0.25">
      <c r="M6338" s="21"/>
    </row>
    <row r="6339" spans="13:13" x14ac:dyDescent="0.25">
      <c r="M6339" s="21"/>
    </row>
    <row r="6340" spans="13:13" x14ac:dyDescent="0.25">
      <c r="M6340" s="21"/>
    </row>
    <row r="6341" spans="13:13" x14ac:dyDescent="0.25">
      <c r="M6341" s="21"/>
    </row>
    <row r="6342" spans="13:13" x14ac:dyDescent="0.25">
      <c r="M6342" s="21"/>
    </row>
    <row r="6343" spans="13:13" x14ac:dyDescent="0.25">
      <c r="M6343" s="21"/>
    </row>
    <row r="6344" spans="13:13" x14ac:dyDescent="0.25">
      <c r="M6344" s="21"/>
    </row>
    <row r="6345" spans="13:13" x14ac:dyDescent="0.25">
      <c r="M6345" s="21"/>
    </row>
    <row r="6346" spans="13:13" x14ac:dyDescent="0.25">
      <c r="M6346" s="21"/>
    </row>
    <row r="6347" spans="13:13" x14ac:dyDescent="0.25">
      <c r="M6347" s="21"/>
    </row>
    <row r="6348" spans="13:13" x14ac:dyDescent="0.25">
      <c r="M6348" s="21"/>
    </row>
    <row r="6349" spans="13:13" x14ac:dyDescent="0.25">
      <c r="M6349" s="21"/>
    </row>
    <row r="6350" spans="13:13" x14ac:dyDescent="0.25">
      <c r="M6350" s="21"/>
    </row>
    <row r="6351" spans="13:13" x14ac:dyDescent="0.25">
      <c r="M6351" s="21"/>
    </row>
    <row r="6352" spans="13:13" x14ac:dyDescent="0.25">
      <c r="M6352" s="21"/>
    </row>
    <row r="6353" spans="13:13" x14ac:dyDescent="0.25">
      <c r="M6353" s="21"/>
    </row>
    <row r="6354" spans="13:13" x14ac:dyDescent="0.25">
      <c r="M6354" s="21"/>
    </row>
    <row r="6355" spans="13:13" x14ac:dyDescent="0.25">
      <c r="M6355" s="21"/>
    </row>
    <row r="6356" spans="13:13" x14ac:dyDescent="0.25">
      <c r="M6356" s="21"/>
    </row>
    <row r="6357" spans="13:13" x14ac:dyDescent="0.25">
      <c r="M6357" s="21"/>
    </row>
    <row r="6358" spans="13:13" x14ac:dyDescent="0.25">
      <c r="M6358" s="21"/>
    </row>
    <row r="6359" spans="13:13" x14ac:dyDescent="0.25">
      <c r="M6359" s="21"/>
    </row>
    <row r="6360" spans="13:13" x14ac:dyDescent="0.25">
      <c r="M6360" s="21"/>
    </row>
    <row r="6361" spans="13:13" x14ac:dyDescent="0.25">
      <c r="M6361" s="21"/>
    </row>
    <row r="6362" spans="13:13" x14ac:dyDescent="0.25">
      <c r="M6362" s="21"/>
    </row>
    <row r="6363" spans="13:13" x14ac:dyDescent="0.25">
      <c r="M6363" s="21"/>
    </row>
    <row r="6364" spans="13:13" x14ac:dyDescent="0.25">
      <c r="M6364" s="21"/>
    </row>
    <row r="6365" spans="13:13" x14ac:dyDescent="0.25">
      <c r="M6365" s="21"/>
    </row>
    <row r="6366" spans="13:13" x14ac:dyDescent="0.25">
      <c r="M6366" s="21"/>
    </row>
    <row r="6367" spans="13:13" x14ac:dyDescent="0.25">
      <c r="M6367" s="21"/>
    </row>
    <row r="6368" spans="13:13" x14ac:dyDescent="0.25">
      <c r="M6368" s="21"/>
    </row>
    <row r="6369" spans="13:13" x14ac:dyDescent="0.25">
      <c r="M6369" s="21"/>
    </row>
    <row r="6370" spans="13:13" x14ac:dyDescent="0.25">
      <c r="M6370" s="21"/>
    </row>
    <row r="6371" spans="13:13" x14ac:dyDescent="0.25">
      <c r="M6371" s="21"/>
    </row>
    <row r="6372" spans="13:13" x14ac:dyDescent="0.25">
      <c r="M6372" s="21"/>
    </row>
    <row r="6373" spans="13:13" x14ac:dyDescent="0.25">
      <c r="M6373" s="21"/>
    </row>
    <row r="6374" spans="13:13" x14ac:dyDescent="0.25">
      <c r="M6374" s="21"/>
    </row>
    <row r="6375" spans="13:13" x14ac:dyDescent="0.25">
      <c r="M6375" s="21"/>
    </row>
    <row r="6376" spans="13:13" x14ac:dyDescent="0.25">
      <c r="M6376" s="21"/>
    </row>
    <row r="6377" spans="13:13" x14ac:dyDescent="0.25">
      <c r="M6377" s="21"/>
    </row>
    <row r="6378" spans="13:13" x14ac:dyDescent="0.25">
      <c r="M6378" s="21"/>
    </row>
    <row r="6379" spans="13:13" x14ac:dyDescent="0.25">
      <c r="M6379" s="21"/>
    </row>
    <row r="6380" spans="13:13" x14ac:dyDescent="0.25">
      <c r="M6380" s="21"/>
    </row>
    <row r="6381" spans="13:13" x14ac:dyDescent="0.25">
      <c r="M6381" s="21"/>
    </row>
    <row r="6382" spans="13:13" x14ac:dyDescent="0.25">
      <c r="M6382" s="21"/>
    </row>
    <row r="6383" spans="13:13" x14ac:dyDescent="0.25">
      <c r="M6383" s="21"/>
    </row>
    <row r="6384" spans="13:13" x14ac:dyDescent="0.25">
      <c r="M6384" s="21"/>
    </row>
    <row r="6385" spans="13:13" x14ac:dyDescent="0.25">
      <c r="M6385" s="21"/>
    </row>
    <row r="6386" spans="13:13" x14ac:dyDescent="0.25">
      <c r="M6386" s="21"/>
    </row>
    <row r="6387" spans="13:13" x14ac:dyDescent="0.25">
      <c r="M6387" s="21"/>
    </row>
    <row r="6388" spans="13:13" x14ac:dyDescent="0.25">
      <c r="M6388" s="21"/>
    </row>
    <row r="6389" spans="13:13" x14ac:dyDescent="0.25">
      <c r="M6389" s="21"/>
    </row>
    <row r="6390" spans="13:13" x14ac:dyDescent="0.25">
      <c r="M6390" s="21"/>
    </row>
    <row r="6391" spans="13:13" x14ac:dyDescent="0.25">
      <c r="M6391" s="21"/>
    </row>
    <row r="6392" spans="13:13" x14ac:dyDescent="0.25">
      <c r="M6392" s="21"/>
    </row>
    <row r="6393" spans="13:13" x14ac:dyDescent="0.25">
      <c r="M6393" s="21"/>
    </row>
    <row r="6394" spans="13:13" x14ac:dyDescent="0.25">
      <c r="M6394" s="21"/>
    </row>
    <row r="6395" spans="13:13" x14ac:dyDescent="0.25">
      <c r="M6395" s="21"/>
    </row>
    <row r="6396" spans="13:13" x14ac:dyDescent="0.25">
      <c r="M6396" s="21"/>
    </row>
    <row r="6397" spans="13:13" x14ac:dyDescent="0.25">
      <c r="M6397" s="21"/>
    </row>
    <row r="6398" spans="13:13" x14ac:dyDescent="0.25">
      <c r="M6398" s="21"/>
    </row>
    <row r="6399" spans="13:13" x14ac:dyDescent="0.25">
      <c r="M6399" s="21"/>
    </row>
    <row r="6400" spans="13:13" x14ac:dyDescent="0.25">
      <c r="M6400" s="21"/>
    </row>
    <row r="6401" spans="13:13" x14ac:dyDescent="0.25">
      <c r="M6401" s="21"/>
    </row>
    <row r="6402" spans="13:13" x14ac:dyDescent="0.25">
      <c r="M6402" s="21"/>
    </row>
    <row r="6403" spans="13:13" x14ac:dyDescent="0.25">
      <c r="M6403" s="21"/>
    </row>
    <row r="6404" spans="13:13" x14ac:dyDescent="0.25">
      <c r="M6404" s="21"/>
    </row>
    <row r="6405" spans="13:13" x14ac:dyDescent="0.25">
      <c r="M6405" s="21"/>
    </row>
    <row r="6406" spans="13:13" x14ac:dyDescent="0.25">
      <c r="M6406" s="21"/>
    </row>
    <row r="6407" spans="13:13" x14ac:dyDescent="0.25">
      <c r="M6407" s="21"/>
    </row>
    <row r="6408" spans="13:13" x14ac:dyDescent="0.25">
      <c r="M6408" s="21"/>
    </row>
    <row r="6409" spans="13:13" x14ac:dyDescent="0.25">
      <c r="M6409" s="21"/>
    </row>
    <row r="6410" spans="13:13" x14ac:dyDescent="0.25">
      <c r="M6410" s="21"/>
    </row>
    <row r="6411" spans="13:13" x14ac:dyDescent="0.25">
      <c r="M6411" s="21"/>
    </row>
    <row r="6412" spans="13:13" x14ac:dyDescent="0.25">
      <c r="M6412" s="21"/>
    </row>
    <row r="6413" spans="13:13" x14ac:dyDescent="0.25">
      <c r="M6413" s="21"/>
    </row>
    <row r="6414" spans="13:13" x14ac:dyDescent="0.25">
      <c r="M6414" s="21"/>
    </row>
    <row r="6415" spans="13:13" x14ac:dyDescent="0.25">
      <c r="M6415" s="21"/>
    </row>
    <row r="6416" spans="13:13" x14ac:dyDescent="0.25">
      <c r="M6416" s="21"/>
    </row>
    <row r="6417" spans="13:13" x14ac:dyDescent="0.25">
      <c r="M6417" s="21"/>
    </row>
    <row r="6418" spans="13:13" x14ac:dyDescent="0.25">
      <c r="M6418" s="21"/>
    </row>
    <row r="6419" spans="13:13" x14ac:dyDescent="0.25">
      <c r="M6419" s="21"/>
    </row>
    <row r="6420" spans="13:13" x14ac:dyDescent="0.25">
      <c r="M6420" s="21"/>
    </row>
    <row r="6421" spans="13:13" x14ac:dyDescent="0.25">
      <c r="M6421" s="21"/>
    </row>
    <row r="6422" spans="13:13" x14ac:dyDescent="0.25">
      <c r="M6422" s="21"/>
    </row>
    <row r="6423" spans="13:13" x14ac:dyDescent="0.25">
      <c r="M6423" s="21"/>
    </row>
    <row r="6424" spans="13:13" x14ac:dyDescent="0.25">
      <c r="M6424" s="21"/>
    </row>
    <row r="6425" spans="13:13" x14ac:dyDescent="0.25">
      <c r="M6425" s="21"/>
    </row>
    <row r="6426" spans="13:13" x14ac:dyDescent="0.25">
      <c r="M6426" s="21"/>
    </row>
    <row r="6427" spans="13:13" x14ac:dyDescent="0.25">
      <c r="M6427" s="21"/>
    </row>
    <row r="6428" spans="13:13" x14ac:dyDescent="0.25">
      <c r="M6428" s="21"/>
    </row>
    <row r="6429" spans="13:13" x14ac:dyDescent="0.25">
      <c r="M6429" s="21"/>
    </row>
    <row r="6430" spans="13:13" x14ac:dyDescent="0.25">
      <c r="M6430" s="21"/>
    </row>
    <row r="6431" spans="13:13" x14ac:dyDescent="0.25">
      <c r="M6431" s="21"/>
    </row>
    <row r="6432" spans="13:13" x14ac:dyDescent="0.25">
      <c r="M6432" s="21"/>
    </row>
    <row r="6433" spans="13:13" x14ac:dyDescent="0.25">
      <c r="M6433" s="21"/>
    </row>
    <row r="6434" spans="13:13" x14ac:dyDescent="0.25">
      <c r="M6434" s="21"/>
    </row>
    <row r="6435" spans="13:13" x14ac:dyDescent="0.25">
      <c r="M6435" s="21"/>
    </row>
    <row r="6436" spans="13:13" x14ac:dyDescent="0.25">
      <c r="M6436" s="21"/>
    </row>
    <row r="6437" spans="13:13" x14ac:dyDescent="0.25">
      <c r="M6437" s="21"/>
    </row>
    <row r="6438" spans="13:13" x14ac:dyDescent="0.25">
      <c r="M6438" s="21"/>
    </row>
    <row r="6439" spans="13:13" x14ac:dyDescent="0.25">
      <c r="M6439" s="21"/>
    </row>
    <row r="6440" spans="13:13" x14ac:dyDescent="0.25">
      <c r="M6440" s="21"/>
    </row>
    <row r="6441" spans="13:13" x14ac:dyDescent="0.25">
      <c r="M6441" s="21"/>
    </row>
    <row r="6442" spans="13:13" x14ac:dyDescent="0.25">
      <c r="M6442" s="21"/>
    </row>
    <row r="6443" spans="13:13" x14ac:dyDescent="0.25">
      <c r="M6443" s="21"/>
    </row>
    <row r="6444" spans="13:13" x14ac:dyDescent="0.25">
      <c r="M6444" s="21"/>
    </row>
    <row r="6445" spans="13:13" x14ac:dyDescent="0.25">
      <c r="M6445" s="21"/>
    </row>
    <row r="6446" spans="13:13" x14ac:dyDescent="0.25">
      <c r="M6446" s="21"/>
    </row>
    <row r="6447" spans="13:13" x14ac:dyDescent="0.25">
      <c r="M6447" s="21"/>
    </row>
    <row r="6448" spans="13:13" x14ac:dyDescent="0.25">
      <c r="M6448" s="21"/>
    </row>
    <row r="6449" spans="13:13" x14ac:dyDescent="0.25">
      <c r="M6449" s="21"/>
    </row>
    <row r="6450" spans="13:13" x14ac:dyDescent="0.25">
      <c r="M6450" s="21"/>
    </row>
    <row r="6451" spans="13:13" x14ac:dyDescent="0.25">
      <c r="M6451" s="21"/>
    </row>
    <row r="6452" spans="13:13" x14ac:dyDescent="0.25">
      <c r="M6452" s="21"/>
    </row>
    <row r="6453" spans="13:13" x14ac:dyDescent="0.25">
      <c r="M6453" s="21"/>
    </row>
    <row r="6454" spans="13:13" x14ac:dyDescent="0.25">
      <c r="M6454" s="21"/>
    </row>
    <row r="6455" spans="13:13" x14ac:dyDescent="0.25">
      <c r="M6455" s="21"/>
    </row>
    <row r="6456" spans="13:13" x14ac:dyDescent="0.25">
      <c r="M6456" s="21"/>
    </row>
    <row r="6457" spans="13:13" x14ac:dyDescent="0.25">
      <c r="M6457" s="21"/>
    </row>
    <row r="6458" spans="13:13" x14ac:dyDescent="0.25">
      <c r="M6458" s="21"/>
    </row>
    <row r="6459" spans="13:13" x14ac:dyDescent="0.25">
      <c r="M6459" s="21"/>
    </row>
    <row r="6460" spans="13:13" x14ac:dyDescent="0.25">
      <c r="M6460" s="21"/>
    </row>
    <row r="6461" spans="13:13" x14ac:dyDescent="0.25">
      <c r="M6461" s="21"/>
    </row>
    <row r="6462" spans="13:13" x14ac:dyDescent="0.25">
      <c r="M6462" s="21"/>
    </row>
    <row r="6463" spans="13:13" x14ac:dyDescent="0.25">
      <c r="M6463" s="21"/>
    </row>
    <row r="6464" spans="13:13" x14ac:dyDescent="0.25">
      <c r="M6464" s="21"/>
    </row>
    <row r="6465" spans="13:13" x14ac:dyDescent="0.25">
      <c r="M6465" s="21"/>
    </row>
    <row r="6466" spans="13:13" x14ac:dyDescent="0.25">
      <c r="M6466" s="21"/>
    </row>
    <row r="6467" spans="13:13" x14ac:dyDescent="0.25">
      <c r="M6467" s="21"/>
    </row>
    <row r="6468" spans="13:13" x14ac:dyDescent="0.25">
      <c r="M6468" s="21"/>
    </row>
    <row r="6469" spans="13:13" x14ac:dyDescent="0.25">
      <c r="M6469" s="21"/>
    </row>
    <row r="6470" spans="13:13" x14ac:dyDescent="0.25">
      <c r="M6470" s="21"/>
    </row>
    <row r="6471" spans="13:13" x14ac:dyDescent="0.25">
      <c r="M6471" s="21"/>
    </row>
    <row r="6472" spans="13:13" x14ac:dyDescent="0.25">
      <c r="M6472" s="21"/>
    </row>
    <row r="6473" spans="13:13" x14ac:dyDescent="0.25">
      <c r="M6473" s="21"/>
    </row>
    <row r="6474" spans="13:13" x14ac:dyDescent="0.25">
      <c r="M6474" s="21"/>
    </row>
    <row r="6475" spans="13:13" x14ac:dyDescent="0.25">
      <c r="M6475" s="21"/>
    </row>
    <row r="6476" spans="13:13" x14ac:dyDescent="0.25">
      <c r="M6476" s="21"/>
    </row>
    <row r="6477" spans="13:13" x14ac:dyDescent="0.25">
      <c r="M6477" s="21"/>
    </row>
    <row r="6478" spans="13:13" x14ac:dyDescent="0.25">
      <c r="M6478" s="21"/>
    </row>
    <row r="6479" spans="13:13" x14ac:dyDescent="0.25">
      <c r="M6479" s="21"/>
    </row>
    <row r="6480" spans="13:13" x14ac:dyDescent="0.25">
      <c r="M6480" s="21"/>
    </row>
    <row r="6481" spans="13:13" x14ac:dyDescent="0.25">
      <c r="M6481" s="21"/>
    </row>
    <row r="6482" spans="13:13" x14ac:dyDescent="0.25">
      <c r="M6482" s="21"/>
    </row>
    <row r="6483" spans="13:13" x14ac:dyDescent="0.25">
      <c r="M6483" s="21"/>
    </row>
    <row r="6484" spans="13:13" x14ac:dyDescent="0.25">
      <c r="M6484" s="21"/>
    </row>
    <row r="6485" spans="13:13" x14ac:dyDescent="0.25">
      <c r="M6485" s="21"/>
    </row>
    <row r="6486" spans="13:13" x14ac:dyDescent="0.25">
      <c r="M6486" s="21"/>
    </row>
    <row r="6487" spans="13:13" x14ac:dyDescent="0.25">
      <c r="M6487" s="21"/>
    </row>
    <row r="6488" spans="13:13" x14ac:dyDescent="0.25">
      <c r="M6488" s="21"/>
    </row>
    <row r="6489" spans="13:13" x14ac:dyDescent="0.25">
      <c r="M6489" s="21"/>
    </row>
    <row r="6490" spans="13:13" x14ac:dyDescent="0.25">
      <c r="M6490" s="21"/>
    </row>
    <row r="6491" spans="13:13" x14ac:dyDescent="0.25">
      <c r="M6491" s="21"/>
    </row>
    <row r="6492" spans="13:13" x14ac:dyDescent="0.25">
      <c r="M6492" s="21"/>
    </row>
    <row r="6493" spans="13:13" x14ac:dyDescent="0.25">
      <c r="M6493" s="21"/>
    </row>
    <row r="6494" spans="13:13" x14ac:dyDescent="0.25">
      <c r="M6494" s="21"/>
    </row>
    <row r="6495" spans="13:13" x14ac:dyDescent="0.25">
      <c r="M6495" s="21"/>
    </row>
    <row r="6496" spans="13:13" x14ac:dyDescent="0.25">
      <c r="M6496" s="21"/>
    </row>
    <row r="6497" spans="13:13" x14ac:dyDescent="0.25">
      <c r="M6497" s="21"/>
    </row>
    <row r="6498" spans="13:13" x14ac:dyDescent="0.25">
      <c r="M6498" s="21"/>
    </row>
    <row r="6499" spans="13:13" x14ac:dyDescent="0.25">
      <c r="M6499" s="21"/>
    </row>
    <row r="6500" spans="13:13" x14ac:dyDescent="0.25">
      <c r="M6500" s="21"/>
    </row>
    <row r="6501" spans="13:13" x14ac:dyDescent="0.25">
      <c r="M6501" s="21"/>
    </row>
    <row r="6502" spans="13:13" x14ac:dyDescent="0.25">
      <c r="M6502" s="21"/>
    </row>
    <row r="6503" spans="13:13" x14ac:dyDescent="0.25">
      <c r="M6503" s="21"/>
    </row>
    <row r="6504" spans="13:13" x14ac:dyDescent="0.25">
      <c r="M6504" s="21"/>
    </row>
    <row r="6505" spans="13:13" x14ac:dyDescent="0.25">
      <c r="M6505" s="21"/>
    </row>
    <row r="6506" spans="13:13" x14ac:dyDescent="0.25">
      <c r="M6506" s="21"/>
    </row>
    <row r="6507" spans="13:13" x14ac:dyDescent="0.25">
      <c r="M6507" s="21"/>
    </row>
    <row r="6508" spans="13:13" x14ac:dyDescent="0.25">
      <c r="M6508" s="21"/>
    </row>
    <row r="6509" spans="13:13" x14ac:dyDescent="0.25">
      <c r="M6509" s="21"/>
    </row>
    <row r="6510" spans="13:13" x14ac:dyDescent="0.25">
      <c r="M6510" s="21"/>
    </row>
    <row r="6511" spans="13:13" x14ac:dyDescent="0.25">
      <c r="M6511" s="21"/>
    </row>
    <row r="6512" spans="13:13" x14ac:dyDescent="0.25">
      <c r="M6512" s="21"/>
    </row>
    <row r="6513" spans="13:13" x14ac:dyDescent="0.25">
      <c r="M6513" s="21"/>
    </row>
    <row r="6514" spans="13:13" x14ac:dyDescent="0.25">
      <c r="M6514" s="21"/>
    </row>
    <row r="6515" spans="13:13" x14ac:dyDescent="0.25">
      <c r="M6515" s="21"/>
    </row>
    <row r="6516" spans="13:13" x14ac:dyDescent="0.25">
      <c r="M6516" s="21"/>
    </row>
    <row r="6517" spans="13:13" x14ac:dyDescent="0.25">
      <c r="M6517" s="21"/>
    </row>
    <row r="6518" spans="13:13" x14ac:dyDescent="0.25">
      <c r="M6518" s="21"/>
    </row>
    <row r="6519" spans="13:13" x14ac:dyDescent="0.25">
      <c r="M6519" s="21"/>
    </row>
    <row r="6520" spans="13:13" x14ac:dyDescent="0.25">
      <c r="M6520" s="21"/>
    </row>
    <row r="6521" spans="13:13" x14ac:dyDescent="0.25">
      <c r="M6521" s="21"/>
    </row>
    <row r="6522" spans="13:13" x14ac:dyDescent="0.25">
      <c r="M6522" s="21"/>
    </row>
    <row r="6523" spans="13:13" x14ac:dyDescent="0.25">
      <c r="M6523" s="21"/>
    </row>
    <row r="6524" spans="13:13" x14ac:dyDescent="0.25">
      <c r="M6524" s="21"/>
    </row>
    <row r="6525" spans="13:13" x14ac:dyDescent="0.25">
      <c r="M6525" s="21"/>
    </row>
    <row r="6526" spans="13:13" x14ac:dyDescent="0.25">
      <c r="M6526" s="21"/>
    </row>
    <row r="6527" spans="13:13" x14ac:dyDescent="0.25">
      <c r="M6527" s="21"/>
    </row>
    <row r="6528" spans="13:13" x14ac:dyDescent="0.25">
      <c r="M6528" s="21"/>
    </row>
    <row r="6529" spans="13:13" x14ac:dyDescent="0.25">
      <c r="M6529" s="21"/>
    </row>
    <row r="6530" spans="13:13" x14ac:dyDescent="0.25">
      <c r="M6530" s="21"/>
    </row>
    <row r="6531" spans="13:13" x14ac:dyDescent="0.25">
      <c r="M6531" s="21"/>
    </row>
    <row r="6532" spans="13:13" x14ac:dyDescent="0.25">
      <c r="M6532" s="21"/>
    </row>
    <row r="6533" spans="13:13" x14ac:dyDescent="0.25">
      <c r="M6533" s="21"/>
    </row>
    <row r="6534" spans="13:13" x14ac:dyDescent="0.25">
      <c r="M6534" s="21"/>
    </row>
    <row r="6535" spans="13:13" x14ac:dyDescent="0.25">
      <c r="M6535" s="21"/>
    </row>
    <row r="6536" spans="13:13" x14ac:dyDescent="0.25">
      <c r="M6536" s="21"/>
    </row>
    <row r="6537" spans="13:13" x14ac:dyDescent="0.25">
      <c r="M6537" s="21"/>
    </row>
    <row r="6538" spans="13:13" x14ac:dyDescent="0.25">
      <c r="M6538" s="21"/>
    </row>
    <row r="6539" spans="13:13" x14ac:dyDescent="0.25">
      <c r="M6539" s="21"/>
    </row>
    <row r="6540" spans="13:13" x14ac:dyDescent="0.25">
      <c r="M6540" s="21"/>
    </row>
    <row r="6541" spans="13:13" x14ac:dyDescent="0.25">
      <c r="M6541" s="21"/>
    </row>
    <row r="6542" spans="13:13" x14ac:dyDescent="0.25">
      <c r="M6542" s="21"/>
    </row>
    <row r="6543" spans="13:13" x14ac:dyDescent="0.25">
      <c r="M6543" s="21"/>
    </row>
    <row r="6544" spans="13:13" x14ac:dyDescent="0.25">
      <c r="M6544" s="21"/>
    </row>
    <row r="6545" spans="13:13" x14ac:dyDescent="0.25">
      <c r="M6545" s="21"/>
    </row>
    <row r="6546" spans="13:13" x14ac:dyDescent="0.25">
      <c r="M6546" s="21"/>
    </row>
    <row r="6547" spans="13:13" x14ac:dyDescent="0.25">
      <c r="M6547" s="21"/>
    </row>
    <row r="6548" spans="13:13" x14ac:dyDescent="0.25">
      <c r="M6548" s="21"/>
    </row>
    <row r="6549" spans="13:13" x14ac:dyDescent="0.25">
      <c r="M6549" s="21"/>
    </row>
    <row r="6550" spans="13:13" x14ac:dyDescent="0.25">
      <c r="M6550" s="21"/>
    </row>
    <row r="6551" spans="13:13" x14ac:dyDescent="0.25">
      <c r="M6551" s="21"/>
    </row>
    <row r="6552" spans="13:13" x14ac:dyDescent="0.25">
      <c r="M6552" s="21"/>
    </row>
    <row r="6553" spans="13:13" x14ac:dyDescent="0.25">
      <c r="M6553" s="21"/>
    </row>
    <row r="6554" spans="13:13" x14ac:dyDescent="0.25">
      <c r="M6554" s="21"/>
    </row>
    <row r="6555" spans="13:13" x14ac:dyDescent="0.25">
      <c r="M6555" s="21"/>
    </row>
    <row r="6556" spans="13:13" x14ac:dyDescent="0.25">
      <c r="M6556" s="21"/>
    </row>
    <row r="6557" spans="13:13" x14ac:dyDescent="0.25">
      <c r="M6557" s="21"/>
    </row>
    <row r="6558" spans="13:13" x14ac:dyDescent="0.25">
      <c r="M6558" s="21"/>
    </row>
    <row r="6559" spans="13:13" x14ac:dyDescent="0.25">
      <c r="M6559" s="21"/>
    </row>
    <row r="6560" spans="13:13" x14ac:dyDescent="0.25">
      <c r="M6560" s="21"/>
    </row>
    <row r="6561" spans="13:13" x14ac:dyDescent="0.25">
      <c r="M6561" s="21"/>
    </row>
    <row r="6562" spans="13:13" x14ac:dyDescent="0.25">
      <c r="M6562" s="21"/>
    </row>
    <row r="6563" spans="13:13" x14ac:dyDescent="0.25">
      <c r="M6563" s="21"/>
    </row>
    <row r="6564" spans="13:13" x14ac:dyDescent="0.25">
      <c r="M6564" s="21"/>
    </row>
    <row r="6565" spans="13:13" x14ac:dyDescent="0.25">
      <c r="M6565" s="21"/>
    </row>
    <row r="6566" spans="13:13" x14ac:dyDescent="0.25">
      <c r="M6566" s="21"/>
    </row>
    <row r="6567" spans="13:13" x14ac:dyDescent="0.25">
      <c r="M6567" s="21"/>
    </row>
    <row r="6568" spans="13:13" x14ac:dyDescent="0.25">
      <c r="M6568" s="21"/>
    </row>
    <row r="6569" spans="13:13" x14ac:dyDescent="0.25">
      <c r="M6569" s="21"/>
    </row>
    <row r="6570" spans="13:13" x14ac:dyDescent="0.25">
      <c r="M6570" s="21"/>
    </row>
    <row r="6571" spans="13:13" x14ac:dyDescent="0.25">
      <c r="M6571" s="21"/>
    </row>
    <row r="6572" spans="13:13" x14ac:dyDescent="0.25">
      <c r="M6572" s="21"/>
    </row>
    <row r="6573" spans="13:13" x14ac:dyDescent="0.25">
      <c r="M6573" s="21"/>
    </row>
    <row r="6574" spans="13:13" x14ac:dyDescent="0.25">
      <c r="M6574" s="21"/>
    </row>
    <row r="6575" spans="13:13" x14ac:dyDescent="0.25">
      <c r="M6575" s="21"/>
    </row>
    <row r="6576" spans="13:13" x14ac:dyDescent="0.25">
      <c r="M6576" s="21"/>
    </row>
    <row r="6577" spans="13:13" x14ac:dyDescent="0.25">
      <c r="M6577" s="21"/>
    </row>
    <row r="6578" spans="13:13" x14ac:dyDescent="0.25">
      <c r="M6578" s="21"/>
    </row>
    <row r="6579" spans="13:13" x14ac:dyDescent="0.25">
      <c r="M6579" s="21"/>
    </row>
    <row r="6580" spans="13:13" x14ac:dyDescent="0.25">
      <c r="M6580" s="21"/>
    </row>
    <row r="6581" spans="13:13" x14ac:dyDescent="0.25">
      <c r="M6581" s="21"/>
    </row>
    <row r="6582" spans="13:13" x14ac:dyDescent="0.25">
      <c r="M6582" s="21"/>
    </row>
    <row r="6583" spans="13:13" x14ac:dyDescent="0.25">
      <c r="M6583" s="21"/>
    </row>
    <row r="6584" spans="13:13" x14ac:dyDescent="0.25">
      <c r="M6584" s="21"/>
    </row>
    <row r="6585" spans="13:13" x14ac:dyDescent="0.25">
      <c r="M6585" s="21"/>
    </row>
    <row r="6586" spans="13:13" x14ac:dyDescent="0.25">
      <c r="M6586" s="21"/>
    </row>
    <row r="6587" spans="13:13" x14ac:dyDescent="0.25">
      <c r="M6587" s="21"/>
    </row>
    <row r="6588" spans="13:13" x14ac:dyDescent="0.25">
      <c r="M6588" s="21"/>
    </row>
    <row r="6589" spans="13:13" x14ac:dyDescent="0.25">
      <c r="M6589" s="21"/>
    </row>
    <row r="6590" spans="13:13" x14ac:dyDescent="0.25">
      <c r="M6590" s="21"/>
    </row>
    <row r="6591" spans="13:13" x14ac:dyDescent="0.25">
      <c r="M6591" s="21"/>
    </row>
    <row r="6592" spans="13:13" x14ac:dyDescent="0.25">
      <c r="M6592" s="21"/>
    </row>
    <row r="6593" spans="13:13" x14ac:dyDescent="0.25">
      <c r="M6593" s="21"/>
    </row>
    <row r="6594" spans="13:13" x14ac:dyDescent="0.25">
      <c r="M6594" s="21"/>
    </row>
    <row r="6595" spans="13:13" x14ac:dyDescent="0.25">
      <c r="M6595" s="21"/>
    </row>
    <row r="6596" spans="13:13" x14ac:dyDescent="0.25">
      <c r="M6596" s="21"/>
    </row>
    <row r="6597" spans="13:13" x14ac:dyDescent="0.25">
      <c r="M6597" s="21"/>
    </row>
    <row r="6598" spans="13:13" x14ac:dyDescent="0.25">
      <c r="M6598" s="21"/>
    </row>
    <row r="6599" spans="13:13" x14ac:dyDescent="0.25">
      <c r="M6599" s="21"/>
    </row>
    <row r="6600" spans="13:13" x14ac:dyDescent="0.25">
      <c r="M6600" s="21"/>
    </row>
    <row r="6601" spans="13:13" x14ac:dyDescent="0.25">
      <c r="M6601" s="21"/>
    </row>
    <row r="6602" spans="13:13" x14ac:dyDescent="0.25">
      <c r="M6602" s="21"/>
    </row>
    <row r="6603" spans="13:13" x14ac:dyDescent="0.25">
      <c r="M6603" s="21"/>
    </row>
    <row r="6604" spans="13:13" x14ac:dyDescent="0.25">
      <c r="M6604" s="21"/>
    </row>
    <row r="6605" spans="13:13" x14ac:dyDescent="0.25">
      <c r="M6605" s="21"/>
    </row>
    <row r="6606" spans="13:13" x14ac:dyDescent="0.25">
      <c r="M6606" s="21"/>
    </row>
    <row r="6607" spans="13:13" x14ac:dyDescent="0.25">
      <c r="M6607" s="21"/>
    </row>
    <row r="6608" spans="13:13" x14ac:dyDescent="0.25">
      <c r="M6608" s="21"/>
    </row>
    <row r="6609" spans="13:13" x14ac:dyDescent="0.25">
      <c r="M6609" s="21"/>
    </row>
    <row r="6610" spans="13:13" x14ac:dyDescent="0.25">
      <c r="M6610" s="21"/>
    </row>
    <row r="6611" spans="13:13" x14ac:dyDescent="0.25">
      <c r="M6611" s="21"/>
    </row>
    <row r="6612" spans="13:13" x14ac:dyDescent="0.25">
      <c r="M6612" s="21"/>
    </row>
    <row r="6613" spans="13:13" x14ac:dyDescent="0.25">
      <c r="M6613" s="21"/>
    </row>
    <row r="6614" spans="13:13" x14ac:dyDescent="0.25">
      <c r="M6614" s="21"/>
    </row>
    <row r="6615" spans="13:13" x14ac:dyDescent="0.25">
      <c r="M6615" s="21"/>
    </row>
    <row r="6616" spans="13:13" x14ac:dyDescent="0.25">
      <c r="M6616" s="21"/>
    </row>
    <row r="6617" spans="13:13" x14ac:dyDescent="0.25">
      <c r="M6617" s="21"/>
    </row>
    <row r="6618" spans="13:13" x14ac:dyDescent="0.25">
      <c r="M6618" s="21"/>
    </row>
    <row r="6619" spans="13:13" x14ac:dyDescent="0.25">
      <c r="M6619" s="21"/>
    </row>
    <row r="6620" spans="13:13" x14ac:dyDescent="0.25">
      <c r="M6620" s="21"/>
    </row>
    <row r="6621" spans="13:13" x14ac:dyDescent="0.25">
      <c r="M6621" s="21"/>
    </row>
    <row r="6622" spans="13:13" x14ac:dyDescent="0.25">
      <c r="M6622" s="21"/>
    </row>
    <row r="6623" spans="13:13" x14ac:dyDescent="0.25">
      <c r="M6623" s="21"/>
    </row>
    <row r="6624" spans="13:13" x14ac:dyDescent="0.25">
      <c r="M6624" s="21"/>
    </row>
    <row r="6625" spans="13:13" x14ac:dyDescent="0.25">
      <c r="M6625" s="21"/>
    </row>
    <row r="6626" spans="13:13" x14ac:dyDescent="0.25">
      <c r="M6626" s="21"/>
    </row>
    <row r="6627" spans="13:13" x14ac:dyDescent="0.25">
      <c r="M6627" s="21"/>
    </row>
    <row r="6628" spans="13:13" x14ac:dyDescent="0.25">
      <c r="M6628" s="21"/>
    </row>
    <row r="6629" spans="13:13" x14ac:dyDescent="0.25">
      <c r="M6629" s="21"/>
    </row>
    <row r="6630" spans="13:13" x14ac:dyDescent="0.25">
      <c r="M6630" s="21"/>
    </row>
    <row r="6631" spans="13:13" x14ac:dyDescent="0.25">
      <c r="M6631" s="21"/>
    </row>
    <row r="6632" spans="13:13" x14ac:dyDescent="0.25">
      <c r="M6632" s="21"/>
    </row>
    <row r="6633" spans="13:13" x14ac:dyDescent="0.25">
      <c r="M6633" s="21"/>
    </row>
    <row r="6634" spans="13:13" x14ac:dyDescent="0.25">
      <c r="M6634" s="21"/>
    </row>
    <row r="6635" spans="13:13" x14ac:dyDescent="0.25">
      <c r="M6635" s="21"/>
    </row>
    <row r="6636" spans="13:13" x14ac:dyDescent="0.25">
      <c r="M6636" s="21"/>
    </row>
    <row r="6637" spans="13:13" x14ac:dyDescent="0.25">
      <c r="M6637" s="21"/>
    </row>
    <row r="6638" spans="13:13" x14ac:dyDescent="0.25">
      <c r="M6638" s="21"/>
    </row>
    <row r="6639" spans="13:13" x14ac:dyDescent="0.25">
      <c r="M6639" s="21"/>
    </row>
    <row r="6640" spans="13:13" x14ac:dyDescent="0.25">
      <c r="M6640" s="21"/>
    </row>
    <row r="6641" spans="13:13" x14ac:dyDescent="0.25">
      <c r="M6641" s="21"/>
    </row>
    <row r="6642" spans="13:13" x14ac:dyDescent="0.25">
      <c r="M6642" s="21"/>
    </row>
    <row r="6643" spans="13:13" x14ac:dyDescent="0.25">
      <c r="M6643" s="21"/>
    </row>
    <row r="6644" spans="13:13" x14ac:dyDescent="0.25">
      <c r="M6644" s="21"/>
    </row>
    <row r="6645" spans="13:13" x14ac:dyDescent="0.25">
      <c r="M6645" s="21"/>
    </row>
    <row r="6646" spans="13:13" x14ac:dyDescent="0.25">
      <c r="M6646" s="21"/>
    </row>
    <row r="6647" spans="13:13" x14ac:dyDescent="0.25">
      <c r="M6647" s="21"/>
    </row>
    <row r="6648" spans="13:13" x14ac:dyDescent="0.25">
      <c r="M6648" s="21"/>
    </row>
    <row r="6649" spans="13:13" x14ac:dyDescent="0.25">
      <c r="M6649" s="21"/>
    </row>
    <row r="6650" spans="13:13" x14ac:dyDescent="0.25">
      <c r="M6650" s="21"/>
    </row>
    <row r="6651" spans="13:13" x14ac:dyDescent="0.25">
      <c r="M6651" s="21"/>
    </row>
    <row r="6652" spans="13:13" x14ac:dyDescent="0.25">
      <c r="M6652" s="21"/>
    </row>
    <row r="6653" spans="13:13" x14ac:dyDescent="0.25">
      <c r="M6653" s="21"/>
    </row>
    <row r="6654" spans="13:13" x14ac:dyDescent="0.25">
      <c r="M6654" s="21"/>
    </row>
    <row r="6655" spans="13:13" x14ac:dyDescent="0.25">
      <c r="M6655" s="21"/>
    </row>
    <row r="6656" spans="13:13" x14ac:dyDescent="0.25">
      <c r="M6656" s="21"/>
    </row>
    <row r="6657" spans="13:13" x14ac:dyDescent="0.25">
      <c r="M6657" s="21"/>
    </row>
    <row r="6658" spans="13:13" x14ac:dyDescent="0.25">
      <c r="M6658" s="21"/>
    </row>
    <row r="6659" spans="13:13" x14ac:dyDescent="0.25">
      <c r="M6659" s="21"/>
    </row>
    <row r="6660" spans="13:13" x14ac:dyDescent="0.25">
      <c r="M6660" s="21"/>
    </row>
    <row r="6661" spans="13:13" x14ac:dyDescent="0.25">
      <c r="M6661" s="21"/>
    </row>
    <row r="6662" spans="13:13" x14ac:dyDescent="0.25">
      <c r="M6662" s="21"/>
    </row>
    <row r="6663" spans="13:13" x14ac:dyDescent="0.25">
      <c r="M6663" s="21"/>
    </row>
    <row r="6664" spans="13:13" x14ac:dyDescent="0.25">
      <c r="M6664" s="21"/>
    </row>
    <row r="6665" spans="13:13" x14ac:dyDescent="0.25">
      <c r="M6665" s="21"/>
    </row>
    <row r="6666" spans="13:13" x14ac:dyDescent="0.25">
      <c r="M6666" s="21"/>
    </row>
    <row r="6667" spans="13:13" x14ac:dyDescent="0.25">
      <c r="M6667" s="21"/>
    </row>
    <row r="6668" spans="13:13" x14ac:dyDescent="0.25">
      <c r="M6668" s="21"/>
    </row>
    <row r="6669" spans="13:13" x14ac:dyDescent="0.25">
      <c r="M6669" s="21"/>
    </row>
    <row r="6670" spans="13:13" x14ac:dyDescent="0.25">
      <c r="M6670" s="21"/>
    </row>
    <row r="6671" spans="13:13" x14ac:dyDescent="0.25">
      <c r="M6671" s="21"/>
    </row>
    <row r="6672" spans="13:13" x14ac:dyDescent="0.25">
      <c r="M6672" s="21"/>
    </row>
    <row r="6673" spans="13:13" x14ac:dyDescent="0.25">
      <c r="M6673" s="21"/>
    </row>
    <row r="6674" spans="13:13" x14ac:dyDescent="0.25">
      <c r="M6674" s="21"/>
    </row>
    <row r="6675" spans="13:13" x14ac:dyDescent="0.25">
      <c r="M6675" s="21"/>
    </row>
    <row r="6676" spans="13:13" x14ac:dyDescent="0.25">
      <c r="M6676" s="21"/>
    </row>
    <row r="6677" spans="13:13" x14ac:dyDescent="0.25">
      <c r="M6677" s="21"/>
    </row>
    <row r="6678" spans="13:13" x14ac:dyDescent="0.25">
      <c r="M6678" s="21"/>
    </row>
    <row r="6679" spans="13:13" x14ac:dyDescent="0.25">
      <c r="M6679" s="21"/>
    </row>
    <row r="6680" spans="13:13" x14ac:dyDescent="0.25">
      <c r="M6680" s="21"/>
    </row>
    <row r="6681" spans="13:13" x14ac:dyDescent="0.25">
      <c r="M6681" s="21"/>
    </row>
    <row r="6682" spans="13:13" x14ac:dyDescent="0.25">
      <c r="M6682" s="21"/>
    </row>
    <row r="6683" spans="13:13" x14ac:dyDescent="0.25">
      <c r="M6683" s="21"/>
    </row>
    <row r="6684" spans="13:13" x14ac:dyDescent="0.25">
      <c r="M6684" s="21"/>
    </row>
    <row r="6685" spans="13:13" x14ac:dyDescent="0.25">
      <c r="M6685" s="21"/>
    </row>
    <row r="6686" spans="13:13" x14ac:dyDescent="0.25">
      <c r="M6686" s="21"/>
    </row>
    <row r="6687" spans="13:13" x14ac:dyDescent="0.25">
      <c r="M6687" s="21"/>
    </row>
    <row r="6688" spans="13:13" x14ac:dyDescent="0.25">
      <c r="M6688" s="21"/>
    </row>
    <row r="6689" spans="13:13" x14ac:dyDescent="0.25">
      <c r="M6689" s="21"/>
    </row>
    <row r="6690" spans="13:13" x14ac:dyDescent="0.25">
      <c r="M6690" s="21"/>
    </row>
    <row r="6691" spans="13:13" x14ac:dyDescent="0.25">
      <c r="M6691" s="21"/>
    </row>
    <row r="6692" spans="13:13" x14ac:dyDescent="0.25">
      <c r="M6692" s="21"/>
    </row>
    <row r="6693" spans="13:13" x14ac:dyDescent="0.25">
      <c r="M6693" s="21"/>
    </row>
    <row r="6694" spans="13:13" x14ac:dyDescent="0.25">
      <c r="M6694" s="21"/>
    </row>
    <row r="6695" spans="13:13" x14ac:dyDescent="0.25">
      <c r="M6695" s="21"/>
    </row>
    <row r="6696" spans="13:13" x14ac:dyDescent="0.25">
      <c r="M6696" s="21"/>
    </row>
    <row r="6697" spans="13:13" x14ac:dyDescent="0.25">
      <c r="M6697" s="21"/>
    </row>
    <row r="6698" spans="13:13" x14ac:dyDescent="0.25">
      <c r="M6698" s="21"/>
    </row>
    <row r="6699" spans="13:13" x14ac:dyDescent="0.25">
      <c r="M6699" s="21"/>
    </row>
    <row r="6700" spans="13:13" x14ac:dyDescent="0.25">
      <c r="M6700" s="21"/>
    </row>
    <row r="6701" spans="13:13" x14ac:dyDescent="0.25">
      <c r="M6701" s="21"/>
    </row>
    <row r="6702" spans="13:13" x14ac:dyDescent="0.25">
      <c r="M6702" s="21"/>
    </row>
    <row r="6703" spans="13:13" x14ac:dyDescent="0.25">
      <c r="M6703" s="21"/>
    </row>
    <row r="6704" spans="13:13" x14ac:dyDescent="0.25">
      <c r="M6704" s="21"/>
    </row>
    <row r="6705" spans="13:13" x14ac:dyDescent="0.25">
      <c r="M6705" s="21"/>
    </row>
    <row r="6706" spans="13:13" x14ac:dyDescent="0.25">
      <c r="M6706" s="21"/>
    </row>
    <row r="6707" spans="13:13" x14ac:dyDescent="0.25">
      <c r="M6707" s="21"/>
    </row>
    <row r="6708" spans="13:13" x14ac:dyDescent="0.25">
      <c r="M6708" s="21"/>
    </row>
    <row r="6709" spans="13:13" x14ac:dyDescent="0.25">
      <c r="M6709" s="21"/>
    </row>
    <row r="6710" spans="13:13" x14ac:dyDescent="0.25">
      <c r="M6710" s="21"/>
    </row>
    <row r="6711" spans="13:13" x14ac:dyDescent="0.25">
      <c r="M6711" s="21"/>
    </row>
    <row r="6712" spans="13:13" x14ac:dyDescent="0.25">
      <c r="M6712" s="21"/>
    </row>
    <row r="6713" spans="13:13" x14ac:dyDescent="0.25">
      <c r="M6713" s="21"/>
    </row>
    <row r="6714" spans="13:13" x14ac:dyDescent="0.25">
      <c r="M6714" s="21"/>
    </row>
    <row r="6715" spans="13:13" x14ac:dyDescent="0.25">
      <c r="M6715" s="21"/>
    </row>
    <row r="6716" spans="13:13" x14ac:dyDescent="0.25">
      <c r="M6716" s="21"/>
    </row>
    <row r="6717" spans="13:13" x14ac:dyDescent="0.25">
      <c r="M6717" s="21"/>
    </row>
    <row r="6718" spans="13:13" x14ac:dyDescent="0.25">
      <c r="M6718" s="21"/>
    </row>
    <row r="6719" spans="13:13" x14ac:dyDescent="0.25">
      <c r="M6719" s="21"/>
    </row>
    <row r="6720" spans="13:13" x14ac:dyDescent="0.25">
      <c r="M6720" s="21"/>
    </row>
    <row r="6721" spans="13:13" x14ac:dyDescent="0.25">
      <c r="M6721" s="21"/>
    </row>
    <row r="6722" spans="13:13" x14ac:dyDescent="0.25">
      <c r="M6722" s="21"/>
    </row>
    <row r="6723" spans="13:13" x14ac:dyDescent="0.25">
      <c r="M6723" s="21"/>
    </row>
    <row r="6724" spans="13:13" x14ac:dyDescent="0.25">
      <c r="M6724" s="21"/>
    </row>
    <row r="6725" spans="13:13" x14ac:dyDescent="0.25">
      <c r="M6725" s="21"/>
    </row>
    <row r="6726" spans="13:13" x14ac:dyDescent="0.25">
      <c r="M6726" s="21"/>
    </row>
    <row r="6727" spans="13:13" x14ac:dyDescent="0.25">
      <c r="M6727" s="21"/>
    </row>
    <row r="6728" spans="13:13" x14ac:dyDescent="0.25">
      <c r="M6728" s="21"/>
    </row>
    <row r="6729" spans="13:13" x14ac:dyDescent="0.25">
      <c r="M6729" s="21"/>
    </row>
    <row r="6730" spans="13:13" x14ac:dyDescent="0.25">
      <c r="M6730" s="21"/>
    </row>
    <row r="6731" spans="13:13" x14ac:dyDescent="0.25">
      <c r="M6731" s="21"/>
    </row>
    <row r="6732" spans="13:13" x14ac:dyDescent="0.25">
      <c r="M6732" s="21"/>
    </row>
    <row r="6733" spans="13:13" x14ac:dyDescent="0.25">
      <c r="M6733" s="21"/>
    </row>
    <row r="6734" spans="13:13" x14ac:dyDescent="0.25">
      <c r="M6734" s="21"/>
    </row>
    <row r="6735" spans="13:13" x14ac:dyDescent="0.25">
      <c r="M6735" s="21"/>
    </row>
    <row r="6736" spans="13:13" x14ac:dyDescent="0.25">
      <c r="M6736" s="21"/>
    </row>
    <row r="6737" spans="13:13" x14ac:dyDescent="0.25">
      <c r="M6737" s="21"/>
    </row>
    <row r="6738" spans="13:13" x14ac:dyDescent="0.25">
      <c r="M6738" s="21"/>
    </row>
    <row r="6739" spans="13:13" x14ac:dyDescent="0.25">
      <c r="M6739" s="21"/>
    </row>
    <row r="6740" spans="13:13" x14ac:dyDescent="0.25">
      <c r="M6740" s="21"/>
    </row>
    <row r="6741" spans="13:13" x14ac:dyDescent="0.25">
      <c r="M6741" s="21"/>
    </row>
    <row r="6742" spans="13:13" x14ac:dyDescent="0.25">
      <c r="M6742" s="21"/>
    </row>
    <row r="6743" spans="13:13" x14ac:dyDescent="0.25">
      <c r="M6743" s="21"/>
    </row>
    <row r="6744" spans="13:13" x14ac:dyDescent="0.25">
      <c r="M6744" s="21"/>
    </row>
    <row r="6745" spans="13:13" x14ac:dyDescent="0.25">
      <c r="M6745" s="21"/>
    </row>
    <row r="6746" spans="13:13" x14ac:dyDescent="0.25">
      <c r="M6746" s="21"/>
    </row>
    <row r="6747" spans="13:13" x14ac:dyDescent="0.25">
      <c r="M6747" s="21"/>
    </row>
    <row r="6748" spans="13:13" x14ac:dyDescent="0.25">
      <c r="M6748" s="21"/>
    </row>
    <row r="6749" spans="13:13" x14ac:dyDescent="0.25">
      <c r="M6749" s="21"/>
    </row>
    <row r="6750" spans="13:13" x14ac:dyDescent="0.25">
      <c r="M6750" s="21"/>
    </row>
    <row r="6751" spans="13:13" x14ac:dyDescent="0.25">
      <c r="M6751" s="21"/>
    </row>
    <row r="6752" spans="13:13" x14ac:dyDescent="0.25">
      <c r="M6752" s="21"/>
    </row>
    <row r="6753" spans="13:13" x14ac:dyDescent="0.25">
      <c r="M6753" s="21"/>
    </row>
    <row r="6754" spans="13:13" x14ac:dyDescent="0.25">
      <c r="M6754" s="21"/>
    </row>
    <row r="6755" spans="13:13" x14ac:dyDescent="0.25">
      <c r="M6755" s="21"/>
    </row>
    <row r="6756" spans="13:13" x14ac:dyDescent="0.25">
      <c r="M6756" s="21"/>
    </row>
    <row r="6757" spans="13:13" x14ac:dyDescent="0.25">
      <c r="M6757" s="21"/>
    </row>
    <row r="6758" spans="13:13" x14ac:dyDescent="0.25">
      <c r="M6758" s="21"/>
    </row>
    <row r="6759" spans="13:13" x14ac:dyDescent="0.25">
      <c r="M6759" s="21"/>
    </row>
    <row r="6760" spans="13:13" x14ac:dyDescent="0.25">
      <c r="M6760" s="21"/>
    </row>
    <row r="6761" spans="13:13" x14ac:dyDescent="0.25">
      <c r="M6761" s="21"/>
    </row>
    <row r="6762" spans="13:13" x14ac:dyDescent="0.25">
      <c r="M6762" s="21"/>
    </row>
    <row r="6763" spans="13:13" x14ac:dyDescent="0.25">
      <c r="M6763" s="21"/>
    </row>
    <row r="6764" spans="13:13" x14ac:dyDescent="0.25">
      <c r="M6764" s="21"/>
    </row>
    <row r="6765" spans="13:13" x14ac:dyDescent="0.25">
      <c r="M6765" s="21"/>
    </row>
    <row r="6766" spans="13:13" x14ac:dyDescent="0.25">
      <c r="M6766" s="21"/>
    </row>
    <row r="6767" spans="13:13" x14ac:dyDescent="0.25">
      <c r="M6767" s="21"/>
    </row>
    <row r="6768" spans="13:13" x14ac:dyDescent="0.25">
      <c r="M6768" s="21"/>
    </row>
    <row r="6769" spans="13:13" x14ac:dyDescent="0.25">
      <c r="M6769" s="21"/>
    </row>
    <row r="6770" spans="13:13" x14ac:dyDescent="0.25">
      <c r="M6770" s="21"/>
    </row>
    <row r="6771" spans="13:13" x14ac:dyDescent="0.25">
      <c r="M6771" s="21"/>
    </row>
    <row r="6772" spans="13:13" x14ac:dyDescent="0.25">
      <c r="M6772" s="21"/>
    </row>
    <row r="6773" spans="13:13" x14ac:dyDescent="0.25">
      <c r="M6773" s="21"/>
    </row>
    <row r="6774" spans="13:13" x14ac:dyDescent="0.25">
      <c r="M6774" s="21"/>
    </row>
    <row r="6775" spans="13:13" x14ac:dyDescent="0.25">
      <c r="M6775" s="21"/>
    </row>
    <row r="6776" spans="13:13" x14ac:dyDescent="0.25">
      <c r="M6776" s="21"/>
    </row>
    <row r="6777" spans="13:13" x14ac:dyDescent="0.25">
      <c r="M6777" s="21"/>
    </row>
    <row r="6778" spans="13:13" x14ac:dyDescent="0.25">
      <c r="M6778" s="21"/>
    </row>
    <row r="6779" spans="13:13" x14ac:dyDescent="0.25">
      <c r="M6779" s="21"/>
    </row>
    <row r="6780" spans="13:13" x14ac:dyDescent="0.25">
      <c r="M6780" s="21"/>
    </row>
    <row r="6781" spans="13:13" x14ac:dyDescent="0.25">
      <c r="M6781" s="21"/>
    </row>
    <row r="6782" spans="13:13" x14ac:dyDescent="0.25">
      <c r="M6782" s="21"/>
    </row>
    <row r="6783" spans="13:13" x14ac:dyDescent="0.25">
      <c r="M6783" s="21"/>
    </row>
    <row r="6784" spans="13:13" x14ac:dyDescent="0.25">
      <c r="M6784" s="21"/>
    </row>
    <row r="6785" spans="13:13" x14ac:dyDescent="0.25">
      <c r="M6785" s="21"/>
    </row>
    <row r="6786" spans="13:13" x14ac:dyDescent="0.25">
      <c r="M6786" s="21"/>
    </row>
    <row r="6787" spans="13:13" x14ac:dyDescent="0.25">
      <c r="M6787" s="21"/>
    </row>
    <row r="6788" spans="13:13" x14ac:dyDescent="0.25">
      <c r="M6788" s="21"/>
    </row>
    <row r="6789" spans="13:13" x14ac:dyDescent="0.25">
      <c r="M6789" s="21"/>
    </row>
    <row r="6790" spans="13:13" x14ac:dyDescent="0.25">
      <c r="M6790" s="21"/>
    </row>
    <row r="6791" spans="13:13" x14ac:dyDescent="0.25">
      <c r="M6791" s="21"/>
    </row>
    <row r="6792" spans="13:13" x14ac:dyDescent="0.25">
      <c r="M6792" s="21"/>
    </row>
    <row r="6793" spans="13:13" x14ac:dyDescent="0.25">
      <c r="M6793" s="21"/>
    </row>
    <row r="6794" spans="13:13" x14ac:dyDescent="0.25">
      <c r="M6794" s="21"/>
    </row>
    <row r="6795" spans="13:13" x14ac:dyDescent="0.25">
      <c r="M6795" s="21"/>
    </row>
    <row r="6796" spans="13:13" x14ac:dyDescent="0.25">
      <c r="M6796" s="21"/>
    </row>
    <row r="6797" spans="13:13" x14ac:dyDescent="0.25">
      <c r="M6797" s="21"/>
    </row>
    <row r="6798" spans="13:13" x14ac:dyDescent="0.25">
      <c r="M6798" s="21"/>
    </row>
    <row r="6799" spans="13:13" x14ac:dyDescent="0.25">
      <c r="M6799" s="21"/>
    </row>
    <row r="6800" spans="13:13" x14ac:dyDescent="0.25">
      <c r="M6800" s="21"/>
    </row>
    <row r="6801" spans="13:13" x14ac:dyDescent="0.25">
      <c r="M6801" s="21"/>
    </row>
    <row r="6802" spans="13:13" x14ac:dyDescent="0.25">
      <c r="M6802" s="21"/>
    </row>
    <row r="6803" spans="13:13" x14ac:dyDescent="0.25">
      <c r="M6803" s="21"/>
    </row>
    <row r="6804" spans="13:13" x14ac:dyDescent="0.25">
      <c r="M6804" s="21"/>
    </row>
    <row r="6805" spans="13:13" x14ac:dyDescent="0.25">
      <c r="M6805" s="21"/>
    </row>
    <row r="6806" spans="13:13" x14ac:dyDescent="0.25">
      <c r="M6806" s="21"/>
    </row>
    <row r="6807" spans="13:13" x14ac:dyDescent="0.25">
      <c r="M6807" s="21"/>
    </row>
    <row r="6808" spans="13:13" x14ac:dyDescent="0.25">
      <c r="M6808" s="21"/>
    </row>
    <row r="6809" spans="13:13" x14ac:dyDescent="0.25">
      <c r="M6809" s="21"/>
    </row>
    <row r="6810" spans="13:13" x14ac:dyDescent="0.25">
      <c r="M6810" s="21"/>
    </row>
    <row r="6811" spans="13:13" x14ac:dyDescent="0.25">
      <c r="M6811" s="21"/>
    </row>
    <row r="6812" spans="13:13" x14ac:dyDescent="0.25">
      <c r="M6812" s="21"/>
    </row>
    <row r="6813" spans="13:13" x14ac:dyDescent="0.25">
      <c r="M6813" s="21"/>
    </row>
    <row r="6814" spans="13:13" x14ac:dyDescent="0.25">
      <c r="M6814" s="21"/>
    </row>
    <row r="6815" spans="13:13" x14ac:dyDescent="0.25">
      <c r="M6815" s="21"/>
    </row>
    <row r="6816" spans="13:13" x14ac:dyDescent="0.25">
      <c r="M6816" s="21"/>
    </row>
    <row r="6817" spans="13:13" x14ac:dyDescent="0.25">
      <c r="M6817" s="21"/>
    </row>
    <row r="6818" spans="13:13" x14ac:dyDescent="0.25">
      <c r="M6818" s="21"/>
    </row>
    <row r="6819" spans="13:13" x14ac:dyDescent="0.25">
      <c r="M6819" s="21"/>
    </row>
    <row r="6820" spans="13:13" x14ac:dyDescent="0.25">
      <c r="M6820" s="21"/>
    </row>
    <row r="6821" spans="13:13" x14ac:dyDescent="0.25">
      <c r="M6821" s="21"/>
    </row>
    <row r="6822" spans="13:13" x14ac:dyDescent="0.25">
      <c r="M6822" s="21"/>
    </row>
    <row r="6823" spans="13:13" x14ac:dyDescent="0.25">
      <c r="M6823" s="21"/>
    </row>
    <row r="6824" spans="13:13" x14ac:dyDescent="0.25">
      <c r="M6824" s="21"/>
    </row>
    <row r="6825" spans="13:13" x14ac:dyDescent="0.25">
      <c r="M6825" s="21"/>
    </row>
    <row r="6826" spans="13:13" x14ac:dyDescent="0.25">
      <c r="M6826" s="21"/>
    </row>
    <row r="6827" spans="13:13" x14ac:dyDescent="0.25">
      <c r="M6827" s="21"/>
    </row>
    <row r="6828" spans="13:13" x14ac:dyDescent="0.25">
      <c r="M6828" s="21"/>
    </row>
    <row r="6829" spans="13:13" x14ac:dyDescent="0.25">
      <c r="M6829" s="21"/>
    </row>
    <row r="6830" spans="13:13" x14ac:dyDescent="0.25">
      <c r="M6830" s="21"/>
    </row>
    <row r="6831" spans="13:13" x14ac:dyDescent="0.25">
      <c r="M6831" s="21"/>
    </row>
    <row r="6832" spans="13:13" x14ac:dyDescent="0.25">
      <c r="M6832" s="21"/>
    </row>
    <row r="6833" spans="13:13" x14ac:dyDescent="0.25">
      <c r="M6833" s="21"/>
    </row>
    <row r="6834" spans="13:13" x14ac:dyDescent="0.25">
      <c r="M6834" s="21"/>
    </row>
    <row r="6835" spans="13:13" x14ac:dyDescent="0.25">
      <c r="M6835" s="21"/>
    </row>
    <row r="6836" spans="13:13" x14ac:dyDescent="0.25">
      <c r="M6836" s="21"/>
    </row>
    <row r="6837" spans="13:13" x14ac:dyDescent="0.25">
      <c r="M6837" s="21"/>
    </row>
    <row r="6838" spans="13:13" x14ac:dyDescent="0.25">
      <c r="M6838" s="21"/>
    </row>
    <row r="6839" spans="13:13" x14ac:dyDescent="0.25">
      <c r="M6839" s="21"/>
    </row>
    <row r="6840" spans="13:13" x14ac:dyDescent="0.25">
      <c r="M6840" s="21"/>
    </row>
    <row r="6841" spans="13:13" x14ac:dyDescent="0.25">
      <c r="M6841" s="21"/>
    </row>
    <row r="6842" spans="13:13" x14ac:dyDescent="0.25">
      <c r="M6842" s="21"/>
    </row>
    <row r="6843" spans="13:13" x14ac:dyDescent="0.25">
      <c r="M6843" s="21"/>
    </row>
    <row r="6844" spans="13:13" x14ac:dyDescent="0.25">
      <c r="M6844" s="21"/>
    </row>
    <row r="6845" spans="13:13" x14ac:dyDescent="0.25">
      <c r="M6845" s="21"/>
    </row>
    <row r="6846" spans="13:13" x14ac:dyDescent="0.25">
      <c r="M6846" s="21"/>
    </row>
    <row r="6847" spans="13:13" x14ac:dyDescent="0.25">
      <c r="M6847" s="21"/>
    </row>
    <row r="6848" spans="13:13" x14ac:dyDescent="0.25">
      <c r="M6848" s="21"/>
    </row>
    <row r="6849" spans="13:13" x14ac:dyDescent="0.25">
      <c r="M6849" s="21"/>
    </row>
    <row r="6850" spans="13:13" x14ac:dyDescent="0.25">
      <c r="M6850" s="21"/>
    </row>
    <row r="6851" spans="13:13" x14ac:dyDescent="0.25">
      <c r="M6851" s="21"/>
    </row>
    <row r="6852" spans="13:13" x14ac:dyDescent="0.25">
      <c r="M6852" s="21"/>
    </row>
    <row r="6853" spans="13:13" x14ac:dyDescent="0.25">
      <c r="M6853" s="21"/>
    </row>
    <row r="6854" spans="13:13" x14ac:dyDescent="0.25">
      <c r="M6854" s="21"/>
    </row>
    <row r="6855" spans="13:13" x14ac:dyDescent="0.25">
      <c r="M6855" s="21"/>
    </row>
    <row r="6856" spans="13:13" x14ac:dyDescent="0.25">
      <c r="M6856" s="21"/>
    </row>
    <row r="6857" spans="13:13" x14ac:dyDescent="0.25">
      <c r="M6857" s="21"/>
    </row>
    <row r="6858" spans="13:13" x14ac:dyDescent="0.25">
      <c r="M6858" s="21"/>
    </row>
    <row r="6859" spans="13:13" x14ac:dyDescent="0.25">
      <c r="M6859" s="21"/>
    </row>
    <row r="6860" spans="13:13" x14ac:dyDescent="0.25">
      <c r="M6860" s="21"/>
    </row>
    <row r="6861" spans="13:13" x14ac:dyDescent="0.25">
      <c r="M6861" s="21"/>
    </row>
    <row r="6862" spans="13:13" x14ac:dyDescent="0.25">
      <c r="M6862" s="21"/>
    </row>
    <row r="6863" spans="13:13" x14ac:dyDescent="0.25">
      <c r="M6863" s="21"/>
    </row>
    <row r="6864" spans="13:13" x14ac:dyDescent="0.25">
      <c r="M6864" s="21"/>
    </row>
    <row r="6865" spans="13:13" x14ac:dyDescent="0.25">
      <c r="M6865" s="21"/>
    </row>
    <row r="6866" spans="13:13" x14ac:dyDescent="0.25">
      <c r="M6866" s="21"/>
    </row>
    <row r="6867" spans="13:13" x14ac:dyDescent="0.25">
      <c r="M6867" s="21"/>
    </row>
    <row r="6868" spans="13:13" x14ac:dyDescent="0.25">
      <c r="M6868" s="21"/>
    </row>
    <row r="6869" spans="13:13" x14ac:dyDescent="0.25">
      <c r="M6869" s="21"/>
    </row>
    <row r="6870" spans="13:13" x14ac:dyDescent="0.25">
      <c r="M6870" s="21"/>
    </row>
    <row r="6871" spans="13:13" x14ac:dyDescent="0.25">
      <c r="M6871" s="21"/>
    </row>
    <row r="6872" spans="13:13" x14ac:dyDescent="0.25">
      <c r="M6872" s="21"/>
    </row>
    <row r="6873" spans="13:13" x14ac:dyDescent="0.25">
      <c r="M6873" s="21"/>
    </row>
    <row r="6874" spans="13:13" x14ac:dyDescent="0.25">
      <c r="M6874" s="21"/>
    </row>
    <row r="6875" spans="13:13" x14ac:dyDescent="0.25">
      <c r="M6875" s="21"/>
    </row>
    <row r="6876" spans="13:13" x14ac:dyDescent="0.25">
      <c r="M6876" s="21"/>
    </row>
    <row r="6877" spans="13:13" x14ac:dyDescent="0.25">
      <c r="M6877" s="21"/>
    </row>
    <row r="6878" spans="13:13" x14ac:dyDescent="0.25">
      <c r="M6878" s="21"/>
    </row>
    <row r="6879" spans="13:13" x14ac:dyDescent="0.25">
      <c r="M6879" s="21"/>
    </row>
    <row r="6880" spans="13:13" x14ac:dyDescent="0.25">
      <c r="M6880" s="21"/>
    </row>
    <row r="6881" spans="13:13" x14ac:dyDescent="0.25">
      <c r="M6881" s="21"/>
    </row>
    <row r="6882" spans="13:13" x14ac:dyDescent="0.25">
      <c r="M6882" s="21"/>
    </row>
    <row r="6883" spans="13:13" x14ac:dyDescent="0.25">
      <c r="M6883" s="21"/>
    </row>
    <row r="6884" spans="13:13" x14ac:dyDescent="0.25">
      <c r="M6884" s="21"/>
    </row>
    <row r="6885" spans="13:13" x14ac:dyDescent="0.25">
      <c r="M6885" s="21"/>
    </row>
    <row r="6886" spans="13:13" x14ac:dyDescent="0.25">
      <c r="M6886" s="21"/>
    </row>
    <row r="6887" spans="13:13" x14ac:dyDescent="0.25">
      <c r="M6887" s="21"/>
    </row>
    <row r="6888" spans="13:13" x14ac:dyDescent="0.25">
      <c r="M6888" s="21"/>
    </row>
    <row r="6889" spans="13:13" x14ac:dyDescent="0.25">
      <c r="M6889" s="21"/>
    </row>
    <row r="6890" spans="13:13" x14ac:dyDescent="0.25">
      <c r="M6890" s="21"/>
    </row>
    <row r="6891" spans="13:13" x14ac:dyDescent="0.25">
      <c r="M6891" s="21"/>
    </row>
    <row r="6892" spans="13:13" x14ac:dyDescent="0.25">
      <c r="M6892" s="21"/>
    </row>
    <row r="6893" spans="13:13" x14ac:dyDescent="0.25">
      <c r="M6893" s="21"/>
    </row>
    <row r="6894" spans="13:13" x14ac:dyDescent="0.25">
      <c r="M6894" s="21"/>
    </row>
    <row r="6895" spans="13:13" x14ac:dyDescent="0.25">
      <c r="M6895" s="21"/>
    </row>
    <row r="6896" spans="13:13" x14ac:dyDescent="0.25">
      <c r="M6896" s="21"/>
    </row>
    <row r="6897" spans="13:13" x14ac:dyDescent="0.25">
      <c r="M6897" s="21"/>
    </row>
    <row r="6898" spans="13:13" x14ac:dyDescent="0.25">
      <c r="M6898" s="21"/>
    </row>
    <row r="6899" spans="13:13" x14ac:dyDescent="0.25">
      <c r="M6899" s="21"/>
    </row>
    <row r="6900" spans="13:13" x14ac:dyDescent="0.25">
      <c r="M6900" s="21"/>
    </row>
    <row r="6901" spans="13:13" x14ac:dyDescent="0.25">
      <c r="M6901" s="21"/>
    </row>
    <row r="6902" spans="13:13" x14ac:dyDescent="0.25">
      <c r="M6902" s="21"/>
    </row>
    <row r="6903" spans="13:13" x14ac:dyDescent="0.25">
      <c r="M6903" s="21"/>
    </row>
    <row r="6904" spans="13:13" x14ac:dyDescent="0.25">
      <c r="M6904" s="21"/>
    </row>
    <row r="6905" spans="13:13" x14ac:dyDescent="0.25">
      <c r="M6905" s="21"/>
    </row>
    <row r="6906" spans="13:13" x14ac:dyDescent="0.25">
      <c r="M6906" s="21"/>
    </row>
    <row r="6907" spans="13:13" x14ac:dyDescent="0.25">
      <c r="M6907" s="21"/>
    </row>
    <row r="6908" spans="13:13" x14ac:dyDescent="0.25">
      <c r="M6908" s="21"/>
    </row>
    <row r="6909" spans="13:13" x14ac:dyDescent="0.25">
      <c r="M6909" s="21"/>
    </row>
    <row r="6910" spans="13:13" x14ac:dyDescent="0.25">
      <c r="M6910" s="21"/>
    </row>
    <row r="6911" spans="13:13" x14ac:dyDescent="0.25">
      <c r="M6911" s="21"/>
    </row>
    <row r="6912" spans="13:13" x14ac:dyDescent="0.25">
      <c r="M6912" s="21"/>
    </row>
    <row r="6913" spans="13:13" x14ac:dyDescent="0.25">
      <c r="M6913" s="21"/>
    </row>
    <row r="6914" spans="13:13" x14ac:dyDescent="0.25">
      <c r="M6914" s="21"/>
    </row>
    <row r="6915" spans="13:13" x14ac:dyDescent="0.25">
      <c r="M6915" s="21"/>
    </row>
    <row r="6916" spans="13:13" x14ac:dyDescent="0.25">
      <c r="M6916" s="21"/>
    </row>
    <row r="6917" spans="13:13" x14ac:dyDescent="0.25">
      <c r="M6917" s="21"/>
    </row>
    <row r="6918" spans="13:13" x14ac:dyDescent="0.25">
      <c r="M6918" s="21"/>
    </row>
    <row r="6919" spans="13:13" x14ac:dyDescent="0.25">
      <c r="M6919" s="21"/>
    </row>
    <row r="6920" spans="13:13" x14ac:dyDescent="0.25">
      <c r="M6920" s="21"/>
    </row>
    <row r="6921" spans="13:13" x14ac:dyDescent="0.25">
      <c r="M6921" s="21"/>
    </row>
    <row r="6922" spans="13:13" x14ac:dyDescent="0.25">
      <c r="M6922" s="21"/>
    </row>
    <row r="6923" spans="13:13" x14ac:dyDescent="0.25">
      <c r="M6923" s="21"/>
    </row>
    <row r="6924" spans="13:13" x14ac:dyDescent="0.25">
      <c r="M6924" s="21"/>
    </row>
    <row r="6925" spans="13:13" x14ac:dyDescent="0.25">
      <c r="M6925" s="21"/>
    </row>
    <row r="6926" spans="13:13" x14ac:dyDescent="0.25">
      <c r="M6926" s="21"/>
    </row>
    <row r="6927" spans="13:13" x14ac:dyDescent="0.25">
      <c r="M6927" s="21"/>
    </row>
    <row r="6928" spans="13:13" x14ac:dyDescent="0.25">
      <c r="M6928" s="21"/>
    </row>
    <row r="6929" spans="13:13" x14ac:dyDescent="0.25">
      <c r="M6929" s="21"/>
    </row>
    <row r="6930" spans="13:13" x14ac:dyDescent="0.25">
      <c r="M6930" s="21"/>
    </row>
    <row r="6931" spans="13:13" x14ac:dyDescent="0.25">
      <c r="M6931" s="21"/>
    </row>
    <row r="6932" spans="13:13" x14ac:dyDescent="0.25">
      <c r="M6932" s="21"/>
    </row>
    <row r="6933" spans="13:13" x14ac:dyDescent="0.25">
      <c r="M6933" s="21"/>
    </row>
    <row r="6934" spans="13:13" x14ac:dyDescent="0.25">
      <c r="M6934" s="21"/>
    </row>
    <row r="6935" spans="13:13" x14ac:dyDescent="0.25">
      <c r="M6935" s="21"/>
    </row>
    <row r="6936" spans="13:13" x14ac:dyDescent="0.25">
      <c r="M6936" s="21"/>
    </row>
    <row r="6937" spans="13:13" x14ac:dyDescent="0.25">
      <c r="M6937" s="21"/>
    </row>
    <row r="6938" spans="13:13" x14ac:dyDescent="0.25">
      <c r="M6938" s="21"/>
    </row>
    <row r="6939" spans="13:13" x14ac:dyDescent="0.25">
      <c r="M6939" s="21"/>
    </row>
    <row r="6940" spans="13:13" x14ac:dyDescent="0.25">
      <c r="M6940" s="21"/>
    </row>
    <row r="6941" spans="13:13" x14ac:dyDescent="0.25">
      <c r="M6941" s="21"/>
    </row>
    <row r="6942" spans="13:13" x14ac:dyDescent="0.25">
      <c r="M6942" s="21"/>
    </row>
    <row r="6943" spans="13:13" x14ac:dyDescent="0.25">
      <c r="M6943" s="21"/>
    </row>
    <row r="6944" spans="13:13" x14ac:dyDescent="0.25">
      <c r="M6944" s="21"/>
    </row>
    <row r="6945" spans="13:13" x14ac:dyDescent="0.25">
      <c r="M6945" s="21"/>
    </row>
    <row r="6946" spans="13:13" x14ac:dyDescent="0.25">
      <c r="M6946" s="21"/>
    </row>
    <row r="6947" spans="13:13" x14ac:dyDescent="0.25">
      <c r="M6947" s="21"/>
    </row>
    <row r="6948" spans="13:13" x14ac:dyDescent="0.25">
      <c r="M6948" s="21"/>
    </row>
    <row r="6949" spans="13:13" x14ac:dyDescent="0.25">
      <c r="M6949" s="21"/>
    </row>
    <row r="6950" spans="13:13" x14ac:dyDescent="0.25">
      <c r="M6950" s="21"/>
    </row>
    <row r="6951" spans="13:13" x14ac:dyDescent="0.25">
      <c r="M6951" s="21"/>
    </row>
    <row r="6952" spans="13:13" x14ac:dyDescent="0.25">
      <c r="M6952" s="21"/>
    </row>
    <row r="6953" spans="13:13" x14ac:dyDescent="0.25">
      <c r="M6953" s="21"/>
    </row>
    <row r="6954" spans="13:13" x14ac:dyDescent="0.25">
      <c r="M6954" s="21"/>
    </row>
    <row r="6955" spans="13:13" x14ac:dyDescent="0.25">
      <c r="M6955" s="21"/>
    </row>
    <row r="6956" spans="13:13" x14ac:dyDescent="0.25">
      <c r="M6956" s="21"/>
    </row>
    <row r="6957" spans="13:13" x14ac:dyDescent="0.25">
      <c r="M6957" s="21"/>
    </row>
    <row r="6958" spans="13:13" x14ac:dyDescent="0.25">
      <c r="M6958" s="21"/>
    </row>
    <row r="6959" spans="13:13" x14ac:dyDescent="0.25">
      <c r="M6959" s="21"/>
    </row>
    <row r="6960" spans="13:13" x14ac:dyDescent="0.25">
      <c r="M6960" s="21"/>
    </row>
    <row r="6961" spans="13:13" x14ac:dyDescent="0.25">
      <c r="M6961" s="21"/>
    </row>
    <row r="6962" spans="13:13" x14ac:dyDescent="0.25">
      <c r="M6962" s="21"/>
    </row>
    <row r="6963" spans="13:13" x14ac:dyDescent="0.25">
      <c r="M6963" s="21"/>
    </row>
    <row r="6964" spans="13:13" x14ac:dyDescent="0.25">
      <c r="M6964" s="21"/>
    </row>
    <row r="6965" spans="13:13" x14ac:dyDescent="0.25">
      <c r="M6965" s="21"/>
    </row>
    <row r="6966" spans="13:13" x14ac:dyDescent="0.25">
      <c r="M6966" s="21"/>
    </row>
    <row r="6967" spans="13:13" x14ac:dyDescent="0.25">
      <c r="M6967" s="21"/>
    </row>
    <row r="6968" spans="13:13" x14ac:dyDescent="0.25">
      <c r="M6968" s="21"/>
    </row>
    <row r="6969" spans="13:13" x14ac:dyDescent="0.25">
      <c r="M6969" s="21"/>
    </row>
    <row r="6970" spans="13:13" x14ac:dyDescent="0.25">
      <c r="M6970" s="21"/>
    </row>
    <row r="6971" spans="13:13" x14ac:dyDescent="0.25">
      <c r="M6971" s="21"/>
    </row>
    <row r="6972" spans="13:13" x14ac:dyDescent="0.25">
      <c r="M6972" s="21"/>
    </row>
    <row r="6973" spans="13:13" x14ac:dyDescent="0.25">
      <c r="M6973" s="21"/>
    </row>
    <row r="6974" spans="13:13" x14ac:dyDescent="0.25">
      <c r="M6974" s="21"/>
    </row>
    <row r="6975" spans="13:13" x14ac:dyDescent="0.25">
      <c r="M6975" s="21"/>
    </row>
    <row r="6976" spans="13:13" x14ac:dyDescent="0.25">
      <c r="M6976" s="21"/>
    </row>
    <row r="6977" spans="13:13" x14ac:dyDescent="0.25">
      <c r="M6977" s="21"/>
    </row>
    <row r="6978" spans="13:13" x14ac:dyDescent="0.25">
      <c r="M6978" s="21"/>
    </row>
    <row r="6979" spans="13:13" x14ac:dyDescent="0.25">
      <c r="M6979" s="21"/>
    </row>
    <row r="6980" spans="13:13" x14ac:dyDescent="0.25">
      <c r="M6980" s="21"/>
    </row>
    <row r="6981" spans="13:13" x14ac:dyDescent="0.25">
      <c r="M6981" s="21"/>
    </row>
    <row r="6982" spans="13:13" x14ac:dyDescent="0.25">
      <c r="M6982" s="21"/>
    </row>
    <row r="6983" spans="13:13" x14ac:dyDescent="0.25">
      <c r="M6983" s="21"/>
    </row>
    <row r="6984" spans="13:13" x14ac:dyDescent="0.25">
      <c r="M6984" s="21"/>
    </row>
    <row r="6985" spans="13:13" x14ac:dyDescent="0.25">
      <c r="M6985" s="21"/>
    </row>
    <row r="6986" spans="13:13" x14ac:dyDescent="0.25">
      <c r="M6986" s="21"/>
    </row>
    <row r="6987" spans="13:13" x14ac:dyDescent="0.25">
      <c r="M6987" s="21"/>
    </row>
    <row r="6988" spans="13:13" x14ac:dyDescent="0.25">
      <c r="M6988" s="21"/>
    </row>
    <row r="6989" spans="13:13" x14ac:dyDescent="0.25">
      <c r="M6989" s="21"/>
    </row>
    <row r="6990" spans="13:13" x14ac:dyDescent="0.25">
      <c r="M6990" s="21"/>
    </row>
    <row r="6991" spans="13:13" x14ac:dyDescent="0.25">
      <c r="M6991" s="21"/>
    </row>
    <row r="6992" spans="13:13" x14ac:dyDescent="0.25">
      <c r="M6992" s="21"/>
    </row>
    <row r="6993" spans="13:13" x14ac:dyDescent="0.25">
      <c r="M6993" s="21"/>
    </row>
    <row r="6994" spans="13:13" x14ac:dyDescent="0.25">
      <c r="M6994" s="21"/>
    </row>
    <row r="6995" spans="13:13" x14ac:dyDescent="0.25">
      <c r="M6995" s="21"/>
    </row>
    <row r="6996" spans="13:13" x14ac:dyDescent="0.25">
      <c r="M6996" s="21"/>
    </row>
    <row r="6997" spans="13:13" x14ac:dyDescent="0.25">
      <c r="M6997" s="21"/>
    </row>
    <row r="6998" spans="13:13" x14ac:dyDescent="0.25">
      <c r="M6998" s="21"/>
    </row>
    <row r="6999" spans="13:13" x14ac:dyDescent="0.25">
      <c r="M6999" s="21"/>
    </row>
    <row r="7000" spans="13:13" x14ac:dyDescent="0.25">
      <c r="M7000" s="21"/>
    </row>
    <row r="7001" spans="13:13" x14ac:dyDescent="0.25">
      <c r="M7001" s="21"/>
    </row>
    <row r="7002" spans="13:13" x14ac:dyDescent="0.25">
      <c r="M7002" s="21"/>
    </row>
    <row r="7003" spans="13:13" x14ac:dyDescent="0.25">
      <c r="M7003" s="21"/>
    </row>
    <row r="7004" spans="13:13" x14ac:dyDescent="0.25">
      <c r="M7004" s="21"/>
    </row>
    <row r="7005" spans="13:13" x14ac:dyDescent="0.25">
      <c r="M7005" s="21"/>
    </row>
    <row r="7006" spans="13:13" x14ac:dyDescent="0.25">
      <c r="M7006" s="21"/>
    </row>
    <row r="7007" spans="13:13" x14ac:dyDescent="0.25">
      <c r="M7007" s="21"/>
    </row>
    <row r="7008" spans="13:13" x14ac:dyDescent="0.25">
      <c r="M7008" s="21"/>
    </row>
    <row r="7009" spans="13:13" x14ac:dyDescent="0.25">
      <c r="M7009" s="21"/>
    </row>
    <row r="7010" spans="13:13" x14ac:dyDescent="0.25">
      <c r="M7010" s="21"/>
    </row>
    <row r="7011" spans="13:13" x14ac:dyDescent="0.25">
      <c r="M7011" s="21"/>
    </row>
    <row r="7012" spans="13:13" x14ac:dyDescent="0.25">
      <c r="M7012" s="21"/>
    </row>
    <row r="7013" spans="13:13" x14ac:dyDescent="0.25">
      <c r="M7013" s="21"/>
    </row>
    <row r="7014" spans="13:13" x14ac:dyDescent="0.25">
      <c r="M7014" s="21"/>
    </row>
    <row r="7015" spans="13:13" x14ac:dyDescent="0.25">
      <c r="M7015" s="21"/>
    </row>
    <row r="7016" spans="13:13" x14ac:dyDescent="0.25">
      <c r="M7016" s="21"/>
    </row>
    <row r="7017" spans="13:13" x14ac:dyDescent="0.25">
      <c r="M7017" s="21"/>
    </row>
    <row r="7018" spans="13:13" x14ac:dyDescent="0.25">
      <c r="M7018" s="21"/>
    </row>
    <row r="7019" spans="13:13" x14ac:dyDescent="0.25">
      <c r="M7019" s="21"/>
    </row>
    <row r="7020" spans="13:13" x14ac:dyDescent="0.25">
      <c r="M7020" s="21"/>
    </row>
    <row r="7021" spans="13:13" x14ac:dyDescent="0.25">
      <c r="M7021" s="21"/>
    </row>
    <row r="7022" spans="13:13" x14ac:dyDescent="0.25">
      <c r="M7022" s="21"/>
    </row>
    <row r="7023" spans="13:13" x14ac:dyDescent="0.25">
      <c r="M7023" s="21"/>
    </row>
    <row r="7024" spans="13:13" x14ac:dyDescent="0.25">
      <c r="M7024" s="21"/>
    </row>
    <row r="7025" spans="13:13" x14ac:dyDescent="0.25">
      <c r="M7025" s="21"/>
    </row>
    <row r="7026" spans="13:13" x14ac:dyDescent="0.25">
      <c r="M7026" s="21"/>
    </row>
    <row r="7027" spans="13:13" x14ac:dyDescent="0.25">
      <c r="M7027" s="21"/>
    </row>
    <row r="7028" spans="13:13" x14ac:dyDescent="0.25">
      <c r="M7028" s="21"/>
    </row>
    <row r="7029" spans="13:13" x14ac:dyDescent="0.25">
      <c r="M7029" s="21"/>
    </row>
    <row r="7030" spans="13:13" x14ac:dyDescent="0.25">
      <c r="M7030" s="21"/>
    </row>
    <row r="7031" spans="13:13" x14ac:dyDescent="0.25">
      <c r="M7031" s="21"/>
    </row>
    <row r="7032" spans="13:13" x14ac:dyDescent="0.25">
      <c r="M7032" s="21"/>
    </row>
    <row r="7033" spans="13:13" x14ac:dyDescent="0.25">
      <c r="M7033" s="21"/>
    </row>
    <row r="7034" spans="13:13" x14ac:dyDescent="0.25">
      <c r="M7034" s="21"/>
    </row>
    <row r="7035" spans="13:13" x14ac:dyDescent="0.25">
      <c r="M7035" s="21"/>
    </row>
    <row r="7036" spans="13:13" x14ac:dyDescent="0.25">
      <c r="M7036" s="21"/>
    </row>
    <row r="7037" spans="13:13" x14ac:dyDescent="0.25">
      <c r="M7037" s="21"/>
    </row>
    <row r="7038" spans="13:13" x14ac:dyDescent="0.25">
      <c r="M7038" s="21"/>
    </row>
    <row r="7039" spans="13:13" x14ac:dyDescent="0.25">
      <c r="M7039" s="21"/>
    </row>
    <row r="7040" spans="13:13" x14ac:dyDescent="0.25">
      <c r="M7040" s="21"/>
    </row>
    <row r="7041" spans="13:13" x14ac:dyDescent="0.25">
      <c r="M7041" s="21"/>
    </row>
    <row r="7042" spans="13:13" x14ac:dyDescent="0.25">
      <c r="M7042" s="21"/>
    </row>
    <row r="7043" spans="13:13" x14ac:dyDescent="0.25">
      <c r="M7043" s="21"/>
    </row>
    <row r="7044" spans="13:13" x14ac:dyDescent="0.25">
      <c r="M7044" s="21"/>
    </row>
    <row r="7045" spans="13:13" x14ac:dyDescent="0.25">
      <c r="M7045" s="21"/>
    </row>
    <row r="7046" spans="13:13" x14ac:dyDescent="0.25">
      <c r="M7046" s="21"/>
    </row>
    <row r="7047" spans="13:13" x14ac:dyDescent="0.25">
      <c r="M7047" s="21"/>
    </row>
    <row r="7048" spans="13:13" x14ac:dyDescent="0.25">
      <c r="M7048" s="21"/>
    </row>
    <row r="7049" spans="13:13" x14ac:dyDescent="0.25">
      <c r="M7049" s="21"/>
    </row>
    <row r="7050" spans="13:13" x14ac:dyDescent="0.25">
      <c r="M7050" s="21"/>
    </row>
    <row r="7051" spans="13:13" x14ac:dyDescent="0.25">
      <c r="M7051" s="21"/>
    </row>
    <row r="7052" spans="13:13" x14ac:dyDescent="0.25">
      <c r="M7052" s="21"/>
    </row>
    <row r="7053" spans="13:13" x14ac:dyDescent="0.25">
      <c r="M7053" s="21"/>
    </row>
    <row r="7054" spans="13:13" x14ac:dyDescent="0.25">
      <c r="M7054" s="21"/>
    </row>
    <row r="7055" spans="13:13" x14ac:dyDescent="0.25">
      <c r="M7055" s="21"/>
    </row>
    <row r="7056" spans="13:13" x14ac:dyDescent="0.25">
      <c r="M7056" s="21"/>
    </row>
    <row r="7057" spans="13:13" x14ac:dyDescent="0.25">
      <c r="M7057" s="21"/>
    </row>
    <row r="7058" spans="13:13" x14ac:dyDescent="0.25">
      <c r="M7058" s="21"/>
    </row>
    <row r="7059" spans="13:13" x14ac:dyDescent="0.25">
      <c r="M7059" s="21"/>
    </row>
    <row r="7060" spans="13:13" x14ac:dyDescent="0.25">
      <c r="M7060" s="21"/>
    </row>
    <row r="7061" spans="13:13" x14ac:dyDescent="0.25">
      <c r="M7061" s="21"/>
    </row>
    <row r="7062" spans="13:13" x14ac:dyDescent="0.25">
      <c r="M7062" s="21"/>
    </row>
    <row r="7063" spans="13:13" x14ac:dyDescent="0.25">
      <c r="M7063" s="21"/>
    </row>
    <row r="7064" spans="13:13" x14ac:dyDescent="0.25">
      <c r="M7064" s="21"/>
    </row>
    <row r="7065" spans="13:13" x14ac:dyDescent="0.25">
      <c r="M7065" s="21"/>
    </row>
    <row r="7066" spans="13:13" x14ac:dyDescent="0.25">
      <c r="M7066" s="21"/>
    </row>
    <row r="7067" spans="13:13" x14ac:dyDescent="0.25">
      <c r="M7067" s="21"/>
    </row>
    <row r="7068" spans="13:13" x14ac:dyDescent="0.25">
      <c r="M7068" s="21"/>
    </row>
    <row r="7069" spans="13:13" x14ac:dyDescent="0.25">
      <c r="M7069" s="21"/>
    </row>
    <row r="7070" spans="13:13" x14ac:dyDescent="0.25">
      <c r="M7070" s="21"/>
    </row>
    <row r="7071" spans="13:13" x14ac:dyDescent="0.25">
      <c r="M7071" s="21"/>
    </row>
    <row r="7072" spans="13:13" x14ac:dyDescent="0.25">
      <c r="M7072" s="21"/>
    </row>
    <row r="7073" spans="13:13" x14ac:dyDescent="0.25">
      <c r="M7073" s="21"/>
    </row>
    <row r="7074" spans="13:13" x14ac:dyDescent="0.25">
      <c r="M7074" s="21"/>
    </row>
    <row r="7075" spans="13:13" x14ac:dyDescent="0.25">
      <c r="M7075" s="21"/>
    </row>
    <row r="7076" spans="13:13" x14ac:dyDescent="0.25">
      <c r="M7076" s="21"/>
    </row>
    <row r="7077" spans="13:13" x14ac:dyDescent="0.25">
      <c r="M7077" s="21"/>
    </row>
    <row r="7078" spans="13:13" x14ac:dyDescent="0.25">
      <c r="M7078" s="21"/>
    </row>
    <row r="7079" spans="13:13" x14ac:dyDescent="0.25">
      <c r="M7079" s="21"/>
    </row>
    <row r="7080" spans="13:13" x14ac:dyDescent="0.25">
      <c r="M7080" s="21"/>
    </row>
    <row r="7081" spans="13:13" x14ac:dyDescent="0.25">
      <c r="M7081" s="21"/>
    </row>
    <row r="7082" spans="13:13" x14ac:dyDescent="0.25">
      <c r="M7082" s="21"/>
    </row>
    <row r="7083" spans="13:13" x14ac:dyDescent="0.25">
      <c r="M7083" s="21"/>
    </row>
    <row r="7084" spans="13:13" x14ac:dyDescent="0.25">
      <c r="M7084" s="21"/>
    </row>
    <row r="7085" spans="13:13" x14ac:dyDescent="0.25">
      <c r="M7085" s="21"/>
    </row>
    <row r="7086" spans="13:13" x14ac:dyDescent="0.25">
      <c r="M7086" s="21"/>
    </row>
    <row r="7087" spans="13:13" x14ac:dyDescent="0.25">
      <c r="M7087" s="21"/>
    </row>
    <row r="7088" spans="13:13" x14ac:dyDescent="0.25">
      <c r="M7088" s="21"/>
    </row>
    <row r="7089" spans="13:13" x14ac:dyDescent="0.25">
      <c r="M7089" s="21"/>
    </row>
    <row r="7090" spans="13:13" x14ac:dyDescent="0.25">
      <c r="M7090" s="21"/>
    </row>
    <row r="7091" spans="13:13" x14ac:dyDescent="0.25">
      <c r="M7091" s="21"/>
    </row>
    <row r="7092" spans="13:13" x14ac:dyDescent="0.25">
      <c r="M7092" s="21"/>
    </row>
    <row r="7093" spans="13:13" x14ac:dyDescent="0.25">
      <c r="M7093" s="21"/>
    </row>
    <row r="7094" spans="13:13" x14ac:dyDescent="0.25">
      <c r="M7094" s="21"/>
    </row>
    <row r="7095" spans="13:13" x14ac:dyDescent="0.25">
      <c r="M7095" s="21"/>
    </row>
    <row r="7096" spans="13:13" x14ac:dyDescent="0.25">
      <c r="M7096" s="21"/>
    </row>
    <row r="7097" spans="13:13" x14ac:dyDescent="0.25">
      <c r="M7097" s="21"/>
    </row>
    <row r="7098" spans="13:13" x14ac:dyDescent="0.25">
      <c r="M7098" s="21"/>
    </row>
    <row r="7099" spans="13:13" x14ac:dyDescent="0.25">
      <c r="M7099" s="21"/>
    </row>
    <row r="7100" spans="13:13" x14ac:dyDescent="0.25">
      <c r="M7100" s="21"/>
    </row>
    <row r="7101" spans="13:13" x14ac:dyDescent="0.25">
      <c r="M7101" s="21"/>
    </row>
    <row r="7102" spans="13:13" x14ac:dyDescent="0.25">
      <c r="M7102" s="21"/>
    </row>
    <row r="7103" spans="13:13" x14ac:dyDescent="0.25">
      <c r="M7103" s="21"/>
    </row>
    <row r="7104" spans="13:13" x14ac:dyDescent="0.25">
      <c r="M7104" s="21"/>
    </row>
    <row r="7105" spans="13:13" x14ac:dyDescent="0.25">
      <c r="M7105" s="21"/>
    </row>
    <row r="7106" spans="13:13" x14ac:dyDescent="0.25">
      <c r="M7106" s="21"/>
    </row>
    <row r="7107" spans="13:13" x14ac:dyDescent="0.25">
      <c r="M7107" s="21"/>
    </row>
    <row r="7108" spans="13:13" x14ac:dyDescent="0.25">
      <c r="M7108" s="21"/>
    </row>
    <row r="7109" spans="13:13" x14ac:dyDescent="0.25">
      <c r="M7109" s="21"/>
    </row>
    <row r="7110" spans="13:13" x14ac:dyDescent="0.25">
      <c r="M7110" s="21"/>
    </row>
    <row r="7111" spans="13:13" x14ac:dyDescent="0.25">
      <c r="M7111" s="21"/>
    </row>
    <row r="7112" spans="13:13" x14ac:dyDescent="0.25">
      <c r="M7112" s="21"/>
    </row>
    <row r="7113" spans="13:13" x14ac:dyDescent="0.25">
      <c r="M7113" s="21"/>
    </row>
    <row r="7114" spans="13:13" x14ac:dyDescent="0.25">
      <c r="M7114" s="21"/>
    </row>
    <row r="7115" spans="13:13" x14ac:dyDescent="0.25">
      <c r="M7115" s="21"/>
    </row>
    <row r="7116" spans="13:13" x14ac:dyDescent="0.25">
      <c r="M7116" s="21"/>
    </row>
    <row r="7117" spans="13:13" x14ac:dyDescent="0.25">
      <c r="M7117" s="21"/>
    </row>
    <row r="7118" spans="13:13" x14ac:dyDescent="0.25">
      <c r="M7118" s="21"/>
    </row>
    <row r="7119" spans="13:13" x14ac:dyDescent="0.25">
      <c r="M7119" s="21"/>
    </row>
    <row r="7120" spans="13:13" x14ac:dyDescent="0.25">
      <c r="M7120" s="21"/>
    </row>
    <row r="7121" spans="13:13" x14ac:dyDescent="0.25">
      <c r="M7121" s="21"/>
    </row>
    <row r="7122" spans="13:13" x14ac:dyDescent="0.25">
      <c r="M7122" s="21"/>
    </row>
    <row r="7123" spans="13:13" x14ac:dyDescent="0.25">
      <c r="M7123" s="21"/>
    </row>
    <row r="7124" spans="13:13" x14ac:dyDescent="0.25">
      <c r="M7124" s="21"/>
    </row>
    <row r="7125" spans="13:13" x14ac:dyDescent="0.25">
      <c r="M7125" s="21"/>
    </row>
    <row r="7126" spans="13:13" x14ac:dyDescent="0.25">
      <c r="M7126" s="21"/>
    </row>
    <row r="7127" spans="13:13" x14ac:dyDescent="0.25">
      <c r="M7127" s="21"/>
    </row>
    <row r="7128" spans="13:13" x14ac:dyDescent="0.25">
      <c r="M7128" s="21"/>
    </row>
    <row r="7129" spans="13:13" x14ac:dyDescent="0.25">
      <c r="M7129" s="21"/>
    </row>
    <row r="7130" spans="13:13" x14ac:dyDescent="0.25">
      <c r="M7130" s="21"/>
    </row>
    <row r="7131" spans="13:13" x14ac:dyDescent="0.25">
      <c r="M7131" s="21"/>
    </row>
    <row r="7132" spans="13:13" x14ac:dyDescent="0.25">
      <c r="M7132" s="21"/>
    </row>
    <row r="7133" spans="13:13" x14ac:dyDescent="0.25">
      <c r="M7133" s="21"/>
    </row>
    <row r="7134" spans="13:13" x14ac:dyDescent="0.25">
      <c r="M7134" s="21"/>
    </row>
    <row r="7135" spans="13:13" x14ac:dyDescent="0.25">
      <c r="M7135" s="21"/>
    </row>
    <row r="7136" spans="13:13" x14ac:dyDescent="0.25">
      <c r="M7136" s="21"/>
    </row>
    <row r="7137" spans="13:13" x14ac:dyDescent="0.25">
      <c r="M7137" s="21"/>
    </row>
    <row r="7138" spans="13:13" x14ac:dyDescent="0.25">
      <c r="M7138" s="21"/>
    </row>
    <row r="7139" spans="13:13" x14ac:dyDescent="0.25">
      <c r="M7139" s="21"/>
    </row>
    <row r="7140" spans="13:13" x14ac:dyDescent="0.25">
      <c r="M7140" s="21"/>
    </row>
    <row r="7141" spans="13:13" x14ac:dyDescent="0.25">
      <c r="M7141" s="21"/>
    </row>
    <row r="7142" spans="13:13" x14ac:dyDescent="0.25">
      <c r="M7142" s="21"/>
    </row>
    <row r="7143" spans="13:13" x14ac:dyDescent="0.25">
      <c r="M7143" s="21"/>
    </row>
    <row r="7144" spans="13:13" x14ac:dyDescent="0.25">
      <c r="M7144" s="21"/>
    </row>
    <row r="7145" spans="13:13" x14ac:dyDescent="0.25">
      <c r="M7145" s="21"/>
    </row>
    <row r="7146" spans="13:13" x14ac:dyDescent="0.25">
      <c r="M7146" s="21"/>
    </row>
    <row r="7147" spans="13:13" x14ac:dyDescent="0.25">
      <c r="M7147" s="21"/>
    </row>
    <row r="7148" spans="13:13" x14ac:dyDescent="0.25">
      <c r="M7148" s="21"/>
    </row>
    <row r="7149" spans="13:13" x14ac:dyDescent="0.25">
      <c r="M7149" s="21"/>
    </row>
    <row r="7150" spans="13:13" x14ac:dyDescent="0.25">
      <c r="M7150" s="21"/>
    </row>
    <row r="7151" spans="13:13" x14ac:dyDescent="0.25">
      <c r="M7151" s="21"/>
    </row>
    <row r="7152" spans="13:13" x14ac:dyDescent="0.25">
      <c r="M7152" s="21"/>
    </row>
    <row r="7153" spans="13:13" x14ac:dyDescent="0.25">
      <c r="M7153" s="21"/>
    </row>
    <row r="7154" spans="13:13" x14ac:dyDescent="0.25">
      <c r="M7154" s="21"/>
    </row>
    <row r="7155" spans="13:13" x14ac:dyDescent="0.25">
      <c r="M7155" s="21"/>
    </row>
    <row r="7156" spans="13:13" x14ac:dyDescent="0.25">
      <c r="M7156" s="21"/>
    </row>
    <row r="7157" spans="13:13" x14ac:dyDescent="0.25">
      <c r="M7157" s="21"/>
    </row>
    <row r="7158" spans="13:13" x14ac:dyDescent="0.25">
      <c r="M7158" s="21"/>
    </row>
    <row r="7159" spans="13:13" x14ac:dyDescent="0.25">
      <c r="M7159" s="21"/>
    </row>
    <row r="7160" spans="13:13" x14ac:dyDescent="0.25">
      <c r="M7160" s="21"/>
    </row>
    <row r="7161" spans="13:13" x14ac:dyDescent="0.25">
      <c r="M7161" s="21"/>
    </row>
    <row r="7162" spans="13:13" x14ac:dyDescent="0.25">
      <c r="M7162" s="21"/>
    </row>
    <row r="7163" spans="13:13" x14ac:dyDescent="0.25">
      <c r="M7163" s="21"/>
    </row>
    <row r="7164" spans="13:13" x14ac:dyDescent="0.25">
      <c r="M7164" s="21"/>
    </row>
    <row r="7165" spans="13:13" x14ac:dyDescent="0.25">
      <c r="M7165" s="21"/>
    </row>
    <row r="7166" spans="13:13" x14ac:dyDescent="0.25">
      <c r="M7166" s="21"/>
    </row>
    <row r="7167" spans="13:13" x14ac:dyDescent="0.25">
      <c r="M7167" s="21"/>
    </row>
    <row r="7168" spans="13:13" x14ac:dyDescent="0.25">
      <c r="M7168" s="21"/>
    </row>
    <row r="7169" spans="13:13" x14ac:dyDescent="0.25">
      <c r="M7169" s="21"/>
    </row>
    <row r="7170" spans="13:13" x14ac:dyDescent="0.25">
      <c r="M7170" s="21"/>
    </row>
    <row r="7171" spans="13:13" x14ac:dyDescent="0.25">
      <c r="M7171" s="21"/>
    </row>
    <row r="7172" spans="13:13" x14ac:dyDescent="0.25">
      <c r="M7172" s="21"/>
    </row>
    <row r="7173" spans="13:13" x14ac:dyDescent="0.25">
      <c r="M7173" s="21"/>
    </row>
    <row r="7174" spans="13:13" x14ac:dyDescent="0.25">
      <c r="M7174" s="21"/>
    </row>
    <row r="7175" spans="13:13" x14ac:dyDescent="0.25">
      <c r="M7175" s="21"/>
    </row>
    <row r="7176" spans="13:13" x14ac:dyDescent="0.25">
      <c r="M7176" s="21"/>
    </row>
    <row r="7177" spans="13:13" x14ac:dyDescent="0.25">
      <c r="M7177" s="21"/>
    </row>
    <row r="7178" spans="13:13" x14ac:dyDescent="0.25">
      <c r="M7178" s="21"/>
    </row>
    <row r="7179" spans="13:13" x14ac:dyDescent="0.25">
      <c r="M7179" s="21"/>
    </row>
    <row r="7180" spans="13:13" x14ac:dyDescent="0.25">
      <c r="M7180" s="21"/>
    </row>
    <row r="7181" spans="13:13" x14ac:dyDescent="0.25">
      <c r="M7181" s="21"/>
    </row>
    <row r="7182" spans="13:13" x14ac:dyDescent="0.25">
      <c r="M7182" s="21"/>
    </row>
    <row r="7183" spans="13:13" x14ac:dyDescent="0.25">
      <c r="M7183" s="21"/>
    </row>
    <row r="7184" spans="13:13" x14ac:dyDescent="0.25">
      <c r="M7184" s="21"/>
    </row>
    <row r="7185" spans="13:13" x14ac:dyDescent="0.25">
      <c r="M7185" s="21"/>
    </row>
    <row r="7186" spans="13:13" x14ac:dyDescent="0.25">
      <c r="M7186" s="21"/>
    </row>
    <row r="7187" spans="13:13" x14ac:dyDescent="0.25">
      <c r="M7187" s="21"/>
    </row>
    <row r="7188" spans="13:13" x14ac:dyDescent="0.25">
      <c r="M7188" s="21"/>
    </row>
    <row r="7189" spans="13:13" x14ac:dyDescent="0.25">
      <c r="M7189" s="21"/>
    </row>
    <row r="7190" spans="13:13" x14ac:dyDescent="0.25">
      <c r="M7190" s="21"/>
    </row>
    <row r="7191" spans="13:13" x14ac:dyDescent="0.25">
      <c r="M7191" s="21"/>
    </row>
    <row r="7192" spans="13:13" x14ac:dyDescent="0.25">
      <c r="M7192" s="21"/>
    </row>
    <row r="7193" spans="13:13" x14ac:dyDescent="0.25">
      <c r="M7193" s="21"/>
    </row>
    <row r="7194" spans="13:13" x14ac:dyDescent="0.25">
      <c r="M7194" s="21"/>
    </row>
    <row r="7195" spans="13:13" x14ac:dyDescent="0.25">
      <c r="M7195" s="21"/>
    </row>
    <row r="7196" spans="13:13" x14ac:dyDescent="0.25">
      <c r="M7196" s="21"/>
    </row>
    <row r="7197" spans="13:13" x14ac:dyDescent="0.25">
      <c r="M7197" s="21"/>
    </row>
    <row r="7198" spans="13:13" x14ac:dyDescent="0.25">
      <c r="M7198" s="21"/>
    </row>
    <row r="7199" spans="13:13" x14ac:dyDescent="0.25">
      <c r="M7199" s="21"/>
    </row>
    <row r="7200" spans="13:13" x14ac:dyDescent="0.25">
      <c r="M7200" s="21"/>
    </row>
    <row r="7201" spans="13:13" x14ac:dyDescent="0.25">
      <c r="M7201" s="21"/>
    </row>
    <row r="7202" spans="13:13" x14ac:dyDescent="0.25">
      <c r="M7202" s="21"/>
    </row>
    <row r="7203" spans="13:13" x14ac:dyDescent="0.25">
      <c r="M7203" s="21"/>
    </row>
    <row r="7204" spans="13:13" x14ac:dyDescent="0.25">
      <c r="M7204" s="21"/>
    </row>
    <row r="7205" spans="13:13" x14ac:dyDescent="0.25">
      <c r="M7205" s="21"/>
    </row>
    <row r="7206" spans="13:13" x14ac:dyDescent="0.25">
      <c r="M7206" s="21"/>
    </row>
    <row r="7207" spans="13:13" x14ac:dyDescent="0.25">
      <c r="M7207" s="21"/>
    </row>
    <row r="7208" spans="13:13" x14ac:dyDescent="0.25">
      <c r="M7208" s="21"/>
    </row>
    <row r="7209" spans="13:13" x14ac:dyDescent="0.25">
      <c r="M7209" s="21"/>
    </row>
    <row r="7210" spans="13:13" x14ac:dyDescent="0.25">
      <c r="M7210" s="21"/>
    </row>
    <row r="7211" spans="13:13" x14ac:dyDescent="0.25">
      <c r="M7211" s="21"/>
    </row>
    <row r="7212" spans="13:13" x14ac:dyDescent="0.25">
      <c r="M7212" s="21"/>
    </row>
    <row r="7213" spans="13:13" x14ac:dyDescent="0.25">
      <c r="M7213" s="21"/>
    </row>
    <row r="7214" spans="13:13" x14ac:dyDescent="0.25">
      <c r="M7214" s="21"/>
    </row>
    <row r="7215" spans="13:13" x14ac:dyDescent="0.25">
      <c r="M7215" s="21"/>
    </row>
    <row r="7216" spans="13:13" x14ac:dyDescent="0.25">
      <c r="M7216" s="21"/>
    </row>
    <row r="7217" spans="13:13" x14ac:dyDescent="0.25">
      <c r="M7217" s="21"/>
    </row>
    <row r="7218" spans="13:13" x14ac:dyDescent="0.25">
      <c r="M7218" s="21"/>
    </row>
    <row r="7219" spans="13:13" x14ac:dyDescent="0.25">
      <c r="M7219" s="21"/>
    </row>
    <row r="7220" spans="13:13" x14ac:dyDescent="0.25">
      <c r="M7220" s="21"/>
    </row>
    <row r="7221" spans="13:13" x14ac:dyDescent="0.25">
      <c r="M7221" s="21"/>
    </row>
    <row r="7222" spans="13:13" x14ac:dyDescent="0.25">
      <c r="M7222" s="21"/>
    </row>
    <row r="7223" spans="13:13" x14ac:dyDescent="0.25">
      <c r="M7223" s="21"/>
    </row>
    <row r="7224" spans="13:13" x14ac:dyDescent="0.25">
      <c r="M7224" s="21"/>
    </row>
    <row r="7225" spans="13:13" x14ac:dyDescent="0.25">
      <c r="M7225" s="21"/>
    </row>
    <row r="7226" spans="13:13" x14ac:dyDescent="0.25">
      <c r="M7226" s="21"/>
    </row>
    <row r="7227" spans="13:13" x14ac:dyDescent="0.25">
      <c r="M7227" s="21"/>
    </row>
    <row r="7228" spans="13:13" x14ac:dyDescent="0.25">
      <c r="M7228" s="21"/>
    </row>
    <row r="7229" spans="13:13" x14ac:dyDescent="0.25">
      <c r="M7229" s="21"/>
    </row>
    <row r="7230" spans="13:13" x14ac:dyDescent="0.25">
      <c r="M7230" s="21"/>
    </row>
    <row r="7231" spans="13:13" x14ac:dyDescent="0.25">
      <c r="M7231" s="21"/>
    </row>
    <row r="7232" spans="13:13" x14ac:dyDescent="0.25">
      <c r="M7232" s="21"/>
    </row>
    <row r="7233" spans="13:13" x14ac:dyDescent="0.25">
      <c r="M7233" s="21"/>
    </row>
    <row r="7234" spans="13:13" x14ac:dyDescent="0.25">
      <c r="M7234" s="21"/>
    </row>
    <row r="7235" spans="13:13" x14ac:dyDescent="0.25">
      <c r="M7235" s="21"/>
    </row>
    <row r="7236" spans="13:13" x14ac:dyDescent="0.25">
      <c r="M7236" s="21"/>
    </row>
    <row r="7237" spans="13:13" x14ac:dyDescent="0.25">
      <c r="M7237" s="21"/>
    </row>
    <row r="7238" spans="13:13" x14ac:dyDescent="0.25">
      <c r="M7238" s="21"/>
    </row>
    <row r="7239" spans="13:13" x14ac:dyDescent="0.25">
      <c r="M7239" s="21"/>
    </row>
    <row r="7240" spans="13:13" x14ac:dyDescent="0.25">
      <c r="M7240" s="21"/>
    </row>
    <row r="7241" spans="13:13" x14ac:dyDescent="0.25">
      <c r="M7241" s="21"/>
    </row>
    <row r="7242" spans="13:13" x14ac:dyDescent="0.25">
      <c r="M7242" s="21"/>
    </row>
    <row r="7243" spans="13:13" x14ac:dyDescent="0.25">
      <c r="M7243" s="21"/>
    </row>
    <row r="7244" spans="13:13" x14ac:dyDescent="0.25">
      <c r="M7244" s="21"/>
    </row>
    <row r="7245" spans="13:13" x14ac:dyDescent="0.25">
      <c r="M7245" s="21"/>
    </row>
    <row r="7246" spans="13:13" x14ac:dyDescent="0.25">
      <c r="M7246" s="21"/>
    </row>
    <row r="7247" spans="13:13" x14ac:dyDescent="0.25">
      <c r="M7247" s="21"/>
    </row>
    <row r="7248" spans="13:13" x14ac:dyDescent="0.25">
      <c r="M7248" s="21"/>
    </row>
    <row r="7249" spans="13:13" x14ac:dyDescent="0.25">
      <c r="M7249" s="21"/>
    </row>
    <row r="7250" spans="13:13" x14ac:dyDescent="0.25">
      <c r="M7250" s="21"/>
    </row>
    <row r="7251" spans="13:13" x14ac:dyDescent="0.25">
      <c r="M7251" s="21"/>
    </row>
    <row r="7252" spans="13:13" x14ac:dyDescent="0.25">
      <c r="M7252" s="21"/>
    </row>
    <row r="7253" spans="13:13" x14ac:dyDescent="0.25">
      <c r="M7253" s="21"/>
    </row>
    <row r="7254" spans="13:13" x14ac:dyDescent="0.25">
      <c r="M7254" s="21"/>
    </row>
    <row r="7255" spans="13:13" x14ac:dyDescent="0.25">
      <c r="M7255" s="21"/>
    </row>
    <row r="7256" spans="13:13" x14ac:dyDescent="0.25">
      <c r="M7256" s="21"/>
    </row>
    <row r="7257" spans="13:13" x14ac:dyDescent="0.25">
      <c r="M7257" s="21"/>
    </row>
    <row r="7258" spans="13:13" x14ac:dyDescent="0.25">
      <c r="M7258" s="21"/>
    </row>
    <row r="7259" spans="13:13" x14ac:dyDescent="0.25">
      <c r="M7259" s="21"/>
    </row>
    <row r="7260" spans="13:13" x14ac:dyDescent="0.25">
      <c r="M7260" s="21"/>
    </row>
    <row r="7261" spans="13:13" x14ac:dyDescent="0.25">
      <c r="M7261" s="21"/>
    </row>
    <row r="7262" spans="13:13" x14ac:dyDescent="0.25">
      <c r="M7262" s="21"/>
    </row>
    <row r="7263" spans="13:13" x14ac:dyDescent="0.25">
      <c r="M7263" s="21"/>
    </row>
    <row r="7264" spans="13:13" x14ac:dyDescent="0.25">
      <c r="M7264" s="21"/>
    </row>
    <row r="7265" spans="13:13" x14ac:dyDescent="0.25">
      <c r="M7265" s="21"/>
    </row>
    <row r="7266" spans="13:13" x14ac:dyDescent="0.25">
      <c r="M7266" s="21"/>
    </row>
    <row r="7267" spans="13:13" x14ac:dyDescent="0.25">
      <c r="M7267" s="21"/>
    </row>
    <row r="7268" spans="13:13" x14ac:dyDescent="0.25">
      <c r="M7268" s="21"/>
    </row>
    <row r="7269" spans="13:13" x14ac:dyDescent="0.25">
      <c r="M7269" s="21"/>
    </row>
    <row r="7270" spans="13:13" x14ac:dyDescent="0.25">
      <c r="M7270" s="21"/>
    </row>
    <row r="7271" spans="13:13" x14ac:dyDescent="0.25">
      <c r="M7271" s="21"/>
    </row>
    <row r="7272" spans="13:13" x14ac:dyDescent="0.25">
      <c r="M7272" s="21"/>
    </row>
    <row r="7273" spans="13:13" x14ac:dyDescent="0.25">
      <c r="M7273" s="21"/>
    </row>
    <row r="7274" spans="13:13" x14ac:dyDescent="0.25">
      <c r="M7274" s="21"/>
    </row>
    <row r="7275" spans="13:13" x14ac:dyDescent="0.25">
      <c r="M7275" s="21"/>
    </row>
    <row r="7276" spans="13:13" x14ac:dyDescent="0.25">
      <c r="M7276" s="21"/>
    </row>
    <row r="7277" spans="13:13" x14ac:dyDescent="0.25">
      <c r="M7277" s="21"/>
    </row>
    <row r="7278" spans="13:13" x14ac:dyDescent="0.25">
      <c r="M7278" s="21"/>
    </row>
    <row r="7279" spans="13:13" x14ac:dyDescent="0.25">
      <c r="M7279" s="21"/>
    </row>
    <row r="7280" spans="13:13" x14ac:dyDescent="0.25">
      <c r="M7280" s="21"/>
    </row>
    <row r="7281" spans="13:13" x14ac:dyDescent="0.25">
      <c r="M7281" s="21"/>
    </row>
    <row r="7282" spans="13:13" x14ac:dyDescent="0.25">
      <c r="M7282" s="21"/>
    </row>
    <row r="7283" spans="13:13" x14ac:dyDescent="0.25">
      <c r="M7283" s="21"/>
    </row>
    <row r="7284" spans="13:13" x14ac:dyDescent="0.25">
      <c r="M7284" s="21"/>
    </row>
    <row r="7285" spans="13:13" x14ac:dyDescent="0.25">
      <c r="M7285" s="21"/>
    </row>
    <row r="7286" spans="13:13" x14ac:dyDescent="0.25">
      <c r="M7286" s="21"/>
    </row>
    <row r="7287" spans="13:13" x14ac:dyDescent="0.25">
      <c r="M7287" s="21"/>
    </row>
    <row r="7288" spans="13:13" x14ac:dyDescent="0.25">
      <c r="M7288" s="21"/>
    </row>
    <row r="7289" spans="13:13" x14ac:dyDescent="0.25">
      <c r="M7289" s="21"/>
    </row>
    <row r="7290" spans="13:13" x14ac:dyDescent="0.25">
      <c r="M7290" s="21"/>
    </row>
    <row r="7291" spans="13:13" x14ac:dyDescent="0.25">
      <c r="M7291" s="21"/>
    </row>
    <row r="7292" spans="13:13" x14ac:dyDescent="0.25">
      <c r="M7292" s="21"/>
    </row>
    <row r="7293" spans="13:13" x14ac:dyDescent="0.25">
      <c r="M7293" s="21"/>
    </row>
    <row r="7294" spans="13:13" x14ac:dyDescent="0.25">
      <c r="M7294" s="21"/>
    </row>
    <row r="7295" spans="13:13" x14ac:dyDescent="0.25">
      <c r="M7295" s="21"/>
    </row>
    <row r="7296" spans="13:13" x14ac:dyDescent="0.25">
      <c r="M7296" s="21"/>
    </row>
    <row r="7297" spans="13:13" x14ac:dyDescent="0.25">
      <c r="M7297" s="21"/>
    </row>
    <row r="7298" spans="13:13" x14ac:dyDescent="0.25">
      <c r="M7298" s="21"/>
    </row>
    <row r="7299" spans="13:13" x14ac:dyDescent="0.25">
      <c r="M7299" s="21"/>
    </row>
    <row r="7300" spans="13:13" x14ac:dyDescent="0.25">
      <c r="M7300" s="21"/>
    </row>
    <row r="7301" spans="13:13" x14ac:dyDescent="0.25">
      <c r="M7301" s="21"/>
    </row>
    <row r="7302" spans="13:13" x14ac:dyDescent="0.25">
      <c r="M7302" s="21"/>
    </row>
    <row r="7303" spans="13:13" x14ac:dyDescent="0.25">
      <c r="M7303" s="21"/>
    </row>
    <row r="7304" spans="13:13" x14ac:dyDescent="0.25">
      <c r="M7304" s="21"/>
    </row>
    <row r="7305" spans="13:13" x14ac:dyDescent="0.25">
      <c r="M7305" s="21"/>
    </row>
    <row r="7306" spans="13:13" x14ac:dyDescent="0.25">
      <c r="M7306" s="21"/>
    </row>
    <row r="7307" spans="13:13" x14ac:dyDescent="0.25">
      <c r="M7307" s="21"/>
    </row>
    <row r="7308" spans="13:13" x14ac:dyDescent="0.25">
      <c r="M7308" s="21"/>
    </row>
    <row r="7309" spans="13:13" x14ac:dyDescent="0.25">
      <c r="M7309" s="21"/>
    </row>
    <row r="7310" spans="13:13" x14ac:dyDescent="0.25">
      <c r="M7310" s="21"/>
    </row>
    <row r="7311" spans="13:13" x14ac:dyDescent="0.25">
      <c r="M7311" s="21"/>
    </row>
    <row r="7312" spans="13:13" x14ac:dyDescent="0.25">
      <c r="M7312" s="21"/>
    </row>
    <row r="7313" spans="13:13" x14ac:dyDescent="0.25">
      <c r="M7313" s="21"/>
    </row>
    <row r="7314" spans="13:13" x14ac:dyDescent="0.25">
      <c r="M7314" s="21"/>
    </row>
    <row r="7315" spans="13:13" x14ac:dyDescent="0.25">
      <c r="M7315" s="21"/>
    </row>
    <row r="7316" spans="13:13" x14ac:dyDescent="0.25">
      <c r="M7316" s="21"/>
    </row>
    <row r="7317" spans="13:13" x14ac:dyDescent="0.25">
      <c r="M7317" s="21"/>
    </row>
    <row r="7318" spans="13:13" x14ac:dyDescent="0.25">
      <c r="M7318" s="21"/>
    </row>
    <row r="7319" spans="13:13" x14ac:dyDescent="0.25">
      <c r="M7319" s="21"/>
    </row>
    <row r="7320" spans="13:13" x14ac:dyDescent="0.25">
      <c r="M7320" s="21"/>
    </row>
    <row r="7321" spans="13:13" x14ac:dyDescent="0.25">
      <c r="M7321" s="21"/>
    </row>
    <row r="7322" spans="13:13" x14ac:dyDescent="0.25">
      <c r="M7322" s="21"/>
    </row>
    <row r="7323" spans="13:13" x14ac:dyDescent="0.25">
      <c r="M7323" s="21"/>
    </row>
    <row r="7324" spans="13:13" x14ac:dyDescent="0.25">
      <c r="M7324" s="21"/>
    </row>
    <row r="7325" spans="13:13" x14ac:dyDescent="0.25">
      <c r="M7325" s="21"/>
    </row>
    <row r="7326" spans="13:13" x14ac:dyDescent="0.25">
      <c r="M7326" s="21"/>
    </row>
    <row r="7327" spans="13:13" x14ac:dyDescent="0.25">
      <c r="M7327" s="21"/>
    </row>
    <row r="7328" spans="13:13" x14ac:dyDescent="0.25">
      <c r="M7328" s="21"/>
    </row>
    <row r="7329" spans="13:13" x14ac:dyDescent="0.25">
      <c r="M7329" s="21"/>
    </row>
    <row r="7330" spans="13:13" x14ac:dyDescent="0.25">
      <c r="M7330" s="21"/>
    </row>
    <row r="7331" spans="13:13" x14ac:dyDescent="0.25">
      <c r="M7331" s="21"/>
    </row>
    <row r="7332" spans="13:13" x14ac:dyDescent="0.25">
      <c r="M7332" s="21"/>
    </row>
    <row r="7333" spans="13:13" x14ac:dyDescent="0.25">
      <c r="M7333" s="21"/>
    </row>
    <row r="7334" spans="13:13" x14ac:dyDescent="0.25">
      <c r="M7334" s="21"/>
    </row>
    <row r="7335" spans="13:13" x14ac:dyDescent="0.25">
      <c r="M7335" s="21"/>
    </row>
    <row r="7336" spans="13:13" x14ac:dyDescent="0.25">
      <c r="M7336" s="21"/>
    </row>
    <row r="7337" spans="13:13" x14ac:dyDescent="0.25">
      <c r="M7337" s="21"/>
    </row>
    <row r="7338" spans="13:13" x14ac:dyDescent="0.25">
      <c r="M7338" s="21"/>
    </row>
    <row r="7339" spans="13:13" x14ac:dyDescent="0.25">
      <c r="M7339" s="21"/>
    </row>
    <row r="7340" spans="13:13" x14ac:dyDescent="0.25">
      <c r="M7340" s="21"/>
    </row>
    <row r="7341" spans="13:13" x14ac:dyDescent="0.25">
      <c r="M7341" s="21"/>
    </row>
    <row r="7342" spans="13:13" x14ac:dyDescent="0.25">
      <c r="M7342" s="21"/>
    </row>
    <row r="7343" spans="13:13" x14ac:dyDescent="0.25">
      <c r="M7343" s="21"/>
    </row>
    <row r="7344" spans="13:13" x14ac:dyDescent="0.25">
      <c r="M7344" s="21"/>
    </row>
    <row r="7345" spans="13:13" x14ac:dyDescent="0.25">
      <c r="M7345" s="21"/>
    </row>
    <row r="7346" spans="13:13" x14ac:dyDescent="0.25">
      <c r="M7346" s="21"/>
    </row>
    <row r="7347" spans="13:13" x14ac:dyDescent="0.25">
      <c r="M7347" s="21"/>
    </row>
    <row r="7348" spans="13:13" x14ac:dyDescent="0.25">
      <c r="M7348" s="21"/>
    </row>
    <row r="7349" spans="13:13" x14ac:dyDescent="0.25">
      <c r="M7349" s="21"/>
    </row>
    <row r="7350" spans="13:13" x14ac:dyDescent="0.25">
      <c r="M7350" s="21"/>
    </row>
    <row r="7351" spans="13:13" x14ac:dyDescent="0.25">
      <c r="M7351" s="21"/>
    </row>
    <row r="7352" spans="13:13" x14ac:dyDescent="0.25">
      <c r="M7352" s="21"/>
    </row>
    <row r="7353" spans="13:13" x14ac:dyDescent="0.25">
      <c r="M7353" s="21"/>
    </row>
    <row r="7354" spans="13:13" x14ac:dyDescent="0.25">
      <c r="M7354" s="21"/>
    </row>
    <row r="7355" spans="13:13" x14ac:dyDescent="0.25">
      <c r="M7355" s="21"/>
    </row>
    <row r="7356" spans="13:13" x14ac:dyDescent="0.25">
      <c r="M7356" s="21"/>
    </row>
    <row r="7357" spans="13:13" x14ac:dyDescent="0.25">
      <c r="M7357" s="21"/>
    </row>
    <row r="7358" spans="13:13" x14ac:dyDescent="0.25">
      <c r="M7358" s="21"/>
    </row>
    <row r="7359" spans="13:13" x14ac:dyDescent="0.25">
      <c r="M7359" s="21"/>
    </row>
    <row r="7360" spans="13:13" x14ac:dyDescent="0.25">
      <c r="M7360" s="21"/>
    </row>
    <row r="7361" spans="13:13" x14ac:dyDescent="0.25">
      <c r="M7361" s="21"/>
    </row>
    <row r="7362" spans="13:13" x14ac:dyDescent="0.25">
      <c r="M7362" s="21"/>
    </row>
    <row r="7363" spans="13:13" x14ac:dyDescent="0.25">
      <c r="M7363" s="21"/>
    </row>
    <row r="7364" spans="13:13" x14ac:dyDescent="0.25">
      <c r="M7364" s="21"/>
    </row>
    <row r="7365" spans="13:13" x14ac:dyDescent="0.25">
      <c r="M7365" s="21"/>
    </row>
    <row r="7366" spans="13:13" x14ac:dyDescent="0.25">
      <c r="M7366" s="21"/>
    </row>
    <row r="7367" spans="13:13" x14ac:dyDescent="0.25">
      <c r="M7367" s="21"/>
    </row>
    <row r="7368" spans="13:13" x14ac:dyDescent="0.25">
      <c r="M7368" s="21"/>
    </row>
    <row r="7369" spans="13:13" x14ac:dyDescent="0.25">
      <c r="M7369" s="21"/>
    </row>
    <row r="7370" spans="13:13" x14ac:dyDescent="0.25">
      <c r="M7370" s="21"/>
    </row>
    <row r="7371" spans="13:13" x14ac:dyDescent="0.25">
      <c r="M7371" s="21"/>
    </row>
    <row r="7372" spans="13:13" x14ac:dyDescent="0.25">
      <c r="M7372" s="21"/>
    </row>
    <row r="7373" spans="13:13" x14ac:dyDescent="0.25">
      <c r="M7373" s="21"/>
    </row>
    <row r="7374" spans="13:13" x14ac:dyDescent="0.25">
      <c r="M7374" s="21"/>
    </row>
    <row r="7375" spans="13:13" x14ac:dyDescent="0.25">
      <c r="M7375" s="21"/>
    </row>
    <row r="7376" spans="13:13" x14ac:dyDescent="0.25">
      <c r="M7376" s="21"/>
    </row>
    <row r="7377" spans="13:13" x14ac:dyDescent="0.25">
      <c r="M7377" s="21"/>
    </row>
    <row r="7378" spans="13:13" x14ac:dyDescent="0.25">
      <c r="M7378" s="21"/>
    </row>
    <row r="7379" spans="13:13" x14ac:dyDescent="0.25">
      <c r="M7379" s="21"/>
    </row>
    <row r="7380" spans="13:13" x14ac:dyDescent="0.25">
      <c r="M7380" s="21"/>
    </row>
    <row r="7381" spans="13:13" x14ac:dyDescent="0.25">
      <c r="M7381" s="21"/>
    </row>
    <row r="7382" spans="13:13" x14ac:dyDescent="0.25">
      <c r="M7382" s="21"/>
    </row>
    <row r="7383" spans="13:13" x14ac:dyDescent="0.25">
      <c r="M7383" s="21"/>
    </row>
    <row r="7384" spans="13:13" x14ac:dyDescent="0.25">
      <c r="M7384" s="21"/>
    </row>
    <row r="7385" spans="13:13" x14ac:dyDescent="0.25">
      <c r="M7385" s="21"/>
    </row>
    <row r="7386" spans="13:13" x14ac:dyDescent="0.25">
      <c r="M7386" s="21"/>
    </row>
    <row r="7387" spans="13:13" x14ac:dyDescent="0.25">
      <c r="M7387" s="21"/>
    </row>
    <row r="7388" spans="13:13" x14ac:dyDescent="0.25">
      <c r="M7388" s="21"/>
    </row>
    <row r="7389" spans="13:13" x14ac:dyDescent="0.25">
      <c r="M7389" s="21"/>
    </row>
    <row r="7390" spans="13:13" x14ac:dyDescent="0.25">
      <c r="M7390" s="21"/>
    </row>
    <row r="7391" spans="13:13" x14ac:dyDescent="0.25">
      <c r="M7391" s="21"/>
    </row>
    <row r="7392" spans="13:13" x14ac:dyDescent="0.25">
      <c r="M7392" s="21"/>
    </row>
    <row r="7393" spans="13:13" x14ac:dyDescent="0.25">
      <c r="M7393" s="21"/>
    </row>
    <row r="7394" spans="13:13" x14ac:dyDescent="0.25">
      <c r="M7394" s="21"/>
    </row>
    <row r="7395" spans="13:13" x14ac:dyDescent="0.25">
      <c r="M7395" s="21"/>
    </row>
    <row r="7396" spans="13:13" x14ac:dyDescent="0.25">
      <c r="M7396" s="21"/>
    </row>
    <row r="7397" spans="13:13" x14ac:dyDescent="0.25">
      <c r="M7397" s="21"/>
    </row>
    <row r="7398" spans="13:13" x14ac:dyDescent="0.25">
      <c r="M7398" s="21"/>
    </row>
    <row r="7399" spans="13:13" x14ac:dyDescent="0.25">
      <c r="M7399" s="21"/>
    </row>
    <row r="7400" spans="13:13" x14ac:dyDescent="0.25">
      <c r="M7400" s="21"/>
    </row>
    <row r="7401" spans="13:13" x14ac:dyDescent="0.25">
      <c r="M7401" s="21"/>
    </row>
    <row r="7402" spans="13:13" x14ac:dyDescent="0.25">
      <c r="M7402" s="21"/>
    </row>
    <row r="7403" spans="13:13" x14ac:dyDescent="0.25">
      <c r="M7403" s="21"/>
    </row>
    <row r="7404" spans="13:13" x14ac:dyDescent="0.25">
      <c r="M7404" s="21"/>
    </row>
    <row r="7405" spans="13:13" x14ac:dyDescent="0.25">
      <c r="M7405" s="21"/>
    </row>
    <row r="7406" spans="13:13" x14ac:dyDescent="0.25">
      <c r="M7406" s="21"/>
    </row>
    <row r="7407" spans="13:13" x14ac:dyDescent="0.25">
      <c r="M7407" s="21"/>
    </row>
    <row r="7408" spans="13:13" x14ac:dyDescent="0.25">
      <c r="M7408" s="21"/>
    </row>
    <row r="7409" spans="13:13" x14ac:dyDescent="0.25">
      <c r="M7409" s="21"/>
    </row>
    <row r="7410" spans="13:13" x14ac:dyDescent="0.25">
      <c r="M7410" s="21"/>
    </row>
    <row r="7411" spans="13:13" x14ac:dyDescent="0.25">
      <c r="M7411" s="21"/>
    </row>
    <row r="7412" spans="13:13" x14ac:dyDescent="0.25">
      <c r="M7412" s="21"/>
    </row>
    <row r="7413" spans="13:13" x14ac:dyDescent="0.25">
      <c r="M7413" s="21"/>
    </row>
    <row r="7414" spans="13:13" x14ac:dyDescent="0.25">
      <c r="M7414" s="21"/>
    </row>
    <row r="7415" spans="13:13" x14ac:dyDescent="0.25">
      <c r="M7415" s="21"/>
    </row>
    <row r="7416" spans="13:13" x14ac:dyDescent="0.25">
      <c r="M7416" s="21"/>
    </row>
    <row r="7417" spans="13:13" x14ac:dyDescent="0.25">
      <c r="M7417" s="21"/>
    </row>
    <row r="7418" spans="13:13" x14ac:dyDescent="0.25">
      <c r="M7418" s="21"/>
    </row>
    <row r="7419" spans="13:13" x14ac:dyDescent="0.25">
      <c r="M7419" s="21"/>
    </row>
    <row r="7420" spans="13:13" x14ac:dyDescent="0.25">
      <c r="M7420" s="21"/>
    </row>
    <row r="7421" spans="13:13" x14ac:dyDescent="0.25">
      <c r="M7421" s="21"/>
    </row>
    <row r="7422" spans="13:13" x14ac:dyDescent="0.25">
      <c r="M7422" s="21"/>
    </row>
    <row r="7423" spans="13:13" x14ac:dyDescent="0.25">
      <c r="M7423" s="21"/>
    </row>
    <row r="7424" spans="13:13" x14ac:dyDescent="0.25">
      <c r="M7424" s="21"/>
    </row>
    <row r="7425" spans="13:13" x14ac:dyDescent="0.25">
      <c r="M7425" s="21"/>
    </row>
    <row r="7426" spans="13:13" x14ac:dyDescent="0.25">
      <c r="M7426" s="21"/>
    </row>
    <row r="7427" spans="13:13" x14ac:dyDescent="0.25">
      <c r="M7427" s="21"/>
    </row>
    <row r="7428" spans="13:13" x14ac:dyDescent="0.25">
      <c r="M7428" s="21"/>
    </row>
    <row r="7429" spans="13:13" x14ac:dyDescent="0.25">
      <c r="M7429" s="21"/>
    </row>
    <row r="7430" spans="13:13" x14ac:dyDescent="0.25">
      <c r="M7430" s="21"/>
    </row>
    <row r="7431" spans="13:13" x14ac:dyDescent="0.25">
      <c r="M7431" s="21"/>
    </row>
    <row r="7432" spans="13:13" x14ac:dyDescent="0.25">
      <c r="M7432" s="21"/>
    </row>
    <row r="7433" spans="13:13" x14ac:dyDescent="0.25">
      <c r="M7433" s="21"/>
    </row>
    <row r="7434" spans="13:13" x14ac:dyDescent="0.25">
      <c r="M7434" s="21"/>
    </row>
    <row r="7435" spans="13:13" x14ac:dyDescent="0.25">
      <c r="M7435" s="21"/>
    </row>
    <row r="7436" spans="13:13" x14ac:dyDescent="0.25">
      <c r="M7436" s="21"/>
    </row>
    <row r="7437" spans="13:13" x14ac:dyDescent="0.25">
      <c r="M7437" s="21"/>
    </row>
    <row r="7438" spans="13:13" x14ac:dyDescent="0.25">
      <c r="M7438" s="21"/>
    </row>
    <row r="7439" spans="13:13" x14ac:dyDescent="0.25">
      <c r="M7439" s="21"/>
    </row>
    <row r="7440" spans="13:13" x14ac:dyDescent="0.25">
      <c r="M7440" s="21"/>
    </row>
    <row r="7441" spans="13:13" x14ac:dyDescent="0.25">
      <c r="M7441" s="21"/>
    </row>
    <row r="7442" spans="13:13" x14ac:dyDescent="0.25">
      <c r="M7442" s="21"/>
    </row>
    <row r="7443" spans="13:13" x14ac:dyDescent="0.25">
      <c r="M7443" s="21"/>
    </row>
    <row r="7444" spans="13:13" x14ac:dyDescent="0.25">
      <c r="M7444" s="21"/>
    </row>
    <row r="7445" spans="13:13" x14ac:dyDescent="0.25">
      <c r="M7445" s="21"/>
    </row>
    <row r="7446" spans="13:13" x14ac:dyDescent="0.25">
      <c r="M7446" s="21"/>
    </row>
    <row r="7447" spans="13:13" x14ac:dyDescent="0.25">
      <c r="M7447" s="21"/>
    </row>
    <row r="7448" spans="13:13" x14ac:dyDescent="0.25">
      <c r="M7448" s="21"/>
    </row>
    <row r="7449" spans="13:13" x14ac:dyDescent="0.25">
      <c r="M7449" s="21"/>
    </row>
    <row r="7450" spans="13:13" x14ac:dyDescent="0.25">
      <c r="M7450" s="21"/>
    </row>
    <row r="7451" spans="13:13" x14ac:dyDescent="0.25">
      <c r="M7451" s="21"/>
    </row>
    <row r="7452" spans="13:13" x14ac:dyDescent="0.25">
      <c r="M7452" s="21"/>
    </row>
    <row r="7453" spans="13:13" x14ac:dyDescent="0.25">
      <c r="M7453" s="21"/>
    </row>
    <row r="7454" spans="13:13" x14ac:dyDescent="0.25">
      <c r="M7454" s="21"/>
    </row>
    <row r="7455" spans="13:13" x14ac:dyDescent="0.25">
      <c r="M7455" s="21"/>
    </row>
    <row r="7456" spans="13:13" x14ac:dyDescent="0.25">
      <c r="M7456" s="21"/>
    </row>
    <row r="7457" spans="13:13" x14ac:dyDescent="0.25">
      <c r="M7457" s="21"/>
    </row>
    <row r="7458" spans="13:13" x14ac:dyDescent="0.25">
      <c r="M7458" s="21"/>
    </row>
    <row r="7459" spans="13:13" x14ac:dyDescent="0.25">
      <c r="M7459" s="21"/>
    </row>
    <row r="7460" spans="13:13" x14ac:dyDescent="0.25">
      <c r="M7460" s="21"/>
    </row>
    <row r="7461" spans="13:13" x14ac:dyDescent="0.25">
      <c r="M7461" s="21"/>
    </row>
    <row r="7462" spans="13:13" x14ac:dyDescent="0.25">
      <c r="M7462" s="21"/>
    </row>
    <row r="7463" spans="13:13" x14ac:dyDescent="0.25">
      <c r="M7463" s="21"/>
    </row>
    <row r="7464" spans="13:13" x14ac:dyDescent="0.25">
      <c r="M7464" s="21"/>
    </row>
    <row r="7465" spans="13:13" x14ac:dyDescent="0.25">
      <c r="M7465" s="21"/>
    </row>
    <row r="7466" spans="13:13" x14ac:dyDescent="0.25">
      <c r="M7466" s="21"/>
    </row>
    <row r="7467" spans="13:13" x14ac:dyDescent="0.25">
      <c r="M7467" s="21"/>
    </row>
    <row r="7468" spans="13:13" x14ac:dyDescent="0.25">
      <c r="M7468" s="21"/>
    </row>
    <row r="7469" spans="13:13" x14ac:dyDescent="0.25">
      <c r="M7469" s="21"/>
    </row>
    <row r="7470" spans="13:13" x14ac:dyDescent="0.25">
      <c r="M7470" s="21"/>
    </row>
    <row r="7471" spans="13:13" x14ac:dyDescent="0.25">
      <c r="M7471" s="21"/>
    </row>
    <row r="7472" spans="13:13" x14ac:dyDescent="0.25">
      <c r="M7472" s="21"/>
    </row>
    <row r="7473" spans="13:13" x14ac:dyDescent="0.25">
      <c r="M7473" s="21"/>
    </row>
    <row r="7474" spans="13:13" x14ac:dyDescent="0.25">
      <c r="M7474" s="21"/>
    </row>
    <row r="7475" spans="13:13" x14ac:dyDescent="0.25">
      <c r="M7475" s="21"/>
    </row>
    <row r="7476" spans="13:13" x14ac:dyDescent="0.25">
      <c r="M7476" s="21"/>
    </row>
    <row r="7477" spans="13:13" x14ac:dyDescent="0.25">
      <c r="M7477" s="21"/>
    </row>
    <row r="7478" spans="13:13" x14ac:dyDescent="0.25">
      <c r="M7478" s="21"/>
    </row>
    <row r="7479" spans="13:13" x14ac:dyDescent="0.25">
      <c r="M7479" s="21"/>
    </row>
    <row r="7480" spans="13:13" x14ac:dyDescent="0.25">
      <c r="M7480" s="21"/>
    </row>
    <row r="7481" spans="13:13" x14ac:dyDescent="0.25">
      <c r="M7481" s="21"/>
    </row>
    <row r="7482" spans="13:13" x14ac:dyDescent="0.25">
      <c r="M7482" s="21"/>
    </row>
    <row r="7483" spans="13:13" x14ac:dyDescent="0.25">
      <c r="M7483" s="21"/>
    </row>
    <row r="7484" spans="13:13" x14ac:dyDescent="0.25">
      <c r="M7484" s="21"/>
    </row>
    <row r="7485" spans="13:13" x14ac:dyDescent="0.25">
      <c r="M7485" s="21"/>
    </row>
    <row r="7486" spans="13:13" x14ac:dyDescent="0.25">
      <c r="M7486" s="21"/>
    </row>
    <row r="7487" spans="13:13" x14ac:dyDescent="0.25">
      <c r="M7487" s="21"/>
    </row>
    <row r="7488" spans="13:13" x14ac:dyDescent="0.25">
      <c r="M7488" s="21"/>
    </row>
    <row r="7489" spans="13:13" x14ac:dyDescent="0.25">
      <c r="M7489" s="21"/>
    </row>
    <row r="7490" spans="13:13" x14ac:dyDescent="0.25">
      <c r="M7490" s="21"/>
    </row>
    <row r="7491" spans="13:13" x14ac:dyDescent="0.25">
      <c r="M7491" s="21"/>
    </row>
    <row r="7492" spans="13:13" x14ac:dyDescent="0.25">
      <c r="M7492" s="21"/>
    </row>
    <row r="7493" spans="13:13" x14ac:dyDescent="0.25">
      <c r="M7493" s="21"/>
    </row>
    <row r="7494" spans="13:13" x14ac:dyDescent="0.25">
      <c r="M7494" s="21"/>
    </row>
    <row r="7495" spans="13:13" x14ac:dyDescent="0.25">
      <c r="M7495" s="21"/>
    </row>
    <row r="7496" spans="13:13" x14ac:dyDescent="0.25">
      <c r="M7496" s="21"/>
    </row>
    <row r="7497" spans="13:13" x14ac:dyDescent="0.25">
      <c r="M7497" s="21"/>
    </row>
    <row r="7498" spans="13:13" x14ac:dyDescent="0.25">
      <c r="M7498" s="21"/>
    </row>
    <row r="7499" spans="13:13" x14ac:dyDescent="0.25">
      <c r="M7499" s="21"/>
    </row>
    <row r="7500" spans="13:13" x14ac:dyDescent="0.25">
      <c r="M7500" s="21"/>
    </row>
    <row r="7501" spans="13:13" x14ac:dyDescent="0.25">
      <c r="M7501" s="21"/>
    </row>
    <row r="7502" spans="13:13" x14ac:dyDescent="0.25">
      <c r="M7502" s="21"/>
    </row>
    <row r="7503" spans="13:13" x14ac:dyDescent="0.25">
      <c r="M7503" s="21"/>
    </row>
    <row r="7504" spans="13:13" x14ac:dyDescent="0.25">
      <c r="M7504" s="21"/>
    </row>
    <row r="7505" spans="13:13" x14ac:dyDescent="0.25">
      <c r="M7505" s="21"/>
    </row>
    <row r="7506" spans="13:13" x14ac:dyDescent="0.25">
      <c r="M7506" s="21"/>
    </row>
    <row r="7507" spans="13:13" x14ac:dyDescent="0.25">
      <c r="M7507" s="21"/>
    </row>
    <row r="7508" spans="13:13" x14ac:dyDescent="0.25">
      <c r="M7508" s="21"/>
    </row>
    <row r="7509" spans="13:13" x14ac:dyDescent="0.25">
      <c r="M7509" s="21"/>
    </row>
    <row r="7510" spans="13:13" x14ac:dyDescent="0.25">
      <c r="M7510" s="21"/>
    </row>
    <row r="7511" spans="13:13" x14ac:dyDescent="0.25">
      <c r="M7511" s="21"/>
    </row>
    <row r="7512" spans="13:13" x14ac:dyDescent="0.25">
      <c r="M7512" s="21"/>
    </row>
    <row r="7513" spans="13:13" x14ac:dyDescent="0.25">
      <c r="M7513" s="21"/>
    </row>
    <row r="7514" spans="13:13" x14ac:dyDescent="0.25">
      <c r="M7514" s="21"/>
    </row>
    <row r="7515" spans="13:13" x14ac:dyDescent="0.25">
      <c r="M7515" s="21"/>
    </row>
    <row r="7516" spans="13:13" x14ac:dyDescent="0.25">
      <c r="M7516" s="21"/>
    </row>
    <row r="7517" spans="13:13" x14ac:dyDescent="0.25">
      <c r="M7517" s="21"/>
    </row>
    <row r="7518" spans="13:13" x14ac:dyDescent="0.25">
      <c r="M7518" s="21"/>
    </row>
    <row r="7519" spans="13:13" x14ac:dyDescent="0.25">
      <c r="M7519" s="21"/>
    </row>
    <row r="7520" spans="13:13" x14ac:dyDescent="0.25">
      <c r="M7520" s="21"/>
    </row>
    <row r="7521" spans="13:13" x14ac:dyDescent="0.25">
      <c r="M7521" s="21"/>
    </row>
    <row r="7522" spans="13:13" x14ac:dyDescent="0.25">
      <c r="M7522" s="21"/>
    </row>
    <row r="7523" spans="13:13" x14ac:dyDescent="0.25">
      <c r="M7523" s="21"/>
    </row>
    <row r="7524" spans="13:13" x14ac:dyDescent="0.25">
      <c r="M7524" s="21"/>
    </row>
    <row r="7525" spans="13:13" x14ac:dyDescent="0.25">
      <c r="M7525" s="21"/>
    </row>
    <row r="7526" spans="13:13" x14ac:dyDescent="0.25">
      <c r="M7526" s="21"/>
    </row>
    <row r="7527" spans="13:13" x14ac:dyDescent="0.25">
      <c r="M7527" s="21"/>
    </row>
    <row r="7528" spans="13:13" x14ac:dyDescent="0.25">
      <c r="M7528" s="21"/>
    </row>
    <row r="7529" spans="13:13" x14ac:dyDescent="0.25">
      <c r="M7529" s="21"/>
    </row>
    <row r="7530" spans="13:13" x14ac:dyDescent="0.25">
      <c r="M7530" s="21"/>
    </row>
    <row r="7531" spans="13:13" x14ac:dyDescent="0.25">
      <c r="M7531" s="21"/>
    </row>
    <row r="7532" spans="13:13" x14ac:dyDescent="0.25">
      <c r="M7532" s="21"/>
    </row>
    <row r="7533" spans="13:13" x14ac:dyDescent="0.25">
      <c r="M7533" s="21"/>
    </row>
    <row r="7534" spans="13:13" x14ac:dyDescent="0.25">
      <c r="M7534" s="21"/>
    </row>
    <row r="7535" spans="13:13" x14ac:dyDescent="0.25">
      <c r="M7535" s="21"/>
    </row>
    <row r="7536" spans="13:13" x14ac:dyDescent="0.25">
      <c r="M7536" s="21"/>
    </row>
    <row r="7537" spans="13:13" x14ac:dyDescent="0.25">
      <c r="M7537" s="21"/>
    </row>
    <row r="7538" spans="13:13" x14ac:dyDescent="0.25">
      <c r="M7538" s="21"/>
    </row>
    <row r="7539" spans="13:13" x14ac:dyDescent="0.25">
      <c r="M7539" s="21"/>
    </row>
    <row r="7540" spans="13:13" x14ac:dyDescent="0.25">
      <c r="M7540" s="21"/>
    </row>
    <row r="7541" spans="13:13" x14ac:dyDescent="0.25">
      <c r="M7541" s="21"/>
    </row>
    <row r="7542" spans="13:13" x14ac:dyDescent="0.25">
      <c r="M7542" s="21"/>
    </row>
    <row r="7543" spans="13:13" x14ac:dyDescent="0.25">
      <c r="M7543" s="21"/>
    </row>
    <row r="7544" spans="13:13" x14ac:dyDescent="0.25">
      <c r="M7544" s="21"/>
    </row>
    <row r="7545" spans="13:13" x14ac:dyDescent="0.25">
      <c r="M7545" s="21"/>
    </row>
    <row r="7546" spans="13:13" x14ac:dyDescent="0.25">
      <c r="M7546" s="21"/>
    </row>
    <row r="7547" spans="13:13" x14ac:dyDescent="0.25">
      <c r="M7547" s="21"/>
    </row>
    <row r="7548" spans="13:13" x14ac:dyDescent="0.25">
      <c r="M7548" s="21"/>
    </row>
    <row r="7549" spans="13:13" x14ac:dyDescent="0.25">
      <c r="M7549" s="21"/>
    </row>
    <row r="7550" spans="13:13" x14ac:dyDescent="0.25">
      <c r="M7550" s="21"/>
    </row>
    <row r="7551" spans="13:13" x14ac:dyDescent="0.25">
      <c r="M7551" s="21"/>
    </row>
    <row r="7552" spans="13:13" x14ac:dyDescent="0.25">
      <c r="M7552" s="21"/>
    </row>
    <row r="7553" spans="13:13" x14ac:dyDescent="0.25">
      <c r="M7553" s="21"/>
    </row>
    <row r="7554" spans="13:13" x14ac:dyDescent="0.25">
      <c r="M7554" s="21"/>
    </row>
    <row r="7555" spans="13:13" x14ac:dyDescent="0.25">
      <c r="M7555" s="21"/>
    </row>
    <row r="7556" spans="13:13" x14ac:dyDescent="0.25">
      <c r="M7556" s="21"/>
    </row>
    <row r="7557" spans="13:13" x14ac:dyDescent="0.25">
      <c r="M7557" s="21"/>
    </row>
    <row r="7558" spans="13:13" x14ac:dyDescent="0.25">
      <c r="M7558" s="21"/>
    </row>
    <row r="7559" spans="13:13" x14ac:dyDescent="0.25">
      <c r="M7559" s="21"/>
    </row>
    <row r="7560" spans="13:13" x14ac:dyDescent="0.25">
      <c r="M7560" s="21"/>
    </row>
    <row r="7561" spans="13:13" x14ac:dyDescent="0.25">
      <c r="M7561" s="21"/>
    </row>
    <row r="7562" spans="13:13" x14ac:dyDescent="0.25">
      <c r="M7562" s="21"/>
    </row>
    <row r="7563" spans="13:13" x14ac:dyDescent="0.25">
      <c r="M7563" s="21"/>
    </row>
    <row r="7564" spans="13:13" x14ac:dyDescent="0.25">
      <c r="M7564" s="21"/>
    </row>
    <row r="7565" spans="13:13" x14ac:dyDescent="0.25">
      <c r="M7565" s="21"/>
    </row>
    <row r="7566" spans="13:13" x14ac:dyDescent="0.25">
      <c r="M7566" s="21"/>
    </row>
    <row r="7567" spans="13:13" x14ac:dyDescent="0.25">
      <c r="M7567" s="21"/>
    </row>
    <row r="7568" spans="13:13" x14ac:dyDescent="0.25">
      <c r="M7568" s="21"/>
    </row>
    <row r="7569" spans="13:13" x14ac:dyDescent="0.25">
      <c r="M7569" s="21"/>
    </row>
    <row r="7570" spans="13:13" x14ac:dyDescent="0.25">
      <c r="M7570" s="21"/>
    </row>
    <row r="7571" spans="13:13" x14ac:dyDescent="0.25">
      <c r="M7571" s="21"/>
    </row>
    <row r="7572" spans="13:13" x14ac:dyDescent="0.25">
      <c r="M7572" s="21"/>
    </row>
    <row r="7573" spans="13:13" x14ac:dyDescent="0.25">
      <c r="M7573" s="21"/>
    </row>
    <row r="7574" spans="13:13" x14ac:dyDescent="0.25">
      <c r="M7574" s="21"/>
    </row>
    <row r="7575" spans="13:13" x14ac:dyDescent="0.25">
      <c r="M7575" s="21"/>
    </row>
    <row r="7576" spans="13:13" x14ac:dyDescent="0.25">
      <c r="M7576" s="21"/>
    </row>
    <row r="7577" spans="13:13" x14ac:dyDescent="0.25">
      <c r="M7577" s="21"/>
    </row>
    <row r="7578" spans="13:13" x14ac:dyDescent="0.25">
      <c r="M7578" s="21"/>
    </row>
    <row r="7579" spans="13:13" x14ac:dyDescent="0.25">
      <c r="M7579" s="21"/>
    </row>
    <row r="7580" spans="13:13" x14ac:dyDescent="0.25">
      <c r="M7580" s="21"/>
    </row>
    <row r="7581" spans="13:13" x14ac:dyDescent="0.25">
      <c r="M7581" s="21"/>
    </row>
    <row r="7582" spans="13:13" x14ac:dyDescent="0.25">
      <c r="M7582" s="21"/>
    </row>
    <row r="7583" spans="13:13" x14ac:dyDescent="0.25">
      <c r="M7583" s="21"/>
    </row>
    <row r="7584" spans="13:13" x14ac:dyDescent="0.25">
      <c r="M7584" s="21"/>
    </row>
    <row r="7585" spans="13:13" x14ac:dyDescent="0.25">
      <c r="M7585" s="21"/>
    </row>
    <row r="7586" spans="13:13" x14ac:dyDescent="0.25">
      <c r="M7586" s="21"/>
    </row>
    <row r="7587" spans="13:13" x14ac:dyDescent="0.25">
      <c r="M7587" s="21"/>
    </row>
    <row r="7588" spans="13:13" x14ac:dyDescent="0.25">
      <c r="M7588" s="21"/>
    </row>
    <row r="7589" spans="13:13" x14ac:dyDescent="0.25">
      <c r="M7589" s="21"/>
    </row>
    <row r="7590" spans="13:13" x14ac:dyDescent="0.25">
      <c r="M7590" s="21"/>
    </row>
    <row r="7591" spans="13:13" x14ac:dyDescent="0.25">
      <c r="M7591" s="21"/>
    </row>
    <row r="7592" spans="13:13" x14ac:dyDescent="0.25">
      <c r="M7592" s="21"/>
    </row>
    <row r="7593" spans="13:13" x14ac:dyDescent="0.25">
      <c r="M7593" s="21"/>
    </row>
    <row r="7594" spans="13:13" x14ac:dyDescent="0.25">
      <c r="M7594" s="21"/>
    </row>
    <row r="7595" spans="13:13" x14ac:dyDescent="0.25">
      <c r="M7595" s="21"/>
    </row>
    <row r="7596" spans="13:13" x14ac:dyDescent="0.25">
      <c r="M7596" s="21"/>
    </row>
    <row r="7597" spans="13:13" x14ac:dyDescent="0.25">
      <c r="M7597" s="21"/>
    </row>
    <row r="7598" spans="13:13" x14ac:dyDescent="0.25">
      <c r="M7598" s="21"/>
    </row>
    <row r="7599" spans="13:13" x14ac:dyDescent="0.25">
      <c r="M7599" s="21"/>
    </row>
    <row r="7600" spans="13:13" x14ac:dyDescent="0.25">
      <c r="M7600" s="21"/>
    </row>
    <row r="7601" spans="13:13" x14ac:dyDescent="0.25">
      <c r="M7601" s="21"/>
    </row>
    <row r="7602" spans="13:13" x14ac:dyDescent="0.25">
      <c r="M7602" s="21"/>
    </row>
    <row r="7603" spans="13:13" x14ac:dyDescent="0.25">
      <c r="M7603" s="21"/>
    </row>
    <row r="7604" spans="13:13" x14ac:dyDescent="0.25">
      <c r="M7604" s="21"/>
    </row>
    <row r="7605" spans="13:13" x14ac:dyDescent="0.25">
      <c r="M7605" s="21"/>
    </row>
    <row r="7606" spans="13:13" x14ac:dyDescent="0.25">
      <c r="M7606" s="21"/>
    </row>
    <row r="7607" spans="13:13" x14ac:dyDescent="0.25">
      <c r="M7607" s="21"/>
    </row>
    <row r="7608" spans="13:13" x14ac:dyDescent="0.25">
      <c r="M7608" s="21"/>
    </row>
    <row r="7609" spans="13:13" x14ac:dyDescent="0.25">
      <c r="M7609" s="21"/>
    </row>
    <row r="7610" spans="13:13" x14ac:dyDescent="0.25">
      <c r="M7610" s="21"/>
    </row>
    <row r="7611" spans="13:13" x14ac:dyDescent="0.25">
      <c r="M7611" s="21"/>
    </row>
    <row r="7612" spans="13:13" x14ac:dyDescent="0.25">
      <c r="M7612" s="21"/>
    </row>
    <row r="7613" spans="13:13" x14ac:dyDescent="0.25">
      <c r="M7613" s="21"/>
    </row>
    <row r="7614" spans="13:13" x14ac:dyDescent="0.25">
      <c r="M7614" s="21"/>
    </row>
    <row r="7615" spans="13:13" x14ac:dyDescent="0.25">
      <c r="M7615" s="21"/>
    </row>
    <row r="7616" spans="13:13" x14ac:dyDescent="0.25">
      <c r="M7616" s="21"/>
    </row>
    <row r="7617" spans="13:13" x14ac:dyDescent="0.25">
      <c r="M7617" s="21"/>
    </row>
    <row r="7618" spans="13:13" x14ac:dyDescent="0.25">
      <c r="M7618" s="21"/>
    </row>
    <row r="7619" spans="13:13" x14ac:dyDescent="0.25">
      <c r="M7619" s="21"/>
    </row>
    <row r="7620" spans="13:13" x14ac:dyDescent="0.25">
      <c r="M7620" s="21"/>
    </row>
    <row r="7621" spans="13:13" x14ac:dyDescent="0.25">
      <c r="M7621" s="21"/>
    </row>
    <row r="7622" spans="13:13" x14ac:dyDescent="0.25">
      <c r="M7622" s="21"/>
    </row>
    <row r="7623" spans="13:13" x14ac:dyDescent="0.25">
      <c r="M7623" s="21"/>
    </row>
    <row r="7624" spans="13:13" x14ac:dyDescent="0.25">
      <c r="M7624" s="21"/>
    </row>
    <row r="7625" spans="13:13" x14ac:dyDescent="0.25">
      <c r="M7625" s="21"/>
    </row>
    <row r="7626" spans="13:13" x14ac:dyDescent="0.25">
      <c r="M7626" s="21"/>
    </row>
    <row r="7627" spans="13:13" x14ac:dyDescent="0.25">
      <c r="M7627" s="21"/>
    </row>
    <row r="7628" spans="13:13" x14ac:dyDescent="0.25">
      <c r="M7628" s="21"/>
    </row>
    <row r="7629" spans="13:13" x14ac:dyDescent="0.25">
      <c r="M7629" s="21"/>
    </row>
    <row r="7630" spans="13:13" x14ac:dyDescent="0.25">
      <c r="M7630" s="21"/>
    </row>
    <row r="7631" spans="13:13" x14ac:dyDescent="0.25">
      <c r="M7631" s="21"/>
    </row>
    <row r="7632" spans="13:13" x14ac:dyDescent="0.25">
      <c r="M7632" s="21"/>
    </row>
    <row r="7633" spans="13:13" x14ac:dyDescent="0.25">
      <c r="M7633" s="21"/>
    </row>
    <row r="7634" spans="13:13" x14ac:dyDescent="0.25">
      <c r="M7634" s="21"/>
    </row>
    <row r="7635" spans="13:13" x14ac:dyDescent="0.25">
      <c r="M7635" s="21"/>
    </row>
    <row r="7636" spans="13:13" x14ac:dyDescent="0.25">
      <c r="M7636" s="21"/>
    </row>
    <row r="7637" spans="13:13" x14ac:dyDescent="0.25">
      <c r="M7637" s="21"/>
    </row>
    <row r="7638" spans="13:13" x14ac:dyDescent="0.25">
      <c r="M7638" s="21"/>
    </row>
    <row r="7639" spans="13:13" x14ac:dyDescent="0.25">
      <c r="M7639" s="21"/>
    </row>
    <row r="7640" spans="13:13" x14ac:dyDescent="0.25">
      <c r="M7640" s="21"/>
    </row>
    <row r="7641" spans="13:13" x14ac:dyDescent="0.25">
      <c r="M7641" s="21"/>
    </row>
    <row r="7642" spans="13:13" x14ac:dyDescent="0.25">
      <c r="M7642" s="21"/>
    </row>
    <row r="7643" spans="13:13" x14ac:dyDescent="0.25">
      <c r="M7643" s="21"/>
    </row>
    <row r="7644" spans="13:13" x14ac:dyDescent="0.25">
      <c r="M7644" s="21"/>
    </row>
    <row r="7645" spans="13:13" x14ac:dyDescent="0.25">
      <c r="M7645" s="21"/>
    </row>
    <row r="7646" spans="13:13" x14ac:dyDescent="0.25">
      <c r="M7646" s="21"/>
    </row>
    <row r="7647" spans="13:13" x14ac:dyDescent="0.25">
      <c r="M7647" s="21"/>
    </row>
    <row r="7648" spans="13:13" x14ac:dyDescent="0.25">
      <c r="M7648" s="21"/>
    </row>
    <row r="7649" spans="13:13" x14ac:dyDescent="0.25">
      <c r="M7649" s="21"/>
    </row>
    <row r="7650" spans="13:13" x14ac:dyDescent="0.25">
      <c r="M7650" s="21"/>
    </row>
    <row r="7651" spans="13:13" x14ac:dyDescent="0.25">
      <c r="M7651" s="21"/>
    </row>
    <row r="7652" spans="13:13" x14ac:dyDescent="0.25">
      <c r="M7652" s="21"/>
    </row>
    <row r="7653" spans="13:13" x14ac:dyDescent="0.25">
      <c r="M7653" s="21"/>
    </row>
    <row r="7654" spans="13:13" x14ac:dyDescent="0.25">
      <c r="M7654" s="21"/>
    </row>
    <row r="7655" spans="13:13" x14ac:dyDescent="0.25">
      <c r="M7655" s="21"/>
    </row>
    <row r="7656" spans="13:13" x14ac:dyDescent="0.25">
      <c r="M7656" s="21"/>
    </row>
    <row r="7657" spans="13:13" x14ac:dyDescent="0.25">
      <c r="M7657" s="21"/>
    </row>
    <row r="7658" spans="13:13" x14ac:dyDescent="0.25">
      <c r="M7658" s="21"/>
    </row>
    <row r="7659" spans="13:13" x14ac:dyDescent="0.25">
      <c r="M7659" s="21"/>
    </row>
    <row r="7660" spans="13:13" x14ac:dyDescent="0.25">
      <c r="M7660" s="21"/>
    </row>
    <row r="7661" spans="13:13" x14ac:dyDescent="0.25">
      <c r="M7661" s="21"/>
    </row>
    <row r="7662" spans="13:13" x14ac:dyDescent="0.25">
      <c r="M7662" s="21"/>
    </row>
    <row r="7663" spans="13:13" x14ac:dyDescent="0.25">
      <c r="M7663" s="21"/>
    </row>
    <row r="7664" spans="13:13" x14ac:dyDescent="0.25">
      <c r="M7664" s="21"/>
    </row>
    <row r="7665" spans="13:13" x14ac:dyDescent="0.25">
      <c r="M7665" s="21"/>
    </row>
    <row r="7666" spans="13:13" x14ac:dyDescent="0.25">
      <c r="M7666" s="21"/>
    </row>
    <row r="7667" spans="13:13" x14ac:dyDescent="0.25">
      <c r="M7667" s="21"/>
    </row>
    <row r="7668" spans="13:13" x14ac:dyDescent="0.25">
      <c r="M7668" s="21"/>
    </row>
    <row r="7669" spans="13:13" x14ac:dyDescent="0.25">
      <c r="M7669" s="21"/>
    </row>
    <row r="7670" spans="13:13" x14ac:dyDescent="0.25">
      <c r="M7670" s="21"/>
    </row>
    <row r="7671" spans="13:13" x14ac:dyDescent="0.25">
      <c r="M7671" s="21"/>
    </row>
    <row r="7672" spans="13:13" x14ac:dyDescent="0.25">
      <c r="M7672" s="21"/>
    </row>
    <row r="7673" spans="13:13" x14ac:dyDescent="0.25">
      <c r="M7673" s="21"/>
    </row>
    <row r="7674" spans="13:13" x14ac:dyDescent="0.25">
      <c r="M7674" s="21"/>
    </row>
    <row r="7675" spans="13:13" x14ac:dyDescent="0.25">
      <c r="M7675" s="21"/>
    </row>
    <row r="7676" spans="13:13" x14ac:dyDescent="0.25">
      <c r="M7676" s="21"/>
    </row>
    <row r="7677" spans="13:13" x14ac:dyDescent="0.25">
      <c r="M7677" s="21"/>
    </row>
    <row r="7678" spans="13:13" x14ac:dyDescent="0.25">
      <c r="M7678" s="21"/>
    </row>
    <row r="7679" spans="13:13" x14ac:dyDescent="0.25">
      <c r="M7679" s="21"/>
    </row>
    <row r="7680" spans="13:13" x14ac:dyDescent="0.25">
      <c r="M7680" s="21"/>
    </row>
    <row r="7681" spans="13:13" x14ac:dyDescent="0.25">
      <c r="M7681" s="21"/>
    </row>
    <row r="7682" spans="13:13" x14ac:dyDescent="0.25">
      <c r="M7682" s="21"/>
    </row>
    <row r="7683" spans="13:13" x14ac:dyDescent="0.25">
      <c r="M7683" s="21"/>
    </row>
    <row r="7684" spans="13:13" x14ac:dyDescent="0.25">
      <c r="M7684" s="21"/>
    </row>
    <row r="7685" spans="13:13" x14ac:dyDescent="0.25">
      <c r="M7685" s="21"/>
    </row>
    <row r="7686" spans="13:13" x14ac:dyDescent="0.25">
      <c r="M7686" s="21"/>
    </row>
    <row r="7687" spans="13:13" x14ac:dyDescent="0.25">
      <c r="M7687" s="21"/>
    </row>
    <row r="7688" spans="13:13" x14ac:dyDescent="0.25">
      <c r="M7688" s="21"/>
    </row>
    <row r="7689" spans="13:13" x14ac:dyDescent="0.25">
      <c r="M7689" s="21"/>
    </row>
    <row r="7690" spans="13:13" x14ac:dyDescent="0.25">
      <c r="M7690" s="21"/>
    </row>
    <row r="7691" spans="13:13" x14ac:dyDescent="0.25">
      <c r="M7691" s="21"/>
    </row>
    <row r="7692" spans="13:13" x14ac:dyDescent="0.25">
      <c r="M7692" s="21"/>
    </row>
    <row r="7693" spans="13:13" x14ac:dyDescent="0.25">
      <c r="M7693" s="21"/>
    </row>
    <row r="7694" spans="13:13" x14ac:dyDescent="0.25">
      <c r="M7694" s="21"/>
    </row>
    <row r="7695" spans="13:13" x14ac:dyDescent="0.25">
      <c r="M7695" s="21"/>
    </row>
    <row r="7696" spans="13:13" x14ac:dyDescent="0.25">
      <c r="M7696" s="21"/>
    </row>
    <row r="7697" spans="13:13" x14ac:dyDescent="0.25">
      <c r="M7697" s="21"/>
    </row>
    <row r="7698" spans="13:13" x14ac:dyDescent="0.25">
      <c r="M7698" s="21"/>
    </row>
    <row r="7699" spans="13:13" x14ac:dyDescent="0.25">
      <c r="M7699" s="21"/>
    </row>
    <row r="7700" spans="13:13" x14ac:dyDescent="0.25">
      <c r="M7700" s="21"/>
    </row>
    <row r="7701" spans="13:13" x14ac:dyDescent="0.25">
      <c r="M7701" s="21"/>
    </row>
    <row r="7702" spans="13:13" x14ac:dyDescent="0.25">
      <c r="M7702" s="21"/>
    </row>
    <row r="7703" spans="13:13" x14ac:dyDescent="0.25">
      <c r="M7703" s="21"/>
    </row>
    <row r="7704" spans="13:13" x14ac:dyDescent="0.25">
      <c r="M7704" s="21"/>
    </row>
    <row r="7705" spans="13:13" x14ac:dyDescent="0.25">
      <c r="M7705" s="21"/>
    </row>
    <row r="7706" spans="13:13" x14ac:dyDescent="0.25">
      <c r="M7706" s="21"/>
    </row>
    <row r="7707" spans="13:13" x14ac:dyDescent="0.25">
      <c r="M7707" s="21"/>
    </row>
    <row r="7708" spans="13:13" x14ac:dyDescent="0.25">
      <c r="M7708" s="21"/>
    </row>
    <row r="7709" spans="13:13" x14ac:dyDescent="0.25">
      <c r="M7709" s="21"/>
    </row>
    <row r="7710" spans="13:13" x14ac:dyDescent="0.25">
      <c r="M7710" s="21"/>
    </row>
    <row r="7711" spans="13:13" x14ac:dyDescent="0.25">
      <c r="M7711" s="21"/>
    </row>
    <row r="7712" spans="13:13" x14ac:dyDescent="0.25">
      <c r="M7712" s="21"/>
    </row>
    <row r="7713" spans="13:13" x14ac:dyDescent="0.25">
      <c r="M7713" s="21"/>
    </row>
    <row r="7714" spans="13:13" x14ac:dyDescent="0.25">
      <c r="M7714" s="21"/>
    </row>
    <row r="7715" spans="13:13" x14ac:dyDescent="0.25">
      <c r="M7715" s="21"/>
    </row>
    <row r="7716" spans="13:13" x14ac:dyDescent="0.25">
      <c r="M7716" s="21"/>
    </row>
    <row r="7717" spans="13:13" x14ac:dyDescent="0.25">
      <c r="M7717" s="21"/>
    </row>
    <row r="7718" spans="13:13" x14ac:dyDescent="0.25">
      <c r="M7718" s="21"/>
    </row>
    <row r="7719" spans="13:13" x14ac:dyDescent="0.25">
      <c r="M7719" s="21"/>
    </row>
    <row r="7720" spans="13:13" x14ac:dyDescent="0.25">
      <c r="M7720" s="21"/>
    </row>
    <row r="7721" spans="13:13" x14ac:dyDescent="0.25">
      <c r="M7721" s="21"/>
    </row>
    <row r="7722" spans="13:13" x14ac:dyDescent="0.25">
      <c r="M7722" s="21"/>
    </row>
    <row r="7723" spans="13:13" x14ac:dyDescent="0.25">
      <c r="M7723" s="21"/>
    </row>
    <row r="7724" spans="13:13" x14ac:dyDescent="0.25">
      <c r="M7724" s="21"/>
    </row>
    <row r="7725" spans="13:13" x14ac:dyDescent="0.25">
      <c r="M7725" s="21"/>
    </row>
    <row r="7726" spans="13:13" x14ac:dyDescent="0.25">
      <c r="M7726" s="21"/>
    </row>
    <row r="7727" spans="13:13" x14ac:dyDescent="0.25">
      <c r="M7727" s="21"/>
    </row>
    <row r="7728" spans="13:13" x14ac:dyDescent="0.25">
      <c r="M7728" s="21"/>
    </row>
    <row r="7729" spans="13:13" x14ac:dyDescent="0.25">
      <c r="M7729" s="21"/>
    </row>
    <row r="7730" spans="13:13" x14ac:dyDescent="0.25">
      <c r="M7730" s="21"/>
    </row>
    <row r="7731" spans="13:13" x14ac:dyDescent="0.25">
      <c r="M7731" s="21"/>
    </row>
    <row r="7732" spans="13:13" x14ac:dyDescent="0.25">
      <c r="M7732" s="21"/>
    </row>
    <row r="7733" spans="13:13" x14ac:dyDescent="0.25">
      <c r="M7733" s="21"/>
    </row>
    <row r="7734" spans="13:13" x14ac:dyDescent="0.25">
      <c r="M7734" s="21"/>
    </row>
    <row r="7735" spans="13:13" x14ac:dyDescent="0.25">
      <c r="M7735" s="21"/>
    </row>
    <row r="7736" spans="13:13" x14ac:dyDescent="0.25">
      <c r="M7736" s="21"/>
    </row>
    <row r="7737" spans="13:13" x14ac:dyDescent="0.25">
      <c r="M7737" s="21"/>
    </row>
    <row r="7738" spans="13:13" x14ac:dyDescent="0.25">
      <c r="M7738" s="21"/>
    </row>
    <row r="7739" spans="13:13" x14ac:dyDescent="0.25">
      <c r="M7739" s="21"/>
    </row>
    <row r="7740" spans="13:13" x14ac:dyDescent="0.25">
      <c r="M7740" s="21"/>
    </row>
    <row r="7741" spans="13:13" x14ac:dyDescent="0.25">
      <c r="M7741" s="21"/>
    </row>
    <row r="7742" spans="13:13" x14ac:dyDescent="0.25">
      <c r="M7742" s="21"/>
    </row>
    <row r="7743" spans="13:13" x14ac:dyDescent="0.25">
      <c r="M7743" s="21"/>
    </row>
    <row r="7744" spans="13:13" x14ac:dyDescent="0.25">
      <c r="M7744" s="21"/>
    </row>
    <row r="7745" spans="13:13" x14ac:dyDescent="0.25">
      <c r="M7745" s="21"/>
    </row>
    <row r="7746" spans="13:13" x14ac:dyDescent="0.25">
      <c r="M7746" s="21"/>
    </row>
    <row r="7747" spans="13:13" x14ac:dyDescent="0.25">
      <c r="M7747" s="21"/>
    </row>
    <row r="7748" spans="13:13" x14ac:dyDescent="0.25">
      <c r="M7748" s="21"/>
    </row>
    <row r="7749" spans="13:13" x14ac:dyDescent="0.25">
      <c r="M7749" s="21"/>
    </row>
    <row r="7750" spans="13:13" x14ac:dyDescent="0.25">
      <c r="M7750" s="21"/>
    </row>
    <row r="7751" spans="13:13" x14ac:dyDescent="0.25">
      <c r="M7751" s="21"/>
    </row>
    <row r="7752" spans="13:13" x14ac:dyDescent="0.25">
      <c r="M7752" s="21"/>
    </row>
    <row r="7753" spans="13:13" x14ac:dyDescent="0.25">
      <c r="M7753" s="21"/>
    </row>
    <row r="7754" spans="13:13" x14ac:dyDescent="0.25">
      <c r="M7754" s="21"/>
    </row>
    <row r="7755" spans="13:13" x14ac:dyDescent="0.25">
      <c r="M7755" s="21"/>
    </row>
    <row r="7756" spans="13:13" x14ac:dyDescent="0.25">
      <c r="M7756" s="21"/>
    </row>
    <row r="7757" spans="13:13" x14ac:dyDescent="0.25">
      <c r="M7757" s="21"/>
    </row>
    <row r="7758" spans="13:13" x14ac:dyDescent="0.25">
      <c r="M7758" s="21"/>
    </row>
    <row r="7759" spans="13:13" x14ac:dyDescent="0.25">
      <c r="M7759" s="21"/>
    </row>
    <row r="7760" spans="13:13" x14ac:dyDescent="0.25">
      <c r="M7760" s="21"/>
    </row>
    <row r="7761" spans="13:13" x14ac:dyDescent="0.25">
      <c r="M7761" s="21"/>
    </row>
    <row r="7762" spans="13:13" x14ac:dyDescent="0.25">
      <c r="M7762" s="21"/>
    </row>
    <row r="7763" spans="13:13" x14ac:dyDescent="0.25">
      <c r="M7763" s="21"/>
    </row>
    <row r="7764" spans="13:13" x14ac:dyDescent="0.25">
      <c r="M7764" s="21"/>
    </row>
    <row r="7765" spans="13:13" x14ac:dyDescent="0.25">
      <c r="M7765" s="21"/>
    </row>
    <row r="7766" spans="13:13" x14ac:dyDescent="0.25">
      <c r="M7766" s="21"/>
    </row>
    <row r="7767" spans="13:13" x14ac:dyDescent="0.25">
      <c r="M7767" s="21"/>
    </row>
    <row r="7768" spans="13:13" x14ac:dyDescent="0.25">
      <c r="M7768" s="21"/>
    </row>
    <row r="7769" spans="13:13" x14ac:dyDescent="0.25">
      <c r="M7769" s="21"/>
    </row>
    <row r="7770" spans="13:13" x14ac:dyDescent="0.25">
      <c r="M7770" s="21"/>
    </row>
    <row r="7771" spans="13:13" x14ac:dyDescent="0.25">
      <c r="M7771" s="21"/>
    </row>
    <row r="7772" spans="13:13" x14ac:dyDescent="0.25">
      <c r="M7772" s="21"/>
    </row>
    <row r="7773" spans="13:13" x14ac:dyDescent="0.25">
      <c r="M7773" s="21"/>
    </row>
    <row r="7774" spans="13:13" x14ac:dyDescent="0.25">
      <c r="M7774" s="21"/>
    </row>
    <row r="7775" spans="13:13" x14ac:dyDescent="0.25">
      <c r="M7775" s="21"/>
    </row>
    <row r="7776" spans="13:13" x14ac:dyDescent="0.25">
      <c r="M7776" s="21"/>
    </row>
    <row r="7777" spans="13:13" x14ac:dyDescent="0.25">
      <c r="M7777" s="21"/>
    </row>
    <row r="7778" spans="13:13" x14ac:dyDescent="0.25">
      <c r="M7778" s="21"/>
    </row>
    <row r="7779" spans="13:13" x14ac:dyDescent="0.25">
      <c r="M7779" s="21"/>
    </row>
    <row r="7780" spans="13:13" x14ac:dyDescent="0.25">
      <c r="M7780" s="21"/>
    </row>
    <row r="7781" spans="13:13" x14ac:dyDescent="0.25">
      <c r="M7781" s="21"/>
    </row>
    <row r="7782" spans="13:13" x14ac:dyDescent="0.25">
      <c r="M7782" s="21"/>
    </row>
    <row r="7783" spans="13:13" x14ac:dyDescent="0.25">
      <c r="M7783" s="21"/>
    </row>
    <row r="7784" spans="13:13" x14ac:dyDescent="0.25">
      <c r="M7784" s="21"/>
    </row>
    <row r="7785" spans="13:13" x14ac:dyDescent="0.25">
      <c r="M7785" s="21"/>
    </row>
    <row r="7786" spans="13:13" x14ac:dyDescent="0.25">
      <c r="M7786" s="21"/>
    </row>
    <row r="7787" spans="13:13" x14ac:dyDescent="0.25">
      <c r="M7787" s="21"/>
    </row>
    <row r="7788" spans="13:13" x14ac:dyDescent="0.25">
      <c r="M7788" s="21"/>
    </row>
    <row r="7789" spans="13:13" x14ac:dyDescent="0.25">
      <c r="M7789" s="21"/>
    </row>
    <row r="7790" spans="13:13" x14ac:dyDescent="0.25">
      <c r="M7790" s="21"/>
    </row>
    <row r="7791" spans="13:13" x14ac:dyDescent="0.25">
      <c r="M7791" s="21"/>
    </row>
    <row r="7792" spans="13:13" x14ac:dyDescent="0.25">
      <c r="M7792" s="21"/>
    </row>
    <row r="7793" spans="13:13" x14ac:dyDescent="0.25">
      <c r="M7793" s="21"/>
    </row>
    <row r="7794" spans="13:13" x14ac:dyDescent="0.25">
      <c r="M7794" s="21"/>
    </row>
    <row r="7795" spans="13:13" x14ac:dyDescent="0.25">
      <c r="M7795" s="21"/>
    </row>
    <row r="7796" spans="13:13" x14ac:dyDescent="0.25">
      <c r="M7796" s="21"/>
    </row>
    <row r="7797" spans="13:13" x14ac:dyDescent="0.25">
      <c r="M7797" s="21"/>
    </row>
    <row r="7798" spans="13:13" x14ac:dyDescent="0.25">
      <c r="M7798" s="21"/>
    </row>
    <row r="7799" spans="13:13" x14ac:dyDescent="0.25">
      <c r="M7799" s="21"/>
    </row>
    <row r="7800" spans="13:13" x14ac:dyDescent="0.25">
      <c r="M7800" s="21"/>
    </row>
    <row r="7801" spans="13:13" x14ac:dyDescent="0.25">
      <c r="M7801" s="21"/>
    </row>
    <row r="7802" spans="13:13" x14ac:dyDescent="0.25">
      <c r="M7802" s="21"/>
    </row>
    <row r="7803" spans="13:13" x14ac:dyDescent="0.25">
      <c r="M7803" s="21"/>
    </row>
    <row r="7804" spans="13:13" x14ac:dyDescent="0.25">
      <c r="M7804" s="21"/>
    </row>
    <row r="7805" spans="13:13" x14ac:dyDescent="0.25">
      <c r="M7805" s="21"/>
    </row>
    <row r="7806" spans="13:13" x14ac:dyDescent="0.25">
      <c r="M7806" s="21"/>
    </row>
    <row r="7807" spans="13:13" x14ac:dyDescent="0.25">
      <c r="M7807" s="21"/>
    </row>
    <row r="7808" spans="13:13" x14ac:dyDescent="0.25">
      <c r="M7808" s="21"/>
    </row>
    <row r="7809" spans="13:13" x14ac:dyDescent="0.25">
      <c r="M7809" s="21"/>
    </row>
    <row r="7810" spans="13:13" x14ac:dyDescent="0.25">
      <c r="M7810" s="21"/>
    </row>
    <row r="7811" spans="13:13" x14ac:dyDescent="0.25">
      <c r="M7811" s="21"/>
    </row>
    <row r="7812" spans="13:13" x14ac:dyDescent="0.25">
      <c r="M7812" s="21"/>
    </row>
    <row r="7813" spans="13:13" x14ac:dyDescent="0.25">
      <c r="M7813" s="21"/>
    </row>
    <row r="7814" spans="13:13" x14ac:dyDescent="0.25">
      <c r="M7814" s="21"/>
    </row>
    <row r="7815" spans="13:13" x14ac:dyDescent="0.25">
      <c r="M7815" s="21"/>
    </row>
    <row r="7816" spans="13:13" x14ac:dyDescent="0.25">
      <c r="M7816" s="21"/>
    </row>
    <row r="7817" spans="13:13" x14ac:dyDescent="0.25">
      <c r="M7817" s="21"/>
    </row>
    <row r="7818" spans="13:13" x14ac:dyDescent="0.25">
      <c r="M7818" s="21"/>
    </row>
    <row r="7819" spans="13:13" x14ac:dyDescent="0.25">
      <c r="M7819" s="21"/>
    </row>
    <row r="7820" spans="13:13" x14ac:dyDescent="0.25">
      <c r="M7820" s="21"/>
    </row>
    <row r="7821" spans="13:13" x14ac:dyDescent="0.25">
      <c r="M7821" s="21"/>
    </row>
    <row r="7822" spans="13:13" x14ac:dyDescent="0.25">
      <c r="M7822" s="21"/>
    </row>
    <row r="7823" spans="13:13" x14ac:dyDescent="0.25">
      <c r="M7823" s="21"/>
    </row>
    <row r="7824" spans="13:13" x14ac:dyDescent="0.25">
      <c r="M7824" s="21"/>
    </row>
    <row r="7825" spans="13:13" x14ac:dyDescent="0.25">
      <c r="M7825" s="21"/>
    </row>
    <row r="7826" spans="13:13" x14ac:dyDescent="0.25">
      <c r="M7826" s="21"/>
    </row>
    <row r="7827" spans="13:13" x14ac:dyDescent="0.25">
      <c r="M7827" s="21"/>
    </row>
    <row r="7828" spans="13:13" x14ac:dyDescent="0.25">
      <c r="M7828" s="21"/>
    </row>
    <row r="7829" spans="13:13" x14ac:dyDescent="0.25">
      <c r="M7829" s="21"/>
    </row>
    <row r="7830" spans="13:13" x14ac:dyDescent="0.25">
      <c r="M7830" s="21"/>
    </row>
    <row r="7831" spans="13:13" x14ac:dyDescent="0.25">
      <c r="M7831" s="21"/>
    </row>
    <row r="7832" spans="13:13" x14ac:dyDescent="0.25">
      <c r="M7832" s="21"/>
    </row>
    <row r="7833" spans="13:13" x14ac:dyDescent="0.25">
      <c r="M7833" s="21"/>
    </row>
    <row r="7834" spans="13:13" x14ac:dyDescent="0.25">
      <c r="M7834" s="21"/>
    </row>
    <row r="7835" spans="13:13" x14ac:dyDescent="0.25">
      <c r="M7835" s="21"/>
    </row>
    <row r="7836" spans="13:13" x14ac:dyDescent="0.25">
      <c r="M7836" s="21"/>
    </row>
    <row r="7837" spans="13:13" x14ac:dyDescent="0.25">
      <c r="M7837" s="21"/>
    </row>
    <row r="7838" spans="13:13" x14ac:dyDescent="0.25">
      <c r="M7838" s="21"/>
    </row>
    <row r="7839" spans="13:13" x14ac:dyDescent="0.25">
      <c r="M7839" s="21"/>
    </row>
    <row r="7840" spans="13:13" x14ac:dyDescent="0.25">
      <c r="M7840" s="21"/>
    </row>
    <row r="7841" spans="13:13" x14ac:dyDescent="0.25">
      <c r="M7841" s="21"/>
    </row>
    <row r="7842" spans="13:13" x14ac:dyDescent="0.25">
      <c r="M7842" s="21"/>
    </row>
    <row r="7843" spans="13:13" x14ac:dyDescent="0.25">
      <c r="M7843" s="21"/>
    </row>
    <row r="7844" spans="13:13" x14ac:dyDescent="0.25">
      <c r="M7844" s="21"/>
    </row>
    <row r="7845" spans="13:13" x14ac:dyDescent="0.25">
      <c r="M7845" s="21"/>
    </row>
    <row r="7846" spans="13:13" x14ac:dyDescent="0.25">
      <c r="M7846" s="21"/>
    </row>
    <row r="7847" spans="13:13" x14ac:dyDescent="0.25">
      <c r="M7847" s="21"/>
    </row>
    <row r="7848" spans="13:13" x14ac:dyDescent="0.25">
      <c r="M7848" s="21"/>
    </row>
    <row r="7849" spans="13:13" x14ac:dyDescent="0.25">
      <c r="M7849" s="21"/>
    </row>
    <row r="7850" spans="13:13" x14ac:dyDescent="0.25">
      <c r="M7850" s="21"/>
    </row>
    <row r="7851" spans="13:13" x14ac:dyDescent="0.25">
      <c r="M7851" s="21"/>
    </row>
    <row r="7852" spans="13:13" x14ac:dyDescent="0.25">
      <c r="M7852" s="21"/>
    </row>
    <row r="7853" spans="13:13" x14ac:dyDescent="0.25">
      <c r="M7853" s="21"/>
    </row>
    <row r="7854" spans="13:13" x14ac:dyDescent="0.25">
      <c r="M7854" s="21"/>
    </row>
    <row r="7855" spans="13:13" x14ac:dyDescent="0.25">
      <c r="M7855" s="21"/>
    </row>
    <row r="7856" spans="13:13" x14ac:dyDescent="0.25">
      <c r="M7856" s="21"/>
    </row>
    <row r="7857" spans="13:13" x14ac:dyDescent="0.25">
      <c r="M7857" s="21"/>
    </row>
    <row r="7858" spans="13:13" x14ac:dyDescent="0.25">
      <c r="M7858" s="21"/>
    </row>
    <row r="7859" spans="13:13" x14ac:dyDescent="0.25">
      <c r="M7859" s="21"/>
    </row>
    <row r="7860" spans="13:13" x14ac:dyDescent="0.25">
      <c r="M7860" s="21"/>
    </row>
    <row r="7861" spans="13:13" x14ac:dyDescent="0.25">
      <c r="M7861" s="21"/>
    </row>
    <row r="7862" spans="13:13" x14ac:dyDescent="0.25">
      <c r="M7862" s="21"/>
    </row>
    <row r="7863" spans="13:13" x14ac:dyDescent="0.25">
      <c r="M7863" s="21"/>
    </row>
    <row r="7864" spans="13:13" x14ac:dyDescent="0.25">
      <c r="M7864" s="21"/>
    </row>
    <row r="7865" spans="13:13" x14ac:dyDescent="0.25">
      <c r="M7865" s="21"/>
    </row>
    <row r="7866" spans="13:13" x14ac:dyDescent="0.25">
      <c r="M7866" s="21"/>
    </row>
    <row r="7867" spans="13:13" x14ac:dyDescent="0.25">
      <c r="M7867" s="21"/>
    </row>
    <row r="7868" spans="13:13" x14ac:dyDescent="0.25">
      <c r="M7868" s="21"/>
    </row>
    <row r="7869" spans="13:13" x14ac:dyDescent="0.25">
      <c r="M7869" s="21"/>
    </row>
    <row r="7870" spans="13:13" x14ac:dyDescent="0.25">
      <c r="M7870" s="21"/>
    </row>
    <row r="7871" spans="13:13" x14ac:dyDescent="0.25">
      <c r="M7871" s="21"/>
    </row>
    <row r="7872" spans="13:13" x14ac:dyDescent="0.25">
      <c r="M7872" s="21"/>
    </row>
    <row r="7873" spans="13:13" x14ac:dyDescent="0.25">
      <c r="M7873" s="21"/>
    </row>
    <row r="7874" spans="13:13" x14ac:dyDescent="0.25">
      <c r="M7874" s="21"/>
    </row>
    <row r="7875" spans="13:13" x14ac:dyDescent="0.25">
      <c r="M7875" s="21"/>
    </row>
    <row r="7876" spans="13:13" x14ac:dyDescent="0.25">
      <c r="M7876" s="21"/>
    </row>
    <row r="7877" spans="13:13" x14ac:dyDescent="0.25">
      <c r="M7877" s="21"/>
    </row>
    <row r="7878" spans="13:13" x14ac:dyDescent="0.25">
      <c r="M7878" s="21"/>
    </row>
    <row r="7879" spans="13:13" x14ac:dyDescent="0.25">
      <c r="M7879" s="21"/>
    </row>
    <row r="7880" spans="13:13" x14ac:dyDescent="0.25">
      <c r="M7880" s="21"/>
    </row>
    <row r="7881" spans="13:13" x14ac:dyDescent="0.25">
      <c r="M7881" s="21"/>
    </row>
    <row r="7882" spans="13:13" x14ac:dyDescent="0.25">
      <c r="M7882" s="21"/>
    </row>
    <row r="7883" spans="13:13" x14ac:dyDescent="0.25">
      <c r="M7883" s="21"/>
    </row>
    <row r="7884" spans="13:13" x14ac:dyDescent="0.25">
      <c r="M7884" s="21"/>
    </row>
    <row r="7885" spans="13:13" x14ac:dyDescent="0.25">
      <c r="M7885" s="21"/>
    </row>
    <row r="7886" spans="13:13" x14ac:dyDescent="0.25">
      <c r="M7886" s="21"/>
    </row>
    <row r="7887" spans="13:13" x14ac:dyDescent="0.25">
      <c r="M7887" s="21"/>
    </row>
    <row r="7888" spans="13:13" x14ac:dyDescent="0.25">
      <c r="M7888" s="21"/>
    </row>
    <row r="7889" spans="13:13" x14ac:dyDescent="0.25">
      <c r="M7889" s="21"/>
    </row>
    <row r="7890" spans="13:13" x14ac:dyDescent="0.25">
      <c r="M7890" s="21"/>
    </row>
    <row r="7891" spans="13:13" x14ac:dyDescent="0.25">
      <c r="M7891" s="21"/>
    </row>
    <row r="7892" spans="13:13" x14ac:dyDescent="0.25">
      <c r="M7892" s="21"/>
    </row>
    <row r="7893" spans="13:13" x14ac:dyDescent="0.25">
      <c r="M7893" s="21"/>
    </row>
    <row r="7894" spans="13:13" x14ac:dyDescent="0.25">
      <c r="M7894" s="21"/>
    </row>
    <row r="7895" spans="13:13" x14ac:dyDescent="0.25">
      <c r="M7895" s="21"/>
    </row>
    <row r="7896" spans="13:13" x14ac:dyDescent="0.25">
      <c r="M7896" s="21"/>
    </row>
    <row r="7897" spans="13:13" x14ac:dyDescent="0.25">
      <c r="M7897" s="21"/>
    </row>
    <row r="7898" spans="13:13" x14ac:dyDescent="0.25">
      <c r="M7898" s="21"/>
    </row>
    <row r="7899" spans="13:13" x14ac:dyDescent="0.25">
      <c r="M7899" s="21"/>
    </row>
    <row r="7900" spans="13:13" x14ac:dyDescent="0.25">
      <c r="M7900" s="21"/>
    </row>
    <row r="7901" spans="13:13" x14ac:dyDescent="0.25">
      <c r="M7901" s="21"/>
    </row>
    <row r="7902" spans="13:13" x14ac:dyDescent="0.25">
      <c r="M7902" s="21"/>
    </row>
    <row r="7903" spans="13:13" x14ac:dyDescent="0.25">
      <c r="M7903" s="21"/>
    </row>
    <row r="7904" spans="13:13" x14ac:dyDescent="0.25">
      <c r="M7904" s="21"/>
    </row>
    <row r="7905" spans="13:13" x14ac:dyDescent="0.25">
      <c r="M7905" s="21"/>
    </row>
    <row r="7906" spans="13:13" x14ac:dyDescent="0.25">
      <c r="M7906" s="21"/>
    </row>
    <row r="7907" spans="13:13" x14ac:dyDescent="0.25">
      <c r="M7907" s="21"/>
    </row>
    <row r="7908" spans="13:13" x14ac:dyDescent="0.25">
      <c r="M7908" s="21"/>
    </row>
    <row r="7909" spans="13:13" x14ac:dyDescent="0.25">
      <c r="M7909" s="21"/>
    </row>
    <row r="7910" spans="13:13" x14ac:dyDescent="0.25">
      <c r="M7910" s="21"/>
    </row>
    <row r="7911" spans="13:13" x14ac:dyDescent="0.25">
      <c r="M7911" s="21"/>
    </row>
    <row r="7912" spans="13:13" x14ac:dyDescent="0.25">
      <c r="M7912" s="21"/>
    </row>
    <row r="7913" spans="13:13" x14ac:dyDescent="0.25">
      <c r="M7913" s="21"/>
    </row>
    <row r="7914" spans="13:13" x14ac:dyDescent="0.25">
      <c r="M7914" s="21"/>
    </row>
    <row r="7915" spans="13:13" x14ac:dyDescent="0.25">
      <c r="M7915" s="21"/>
    </row>
    <row r="7916" spans="13:13" x14ac:dyDescent="0.25">
      <c r="M7916" s="21"/>
    </row>
    <row r="7917" spans="13:13" x14ac:dyDescent="0.25">
      <c r="M7917" s="21"/>
    </row>
    <row r="7918" spans="13:13" x14ac:dyDescent="0.25">
      <c r="M7918" s="21"/>
    </row>
    <row r="7919" spans="13:13" x14ac:dyDescent="0.25">
      <c r="M7919" s="21"/>
    </row>
    <row r="7920" spans="13:13" x14ac:dyDescent="0.25">
      <c r="M7920" s="21"/>
    </row>
    <row r="7921" spans="13:13" x14ac:dyDescent="0.25">
      <c r="M7921" s="21"/>
    </row>
    <row r="7922" spans="13:13" x14ac:dyDescent="0.25">
      <c r="M7922" s="21"/>
    </row>
    <row r="7923" spans="13:13" x14ac:dyDescent="0.25">
      <c r="M7923" s="21"/>
    </row>
    <row r="7924" spans="13:13" x14ac:dyDescent="0.25">
      <c r="M7924" s="21"/>
    </row>
    <row r="7925" spans="13:13" x14ac:dyDescent="0.25">
      <c r="M7925" s="21"/>
    </row>
    <row r="7926" spans="13:13" x14ac:dyDescent="0.25">
      <c r="M7926" s="21"/>
    </row>
    <row r="7927" spans="13:13" x14ac:dyDescent="0.25">
      <c r="M7927" s="21"/>
    </row>
    <row r="7928" spans="13:13" x14ac:dyDescent="0.25">
      <c r="M7928" s="21"/>
    </row>
    <row r="7929" spans="13:13" x14ac:dyDescent="0.25">
      <c r="M7929" s="21"/>
    </row>
    <row r="7930" spans="13:13" x14ac:dyDescent="0.25">
      <c r="M7930" s="21"/>
    </row>
    <row r="7931" spans="13:13" x14ac:dyDescent="0.25">
      <c r="M7931" s="21"/>
    </row>
    <row r="7932" spans="13:13" x14ac:dyDescent="0.25">
      <c r="M7932" s="21"/>
    </row>
    <row r="7933" spans="13:13" x14ac:dyDescent="0.25">
      <c r="M7933" s="21"/>
    </row>
    <row r="7934" spans="13:13" x14ac:dyDescent="0.25">
      <c r="M7934" s="21"/>
    </row>
    <row r="7935" spans="13:13" x14ac:dyDescent="0.25">
      <c r="M7935" s="21"/>
    </row>
    <row r="7936" spans="13:13" x14ac:dyDescent="0.25">
      <c r="M7936" s="21"/>
    </row>
    <row r="7937" spans="13:13" x14ac:dyDescent="0.25">
      <c r="M7937" s="21"/>
    </row>
    <row r="7938" spans="13:13" x14ac:dyDescent="0.25">
      <c r="M7938" s="21"/>
    </row>
    <row r="7939" spans="13:13" x14ac:dyDescent="0.25">
      <c r="M7939" s="21"/>
    </row>
    <row r="7940" spans="13:13" x14ac:dyDescent="0.25">
      <c r="M7940" s="21"/>
    </row>
    <row r="7941" spans="13:13" x14ac:dyDescent="0.25">
      <c r="M7941" s="21"/>
    </row>
    <row r="7942" spans="13:13" x14ac:dyDescent="0.25">
      <c r="M7942" s="21"/>
    </row>
    <row r="7943" spans="13:13" x14ac:dyDescent="0.25">
      <c r="M7943" s="21"/>
    </row>
    <row r="7944" spans="13:13" x14ac:dyDescent="0.25">
      <c r="M7944" s="21"/>
    </row>
    <row r="7945" spans="13:13" x14ac:dyDescent="0.25">
      <c r="M7945" s="21"/>
    </row>
    <row r="7946" spans="13:13" x14ac:dyDescent="0.25">
      <c r="M7946" s="21"/>
    </row>
    <row r="7947" spans="13:13" x14ac:dyDescent="0.25">
      <c r="M7947" s="21"/>
    </row>
    <row r="7948" spans="13:13" x14ac:dyDescent="0.25">
      <c r="M7948" s="21"/>
    </row>
    <row r="7949" spans="13:13" x14ac:dyDescent="0.25">
      <c r="M7949" s="21"/>
    </row>
    <row r="7950" spans="13:13" x14ac:dyDescent="0.25">
      <c r="M7950" s="21"/>
    </row>
    <row r="7951" spans="13:13" x14ac:dyDescent="0.25">
      <c r="M7951" s="21"/>
    </row>
    <row r="7952" spans="13:13" x14ac:dyDescent="0.25">
      <c r="M7952" s="21"/>
    </row>
    <row r="7953" spans="13:13" x14ac:dyDescent="0.25">
      <c r="M7953" s="21"/>
    </row>
    <row r="7954" spans="13:13" x14ac:dyDescent="0.25">
      <c r="M7954" s="21"/>
    </row>
    <row r="7955" spans="13:13" x14ac:dyDescent="0.25">
      <c r="M7955" s="21"/>
    </row>
    <row r="7956" spans="13:13" x14ac:dyDescent="0.25">
      <c r="M7956" s="21"/>
    </row>
    <row r="7957" spans="13:13" x14ac:dyDescent="0.25">
      <c r="M7957" s="21"/>
    </row>
    <row r="7958" spans="13:13" x14ac:dyDescent="0.25">
      <c r="M7958" s="21"/>
    </row>
    <row r="7959" spans="13:13" x14ac:dyDescent="0.25">
      <c r="M7959" s="21"/>
    </row>
    <row r="7960" spans="13:13" x14ac:dyDescent="0.25">
      <c r="M7960" s="21"/>
    </row>
    <row r="7961" spans="13:13" x14ac:dyDescent="0.25">
      <c r="M7961" s="21"/>
    </row>
    <row r="7962" spans="13:13" x14ac:dyDescent="0.25">
      <c r="M7962" s="21"/>
    </row>
    <row r="7963" spans="13:13" x14ac:dyDescent="0.25">
      <c r="M7963" s="21"/>
    </row>
    <row r="7964" spans="13:13" x14ac:dyDescent="0.25">
      <c r="M7964" s="21"/>
    </row>
    <row r="7965" spans="13:13" x14ac:dyDescent="0.25">
      <c r="M7965" s="21"/>
    </row>
    <row r="7966" spans="13:13" x14ac:dyDescent="0.25">
      <c r="M7966" s="21"/>
    </row>
    <row r="7967" spans="13:13" x14ac:dyDescent="0.25">
      <c r="M7967" s="21"/>
    </row>
    <row r="7968" spans="13:13" x14ac:dyDescent="0.25">
      <c r="M7968" s="21"/>
    </row>
    <row r="7969" spans="13:13" x14ac:dyDescent="0.25">
      <c r="M7969" s="21"/>
    </row>
    <row r="7970" spans="13:13" x14ac:dyDescent="0.25">
      <c r="M7970" s="21"/>
    </row>
    <row r="7971" spans="13:13" x14ac:dyDescent="0.25">
      <c r="M7971" s="21"/>
    </row>
    <row r="7972" spans="13:13" x14ac:dyDescent="0.25">
      <c r="M7972" s="21"/>
    </row>
    <row r="7973" spans="13:13" x14ac:dyDescent="0.25">
      <c r="M7973" s="21"/>
    </row>
    <row r="7974" spans="13:13" x14ac:dyDescent="0.25">
      <c r="M7974" s="21"/>
    </row>
    <row r="7975" spans="13:13" x14ac:dyDescent="0.25">
      <c r="M7975" s="21"/>
    </row>
    <row r="7976" spans="13:13" x14ac:dyDescent="0.25">
      <c r="M7976" s="21"/>
    </row>
    <row r="7977" spans="13:13" x14ac:dyDescent="0.25">
      <c r="M7977" s="21"/>
    </row>
    <row r="7978" spans="13:13" x14ac:dyDescent="0.25">
      <c r="M7978" s="21"/>
    </row>
    <row r="7979" spans="13:13" x14ac:dyDescent="0.25">
      <c r="M7979" s="21"/>
    </row>
    <row r="7980" spans="13:13" x14ac:dyDescent="0.25">
      <c r="M7980" s="21"/>
    </row>
    <row r="7981" spans="13:13" x14ac:dyDescent="0.25">
      <c r="M7981" s="21"/>
    </row>
    <row r="7982" spans="13:13" x14ac:dyDescent="0.25">
      <c r="M7982" s="21"/>
    </row>
    <row r="7983" spans="13:13" x14ac:dyDescent="0.25">
      <c r="M7983" s="21"/>
    </row>
    <row r="7984" spans="13:13" x14ac:dyDescent="0.25">
      <c r="M7984" s="21"/>
    </row>
    <row r="7985" spans="13:13" x14ac:dyDescent="0.25">
      <c r="M7985" s="21"/>
    </row>
    <row r="7986" spans="13:13" x14ac:dyDescent="0.25">
      <c r="M7986" s="21"/>
    </row>
    <row r="7987" spans="13:13" x14ac:dyDescent="0.25">
      <c r="M7987" s="21"/>
    </row>
    <row r="7988" spans="13:13" x14ac:dyDescent="0.25">
      <c r="M7988" s="21"/>
    </row>
    <row r="7989" spans="13:13" x14ac:dyDescent="0.25">
      <c r="M7989" s="21"/>
    </row>
    <row r="7990" spans="13:13" x14ac:dyDescent="0.25">
      <c r="M7990" s="21"/>
    </row>
    <row r="7991" spans="13:13" x14ac:dyDescent="0.25">
      <c r="M7991" s="21"/>
    </row>
    <row r="7992" spans="13:13" x14ac:dyDescent="0.25">
      <c r="M7992" s="21"/>
    </row>
    <row r="7993" spans="13:13" x14ac:dyDescent="0.25">
      <c r="M7993" s="21"/>
    </row>
    <row r="7994" spans="13:13" x14ac:dyDescent="0.25">
      <c r="M7994" s="21"/>
    </row>
    <row r="7995" spans="13:13" x14ac:dyDescent="0.25">
      <c r="M7995" s="21"/>
    </row>
    <row r="7996" spans="13:13" x14ac:dyDescent="0.25">
      <c r="M7996" s="21"/>
    </row>
    <row r="7997" spans="13:13" x14ac:dyDescent="0.25">
      <c r="M7997" s="21"/>
    </row>
    <row r="7998" spans="13:13" x14ac:dyDescent="0.25">
      <c r="M7998" s="21"/>
    </row>
    <row r="7999" spans="13:13" x14ac:dyDescent="0.25">
      <c r="M7999" s="21"/>
    </row>
    <row r="8000" spans="13:13" x14ac:dyDescent="0.25">
      <c r="M8000" s="21"/>
    </row>
    <row r="8001" spans="13:13" x14ac:dyDescent="0.25">
      <c r="M8001" s="21"/>
    </row>
    <row r="8002" spans="13:13" x14ac:dyDescent="0.25">
      <c r="M8002" s="21"/>
    </row>
    <row r="8003" spans="13:13" x14ac:dyDescent="0.25">
      <c r="M8003" s="21"/>
    </row>
    <row r="8004" spans="13:13" x14ac:dyDescent="0.25">
      <c r="M8004" s="21"/>
    </row>
    <row r="8005" spans="13:13" x14ac:dyDescent="0.25">
      <c r="M8005" s="21"/>
    </row>
    <row r="8006" spans="13:13" x14ac:dyDescent="0.25">
      <c r="M8006" s="21"/>
    </row>
    <row r="8007" spans="13:13" x14ac:dyDescent="0.25">
      <c r="M8007" s="21"/>
    </row>
    <row r="8008" spans="13:13" x14ac:dyDescent="0.25">
      <c r="M8008" s="21"/>
    </row>
    <row r="8009" spans="13:13" x14ac:dyDescent="0.25">
      <c r="M8009" s="21"/>
    </row>
    <row r="8010" spans="13:13" x14ac:dyDescent="0.25">
      <c r="M8010" s="21"/>
    </row>
    <row r="8011" spans="13:13" x14ac:dyDescent="0.25">
      <c r="M8011" s="21"/>
    </row>
    <row r="8012" spans="13:13" x14ac:dyDescent="0.25">
      <c r="M8012" s="21"/>
    </row>
    <row r="8013" spans="13:13" x14ac:dyDescent="0.25">
      <c r="M8013" s="21"/>
    </row>
    <row r="8014" spans="13:13" x14ac:dyDescent="0.25">
      <c r="M8014" s="21"/>
    </row>
    <row r="8015" spans="13:13" x14ac:dyDescent="0.25">
      <c r="M8015" s="21"/>
    </row>
    <row r="8016" spans="13:13" x14ac:dyDescent="0.25">
      <c r="M8016" s="21"/>
    </row>
    <row r="8017" spans="13:13" x14ac:dyDescent="0.25">
      <c r="M8017" s="21"/>
    </row>
    <row r="8018" spans="13:13" x14ac:dyDescent="0.25">
      <c r="M8018" s="21"/>
    </row>
    <row r="8019" spans="13:13" x14ac:dyDescent="0.25">
      <c r="M8019" s="21"/>
    </row>
    <row r="8020" spans="13:13" x14ac:dyDescent="0.25">
      <c r="M8020" s="21"/>
    </row>
    <row r="8021" spans="13:13" x14ac:dyDescent="0.25">
      <c r="M8021" s="21"/>
    </row>
    <row r="8022" spans="13:13" x14ac:dyDescent="0.25">
      <c r="M8022" s="21"/>
    </row>
    <row r="8023" spans="13:13" x14ac:dyDescent="0.25">
      <c r="M8023" s="21"/>
    </row>
    <row r="8024" spans="13:13" x14ac:dyDescent="0.25">
      <c r="M8024" s="21"/>
    </row>
    <row r="8025" spans="13:13" x14ac:dyDescent="0.25">
      <c r="M8025" s="21"/>
    </row>
    <row r="8026" spans="13:13" x14ac:dyDescent="0.25">
      <c r="M8026" s="21"/>
    </row>
    <row r="8027" spans="13:13" x14ac:dyDescent="0.25">
      <c r="M8027" s="21"/>
    </row>
    <row r="8028" spans="13:13" x14ac:dyDescent="0.25">
      <c r="M8028" s="21"/>
    </row>
    <row r="8029" spans="13:13" x14ac:dyDescent="0.25">
      <c r="M8029" s="21"/>
    </row>
    <row r="8030" spans="13:13" x14ac:dyDescent="0.25">
      <c r="M8030" s="21"/>
    </row>
    <row r="8031" spans="13:13" x14ac:dyDescent="0.25">
      <c r="M8031" s="21"/>
    </row>
    <row r="8032" spans="13:13" x14ac:dyDescent="0.25">
      <c r="M8032" s="21"/>
    </row>
    <row r="8033" spans="13:13" x14ac:dyDescent="0.25">
      <c r="M8033" s="21"/>
    </row>
    <row r="8034" spans="13:13" x14ac:dyDescent="0.25">
      <c r="M8034" s="21"/>
    </row>
    <row r="8035" spans="13:13" x14ac:dyDescent="0.25">
      <c r="M8035" s="21"/>
    </row>
    <row r="8036" spans="13:13" x14ac:dyDescent="0.25">
      <c r="M8036" s="21"/>
    </row>
    <row r="8037" spans="13:13" x14ac:dyDescent="0.25">
      <c r="M8037" s="21"/>
    </row>
    <row r="8038" spans="13:13" x14ac:dyDescent="0.25">
      <c r="M8038" s="21"/>
    </row>
    <row r="8039" spans="13:13" x14ac:dyDescent="0.25">
      <c r="M8039" s="21"/>
    </row>
    <row r="8040" spans="13:13" x14ac:dyDescent="0.25">
      <c r="M8040" s="21"/>
    </row>
    <row r="8041" spans="13:13" x14ac:dyDescent="0.25">
      <c r="M8041" s="21"/>
    </row>
    <row r="8042" spans="13:13" x14ac:dyDescent="0.25">
      <c r="M8042" s="21"/>
    </row>
    <row r="8043" spans="13:13" x14ac:dyDescent="0.25">
      <c r="M8043" s="21"/>
    </row>
    <row r="8044" spans="13:13" x14ac:dyDescent="0.25">
      <c r="M8044" s="21"/>
    </row>
    <row r="8045" spans="13:13" x14ac:dyDescent="0.25">
      <c r="M8045" s="21"/>
    </row>
    <row r="8046" spans="13:13" x14ac:dyDescent="0.25">
      <c r="M8046" s="21"/>
    </row>
    <row r="8047" spans="13:13" x14ac:dyDescent="0.25">
      <c r="M8047" s="21"/>
    </row>
    <row r="8048" spans="13:13" x14ac:dyDescent="0.25">
      <c r="M8048" s="21"/>
    </row>
    <row r="8049" spans="13:13" x14ac:dyDescent="0.25">
      <c r="M8049" s="21"/>
    </row>
    <row r="8050" spans="13:13" x14ac:dyDescent="0.25">
      <c r="M8050" s="21"/>
    </row>
    <row r="8051" spans="13:13" x14ac:dyDescent="0.25">
      <c r="M8051" s="21"/>
    </row>
    <row r="8052" spans="13:13" x14ac:dyDescent="0.25">
      <c r="M8052" s="21"/>
    </row>
    <row r="8053" spans="13:13" x14ac:dyDescent="0.25">
      <c r="M8053" s="21"/>
    </row>
    <row r="8054" spans="13:13" x14ac:dyDescent="0.25">
      <c r="M8054" s="21"/>
    </row>
    <row r="8055" spans="13:13" x14ac:dyDescent="0.25">
      <c r="M8055" s="21"/>
    </row>
    <row r="8056" spans="13:13" x14ac:dyDescent="0.25">
      <c r="M8056" s="21"/>
    </row>
    <row r="8057" spans="13:13" x14ac:dyDescent="0.25">
      <c r="M8057" s="21"/>
    </row>
    <row r="8058" spans="13:13" x14ac:dyDescent="0.25">
      <c r="M8058" s="21"/>
    </row>
    <row r="8059" spans="13:13" x14ac:dyDescent="0.25">
      <c r="M8059" s="21"/>
    </row>
    <row r="8060" spans="13:13" x14ac:dyDescent="0.25">
      <c r="M8060" s="21"/>
    </row>
    <row r="8061" spans="13:13" x14ac:dyDescent="0.25">
      <c r="M8061" s="21"/>
    </row>
    <row r="8062" spans="13:13" x14ac:dyDescent="0.25">
      <c r="M8062" s="21"/>
    </row>
    <row r="8063" spans="13:13" x14ac:dyDescent="0.25">
      <c r="M8063" s="21"/>
    </row>
    <row r="8064" spans="13:13" x14ac:dyDescent="0.25">
      <c r="M8064" s="21"/>
    </row>
    <row r="8065" spans="13:13" x14ac:dyDescent="0.25">
      <c r="M8065" s="21"/>
    </row>
    <row r="8066" spans="13:13" x14ac:dyDescent="0.25">
      <c r="M8066" s="21"/>
    </row>
    <row r="8067" spans="13:13" x14ac:dyDescent="0.25">
      <c r="M8067" s="21"/>
    </row>
    <row r="8068" spans="13:13" x14ac:dyDescent="0.25">
      <c r="M8068" s="21"/>
    </row>
    <row r="8069" spans="13:13" x14ac:dyDescent="0.25">
      <c r="M8069" s="21"/>
    </row>
    <row r="8070" spans="13:13" x14ac:dyDescent="0.25">
      <c r="M8070" s="21"/>
    </row>
    <row r="8071" spans="13:13" x14ac:dyDescent="0.25">
      <c r="M8071" s="21"/>
    </row>
    <row r="8072" spans="13:13" x14ac:dyDescent="0.25">
      <c r="M8072" s="21"/>
    </row>
    <row r="8073" spans="13:13" x14ac:dyDescent="0.25">
      <c r="M8073" s="21"/>
    </row>
    <row r="8074" spans="13:13" x14ac:dyDescent="0.25">
      <c r="M8074" s="21"/>
    </row>
    <row r="8075" spans="13:13" x14ac:dyDescent="0.25">
      <c r="M8075" s="21"/>
    </row>
    <row r="8076" spans="13:13" x14ac:dyDescent="0.25">
      <c r="M8076" s="21"/>
    </row>
    <row r="8077" spans="13:13" x14ac:dyDescent="0.25">
      <c r="M8077" s="21"/>
    </row>
    <row r="8078" spans="13:13" x14ac:dyDescent="0.25">
      <c r="M8078" s="21"/>
    </row>
    <row r="8079" spans="13:13" x14ac:dyDescent="0.25">
      <c r="M8079" s="21"/>
    </row>
    <row r="8080" spans="13:13" x14ac:dyDescent="0.25">
      <c r="M8080" s="21"/>
    </row>
    <row r="8081" spans="13:13" x14ac:dyDescent="0.25">
      <c r="M8081" s="21"/>
    </row>
    <row r="8082" spans="13:13" x14ac:dyDescent="0.25">
      <c r="M8082" s="21"/>
    </row>
    <row r="8083" spans="13:13" x14ac:dyDescent="0.25">
      <c r="M8083" s="21"/>
    </row>
    <row r="8084" spans="13:13" x14ac:dyDescent="0.25">
      <c r="M8084" s="21"/>
    </row>
    <row r="8085" spans="13:13" x14ac:dyDescent="0.25">
      <c r="M8085" s="21"/>
    </row>
    <row r="8086" spans="13:13" x14ac:dyDescent="0.25">
      <c r="M8086" s="21"/>
    </row>
    <row r="8087" spans="13:13" x14ac:dyDescent="0.25">
      <c r="M8087" s="21"/>
    </row>
    <row r="8088" spans="13:13" x14ac:dyDescent="0.25">
      <c r="M8088" s="21"/>
    </row>
    <row r="8089" spans="13:13" x14ac:dyDescent="0.25">
      <c r="M8089" s="21"/>
    </row>
    <row r="8090" spans="13:13" x14ac:dyDescent="0.25">
      <c r="M8090" s="21"/>
    </row>
    <row r="8091" spans="13:13" x14ac:dyDescent="0.25">
      <c r="M8091" s="21"/>
    </row>
    <row r="8092" spans="13:13" x14ac:dyDescent="0.25">
      <c r="M8092" s="21"/>
    </row>
    <row r="8093" spans="13:13" x14ac:dyDescent="0.25">
      <c r="M8093" s="21"/>
    </row>
    <row r="8094" spans="13:13" x14ac:dyDescent="0.25">
      <c r="M8094" s="21"/>
    </row>
    <row r="8095" spans="13:13" x14ac:dyDescent="0.25">
      <c r="M8095" s="21"/>
    </row>
    <row r="8096" spans="13:13" x14ac:dyDescent="0.25">
      <c r="M8096" s="21"/>
    </row>
    <row r="8097" spans="13:13" x14ac:dyDescent="0.25">
      <c r="M8097" s="21"/>
    </row>
    <row r="8098" spans="13:13" x14ac:dyDescent="0.25">
      <c r="M8098" s="21"/>
    </row>
    <row r="8099" spans="13:13" x14ac:dyDescent="0.25">
      <c r="M8099" s="21"/>
    </row>
    <row r="8100" spans="13:13" x14ac:dyDescent="0.25">
      <c r="M8100" s="21"/>
    </row>
    <row r="8101" spans="13:13" x14ac:dyDescent="0.25">
      <c r="M8101" s="21"/>
    </row>
    <row r="8102" spans="13:13" x14ac:dyDescent="0.25">
      <c r="M8102" s="21"/>
    </row>
    <row r="8103" spans="13:13" x14ac:dyDescent="0.25">
      <c r="M8103" s="21"/>
    </row>
    <row r="8104" spans="13:13" x14ac:dyDescent="0.25">
      <c r="M8104" s="21"/>
    </row>
    <row r="8105" spans="13:13" x14ac:dyDescent="0.25">
      <c r="M8105" s="21"/>
    </row>
    <row r="8106" spans="13:13" x14ac:dyDescent="0.25">
      <c r="M8106" s="21"/>
    </row>
    <row r="8107" spans="13:13" x14ac:dyDescent="0.25">
      <c r="M8107" s="21"/>
    </row>
    <row r="8108" spans="13:13" x14ac:dyDescent="0.25">
      <c r="M8108" s="21"/>
    </row>
    <row r="8109" spans="13:13" x14ac:dyDescent="0.25">
      <c r="M8109" s="21"/>
    </row>
    <row r="8110" spans="13:13" x14ac:dyDescent="0.25">
      <c r="M8110" s="21"/>
    </row>
    <row r="8111" spans="13:13" x14ac:dyDescent="0.25">
      <c r="M8111" s="21"/>
    </row>
    <row r="8112" spans="13:13" x14ac:dyDescent="0.25">
      <c r="M8112" s="21"/>
    </row>
    <row r="8113" spans="13:13" x14ac:dyDescent="0.25">
      <c r="M8113" s="21"/>
    </row>
    <row r="8114" spans="13:13" x14ac:dyDescent="0.25">
      <c r="M8114" s="21"/>
    </row>
    <row r="8115" spans="13:13" x14ac:dyDescent="0.25">
      <c r="M8115" s="21"/>
    </row>
    <row r="8116" spans="13:13" x14ac:dyDescent="0.25">
      <c r="M8116" s="21"/>
    </row>
    <row r="8117" spans="13:13" x14ac:dyDescent="0.25">
      <c r="M8117" s="21"/>
    </row>
    <row r="8118" spans="13:13" x14ac:dyDescent="0.25">
      <c r="M8118" s="21"/>
    </row>
    <row r="8119" spans="13:13" x14ac:dyDescent="0.25">
      <c r="M8119" s="21"/>
    </row>
    <row r="8120" spans="13:13" x14ac:dyDescent="0.25">
      <c r="M8120" s="21"/>
    </row>
    <row r="8121" spans="13:13" x14ac:dyDescent="0.25">
      <c r="M8121" s="21"/>
    </row>
    <row r="8122" spans="13:13" x14ac:dyDescent="0.25">
      <c r="M8122" s="21"/>
    </row>
    <row r="8123" spans="13:13" x14ac:dyDescent="0.25">
      <c r="M8123" s="21"/>
    </row>
    <row r="8124" spans="13:13" x14ac:dyDescent="0.25">
      <c r="M8124" s="21"/>
    </row>
    <row r="8125" spans="13:13" x14ac:dyDescent="0.25">
      <c r="M8125" s="21"/>
    </row>
    <row r="8126" spans="13:13" x14ac:dyDescent="0.25">
      <c r="M8126" s="21"/>
    </row>
    <row r="8127" spans="13:13" x14ac:dyDescent="0.25">
      <c r="M8127" s="21"/>
    </row>
    <row r="8128" spans="13:13" x14ac:dyDescent="0.25">
      <c r="M8128" s="21"/>
    </row>
    <row r="8129" spans="13:13" x14ac:dyDescent="0.25">
      <c r="M8129" s="21"/>
    </row>
    <row r="8130" spans="13:13" x14ac:dyDescent="0.25">
      <c r="M8130" s="21"/>
    </row>
    <row r="8131" spans="13:13" x14ac:dyDescent="0.25">
      <c r="M8131" s="21"/>
    </row>
    <row r="8132" spans="13:13" x14ac:dyDescent="0.25">
      <c r="M8132" s="21"/>
    </row>
    <row r="8133" spans="13:13" x14ac:dyDescent="0.25">
      <c r="M8133" s="21"/>
    </row>
    <row r="8134" spans="13:13" x14ac:dyDescent="0.25">
      <c r="M8134" s="21"/>
    </row>
    <row r="8135" spans="13:13" x14ac:dyDescent="0.25">
      <c r="M8135" s="21"/>
    </row>
    <row r="8136" spans="13:13" x14ac:dyDescent="0.25">
      <c r="M8136" s="21"/>
    </row>
    <row r="8137" spans="13:13" x14ac:dyDescent="0.25">
      <c r="M8137" s="21"/>
    </row>
    <row r="8138" spans="13:13" x14ac:dyDescent="0.25">
      <c r="M8138" s="21"/>
    </row>
    <row r="8139" spans="13:13" x14ac:dyDescent="0.25">
      <c r="M8139" s="21"/>
    </row>
    <row r="8140" spans="13:13" x14ac:dyDescent="0.25">
      <c r="M8140" s="21"/>
    </row>
    <row r="8141" spans="13:13" x14ac:dyDescent="0.25">
      <c r="M8141" s="21"/>
    </row>
    <row r="8142" spans="13:13" x14ac:dyDescent="0.25">
      <c r="M8142" s="21"/>
    </row>
    <row r="8143" spans="13:13" x14ac:dyDescent="0.25">
      <c r="M8143" s="21"/>
    </row>
    <row r="8144" spans="13:13" x14ac:dyDescent="0.25">
      <c r="M8144" s="21"/>
    </row>
    <row r="8145" spans="13:13" x14ac:dyDescent="0.25">
      <c r="M8145" s="21"/>
    </row>
    <row r="8146" spans="13:13" x14ac:dyDescent="0.25">
      <c r="M8146" s="21"/>
    </row>
    <row r="8147" spans="13:13" x14ac:dyDescent="0.25">
      <c r="M8147" s="21"/>
    </row>
    <row r="8148" spans="13:13" x14ac:dyDescent="0.25">
      <c r="M8148" s="21"/>
    </row>
    <row r="8149" spans="13:13" x14ac:dyDescent="0.25">
      <c r="M8149" s="21"/>
    </row>
    <row r="8150" spans="13:13" x14ac:dyDescent="0.25">
      <c r="M8150" s="21"/>
    </row>
    <row r="8151" spans="13:13" x14ac:dyDescent="0.25">
      <c r="M8151" s="21"/>
    </row>
    <row r="8152" spans="13:13" x14ac:dyDescent="0.25">
      <c r="M8152" s="21"/>
    </row>
    <row r="8153" spans="13:13" x14ac:dyDescent="0.25">
      <c r="M8153" s="21"/>
    </row>
    <row r="8154" spans="13:13" x14ac:dyDescent="0.25">
      <c r="M8154" s="21"/>
    </row>
    <row r="8155" spans="13:13" x14ac:dyDescent="0.25">
      <c r="M8155" s="21"/>
    </row>
    <row r="8156" spans="13:13" x14ac:dyDescent="0.25">
      <c r="M8156" s="21"/>
    </row>
    <row r="8157" spans="13:13" x14ac:dyDescent="0.25">
      <c r="M8157" s="21"/>
    </row>
    <row r="8158" spans="13:13" x14ac:dyDescent="0.25">
      <c r="M8158" s="21"/>
    </row>
    <row r="8159" spans="13:13" x14ac:dyDescent="0.25">
      <c r="M8159" s="21"/>
    </row>
    <row r="8160" spans="13:13" x14ac:dyDescent="0.25">
      <c r="M8160" s="21"/>
    </row>
    <row r="8161" spans="13:13" x14ac:dyDescent="0.25">
      <c r="M8161" s="21"/>
    </row>
    <row r="8162" spans="13:13" x14ac:dyDescent="0.25">
      <c r="M8162" s="21"/>
    </row>
    <row r="8163" spans="13:13" x14ac:dyDescent="0.25">
      <c r="M8163" s="21"/>
    </row>
    <row r="8164" spans="13:13" x14ac:dyDescent="0.25">
      <c r="M8164" s="21"/>
    </row>
    <row r="8165" spans="13:13" x14ac:dyDescent="0.25">
      <c r="M8165" s="21"/>
    </row>
    <row r="8166" spans="13:13" x14ac:dyDescent="0.25">
      <c r="M8166" s="21"/>
    </row>
    <row r="8167" spans="13:13" x14ac:dyDescent="0.25">
      <c r="M8167" s="21"/>
    </row>
    <row r="8168" spans="13:13" x14ac:dyDescent="0.25">
      <c r="M8168" s="21"/>
    </row>
    <row r="8169" spans="13:13" x14ac:dyDescent="0.25">
      <c r="M8169" s="21"/>
    </row>
    <row r="8170" spans="13:13" x14ac:dyDescent="0.25">
      <c r="M8170" s="21"/>
    </row>
    <row r="8171" spans="13:13" x14ac:dyDescent="0.25">
      <c r="M8171" s="21"/>
    </row>
    <row r="8172" spans="13:13" x14ac:dyDescent="0.25">
      <c r="M8172" s="21"/>
    </row>
    <row r="8173" spans="13:13" x14ac:dyDescent="0.25">
      <c r="M8173" s="21"/>
    </row>
    <row r="8174" spans="13:13" x14ac:dyDescent="0.25">
      <c r="M8174" s="21"/>
    </row>
    <row r="8175" spans="13:13" x14ac:dyDescent="0.25">
      <c r="M8175" s="21"/>
    </row>
    <row r="8176" spans="13:13" x14ac:dyDescent="0.25">
      <c r="M8176" s="21"/>
    </row>
    <row r="8177" spans="13:13" x14ac:dyDescent="0.25">
      <c r="M8177" s="21"/>
    </row>
    <row r="8178" spans="13:13" x14ac:dyDescent="0.25">
      <c r="M8178" s="21"/>
    </row>
    <row r="8179" spans="13:13" x14ac:dyDescent="0.25">
      <c r="M8179" s="21"/>
    </row>
    <row r="8180" spans="13:13" x14ac:dyDescent="0.25">
      <c r="M8180" s="21"/>
    </row>
    <row r="8181" spans="13:13" x14ac:dyDescent="0.25">
      <c r="M8181" s="21"/>
    </row>
    <row r="8182" spans="13:13" x14ac:dyDescent="0.25">
      <c r="M8182" s="21"/>
    </row>
    <row r="8183" spans="13:13" x14ac:dyDescent="0.25">
      <c r="M8183" s="21"/>
    </row>
    <row r="8184" spans="13:13" x14ac:dyDescent="0.25">
      <c r="M8184" s="21"/>
    </row>
    <row r="8185" spans="13:13" x14ac:dyDescent="0.25">
      <c r="M8185" s="21"/>
    </row>
    <row r="8186" spans="13:13" x14ac:dyDescent="0.25">
      <c r="M8186" s="21"/>
    </row>
    <row r="8187" spans="13:13" x14ac:dyDescent="0.25">
      <c r="M8187" s="21"/>
    </row>
    <row r="8188" spans="13:13" x14ac:dyDescent="0.25">
      <c r="M8188" s="21"/>
    </row>
    <row r="8189" spans="13:13" x14ac:dyDescent="0.25">
      <c r="M8189" s="21"/>
    </row>
    <row r="8190" spans="13:13" x14ac:dyDescent="0.25">
      <c r="M8190" s="21"/>
    </row>
    <row r="8191" spans="13:13" x14ac:dyDescent="0.25">
      <c r="M8191" s="21"/>
    </row>
    <row r="8192" spans="13:13" x14ac:dyDescent="0.25">
      <c r="M8192" s="21"/>
    </row>
    <row r="8193" spans="13:13" x14ac:dyDescent="0.25">
      <c r="M8193" s="21"/>
    </row>
    <row r="8194" spans="13:13" x14ac:dyDescent="0.25">
      <c r="M8194" s="21"/>
    </row>
    <row r="8195" spans="13:13" x14ac:dyDescent="0.25">
      <c r="M8195" s="21"/>
    </row>
    <row r="8196" spans="13:13" x14ac:dyDescent="0.25">
      <c r="M8196" s="21"/>
    </row>
    <row r="8197" spans="13:13" x14ac:dyDescent="0.25">
      <c r="M8197" s="21"/>
    </row>
    <row r="8198" spans="13:13" x14ac:dyDescent="0.25">
      <c r="M8198" s="21"/>
    </row>
    <row r="8199" spans="13:13" x14ac:dyDescent="0.25">
      <c r="M8199" s="21"/>
    </row>
    <row r="8200" spans="13:13" x14ac:dyDescent="0.25">
      <c r="M8200" s="21"/>
    </row>
    <row r="8201" spans="13:13" x14ac:dyDescent="0.25">
      <c r="M8201" s="21"/>
    </row>
    <row r="8202" spans="13:13" x14ac:dyDescent="0.25">
      <c r="M8202" s="21"/>
    </row>
    <row r="8203" spans="13:13" x14ac:dyDescent="0.25">
      <c r="M8203" s="21"/>
    </row>
    <row r="8204" spans="13:13" x14ac:dyDescent="0.25">
      <c r="M8204" s="21"/>
    </row>
    <row r="8205" spans="13:13" x14ac:dyDescent="0.25">
      <c r="M8205" s="21"/>
    </row>
    <row r="8206" spans="13:13" x14ac:dyDescent="0.25">
      <c r="M8206" s="21"/>
    </row>
    <row r="8207" spans="13:13" x14ac:dyDescent="0.25">
      <c r="M8207" s="21"/>
    </row>
    <row r="8208" spans="13:13" x14ac:dyDescent="0.25">
      <c r="M8208" s="21"/>
    </row>
    <row r="8209" spans="13:13" x14ac:dyDescent="0.25">
      <c r="M8209" s="21"/>
    </row>
    <row r="8210" spans="13:13" x14ac:dyDescent="0.25">
      <c r="M8210" s="21"/>
    </row>
    <row r="8211" spans="13:13" x14ac:dyDescent="0.25">
      <c r="M8211" s="21"/>
    </row>
    <row r="8212" spans="13:13" x14ac:dyDescent="0.25">
      <c r="M8212" s="21"/>
    </row>
    <row r="8213" spans="13:13" x14ac:dyDescent="0.25">
      <c r="M8213" s="21"/>
    </row>
    <row r="8214" spans="13:13" x14ac:dyDescent="0.25">
      <c r="M8214" s="21"/>
    </row>
    <row r="8215" spans="13:13" x14ac:dyDescent="0.25">
      <c r="M8215" s="21"/>
    </row>
    <row r="8216" spans="13:13" x14ac:dyDescent="0.25">
      <c r="M8216" s="21"/>
    </row>
    <row r="8217" spans="13:13" x14ac:dyDescent="0.25">
      <c r="M8217" s="21"/>
    </row>
    <row r="8218" spans="13:13" x14ac:dyDescent="0.25">
      <c r="M8218" s="21"/>
    </row>
    <row r="8219" spans="13:13" x14ac:dyDescent="0.25">
      <c r="M8219" s="21"/>
    </row>
    <row r="8220" spans="13:13" x14ac:dyDescent="0.25">
      <c r="M8220" s="21"/>
    </row>
    <row r="8221" spans="13:13" x14ac:dyDescent="0.25">
      <c r="M8221" s="21"/>
    </row>
    <row r="8222" spans="13:13" x14ac:dyDescent="0.25">
      <c r="M8222" s="21"/>
    </row>
    <row r="8223" spans="13:13" x14ac:dyDescent="0.25">
      <c r="M8223" s="21"/>
    </row>
    <row r="8224" spans="13:13" x14ac:dyDescent="0.25">
      <c r="M8224" s="21"/>
    </row>
    <row r="8225" spans="13:13" x14ac:dyDescent="0.25">
      <c r="M8225" s="21"/>
    </row>
    <row r="8226" spans="13:13" x14ac:dyDescent="0.25">
      <c r="M8226" s="21"/>
    </row>
    <row r="8227" spans="13:13" x14ac:dyDescent="0.25">
      <c r="M8227" s="21"/>
    </row>
    <row r="8228" spans="13:13" x14ac:dyDescent="0.25">
      <c r="M8228" s="21"/>
    </row>
    <row r="8229" spans="13:13" x14ac:dyDescent="0.25">
      <c r="M8229" s="21"/>
    </row>
    <row r="8230" spans="13:13" x14ac:dyDescent="0.25">
      <c r="M8230" s="21"/>
    </row>
    <row r="8231" spans="13:13" x14ac:dyDescent="0.25">
      <c r="M8231" s="21"/>
    </row>
    <row r="8232" spans="13:13" x14ac:dyDescent="0.25">
      <c r="M8232" s="21"/>
    </row>
    <row r="8233" spans="13:13" x14ac:dyDescent="0.25">
      <c r="M8233" s="21"/>
    </row>
    <row r="8234" spans="13:13" x14ac:dyDescent="0.25">
      <c r="M8234" s="21"/>
    </row>
    <row r="8235" spans="13:13" x14ac:dyDescent="0.25">
      <c r="M8235" s="21"/>
    </row>
    <row r="8236" spans="13:13" x14ac:dyDescent="0.25">
      <c r="M8236" s="21"/>
    </row>
    <row r="8237" spans="13:13" x14ac:dyDescent="0.25">
      <c r="M8237" s="21"/>
    </row>
    <row r="8238" spans="13:13" x14ac:dyDescent="0.25">
      <c r="M8238" s="21"/>
    </row>
    <row r="8239" spans="13:13" x14ac:dyDescent="0.25">
      <c r="M8239" s="21"/>
    </row>
    <row r="8240" spans="13:13" x14ac:dyDescent="0.25">
      <c r="M8240" s="21"/>
    </row>
    <row r="8241" spans="13:13" x14ac:dyDescent="0.25">
      <c r="M8241" s="21"/>
    </row>
    <row r="8242" spans="13:13" x14ac:dyDescent="0.25">
      <c r="M8242" s="21"/>
    </row>
    <row r="8243" spans="13:13" x14ac:dyDescent="0.25">
      <c r="M8243" s="21"/>
    </row>
    <row r="8244" spans="13:13" x14ac:dyDescent="0.25">
      <c r="M8244" s="21"/>
    </row>
    <row r="8245" spans="13:13" x14ac:dyDescent="0.25">
      <c r="M8245" s="21"/>
    </row>
    <row r="8246" spans="13:13" x14ac:dyDescent="0.25">
      <c r="M8246" s="21"/>
    </row>
    <row r="8247" spans="13:13" x14ac:dyDescent="0.25">
      <c r="M8247" s="21"/>
    </row>
    <row r="8248" spans="13:13" x14ac:dyDescent="0.25">
      <c r="M8248" s="21"/>
    </row>
    <row r="8249" spans="13:13" x14ac:dyDescent="0.25">
      <c r="M8249" s="21"/>
    </row>
    <row r="8250" spans="13:13" x14ac:dyDescent="0.25">
      <c r="M8250" s="21"/>
    </row>
    <row r="8251" spans="13:13" x14ac:dyDescent="0.25">
      <c r="M8251" s="21"/>
    </row>
    <row r="8252" spans="13:13" x14ac:dyDescent="0.25">
      <c r="M8252" s="21"/>
    </row>
    <row r="8253" spans="13:13" x14ac:dyDescent="0.25">
      <c r="M8253" s="21"/>
    </row>
    <row r="8254" spans="13:13" x14ac:dyDescent="0.25">
      <c r="M8254" s="21"/>
    </row>
    <row r="8255" spans="13:13" x14ac:dyDescent="0.25">
      <c r="M8255" s="21"/>
    </row>
    <row r="8256" spans="13:13" x14ac:dyDescent="0.25">
      <c r="M8256" s="21"/>
    </row>
    <row r="8257" spans="13:13" x14ac:dyDescent="0.25">
      <c r="M8257" s="21"/>
    </row>
    <row r="8258" spans="13:13" x14ac:dyDescent="0.25">
      <c r="M8258" s="21"/>
    </row>
    <row r="8259" spans="13:13" x14ac:dyDescent="0.25">
      <c r="M8259" s="21"/>
    </row>
    <row r="8260" spans="13:13" x14ac:dyDescent="0.25">
      <c r="M8260" s="21"/>
    </row>
    <row r="8261" spans="13:13" x14ac:dyDescent="0.25">
      <c r="M8261" s="21"/>
    </row>
    <row r="8262" spans="13:13" x14ac:dyDescent="0.25">
      <c r="M8262" s="21"/>
    </row>
    <row r="8263" spans="13:13" x14ac:dyDescent="0.25">
      <c r="M8263" s="21"/>
    </row>
    <row r="8264" spans="13:13" x14ac:dyDescent="0.25">
      <c r="M8264" s="21"/>
    </row>
    <row r="8265" spans="13:13" x14ac:dyDescent="0.25">
      <c r="M8265" s="21"/>
    </row>
    <row r="8266" spans="13:13" x14ac:dyDescent="0.25">
      <c r="M8266" s="21"/>
    </row>
    <row r="8267" spans="13:13" x14ac:dyDescent="0.25">
      <c r="M8267" s="21"/>
    </row>
    <row r="8268" spans="13:13" x14ac:dyDescent="0.25">
      <c r="M8268" s="21"/>
    </row>
    <row r="8269" spans="13:13" x14ac:dyDescent="0.25">
      <c r="M8269" s="21"/>
    </row>
    <row r="8270" spans="13:13" x14ac:dyDescent="0.25">
      <c r="M8270" s="21"/>
    </row>
    <row r="8271" spans="13:13" x14ac:dyDescent="0.25">
      <c r="M8271" s="21"/>
    </row>
    <row r="8272" spans="13:13" x14ac:dyDescent="0.25">
      <c r="M8272" s="21"/>
    </row>
    <row r="8273" spans="13:13" x14ac:dyDescent="0.25">
      <c r="M8273" s="21"/>
    </row>
    <row r="8274" spans="13:13" x14ac:dyDescent="0.25">
      <c r="M8274" s="21"/>
    </row>
    <row r="8275" spans="13:13" x14ac:dyDescent="0.25">
      <c r="M8275" s="21"/>
    </row>
    <row r="8276" spans="13:13" x14ac:dyDescent="0.25">
      <c r="M8276" s="21"/>
    </row>
    <row r="8277" spans="13:13" x14ac:dyDescent="0.25">
      <c r="M8277" s="21"/>
    </row>
    <row r="8278" spans="13:13" x14ac:dyDescent="0.25">
      <c r="M8278" s="21"/>
    </row>
    <row r="8279" spans="13:13" x14ac:dyDescent="0.25">
      <c r="M8279" s="21"/>
    </row>
    <row r="8280" spans="13:13" x14ac:dyDescent="0.25">
      <c r="M8280" s="21"/>
    </row>
    <row r="8281" spans="13:13" x14ac:dyDescent="0.25">
      <c r="M8281" s="21"/>
    </row>
    <row r="8282" spans="13:13" x14ac:dyDescent="0.25">
      <c r="M8282" s="21"/>
    </row>
    <row r="8283" spans="13:13" x14ac:dyDescent="0.25">
      <c r="M8283" s="21"/>
    </row>
    <row r="8284" spans="13:13" x14ac:dyDescent="0.25">
      <c r="M8284" s="21"/>
    </row>
    <row r="8285" spans="13:13" x14ac:dyDescent="0.25">
      <c r="M8285" s="21"/>
    </row>
    <row r="8286" spans="13:13" x14ac:dyDescent="0.25">
      <c r="M8286" s="21"/>
    </row>
    <row r="8287" spans="13:13" x14ac:dyDescent="0.25">
      <c r="M8287" s="21"/>
    </row>
    <row r="8288" spans="13:13" x14ac:dyDescent="0.25">
      <c r="M8288" s="21"/>
    </row>
    <row r="8289" spans="13:13" x14ac:dyDescent="0.25">
      <c r="M8289" s="21"/>
    </row>
    <row r="8290" spans="13:13" x14ac:dyDescent="0.25">
      <c r="M8290" s="21"/>
    </row>
    <row r="8291" spans="13:13" x14ac:dyDescent="0.25">
      <c r="M8291" s="21"/>
    </row>
    <row r="8292" spans="13:13" x14ac:dyDescent="0.25">
      <c r="M8292" s="21"/>
    </row>
    <row r="8293" spans="13:13" x14ac:dyDescent="0.25">
      <c r="M8293" s="21"/>
    </row>
    <row r="8294" spans="13:13" x14ac:dyDescent="0.25">
      <c r="M8294" s="21"/>
    </row>
    <row r="8295" spans="13:13" x14ac:dyDescent="0.25">
      <c r="M8295" s="21"/>
    </row>
    <row r="8296" spans="13:13" x14ac:dyDescent="0.25">
      <c r="M8296" s="21"/>
    </row>
    <row r="8297" spans="13:13" x14ac:dyDescent="0.25">
      <c r="M8297" s="21"/>
    </row>
    <row r="8298" spans="13:13" x14ac:dyDescent="0.25">
      <c r="M8298" s="21"/>
    </row>
    <row r="8299" spans="13:13" x14ac:dyDescent="0.25">
      <c r="M8299" s="21"/>
    </row>
    <row r="8300" spans="13:13" x14ac:dyDescent="0.25">
      <c r="M8300" s="21"/>
    </row>
    <row r="8301" spans="13:13" x14ac:dyDescent="0.25">
      <c r="M8301" s="21"/>
    </row>
    <row r="8302" spans="13:13" x14ac:dyDescent="0.25">
      <c r="M8302" s="21"/>
    </row>
    <row r="8303" spans="13:13" x14ac:dyDescent="0.25">
      <c r="M8303" s="21"/>
    </row>
    <row r="8304" spans="13:13" x14ac:dyDescent="0.25">
      <c r="M8304" s="21"/>
    </row>
    <row r="8305" spans="13:13" x14ac:dyDescent="0.25">
      <c r="M8305" s="21"/>
    </row>
    <row r="8306" spans="13:13" x14ac:dyDescent="0.25">
      <c r="M8306" s="21"/>
    </row>
    <row r="8307" spans="13:13" x14ac:dyDescent="0.25">
      <c r="M8307" s="21"/>
    </row>
    <row r="8308" spans="13:13" x14ac:dyDescent="0.25">
      <c r="M8308" s="21"/>
    </row>
    <row r="8309" spans="13:13" x14ac:dyDescent="0.25">
      <c r="M8309" s="21"/>
    </row>
    <row r="8310" spans="13:13" x14ac:dyDescent="0.25">
      <c r="M8310" s="21"/>
    </row>
    <row r="8311" spans="13:13" x14ac:dyDescent="0.25">
      <c r="M8311" s="21"/>
    </row>
    <row r="8312" spans="13:13" x14ac:dyDescent="0.25">
      <c r="M8312" s="21"/>
    </row>
    <row r="8313" spans="13:13" x14ac:dyDescent="0.25">
      <c r="M8313" s="21"/>
    </row>
    <row r="8314" spans="13:13" x14ac:dyDescent="0.25">
      <c r="M8314" s="21"/>
    </row>
    <row r="8315" spans="13:13" x14ac:dyDescent="0.25">
      <c r="M8315" s="21"/>
    </row>
    <row r="8316" spans="13:13" x14ac:dyDescent="0.25">
      <c r="M8316" s="21"/>
    </row>
    <row r="8317" spans="13:13" x14ac:dyDescent="0.25">
      <c r="M8317" s="21"/>
    </row>
    <row r="8318" spans="13:13" x14ac:dyDescent="0.25">
      <c r="M8318" s="21"/>
    </row>
    <row r="8319" spans="13:13" x14ac:dyDescent="0.25">
      <c r="M8319" s="21"/>
    </row>
    <row r="8320" spans="13:13" x14ac:dyDescent="0.25">
      <c r="M8320" s="21"/>
    </row>
    <row r="8321" spans="13:13" x14ac:dyDescent="0.25">
      <c r="M8321" s="21"/>
    </row>
    <row r="8322" spans="13:13" x14ac:dyDescent="0.25">
      <c r="M8322" s="21"/>
    </row>
    <row r="8323" spans="13:13" x14ac:dyDescent="0.25">
      <c r="M8323" s="21"/>
    </row>
    <row r="8324" spans="13:13" x14ac:dyDescent="0.25">
      <c r="M8324" s="21"/>
    </row>
    <row r="8325" spans="13:13" x14ac:dyDescent="0.25">
      <c r="M8325" s="21"/>
    </row>
    <row r="8326" spans="13:13" x14ac:dyDescent="0.25">
      <c r="M8326" s="21"/>
    </row>
    <row r="8327" spans="13:13" x14ac:dyDescent="0.25">
      <c r="M8327" s="21"/>
    </row>
    <row r="8328" spans="13:13" x14ac:dyDescent="0.25">
      <c r="M8328" s="21"/>
    </row>
    <row r="8329" spans="13:13" x14ac:dyDescent="0.25">
      <c r="M8329" s="21"/>
    </row>
    <row r="8330" spans="13:13" x14ac:dyDescent="0.25">
      <c r="M8330" s="21"/>
    </row>
    <row r="8331" spans="13:13" x14ac:dyDescent="0.25">
      <c r="M8331" s="21"/>
    </row>
    <row r="8332" spans="13:13" x14ac:dyDescent="0.25">
      <c r="M8332" s="21"/>
    </row>
    <row r="8333" spans="13:13" x14ac:dyDescent="0.25">
      <c r="M8333" s="21"/>
    </row>
    <row r="8334" spans="13:13" x14ac:dyDescent="0.25">
      <c r="M8334" s="21"/>
    </row>
    <row r="8335" spans="13:13" x14ac:dyDescent="0.25">
      <c r="M8335" s="21"/>
    </row>
    <row r="8336" spans="13:13" x14ac:dyDescent="0.25">
      <c r="M8336" s="21"/>
    </row>
    <row r="8337" spans="13:13" x14ac:dyDescent="0.25">
      <c r="M8337" s="21"/>
    </row>
    <row r="8338" spans="13:13" x14ac:dyDescent="0.25">
      <c r="M8338" s="21"/>
    </row>
    <row r="8339" spans="13:13" x14ac:dyDescent="0.25">
      <c r="M8339" s="21"/>
    </row>
    <row r="8340" spans="13:13" x14ac:dyDescent="0.25">
      <c r="M8340" s="21"/>
    </row>
    <row r="8341" spans="13:13" x14ac:dyDescent="0.25">
      <c r="M8341" s="21"/>
    </row>
    <row r="8342" spans="13:13" x14ac:dyDescent="0.25">
      <c r="M8342" s="21"/>
    </row>
    <row r="8343" spans="13:13" x14ac:dyDescent="0.25">
      <c r="M8343" s="21"/>
    </row>
    <row r="8344" spans="13:13" x14ac:dyDescent="0.25">
      <c r="M8344" s="21"/>
    </row>
    <row r="8345" spans="13:13" x14ac:dyDescent="0.25">
      <c r="M8345" s="21"/>
    </row>
    <row r="8346" spans="13:13" x14ac:dyDescent="0.25">
      <c r="M8346" s="21"/>
    </row>
    <row r="8347" spans="13:13" x14ac:dyDescent="0.25">
      <c r="M8347" s="21"/>
    </row>
    <row r="8348" spans="13:13" x14ac:dyDescent="0.25">
      <c r="M8348" s="21"/>
    </row>
    <row r="8349" spans="13:13" x14ac:dyDescent="0.25">
      <c r="M8349" s="21"/>
    </row>
    <row r="8350" spans="13:13" x14ac:dyDescent="0.25">
      <c r="M8350" s="21"/>
    </row>
    <row r="8351" spans="13:13" x14ac:dyDescent="0.25">
      <c r="M8351" s="21"/>
    </row>
    <row r="8352" spans="13:13" x14ac:dyDescent="0.25">
      <c r="M8352" s="21"/>
    </row>
    <row r="8353" spans="13:13" x14ac:dyDescent="0.25">
      <c r="M8353" s="21"/>
    </row>
    <row r="8354" spans="13:13" x14ac:dyDescent="0.25">
      <c r="M8354" s="21"/>
    </row>
    <row r="8355" spans="13:13" x14ac:dyDescent="0.25">
      <c r="M8355" s="21"/>
    </row>
    <row r="8356" spans="13:13" x14ac:dyDescent="0.25">
      <c r="M8356" s="21"/>
    </row>
    <row r="8357" spans="13:13" x14ac:dyDescent="0.25">
      <c r="M8357" s="21"/>
    </row>
    <row r="8358" spans="13:13" x14ac:dyDescent="0.25">
      <c r="M8358" s="21"/>
    </row>
    <row r="8359" spans="13:13" x14ac:dyDescent="0.25">
      <c r="M8359" s="21"/>
    </row>
    <row r="8360" spans="13:13" x14ac:dyDescent="0.25">
      <c r="M8360" s="21"/>
    </row>
    <row r="8361" spans="13:13" x14ac:dyDescent="0.25">
      <c r="M8361" s="21"/>
    </row>
    <row r="8362" spans="13:13" x14ac:dyDescent="0.25">
      <c r="M8362" s="21"/>
    </row>
    <row r="8363" spans="13:13" x14ac:dyDescent="0.25">
      <c r="M8363" s="21"/>
    </row>
    <row r="8364" spans="13:13" x14ac:dyDescent="0.25">
      <c r="M8364" s="21"/>
    </row>
    <row r="8365" spans="13:13" x14ac:dyDescent="0.25">
      <c r="M8365" s="21"/>
    </row>
    <row r="8366" spans="13:13" x14ac:dyDescent="0.25">
      <c r="M8366" s="21"/>
    </row>
    <row r="8367" spans="13:13" x14ac:dyDescent="0.25">
      <c r="M8367" s="21"/>
    </row>
    <row r="8368" spans="13:13" x14ac:dyDescent="0.25">
      <c r="M8368" s="21"/>
    </row>
    <row r="8369" spans="13:13" x14ac:dyDescent="0.25">
      <c r="M8369" s="21"/>
    </row>
    <row r="8370" spans="13:13" x14ac:dyDescent="0.25">
      <c r="M8370" s="21"/>
    </row>
    <row r="8371" spans="13:13" x14ac:dyDescent="0.25">
      <c r="M8371" s="21"/>
    </row>
    <row r="8372" spans="13:13" x14ac:dyDescent="0.25">
      <c r="M8372" s="21"/>
    </row>
    <row r="8373" spans="13:13" x14ac:dyDescent="0.25">
      <c r="M8373" s="21"/>
    </row>
    <row r="8374" spans="13:13" x14ac:dyDescent="0.25">
      <c r="M8374" s="21"/>
    </row>
    <row r="8375" spans="13:13" x14ac:dyDescent="0.25">
      <c r="M8375" s="21"/>
    </row>
    <row r="8376" spans="13:13" x14ac:dyDescent="0.25">
      <c r="M8376" s="21"/>
    </row>
    <row r="8377" spans="13:13" x14ac:dyDescent="0.25">
      <c r="M8377" s="21"/>
    </row>
    <row r="8378" spans="13:13" x14ac:dyDescent="0.25">
      <c r="M8378" s="21"/>
    </row>
    <row r="8379" spans="13:13" x14ac:dyDescent="0.25">
      <c r="M8379" s="21"/>
    </row>
    <row r="8380" spans="13:13" x14ac:dyDescent="0.25">
      <c r="M8380" s="21"/>
    </row>
    <row r="8381" spans="13:13" x14ac:dyDescent="0.25">
      <c r="M8381" s="21"/>
    </row>
    <row r="8382" spans="13:13" x14ac:dyDescent="0.25">
      <c r="M8382" s="21"/>
    </row>
    <row r="8383" spans="13:13" x14ac:dyDescent="0.25">
      <c r="M8383" s="21"/>
    </row>
    <row r="8384" spans="13:13" x14ac:dyDescent="0.25">
      <c r="M8384" s="21"/>
    </row>
    <row r="8385" spans="13:13" x14ac:dyDescent="0.25">
      <c r="M8385" s="21"/>
    </row>
    <row r="8386" spans="13:13" x14ac:dyDescent="0.25">
      <c r="M8386" s="21"/>
    </row>
    <row r="8387" spans="13:13" x14ac:dyDescent="0.25">
      <c r="M8387" s="21"/>
    </row>
    <row r="8388" spans="13:13" x14ac:dyDescent="0.25">
      <c r="M8388" s="21"/>
    </row>
    <row r="8389" spans="13:13" x14ac:dyDescent="0.25">
      <c r="M8389" s="21"/>
    </row>
    <row r="8390" spans="13:13" x14ac:dyDescent="0.25">
      <c r="M8390" s="21"/>
    </row>
    <row r="8391" spans="13:13" x14ac:dyDescent="0.25">
      <c r="M8391" s="21"/>
    </row>
    <row r="8392" spans="13:13" x14ac:dyDescent="0.25">
      <c r="M8392" s="21"/>
    </row>
    <row r="8393" spans="13:13" x14ac:dyDescent="0.25">
      <c r="M8393" s="21"/>
    </row>
    <row r="8394" spans="13:13" x14ac:dyDescent="0.25">
      <c r="M8394" s="21"/>
    </row>
    <row r="8395" spans="13:13" x14ac:dyDescent="0.25">
      <c r="M8395" s="21"/>
    </row>
    <row r="8396" spans="13:13" x14ac:dyDescent="0.25">
      <c r="M8396" s="21"/>
    </row>
    <row r="8397" spans="13:13" x14ac:dyDescent="0.25">
      <c r="M8397" s="21"/>
    </row>
    <row r="8398" spans="13:13" x14ac:dyDescent="0.25">
      <c r="M8398" s="21"/>
    </row>
    <row r="8399" spans="13:13" x14ac:dyDescent="0.25">
      <c r="M8399" s="21"/>
    </row>
    <row r="8400" spans="13:13" x14ac:dyDescent="0.25">
      <c r="M8400" s="21"/>
    </row>
    <row r="8401" spans="13:13" x14ac:dyDescent="0.25">
      <c r="M8401" s="21"/>
    </row>
    <row r="8402" spans="13:13" x14ac:dyDescent="0.25">
      <c r="M8402" s="21"/>
    </row>
    <row r="8403" spans="13:13" x14ac:dyDescent="0.25">
      <c r="M8403" s="21"/>
    </row>
    <row r="8404" spans="13:13" x14ac:dyDescent="0.25">
      <c r="M8404" s="21"/>
    </row>
    <row r="8405" spans="13:13" x14ac:dyDescent="0.25">
      <c r="M8405" s="21"/>
    </row>
    <row r="8406" spans="13:13" x14ac:dyDescent="0.25">
      <c r="M8406" s="21"/>
    </row>
    <row r="8407" spans="13:13" x14ac:dyDescent="0.25">
      <c r="M8407" s="21"/>
    </row>
    <row r="8408" spans="13:13" x14ac:dyDescent="0.25">
      <c r="M8408" s="21"/>
    </row>
    <row r="8409" spans="13:13" x14ac:dyDescent="0.25">
      <c r="M8409" s="21"/>
    </row>
    <row r="8410" spans="13:13" x14ac:dyDescent="0.25">
      <c r="M8410" s="21"/>
    </row>
    <row r="8411" spans="13:13" x14ac:dyDescent="0.25">
      <c r="M8411" s="21"/>
    </row>
    <row r="8412" spans="13:13" x14ac:dyDescent="0.25">
      <c r="M8412" s="21"/>
    </row>
    <row r="8413" spans="13:13" x14ac:dyDescent="0.25">
      <c r="M8413" s="21"/>
    </row>
    <row r="8414" spans="13:13" x14ac:dyDescent="0.25">
      <c r="M8414" s="21"/>
    </row>
    <row r="8415" spans="13:13" x14ac:dyDescent="0.25">
      <c r="M8415" s="21"/>
    </row>
    <row r="8416" spans="13:13" x14ac:dyDescent="0.25">
      <c r="M8416" s="21"/>
    </row>
    <row r="8417" spans="13:13" x14ac:dyDescent="0.25">
      <c r="M8417" s="21"/>
    </row>
    <row r="8418" spans="13:13" x14ac:dyDescent="0.25">
      <c r="M8418" s="21"/>
    </row>
    <row r="8419" spans="13:13" x14ac:dyDescent="0.25">
      <c r="M8419" s="21"/>
    </row>
    <row r="8420" spans="13:13" x14ac:dyDescent="0.25">
      <c r="M8420" s="21"/>
    </row>
    <row r="8421" spans="13:13" x14ac:dyDescent="0.25">
      <c r="M8421" s="21"/>
    </row>
    <row r="8422" spans="13:13" x14ac:dyDescent="0.25">
      <c r="M8422" s="21"/>
    </row>
    <row r="8423" spans="13:13" x14ac:dyDescent="0.25">
      <c r="M8423" s="21"/>
    </row>
    <row r="8424" spans="13:13" x14ac:dyDescent="0.25">
      <c r="M8424" s="21"/>
    </row>
    <row r="8425" spans="13:13" x14ac:dyDescent="0.25">
      <c r="M8425" s="21"/>
    </row>
    <row r="8426" spans="13:13" x14ac:dyDescent="0.25">
      <c r="M8426" s="21"/>
    </row>
    <row r="8427" spans="13:13" x14ac:dyDescent="0.25">
      <c r="M8427" s="21"/>
    </row>
    <row r="8428" spans="13:13" x14ac:dyDescent="0.25">
      <c r="M8428" s="21"/>
    </row>
    <row r="8429" spans="13:13" x14ac:dyDescent="0.25">
      <c r="M8429" s="21"/>
    </row>
    <row r="8430" spans="13:13" x14ac:dyDescent="0.25">
      <c r="M8430" s="21"/>
    </row>
    <row r="8431" spans="13:13" x14ac:dyDescent="0.25">
      <c r="M8431" s="21"/>
    </row>
    <row r="8432" spans="13:13" x14ac:dyDescent="0.25">
      <c r="M8432" s="21"/>
    </row>
    <row r="8433" spans="13:13" x14ac:dyDescent="0.25">
      <c r="M8433" s="21"/>
    </row>
    <row r="8434" spans="13:13" x14ac:dyDescent="0.25">
      <c r="M8434" s="21"/>
    </row>
    <row r="8435" spans="13:13" x14ac:dyDescent="0.25">
      <c r="M8435" s="21"/>
    </row>
    <row r="8436" spans="13:13" x14ac:dyDescent="0.25">
      <c r="M8436" s="21"/>
    </row>
    <row r="8437" spans="13:13" x14ac:dyDescent="0.25">
      <c r="M8437" s="21"/>
    </row>
    <row r="8438" spans="13:13" x14ac:dyDescent="0.25">
      <c r="M8438" s="21"/>
    </row>
    <row r="8439" spans="13:13" x14ac:dyDescent="0.25">
      <c r="M8439" s="21"/>
    </row>
    <row r="8440" spans="13:13" x14ac:dyDescent="0.25">
      <c r="M8440" s="21"/>
    </row>
    <row r="8441" spans="13:13" x14ac:dyDescent="0.25">
      <c r="M8441" s="21"/>
    </row>
    <row r="8442" spans="13:13" x14ac:dyDescent="0.25">
      <c r="M8442" s="21"/>
    </row>
    <row r="8443" spans="13:13" x14ac:dyDescent="0.25">
      <c r="M8443" s="21"/>
    </row>
    <row r="8444" spans="13:13" x14ac:dyDescent="0.25">
      <c r="M8444" s="21"/>
    </row>
    <row r="8445" spans="13:13" x14ac:dyDescent="0.25">
      <c r="M8445" s="21"/>
    </row>
    <row r="8446" spans="13:13" x14ac:dyDescent="0.25">
      <c r="M8446" s="21"/>
    </row>
    <row r="8447" spans="13:13" x14ac:dyDescent="0.25">
      <c r="M8447" s="21"/>
    </row>
    <row r="8448" spans="13:13" x14ac:dyDescent="0.25">
      <c r="M8448" s="21"/>
    </row>
    <row r="8449" spans="13:13" x14ac:dyDescent="0.25">
      <c r="M8449" s="21"/>
    </row>
    <row r="8450" spans="13:13" x14ac:dyDescent="0.25">
      <c r="M8450" s="21"/>
    </row>
    <row r="8451" spans="13:13" x14ac:dyDescent="0.25">
      <c r="M8451" s="21"/>
    </row>
    <row r="8452" spans="13:13" x14ac:dyDescent="0.25">
      <c r="M8452" s="21"/>
    </row>
    <row r="8453" spans="13:13" x14ac:dyDescent="0.25">
      <c r="M8453" s="21"/>
    </row>
    <row r="8454" spans="13:13" x14ac:dyDescent="0.25">
      <c r="M8454" s="21"/>
    </row>
    <row r="8455" spans="13:13" x14ac:dyDescent="0.25">
      <c r="M8455" s="21"/>
    </row>
    <row r="8456" spans="13:13" x14ac:dyDescent="0.25">
      <c r="M8456" s="21"/>
    </row>
    <row r="8457" spans="13:13" x14ac:dyDescent="0.25">
      <c r="M8457" s="21"/>
    </row>
    <row r="8458" spans="13:13" x14ac:dyDescent="0.25">
      <c r="M8458" s="21"/>
    </row>
    <row r="8459" spans="13:13" x14ac:dyDescent="0.25">
      <c r="M8459" s="21"/>
    </row>
    <row r="8460" spans="13:13" x14ac:dyDescent="0.25">
      <c r="M8460" s="21"/>
    </row>
    <row r="8461" spans="13:13" x14ac:dyDescent="0.25">
      <c r="M8461" s="21"/>
    </row>
    <row r="8462" spans="13:13" x14ac:dyDescent="0.25">
      <c r="M8462" s="21"/>
    </row>
    <row r="8463" spans="13:13" x14ac:dyDescent="0.25">
      <c r="M8463" s="21"/>
    </row>
    <row r="8464" spans="13:13" x14ac:dyDescent="0.25">
      <c r="M8464" s="21"/>
    </row>
    <row r="8465" spans="13:13" x14ac:dyDescent="0.25">
      <c r="M8465" s="21"/>
    </row>
    <row r="8466" spans="13:13" x14ac:dyDescent="0.25">
      <c r="M8466" s="21"/>
    </row>
    <row r="8467" spans="13:13" x14ac:dyDescent="0.25">
      <c r="M8467" s="21"/>
    </row>
    <row r="8468" spans="13:13" x14ac:dyDescent="0.25">
      <c r="M8468" s="21"/>
    </row>
    <row r="8469" spans="13:13" x14ac:dyDescent="0.25">
      <c r="M8469" s="21"/>
    </row>
    <row r="8470" spans="13:13" x14ac:dyDescent="0.25">
      <c r="M8470" s="21"/>
    </row>
    <row r="8471" spans="13:13" x14ac:dyDescent="0.25">
      <c r="M8471" s="21"/>
    </row>
    <row r="8472" spans="13:13" x14ac:dyDescent="0.25">
      <c r="M8472" s="21"/>
    </row>
    <row r="8473" spans="13:13" x14ac:dyDescent="0.25">
      <c r="M8473" s="21"/>
    </row>
    <row r="8474" spans="13:13" x14ac:dyDescent="0.25">
      <c r="M8474" s="21"/>
    </row>
    <row r="8475" spans="13:13" x14ac:dyDescent="0.25">
      <c r="M8475" s="21"/>
    </row>
    <row r="8476" spans="13:13" x14ac:dyDescent="0.25">
      <c r="M8476" s="21"/>
    </row>
    <row r="8477" spans="13:13" x14ac:dyDescent="0.25">
      <c r="M8477" s="21"/>
    </row>
    <row r="8478" spans="13:13" x14ac:dyDescent="0.25">
      <c r="M8478" s="21"/>
    </row>
    <row r="8479" spans="13:13" x14ac:dyDescent="0.25">
      <c r="M8479" s="21"/>
    </row>
    <row r="8480" spans="13:13" x14ac:dyDescent="0.25">
      <c r="M8480" s="21"/>
    </row>
    <row r="8481" spans="13:13" x14ac:dyDescent="0.25">
      <c r="M8481" s="21"/>
    </row>
    <row r="8482" spans="13:13" x14ac:dyDescent="0.25">
      <c r="M8482" s="21"/>
    </row>
    <row r="8483" spans="13:13" x14ac:dyDescent="0.25">
      <c r="M8483" s="21"/>
    </row>
    <row r="8484" spans="13:13" x14ac:dyDescent="0.25">
      <c r="M8484" s="21"/>
    </row>
    <row r="8485" spans="13:13" x14ac:dyDescent="0.25">
      <c r="M8485" s="21"/>
    </row>
    <row r="8486" spans="13:13" x14ac:dyDescent="0.25">
      <c r="M8486" s="21"/>
    </row>
    <row r="8487" spans="13:13" x14ac:dyDescent="0.25">
      <c r="M8487" s="21"/>
    </row>
    <row r="8488" spans="13:13" x14ac:dyDescent="0.25">
      <c r="M8488" s="21"/>
    </row>
    <row r="8489" spans="13:13" x14ac:dyDescent="0.25">
      <c r="M8489" s="21"/>
    </row>
    <row r="8490" spans="13:13" x14ac:dyDescent="0.25">
      <c r="M8490" s="21"/>
    </row>
    <row r="8491" spans="13:13" x14ac:dyDescent="0.25">
      <c r="M8491" s="21"/>
    </row>
    <row r="8492" spans="13:13" x14ac:dyDescent="0.25">
      <c r="M8492" s="21"/>
    </row>
    <row r="8493" spans="13:13" x14ac:dyDescent="0.25">
      <c r="M8493" s="21"/>
    </row>
    <row r="8494" spans="13:13" x14ac:dyDescent="0.25">
      <c r="M8494" s="21"/>
    </row>
    <row r="8495" spans="13:13" x14ac:dyDescent="0.25">
      <c r="M8495" s="21"/>
    </row>
    <row r="8496" spans="13:13" x14ac:dyDescent="0.25">
      <c r="M8496" s="21"/>
    </row>
    <row r="8497" spans="13:13" x14ac:dyDescent="0.25">
      <c r="M8497" s="21"/>
    </row>
    <row r="8498" spans="13:13" x14ac:dyDescent="0.25">
      <c r="M8498" s="21"/>
    </row>
    <row r="8499" spans="13:13" x14ac:dyDescent="0.25">
      <c r="M8499" s="21"/>
    </row>
    <row r="8500" spans="13:13" x14ac:dyDescent="0.25">
      <c r="M8500" s="21"/>
    </row>
    <row r="8501" spans="13:13" x14ac:dyDescent="0.25">
      <c r="M8501" s="21"/>
    </row>
    <row r="8502" spans="13:13" x14ac:dyDescent="0.25">
      <c r="M8502" s="21"/>
    </row>
    <row r="8503" spans="13:13" x14ac:dyDescent="0.25">
      <c r="M8503" s="21"/>
    </row>
    <row r="8504" spans="13:13" x14ac:dyDescent="0.25">
      <c r="M8504" s="21"/>
    </row>
    <row r="8505" spans="13:13" x14ac:dyDescent="0.25">
      <c r="M8505" s="21"/>
    </row>
    <row r="8506" spans="13:13" x14ac:dyDescent="0.25">
      <c r="M8506" s="21"/>
    </row>
    <row r="8507" spans="13:13" x14ac:dyDescent="0.25">
      <c r="M8507" s="21"/>
    </row>
    <row r="8508" spans="13:13" x14ac:dyDescent="0.25">
      <c r="M8508" s="21"/>
    </row>
    <row r="8509" spans="13:13" x14ac:dyDescent="0.25">
      <c r="M8509" s="21"/>
    </row>
    <row r="8510" spans="13:13" x14ac:dyDescent="0.25">
      <c r="M8510" s="21"/>
    </row>
    <row r="8511" spans="13:13" x14ac:dyDescent="0.25">
      <c r="M8511" s="21"/>
    </row>
    <row r="8512" spans="13:13" x14ac:dyDescent="0.25">
      <c r="M8512" s="21"/>
    </row>
    <row r="8513" spans="13:13" x14ac:dyDescent="0.25">
      <c r="M8513" s="21"/>
    </row>
    <row r="8514" spans="13:13" x14ac:dyDescent="0.25">
      <c r="M8514" s="21"/>
    </row>
    <row r="8515" spans="13:13" x14ac:dyDescent="0.25">
      <c r="M8515" s="21"/>
    </row>
    <row r="8516" spans="13:13" x14ac:dyDescent="0.25">
      <c r="M8516" s="21"/>
    </row>
    <row r="8517" spans="13:13" x14ac:dyDescent="0.25">
      <c r="M8517" s="21"/>
    </row>
    <row r="8518" spans="13:13" x14ac:dyDescent="0.25">
      <c r="M8518" s="21"/>
    </row>
    <row r="8519" spans="13:13" x14ac:dyDescent="0.25">
      <c r="M8519" s="21"/>
    </row>
    <row r="8520" spans="13:13" x14ac:dyDescent="0.25">
      <c r="M8520" s="21"/>
    </row>
    <row r="8521" spans="13:13" x14ac:dyDescent="0.25">
      <c r="M8521" s="21"/>
    </row>
    <row r="8522" spans="13:13" x14ac:dyDescent="0.25">
      <c r="M8522" s="21"/>
    </row>
    <row r="8523" spans="13:13" x14ac:dyDescent="0.25">
      <c r="M8523" s="21"/>
    </row>
    <row r="8524" spans="13:13" x14ac:dyDescent="0.25">
      <c r="M8524" s="21"/>
    </row>
    <row r="8525" spans="13:13" x14ac:dyDescent="0.25">
      <c r="M8525" s="21"/>
    </row>
    <row r="8526" spans="13:13" x14ac:dyDescent="0.25">
      <c r="M8526" s="21"/>
    </row>
    <row r="8527" spans="13:13" x14ac:dyDescent="0.25">
      <c r="M8527" s="21"/>
    </row>
    <row r="8528" spans="13:13" x14ac:dyDescent="0.25">
      <c r="M8528" s="21"/>
    </row>
    <row r="8529" spans="13:13" x14ac:dyDescent="0.25">
      <c r="M8529" s="21"/>
    </row>
    <row r="8530" spans="13:13" x14ac:dyDescent="0.25">
      <c r="M8530" s="21"/>
    </row>
    <row r="8531" spans="13:13" x14ac:dyDescent="0.25">
      <c r="M8531" s="21"/>
    </row>
    <row r="8532" spans="13:13" x14ac:dyDescent="0.25">
      <c r="M8532" s="21"/>
    </row>
    <row r="8533" spans="13:13" x14ac:dyDescent="0.25">
      <c r="M8533" s="21"/>
    </row>
    <row r="8534" spans="13:13" x14ac:dyDescent="0.25">
      <c r="M8534" s="21"/>
    </row>
    <row r="8535" spans="13:13" x14ac:dyDescent="0.25">
      <c r="M8535" s="21"/>
    </row>
    <row r="8536" spans="13:13" x14ac:dyDescent="0.25">
      <c r="M8536" s="21"/>
    </row>
    <row r="8537" spans="13:13" x14ac:dyDescent="0.25">
      <c r="M8537" s="21"/>
    </row>
    <row r="8538" spans="13:13" x14ac:dyDescent="0.25">
      <c r="M8538" s="21"/>
    </row>
    <row r="8539" spans="13:13" x14ac:dyDescent="0.25">
      <c r="M8539" s="21"/>
    </row>
    <row r="8540" spans="13:13" x14ac:dyDescent="0.25">
      <c r="M8540" s="21"/>
    </row>
    <row r="8541" spans="13:13" x14ac:dyDescent="0.25">
      <c r="M8541" s="21"/>
    </row>
    <row r="8542" spans="13:13" x14ac:dyDescent="0.25">
      <c r="M8542" s="21"/>
    </row>
    <row r="8543" spans="13:13" x14ac:dyDescent="0.25">
      <c r="M8543" s="21"/>
    </row>
    <row r="8544" spans="13:13" x14ac:dyDescent="0.25">
      <c r="M8544" s="21"/>
    </row>
    <row r="8545" spans="13:13" x14ac:dyDescent="0.25">
      <c r="M8545" s="21"/>
    </row>
    <row r="8546" spans="13:13" x14ac:dyDescent="0.25">
      <c r="M8546" s="21"/>
    </row>
    <row r="8547" spans="13:13" x14ac:dyDescent="0.25">
      <c r="M8547" s="21"/>
    </row>
    <row r="8548" spans="13:13" x14ac:dyDescent="0.25">
      <c r="M8548" s="21"/>
    </row>
    <row r="8549" spans="13:13" x14ac:dyDescent="0.25">
      <c r="M8549" s="21"/>
    </row>
    <row r="8550" spans="13:13" x14ac:dyDescent="0.25">
      <c r="M8550" s="21"/>
    </row>
    <row r="8551" spans="13:13" x14ac:dyDescent="0.25">
      <c r="M8551" s="21"/>
    </row>
    <row r="8552" spans="13:13" x14ac:dyDescent="0.25">
      <c r="M8552" s="21"/>
    </row>
    <row r="8553" spans="13:13" x14ac:dyDescent="0.25">
      <c r="M8553" s="21"/>
    </row>
    <row r="8554" spans="13:13" x14ac:dyDescent="0.25">
      <c r="M8554" s="21"/>
    </row>
    <row r="8555" spans="13:13" x14ac:dyDescent="0.25">
      <c r="M8555" s="21"/>
    </row>
    <row r="8556" spans="13:13" x14ac:dyDescent="0.25">
      <c r="M8556" s="21"/>
    </row>
    <row r="8557" spans="13:13" x14ac:dyDescent="0.25">
      <c r="M8557" s="21"/>
    </row>
    <row r="8558" spans="13:13" x14ac:dyDescent="0.25">
      <c r="M8558" s="21"/>
    </row>
    <row r="8559" spans="13:13" x14ac:dyDescent="0.25">
      <c r="M8559" s="21"/>
    </row>
    <row r="8560" spans="13:13" x14ac:dyDescent="0.25">
      <c r="M8560" s="21"/>
    </row>
    <row r="8561" spans="13:13" x14ac:dyDescent="0.25">
      <c r="M8561" s="21"/>
    </row>
    <row r="8562" spans="13:13" x14ac:dyDescent="0.25">
      <c r="M8562" s="21"/>
    </row>
    <row r="8563" spans="13:13" x14ac:dyDescent="0.25">
      <c r="M8563" s="21"/>
    </row>
    <row r="8564" spans="13:13" x14ac:dyDescent="0.25">
      <c r="M8564" s="21"/>
    </row>
    <row r="8565" spans="13:13" x14ac:dyDescent="0.25">
      <c r="M8565" s="21"/>
    </row>
    <row r="8566" spans="13:13" x14ac:dyDescent="0.25">
      <c r="M8566" s="21"/>
    </row>
    <row r="8567" spans="13:13" x14ac:dyDescent="0.25">
      <c r="M8567" s="21"/>
    </row>
    <row r="8568" spans="13:13" x14ac:dyDescent="0.25">
      <c r="M8568" s="21"/>
    </row>
    <row r="8569" spans="13:13" x14ac:dyDescent="0.25">
      <c r="M8569" s="21"/>
    </row>
    <row r="8570" spans="13:13" x14ac:dyDescent="0.25">
      <c r="M8570" s="21"/>
    </row>
    <row r="8571" spans="13:13" x14ac:dyDescent="0.25">
      <c r="M8571" s="21"/>
    </row>
    <row r="8572" spans="13:13" x14ac:dyDescent="0.25">
      <c r="M8572" s="21"/>
    </row>
    <row r="8573" spans="13:13" x14ac:dyDescent="0.25">
      <c r="M8573" s="21"/>
    </row>
    <row r="8574" spans="13:13" x14ac:dyDescent="0.25">
      <c r="M8574" s="21"/>
    </row>
    <row r="8575" spans="13:13" x14ac:dyDescent="0.25">
      <c r="M8575" s="21"/>
    </row>
    <row r="8576" spans="13:13" x14ac:dyDescent="0.25">
      <c r="M8576" s="21"/>
    </row>
    <row r="8577" spans="13:13" x14ac:dyDescent="0.25">
      <c r="M8577" s="21"/>
    </row>
    <row r="8578" spans="13:13" x14ac:dyDescent="0.25">
      <c r="M8578" s="21"/>
    </row>
    <row r="8579" spans="13:13" x14ac:dyDescent="0.25">
      <c r="M8579" s="21"/>
    </row>
    <row r="8580" spans="13:13" x14ac:dyDescent="0.25">
      <c r="M8580" s="21"/>
    </row>
    <row r="8581" spans="13:13" x14ac:dyDescent="0.25">
      <c r="M8581" s="21"/>
    </row>
    <row r="8582" spans="13:13" x14ac:dyDescent="0.25">
      <c r="M8582" s="21"/>
    </row>
    <row r="8583" spans="13:13" x14ac:dyDescent="0.25">
      <c r="M8583" s="21"/>
    </row>
    <row r="8584" spans="13:13" x14ac:dyDescent="0.25">
      <c r="M8584" s="21"/>
    </row>
    <row r="8585" spans="13:13" x14ac:dyDescent="0.25">
      <c r="M8585" s="21"/>
    </row>
    <row r="8586" spans="13:13" x14ac:dyDescent="0.25">
      <c r="M8586" s="21"/>
    </row>
    <row r="8587" spans="13:13" x14ac:dyDescent="0.25">
      <c r="M8587" s="21"/>
    </row>
    <row r="8588" spans="13:13" x14ac:dyDescent="0.25">
      <c r="M8588" s="21"/>
    </row>
    <row r="8589" spans="13:13" x14ac:dyDescent="0.25">
      <c r="M8589" s="21"/>
    </row>
    <row r="8590" spans="13:13" x14ac:dyDescent="0.25">
      <c r="M8590" s="21"/>
    </row>
    <row r="8591" spans="13:13" x14ac:dyDescent="0.25">
      <c r="M8591" s="21"/>
    </row>
    <row r="8592" spans="13:13" x14ac:dyDescent="0.25">
      <c r="M8592" s="21"/>
    </row>
    <row r="8593" spans="13:13" x14ac:dyDescent="0.25">
      <c r="M8593" s="21"/>
    </row>
    <row r="8594" spans="13:13" x14ac:dyDescent="0.25">
      <c r="M8594" s="21"/>
    </row>
    <row r="8595" spans="13:13" x14ac:dyDescent="0.25">
      <c r="M8595" s="21"/>
    </row>
    <row r="8596" spans="13:13" x14ac:dyDescent="0.25">
      <c r="M8596" s="21"/>
    </row>
    <row r="8597" spans="13:13" x14ac:dyDescent="0.25">
      <c r="M8597" s="21"/>
    </row>
    <row r="8598" spans="13:13" x14ac:dyDescent="0.25">
      <c r="M8598" s="21"/>
    </row>
    <row r="8599" spans="13:13" x14ac:dyDescent="0.25">
      <c r="M8599" s="21"/>
    </row>
    <row r="8600" spans="13:13" x14ac:dyDescent="0.25">
      <c r="M8600" s="21"/>
    </row>
    <row r="8601" spans="13:13" x14ac:dyDescent="0.25">
      <c r="M8601" s="21"/>
    </row>
    <row r="8602" spans="13:13" x14ac:dyDescent="0.25">
      <c r="M8602" s="21"/>
    </row>
    <row r="8603" spans="13:13" x14ac:dyDescent="0.25">
      <c r="M8603" s="21"/>
    </row>
    <row r="8604" spans="13:13" x14ac:dyDescent="0.25">
      <c r="M8604" s="21"/>
    </row>
    <row r="8605" spans="13:13" x14ac:dyDescent="0.25">
      <c r="M8605" s="21"/>
    </row>
    <row r="8606" spans="13:13" x14ac:dyDescent="0.25">
      <c r="M8606" s="21"/>
    </row>
    <row r="8607" spans="13:13" x14ac:dyDescent="0.25">
      <c r="M8607" s="21"/>
    </row>
    <row r="8608" spans="13:13" x14ac:dyDescent="0.25">
      <c r="M8608" s="21"/>
    </row>
    <row r="8609" spans="13:13" x14ac:dyDescent="0.25">
      <c r="M8609" s="21"/>
    </row>
    <row r="8610" spans="13:13" x14ac:dyDescent="0.25">
      <c r="M8610" s="21"/>
    </row>
    <row r="8611" spans="13:13" x14ac:dyDescent="0.25">
      <c r="M8611" s="21"/>
    </row>
    <row r="8612" spans="13:13" x14ac:dyDescent="0.25">
      <c r="M8612" s="21"/>
    </row>
    <row r="8613" spans="13:13" x14ac:dyDescent="0.25">
      <c r="M8613" s="21"/>
    </row>
    <row r="8614" spans="13:13" x14ac:dyDescent="0.25">
      <c r="M8614" s="21"/>
    </row>
    <row r="8615" spans="13:13" x14ac:dyDescent="0.25">
      <c r="M8615" s="21"/>
    </row>
    <row r="8616" spans="13:13" x14ac:dyDescent="0.25">
      <c r="M8616" s="21"/>
    </row>
    <row r="8617" spans="13:13" x14ac:dyDescent="0.25">
      <c r="M8617" s="21"/>
    </row>
    <row r="8618" spans="13:13" x14ac:dyDescent="0.25">
      <c r="M8618" s="21"/>
    </row>
    <row r="8619" spans="13:13" x14ac:dyDescent="0.25">
      <c r="M8619" s="21"/>
    </row>
    <row r="8620" spans="13:13" x14ac:dyDescent="0.25">
      <c r="M8620" s="21"/>
    </row>
    <row r="8621" spans="13:13" x14ac:dyDescent="0.25">
      <c r="M8621" s="21"/>
    </row>
    <row r="8622" spans="13:13" x14ac:dyDescent="0.25">
      <c r="M8622" s="21"/>
    </row>
    <row r="8623" spans="13:13" x14ac:dyDescent="0.25">
      <c r="M8623" s="21"/>
    </row>
    <row r="8624" spans="13:13" x14ac:dyDescent="0.25">
      <c r="M8624" s="21"/>
    </row>
    <row r="8625" spans="13:13" x14ac:dyDescent="0.25">
      <c r="M8625" s="21"/>
    </row>
    <row r="8626" spans="13:13" x14ac:dyDescent="0.25">
      <c r="M8626" s="21"/>
    </row>
    <row r="8627" spans="13:13" x14ac:dyDescent="0.25">
      <c r="M8627" s="21"/>
    </row>
    <row r="8628" spans="13:13" x14ac:dyDescent="0.25">
      <c r="M8628" s="21"/>
    </row>
    <row r="8629" spans="13:13" x14ac:dyDescent="0.25">
      <c r="M8629" s="21"/>
    </row>
    <row r="8630" spans="13:13" x14ac:dyDescent="0.25">
      <c r="M8630" s="21"/>
    </row>
    <row r="8631" spans="13:13" x14ac:dyDescent="0.25">
      <c r="M8631" s="21"/>
    </row>
    <row r="8632" spans="13:13" x14ac:dyDescent="0.25">
      <c r="M8632" s="21"/>
    </row>
    <row r="8633" spans="13:13" x14ac:dyDescent="0.25">
      <c r="M8633" s="21"/>
    </row>
    <row r="8634" spans="13:13" x14ac:dyDescent="0.25">
      <c r="M8634" s="21"/>
    </row>
    <row r="8635" spans="13:13" x14ac:dyDescent="0.25">
      <c r="M8635" s="21"/>
    </row>
    <row r="8636" spans="13:13" x14ac:dyDescent="0.25">
      <c r="M8636" s="21"/>
    </row>
    <row r="8637" spans="13:13" x14ac:dyDescent="0.25">
      <c r="M8637" s="21"/>
    </row>
    <row r="8638" spans="13:13" x14ac:dyDescent="0.25">
      <c r="M8638" s="21"/>
    </row>
    <row r="8639" spans="13:13" x14ac:dyDescent="0.25">
      <c r="M8639" s="21"/>
    </row>
    <row r="8640" spans="13:13" x14ac:dyDescent="0.25">
      <c r="M8640" s="21"/>
    </row>
    <row r="8641" spans="13:13" x14ac:dyDescent="0.25">
      <c r="M8641" s="21"/>
    </row>
    <row r="8642" spans="13:13" x14ac:dyDescent="0.25">
      <c r="M8642" s="21"/>
    </row>
    <row r="8643" spans="13:13" x14ac:dyDescent="0.25">
      <c r="M8643" s="21"/>
    </row>
    <row r="8644" spans="13:13" x14ac:dyDescent="0.25">
      <c r="M8644" s="21"/>
    </row>
    <row r="8645" spans="13:13" x14ac:dyDescent="0.25">
      <c r="M8645" s="21"/>
    </row>
    <row r="8646" spans="13:13" x14ac:dyDescent="0.25">
      <c r="M8646" s="21"/>
    </row>
    <row r="8647" spans="13:13" x14ac:dyDescent="0.25">
      <c r="M8647" s="21"/>
    </row>
    <row r="8648" spans="13:13" x14ac:dyDescent="0.25">
      <c r="M8648" s="21"/>
    </row>
    <row r="8649" spans="13:13" x14ac:dyDescent="0.25">
      <c r="M8649" s="21"/>
    </row>
    <row r="8650" spans="13:13" x14ac:dyDescent="0.25">
      <c r="M8650" s="21"/>
    </row>
    <row r="8651" spans="13:13" x14ac:dyDescent="0.25">
      <c r="M8651" s="21"/>
    </row>
    <row r="8652" spans="13:13" x14ac:dyDescent="0.25">
      <c r="M8652" s="21"/>
    </row>
    <row r="8653" spans="13:13" x14ac:dyDescent="0.25">
      <c r="M8653" s="21"/>
    </row>
    <row r="8654" spans="13:13" x14ac:dyDescent="0.25">
      <c r="M8654" s="21"/>
    </row>
    <row r="8655" spans="13:13" x14ac:dyDescent="0.25">
      <c r="M8655" s="21"/>
    </row>
    <row r="8656" spans="13:13" x14ac:dyDescent="0.25">
      <c r="M8656" s="21"/>
    </row>
    <row r="8657" spans="13:13" x14ac:dyDescent="0.25">
      <c r="M8657" s="21"/>
    </row>
    <row r="8658" spans="13:13" x14ac:dyDescent="0.25">
      <c r="M8658" s="21"/>
    </row>
    <row r="8659" spans="13:13" x14ac:dyDescent="0.25">
      <c r="M8659" s="21"/>
    </row>
    <row r="8660" spans="13:13" x14ac:dyDescent="0.25">
      <c r="M8660" s="21"/>
    </row>
    <row r="8661" spans="13:13" x14ac:dyDescent="0.25">
      <c r="M8661" s="21"/>
    </row>
    <row r="8662" spans="13:13" x14ac:dyDescent="0.25">
      <c r="M8662" s="21"/>
    </row>
    <row r="8663" spans="13:13" x14ac:dyDescent="0.25">
      <c r="M8663" s="21"/>
    </row>
    <row r="8664" spans="13:13" x14ac:dyDescent="0.25">
      <c r="M8664" s="21"/>
    </row>
    <row r="8665" spans="13:13" x14ac:dyDescent="0.25">
      <c r="M8665" s="21"/>
    </row>
    <row r="8666" spans="13:13" x14ac:dyDescent="0.25">
      <c r="M8666" s="21"/>
    </row>
    <row r="8667" spans="13:13" x14ac:dyDescent="0.25">
      <c r="M8667" s="21"/>
    </row>
    <row r="8668" spans="13:13" x14ac:dyDescent="0.25">
      <c r="M8668" s="21"/>
    </row>
    <row r="8669" spans="13:13" x14ac:dyDescent="0.25">
      <c r="M8669" s="21"/>
    </row>
    <row r="8670" spans="13:13" x14ac:dyDescent="0.25">
      <c r="M8670" s="21"/>
    </row>
    <row r="8671" spans="13:13" x14ac:dyDescent="0.25">
      <c r="M8671" s="21"/>
    </row>
    <row r="8672" spans="13:13" x14ac:dyDescent="0.25">
      <c r="M8672" s="21"/>
    </row>
    <row r="8673" spans="13:13" x14ac:dyDescent="0.25">
      <c r="M8673" s="21"/>
    </row>
    <row r="8674" spans="13:13" x14ac:dyDescent="0.25">
      <c r="M8674" s="21"/>
    </row>
    <row r="8675" spans="13:13" x14ac:dyDescent="0.25">
      <c r="M8675" s="21"/>
    </row>
    <row r="8676" spans="13:13" x14ac:dyDescent="0.25">
      <c r="M8676" s="21"/>
    </row>
    <row r="8677" spans="13:13" x14ac:dyDescent="0.25">
      <c r="M8677" s="21"/>
    </row>
    <row r="8678" spans="13:13" x14ac:dyDescent="0.25">
      <c r="M8678" s="21"/>
    </row>
    <row r="8679" spans="13:13" x14ac:dyDescent="0.25">
      <c r="M8679" s="21"/>
    </row>
    <row r="8680" spans="13:13" x14ac:dyDescent="0.25">
      <c r="M8680" s="21"/>
    </row>
    <row r="8681" spans="13:13" x14ac:dyDescent="0.25">
      <c r="M8681" s="21"/>
    </row>
    <row r="8682" spans="13:13" x14ac:dyDescent="0.25">
      <c r="M8682" s="21"/>
    </row>
    <row r="8683" spans="13:13" x14ac:dyDescent="0.25">
      <c r="M8683" s="21"/>
    </row>
    <row r="8684" spans="13:13" x14ac:dyDescent="0.25">
      <c r="M8684" s="21"/>
    </row>
    <row r="8685" spans="13:13" x14ac:dyDescent="0.25">
      <c r="M8685" s="21"/>
    </row>
    <row r="8686" spans="13:13" x14ac:dyDescent="0.25">
      <c r="M8686" s="21"/>
    </row>
    <row r="8687" spans="13:13" x14ac:dyDescent="0.25">
      <c r="M8687" s="21"/>
    </row>
    <row r="8688" spans="13:13" x14ac:dyDescent="0.25">
      <c r="M8688" s="21"/>
    </row>
    <row r="8689" spans="13:13" x14ac:dyDescent="0.25">
      <c r="M8689" s="21"/>
    </row>
    <row r="8690" spans="13:13" x14ac:dyDescent="0.25">
      <c r="M8690" s="21"/>
    </row>
    <row r="8691" spans="13:13" x14ac:dyDescent="0.25">
      <c r="M8691" s="21"/>
    </row>
    <row r="8692" spans="13:13" x14ac:dyDescent="0.25">
      <c r="M8692" s="21"/>
    </row>
    <row r="8693" spans="13:13" x14ac:dyDescent="0.25">
      <c r="M8693" s="21"/>
    </row>
    <row r="8694" spans="13:13" x14ac:dyDescent="0.25">
      <c r="M8694" s="21"/>
    </row>
    <row r="8695" spans="13:13" x14ac:dyDescent="0.25">
      <c r="M8695" s="21"/>
    </row>
    <row r="8696" spans="13:13" x14ac:dyDescent="0.25">
      <c r="M8696" s="21"/>
    </row>
    <row r="8697" spans="13:13" x14ac:dyDescent="0.25">
      <c r="M8697" s="21"/>
    </row>
    <row r="8698" spans="13:13" x14ac:dyDescent="0.25">
      <c r="M8698" s="21"/>
    </row>
    <row r="8699" spans="13:13" x14ac:dyDescent="0.25">
      <c r="M8699" s="21"/>
    </row>
    <row r="8700" spans="13:13" x14ac:dyDescent="0.25">
      <c r="M8700" s="21"/>
    </row>
    <row r="8701" spans="13:13" x14ac:dyDescent="0.25">
      <c r="M8701" s="21"/>
    </row>
    <row r="8702" spans="13:13" x14ac:dyDescent="0.25">
      <c r="M8702" s="21"/>
    </row>
    <row r="8703" spans="13:13" x14ac:dyDescent="0.25">
      <c r="M8703" s="21"/>
    </row>
    <row r="8704" spans="13:13" x14ac:dyDescent="0.25">
      <c r="M8704" s="21"/>
    </row>
    <row r="8705" spans="13:13" x14ac:dyDescent="0.25">
      <c r="M8705" s="21"/>
    </row>
    <row r="8706" spans="13:13" x14ac:dyDescent="0.25">
      <c r="M8706" s="21"/>
    </row>
    <row r="8707" spans="13:13" x14ac:dyDescent="0.25">
      <c r="M8707" s="21"/>
    </row>
    <row r="8708" spans="13:13" x14ac:dyDescent="0.25">
      <c r="M8708" s="21"/>
    </row>
    <row r="8709" spans="13:13" x14ac:dyDescent="0.25">
      <c r="M8709" s="21"/>
    </row>
    <row r="8710" spans="13:13" x14ac:dyDescent="0.25">
      <c r="M8710" s="21"/>
    </row>
    <row r="8711" spans="13:13" x14ac:dyDescent="0.25">
      <c r="M8711" s="21"/>
    </row>
    <row r="8712" spans="13:13" x14ac:dyDescent="0.25">
      <c r="M8712" s="21"/>
    </row>
    <row r="8713" spans="13:13" x14ac:dyDescent="0.25">
      <c r="M8713" s="21"/>
    </row>
    <row r="8714" spans="13:13" x14ac:dyDescent="0.25">
      <c r="M8714" s="21"/>
    </row>
    <row r="8715" spans="13:13" x14ac:dyDescent="0.25">
      <c r="M8715" s="21"/>
    </row>
    <row r="8716" spans="13:13" x14ac:dyDescent="0.25">
      <c r="M8716" s="21"/>
    </row>
    <row r="8717" spans="13:13" x14ac:dyDescent="0.25">
      <c r="M8717" s="21"/>
    </row>
    <row r="8718" spans="13:13" x14ac:dyDescent="0.25">
      <c r="M8718" s="21"/>
    </row>
    <row r="8719" spans="13:13" x14ac:dyDescent="0.25">
      <c r="M8719" s="21"/>
    </row>
    <row r="8720" spans="13:13" x14ac:dyDescent="0.25">
      <c r="M8720" s="21"/>
    </row>
    <row r="8721" spans="13:13" x14ac:dyDescent="0.25">
      <c r="M8721" s="21"/>
    </row>
    <row r="8722" spans="13:13" x14ac:dyDescent="0.25">
      <c r="M8722" s="21"/>
    </row>
    <row r="8723" spans="13:13" x14ac:dyDescent="0.25">
      <c r="M8723" s="21"/>
    </row>
    <row r="8724" spans="13:13" x14ac:dyDescent="0.25">
      <c r="M8724" s="21"/>
    </row>
    <row r="8725" spans="13:13" x14ac:dyDescent="0.25">
      <c r="M8725" s="21"/>
    </row>
    <row r="8726" spans="13:13" x14ac:dyDescent="0.25">
      <c r="M8726" s="21"/>
    </row>
    <row r="8727" spans="13:13" x14ac:dyDescent="0.25">
      <c r="M8727" s="21"/>
    </row>
    <row r="8728" spans="13:13" x14ac:dyDescent="0.25">
      <c r="M8728" s="21"/>
    </row>
    <row r="8729" spans="13:13" x14ac:dyDescent="0.25">
      <c r="M8729" s="21"/>
    </row>
    <row r="8730" spans="13:13" x14ac:dyDescent="0.25">
      <c r="M8730" s="21"/>
    </row>
    <row r="8731" spans="13:13" x14ac:dyDescent="0.25">
      <c r="M8731" s="21"/>
    </row>
    <row r="8732" spans="13:13" x14ac:dyDescent="0.25">
      <c r="M8732" s="21"/>
    </row>
    <row r="8733" spans="13:13" x14ac:dyDescent="0.25">
      <c r="M8733" s="21"/>
    </row>
    <row r="8734" spans="13:13" x14ac:dyDescent="0.25">
      <c r="M8734" s="21"/>
    </row>
    <row r="8735" spans="13:13" x14ac:dyDescent="0.25">
      <c r="M8735" s="21"/>
    </row>
    <row r="8736" spans="13:13" x14ac:dyDescent="0.25">
      <c r="M8736" s="21"/>
    </row>
    <row r="8737" spans="13:13" x14ac:dyDescent="0.25">
      <c r="M8737" s="21"/>
    </row>
    <row r="8738" spans="13:13" x14ac:dyDescent="0.25">
      <c r="M8738" s="21"/>
    </row>
    <row r="8739" spans="13:13" x14ac:dyDescent="0.25">
      <c r="M8739" s="21"/>
    </row>
    <row r="8740" spans="13:13" x14ac:dyDescent="0.25">
      <c r="M8740" s="21"/>
    </row>
    <row r="8741" spans="13:13" x14ac:dyDescent="0.25">
      <c r="M8741" s="21"/>
    </row>
    <row r="8742" spans="13:13" x14ac:dyDescent="0.25">
      <c r="M8742" s="21"/>
    </row>
    <row r="8743" spans="13:13" x14ac:dyDescent="0.25">
      <c r="M8743" s="21"/>
    </row>
    <row r="8744" spans="13:13" x14ac:dyDescent="0.25">
      <c r="M8744" s="21"/>
    </row>
    <row r="8745" spans="13:13" x14ac:dyDescent="0.25">
      <c r="M8745" s="21"/>
    </row>
    <row r="8746" spans="13:13" x14ac:dyDescent="0.25">
      <c r="M8746" s="21"/>
    </row>
    <row r="8747" spans="13:13" x14ac:dyDescent="0.25">
      <c r="M8747" s="21"/>
    </row>
    <row r="8748" spans="13:13" x14ac:dyDescent="0.25">
      <c r="M8748" s="21"/>
    </row>
    <row r="8749" spans="13:13" x14ac:dyDescent="0.25">
      <c r="M8749" s="21"/>
    </row>
    <row r="8750" spans="13:13" x14ac:dyDescent="0.25">
      <c r="M8750" s="21"/>
    </row>
    <row r="8751" spans="13:13" x14ac:dyDescent="0.25">
      <c r="M8751" s="21"/>
    </row>
    <row r="8752" spans="13:13" x14ac:dyDescent="0.25">
      <c r="M8752" s="21"/>
    </row>
    <row r="8753" spans="13:13" x14ac:dyDescent="0.25">
      <c r="M8753" s="21"/>
    </row>
    <row r="8754" spans="13:13" x14ac:dyDescent="0.25">
      <c r="M8754" s="21"/>
    </row>
    <row r="8755" spans="13:13" x14ac:dyDescent="0.25">
      <c r="M8755" s="21"/>
    </row>
    <row r="8756" spans="13:13" x14ac:dyDescent="0.25">
      <c r="M8756" s="21"/>
    </row>
    <row r="8757" spans="13:13" x14ac:dyDescent="0.25">
      <c r="M8757" s="21"/>
    </row>
    <row r="8758" spans="13:13" x14ac:dyDescent="0.25">
      <c r="M8758" s="21"/>
    </row>
    <row r="8759" spans="13:13" x14ac:dyDescent="0.25">
      <c r="M8759" s="21"/>
    </row>
    <row r="8760" spans="13:13" x14ac:dyDescent="0.25">
      <c r="M8760" s="21"/>
    </row>
    <row r="8761" spans="13:13" x14ac:dyDescent="0.25">
      <c r="M8761" s="21"/>
    </row>
    <row r="8762" spans="13:13" x14ac:dyDescent="0.25">
      <c r="M8762" s="21"/>
    </row>
    <row r="8763" spans="13:13" x14ac:dyDescent="0.25">
      <c r="M8763" s="21"/>
    </row>
    <row r="8764" spans="13:13" x14ac:dyDescent="0.25">
      <c r="M8764" s="21"/>
    </row>
    <row r="8765" spans="13:13" x14ac:dyDescent="0.25">
      <c r="M8765" s="21"/>
    </row>
    <row r="8766" spans="13:13" x14ac:dyDescent="0.25">
      <c r="M8766" s="21"/>
    </row>
    <row r="8767" spans="13:13" x14ac:dyDescent="0.25">
      <c r="M8767" s="21"/>
    </row>
    <row r="8768" spans="13:13" x14ac:dyDescent="0.25">
      <c r="M8768" s="21"/>
    </row>
    <row r="8769" spans="13:13" x14ac:dyDescent="0.25">
      <c r="M8769" s="21"/>
    </row>
    <row r="8770" spans="13:13" x14ac:dyDescent="0.25">
      <c r="M8770" s="21"/>
    </row>
    <row r="8771" spans="13:13" x14ac:dyDescent="0.25">
      <c r="M8771" s="21"/>
    </row>
    <row r="8772" spans="13:13" x14ac:dyDescent="0.25">
      <c r="M8772" s="21"/>
    </row>
    <row r="8773" spans="13:13" x14ac:dyDescent="0.25">
      <c r="M8773" s="21"/>
    </row>
    <row r="8774" spans="13:13" x14ac:dyDescent="0.25">
      <c r="M8774" s="21"/>
    </row>
    <row r="8775" spans="13:13" x14ac:dyDescent="0.25">
      <c r="M8775" s="21"/>
    </row>
    <row r="8776" spans="13:13" x14ac:dyDescent="0.25">
      <c r="M8776" s="21"/>
    </row>
    <row r="8777" spans="13:13" x14ac:dyDescent="0.25">
      <c r="M8777" s="21"/>
    </row>
    <row r="8778" spans="13:13" x14ac:dyDescent="0.25">
      <c r="M8778" s="21"/>
    </row>
    <row r="8779" spans="13:13" x14ac:dyDescent="0.25">
      <c r="M8779" s="21"/>
    </row>
    <row r="8780" spans="13:13" x14ac:dyDescent="0.25">
      <c r="M8780" s="21"/>
    </row>
    <row r="8781" spans="13:13" x14ac:dyDescent="0.25">
      <c r="M8781" s="21"/>
    </row>
    <row r="8782" spans="13:13" x14ac:dyDescent="0.25">
      <c r="M8782" s="21"/>
    </row>
    <row r="8783" spans="13:13" x14ac:dyDescent="0.25">
      <c r="M8783" s="21"/>
    </row>
    <row r="8784" spans="13:13" x14ac:dyDescent="0.25">
      <c r="M8784" s="21"/>
    </row>
    <row r="8785" spans="13:13" x14ac:dyDescent="0.25">
      <c r="M8785" s="21"/>
    </row>
    <row r="8786" spans="13:13" x14ac:dyDescent="0.25">
      <c r="M8786" s="21"/>
    </row>
    <row r="8787" spans="13:13" x14ac:dyDescent="0.25">
      <c r="M8787" s="21"/>
    </row>
    <row r="8788" spans="13:13" x14ac:dyDescent="0.25">
      <c r="M8788" s="21"/>
    </row>
    <row r="8789" spans="13:13" x14ac:dyDescent="0.25">
      <c r="M8789" s="21"/>
    </row>
    <row r="8790" spans="13:13" x14ac:dyDescent="0.25">
      <c r="M8790" s="21"/>
    </row>
    <row r="8791" spans="13:13" x14ac:dyDescent="0.25">
      <c r="M8791" s="21"/>
    </row>
    <row r="8792" spans="13:13" x14ac:dyDescent="0.25">
      <c r="M8792" s="21"/>
    </row>
    <row r="8793" spans="13:13" x14ac:dyDescent="0.25">
      <c r="M8793" s="21"/>
    </row>
    <row r="8794" spans="13:13" x14ac:dyDescent="0.25">
      <c r="M8794" s="21"/>
    </row>
    <row r="8795" spans="13:13" x14ac:dyDescent="0.25">
      <c r="M8795" s="21"/>
    </row>
    <row r="8796" spans="13:13" x14ac:dyDescent="0.25">
      <c r="M8796" s="21"/>
    </row>
    <row r="8797" spans="13:13" x14ac:dyDescent="0.25">
      <c r="M8797" s="21"/>
    </row>
    <row r="8798" spans="13:13" x14ac:dyDescent="0.25">
      <c r="M8798" s="21"/>
    </row>
    <row r="8799" spans="13:13" x14ac:dyDescent="0.25">
      <c r="M8799" s="21"/>
    </row>
    <row r="8800" spans="13:13" x14ac:dyDescent="0.25">
      <c r="M8800" s="21"/>
    </row>
    <row r="8801" spans="13:13" x14ac:dyDescent="0.25">
      <c r="M8801" s="21"/>
    </row>
    <row r="8802" spans="13:13" x14ac:dyDescent="0.25">
      <c r="M8802" s="21"/>
    </row>
    <row r="8803" spans="13:13" x14ac:dyDescent="0.25">
      <c r="M8803" s="21"/>
    </row>
    <row r="8804" spans="13:13" x14ac:dyDescent="0.25">
      <c r="M8804" s="21"/>
    </row>
    <row r="8805" spans="13:13" x14ac:dyDescent="0.25">
      <c r="M8805" s="21"/>
    </row>
    <row r="8806" spans="13:13" x14ac:dyDescent="0.25">
      <c r="M8806" s="21"/>
    </row>
    <row r="8807" spans="13:13" x14ac:dyDescent="0.25">
      <c r="M8807" s="21"/>
    </row>
    <row r="8808" spans="13:13" x14ac:dyDescent="0.25">
      <c r="M8808" s="21"/>
    </row>
    <row r="8809" spans="13:13" x14ac:dyDescent="0.25">
      <c r="M8809" s="21"/>
    </row>
    <row r="8810" spans="13:13" x14ac:dyDescent="0.25">
      <c r="M8810" s="21"/>
    </row>
    <row r="8811" spans="13:13" x14ac:dyDescent="0.25">
      <c r="M8811" s="21"/>
    </row>
    <row r="8812" spans="13:13" x14ac:dyDescent="0.25">
      <c r="M8812" s="21"/>
    </row>
    <row r="8813" spans="13:13" x14ac:dyDescent="0.25">
      <c r="M8813" s="21"/>
    </row>
    <row r="8814" spans="13:13" x14ac:dyDescent="0.25">
      <c r="M8814" s="21"/>
    </row>
    <row r="8815" spans="13:13" x14ac:dyDescent="0.25">
      <c r="M8815" s="21"/>
    </row>
    <row r="8816" spans="13:13" x14ac:dyDescent="0.25">
      <c r="M8816" s="21"/>
    </row>
    <row r="8817" spans="13:13" x14ac:dyDescent="0.25">
      <c r="M8817" s="21"/>
    </row>
    <row r="8818" spans="13:13" x14ac:dyDescent="0.25">
      <c r="M8818" s="21"/>
    </row>
    <row r="8819" spans="13:13" x14ac:dyDescent="0.25">
      <c r="M8819" s="21"/>
    </row>
    <row r="8820" spans="13:13" x14ac:dyDescent="0.25">
      <c r="M8820" s="21"/>
    </row>
    <row r="8821" spans="13:13" x14ac:dyDescent="0.25">
      <c r="M8821" s="21"/>
    </row>
    <row r="8822" spans="13:13" x14ac:dyDescent="0.25">
      <c r="M8822" s="21"/>
    </row>
    <row r="8823" spans="13:13" x14ac:dyDescent="0.25">
      <c r="M8823" s="21"/>
    </row>
    <row r="8824" spans="13:13" x14ac:dyDescent="0.25">
      <c r="M8824" s="21"/>
    </row>
    <row r="8825" spans="13:13" x14ac:dyDescent="0.25">
      <c r="M8825" s="21"/>
    </row>
    <row r="8826" spans="13:13" x14ac:dyDescent="0.25">
      <c r="M8826" s="21"/>
    </row>
    <row r="8827" spans="13:13" x14ac:dyDescent="0.25">
      <c r="M8827" s="21"/>
    </row>
    <row r="8828" spans="13:13" x14ac:dyDescent="0.25">
      <c r="M8828" s="21"/>
    </row>
    <row r="8829" spans="13:13" x14ac:dyDescent="0.25">
      <c r="M8829" s="21"/>
    </row>
    <row r="8830" spans="13:13" x14ac:dyDescent="0.25">
      <c r="M8830" s="21"/>
    </row>
    <row r="8831" spans="13:13" x14ac:dyDescent="0.25">
      <c r="M8831" s="21"/>
    </row>
    <row r="8832" spans="13:13" x14ac:dyDescent="0.25">
      <c r="M8832" s="21"/>
    </row>
    <row r="8833" spans="13:13" x14ac:dyDescent="0.25">
      <c r="M8833" s="21"/>
    </row>
    <row r="8834" spans="13:13" x14ac:dyDescent="0.25">
      <c r="M8834" s="21"/>
    </row>
    <row r="8835" spans="13:13" x14ac:dyDescent="0.25">
      <c r="M8835" s="21"/>
    </row>
    <row r="8836" spans="13:13" x14ac:dyDescent="0.25">
      <c r="M8836" s="21"/>
    </row>
    <row r="8837" spans="13:13" x14ac:dyDescent="0.25">
      <c r="M8837" s="21"/>
    </row>
    <row r="8838" spans="13:13" x14ac:dyDescent="0.25">
      <c r="M8838" s="21"/>
    </row>
    <row r="8839" spans="13:13" x14ac:dyDescent="0.25">
      <c r="M8839" s="21"/>
    </row>
    <row r="8840" spans="13:13" x14ac:dyDescent="0.25">
      <c r="M8840" s="21"/>
    </row>
    <row r="8841" spans="13:13" x14ac:dyDescent="0.25">
      <c r="M8841" s="21"/>
    </row>
    <row r="8842" spans="13:13" x14ac:dyDescent="0.25">
      <c r="M8842" s="21"/>
    </row>
    <row r="8843" spans="13:13" x14ac:dyDescent="0.25">
      <c r="M8843" s="21"/>
    </row>
    <row r="8844" spans="13:13" x14ac:dyDescent="0.25">
      <c r="M8844" s="21"/>
    </row>
    <row r="8845" spans="13:13" x14ac:dyDescent="0.25">
      <c r="M8845" s="21"/>
    </row>
    <row r="8846" spans="13:13" x14ac:dyDescent="0.25">
      <c r="M8846" s="21"/>
    </row>
    <row r="8847" spans="13:13" x14ac:dyDescent="0.25">
      <c r="M8847" s="21"/>
    </row>
    <row r="8848" spans="13:13" x14ac:dyDescent="0.25">
      <c r="M8848" s="21"/>
    </row>
    <row r="8849" spans="13:13" x14ac:dyDescent="0.25">
      <c r="M8849" s="21"/>
    </row>
    <row r="8850" spans="13:13" x14ac:dyDescent="0.25">
      <c r="M8850" s="21"/>
    </row>
    <row r="8851" spans="13:13" x14ac:dyDescent="0.25">
      <c r="M8851" s="21"/>
    </row>
    <row r="8852" spans="13:13" x14ac:dyDescent="0.25">
      <c r="M8852" s="21"/>
    </row>
    <row r="8853" spans="13:13" x14ac:dyDescent="0.25">
      <c r="M8853" s="21"/>
    </row>
    <row r="8854" spans="13:13" x14ac:dyDescent="0.25">
      <c r="M8854" s="21"/>
    </row>
    <row r="8855" spans="13:13" x14ac:dyDescent="0.25">
      <c r="M8855" s="21"/>
    </row>
    <row r="8856" spans="13:13" x14ac:dyDescent="0.25">
      <c r="M8856" s="21"/>
    </row>
    <row r="8857" spans="13:13" x14ac:dyDescent="0.25">
      <c r="M8857" s="21"/>
    </row>
    <row r="8858" spans="13:13" x14ac:dyDescent="0.25">
      <c r="M8858" s="21"/>
    </row>
    <row r="8859" spans="13:13" x14ac:dyDescent="0.25">
      <c r="M8859" s="21"/>
    </row>
    <row r="8860" spans="13:13" x14ac:dyDescent="0.25">
      <c r="M8860" s="21"/>
    </row>
    <row r="8861" spans="13:13" x14ac:dyDescent="0.25">
      <c r="M8861" s="21"/>
    </row>
    <row r="8862" spans="13:13" x14ac:dyDescent="0.25">
      <c r="M8862" s="21"/>
    </row>
    <row r="8863" spans="13:13" x14ac:dyDescent="0.25">
      <c r="M8863" s="21"/>
    </row>
    <row r="8864" spans="13:13" x14ac:dyDescent="0.25">
      <c r="M8864" s="21"/>
    </row>
    <row r="8865" spans="13:13" x14ac:dyDescent="0.25">
      <c r="M8865" s="21"/>
    </row>
    <row r="8866" spans="13:13" x14ac:dyDescent="0.25">
      <c r="M8866" s="21"/>
    </row>
    <row r="8867" spans="13:13" x14ac:dyDescent="0.25">
      <c r="M8867" s="21"/>
    </row>
    <row r="8868" spans="13:13" x14ac:dyDescent="0.25">
      <c r="M8868" s="21"/>
    </row>
    <row r="8869" spans="13:13" x14ac:dyDescent="0.25">
      <c r="M8869" s="21"/>
    </row>
    <row r="8870" spans="13:13" x14ac:dyDescent="0.25">
      <c r="M8870" s="21"/>
    </row>
    <row r="8871" spans="13:13" x14ac:dyDescent="0.25">
      <c r="M8871" s="21"/>
    </row>
    <row r="8872" spans="13:13" x14ac:dyDescent="0.25">
      <c r="M8872" s="21"/>
    </row>
    <row r="8873" spans="13:13" x14ac:dyDescent="0.25">
      <c r="M8873" s="21"/>
    </row>
    <row r="8874" spans="13:13" x14ac:dyDescent="0.25">
      <c r="M8874" s="21"/>
    </row>
    <row r="8875" spans="13:13" x14ac:dyDescent="0.25">
      <c r="M8875" s="21"/>
    </row>
    <row r="8876" spans="13:13" x14ac:dyDescent="0.25">
      <c r="M8876" s="21"/>
    </row>
    <row r="8877" spans="13:13" x14ac:dyDescent="0.25">
      <c r="M8877" s="21"/>
    </row>
    <row r="8878" spans="13:13" x14ac:dyDescent="0.25">
      <c r="M8878" s="21"/>
    </row>
    <row r="8879" spans="13:13" x14ac:dyDescent="0.25">
      <c r="M8879" s="21"/>
    </row>
    <row r="8880" spans="13:13" x14ac:dyDescent="0.25">
      <c r="M8880" s="21"/>
    </row>
    <row r="8881" spans="13:13" x14ac:dyDescent="0.25">
      <c r="M8881" s="21"/>
    </row>
    <row r="8882" spans="13:13" x14ac:dyDescent="0.25">
      <c r="M8882" s="21"/>
    </row>
    <row r="8883" spans="13:13" x14ac:dyDescent="0.25">
      <c r="M8883" s="21"/>
    </row>
    <row r="8884" spans="13:13" x14ac:dyDescent="0.25">
      <c r="M8884" s="21"/>
    </row>
    <row r="8885" spans="13:13" x14ac:dyDescent="0.25">
      <c r="M8885" s="21"/>
    </row>
    <row r="8886" spans="13:13" x14ac:dyDescent="0.25">
      <c r="M8886" s="21"/>
    </row>
    <row r="8887" spans="13:13" x14ac:dyDescent="0.25">
      <c r="M8887" s="21"/>
    </row>
    <row r="8888" spans="13:13" x14ac:dyDescent="0.25">
      <c r="M8888" s="21"/>
    </row>
    <row r="8889" spans="13:13" x14ac:dyDescent="0.25">
      <c r="M8889" s="21"/>
    </row>
    <row r="8890" spans="13:13" x14ac:dyDescent="0.25">
      <c r="M8890" s="21"/>
    </row>
    <row r="8891" spans="13:13" x14ac:dyDescent="0.25">
      <c r="M8891" s="21"/>
    </row>
    <row r="8892" spans="13:13" x14ac:dyDescent="0.25">
      <c r="M8892" s="21"/>
    </row>
    <row r="8893" spans="13:13" x14ac:dyDescent="0.25">
      <c r="M8893" s="21"/>
    </row>
    <row r="8894" spans="13:13" x14ac:dyDescent="0.25">
      <c r="M8894" s="21"/>
    </row>
    <row r="8895" spans="13:13" x14ac:dyDescent="0.25">
      <c r="M8895" s="21"/>
    </row>
    <row r="8896" spans="13:13" x14ac:dyDescent="0.25">
      <c r="M8896" s="21"/>
    </row>
    <row r="8897" spans="13:13" x14ac:dyDescent="0.25">
      <c r="M8897" s="21"/>
    </row>
    <row r="8898" spans="13:13" x14ac:dyDescent="0.25">
      <c r="M8898" s="21"/>
    </row>
    <row r="8899" spans="13:13" x14ac:dyDescent="0.25">
      <c r="M8899" s="21"/>
    </row>
    <row r="8900" spans="13:13" x14ac:dyDescent="0.25">
      <c r="M8900" s="21"/>
    </row>
    <row r="8901" spans="13:13" x14ac:dyDescent="0.25">
      <c r="M8901" s="21"/>
    </row>
    <row r="8902" spans="13:13" x14ac:dyDescent="0.25">
      <c r="M8902" s="21"/>
    </row>
    <row r="8903" spans="13:13" x14ac:dyDescent="0.25">
      <c r="M8903" s="21"/>
    </row>
    <row r="8904" spans="13:13" x14ac:dyDescent="0.25">
      <c r="M8904" s="21"/>
    </row>
    <row r="8905" spans="13:13" x14ac:dyDescent="0.25">
      <c r="M8905" s="21"/>
    </row>
    <row r="8906" spans="13:13" x14ac:dyDescent="0.25">
      <c r="M8906" s="21"/>
    </row>
    <row r="8907" spans="13:13" x14ac:dyDescent="0.25">
      <c r="M8907" s="21"/>
    </row>
    <row r="8908" spans="13:13" x14ac:dyDescent="0.25">
      <c r="M8908" s="21"/>
    </row>
    <row r="8909" spans="13:13" x14ac:dyDescent="0.25">
      <c r="M8909" s="21"/>
    </row>
    <row r="8910" spans="13:13" x14ac:dyDescent="0.25">
      <c r="M8910" s="21"/>
    </row>
    <row r="8911" spans="13:13" x14ac:dyDescent="0.25">
      <c r="M8911" s="21"/>
    </row>
    <row r="8912" spans="13:13" x14ac:dyDescent="0.25">
      <c r="M8912" s="21"/>
    </row>
    <row r="8913" spans="13:13" x14ac:dyDescent="0.25">
      <c r="M8913" s="21"/>
    </row>
    <row r="8914" spans="13:13" x14ac:dyDescent="0.25">
      <c r="M8914" s="21"/>
    </row>
    <row r="8915" spans="13:13" x14ac:dyDescent="0.25">
      <c r="M8915" s="21"/>
    </row>
    <row r="8916" spans="13:13" x14ac:dyDescent="0.25">
      <c r="M8916" s="21"/>
    </row>
    <row r="8917" spans="13:13" x14ac:dyDescent="0.25">
      <c r="M8917" s="21"/>
    </row>
    <row r="8918" spans="13:13" x14ac:dyDescent="0.25">
      <c r="M8918" s="21"/>
    </row>
    <row r="8919" spans="13:13" x14ac:dyDescent="0.25">
      <c r="M8919" s="21"/>
    </row>
    <row r="8920" spans="13:13" x14ac:dyDescent="0.25">
      <c r="M8920" s="21"/>
    </row>
    <row r="8921" spans="13:13" x14ac:dyDescent="0.25">
      <c r="M8921" s="21"/>
    </row>
    <row r="8922" spans="13:13" x14ac:dyDescent="0.25">
      <c r="M8922" s="21"/>
    </row>
    <row r="8923" spans="13:13" x14ac:dyDescent="0.25">
      <c r="M8923" s="21"/>
    </row>
    <row r="8924" spans="13:13" x14ac:dyDescent="0.25">
      <c r="M8924" s="21"/>
    </row>
    <row r="8925" spans="13:13" x14ac:dyDescent="0.25">
      <c r="M8925" s="21"/>
    </row>
    <row r="8926" spans="13:13" x14ac:dyDescent="0.25">
      <c r="M8926" s="21"/>
    </row>
    <row r="8927" spans="13:13" x14ac:dyDescent="0.25">
      <c r="M8927" s="21"/>
    </row>
    <row r="8928" spans="13:13" x14ac:dyDescent="0.25">
      <c r="M8928" s="21"/>
    </row>
    <row r="8929" spans="13:13" x14ac:dyDescent="0.25">
      <c r="M8929" s="21"/>
    </row>
    <row r="8930" spans="13:13" x14ac:dyDescent="0.25">
      <c r="M8930" s="21"/>
    </row>
    <row r="8931" spans="13:13" x14ac:dyDescent="0.25">
      <c r="M8931" s="21"/>
    </row>
    <row r="8932" spans="13:13" x14ac:dyDescent="0.25">
      <c r="M8932" s="21"/>
    </row>
    <row r="8933" spans="13:13" x14ac:dyDescent="0.25">
      <c r="M8933" s="21"/>
    </row>
    <row r="8934" spans="13:13" x14ac:dyDescent="0.25">
      <c r="M8934" s="21"/>
    </row>
    <row r="8935" spans="13:13" x14ac:dyDescent="0.25">
      <c r="M8935" s="21"/>
    </row>
    <row r="8936" spans="13:13" x14ac:dyDescent="0.25">
      <c r="M8936" s="21"/>
    </row>
    <row r="8937" spans="13:13" x14ac:dyDescent="0.25">
      <c r="M8937" s="21"/>
    </row>
    <row r="8938" spans="13:13" x14ac:dyDescent="0.25">
      <c r="M8938" s="21"/>
    </row>
    <row r="8939" spans="13:13" x14ac:dyDescent="0.25">
      <c r="M8939" s="21"/>
    </row>
    <row r="8940" spans="13:13" x14ac:dyDescent="0.25">
      <c r="M8940" s="21"/>
    </row>
    <row r="8941" spans="13:13" x14ac:dyDescent="0.25">
      <c r="M8941" s="21"/>
    </row>
    <row r="8942" spans="13:13" x14ac:dyDescent="0.25">
      <c r="M8942" s="21"/>
    </row>
    <row r="8943" spans="13:13" x14ac:dyDescent="0.25">
      <c r="M8943" s="21"/>
    </row>
    <row r="8944" spans="13:13" x14ac:dyDescent="0.25">
      <c r="M8944" s="21"/>
    </row>
    <row r="8945" spans="13:13" x14ac:dyDescent="0.25">
      <c r="M8945" s="21"/>
    </row>
    <row r="8946" spans="13:13" x14ac:dyDescent="0.25">
      <c r="M8946" s="21"/>
    </row>
    <row r="8947" spans="13:13" x14ac:dyDescent="0.25">
      <c r="M8947" s="21"/>
    </row>
    <row r="8948" spans="13:13" x14ac:dyDescent="0.25">
      <c r="M8948" s="21"/>
    </row>
    <row r="8949" spans="13:13" x14ac:dyDescent="0.25">
      <c r="M8949" s="21"/>
    </row>
    <row r="8950" spans="13:13" x14ac:dyDescent="0.25">
      <c r="M8950" s="21"/>
    </row>
    <row r="8951" spans="13:13" x14ac:dyDescent="0.25">
      <c r="M8951" s="21"/>
    </row>
    <row r="8952" spans="13:13" x14ac:dyDescent="0.25">
      <c r="M8952" s="21"/>
    </row>
    <row r="8953" spans="13:13" x14ac:dyDescent="0.25">
      <c r="M8953" s="21"/>
    </row>
    <row r="8954" spans="13:13" x14ac:dyDescent="0.25">
      <c r="M8954" s="21"/>
    </row>
    <row r="8955" spans="13:13" x14ac:dyDescent="0.25">
      <c r="M8955" s="21"/>
    </row>
    <row r="8956" spans="13:13" x14ac:dyDescent="0.25">
      <c r="M8956" s="21"/>
    </row>
    <row r="8957" spans="13:13" x14ac:dyDescent="0.25">
      <c r="M8957" s="21"/>
    </row>
    <row r="8958" spans="13:13" x14ac:dyDescent="0.25">
      <c r="M8958" s="21"/>
    </row>
    <row r="8959" spans="13:13" x14ac:dyDescent="0.25">
      <c r="M8959" s="21"/>
    </row>
    <row r="8960" spans="13:13" x14ac:dyDescent="0.25">
      <c r="M8960" s="21"/>
    </row>
    <row r="8961" spans="13:13" x14ac:dyDescent="0.25">
      <c r="M8961" s="21"/>
    </row>
    <row r="8962" spans="13:13" x14ac:dyDescent="0.25">
      <c r="M8962" s="21"/>
    </row>
    <row r="8963" spans="13:13" x14ac:dyDescent="0.25">
      <c r="M8963" s="21"/>
    </row>
    <row r="8964" spans="13:13" x14ac:dyDescent="0.25">
      <c r="M8964" s="21"/>
    </row>
    <row r="8965" spans="13:13" x14ac:dyDescent="0.25">
      <c r="M8965" s="21"/>
    </row>
    <row r="8966" spans="13:13" x14ac:dyDescent="0.25">
      <c r="M8966" s="21"/>
    </row>
    <row r="8967" spans="13:13" x14ac:dyDescent="0.25">
      <c r="M8967" s="21"/>
    </row>
    <row r="8968" spans="13:13" x14ac:dyDescent="0.25">
      <c r="M8968" s="21"/>
    </row>
    <row r="8969" spans="13:13" x14ac:dyDescent="0.25">
      <c r="M8969" s="21"/>
    </row>
    <row r="8970" spans="13:13" x14ac:dyDescent="0.25">
      <c r="M8970" s="21"/>
    </row>
    <row r="8971" spans="13:13" x14ac:dyDescent="0.25">
      <c r="M8971" s="21"/>
    </row>
    <row r="8972" spans="13:13" x14ac:dyDescent="0.25">
      <c r="M8972" s="21"/>
    </row>
    <row r="8973" spans="13:13" x14ac:dyDescent="0.25">
      <c r="M8973" s="21"/>
    </row>
    <row r="8974" spans="13:13" x14ac:dyDescent="0.25">
      <c r="M8974" s="21"/>
    </row>
    <row r="8975" spans="13:13" x14ac:dyDescent="0.25">
      <c r="M8975" s="21"/>
    </row>
    <row r="8976" spans="13:13" x14ac:dyDescent="0.25">
      <c r="M8976" s="21"/>
    </row>
    <row r="8977" spans="13:13" x14ac:dyDescent="0.25">
      <c r="M8977" s="21"/>
    </row>
    <row r="8978" spans="13:13" x14ac:dyDescent="0.25">
      <c r="M8978" s="21"/>
    </row>
    <row r="8979" spans="13:13" x14ac:dyDescent="0.25">
      <c r="M8979" s="21"/>
    </row>
    <row r="8980" spans="13:13" x14ac:dyDescent="0.25">
      <c r="M8980" s="21"/>
    </row>
    <row r="8981" spans="13:13" x14ac:dyDescent="0.25">
      <c r="M8981" s="21"/>
    </row>
    <row r="8982" spans="13:13" x14ac:dyDescent="0.25">
      <c r="M8982" s="21"/>
    </row>
    <row r="8983" spans="13:13" x14ac:dyDescent="0.25">
      <c r="M8983" s="21"/>
    </row>
    <row r="8984" spans="13:13" x14ac:dyDescent="0.25">
      <c r="M8984" s="21"/>
    </row>
    <row r="8985" spans="13:13" x14ac:dyDescent="0.25">
      <c r="M8985" s="21"/>
    </row>
    <row r="8986" spans="13:13" x14ac:dyDescent="0.25">
      <c r="M8986" s="21"/>
    </row>
    <row r="8987" spans="13:13" x14ac:dyDescent="0.25">
      <c r="M8987" s="21"/>
    </row>
    <row r="8988" spans="13:13" x14ac:dyDescent="0.25">
      <c r="M8988" s="21"/>
    </row>
    <row r="8989" spans="13:13" x14ac:dyDescent="0.25">
      <c r="M8989" s="21"/>
    </row>
    <row r="8990" spans="13:13" x14ac:dyDescent="0.25">
      <c r="M8990" s="21"/>
    </row>
    <row r="8991" spans="13:13" x14ac:dyDescent="0.25">
      <c r="M8991" s="21"/>
    </row>
    <row r="8992" spans="13:13" x14ac:dyDescent="0.25">
      <c r="M8992" s="21"/>
    </row>
    <row r="8993" spans="13:13" x14ac:dyDescent="0.25">
      <c r="M8993" s="21"/>
    </row>
    <row r="8994" spans="13:13" x14ac:dyDescent="0.25">
      <c r="M8994" s="21"/>
    </row>
    <row r="8995" spans="13:13" x14ac:dyDescent="0.25">
      <c r="M8995" s="21"/>
    </row>
    <row r="8996" spans="13:13" x14ac:dyDescent="0.25">
      <c r="M8996" s="21"/>
    </row>
    <row r="8997" spans="13:13" x14ac:dyDescent="0.25">
      <c r="M8997" s="21"/>
    </row>
    <row r="8998" spans="13:13" x14ac:dyDescent="0.25">
      <c r="M8998" s="21"/>
    </row>
    <row r="8999" spans="13:13" x14ac:dyDescent="0.25">
      <c r="M8999" s="21"/>
    </row>
    <row r="9000" spans="13:13" x14ac:dyDescent="0.25">
      <c r="M9000" s="21"/>
    </row>
    <row r="9001" spans="13:13" x14ac:dyDescent="0.25">
      <c r="M9001" s="21"/>
    </row>
    <row r="9002" spans="13:13" x14ac:dyDescent="0.25">
      <c r="M9002" s="21"/>
    </row>
    <row r="9003" spans="13:13" x14ac:dyDescent="0.25">
      <c r="M9003" s="21"/>
    </row>
    <row r="9004" spans="13:13" x14ac:dyDescent="0.25">
      <c r="M9004" s="21"/>
    </row>
    <row r="9005" spans="13:13" x14ac:dyDescent="0.25">
      <c r="M9005" s="21"/>
    </row>
    <row r="9006" spans="13:13" x14ac:dyDescent="0.25">
      <c r="M9006" s="21"/>
    </row>
    <row r="9007" spans="13:13" x14ac:dyDescent="0.25">
      <c r="M9007" s="21"/>
    </row>
    <row r="9008" spans="13:13" x14ac:dyDescent="0.25">
      <c r="M9008" s="21"/>
    </row>
    <row r="9009" spans="13:13" x14ac:dyDescent="0.25">
      <c r="M9009" s="21"/>
    </row>
    <row r="9010" spans="13:13" x14ac:dyDescent="0.25">
      <c r="M9010" s="21"/>
    </row>
    <row r="9011" spans="13:13" x14ac:dyDescent="0.25">
      <c r="M9011" s="21"/>
    </row>
    <row r="9012" spans="13:13" x14ac:dyDescent="0.25">
      <c r="M9012" s="21"/>
    </row>
    <row r="9013" spans="13:13" x14ac:dyDescent="0.25">
      <c r="M9013" s="21"/>
    </row>
    <row r="9014" spans="13:13" x14ac:dyDescent="0.25">
      <c r="M9014" s="21"/>
    </row>
    <row r="9015" spans="13:13" x14ac:dyDescent="0.25">
      <c r="M9015" s="21"/>
    </row>
    <row r="9016" spans="13:13" x14ac:dyDescent="0.25">
      <c r="M9016" s="21"/>
    </row>
    <row r="9017" spans="13:13" x14ac:dyDescent="0.25">
      <c r="M9017" s="21"/>
    </row>
    <row r="9018" spans="13:13" x14ac:dyDescent="0.25">
      <c r="M9018" s="21"/>
    </row>
    <row r="9019" spans="13:13" x14ac:dyDescent="0.25">
      <c r="M9019" s="21"/>
    </row>
    <row r="9020" spans="13:13" x14ac:dyDescent="0.25">
      <c r="M9020" s="21"/>
    </row>
    <row r="9021" spans="13:13" x14ac:dyDescent="0.25">
      <c r="M9021" s="21"/>
    </row>
    <row r="9022" spans="13:13" x14ac:dyDescent="0.25">
      <c r="M9022" s="21"/>
    </row>
    <row r="9023" spans="13:13" x14ac:dyDescent="0.25">
      <c r="M9023" s="21"/>
    </row>
    <row r="9024" spans="13:13" x14ac:dyDescent="0.25">
      <c r="M9024" s="21"/>
    </row>
    <row r="9025" spans="13:13" x14ac:dyDescent="0.25">
      <c r="M9025" s="21"/>
    </row>
    <row r="9026" spans="13:13" x14ac:dyDescent="0.25">
      <c r="M9026" s="21"/>
    </row>
    <row r="9027" spans="13:13" x14ac:dyDescent="0.25">
      <c r="M9027" s="21"/>
    </row>
    <row r="9028" spans="13:13" x14ac:dyDescent="0.25">
      <c r="M9028" s="21"/>
    </row>
    <row r="9029" spans="13:13" x14ac:dyDescent="0.25">
      <c r="M9029" s="21"/>
    </row>
    <row r="9030" spans="13:13" x14ac:dyDescent="0.25">
      <c r="M9030" s="21"/>
    </row>
    <row r="9031" spans="13:13" x14ac:dyDescent="0.25">
      <c r="M9031" s="21"/>
    </row>
    <row r="9032" spans="13:13" x14ac:dyDescent="0.25">
      <c r="M9032" s="21"/>
    </row>
    <row r="9033" spans="13:13" x14ac:dyDescent="0.25">
      <c r="M9033" s="21"/>
    </row>
    <row r="9034" spans="13:13" x14ac:dyDescent="0.25">
      <c r="M9034" s="21"/>
    </row>
    <row r="9035" spans="13:13" x14ac:dyDescent="0.25">
      <c r="M9035" s="21"/>
    </row>
    <row r="9036" spans="13:13" x14ac:dyDescent="0.25">
      <c r="M9036" s="21"/>
    </row>
    <row r="9037" spans="13:13" x14ac:dyDescent="0.25">
      <c r="M9037" s="21"/>
    </row>
    <row r="9038" spans="13:13" x14ac:dyDescent="0.25">
      <c r="M9038" s="21"/>
    </row>
    <row r="9039" spans="13:13" x14ac:dyDescent="0.25">
      <c r="M9039" s="21"/>
    </row>
    <row r="9040" spans="13:13" x14ac:dyDescent="0.25">
      <c r="M9040" s="21"/>
    </row>
    <row r="9041" spans="13:13" x14ac:dyDescent="0.25">
      <c r="M9041" s="21"/>
    </row>
    <row r="9042" spans="13:13" x14ac:dyDescent="0.25">
      <c r="M9042" s="21"/>
    </row>
    <row r="9043" spans="13:13" x14ac:dyDescent="0.25">
      <c r="M9043" s="21"/>
    </row>
    <row r="9044" spans="13:13" x14ac:dyDescent="0.25">
      <c r="M9044" s="21"/>
    </row>
    <row r="9045" spans="13:13" x14ac:dyDescent="0.25">
      <c r="M9045" s="21"/>
    </row>
    <row r="9046" spans="13:13" x14ac:dyDescent="0.25">
      <c r="M9046" s="21"/>
    </row>
    <row r="9047" spans="13:13" x14ac:dyDescent="0.25">
      <c r="M9047" s="21"/>
    </row>
    <row r="9048" spans="13:13" x14ac:dyDescent="0.25">
      <c r="M9048" s="21"/>
    </row>
    <row r="9049" spans="13:13" x14ac:dyDescent="0.25">
      <c r="M9049" s="21"/>
    </row>
    <row r="9050" spans="13:13" x14ac:dyDescent="0.25">
      <c r="M9050" s="21"/>
    </row>
    <row r="9051" spans="13:13" x14ac:dyDescent="0.25">
      <c r="M9051" s="21"/>
    </row>
    <row r="9052" spans="13:13" x14ac:dyDescent="0.25">
      <c r="M9052" s="21"/>
    </row>
    <row r="9053" spans="13:13" x14ac:dyDescent="0.25">
      <c r="M9053" s="21"/>
    </row>
    <row r="9054" spans="13:13" x14ac:dyDescent="0.25">
      <c r="M9054" s="21"/>
    </row>
    <row r="9055" spans="13:13" x14ac:dyDescent="0.25">
      <c r="M9055" s="21"/>
    </row>
    <row r="9056" spans="13:13" x14ac:dyDescent="0.25">
      <c r="M9056" s="21"/>
    </row>
    <row r="9057" spans="13:13" x14ac:dyDescent="0.25">
      <c r="M9057" s="21"/>
    </row>
    <row r="9058" spans="13:13" x14ac:dyDescent="0.25">
      <c r="M9058" s="21"/>
    </row>
    <row r="9059" spans="13:13" x14ac:dyDescent="0.25">
      <c r="M9059" s="21"/>
    </row>
    <row r="9060" spans="13:13" x14ac:dyDescent="0.25">
      <c r="M9060" s="21"/>
    </row>
    <row r="9061" spans="13:13" x14ac:dyDescent="0.25">
      <c r="M9061" s="21"/>
    </row>
    <row r="9062" spans="13:13" x14ac:dyDescent="0.25">
      <c r="M9062" s="21"/>
    </row>
    <row r="9063" spans="13:13" x14ac:dyDescent="0.25">
      <c r="M9063" s="21"/>
    </row>
    <row r="9064" spans="13:13" x14ac:dyDescent="0.25">
      <c r="M9064" s="21"/>
    </row>
    <row r="9065" spans="13:13" x14ac:dyDescent="0.25">
      <c r="M9065" s="21"/>
    </row>
    <row r="9066" spans="13:13" x14ac:dyDescent="0.25">
      <c r="M9066" s="21"/>
    </row>
    <row r="9067" spans="13:13" x14ac:dyDescent="0.25">
      <c r="M9067" s="21"/>
    </row>
    <row r="9068" spans="13:13" x14ac:dyDescent="0.25">
      <c r="M9068" s="21"/>
    </row>
    <row r="9069" spans="13:13" x14ac:dyDescent="0.25">
      <c r="M9069" s="21"/>
    </row>
    <row r="9070" spans="13:13" x14ac:dyDescent="0.25">
      <c r="M9070" s="21"/>
    </row>
    <row r="9071" spans="13:13" x14ac:dyDescent="0.25">
      <c r="M9071" s="21"/>
    </row>
    <row r="9072" spans="13:13" x14ac:dyDescent="0.25">
      <c r="M9072" s="21"/>
    </row>
    <row r="9073" spans="13:13" x14ac:dyDescent="0.25">
      <c r="M9073" s="21"/>
    </row>
    <row r="9074" spans="13:13" x14ac:dyDescent="0.25">
      <c r="M9074" s="21"/>
    </row>
    <row r="9075" spans="13:13" x14ac:dyDescent="0.25">
      <c r="M9075" s="21"/>
    </row>
    <row r="9076" spans="13:13" x14ac:dyDescent="0.25">
      <c r="M9076" s="21"/>
    </row>
    <row r="9077" spans="13:13" x14ac:dyDescent="0.25">
      <c r="M9077" s="21"/>
    </row>
    <row r="9078" spans="13:13" x14ac:dyDescent="0.25">
      <c r="M9078" s="21"/>
    </row>
    <row r="9079" spans="13:13" x14ac:dyDescent="0.25">
      <c r="M9079" s="21"/>
    </row>
    <row r="9080" spans="13:13" x14ac:dyDescent="0.25">
      <c r="M9080" s="21"/>
    </row>
    <row r="9081" spans="13:13" x14ac:dyDescent="0.25">
      <c r="M9081" s="21"/>
    </row>
    <row r="9082" spans="13:13" x14ac:dyDescent="0.25">
      <c r="M9082" s="21"/>
    </row>
    <row r="9083" spans="13:13" x14ac:dyDescent="0.25">
      <c r="M9083" s="21"/>
    </row>
    <row r="9084" spans="13:13" x14ac:dyDescent="0.25">
      <c r="M9084" s="21"/>
    </row>
    <row r="9085" spans="13:13" x14ac:dyDescent="0.25">
      <c r="M9085" s="21"/>
    </row>
    <row r="9086" spans="13:13" x14ac:dyDescent="0.25">
      <c r="M9086" s="21"/>
    </row>
    <row r="9087" spans="13:13" x14ac:dyDescent="0.25">
      <c r="M9087" s="21"/>
    </row>
    <row r="9088" spans="13:13" x14ac:dyDescent="0.25">
      <c r="M9088" s="21"/>
    </row>
    <row r="9089" spans="13:13" x14ac:dyDescent="0.25">
      <c r="M9089" s="21"/>
    </row>
    <row r="9090" spans="13:13" x14ac:dyDescent="0.25">
      <c r="M9090" s="21"/>
    </row>
    <row r="9091" spans="13:13" x14ac:dyDescent="0.25">
      <c r="M9091" s="21"/>
    </row>
    <row r="9092" spans="13:13" x14ac:dyDescent="0.25">
      <c r="M9092" s="21"/>
    </row>
    <row r="9093" spans="13:13" x14ac:dyDescent="0.25">
      <c r="M9093" s="21"/>
    </row>
    <row r="9094" spans="13:13" x14ac:dyDescent="0.25">
      <c r="M9094" s="21"/>
    </row>
    <row r="9095" spans="13:13" x14ac:dyDescent="0.25">
      <c r="M9095" s="21"/>
    </row>
    <row r="9096" spans="13:13" x14ac:dyDescent="0.25">
      <c r="M9096" s="21"/>
    </row>
    <row r="9097" spans="13:13" x14ac:dyDescent="0.25">
      <c r="M9097" s="21"/>
    </row>
    <row r="9098" spans="13:13" x14ac:dyDescent="0.25">
      <c r="M9098" s="21"/>
    </row>
    <row r="9099" spans="13:13" x14ac:dyDescent="0.25">
      <c r="M9099" s="21"/>
    </row>
    <row r="9100" spans="13:13" x14ac:dyDescent="0.25">
      <c r="M9100" s="21"/>
    </row>
    <row r="9101" spans="13:13" x14ac:dyDescent="0.25">
      <c r="M9101" s="21"/>
    </row>
    <row r="9102" spans="13:13" x14ac:dyDescent="0.25">
      <c r="M9102" s="21"/>
    </row>
    <row r="9103" spans="13:13" x14ac:dyDescent="0.25">
      <c r="M9103" s="21"/>
    </row>
    <row r="9104" spans="13:13" x14ac:dyDescent="0.25">
      <c r="M9104" s="21"/>
    </row>
    <row r="9105" spans="13:13" x14ac:dyDescent="0.25">
      <c r="M9105" s="21"/>
    </row>
    <row r="9106" spans="13:13" x14ac:dyDescent="0.25">
      <c r="M9106" s="21"/>
    </row>
    <row r="9107" spans="13:13" x14ac:dyDescent="0.25">
      <c r="M9107" s="21"/>
    </row>
    <row r="9108" spans="13:13" x14ac:dyDescent="0.25">
      <c r="M9108" s="21"/>
    </row>
    <row r="9109" spans="13:13" x14ac:dyDescent="0.25">
      <c r="M9109" s="21"/>
    </row>
    <row r="9110" spans="13:13" x14ac:dyDescent="0.25">
      <c r="M9110" s="21"/>
    </row>
    <row r="9111" spans="13:13" x14ac:dyDescent="0.25">
      <c r="M9111" s="21"/>
    </row>
    <row r="9112" spans="13:13" x14ac:dyDescent="0.25">
      <c r="M9112" s="21"/>
    </row>
    <row r="9113" spans="13:13" x14ac:dyDescent="0.25">
      <c r="M9113" s="21"/>
    </row>
    <row r="9114" spans="13:13" x14ac:dyDescent="0.25">
      <c r="M9114" s="21"/>
    </row>
    <row r="9115" spans="13:13" x14ac:dyDescent="0.25">
      <c r="M9115" s="21"/>
    </row>
    <row r="9116" spans="13:13" x14ac:dyDescent="0.25">
      <c r="M9116" s="21"/>
    </row>
    <row r="9117" spans="13:13" x14ac:dyDescent="0.25">
      <c r="M9117" s="21"/>
    </row>
    <row r="9118" spans="13:13" x14ac:dyDescent="0.25">
      <c r="M9118" s="21"/>
    </row>
    <row r="9119" spans="13:13" x14ac:dyDescent="0.25">
      <c r="M9119" s="21"/>
    </row>
    <row r="9120" spans="13:13" x14ac:dyDescent="0.25">
      <c r="M9120" s="21"/>
    </row>
    <row r="9121" spans="13:13" x14ac:dyDescent="0.25">
      <c r="M9121" s="21"/>
    </row>
    <row r="9122" spans="13:13" x14ac:dyDescent="0.25">
      <c r="M9122" s="21"/>
    </row>
    <row r="9123" spans="13:13" x14ac:dyDescent="0.25">
      <c r="M9123" s="21"/>
    </row>
    <row r="9124" spans="13:13" x14ac:dyDescent="0.25">
      <c r="M9124" s="21"/>
    </row>
    <row r="9125" spans="13:13" x14ac:dyDescent="0.25">
      <c r="M9125" s="21"/>
    </row>
    <row r="9126" spans="13:13" x14ac:dyDescent="0.25">
      <c r="M9126" s="21"/>
    </row>
    <row r="9127" spans="13:13" x14ac:dyDescent="0.25">
      <c r="M9127" s="21"/>
    </row>
    <row r="9128" spans="13:13" x14ac:dyDescent="0.25">
      <c r="M9128" s="21"/>
    </row>
    <row r="9129" spans="13:13" x14ac:dyDescent="0.25">
      <c r="M9129" s="21"/>
    </row>
    <row r="9130" spans="13:13" x14ac:dyDescent="0.25">
      <c r="M9130" s="21"/>
    </row>
    <row r="9131" spans="13:13" x14ac:dyDescent="0.25">
      <c r="M9131" s="21"/>
    </row>
    <row r="9132" spans="13:13" x14ac:dyDescent="0.25">
      <c r="M9132" s="21"/>
    </row>
    <row r="9133" spans="13:13" x14ac:dyDescent="0.25">
      <c r="M9133" s="21"/>
    </row>
    <row r="9134" spans="13:13" x14ac:dyDescent="0.25">
      <c r="M9134" s="21"/>
    </row>
    <row r="9135" spans="13:13" x14ac:dyDescent="0.25">
      <c r="M9135" s="21"/>
    </row>
    <row r="9136" spans="13:13" x14ac:dyDescent="0.25">
      <c r="M9136" s="21"/>
    </row>
    <row r="9137" spans="13:13" x14ac:dyDescent="0.25">
      <c r="M9137" s="21"/>
    </row>
    <row r="9138" spans="13:13" x14ac:dyDescent="0.25">
      <c r="M9138" s="21"/>
    </row>
    <row r="9139" spans="13:13" x14ac:dyDescent="0.25">
      <c r="M9139" s="21"/>
    </row>
    <row r="9140" spans="13:13" x14ac:dyDescent="0.25">
      <c r="M9140" s="21"/>
    </row>
    <row r="9141" spans="13:13" x14ac:dyDescent="0.25">
      <c r="M9141" s="21"/>
    </row>
    <row r="9142" spans="13:13" x14ac:dyDescent="0.25">
      <c r="M9142" s="21"/>
    </row>
    <row r="9143" spans="13:13" x14ac:dyDescent="0.25">
      <c r="M9143" s="21"/>
    </row>
    <row r="9144" spans="13:13" x14ac:dyDescent="0.25">
      <c r="M9144" s="21"/>
    </row>
    <row r="9145" spans="13:13" x14ac:dyDescent="0.25">
      <c r="M9145" s="21"/>
    </row>
    <row r="9146" spans="13:13" x14ac:dyDescent="0.25">
      <c r="M9146" s="21"/>
    </row>
    <row r="9147" spans="13:13" x14ac:dyDescent="0.25">
      <c r="M9147" s="21"/>
    </row>
    <row r="9148" spans="13:13" x14ac:dyDescent="0.25">
      <c r="M9148" s="21"/>
    </row>
    <row r="9149" spans="13:13" x14ac:dyDescent="0.25">
      <c r="M9149" s="21"/>
    </row>
    <row r="9150" spans="13:13" x14ac:dyDescent="0.25">
      <c r="M9150" s="21"/>
    </row>
    <row r="9151" spans="13:13" x14ac:dyDescent="0.25">
      <c r="M9151" s="21"/>
    </row>
    <row r="9152" spans="13:13" x14ac:dyDescent="0.25">
      <c r="M9152" s="21"/>
    </row>
    <row r="9153" spans="13:13" x14ac:dyDescent="0.25">
      <c r="M9153" s="21"/>
    </row>
    <row r="9154" spans="13:13" x14ac:dyDescent="0.25">
      <c r="M9154" s="21"/>
    </row>
    <row r="9155" spans="13:13" x14ac:dyDescent="0.25">
      <c r="M9155" s="21"/>
    </row>
    <row r="9156" spans="13:13" x14ac:dyDescent="0.25">
      <c r="M9156" s="21"/>
    </row>
    <row r="9157" spans="13:13" x14ac:dyDescent="0.25">
      <c r="M9157" s="21"/>
    </row>
    <row r="9158" spans="13:13" x14ac:dyDescent="0.25">
      <c r="M9158" s="21"/>
    </row>
    <row r="9159" spans="13:13" x14ac:dyDescent="0.25">
      <c r="M9159" s="21"/>
    </row>
    <row r="9160" spans="13:13" x14ac:dyDescent="0.25">
      <c r="M9160" s="21"/>
    </row>
    <row r="9161" spans="13:13" x14ac:dyDescent="0.25">
      <c r="M9161" s="21"/>
    </row>
    <row r="9162" spans="13:13" x14ac:dyDescent="0.25">
      <c r="M9162" s="21"/>
    </row>
    <row r="9163" spans="13:13" x14ac:dyDescent="0.25">
      <c r="M9163" s="21"/>
    </row>
    <row r="9164" spans="13:13" x14ac:dyDescent="0.25">
      <c r="M9164" s="21"/>
    </row>
    <row r="9165" spans="13:13" x14ac:dyDescent="0.25">
      <c r="M9165" s="21"/>
    </row>
    <row r="9166" spans="13:13" x14ac:dyDescent="0.25">
      <c r="M9166" s="21"/>
    </row>
    <row r="9167" spans="13:13" x14ac:dyDescent="0.25">
      <c r="M9167" s="21"/>
    </row>
    <row r="9168" spans="13:13" x14ac:dyDescent="0.25">
      <c r="M9168" s="21"/>
    </row>
    <row r="9169" spans="13:13" x14ac:dyDescent="0.25">
      <c r="M9169" s="21"/>
    </row>
    <row r="9170" spans="13:13" x14ac:dyDescent="0.25">
      <c r="M9170" s="21"/>
    </row>
    <row r="9171" spans="13:13" x14ac:dyDescent="0.25">
      <c r="M9171" s="21"/>
    </row>
    <row r="9172" spans="13:13" x14ac:dyDescent="0.25">
      <c r="M9172" s="21"/>
    </row>
    <row r="9173" spans="13:13" x14ac:dyDescent="0.25">
      <c r="M9173" s="21"/>
    </row>
    <row r="9174" spans="13:13" x14ac:dyDescent="0.25">
      <c r="M9174" s="21"/>
    </row>
    <row r="9175" spans="13:13" x14ac:dyDescent="0.25">
      <c r="M9175" s="21"/>
    </row>
    <row r="9176" spans="13:13" x14ac:dyDescent="0.25">
      <c r="M9176" s="21"/>
    </row>
    <row r="9177" spans="13:13" x14ac:dyDescent="0.25">
      <c r="M9177" s="21"/>
    </row>
    <row r="9178" spans="13:13" x14ac:dyDescent="0.25">
      <c r="M9178" s="21"/>
    </row>
    <row r="9179" spans="13:13" x14ac:dyDescent="0.25">
      <c r="M9179" s="21"/>
    </row>
    <row r="9180" spans="13:13" x14ac:dyDescent="0.25">
      <c r="M9180" s="21"/>
    </row>
    <row r="9181" spans="13:13" x14ac:dyDescent="0.25">
      <c r="M9181" s="21"/>
    </row>
    <row r="9182" spans="13:13" x14ac:dyDescent="0.25">
      <c r="M9182" s="21"/>
    </row>
    <row r="9183" spans="13:13" x14ac:dyDescent="0.25">
      <c r="M9183" s="21"/>
    </row>
    <row r="9184" spans="13:13" x14ac:dyDescent="0.25">
      <c r="M9184" s="21"/>
    </row>
    <row r="9185" spans="13:13" x14ac:dyDescent="0.25">
      <c r="M9185" s="21"/>
    </row>
    <row r="9186" spans="13:13" x14ac:dyDescent="0.25">
      <c r="M9186" s="21"/>
    </row>
    <row r="9187" spans="13:13" x14ac:dyDescent="0.25">
      <c r="M9187" s="21"/>
    </row>
    <row r="9188" spans="13:13" x14ac:dyDescent="0.25">
      <c r="M9188" s="21"/>
    </row>
    <row r="9189" spans="13:13" x14ac:dyDescent="0.25">
      <c r="M9189" s="21"/>
    </row>
    <row r="9190" spans="13:13" x14ac:dyDescent="0.25">
      <c r="M9190" s="21"/>
    </row>
    <row r="9191" spans="13:13" x14ac:dyDescent="0.25">
      <c r="M9191" s="21"/>
    </row>
    <row r="9192" spans="13:13" x14ac:dyDescent="0.25">
      <c r="M9192" s="21"/>
    </row>
    <row r="9193" spans="13:13" x14ac:dyDescent="0.25">
      <c r="M9193" s="21"/>
    </row>
    <row r="9194" spans="13:13" x14ac:dyDescent="0.25">
      <c r="M9194" s="21"/>
    </row>
    <row r="9195" spans="13:13" x14ac:dyDescent="0.25">
      <c r="M9195" s="21"/>
    </row>
    <row r="9196" spans="13:13" x14ac:dyDescent="0.25">
      <c r="M9196" s="21"/>
    </row>
    <row r="9197" spans="13:13" x14ac:dyDescent="0.25">
      <c r="M9197" s="21"/>
    </row>
    <row r="9198" spans="13:13" x14ac:dyDescent="0.25">
      <c r="M9198" s="21"/>
    </row>
    <row r="9199" spans="13:13" x14ac:dyDescent="0.25">
      <c r="M9199" s="21"/>
    </row>
    <row r="9200" spans="13:13" x14ac:dyDescent="0.25">
      <c r="M9200" s="21"/>
    </row>
    <row r="9201" spans="13:13" x14ac:dyDescent="0.25">
      <c r="M9201" s="21"/>
    </row>
    <row r="9202" spans="13:13" x14ac:dyDescent="0.25">
      <c r="M9202" s="21"/>
    </row>
    <row r="9203" spans="13:13" x14ac:dyDescent="0.25">
      <c r="M9203" s="21"/>
    </row>
    <row r="9204" spans="13:13" x14ac:dyDescent="0.25">
      <c r="M9204" s="21"/>
    </row>
    <row r="9205" spans="13:13" x14ac:dyDescent="0.25">
      <c r="M9205" s="21"/>
    </row>
    <row r="9206" spans="13:13" x14ac:dyDescent="0.25">
      <c r="M9206" s="21"/>
    </row>
    <row r="9207" spans="13:13" x14ac:dyDescent="0.25">
      <c r="M9207" s="21"/>
    </row>
    <row r="9208" spans="13:13" x14ac:dyDescent="0.25">
      <c r="M9208" s="21"/>
    </row>
    <row r="9209" spans="13:13" x14ac:dyDescent="0.25">
      <c r="M9209" s="21"/>
    </row>
    <row r="9210" spans="13:13" x14ac:dyDescent="0.25">
      <c r="M9210" s="21"/>
    </row>
    <row r="9211" spans="13:13" x14ac:dyDescent="0.25">
      <c r="M9211" s="21"/>
    </row>
    <row r="9212" spans="13:13" x14ac:dyDescent="0.25">
      <c r="M9212" s="21"/>
    </row>
    <row r="9213" spans="13:13" x14ac:dyDescent="0.25">
      <c r="M9213" s="21"/>
    </row>
    <row r="9214" spans="13:13" x14ac:dyDescent="0.25">
      <c r="M9214" s="21"/>
    </row>
    <row r="9215" spans="13:13" x14ac:dyDescent="0.25">
      <c r="M9215" s="21"/>
    </row>
    <row r="9216" spans="13:13" x14ac:dyDescent="0.25">
      <c r="M9216" s="21"/>
    </row>
    <row r="9217" spans="13:13" x14ac:dyDescent="0.25">
      <c r="M9217" s="21"/>
    </row>
    <row r="9218" spans="13:13" x14ac:dyDescent="0.25">
      <c r="M9218" s="21"/>
    </row>
    <row r="9219" spans="13:13" x14ac:dyDescent="0.25">
      <c r="M9219" s="21"/>
    </row>
    <row r="9220" spans="13:13" x14ac:dyDescent="0.25">
      <c r="M9220" s="21"/>
    </row>
    <row r="9221" spans="13:13" x14ac:dyDescent="0.25">
      <c r="M9221" s="21"/>
    </row>
    <row r="9222" spans="13:13" x14ac:dyDescent="0.25">
      <c r="M9222" s="21"/>
    </row>
    <row r="9223" spans="13:13" x14ac:dyDescent="0.25">
      <c r="M9223" s="21"/>
    </row>
    <row r="9224" spans="13:13" x14ac:dyDescent="0.25">
      <c r="M9224" s="21"/>
    </row>
    <row r="9225" spans="13:13" x14ac:dyDescent="0.25">
      <c r="M9225" s="21"/>
    </row>
    <row r="9226" spans="13:13" x14ac:dyDescent="0.25">
      <c r="M9226" s="21"/>
    </row>
    <row r="9227" spans="13:13" x14ac:dyDescent="0.25">
      <c r="M9227" s="21"/>
    </row>
    <row r="9228" spans="13:13" x14ac:dyDescent="0.25">
      <c r="M9228" s="21"/>
    </row>
    <row r="9229" spans="13:13" x14ac:dyDescent="0.25">
      <c r="M9229" s="21"/>
    </row>
    <row r="9230" spans="13:13" x14ac:dyDescent="0.25">
      <c r="M9230" s="21"/>
    </row>
    <row r="9231" spans="13:13" x14ac:dyDescent="0.25">
      <c r="M9231" s="21"/>
    </row>
    <row r="9232" spans="13:13" x14ac:dyDescent="0.25">
      <c r="M9232" s="21"/>
    </row>
    <row r="9233" spans="13:13" x14ac:dyDescent="0.25">
      <c r="M9233" s="21"/>
    </row>
    <row r="9234" spans="13:13" x14ac:dyDescent="0.25">
      <c r="M9234" s="21"/>
    </row>
    <row r="9235" spans="13:13" x14ac:dyDescent="0.25">
      <c r="M9235" s="21"/>
    </row>
    <row r="9236" spans="13:13" x14ac:dyDescent="0.25">
      <c r="M9236" s="21"/>
    </row>
    <row r="9237" spans="13:13" x14ac:dyDescent="0.25">
      <c r="M9237" s="21"/>
    </row>
    <row r="9238" spans="13:13" x14ac:dyDescent="0.25">
      <c r="M9238" s="21"/>
    </row>
    <row r="9239" spans="13:13" x14ac:dyDescent="0.25">
      <c r="M9239" s="21"/>
    </row>
    <row r="9240" spans="13:13" x14ac:dyDescent="0.25">
      <c r="M9240" s="21"/>
    </row>
    <row r="9241" spans="13:13" x14ac:dyDescent="0.25">
      <c r="M9241" s="21"/>
    </row>
    <row r="9242" spans="13:13" x14ac:dyDescent="0.25">
      <c r="M9242" s="21"/>
    </row>
    <row r="9243" spans="13:13" x14ac:dyDescent="0.25">
      <c r="M9243" s="21"/>
    </row>
    <row r="9244" spans="13:13" x14ac:dyDescent="0.25">
      <c r="M9244" s="21"/>
    </row>
    <row r="9245" spans="13:13" x14ac:dyDescent="0.25">
      <c r="M9245" s="21"/>
    </row>
    <row r="9246" spans="13:13" x14ac:dyDescent="0.25">
      <c r="M9246" s="21"/>
    </row>
    <row r="9247" spans="13:13" x14ac:dyDescent="0.25">
      <c r="M9247" s="21"/>
    </row>
    <row r="9248" spans="13:13" x14ac:dyDescent="0.25">
      <c r="M9248" s="21"/>
    </row>
    <row r="9249" spans="13:13" x14ac:dyDescent="0.25">
      <c r="M9249" s="21"/>
    </row>
    <row r="9250" spans="13:13" x14ac:dyDescent="0.25">
      <c r="M9250" s="21"/>
    </row>
    <row r="9251" spans="13:13" x14ac:dyDescent="0.25">
      <c r="M9251" s="21"/>
    </row>
    <row r="9252" spans="13:13" x14ac:dyDescent="0.25">
      <c r="M9252" s="21"/>
    </row>
    <row r="9253" spans="13:13" x14ac:dyDescent="0.25">
      <c r="M9253" s="21"/>
    </row>
    <row r="9254" spans="13:13" x14ac:dyDescent="0.25">
      <c r="M9254" s="21"/>
    </row>
    <row r="9255" spans="13:13" x14ac:dyDescent="0.25">
      <c r="M9255" s="21"/>
    </row>
    <row r="9256" spans="13:13" x14ac:dyDescent="0.25">
      <c r="M9256" s="21"/>
    </row>
    <row r="9257" spans="13:13" x14ac:dyDescent="0.25">
      <c r="M9257" s="21"/>
    </row>
    <row r="9258" spans="13:13" x14ac:dyDescent="0.25">
      <c r="M9258" s="21"/>
    </row>
    <row r="9259" spans="13:13" x14ac:dyDescent="0.25">
      <c r="M9259" s="21"/>
    </row>
    <row r="9260" spans="13:13" x14ac:dyDescent="0.25">
      <c r="M9260" s="21"/>
    </row>
    <row r="9261" spans="13:13" x14ac:dyDescent="0.25">
      <c r="M9261" s="21"/>
    </row>
    <row r="9262" spans="13:13" x14ac:dyDescent="0.25">
      <c r="M9262" s="21"/>
    </row>
    <row r="9263" spans="13:13" x14ac:dyDescent="0.25">
      <c r="M9263" s="21"/>
    </row>
    <row r="9264" spans="13:13" x14ac:dyDescent="0.25">
      <c r="M9264" s="21"/>
    </row>
    <row r="9265" spans="13:13" x14ac:dyDescent="0.25">
      <c r="M9265" s="21"/>
    </row>
    <row r="9266" spans="13:13" x14ac:dyDescent="0.25">
      <c r="M9266" s="21"/>
    </row>
    <row r="9267" spans="13:13" x14ac:dyDescent="0.25">
      <c r="M9267" s="21"/>
    </row>
    <row r="9268" spans="13:13" x14ac:dyDescent="0.25">
      <c r="M9268" s="21"/>
    </row>
    <row r="9269" spans="13:13" x14ac:dyDescent="0.25">
      <c r="M9269" s="21"/>
    </row>
    <row r="9270" spans="13:13" x14ac:dyDescent="0.25">
      <c r="M9270" s="21"/>
    </row>
    <row r="9271" spans="13:13" x14ac:dyDescent="0.25">
      <c r="M9271" s="21"/>
    </row>
    <row r="9272" spans="13:13" x14ac:dyDescent="0.25">
      <c r="M9272" s="21"/>
    </row>
    <row r="9273" spans="13:13" x14ac:dyDescent="0.25">
      <c r="M9273" s="21"/>
    </row>
    <row r="9274" spans="13:13" x14ac:dyDescent="0.25">
      <c r="M9274" s="21"/>
    </row>
    <row r="9275" spans="13:13" x14ac:dyDescent="0.25">
      <c r="M9275" s="21"/>
    </row>
    <row r="9276" spans="13:13" x14ac:dyDescent="0.25">
      <c r="M9276" s="21"/>
    </row>
    <row r="9277" spans="13:13" x14ac:dyDescent="0.25">
      <c r="M9277" s="21"/>
    </row>
    <row r="9278" spans="13:13" x14ac:dyDescent="0.25">
      <c r="M9278" s="21"/>
    </row>
    <row r="9279" spans="13:13" x14ac:dyDescent="0.25">
      <c r="M9279" s="21"/>
    </row>
    <row r="9280" spans="13:13" x14ac:dyDescent="0.25">
      <c r="M9280" s="21"/>
    </row>
    <row r="9281" spans="13:13" x14ac:dyDescent="0.25">
      <c r="M9281" s="21"/>
    </row>
    <row r="9282" spans="13:13" x14ac:dyDescent="0.25">
      <c r="M9282" s="21"/>
    </row>
    <row r="9283" spans="13:13" x14ac:dyDescent="0.25">
      <c r="M9283" s="21"/>
    </row>
    <row r="9284" spans="13:13" x14ac:dyDescent="0.25">
      <c r="M9284" s="21"/>
    </row>
    <row r="9285" spans="13:13" x14ac:dyDescent="0.25">
      <c r="M9285" s="21"/>
    </row>
    <row r="9286" spans="13:13" x14ac:dyDescent="0.25">
      <c r="M9286" s="21"/>
    </row>
    <row r="9287" spans="13:13" x14ac:dyDescent="0.25">
      <c r="M9287" s="21"/>
    </row>
    <row r="9288" spans="13:13" x14ac:dyDescent="0.25">
      <c r="M9288" s="21"/>
    </row>
    <row r="9289" spans="13:13" x14ac:dyDescent="0.25">
      <c r="M9289" s="21"/>
    </row>
    <row r="9290" spans="13:13" x14ac:dyDescent="0.25">
      <c r="M9290" s="21"/>
    </row>
    <row r="9291" spans="13:13" x14ac:dyDescent="0.25">
      <c r="M9291" s="21"/>
    </row>
    <row r="9292" spans="13:13" x14ac:dyDescent="0.25">
      <c r="M9292" s="21"/>
    </row>
    <row r="9293" spans="13:13" x14ac:dyDescent="0.25">
      <c r="M9293" s="21"/>
    </row>
    <row r="9294" spans="13:13" x14ac:dyDescent="0.25">
      <c r="M9294" s="21"/>
    </row>
    <row r="9295" spans="13:13" x14ac:dyDescent="0.25">
      <c r="M9295" s="21"/>
    </row>
    <row r="9296" spans="13:13" x14ac:dyDescent="0.25">
      <c r="M9296" s="21"/>
    </row>
    <row r="9297" spans="13:13" x14ac:dyDescent="0.25">
      <c r="M9297" s="21"/>
    </row>
    <row r="9298" spans="13:13" x14ac:dyDescent="0.25">
      <c r="M9298" s="21"/>
    </row>
    <row r="9299" spans="13:13" x14ac:dyDescent="0.25">
      <c r="M9299" s="21"/>
    </row>
    <row r="9300" spans="13:13" x14ac:dyDescent="0.25">
      <c r="M9300" s="21"/>
    </row>
    <row r="9301" spans="13:13" x14ac:dyDescent="0.25">
      <c r="M9301" s="21"/>
    </row>
    <row r="9302" spans="13:13" x14ac:dyDescent="0.25">
      <c r="M9302" s="21"/>
    </row>
    <row r="9303" spans="13:13" x14ac:dyDescent="0.25">
      <c r="M9303" s="21"/>
    </row>
    <row r="9304" spans="13:13" x14ac:dyDescent="0.25">
      <c r="M9304" s="21"/>
    </row>
    <row r="9305" spans="13:13" x14ac:dyDescent="0.25">
      <c r="M9305" s="21"/>
    </row>
    <row r="9306" spans="13:13" x14ac:dyDescent="0.25">
      <c r="M9306" s="21"/>
    </row>
    <row r="9307" spans="13:13" x14ac:dyDescent="0.25">
      <c r="M9307" s="21"/>
    </row>
    <row r="9308" spans="13:13" x14ac:dyDescent="0.25">
      <c r="M9308" s="21"/>
    </row>
    <row r="9309" spans="13:13" x14ac:dyDescent="0.25">
      <c r="M9309" s="21"/>
    </row>
    <row r="9310" spans="13:13" x14ac:dyDescent="0.25">
      <c r="M9310" s="21"/>
    </row>
    <row r="9311" spans="13:13" x14ac:dyDescent="0.25">
      <c r="M9311" s="21"/>
    </row>
    <row r="9312" spans="13:13" x14ac:dyDescent="0.25">
      <c r="M9312" s="21"/>
    </row>
    <row r="9313" spans="13:13" x14ac:dyDescent="0.25">
      <c r="M9313" s="21"/>
    </row>
    <row r="9314" spans="13:13" x14ac:dyDescent="0.25">
      <c r="M9314" s="21"/>
    </row>
    <row r="9315" spans="13:13" x14ac:dyDescent="0.25">
      <c r="M9315" s="21"/>
    </row>
    <row r="9316" spans="13:13" x14ac:dyDescent="0.25">
      <c r="M9316" s="21"/>
    </row>
    <row r="9317" spans="13:13" x14ac:dyDescent="0.25">
      <c r="M9317" s="21"/>
    </row>
    <row r="9318" spans="13:13" x14ac:dyDescent="0.25">
      <c r="M9318" s="21"/>
    </row>
    <row r="9319" spans="13:13" x14ac:dyDescent="0.25">
      <c r="M9319" s="21"/>
    </row>
    <row r="9320" spans="13:13" x14ac:dyDescent="0.25">
      <c r="M9320" s="21"/>
    </row>
    <row r="9321" spans="13:13" x14ac:dyDescent="0.25">
      <c r="M9321" s="21"/>
    </row>
    <row r="9322" spans="13:13" x14ac:dyDescent="0.25">
      <c r="M9322" s="21"/>
    </row>
    <row r="9323" spans="13:13" x14ac:dyDescent="0.25">
      <c r="M9323" s="21"/>
    </row>
    <row r="9324" spans="13:13" x14ac:dyDescent="0.25">
      <c r="M9324" s="21"/>
    </row>
    <row r="9325" spans="13:13" x14ac:dyDescent="0.25">
      <c r="M9325" s="21"/>
    </row>
    <row r="9326" spans="13:13" x14ac:dyDescent="0.25">
      <c r="M9326" s="21"/>
    </row>
    <row r="9327" spans="13:13" x14ac:dyDescent="0.25">
      <c r="M9327" s="21"/>
    </row>
    <row r="9328" spans="13:13" x14ac:dyDescent="0.25">
      <c r="M9328" s="21"/>
    </row>
    <row r="9329" spans="13:13" x14ac:dyDescent="0.25">
      <c r="M9329" s="21"/>
    </row>
    <row r="9330" spans="13:13" x14ac:dyDescent="0.25">
      <c r="M9330" s="21"/>
    </row>
    <row r="9331" spans="13:13" x14ac:dyDescent="0.25">
      <c r="M9331" s="21"/>
    </row>
    <row r="9332" spans="13:13" x14ac:dyDescent="0.25">
      <c r="M9332" s="21"/>
    </row>
    <row r="9333" spans="13:13" x14ac:dyDescent="0.25">
      <c r="M9333" s="21"/>
    </row>
    <row r="9334" spans="13:13" x14ac:dyDescent="0.25">
      <c r="M9334" s="21"/>
    </row>
    <row r="9335" spans="13:13" x14ac:dyDescent="0.25">
      <c r="M9335" s="21"/>
    </row>
    <row r="9336" spans="13:13" x14ac:dyDescent="0.25">
      <c r="M9336" s="21"/>
    </row>
    <row r="9337" spans="13:13" x14ac:dyDescent="0.25">
      <c r="M9337" s="21"/>
    </row>
    <row r="9338" spans="13:13" x14ac:dyDescent="0.25">
      <c r="M9338" s="21"/>
    </row>
    <row r="9339" spans="13:13" x14ac:dyDescent="0.25">
      <c r="M9339" s="21"/>
    </row>
    <row r="9340" spans="13:13" x14ac:dyDescent="0.25">
      <c r="M9340" s="21"/>
    </row>
    <row r="9341" spans="13:13" x14ac:dyDescent="0.25">
      <c r="M9341" s="21"/>
    </row>
    <row r="9342" spans="13:13" x14ac:dyDescent="0.25">
      <c r="M9342" s="21"/>
    </row>
    <row r="9343" spans="13:13" x14ac:dyDescent="0.25">
      <c r="M9343" s="21"/>
    </row>
    <row r="9344" spans="13:13" x14ac:dyDescent="0.25">
      <c r="M9344" s="21"/>
    </row>
    <row r="9345" spans="13:13" x14ac:dyDescent="0.25">
      <c r="M9345" s="21"/>
    </row>
    <row r="9346" spans="13:13" x14ac:dyDescent="0.25">
      <c r="M9346" s="21"/>
    </row>
    <row r="9347" spans="13:13" x14ac:dyDescent="0.25">
      <c r="M9347" s="21"/>
    </row>
    <row r="9348" spans="13:13" x14ac:dyDescent="0.25">
      <c r="M9348" s="21"/>
    </row>
    <row r="9349" spans="13:13" x14ac:dyDescent="0.25">
      <c r="M9349" s="21"/>
    </row>
    <row r="9350" spans="13:13" x14ac:dyDescent="0.25">
      <c r="M9350" s="21"/>
    </row>
    <row r="9351" spans="13:13" x14ac:dyDescent="0.25">
      <c r="M9351" s="21"/>
    </row>
    <row r="9352" spans="13:13" x14ac:dyDescent="0.25">
      <c r="M9352" s="21"/>
    </row>
    <row r="9353" spans="13:13" x14ac:dyDescent="0.25">
      <c r="M9353" s="21"/>
    </row>
    <row r="9354" spans="13:13" x14ac:dyDescent="0.25">
      <c r="M9354" s="21"/>
    </row>
    <row r="9355" spans="13:13" x14ac:dyDescent="0.25">
      <c r="M9355" s="21"/>
    </row>
    <row r="9356" spans="13:13" x14ac:dyDescent="0.25">
      <c r="M9356" s="21"/>
    </row>
    <row r="9357" spans="13:13" x14ac:dyDescent="0.25">
      <c r="M9357" s="21"/>
    </row>
    <row r="9358" spans="13:13" x14ac:dyDescent="0.25">
      <c r="M9358" s="21"/>
    </row>
    <row r="9359" spans="13:13" x14ac:dyDescent="0.25">
      <c r="M9359" s="21"/>
    </row>
    <row r="9360" spans="13:13" x14ac:dyDescent="0.25">
      <c r="M9360" s="21"/>
    </row>
    <row r="9361" spans="13:13" x14ac:dyDescent="0.25">
      <c r="M9361" s="21"/>
    </row>
    <row r="9362" spans="13:13" x14ac:dyDescent="0.25">
      <c r="M9362" s="21"/>
    </row>
    <row r="9363" spans="13:13" x14ac:dyDescent="0.25">
      <c r="M9363" s="21"/>
    </row>
    <row r="9364" spans="13:13" x14ac:dyDescent="0.25">
      <c r="M9364" s="21"/>
    </row>
    <row r="9365" spans="13:13" x14ac:dyDescent="0.25">
      <c r="M9365" s="21"/>
    </row>
    <row r="9366" spans="13:13" x14ac:dyDescent="0.25">
      <c r="M9366" s="21"/>
    </row>
    <row r="9367" spans="13:13" x14ac:dyDescent="0.25">
      <c r="M9367" s="21"/>
    </row>
    <row r="9368" spans="13:13" x14ac:dyDescent="0.25">
      <c r="M9368" s="21"/>
    </row>
    <row r="9369" spans="13:13" x14ac:dyDescent="0.25">
      <c r="M9369" s="21"/>
    </row>
    <row r="9370" spans="13:13" x14ac:dyDescent="0.25">
      <c r="M9370" s="21"/>
    </row>
    <row r="9371" spans="13:13" x14ac:dyDescent="0.25">
      <c r="M9371" s="21"/>
    </row>
    <row r="9372" spans="13:13" x14ac:dyDescent="0.25">
      <c r="M9372" s="21"/>
    </row>
    <row r="9373" spans="13:13" x14ac:dyDescent="0.25">
      <c r="M9373" s="21"/>
    </row>
    <row r="9374" spans="13:13" x14ac:dyDescent="0.25">
      <c r="M9374" s="21"/>
    </row>
    <row r="9375" spans="13:13" x14ac:dyDescent="0.25">
      <c r="M9375" s="21"/>
    </row>
    <row r="9376" spans="13:13" x14ac:dyDescent="0.25">
      <c r="M9376" s="21"/>
    </row>
    <row r="9377" spans="13:13" x14ac:dyDescent="0.25">
      <c r="M9377" s="21"/>
    </row>
    <row r="9378" spans="13:13" x14ac:dyDescent="0.25">
      <c r="M9378" s="21"/>
    </row>
    <row r="9379" spans="13:13" x14ac:dyDescent="0.25">
      <c r="M9379" s="21"/>
    </row>
    <row r="9380" spans="13:13" x14ac:dyDescent="0.25">
      <c r="M9380" s="21"/>
    </row>
    <row r="9381" spans="13:13" x14ac:dyDescent="0.25">
      <c r="M9381" s="21"/>
    </row>
    <row r="9382" spans="13:13" x14ac:dyDescent="0.25">
      <c r="M9382" s="21"/>
    </row>
    <row r="9383" spans="13:13" x14ac:dyDescent="0.25">
      <c r="M9383" s="21"/>
    </row>
    <row r="9384" spans="13:13" x14ac:dyDescent="0.25">
      <c r="M9384" s="21"/>
    </row>
    <row r="9385" spans="13:13" x14ac:dyDescent="0.25">
      <c r="M9385" s="21"/>
    </row>
    <row r="9386" spans="13:13" x14ac:dyDescent="0.25">
      <c r="M9386" s="21"/>
    </row>
    <row r="9387" spans="13:13" x14ac:dyDescent="0.25">
      <c r="M9387" s="21"/>
    </row>
    <row r="9388" spans="13:13" x14ac:dyDescent="0.25">
      <c r="M9388" s="21"/>
    </row>
    <row r="9389" spans="13:13" x14ac:dyDescent="0.25">
      <c r="M9389" s="21"/>
    </row>
    <row r="9390" spans="13:13" x14ac:dyDescent="0.25">
      <c r="M9390" s="21"/>
    </row>
    <row r="9391" spans="13:13" x14ac:dyDescent="0.25">
      <c r="M9391" s="21"/>
    </row>
    <row r="9392" spans="13:13" x14ac:dyDescent="0.25">
      <c r="M9392" s="21"/>
    </row>
    <row r="9393" spans="13:13" x14ac:dyDescent="0.25">
      <c r="M9393" s="21"/>
    </row>
    <row r="9394" spans="13:13" x14ac:dyDescent="0.25">
      <c r="M9394" s="21"/>
    </row>
    <row r="9395" spans="13:13" x14ac:dyDescent="0.25">
      <c r="M9395" s="21"/>
    </row>
    <row r="9396" spans="13:13" x14ac:dyDescent="0.25">
      <c r="M9396" s="21"/>
    </row>
    <row r="9397" spans="13:13" x14ac:dyDescent="0.25">
      <c r="M9397" s="21"/>
    </row>
    <row r="9398" spans="13:13" x14ac:dyDescent="0.25">
      <c r="M9398" s="21"/>
    </row>
    <row r="9399" spans="13:13" x14ac:dyDescent="0.25">
      <c r="M9399" s="21"/>
    </row>
    <row r="9400" spans="13:13" x14ac:dyDescent="0.25">
      <c r="M9400" s="21"/>
    </row>
    <row r="9401" spans="13:13" x14ac:dyDescent="0.25">
      <c r="M9401" s="21"/>
    </row>
    <row r="9402" spans="13:13" x14ac:dyDescent="0.25">
      <c r="M9402" s="21"/>
    </row>
    <row r="9403" spans="13:13" x14ac:dyDescent="0.25">
      <c r="M9403" s="21"/>
    </row>
    <row r="9404" spans="13:13" x14ac:dyDescent="0.25">
      <c r="M9404" s="21"/>
    </row>
    <row r="9405" spans="13:13" x14ac:dyDescent="0.25">
      <c r="M9405" s="21"/>
    </row>
    <row r="9406" spans="13:13" x14ac:dyDescent="0.25">
      <c r="M9406" s="21"/>
    </row>
    <row r="9407" spans="13:13" x14ac:dyDescent="0.25">
      <c r="M9407" s="21"/>
    </row>
    <row r="9408" spans="13:13" x14ac:dyDescent="0.25">
      <c r="M9408" s="21"/>
    </row>
    <row r="9409" spans="13:13" x14ac:dyDescent="0.25">
      <c r="M9409" s="21"/>
    </row>
    <row r="9410" spans="13:13" x14ac:dyDescent="0.25">
      <c r="M9410" s="21"/>
    </row>
    <row r="9411" spans="13:13" x14ac:dyDescent="0.25">
      <c r="M9411" s="21"/>
    </row>
    <row r="9412" spans="13:13" x14ac:dyDescent="0.25">
      <c r="M9412" s="21"/>
    </row>
    <row r="9413" spans="13:13" x14ac:dyDescent="0.25">
      <c r="M9413" s="21"/>
    </row>
    <row r="9414" spans="13:13" x14ac:dyDescent="0.25">
      <c r="M9414" s="21"/>
    </row>
    <row r="9415" spans="13:13" x14ac:dyDescent="0.25">
      <c r="M9415" s="21"/>
    </row>
    <row r="9416" spans="13:13" x14ac:dyDescent="0.25">
      <c r="M9416" s="21"/>
    </row>
    <row r="9417" spans="13:13" x14ac:dyDescent="0.25">
      <c r="M9417" s="21"/>
    </row>
    <row r="9418" spans="13:13" x14ac:dyDescent="0.25">
      <c r="M9418" s="21"/>
    </row>
    <row r="9419" spans="13:13" x14ac:dyDescent="0.25">
      <c r="M9419" s="21"/>
    </row>
    <row r="9420" spans="13:13" x14ac:dyDescent="0.25">
      <c r="M9420" s="21"/>
    </row>
    <row r="9421" spans="13:13" x14ac:dyDescent="0.25">
      <c r="M9421" s="21"/>
    </row>
    <row r="9422" spans="13:13" x14ac:dyDescent="0.25">
      <c r="M9422" s="21"/>
    </row>
    <row r="9423" spans="13:13" x14ac:dyDescent="0.25">
      <c r="M9423" s="21"/>
    </row>
    <row r="9424" spans="13:13" x14ac:dyDescent="0.25">
      <c r="M9424" s="21"/>
    </row>
    <row r="9425" spans="13:13" x14ac:dyDescent="0.25">
      <c r="M9425" s="21"/>
    </row>
    <row r="9426" spans="13:13" x14ac:dyDescent="0.25">
      <c r="M9426" s="21"/>
    </row>
    <row r="9427" spans="13:13" x14ac:dyDescent="0.25">
      <c r="M9427" s="21"/>
    </row>
    <row r="9428" spans="13:13" x14ac:dyDescent="0.25">
      <c r="M9428" s="21"/>
    </row>
    <row r="9429" spans="13:13" x14ac:dyDescent="0.25">
      <c r="M9429" s="21"/>
    </row>
    <row r="9430" spans="13:13" x14ac:dyDescent="0.25">
      <c r="M9430" s="21"/>
    </row>
    <row r="9431" spans="13:13" x14ac:dyDescent="0.25">
      <c r="M9431" s="21"/>
    </row>
    <row r="9432" spans="13:13" x14ac:dyDescent="0.25">
      <c r="M9432" s="21"/>
    </row>
    <row r="9433" spans="13:13" x14ac:dyDescent="0.25">
      <c r="M9433" s="21"/>
    </row>
    <row r="9434" spans="13:13" x14ac:dyDescent="0.25">
      <c r="M9434" s="21"/>
    </row>
    <row r="9435" spans="13:13" x14ac:dyDescent="0.25">
      <c r="M9435" s="21"/>
    </row>
    <row r="9436" spans="13:13" x14ac:dyDescent="0.25">
      <c r="M9436" s="21"/>
    </row>
    <row r="9437" spans="13:13" x14ac:dyDescent="0.25">
      <c r="M9437" s="21"/>
    </row>
    <row r="9438" spans="13:13" x14ac:dyDescent="0.25">
      <c r="M9438" s="21"/>
    </row>
    <row r="9439" spans="13:13" x14ac:dyDescent="0.25">
      <c r="M9439" s="21"/>
    </row>
    <row r="9440" spans="13:13" x14ac:dyDescent="0.25">
      <c r="M9440" s="21"/>
    </row>
    <row r="9441" spans="13:13" x14ac:dyDescent="0.25">
      <c r="M9441" s="21"/>
    </row>
    <row r="9442" spans="13:13" x14ac:dyDescent="0.25">
      <c r="M9442" s="21"/>
    </row>
    <row r="9443" spans="13:13" x14ac:dyDescent="0.25">
      <c r="M9443" s="21"/>
    </row>
    <row r="9444" spans="13:13" x14ac:dyDescent="0.25">
      <c r="M9444" s="21"/>
    </row>
    <row r="9445" spans="13:13" x14ac:dyDescent="0.25">
      <c r="M9445" s="21"/>
    </row>
    <row r="9446" spans="13:13" x14ac:dyDescent="0.25">
      <c r="M9446" s="21"/>
    </row>
    <row r="9447" spans="13:13" x14ac:dyDescent="0.25">
      <c r="M9447" s="21"/>
    </row>
    <row r="9448" spans="13:13" x14ac:dyDescent="0.25">
      <c r="M9448" s="21"/>
    </row>
    <row r="9449" spans="13:13" x14ac:dyDescent="0.25">
      <c r="M9449" s="21"/>
    </row>
    <row r="9450" spans="13:13" x14ac:dyDescent="0.25">
      <c r="M9450" s="21"/>
    </row>
    <row r="9451" spans="13:13" x14ac:dyDescent="0.25">
      <c r="M9451" s="21"/>
    </row>
    <row r="9452" spans="13:13" x14ac:dyDescent="0.25">
      <c r="M9452" s="21"/>
    </row>
    <row r="9453" spans="13:13" x14ac:dyDescent="0.25">
      <c r="M9453" s="21"/>
    </row>
    <row r="9454" spans="13:13" x14ac:dyDescent="0.25">
      <c r="M9454" s="21"/>
    </row>
    <row r="9455" spans="13:13" x14ac:dyDescent="0.25">
      <c r="M9455" s="21"/>
    </row>
    <row r="9456" spans="13:13" x14ac:dyDescent="0.25">
      <c r="M9456" s="21"/>
    </row>
    <row r="9457" spans="13:13" x14ac:dyDescent="0.25">
      <c r="M9457" s="21"/>
    </row>
    <row r="9458" spans="13:13" x14ac:dyDescent="0.25">
      <c r="M9458" s="21"/>
    </row>
    <row r="9459" spans="13:13" x14ac:dyDescent="0.25">
      <c r="M9459" s="21"/>
    </row>
    <row r="9460" spans="13:13" x14ac:dyDescent="0.25">
      <c r="M9460" s="21"/>
    </row>
    <row r="9461" spans="13:13" x14ac:dyDescent="0.25">
      <c r="M9461" s="21"/>
    </row>
    <row r="9462" spans="13:13" x14ac:dyDescent="0.25">
      <c r="M9462" s="21"/>
    </row>
    <row r="9463" spans="13:13" x14ac:dyDescent="0.25">
      <c r="M9463" s="21"/>
    </row>
    <row r="9464" spans="13:13" x14ac:dyDescent="0.25">
      <c r="M9464" s="21"/>
    </row>
    <row r="9465" spans="13:13" x14ac:dyDescent="0.25">
      <c r="M9465" s="21"/>
    </row>
    <row r="9466" spans="13:13" x14ac:dyDescent="0.25">
      <c r="M9466" s="21"/>
    </row>
    <row r="9467" spans="13:13" x14ac:dyDescent="0.25">
      <c r="M9467" s="21"/>
    </row>
    <row r="9468" spans="13:13" x14ac:dyDescent="0.25">
      <c r="M9468" s="21"/>
    </row>
    <row r="9469" spans="13:13" x14ac:dyDescent="0.25">
      <c r="M9469" s="21"/>
    </row>
    <row r="9470" spans="13:13" x14ac:dyDescent="0.25">
      <c r="M9470" s="21"/>
    </row>
    <row r="9471" spans="13:13" x14ac:dyDescent="0.25">
      <c r="M9471" s="21"/>
    </row>
    <row r="9472" spans="13:13" x14ac:dyDescent="0.25">
      <c r="M9472" s="21"/>
    </row>
    <row r="9473" spans="13:13" x14ac:dyDescent="0.25">
      <c r="M9473" s="21"/>
    </row>
    <row r="9474" spans="13:13" x14ac:dyDescent="0.25">
      <c r="M9474" s="21"/>
    </row>
    <row r="9475" spans="13:13" x14ac:dyDescent="0.25">
      <c r="M9475" s="21"/>
    </row>
    <row r="9476" spans="13:13" x14ac:dyDescent="0.25">
      <c r="M9476" s="21"/>
    </row>
    <row r="9477" spans="13:13" x14ac:dyDescent="0.25">
      <c r="M9477" s="21"/>
    </row>
    <row r="9478" spans="13:13" x14ac:dyDescent="0.25">
      <c r="M9478" s="21"/>
    </row>
    <row r="9479" spans="13:13" x14ac:dyDescent="0.25">
      <c r="M9479" s="21"/>
    </row>
    <row r="9480" spans="13:13" x14ac:dyDescent="0.25">
      <c r="M9480" s="21"/>
    </row>
    <row r="9481" spans="13:13" x14ac:dyDescent="0.25">
      <c r="M9481" s="21"/>
    </row>
    <row r="9482" spans="13:13" x14ac:dyDescent="0.25">
      <c r="M9482" s="21"/>
    </row>
    <row r="9483" spans="13:13" x14ac:dyDescent="0.25">
      <c r="M9483" s="21"/>
    </row>
    <row r="9484" spans="13:13" x14ac:dyDescent="0.25">
      <c r="M9484" s="21"/>
    </row>
    <row r="9485" spans="13:13" x14ac:dyDescent="0.25">
      <c r="M9485" s="21"/>
    </row>
    <row r="9486" spans="13:13" x14ac:dyDescent="0.25">
      <c r="M9486" s="21"/>
    </row>
    <row r="9487" spans="13:13" x14ac:dyDescent="0.25">
      <c r="M9487" s="21"/>
    </row>
    <row r="9488" spans="13:13" x14ac:dyDescent="0.25">
      <c r="M9488" s="21"/>
    </row>
    <row r="9489" spans="13:13" x14ac:dyDescent="0.25">
      <c r="M9489" s="21"/>
    </row>
    <row r="9490" spans="13:13" x14ac:dyDescent="0.25">
      <c r="M9490" s="21"/>
    </row>
    <row r="9491" spans="13:13" x14ac:dyDescent="0.25">
      <c r="M9491" s="21"/>
    </row>
    <row r="9492" spans="13:13" x14ac:dyDescent="0.25">
      <c r="M9492" s="21"/>
    </row>
    <row r="9493" spans="13:13" x14ac:dyDescent="0.25">
      <c r="M9493" s="21"/>
    </row>
    <row r="9494" spans="13:13" x14ac:dyDescent="0.25">
      <c r="M9494" s="21"/>
    </row>
    <row r="9495" spans="13:13" x14ac:dyDescent="0.25">
      <c r="M9495" s="21"/>
    </row>
    <row r="9496" spans="13:13" x14ac:dyDescent="0.25">
      <c r="M9496" s="21"/>
    </row>
    <row r="9497" spans="13:13" x14ac:dyDescent="0.25">
      <c r="M9497" s="21"/>
    </row>
    <row r="9498" spans="13:13" x14ac:dyDescent="0.25">
      <c r="M9498" s="21"/>
    </row>
    <row r="9499" spans="13:13" x14ac:dyDescent="0.25">
      <c r="M9499" s="21"/>
    </row>
    <row r="9500" spans="13:13" x14ac:dyDescent="0.25">
      <c r="M9500" s="21"/>
    </row>
    <row r="9501" spans="13:13" x14ac:dyDescent="0.25">
      <c r="M9501" s="21"/>
    </row>
    <row r="9502" spans="13:13" x14ac:dyDescent="0.25">
      <c r="M9502" s="21"/>
    </row>
    <row r="9503" spans="13:13" x14ac:dyDescent="0.25">
      <c r="M9503" s="21"/>
    </row>
    <row r="9504" spans="13:13" x14ac:dyDescent="0.25">
      <c r="M9504" s="21"/>
    </row>
    <row r="9505" spans="13:13" x14ac:dyDescent="0.25">
      <c r="M9505" s="21"/>
    </row>
    <row r="9506" spans="13:13" x14ac:dyDescent="0.25">
      <c r="M9506" s="21"/>
    </row>
    <row r="9507" spans="13:13" x14ac:dyDescent="0.25">
      <c r="M9507" s="21"/>
    </row>
    <row r="9508" spans="13:13" x14ac:dyDescent="0.25">
      <c r="M9508" s="21"/>
    </row>
    <row r="9509" spans="13:13" x14ac:dyDescent="0.25">
      <c r="M9509" s="21"/>
    </row>
    <row r="9510" spans="13:13" x14ac:dyDescent="0.25">
      <c r="M9510" s="21"/>
    </row>
    <row r="9511" spans="13:13" x14ac:dyDescent="0.25">
      <c r="M9511" s="21"/>
    </row>
    <row r="9512" spans="13:13" x14ac:dyDescent="0.25">
      <c r="M9512" s="21"/>
    </row>
    <row r="9513" spans="13:13" x14ac:dyDescent="0.25">
      <c r="M9513" s="21"/>
    </row>
    <row r="9514" spans="13:13" x14ac:dyDescent="0.25">
      <c r="M9514" s="21"/>
    </row>
    <row r="9515" spans="13:13" x14ac:dyDescent="0.25">
      <c r="M9515" s="21"/>
    </row>
    <row r="9516" spans="13:13" x14ac:dyDescent="0.25">
      <c r="M9516" s="21"/>
    </row>
    <row r="9517" spans="13:13" x14ac:dyDescent="0.25">
      <c r="M9517" s="21"/>
    </row>
    <row r="9518" spans="13:13" x14ac:dyDescent="0.25">
      <c r="M9518" s="21"/>
    </row>
    <row r="9519" spans="13:13" x14ac:dyDescent="0.25">
      <c r="M9519" s="21"/>
    </row>
    <row r="9520" spans="13:13" x14ac:dyDescent="0.25">
      <c r="M9520" s="21"/>
    </row>
    <row r="9521" spans="13:13" x14ac:dyDescent="0.25">
      <c r="M9521" s="21"/>
    </row>
    <row r="9522" spans="13:13" x14ac:dyDescent="0.25">
      <c r="M9522" s="21"/>
    </row>
    <row r="9523" spans="13:13" x14ac:dyDescent="0.25">
      <c r="M9523" s="21"/>
    </row>
    <row r="9524" spans="13:13" x14ac:dyDescent="0.25">
      <c r="M9524" s="21"/>
    </row>
    <row r="9525" spans="13:13" x14ac:dyDescent="0.25">
      <c r="M9525" s="21"/>
    </row>
    <row r="9526" spans="13:13" x14ac:dyDescent="0.25">
      <c r="M9526" s="21"/>
    </row>
    <row r="9527" spans="13:13" x14ac:dyDescent="0.25">
      <c r="M9527" s="21"/>
    </row>
    <row r="9528" spans="13:13" x14ac:dyDescent="0.25">
      <c r="M9528" s="21"/>
    </row>
    <row r="9529" spans="13:13" x14ac:dyDescent="0.25">
      <c r="M9529" s="21"/>
    </row>
    <row r="9530" spans="13:13" x14ac:dyDescent="0.25">
      <c r="M9530" s="21"/>
    </row>
    <row r="9531" spans="13:13" x14ac:dyDescent="0.25">
      <c r="M9531" s="21"/>
    </row>
    <row r="9532" spans="13:13" x14ac:dyDescent="0.25">
      <c r="M9532" s="21"/>
    </row>
    <row r="9533" spans="13:13" x14ac:dyDescent="0.25">
      <c r="M9533" s="21"/>
    </row>
    <row r="9534" spans="13:13" x14ac:dyDescent="0.25">
      <c r="M9534" s="21"/>
    </row>
    <row r="9535" spans="13:13" x14ac:dyDescent="0.25">
      <c r="M9535" s="21"/>
    </row>
    <row r="9536" spans="13:13" x14ac:dyDescent="0.25">
      <c r="M9536" s="21"/>
    </row>
    <row r="9537" spans="13:13" x14ac:dyDescent="0.25">
      <c r="M9537" s="21"/>
    </row>
    <row r="9538" spans="13:13" x14ac:dyDescent="0.25">
      <c r="M9538" s="21"/>
    </row>
    <row r="9539" spans="13:13" x14ac:dyDescent="0.25">
      <c r="M9539" s="21"/>
    </row>
    <row r="9540" spans="13:13" x14ac:dyDescent="0.25">
      <c r="M9540" s="21"/>
    </row>
    <row r="9541" spans="13:13" x14ac:dyDescent="0.25">
      <c r="M9541" s="21"/>
    </row>
    <row r="9542" spans="13:13" x14ac:dyDescent="0.25">
      <c r="M9542" s="21"/>
    </row>
    <row r="9543" spans="13:13" x14ac:dyDescent="0.25">
      <c r="M9543" s="21"/>
    </row>
    <row r="9544" spans="13:13" x14ac:dyDescent="0.25">
      <c r="M9544" s="21"/>
    </row>
    <row r="9545" spans="13:13" x14ac:dyDescent="0.25">
      <c r="M9545" s="21"/>
    </row>
    <row r="9546" spans="13:13" x14ac:dyDescent="0.25">
      <c r="M9546" s="21"/>
    </row>
    <row r="9547" spans="13:13" x14ac:dyDescent="0.25">
      <c r="M9547" s="21"/>
    </row>
    <row r="9548" spans="13:13" x14ac:dyDescent="0.25">
      <c r="M9548" s="21"/>
    </row>
    <row r="9549" spans="13:13" x14ac:dyDescent="0.25">
      <c r="M9549" s="21"/>
    </row>
    <row r="9550" spans="13:13" x14ac:dyDescent="0.25">
      <c r="M9550" s="21"/>
    </row>
    <row r="9551" spans="13:13" x14ac:dyDescent="0.25">
      <c r="M9551" s="21"/>
    </row>
    <row r="9552" spans="13:13" x14ac:dyDescent="0.25">
      <c r="M9552" s="21"/>
    </row>
    <row r="9553" spans="13:13" x14ac:dyDescent="0.25">
      <c r="M9553" s="21"/>
    </row>
    <row r="9554" spans="13:13" x14ac:dyDescent="0.25">
      <c r="M9554" s="21"/>
    </row>
    <row r="9555" spans="13:13" x14ac:dyDescent="0.25">
      <c r="M9555" s="21"/>
    </row>
    <row r="9556" spans="13:13" x14ac:dyDescent="0.25">
      <c r="M9556" s="21"/>
    </row>
    <row r="9557" spans="13:13" x14ac:dyDescent="0.25">
      <c r="M9557" s="21"/>
    </row>
    <row r="9558" spans="13:13" x14ac:dyDescent="0.25">
      <c r="M9558" s="21"/>
    </row>
    <row r="9559" spans="13:13" x14ac:dyDescent="0.25">
      <c r="M9559" s="21"/>
    </row>
    <row r="9560" spans="13:13" x14ac:dyDescent="0.25">
      <c r="M9560" s="21"/>
    </row>
    <row r="9561" spans="13:13" x14ac:dyDescent="0.25">
      <c r="M9561" s="21"/>
    </row>
    <row r="9562" spans="13:13" x14ac:dyDescent="0.25">
      <c r="M9562" s="21"/>
    </row>
    <row r="9563" spans="13:13" x14ac:dyDescent="0.25">
      <c r="M9563" s="21"/>
    </row>
    <row r="9564" spans="13:13" x14ac:dyDescent="0.25">
      <c r="M9564" s="21"/>
    </row>
    <row r="9565" spans="13:13" x14ac:dyDescent="0.25">
      <c r="M9565" s="21"/>
    </row>
    <row r="9566" spans="13:13" x14ac:dyDescent="0.25">
      <c r="M9566" s="21"/>
    </row>
    <row r="9567" spans="13:13" x14ac:dyDescent="0.25">
      <c r="M9567" s="21"/>
    </row>
    <row r="9568" spans="13:13" x14ac:dyDescent="0.25">
      <c r="M9568" s="21"/>
    </row>
    <row r="9569" spans="13:13" x14ac:dyDescent="0.25">
      <c r="M9569" s="21"/>
    </row>
    <row r="9570" spans="13:13" x14ac:dyDescent="0.25">
      <c r="M9570" s="21"/>
    </row>
    <row r="9571" spans="13:13" x14ac:dyDescent="0.25">
      <c r="M9571" s="21"/>
    </row>
    <row r="9572" spans="13:13" x14ac:dyDescent="0.25">
      <c r="M9572" s="21"/>
    </row>
    <row r="9573" spans="13:13" x14ac:dyDescent="0.25">
      <c r="M9573" s="21"/>
    </row>
    <row r="9574" spans="13:13" x14ac:dyDescent="0.25">
      <c r="M9574" s="21"/>
    </row>
    <row r="9575" spans="13:13" x14ac:dyDescent="0.25">
      <c r="M9575" s="21"/>
    </row>
    <row r="9576" spans="13:13" x14ac:dyDescent="0.25">
      <c r="M9576" s="21"/>
    </row>
    <row r="9577" spans="13:13" x14ac:dyDescent="0.25">
      <c r="M9577" s="21"/>
    </row>
    <row r="9578" spans="13:13" x14ac:dyDescent="0.25">
      <c r="M9578" s="21"/>
    </row>
    <row r="9579" spans="13:13" x14ac:dyDescent="0.25">
      <c r="M9579" s="21"/>
    </row>
    <row r="9580" spans="13:13" x14ac:dyDescent="0.25">
      <c r="M9580" s="21"/>
    </row>
    <row r="9581" spans="13:13" x14ac:dyDescent="0.25">
      <c r="M9581" s="21"/>
    </row>
    <row r="9582" spans="13:13" x14ac:dyDescent="0.25">
      <c r="M9582" s="21"/>
    </row>
    <row r="9583" spans="13:13" x14ac:dyDescent="0.25">
      <c r="M9583" s="21"/>
    </row>
    <row r="9584" spans="13:13" x14ac:dyDescent="0.25">
      <c r="M9584" s="21"/>
    </row>
    <row r="9585" spans="13:13" x14ac:dyDescent="0.25">
      <c r="M9585" s="21"/>
    </row>
    <row r="9586" spans="13:13" x14ac:dyDescent="0.25">
      <c r="M9586" s="21"/>
    </row>
    <row r="9587" spans="13:13" x14ac:dyDescent="0.25">
      <c r="M9587" s="21"/>
    </row>
    <row r="9588" spans="13:13" x14ac:dyDescent="0.25">
      <c r="M9588" s="21"/>
    </row>
    <row r="9589" spans="13:13" x14ac:dyDescent="0.25">
      <c r="M9589" s="21"/>
    </row>
    <row r="9590" spans="13:13" x14ac:dyDescent="0.25">
      <c r="M9590" s="21"/>
    </row>
    <row r="9591" spans="13:13" x14ac:dyDescent="0.25">
      <c r="M9591" s="21"/>
    </row>
    <row r="9592" spans="13:13" x14ac:dyDescent="0.25">
      <c r="M9592" s="21"/>
    </row>
    <row r="9593" spans="13:13" x14ac:dyDescent="0.25">
      <c r="M9593" s="21"/>
    </row>
    <row r="9594" spans="13:13" x14ac:dyDescent="0.25">
      <c r="M9594" s="21"/>
    </row>
    <row r="9595" spans="13:13" x14ac:dyDescent="0.25">
      <c r="M9595" s="21"/>
    </row>
    <row r="9596" spans="13:13" x14ac:dyDescent="0.25">
      <c r="M9596" s="21"/>
    </row>
    <row r="9597" spans="13:13" x14ac:dyDescent="0.25">
      <c r="M9597" s="21"/>
    </row>
    <row r="9598" spans="13:13" x14ac:dyDescent="0.25">
      <c r="M9598" s="21"/>
    </row>
    <row r="9599" spans="13:13" x14ac:dyDescent="0.25">
      <c r="M9599" s="21"/>
    </row>
    <row r="9600" spans="13:13" x14ac:dyDescent="0.25">
      <c r="M9600" s="21"/>
    </row>
    <row r="9601" spans="13:13" x14ac:dyDescent="0.25">
      <c r="M9601" s="21"/>
    </row>
    <row r="9602" spans="13:13" x14ac:dyDescent="0.25">
      <c r="M9602" s="21"/>
    </row>
    <row r="9603" spans="13:13" x14ac:dyDescent="0.25">
      <c r="M9603" s="21"/>
    </row>
    <row r="9604" spans="13:13" x14ac:dyDescent="0.25">
      <c r="M9604" s="21"/>
    </row>
    <row r="9605" spans="13:13" x14ac:dyDescent="0.25">
      <c r="M9605" s="21"/>
    </row>
    <row r="9606" spans="13:13" x14ac:dyDescent="0.25">
      <c r="M9606" s="21"/>
    </row>
    <row r="9607" spans="13:13" x14ac:dyDescent="0.25">
      <c r="M9607" s="21"/>
    </row>
    <row r="9608" spans="13:13" x14ac:dyDescent="0.25">
      <c r="M9608" s="21"/>
    </row>
    <row r="9609" spans="13:13" x14ac:dyDescent="0.25">
      <c r="M9609" s="21"/>
    </row>
    <row r="9610" spans="13:13" x14ac:dyDescent="0.25">
      <c r="M9610" s="21"/>
    </row>
    <row r="9611" spans="13:13" x14ac:dyDescent="0.25">
      <c r="M9611" s="21"/>
    </row>
    <row r="9612" spans="13:13" x14ac:dyDescent="0.25">
      <c r="M9612" s="21"/>
    </row>
    <row r="9613" spans="13:13" x14ac:dyDescent="0.25">
      <c r="M9613" s="21"/>
    </row>
    <row r="9614" spans="13:13" x14ac:dyDescent="0.25">
      <c r="M9614" s="21"/>
    </row>
    <row r="9615" spans="13:13" x14ac:dyDescent="0.25">
      <c r="M9615" s="21"/>
    </row>
    <row r="9616" spans="13:13" x14ac:dyDescent="0.25">
      <c r="M9616" s="21"/>
    </row>
    <row r="9617" spans="13:13" x14ac:dyDescent="0.25">
      <c r="M9617" s="21"/>
    </row>
    <row r="9618" spans="13:13" x14ac:dyDescent="0.25">
      <c r="M9618" s="21"/>
    </row>
    <row r="9619" spans="13:13" x14ac:dyDescent="0.25">
      <c r="M9619" s="21"/>
    </row>
    <row r="9620" spans="13:13" x14ac:dyDescent="0.25">
      <c r="M9620" s="21"/>
    </row>
    <row r="9621" spans="13:13" x14ac:dyDescent="0.25">
      <c r="M9621" s="21"/>
    </row>
    <row r="9622" spans="13:13" x14ac:dyDescent="0.25">
      <c r="M9622" s="21"/>
    </row>
    <row r="9623" spans="13:13" x14ac:dyDescent="0.25">
      <c r="M9623" s="21"/>
    </row>
    <row r="9624" spans="13:13" x14ac:dyDescent="0.25">
      <c r="M9624" s="21"/>
    </row>
    <row r="9625" spans="13:13" x14ac:dyDescent="0.25">
      <c r="M9625" s="21"/>
    </row>
    <row r="9626" spans="13:13" x14ac:dyDescent="0.25">
      <c r="M9626" s="21"/>
    </row>
    <row r="9627" spans="13:13" x14ac:dyDescent="0.25">
      <c r="M9627" s="21"/>
    </row>
    <row r="9628" spans="13:13" x14ac:dyDescent="0.25">
      <c r="M9628" s="21"/>
    </row>
    <row r="9629" spans="13:13" x14ac:dyDescent="0.25">
      <c r="M9629" s="21"/>
    </row>
    <row r="9630" spans="13:13" x14ac:dyDescent="0.25">
      <c r="M9630" s="21"/>
    </row>
    <row r="9631" spans="13:13" x14ac:dyDescent="0.25">
      <c r="M9631" s="21"/>
    </row>
    <row r="9632" spans="13:13" x14ac:dyDescent="0.25">
      <c r="M9632" s="21"/>
    </row>
    <row r="9633" spans="13:13" x14ac:dyDescent="0.25">
      <c r="M9633" s="21"/>
    </row>
    <row r="9634" spans="13:13" x14ac:dyDescent="0.25">
      <c r="M9634" s="21"/>
    </row>
    <row r="9635" spans="13:13" x14ac:dyDescent="0.25">
      <c r="M9635" s="21"/>
    </row>
    <row r="9636" spans="13:13" x14ac:dyDescent="0.25">
      <c r="M9636" s="21"/>
    </row>
    <row r="9637" spans="13:13" x14ac:dyDescent="0.25">
      <c r="M9637" s="21"/>
    </row>
    <row r="9638" spans="13:13" x14ac:dyDescent="0.25">
      <c r="M9638" s="21"/>
    </row>
    <row r="9639" spans="13:13" x14ac:dyDescent="0.25">
      <c r="M9639" s="21"/>
    </row>
    <row r="9640" spans="13:13" x14ac:dyDescent="0.25">
      <c r="M9640" s="21"/>
    </row>
    <row r="9641" spans="13:13" x14ac:dyDescent="0.25">
      <c r="M9641" s="21"/>
    </row>
    <row r="9642" spans="13:13" x14ac:dyDescent="0.25">
      <c r="M9642" s="21"/>
    </row>
    <row r="9643" spans="13:13" x14ac:dyDescent="0.25">
      <c r="M9643" s="21"/>
    </row>
    <row r="9644" spans="13:13" x14ac:dyDescent="0.25">
      <c r="M9644" s="21"/>
    </row>
    <row r="9645" spans="13:13" x14ac:dyDescent="0.25">
      <c r="M9645" s="21"/>
    </row>
    <row r="9646" spans="13:13" x14ac:dyDescent="0.25">
      <c r="M9646" s="21"/>
    </row>
    <row r="9647" spans="13:13" x14ac:dyDescent="0.25">
      <c r="M9647" s="21"/>
    </row>
    <row r="9648" spans="13:13" x14ac:dyDescent="0.25">
      <c r="M9648" s="21"/>
    </row>
    <row r="9649" spans="13:13" x14ac:dyDescent="0.25">
      <c r="M9649" s="21"/>
    </row>
    <row r="9650" spans="13:13" x14ac:dyDescent="0.25">
      <c r="M9650" s="21"/>
    </row>
    <row r="9651" spans="13:13" x14ac:dyDescent="0.25">
      <c r="M9651" s="21"/>
    </row>
    <row r="9652" spans="13:13" x14ac:dyDescent="0.25">
      <c r="M9652" s="21"/>
    </row>
    <row r="9653" spans="13:13" x14ac:dyDescent="0.25">
      <c r="M9653" s="21"/>
    </row>
    <row r="9654" spans="13:13" x14ac:dyDescent="0.25">
      <c r="M9654" s="21"/>
    </row>
    <row r="9655" spans="13:13" x14ac:dyDescent="0.25">
      <c r="M9655" s="21"/>
    </row>
    <row r="9656" spans="13:13" x14ac:dyDescent="0.25">
      <c r="M9656" s="21"/>
    </row>
    <row r="9657" spans="13:13" x14ac:dyDescent="0.25">
      <c r="M9657" s="21"/>
    </row>
    <row r="9658" spans="13:13" x14ac:dyDescent="0.25">
      <c r="M9658" s="21"/>
    </row>
    <row r="9659" spans="13:13" x14ac:dyDescent="0.25">
      <c r="M9659" s="21"/>
    </row>
    <row r="9660" spans="13:13" x14ac:dyDescent="0.25">
      <c r="M9660" s="21"/>
    </row>
    <row r="9661" spans="13:13" x14ac:dyDescent="0.25">
      <c r="M9661" s="21"/>
    </row>
    <row r="9662" spans="13:13" x14ac:dyDescent="0.25">
      <c r="M9662" s="21"/>
    </row>
    <row r="9663" spans="13:13" x14ac:dyDescent="0.25">
      <c r="M9663" s="21"/>
    </row>
    <row r="9664" spans="13:13" x14ac:dyDescent="0.25">
      <c r="M9664" s="21"/>
    </row>
    <row r="9665" spans="13:13" x14ac:dyDescent="0.25">
      <c r="M9665" s="21"/>
    </row>
    <row r="9666" spans="13:13" x14ac:dyDescent="0.25">
      <c r="M9666" s="21"/>
    </row>
    <row r="9667" spans="13:13" x14ac:dyDescent="0.25">
      <c r="M9667" s="21"/>
    </row>
    <row r="9668" spans="13:13" x14ac:dyDescent="0.25">
      <c r="M9668" s="21"/>
    </row>
    <row r="9669" spans="13:13" x14ac:dyDescent="0.25">
      <c r="M9669" s="21"/>
    </row>
    <row r="9670" spans="13:13" x14ac:dyDescent="0.25">
      <c r="M9670" s="21"/>
    </row>
    <row r="9671" spans="13:13" x14ac:dyDescent="0.25">
      <c r="M9671" s="21"/>
    </row>
    <row r="9672" spans="13:13" x14ac:dyDescent="0.25">
      <c r="M9672" s="21"/>
    </row>
    <row r="9673" spans="13:13" x14ac:dyDescent="0.25">
      <c r="M9673" s="21"/>
    </row>
    <row r="9674" spans="13:13" x14ac:dyDescent="0.25">
      <c r="M9674" s="21"/>
    </row>
    <row r="9675" spans="13:13" x14ac:dyDescent="0.25">
      <c r="M9675" s="21"/>
    </row>
    <row r="9676" spans="13:13" x14ac:dyDescent="0.25">
      <c r="M9676" s="21"/>
    </row>
    <row r="9677" spans="13:13" x14ac:dyDescent="0.25">
      <c r="M9677" s="21"/>
    </row>
    <row r="9678" spans="13:13" x14ac:dyDescent="0.25">
      <c r="M9678" s="21"/>
    </row>
    <row r="9679" spans="13:13" x14ac:dyDescent="0.25">
      <c r="M9679" s="21"/>
    </row>
    <row r="9680" spans="13:13" x14ac:dyDescent="0.25">
      <c r="M9680" s="21"/>
    </row>
    <row r="9681" spans="13:13" x14ac:dyDescent="0.25">
      <c r="M9681" s="21"/>
    </row>
    <row r="9682" spans="13:13" x14ac:dyDescent="0.25">
      <c r="M9682" s="21"/>
    </row>
    <row r="9683" spans="13:13" x14ac:dyDescent="0.25">
      <c r="M9683" s="21"/>
    </row>
    <row r="9684" spans="13:13" x14ac:dyDescent="0.25">
      <c r="M9684" s="21"/>
    </row>
    <row r="9685" spans="13:13" x14ac:dyDescent="0.25">
      <c r="M9685" s="21"/>
    </row>
    <row r="9686" spans="13:13" x14ac:dyDescent="0.25">
      <c r="M9686" s="21"/>
    </row>
    <row r="9687" spans="13:13" x14ac:dyDescent="0.25">
      <c r="M9687" s="21"/>
    </row>
    <row r="9688" spans="13:13" x14ac:dyDescent="0.25">
      <c r="M9688" s="21"/>
    </row>
    <row r="9689" spans="13:13" x14ac:dyDescent="0.25">
      <c r="M9689" s="21"/>
    </row>
    <row r="9690" spans="13:13" x14ac:dyDescent="0.25">
      <c r="M9690" s="21"/>
    </row>
    <row r="9691" spans="13:13" x14ac:dyDescent="0.25">
      <c r="M9691" s="21"/>
    </row>
    <row r="9692" spans="13:13" x14ac:dyDescent="0.25">
      <c r="M9692" s="21"/>
    </row>
    <row r="9693" spans="13:13" x14ac:dyDescent="0.25">
      <c r="M9693" s="21"/>
    </row>
    <row r="9694" spans="13:13" x14ac:dyDescent="0.25">
      <c r="M9694" s="21"/>
    </row>
    <row r="9695" spans="13:13" x14ac:dyDescent="0.25">
      <c r="M9695" s="21"/>
    </row>
    <row r="9696" spans="13:13" x14ac:dyDescent="0.25">
      <c r="M9696" s="21"/>
    </row>
    <row r="9697" spans="13:13" x14ac:dyDescent="0.25">
      <c r="M9697" s="21"/>
    </row>
    <row r="9698" spans="13:13" x14ac:dyDescent="0.25">
      <c r="M9698" s="21"/>
    </row>
    <row r="9699" spans="13:13" x14ac:dyDescent="0.25">
      <c r="M9699" s="21"/>
    </row>
    <row r="9700" spans="13:13" x14ac:dyDescent="0.25">
      <c r="M9700" s="21"/>
    </row>
    <row r="9701" spans="13:13" x14ac:dyDescent="0.25">
      <c r="M9701" s="21"/>
    </row>
    <row r="9702" spans="13:13" x14ac:dyDescent="0.25">
      <c r="M9702" s="21"/>
    </row>
    <row r="9703" spans="13:13" x14ac:dyDescent="0.25">
      <c r="M9703" s="21"/>
    </row>
    <row r="9704" spans="13:13" x14ac:dyDescent="0.25">
      <c r="M9704" s="21"/>
    </row>
    <row r="9705" spans="13:13" x14ac:dyDescent="0.25">
      <c r="M9705" s="21"/>
    </row>
    <row r="9706" spans="13:13" x14ac:dyDescent="0.25">
      <c r="M9706" s="21"/>
    </row>
    <row r="9707" spans="13:13" x14ac:dyDescent="0.25">
      <c r="M9707" s="21"/>
    </row>
    <row r="9708" spans="13:13" x14ac:dyDescent="0.25">
      <c r="M9708" s="21"/>
    </row>
    <row r="9709" spans="13:13" x14ac:dyDescent="0.25">
      <c r="M9709" s="21"/>
    </row>
    <row r="9710" spans="13:13" x14ac:dyDescent="0.25">
      <c r="M9710" s="21"/>
    </row>
    <row r="9711" spans="13:13" x14ac:dyDescent="0.25">
      <c r="M9711" s="21"/>
    </row>
    <row r="9712" spans="13:13" x14ac:dyDescent="0.25">
      <c r="M9712" s="21"/>
    </row>
    <row r="9713" spans="13:13" x14ac:dyDescent="0.25">
      <c r="M9713" s="21"/>
    </row>
    <row r="9714" spans="13:13" x14ac:dyDescent="0.25">
      <c r="M9714" s="21"/>
    </row>
    <row r="9715" spans="13:13" x14ac:dyDescent="0.25">
      <c r="M9715" s="21"/>
    </row>
    <row r="9716" spans="13:13" x14ac:dyDescent="0.25">
      <c r="M9716" s="21"/>
    </row>
    <row r="9717" spans="13:13" x14ac:dyDescent="0.25">
      <c r="M9717" s="21"/>
    </row>
    <row r="9718" spans="13:13" x14ac:dyDescent="0.25">
      <c r="M9718" s="21"/>
    </row>
    <row r="9719" spans="13:13" x14ac:dyDescent="0.25">
      <c r="M9719" s="21"/>
    </row>
    <row r="9720" spans="13:13" x14ac:dyDescent="0.25">
      <c r="M9720" s="21"/>
    </row>
    <row r="9721" spans="13:13" x14ac:dyDescent="0.25">
      <c r="M9721" s="21"/>
    </row>
    <row r="9722" spans="13:13" x14ac:dyDescent="0.25">
      <c r="M9722" s="21"/>
    </row>
    <row r="9723" spans="13:13" x14ac:dyDescent="0.25">
      <c r="M9723" s="21"/>
    </row>
    <row r="9724" spans="13:13" x14ac:dyDescent="0.25">
      <c r="M9724" s="21"/>
    </row>
    <row r="9725" spans="13:13" x14ac:dyDescent="0.25">
      <c r="M9725" s="21"/>
    </row>
    <row r="9726" spans="13:13" x14ac:dyDescent="0.25">
      <c r="M9726" s="21"/>
    </row>
    <row r="9727" spans="13:13" x14ac:dyDescent="0.25">
      <c r="M9727" s="21"/>
    </row>
    <row r="9728" spans="13:13" x14ac:dyDescent="0.25">
      <c r="M9728" s="21"/>
    </row>
    <row r="9729" spans="13:13" x14ac:dyDescent="0.25">
      <c r="M9729" s="21"/>
    </row>
    <row r="9730" spans="13:13" x14ac:dyDescent="0.25">
      <c r="M9730" s="21"/>
    </row>
    <row r="9731" spans="13:13" x14ac:dyDescent="0.25">
      <c r="M9731" s="21"/>
    </row>
    <row r="9732" spans="13:13" x14ac:dyDescent="0.25">
      <c r="M9732" s="21"/>
    </row>
    <row r="9733" spans="13:13" x14ac:dyDescent="0.25">
      <c r="M9733" s="21"/>
    </row>
    <row r="9734" spans="13:13" x14ac:dyDescent="0.25">
      <c r="M9734" s="21"/>
    </row>
    <row r="9735" spans="13:13" x14ac:dyDescent="0.25">
      <c r="M9735" s="21"/>
    </row>
    <row r="9736" spans="13:13" x14ac:dyDescent="0.25">
      <c r="M9736" s="21"/>
    </row>
    <row r="9737" spans="13:13" x14ac:dyDescent="0.25">
      <c r="M9737" s="21"/>
    </row>
    <row r="9738" spans="13:13" x14ac:dyDescent="0.25">
      <c r="M9738" s="21"/>
    </row>
    <row r="9739" spans="13:13" x14ac:dyDescent="0.25">
      <c r="M9739" s="21"/>
    </row>
    <row r="9740" spans="13:13" x14ac:dyDescent="0.25">
      <c r="M9740" s="21"/>
    </row>
    <row r="9741" spans="13:13" x14ac:dyDescent="0.25">
      <c r="M9741" s="21"/>
    </row>
    <row r="9742" spans="13:13" x14ac:dyDescent="0.25">
      <c r="M9742" s="21"/>
    </row>
    <row r="9743" spans="13:13" x14ac:dyDescent="0.25">
      <c r="M9743" s="21"/>
    </row>
    <row r="9744" spans="13:13" x14ac:dyDescent="0.25">
      <c r="M9744" s="21"/>
    </row>
    <row r="9745" spans="13:13" x14ac:dyDescent="0.25">
      <c r="M9745" s="21"/>
    </row>
    <row r="9746" spans="13:13" x14ac:dyDescent="0.25">
      <c r="M9746" s="21"/>
    </row>
    <row r="9747" spans="13:13" x14ac:dyDescent="0.25">
      <c r="M9747" s="21"/>
    </row>
    <row r="9748" spans="13:13" x14ac:dyDescent="0.25">
      <c r="M9748" s="21"/>
    </row>
    <row r="9749" spans="13:13" x14ac:dyDescent="0.25">
      <c r="M9749" s="21"/>
    </row>
    <row r="9750" spans="13:13" x14ac:dyDescent="0.25">
      <c r="M9750" s="21"/>
    </row>
    <row r="9751" spans="13:13" x14ac:dyDescent="0.25">
      <c r="M9751" s="21"/>
    </row>
    <row r="9752" spans="13:13" x14ac:dyDescent="0.25">
      <c r="M9752" s="21"/>
    </row>
    <row r="9753" spans="13:13" x14ac:dyDescent="0.25">
      <c r="M9753" s="21"/>
    </row>
    <row r="9754" spans="13:13" x14ac:dyDescent="0.25">
      <c r="M9754" s="21"/>
    </row>
    <row r="9755" spans="13:13" x14ac:dyDescent="0.25">
      <c r="M9755" s="21"/>
    </row>
    <row r="9756" spans="13:13" x14ac:dyDescent="0.25">
      <c r="M9756" s="21"/>
    </row>
    <row r="9757" spans="13:13" x14ac:dyDescent="0.25">
      <c r="M9757" s="21"/>
    </row>
    <row r="9758" spans="13:13" x14ac:dyDescent="0.25">
      <c r="M9758" s="21"/>
    </row>
    <row r="9759" spans="13:13" x14ac:dyDescent="0.25">
      <c r="M9759" s="21"/>
    </row>
    <row r="9760" spans="13:13" x14ac:dyDescent="0.25">
      <c r="M9760" s="21"/>
    </row>
    <row r="9761" spans="13:13" x14ac:dyDescent="0.25">
      <c r="M9761" s="21"/>
    </row>
    <row r="9762" spans="13:13" x14ac:dyDescent="0.25">
      <c r="M9762" s="21"/>
    </row>
    <row r="9763" spans="13:13" x14ac:dyDescent="0.25">
      <c r="M9763" s="21"/>
    </row>
    <row r="9764" spans="13:13" x14ac:dyDescent="0.25">
      <c r="M9764" s="21"/>
    </row>
    <row r="9765" spans="13:13" x14ac:dyDescent="0.25">
      <c r="M9765" s="21"/>
    </row>
    <row r="9766" spans="13:13" x14ac:dyDescent="0.25">
      <c r="M9766" s="21"/>
    </row>
    <row r="9767" spans="13:13" x14ac:dyDescent="0.25">
      <c r="M9767" s="21"/>
    </row>
    <row r="9768" spans="13:13" x14ac:dyDescent="0.25">
      <c r="M9768" s="21"/>
    </row>
    <row r="9769" spans="13:13" x14ac:dyDescent="0.25">
      <c r="M9769" s="21"/>
    </row>
    <row r="9770" spans="13:13" x14ac:dyDescent="0.25">
      <c r="M9770" s="21"/>
    </row>
    <row r="9771" spans="13:13" x14ac:dyDescent="0.25">
      <c r="M9771" s="21"/>
    </row>
    <row r="9772" spans="13:13" x14ac:dyDescent="0.25">
      <c r="M9772" s="21"/>
    </row>
    <row r="9773" spans="13:13" x14ac:dyDescent="0.25">
      <c r="M9773" s="21"/>
    </row>
    <row r="9774" spans="13:13" x14ac:dyDescent="0.25">
      <c r="M9774" s="21"/>
    </row>
    <row r="9775" spans="13:13" x14ac:dyDescent="0.25">
      <c r="M9775" s="21"/>
    </row>
    <row r="9776" spans="13:13" x14ac:dyDescent="0.25">
      <c r="M9776" s="21"/>
    </row>
    <row r="9777" spans="13:13" x14ac:dyDescent="0.25">
      <c r="M9777" s="21"/>
    </row>
    <row r="9778" spans="13:13" x14ac:dyDescent="0.25">
      <c r="M9778" s="21"/>
    </row>
    <row r="9779" spans="13:13" x14ac:dyDescent="0.25">
      <c r="M9779" s="21"/>
    </row>
    <row r="9780" spans="13:13" x14ac:dyDescent="0.25">
      <c r="M9780" s="21"/>
    </row>
    <row r="9781" spans="13:13" x14ac:dyDescent="0.25">
      <c r="M9781" s="21"/>
    </row>
    <row r="9782" spans="13:13" x14ac:dyDescent="0.25">
      <c r="M9782" s="21"/>
    </row>
    <row r="9783" spans="13:13" x14ac:dyDescent="0.25">
      <c r="M9783" s="21"/>
    </row>
    <row r="9784" spans="13:13" x14ac:dyDescent="0.25">
      <c r="M9784" s="21"/>
    </row>
    <row r="9785" spans="13:13" x14ac:dyDescent="0.25">
      <c r="M9785" s="21"/>
    </row>
    <row r="9786" spans="13:13" x14ac:dyDescent="0.25">
      <c r="M9786" s="21"/>
    </row>
    <row r="9787" spans="13:13" x14ac:dyDescent="0.25">
      <c r="M9787" s="21"/>
    </row>
    <row r="9788" spans="13:13" x14ac:dyDescent="0.25">
      <c r="M9788" s="21"/>
    </row>
    <row r="9789" spans="13:13" x14ac:dyDescent="0.25">
      <c r="M9789" s="21"/>
    </row>
    <row r="9790" spans="13:13" x14ac:dyDescent="0.25">
      <c r="M9790" s="21"/>
    </row>
    <row r="9791" spans="13:13" x14ac:dyDescent="0.25">
      <c r="M9791" s="21"/>
    </row>
    <row r="9792" spans="13:13" x14ac:dyDescent="0.25">
      <c r="M9792" s="21"/>
    </row>
    <row r="9793" spans="13:13" x14ac:dyDescent="0.25">
      <c r="M9793" s="21"/>
    </row>
    <row r="9794" spans="13:13" x14ac:dyDescent="0.25">
      <c r="M9794" s="21"/>
    </row>
    <row r="9795" spans="13:13" x14ac:dyDescent="0.25">
      <c r="M9795" s="21"/>
    </row>
    <row r="9796" spans="13:13" x14ac:dyDescent="0.25">
      <c r="M9796" s="21"/>
    </row>
    <row r="9797" spans="13:13" x14ac:dyDescent="0.25">
      <c r="M9797" s="21"/>
    </row>
    <row r="9798" spans="13:13" x14ac:dyDescent="0.25">
      <c r="M9798" s="21"/>
    </row>
    <row r="9799" spans="13:13" x14ac:dyDescent="0.25">
      <c r="M9799" s="21"/>
    </row>
    <row r="9800" spans="13:13" x14ac:dyDescent="0.25">
      <c r="M9800" s="21"/>
    </row>
    <row r="9801" spans="13:13" x14ac:dyDescent="0.25">
      <c r="M9801" s="21"/>
    </row>
    <row r="9802" spans="13:13" x14ac:dyDescent="0.25">
      <c r="M9802" s="21"/>
    </row>
    <row r="9803" spans="13:13" x14ac:dyDescent="0.25">
      <c r="M9803" s="21"/>
    </row>
    <row r="9804" spans="13:13" x14ac:dyDescent="0.25">
      <c r="M9804" s="21"/>
    </row>
    <row r="9805" spans="13:13" x14ac:dyDescent="0.25">
      <c r="M9805" s="21"/>
    </row>
    <row r="9806" spans="13:13" x14ac:dyDescent="0.25">
      <c r="M9806" s="21"/>
    </row>
    <row r="9807" spans="13:13" x14ac:dyDescent="0.25">
      <c r="M9807" s="21"/>
    </row>
    <row r="9808" spans="13:13" x14ac:dyDescent="0.25">
      <c r="M9808" s="21"/>
    </row>
    <row r="9809" spans="13:13" x14ac:dyDescent="0.25">
      <c r="M9809" s="21"/>
    </row>
    <row r="9810" spans="13:13" x14ac:dyDescent="0.25">
      <c r="M9810" s="21"/>
    </row>
    <row r="9811" spans="13:13" x14ac:dyDescent="0.25">
      <c r="M9811" s="21"/>
    </row>
    <row r="9812" spans="13:13" x14ac:dyDescent="0.25">
      <c r="M9812" s="21"/>
    </row>
    <row r="9813" spans="13:13" x14ac:dyDescent="0.25">
      <c r="M9813" s="21"/>
    </row>
    <row r="9814" spans="13:13" x14ac:dyDescent="0.25">
      <c r="M9814" s="21"/>
    </row>
    <row r="9815" spans="13:13" x14ac:dyDescent="0.25">
      <c r="M9815" s="21"/>
    </row>
    <row r="9816" spans="13:13" x14ac:dyDescent="0.25">
      <c r="M9816" s="21"/>
    </row>
    <row r="9817" spans="13:13" x14ac:dyDescent="0.25">
      <c r="M9817" s="21"/>
    </row>
    <row r="9818" spans="13:13" x14ac:dyDescent="0.25">
      <c r="M9818" s="21"/>
    </row>
    <row r="9819" spans="13:13" x14ac:dyDescent="0.25">
      <c r="M9819" s="21"/>
    </row>
    <row r="9820" spans="13:13" x14ac:dyDescent="0.25">
      <c r="M9820" s="21"/>
    </row>
    <row r="9821" spans="13:13" x14ac:dyDescent="0.25">
      <c r="M9821" s="21"/>
    </row>
    <row r="9822" spans="13:13" x14ac:dyDescent="0.25">
      <c r="M9822" s="21"/>
    </row>
    <row r="9823" spans="13:13" x14ac:dyDescent="0.25">
      <c r="M9823" s="21"/>
    </row>
    <row r="9824" spans="13:13" x14ac:dyDescent="0.25">
      <c r="M9824" s="21"/>
    </row>
    <row r="9825" spans="13:13" x14ac:dyDescent="0.25">
      <c r="M9825" s="21"/>
    </row>
    <row r="9826" spans="13:13" x14ac:dyDescent="0.25">
      <c r="M9826" s="21"/>
    </row>
    <row r="9827" spans="13:13" x14ac:dyDescent="0.25">
      <c r="M9827" s="21"/>
    </row>
    <row r="9828" spans="13:13" x14ac:dyDescent="0.25">
      <c r="M9828" s="21"/>
    </row>
    <row r="9829" spans="13:13" x14ac:dyDescent="0.25">
      <c r="M9829" s="21"/>
    </row>
    <row r="9830" spans="13:13" x14ac:dyDescent="0.25">
      <c r="M9830" s="21"/>
    </row>
    <row r="9831" spans="13:13" x14ac:dyDescent="0.25">
      <c r="M9831" s="21"/>
    </row>
    <row r="9832" spans="13:13" x14ac:dyDescent="0.25">
      <c r="M9832" s="21"/>
    </row>
    <row r="9833" spans="13:13" x14ac:dyDescent="0.25">
      <c r="M9833" s="21"/>
    </row>
    <row r="9834" spans="13:13" x14ac:dyDescent="0.25">
      <c r="M9834" s="21"/>
    </row>
    <row r="9835" spans="13:13" x14ac:dyDescent="0.25">
      <c r="M9835" s="21"/>
    </row>
    <row r="9836" spans="13:13" x14ac:dyDescent="0.25">
      <c r="M9836" s="21"/>
    </row>
    <row r="9837" spans="13:13" x14ac:dyDescent="0.25">
      <c r="M9837" s="21"/>
    </row>
    <row r="9838" spans="13:13" x14ac:dyDescent="0.25">
      <c r="M9838" s="21"/>
    </row>
    <row r="9839" spans="13:13" x14ac:dyDescent="0.25">
      <c r="M9839" s="21"/>
    </row>
    <row r="9840" spans="13:13" x14ac:dyDescent="0.25">
      <c r="M9840" s="21"/>
    </row>
    <row r="9841" spans="13:13" x14ac:dyDescent="0.25">
      <c r="M9841" s="21"/>
    </row>
    <row r="9842" spans="13:13" x14ac:dyDescent="0.25">
      <c r="M9842" s="21"/>
    </row>
    <row r="9843" spans="13:13" x14ac:dyDescent="0.25">
      <c r="M9843" s="21"/>
    </row>
    <row r="9844" spans="13:13" x14ac:dyDescent="0.25">
      <c r="M9844" s="21"/>
    </row>
    <row r="9845" spans="13:13" x14ac:dyDescent="0.25">
      <c r="M9845" s="21"/>
    </row>
    <row r="9846" spans="13:13" x14ac:dyDescent="0.25">
      <c r="M9846" s="21"/>
    </row>
    <row r="9847" spans="13:13" x14ac:dyDescent="0.25">
      <c r="M9847" s="21"/>
    </row>
    <row r="9848" spans="13:13" x14ac:dyDescent="0.25">
      <c r="M9848" s="21"/>
    </row>
    <row r="9849" spans="13:13" x14ac:dyDescent="0.25">
      <c r="M9849" s="21"/>
    </row>
    <row r="9850" spans="13:13" x14ac:dyDescent="0.25">
      <c r="M9850" s="21"/>
    </row>
    <row r="9851" spans="13:13" x14ac:dyDescent="0.25">
      <c r="M9851" s="21"/>
    </row>
    <row r="9852" spans="13:13" x14ac:dyDescent="0.25">
      <c r="M9852" s="21"/>
    </row>
    <row r="9853" spans="13:13" x14ac:dyDescent="0.25">
      <c r="M9853" s="21"/>
    </row>
    <row r="9854" spans="13:13" x14ac:dyDescent="0.25">
      <c r="M9854" s="21"/>
    </row>
    <row r="9855" spans="13:13" x14ac:dyDescent="0.25">
      <c r="M9855" s="21"/>
    </row>
    <row r="9856" spans="13:13" x14ac:dyDescent="0.25">
      <c r="M9856" s="21"/>
    </row>
    <row r="9857" spans="13:13" x14ac:dyDescent="0.25">
      <c r="M9857" s="21"/>
    </row>
    <row r="9858" spans="13:13" x14ac:dyDescent="0.25">
      <c r="M9858" s="21"/>
    </row>
    <row r="9859" spans="13:13" x14ac:dyDescent="0.25">
      <c r="M9859" s="21"/>
    </row>
    <row r="9860" spans="13:13" x14ac:dyDescent="0.25">
      <c r="M9860" s="21"/>
    </row>
    <row r="9861" spans="13:13" x14ac:dyDescent="0.25">
      <c r="M9861" s="21"/>
    </row>
    <row r="9862" spans="13:13" x14ac:dyDescent="0.25">
      <c r="M9862" s="21"/>
    </row>
    <row r="9863" spans="13:13" x14ac:dyDescent="0.25">
      <c r="M9863" s="21"/>
    </row>
    <row r="9864" spans="13:13" x14ac:dyDescent="0.25">
      <c r="M9864" s="21"/>
    </row>
    <row r="9865" spans="13:13" x14ac:dyDescent="0.25">
      <c r="M9865" s="21"/>
    </row>
    <row r="9866" spans="13:13" x14ac:dyDescent="0.25">
      <c r="M9866" s="21"/>
    </row>
    <row r="9867" spans="13:13" x14ac:dyDescent="0.25">
      <c r="M9867" s="21"/>
    </row>
    <row r="9868" spans="13:13" x14ac:dyDescent="0.25">
      <c r="M9868" s="21"/>
    </row>
    <row r="9869" spans="13:13" x14ac:dyDescent="0.25">
      <c r="M9869" s="21"/>
    </row>
    <row r="9870" spans="13:13" x14ac:dyDescent="0.25">
      <c r="M9870" s="21"/>
    </row>
    <row r="9871" spans="13:13" x14ac:dyDescent="0.25">
      <c r="M9871" s="21"/>
    </row>
    <row r="9872" spans="13:13" x14ac:dyDescent="0.25">
      <c r="M9872" s="21"/>
    </row>
    <row r="9873" spans="13:13" x14ac:dyDescent="0.25">
      <c r="M9873" s="21"/>
    </row>
    <row r="9874" spans="13:13" x14ac:dyDescent="0.25">
      <c r="M9874" s="21"/>
    </row>
    <row r="9875" spans="13:13" x14ac:dyDescent="0.25">
      <c r="M9875" s="21"/>
    </row>
    <row r="9876" spans="13:13" x14ac:dyDescent="0.25">
      <c r="M9876" s="21"/>
    </row>
    <row r="9877" spans="13:13" x14ac:dyDescent="0.25">
      <c r="M9877" s="21"/>
    </row>
    <row r="9878" spans="13:13" x14ac:dyDescent="0.25">
      <c r="M9878" s="21"/>
    </row>
    <row r="9879" spans="13:13" x14ac:dyDescent="0.25">
      <c r="M9879" s="21"/>
    </row>
    <row r="9880" spans="13:13" x14ac:dyDescent="0.25">
      <c r="M9880" s="21"/>
    </row>
    <row r="9881" spans="13:13" x14ac:dyDescent="0.25">
      <c r="M9881" s="21"/>
    </row>
    <row r="9882" spans="13:13" x14ac:dyDescent="0.25">
      <c r="M9882" s="21"/>
    </row>
    <row r="9883" spans="13:13" x14ac:dyDescent="0.25">
      <c r="M9883" s="21"/>
    </row>
    <row r="9884" spans="13:13" x14ac:dyDescent="0.25">
      <c r="M9884" s="21"/>
    </row>
    <row r="9885" spans="13:13" x14ac:dyDescent="0.25">
      <c r="M9885" s="21"/>
    </row>
    <row r="9886" spans="13:13" x14ac:dyDescent="0.25">
      <c r="M9886" s="21"/>
    </row>
    <row r="9887" spans="13:13" x14ac:dyDescent="0.25">
      <c r="M9887" s="21"/>
    </row>
    <row r="9888" spans="13:13" x14ac:dyDescent="0.25">
      <c r="M9888" s="21"/>
    </row>
    <row r="9889" spans="13:13" x14ac:dyDescent="0.25">
      <c r="M9889" s="21"/>
    </row>
    <row r="9890" spans="13:13" x14ac:dyDescent="0.25">
      <c r="M9890" s="21"/>
    </row>
    <row r="9891" spans="13:13" x14ac:dyDescent="0.25">
      <c r="M9891" s="21"/>
    </row>
    <row r="9892" spans="13:13" x14ac:dyDescent="0.25">
      <c r="M9892" s="21"/>
    </row>
    <row r="9893" spans="13:13" x14ac:dyDescent="0.25">
      <c r="M9893" s="21"/>
    </row>
    <row r="9894" spans="13:13" x14ac:dyDescent="0.25">
      <c r="M9894" s="21"/>
    </row>
    <row r="9895" spans="13:13" x14ac:dyDescent="0.25">
      <c r="M9895" s="21"/>
    </row>
    <row r="9896" spans="13:13" x14ac:dyDescent="0.25">
      <c r="M9896" s="21"/>
    </row>
    <row r="9897" spans="13:13" x14ac:dyDescent="0.25">
      <c r="M9897" s="21"/>
    </row>
    <row r="9898" spans="13:13" x14ac:dyDescent="0.25">
      <c r="M9898" s="21"/>
    </row>
    <row r="9899" spans="13:13" x14ac:dyDescent="0.25">
      <c r="M9899" s="21"/>
    </row>
    <row r="9900" spans="13:13" x14ac:dyDescent="0.25">
      <c r="M9900" s="21"/>
    </row>
    <row r="9901" spans="13:13" x14ac:dyDescent="0.25">
      <c r="M9901" s="21"/>
    </row>
    <row r="9902" spans="13:13" x14ac:dyDescent="0.25">
      <c r="M9902" s="21"/>
    </row>
    <row r="9903" spans="13:13" x14ac:dyDescent="0.25">
      <c r="M9903" s="21"/>
    </row>
    <row r="9904" spans="13:13" x14ac:dyDescent="0.25">
      <c r="M9904" s="21"/>
    </row>
    <row r="9905" spans="13:13" x14ac:dyDescent="0.25">
      <c r="M9905" s="21"/>
    </row>
    <row r="9906" spans="13:13" x14ac:dyDescent="0.25">
      <c r="M9906" s="21"/>
    </row>
    <row r="9907" spans="13:13" x14ac:dyDescent="0.25">
      <c r="M9907" s="21"/>
    </row>
    <row r="9908" spans="13:13" x14ac:dyDescent="0.25">
      <c r="M9908" s="21"/>
    </row>
    <row r="9909" spans="13:13" x14ac:dyDescent="0.25">
      <c r="M9909" s="21"/>
    </row>
    <row r="9910" spans="13:13" x14ac:dyDescent="0.25">
      <c r="M9910" s="21"/>
    </row>
    <row r="9911" spans="13:13" x14ac:dyDescent="0.25">
      <c r="M9911" s="21"/>
    </row>
    <row r="9912" spans="13:13" x14ac:dyDescent="0.25">
      <c r="M9912" s="21"/>
    </row>
    <row r="9913" spans="13:13" x14ac:dyDescent="0.25">
      <c r="M9913" s="21"/>
    </row>
    <row r="9914" spans="13:13" x14ac:dyDescent="0.25">
      <c r="M9914" s="21"/>
    </row>
    <row r="9915" spans="13:13" x14ac:dyDescent="0.25">
      <c r="M9915" s="21"/>
    </row>
    <row r="9916" spans="13:13" x14ac:dyDescent="0.25">
      <c r="M9916" s="21"/>
    </row>
    <row r="9917" spans="13:13" x14ac:dyDescent="0.25">
      <c r="M9917" s="21"/>
    </row>
    <row r="9918" spans="13:13" x14ac:dyDescent="0.25">
      <c r="M9918" s="21"/>
    </row>
    <row r="9919" spans="13:13" x14ac:dyDescent="0.25">
      <c r="M9919" s="21"/>
    </row>
    <row r="9920" spans="13:13" x14ac:dyDescent="0.25">
      <c r="M9920" s="21"/>
    </row>
    <row r="9921" spans="13:13" x14ac:dyDescent="0.25">
      <c r="M9921" s="21"/>
    </row>
    <row r="9922" spans="13:13" x14ac:dyDescent="0.25">
      <c r="M9922" s="21"/>
    </row>
    <row r="9923" spans="13:13" x14ac:dyDescent="0.25">
      <c r="M9923" s="21"/>
    </row>
    <row r="9924" spans="13:13" x14ac:dyDescent="0.25">
      <c r="M9924" s="21"/>
    </row>
    <row r="9925" spans="13:13" x14ac:dyDescent="0.25">
      <c r="M9925" s="21"/>
    </row>
    <row r="9926" spans="13:13" x14ac:dyDescent="0.25">
      <c r="M9926" s="21"/>
    </row>
    <row r="9927" spans="13:13" x14ac:dyDescent="0.25">
      <c r="M9927" s="21"/>
    </row>
    <row r="9928" spans="13:13" x14ac:dyDescent="0.25">
      <c r="M9928" s="21"/>
    </row>
    <row r="9929" spans="13:13" x14ac:dyDescent="0.25">
      <c r="M9929" s="21"/>
    </row>
    <row r="9930" spans="13:13" x14ac:dyDescent="0.25">
      <c r="M9930" s="21"/>
    </row>
    <row r="9931" spans="13:13" x14ac:dyDescent="0.25">
      <c r="M9931" s="21"/>
    </row>
    <row r="9932" spans="13:13" x14ac:dyDescent="0.25">
      <c r="M9932" s="21"/>
    </row>
    <row r="9933" spans="13:13" x14ac:dyDescent="0.25">
      <c r="M9933" s="21"/>
    </row>
    <row r="9934" spans="13:13" x14ac:dyDescent="0.25">
      <c r="M9934" s="21"/>
    </row>
    <row r="9935" spans="13:13" x14ac:dyDescent="0.25">
      <c r="M9935" s="21"/>
    </row>
    <row r="9936" spans="13:13" x14ac:dyDescent="0.25">
      <c r="M9936" s="21"/>
    </row>
    <row r="9937" spans="13:13" x14ac:dyDescent="0.25">
      <c r="M9937" s="21"/>
    </row>
    <row r="9938" spans="13:13" x14ac:dyDescent="0.25">
      <c r="M9938" s="21"/>
    </row>
    <row r="9939" spans="13:13" x14ac:dyDescent="0.25">
      <c r="M9939" s="21"/>
    </row>
    <row r="9940" spans="13:13" x14ac:dyDescent="0.25">
      <c r="M9940" s="21"/>
    </row>
    <row r="9941" spans="13:13" x14ac:dyDescent="0.25">
      <c r="M9941" s="21"/>
    </row>
    <row r="9942" spans="13:13" x14ac:dyDescent="0.25">
      <c r="M9942" s="21"/>
    </row>
    <row r="9943" spans="13:13" x14ac:dyDescent="0.25">
      <c r="M9943" s="21"/>
    </row>
    <row r="9944" spans="13:13" x14ac:dyDescent="0.25">
      <c r="M9944" s="21"/>
    </row>
    <row r="9945" spans="13:13" x14ac:dyDescent="0.25">
      <c r="M9945" s="21"/>
    </row>
    <row r="9946" spans="13:13" x14ac:dyDescent="0.25">
      <c r="M9946" s="21"/>
    </row>
    <row r="9947" spans="13:13" x14ac:dyDescent="0.25">
      <c r="M9947" s="21"/>
    </row>
    <row r="9948" spans="13:13" x14ac:dyDescent="0.25">
      <c r="M9948" s="21"/>
    </row>
    <row r="9949" spans="13:13" x14ac:dyDescent="0.25">
      <c r="M9949" s="21"/>
    </row>
    <row r="9950" spans="13:13" x14ac:dyDescent="0.25">
      <c r="M9950" s="21"/>
    </row>
    <row r="9951" spans="13:13" x14ac:dyDescent="0.25">
      <c r="M9951" s="21"/>
    </row>
    <row r="9952" spans="13:13" x14ac:dyDescent="0.25">
      <c r="M9952" s="21"/>
    </row>
    <row r="9953" spans="13:13" x14ac:dyDescent="0.25">
      <c r="M9953" s="21"/>
    </row>
    <row r="9954" spans="13:13" x14ac:dyDescent="0.25">
      <c r="M9954" s="21"/>
    </row>
    <row r="9955" spans="13:13" x14ac:dyDescent="0.25">
      <c r="M9955" s="21"/>
    </row>
    <row r="9956" spans="13:13" x14ac:dyDescent="0.25">
      <c r="M9956" s="21"/>
    </row>
    <row r="9957" spans="13:13" x14ac:dyDescent="0.25">
      <c r="M9957" s="21"/>
    </row>
    <row r="9958" spans="13:13" x14ac:dyDescent="0.25">
      <c r="M9958" s="21"/>
    </row>
    <row r="9959" spans="13:13" x14ac:dyDescent="0.25">
      <c r="M9959" s="21"/>
    </row>
    <row r="9960" spans="13:13" x14ac:dyDescent="0.25">
      <c r="M9960" s="21"/>
    </row>
    <row r="9961" spans="13:13" x14ac:dyDescent="0.25">
      <c r="M9961" s="21"/>
    </row>
    <row r="9962" spans="13:13" x14ac:dyDescent="0.25">
      <c r="M9962" s="21"/>
    </row>
    <row r="9963" spans="13:13" x14ac:dyDescent="0.25">
      <c r="M9963" s="21"/>
    </row>
    <row r="9964" spans="13:13" x14ac:dyDescent="0.25">
      <c r="M9964" s="21"/>
    </row>
    <row r="9965" spans="13:13" x14ac:dyDescent="0.25">
      <c r="M9965" s="21"/>
    </row>
    <row r="9966" spans="13:13" x14ac:dyDescent="0.25">
      <c r="M9966" s="21"/>
    </row>
    <row r="9967" spans="13:13" x14ac:dyDescent="0.25">
      <c r="M9967" s="21"/>
    </row>
    <row r="9968" spans="13:13" x14ac:dyDescent="0.25">
      <c r="M9968" s="21"/>
    </row>
    <row r="9969" spans="13:13" x14ac:dyDescent="0.25">
      <c r="M9969" s="21"/>
    </row>
    <row r="9970" spans="13:13" x14ac:dyDescent="0.25">
      <c r="M9970" s="21"/>
    </row>
    <row r="9971" spans="13:13" x14ac:dyDescent="0.25">
      <c r="M9971" s="21"/>
    </row>
    <row r="9972" spans="13:13" x14ac:dyDescent="0.25">
      <c r="M9972" s="21"/>
    </row>
    <row r="9973" spans="13:13" x14ac:dyDescent="0.25">
      <c r="M9973" s="21"/>
    </row>
    <row r="9974" spans="13:13" x14ac:dyDescent="0.25">
      <c r="M9974" s="21"/>
    </row>
    <row r="9975" spans="13:13" x14ac:dyDescent="0.25">
      <c r="M9975" s="21"/>
    </row>
    <row r="9976" spans="13:13" x14ac:dyDescent="0.25">
      <c r="M9976" s="21"/>
    </row>
    <row r="9977" spans="13:13" x14ac:dyDescent="0.25">
      <c r="M9977" s="21"/>
    </row>
    <row r="9978" spans="13:13" x14ac:dyDescent="0.25">
      <c r="M9978" s="21"/>
    </row>
    <row r="9979" spans="13:13" x14ac:dyDescent="0.25">
      <c r="M9979" s="21"/>
    </row>
    <row r="9980" spans="13:13" x14ac:dyDescent="0.25">
      <c r="M9980" s="21"/>
    </row>
    <row r="9981" spans="13:13" x14ac:dyDescent="0.25">
      <c r="M9981" s="21"/>
    </row>
    <row r="9982" spans="13:13" x14ac:dyDescent="0.25">
      <c r="M9982" s="21"/>
    </row>
    <row r="9983" spans="13:13" x14ac:dyDescent="0.25">
      <c r="M9983" s="21"/>
    </row>
    <row r="9984" spans="13:13" x14ac:dyDescent="0.25">
      <c r="M9984" s="21"/>
    </row>
    <row r="9985" spans="13:13" x14ac:dyDescent="0.25">
      <c r="M9985" s="21"/>
    </row>
    <row r="9986" spans="13:13" x14ac:dyDescent="0.25">
      <c r="M9986" s="21"/>
    </row>
    <row r="9987" spans="13:13" x14ac:dyDescent="0.25">
      <c r="M9987" s="21"/>
    </row>
    <row r="9988" spans="13:13" x14ac:dyDescent="0.25">
      <c r="M9988" s="21"/>
    </row>
    <row r="9989" spans="13:13" x14ac:dyDescent="0.25">
      <c r="M9989" s="21"/>
    </row>
    <row r="9990" spans="13:13" x14ac:dyDescent="0.25">
      <c r="M9990" s="21"/>
    </row>
    <row r="9991" spans="13:13" x14ac:dyDescent="0.25">
      <c r="M9991" s="21"/>
    </row>
    <row r="9992" spans="13:13" x14ac:dyDescent="0.25">
      <c r="M9992" s="21"/>
    </row>
    <row r="9993" spans="13:13" x14ac:dyDescent="0.25">
      <c r="M9993" s="21"/>
    </row>
    <row r="9994" spans="13:13" x14ac:dyDescent="0.25">
      <c r="M9994" s="21"/>
    </row>
    <row r="9995" spans="13:13" x14ac:dyDescent="0.25">
      <c r="M9995" s="21"/>
    </row>
    <row r="9996" spans="13:13" x14ac:dyDescent="0.25">
      <c r="M9996" s="21"/>
    </row>
    <row r="9997" spans="13:13" x14ac:dyDescent="0.25">
      <c r="M9997" s="21"/>
    </row>
    <row r="9998" spans="13:13" x14ac:dyDescent="0.25">
      <c r="M9998" s="21"/>
    </row>
    <row r="9999" spans="13:13" x14ac:dyDescent="0.25">
      <c r="M9999" s="21"/>
    </row>
    <row r="10000" spans="13:13" x14ac:dyDescent="0.25">
      <c r="M10000" s="21"/>
    </row>
    <row r="10001" spans="13:13" x14ac:dyDescent="0.25">
      <c r="M10001" s="21"/>
    </row>
    <row r="10002" spans="13:13" x14ac:dyDescent="0.25">
      <c r="M10002" s="21"/>
    </row>
    <row r="10003" spans="13:13" x14ac:dyDescent="0.25">
      <c r="M10003" s="21"/>
    </row>
    <row r="10004" spans="13:13" x14ac:dyDescent="0.25">
      <c r="M10004" s="2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5BE83-7925-4180-970E-8E2E98306379}">
  <sheetPr codeName="Sheet8"/>
  <dimension ref="B2:O10004"/>
  <sheetViews>
    <sheetView topLeftCell="A4" workbookViewId="0">
      <selection activeCell="L4" sqref="L4"/>
    </sheetView>
  </sheetViews>
  <sheetFormatPr defaultRowHeight="12.5" x14ac:dyDescent="0.25"/>
  <cols>
    <col min="3" max="3" width="9.81640625" customWidth="1"/>
    <col min="5" max="5" width="11.36328125" customWidth="1"/>
    <col min="13" max="13" width="29.453125" customWidth="1"/>
  </cols>
  <sheetData>
    <row r="2" spans="2:15" x14ac:dyDescent="0.25">
      <c r="B2" s="17" t="s">
        <v>28</v>
      </c>
      <c r="C2" s="17" t="s">
        <v>38</v>
      </c>
      <c r="D2" t="s">
        <v>0</v>
      </c>
      <c r="E2" t="s">
        <v>0</v>
      </c>
      <c r="F2" t="s">
        <v>1</v>
      </c>
      <c r="G2" t="s">
        <v>1</v>
      </c>
      <c r="H2" t="s">
        <v>2</v>
      </c>
      <c r="I2" t="s">
        <v>2</v>
      </c>
      <c r="J2" t="s">
        <v>3</v>
      </c>
      <c r="K2" t="s">
        <v>3</v>
      </c>
      <c r="M2" s="16" t="s">
        <v>32</v>
      </c>
    </row>
    <row r="3" spans="2:15" x14ac:dyDescent="0.25">
      <c r="M3" s="22">
        <f>AVERAGE(M5:M10004)</f>
        <v>1.9759666996305381</v>
      </c>
      <c r="N3" s="18" t="s">
        <v>34</v>
      </c>
      <c r="O3" s="19"/>
    </row>
    <row r="4" spans="2:15" x14ac:dyDescent="0.25">
      <c r="C4" t="s">
        <v>4</v>
      </c>
      <c r="D4">
        <f ca="1">RAND()</f>
        <v>0.48885190528007028</v>
      </c>
      <c r="E4" s="19">
        <f ca="1">IF(D4&gt;0.5,1,0)</f>
        <v>0</v>
      </c>
      <c r="F4">
        <f t="shared" ref="F4:J4" ca="1" si="0">RAND()</f>
        <v>0.46276988243746564</v>
      </c>
      <c r="G4" s="19">
        <f ca="1">1-E4</f>
        <v>1</v>
      </c>
      <c r="H4">
        <f ca="1">RAND()</f>
        <v>0.74588926984145798</v>
      </c>
      <c r="I4">
        <f ca="1">IF(H4&gt;0.5,1,0)</f>
        <v>1</v>
      </c>
      <c r="J4">
        <f t="shared" ca="1" si="0"/>
        <v>0.64656620576226387</v>
      </c>
      <c r="K4">
        <f t="shared" ref="K4:K19" ca="1" si="1">IF(J4&gt;0.5,1,0)</f>
        <v>1</v>
      </c>
      <c r="M4" s="21">
        <v>1.2909944487358056</v>
      </c>
    </row>
    <row r="5" spans="2:15" x14ac:dyDescent="0.25">
      <c r="C5" t="s">
        <v>5</v>
      </c>
      <c r="D5">
        <f t="shared" ref="D5:J19" ca="1" si="2">RAND()</f>
        <v>0.34474211284473588</v>
      </c>
      <c r="E5" s="19">
        <f t="shared" ref="E5:G19" ca="1" si="3">IF(D5&gt;0.5,1,0)</f>
        <v>0</v>
      </c>
      <c r="F5">
        <f t="shared" ca="1" si="2"/>
        <v>0.14635060039319026</v>
      </c>
      <c r="G5" s="19">
        <f ca="1">1-E5</f>
        <v>1</v>
      </c>
      <c r="H5">
        <f t="shared" ca="1" si="2"/>
        <v>0.80327258416293268</v>
      </c>
      <c r="I5">
        <f t="shared" ref="I5:I19" ca="1" si="4">IF(H5&gt;0.5,1,0)</f>
        <v>1</v>
      </c>
      <c r="J5">
        <f t="shared" ca="1" si="2"/>
        <v>0.8624249201293408</v>
      </c>
      <c r="K5">
        <f t="shared" ca="1" si="1"/>
        <v>1</v>
      </c>
      <c r="M5" s="21">
        <v>0.81649658092772603</v>
      </c>
    </row>
    <row r="6" spans="2:15" x14ac:dyDescent="0.25">
      <c r="C6" t="s">
        <v>6</v>
      </c>
      <c r="D6">
        <f t="shared" ca="1" si="2"/>
        <v>0.90871287581652893</v>
      </c>
      <c r="E6" s="19">
        <f t="shared" ca="1" si="3"/>
        <v>1</v>
      </c>
      <c r="F6">
        <f t="shared" ca="1" si="2"/>
        <v>0.25448300716467886</v>
      </c>
      <c r="G6">
        <f t="shared" ca="1" si="3"/>
        <v>0</v>
      </c>
      <c r="H6">
        <f t="shared" ca="1" si="2"/>
        <v>0.93306244011040329</v>
      </c>
      <c r="I6" s="19">
        <f ca="1">1-E6</f>
        <v>0</v>
      </c>
      <c r="J6">
        <f t="shared" ca="1" si="2"/>
        <v>0.17918524540980929</v>
      </c>
      <c r="K6">
        <f t="shared" ca="1" si="1"/>
        <v>0</v>
      </c>
      <c r="M6" s="21">
        <v>2.753785273643051</v>
      </c>
    </row>
    <row r="7" spans="2:15" x14ac:dyDescent="0.25">
      <c r="C7" t="s">
        <v>7</v>
      </c>
      <c r="D7">
        <f t="shared" ca="1" si="2"/>
        <v>0.75304085956659594</v>
      </c>
      <c r="E7" s="19">
        <f t="shared" ca="1" si="3"/>
        <v>1</v>
      </c>
      <c r="F7">
        <f t="shared" ca="1" si="2"/>
        <v>0.2940291124875265</v>
      </c>
      <c r="G7">
        <f t="shared" ca="1" si="3"/>
        <v>0</v>
      </c>
      <c r="H7">
        <f t="shared" ca="1" si="2"/>
        <v>0.29194758854311209</v>
      </c>
      <c r="I7" s="19">
        <f ca="1">1-E7</f>
        <v>0</v>
      </c>
      <c r="J7">
        <f t="shared" ca="1" si="2"/>
        <v>0.39712381098349536</v>
      </c>
      <c r="K7">
        <f t="shared" ca="1" si="1"/>
        <v>0</v>
      </c>
      <c r="M7" s="21">
        <v>2.6299556396765835</v>
      </c>
    </row>
    <row r="8" spans="2:15" x14ac:dyDescent="0.25">
      <c r="C8" t="s">
        <v>8</v>
      </c>
      <c r="D8">
        <f t="shared" ca="1" si="2"/>
        <v>0.39257157423629041</v>
      </c>
      <c r="E8" s="19">
        <f t="shared" ca="1" si="3"/>
        <v>0</v>
      </c>
      <c r="F8">
        <f t="shared" ca="1" si="2"/>
        <v>0.76001966593272452</v>
      </c>
      <c r="G8">
        <f t="shared" ca="1" si="3"/>
        <v>1</v>
      </c>
      <c r="H8">
        <f t="shared" ca="1" si="2"/>
        <v>0.79269581164364211</v>
      </c>
      <c r="I8">
        <f t="shared" ca="1" si="4"/>
        <v>1</v>
      </c>
      <c r="J8">
        <f t="shared" ca="1" si="2"/>
        <v>8.9268384008452606E-2</v>
      </c>
      <c r="K8" s="18">
        <f ca="1">1-E8</f>
        <v>1</v>
      </c>
      <c r="M8" s="21">
        <v>2.8867513459481291</v>
      </c>
    </row>
    <row r="9" spans="2:15" x14ac:dyDescent="0.25">
      <c r="C9" t="s">
        <v>9</v>
      </c>
      <c r="D9">
        <f t="shared" ca="1" si="2"/>
        <v>0.11790452064177659</v>
      </c>
      <c r="E9" s="19">
        <f t="shared" ca="1" si="3"/>
        <v>0</v>
      </c>
      <c r="F9">
        <f t="shared" ca="1" si="2"/>
        <v>0.9320738890881124</v>
      </c>
      <c r="G9">
        <f t="shared" ca="1" si="3"/>
        <v>1</v>
      </c>
      <c r="H9">
        <f t="shared" ca="1" si="2"/>
        <v>0.72966059515105997</v>
      </c>
      <c r="I9">
        <f t="shared" ca="1" si="4"/>
        <v>1</v>
      </c>
      <c r="J9">
        <f t="shared" ca="1" si="2"/>
        <v>0.70098736947126472</v>
      </c>
      <c r="K9" s="18">
        <f ca="1">1-E9</f>
        <v>1</v>
      </c>
      <c r="M9" s="21">
        <v>3.4641016151377544</v>
      </c>
    </row>
    <row r="10" spans="2:15" x14ac:dyDescent="0.25">
      <c r="C10" t="s">
        <v>10</v>
      </c>
      <c r="D10">
        <f t="shared" ca="1" si="2"/>
        <v>0.24126707097028532</v>
      </c>
      <c r="E10">
        <f t="shared" ca="1" si="3"/>
        <v>0</v>
      </c>
      <c r="F10">
        <f t="shared" ca="1" si="2"/>
        <v>0.9561977749827002</v>
      </c>
      <c r="G10" s="61">
        <f t="shared" ca="1" si="3"/>
        <v>1</v>
      </c>
      <c r="H10">
        <f t="shared" ca="1" si="2"/>
        <v>0.87223929145392265</v>
      </c>
      <c r="I10" s="61">
        <f ca="1">1-G10</f>
        <v>0</v>
      </c>
      <c r="J10">
        <f t="shared" ca="1" si="2"/>
        <v>0.80846324720716334</v>
      </c>
      <c r="K10">
        <f t="shared" ca="1" si="1"/>
        <v>1</v>
      </c>
      <c r="M10" s="21">
        <v>3.415650255319866</v>
      </c>
    </row>
    <row r="11" spans="2:15" x14ac:dyDescent="0.25">
      <c r="C11" t="s">
        <v>11</v>
      </c>
      <c r="D11">
        <f t="shared" ca="1" si="2"/>
        <v>0.97102390319035448</v>
      </c>
      <c r="E11">
        <f t="shared" ca="1" si="3"/>
        <v>1</v>
      </c>
      <c r="F11">
        <f t="shared" ca="1" si="2"/>
        <v>6.6664412157390829E-2</v>
      </c>
      <c r="G11" s="61">
        <f t="shared" ca="1" si="3"/>
        <v>0</v>
      </c>
      <c r="H11">
        <f t="shared" ca="1" si="2"/>
        <v>0.10862965767309096</v>
      </c>
      <c r="I11" s="61">
        <f ca="1">1-G11</f>
        <v>1</v>
      </c>
      <c r="J11">
        <f t="shared" ca="1" si="2"/>
        <v>9.2312367182301514E-2</v>
      </c>
      <c r="K11">
        <f t="shared" ca="1" si="1"/>
        <v>0</v>
      </c>
      <c r="M11" s="21">
        <v>1.6329931618554521</v>
      </c>
    </row>
    <row r="12" spans="2:15" x14ac:dyDescent="0.25">
      <c r="C12" t="s">
        <v>12</v>
      </c>
      <c r="D12">
        <f t="shared" ca="1" si="2"/>
        <v>0.63942603768347472</v>
      </c>
      <c r="E12">
        <f t="shared" ca="1" si="3"/>
        <v>1</v>
      </c>
      <c r="F12">
        <f t="shared" ca="1" si="2"/>
        <v>0.27601633397697467</v>
      </c>
      <c r="G12" s="61">
        <f t="shared" ca="1" si="3"/>
        <v>0</v>
      </c>
      <c r="H12">
        <f t="shared" ca="1" si="2"/>
        <v>0.23790975766569222</v>
      </c>
      <c r="I12">
        <f t="shared" ca="1" si="4"/>
        <v>0</v>
      </c>
      <c r="J12">
        <f t="shared" ca="1" si="2"/>
        <v>0.96951055475529058</v>
      </c>
      <c r="K12" s="61">
        <f ca="1">1-G12</f>
        <v>1</v>
      </c>
      <c r="M12" s="21">
        <v>0.9574271077563381</v>
      </c>
    </row>
    <row r="13" spans="2:15" x14ac:dyDescent="0.25">
      <c r="C13" t="s">
        <v>13</v>
      </c>
      <c r="D13">
        <f t="shared" ca="1" si="2"/>
        <v>0.17659968115802671</v>
      </c>
      <c r="E13">
        <f t="shared" ca="1" si="3"/>
        <v>0</v>
      </c>
      <c r="F13">
        <f t="shared" ca="1" si="2"/>
        <v>0.78854215623297186</v>
      </c>
      <c r="G13" s="61">
        <f t="shared" ca="1" si="3"/>
        <v>1</v>
      </c>
      <c r="H13">
        <f t="shared" ca="1" si="2"/>
        <v>9.2437180570015265E-4</v>
      </c>
      <c r="I13">
        <f t="shared" ca="1" si="4"/>
        <v>0</v>
      </c>
      <c r="J13">
        <f t="shared" ca="1" si="2"/>
        <v>0.53932129173685839</v>
      </c>
      <c r="K13" s="61">
        <f ca="1">1-G13</f>
        <v>0</v>
      </c>
      <c r="M13" s="21">
        <v>2.3629078131263039</v>
      </c>
    </row>
    <row r="14" spans="2:15" x14ac:dyDescent="0.25">
      <c r="C14" t="s">
        <v>14</v>
      </c>
      <c r="D14">
        <f t="shared" ca="1" si="2"/>
        <v>0.35520539271817109</v>
      </c>
      <c r="E14">
        <f t="shared" ca="1" si="3"/>
        <v>0</v>
      </c>
      <c r="F14">
        <f t="shared" ca="1" si="2"/>
        <v>0.59164157297772058</v>
      </c>
      <c r="G14">
        <f t="shared" ca="1" si="3"/>
        <v>1</v>
      </c>
      <c r="H14">
        <f t="shared" ca="1" si="2"/>
        <v>0.76935783133764546</v>
      </c>
      <c r="I14" s="1">
        <f t="shared" ca="1" si="4"/>
        <v>1</v>
      </c>
      <c r="J14">
        <f t="shared" ca="1" si="2"/>
        <v>7.6213289223332481E-3</v>
      </c>
      <c r="K14" s="1">
        <f ca="1">1-I14</f>
        <v>0</v>
      </c>
      <c r="M14" s="21">
        <v>1.5</v>
      </c>
    </row>
    <row r="15" spans="2:15" x14ac:dyDescent="0.25">
      <c r="C15" t="s">
        <v>15</v>
      </c>
      <c r="D15">
        <f t="shared" ca="1" si="2"/>
        <v>0.83093072342294905</v>
      </c>
      <c r="E15">
        <f t="shared" ca="1" si="3"/>
        <v>1</v>
      </c>
      <c r="F15">
        <f t="shared" ca="1" si="2"/>
        <v>0.45579499933732959</v>
      </c>
      <c r="G15">
        <f t="shared" ca="1" si="3"/>
        <v>0</v>
      </c>
      <c r="H15">
        <f t="shared" ca="1" si="2"/>
        <v>0.83803376702640853</v>
      </c>
      <c r="I15" s="1">
        <f t="shared" ca="1" si="4"/>
        <v>1</v>
      </c>
      <c r="J15">
        <f t="shared" ca="1" si="2"/>
        <v>0.63041420048546959</v>
      </c>
      <c r="K15" s="1">
        <f ca="1">1-I15</f>
        <v>0</v>
      </c>
      <c r="M15" s="21">
        <v>1.2583057392117916</v>
      </c>
    </row>
    <row r="16" spans="2:15" x14ac:dyDescent="0.25">
      <c r="C16" t="s">
        <v>16</v>
      </c>
      <c r="D16">
        <f t="shared" ca="1" si="2"/>
        <v>0.44055791443086789</v>
      </c>
      <c r="E16">
        <f t="shared" ca="1" si="3"/>
        <v>0</v>
      </c>
      <c r="F16">
        <f t="shared" ca="1" si="2"/>
        <v>0.50372532023903283</v>
      </c>
      <c r="G16">
        <f t="shared" ca="1" si="3"/>
        <v>1</v>
      </c>
      <c r="H16">
        <f t="shared" ca="1" si="2"/>
        <v>0.38205718305780234</v>
      </c>
      <c r="I16">
        <f t="shared" ca="1" si="4"/>
        <v>0</v>
      </c>
      <c r="J16">
        <f t="shared" ca="1" si="2"/>
        <v>0.82618008582092251</v>
      </c>
      <c r="K16">
        <f t="shared" ca="1" si="1"/>
        <v>1</v>
      </c>
      <c r="M16" s="21">
        <v>1.707825127659933</v>
      </c>
    </row>
    <row r="17" spans="2:13" x14ac:dyDescent="0.25">
      <c r="C17" t="s">
        <v>17</v>
      </c>
      <c r="D17">
        <f t="shared" ca="1" si="2"/>
        <v>0.97068632039933989</v>
      </c>
      <c r="E17">
        <f t="shared" ca="1" si="3"/>
        <v>1</v>
      </c>
      <c r="F17">
        <f t="shared" ca="1" si="2"/>
        <v>0.99978849813926352</v>
      </c>
      <c r="G17">
        <f t="shared" ca="1" si="3"/>
        <v>1</v>
      </c>
      <c r="H17">
        <f t="shared" ca="1" si="2"/>
        <v>0.174567959648257</v>
      </c>
      <c r="I17">
        <f t="shared" ca="1" si="4"/>
        <v>0</v>
      </c>
      <c r="J17">
        <f t="shared" ca="1" si="2"/>
        <v>0.81868787786610497</v>
      </c>
      <c r="K17">
        <f t="shared" ca="1" si="1"/>
        <v>1</v>
      </c>
      <c r="M17" s="21">
        <v>2.2173557826083452</v>
      </c>
    </row>
    <row r="18" spans="2:13" x14ac:dyDescent="0.25">
      <c r="C18" t="s">
        <v>18</v>
      </c>
      <c r="D18">
        <f t="shared" ca="1" si="2"/>
        <v>0.10807923400521768</v>
      </c>
      <c r="E18">
        <f t="shared" ca="1" si="3"/>
        <v>0</v>
      </c>
      <c r="F18">
        <f t="shared" ca="1" si="2"/>
        <v>0.43230642068370917</v>
      </c>
      <c r="G18">
        <f t="shared" ca="1" si="3"/>
        <v>0</v>
      </c>
      <c r="H18">
        <f t="shared" ca="1" si="2"/>
        <v>0.51114847009764286</v>
      </c>
      <c r="I18">
        <f t="shared" ca="1" si="4"/>
        <v>1</v>
      </c>
      <c r="J18">
        <f t="shared" ca="1" si="2"/>
        <v>0.91621146465183478</v>
      </c>
      <c r="K18">
        <f t="shared" ca="1" si="1"/>
        <v>1</v>
      </c>
      <c r="M18" s="21">
        <v>2.0615528128088303</v>
      </c>
    </row>
    <row r="19" spans="2:13" x14ac:dyDescent="0.25">
      <c r="C19" t="s">
        <v>19</v>
      </c>
      <c r="D19">
        <f t="shared" ca="1" si="2"/>
        <v>6.6581776361735456E-2</v>
      </c>
      <c r="E19">
        <f t="shared" ca="1" si="3"/>
        <v>0</v>
      </c>
      <c r="F19">
        <f t="shared" ca="1" si="2"/>
        <v>0.39938792115224453</v>
      </c>
      <c r="G19">
        <f t="shared" ca="1" si="3"/>
        <v>0</v>
      </c>
      <c r="H19">
        <f t="shared" ca="1" si="2"/>
        <v>0.77869461790811101</v>
      </c>
      <c r="I19">
        <f t="shared" ca="1" si="4"/>
        <v>1</v>
      </c>
      <c r="J19">
        <f t="shared" ca="1" si="2"/>
        <v>0.81927403605091365</v>
      </c>
      <c r="K19">
        <f t="shared" ca="1" si="1"/>
        <v>1</v>
      </c>
      <c r="M19" s="21">
        <v>3.3665016461206929</v>
      </c>
    </row>
    <row r="20" spans="2:13" x14ac:dyDescent="0.25">
      <c r="L20" s="18" t="s">
        <v>33</v>
      </c>
      <c r="M20" s="21">
        <v>1.2909944487358056</v>
      </c>
    </row>
    <row r="21" spans="2:13" x14ac:dyDescent="0.25">
      <c r="D21" s="1"/>
      <c r="E21" s="1">
        <f ca="1">SUM(E4:E19)</f>
        <v>6</v>
      </c>
      <c r="F21" s="1"/>
      <c r="G21" s="1">
        <f ca="1">SUM(G4:G19)</f>
        <v>9</v>
      </c>
      <c r="H21" s="1"/>
      <c r="I21" s="1">
        <f ca="1">SUM(I4:I19)</f>
        <v>9</v>
      </c>
      <c r="J21" s="1"/>
      <c r="K21" s="1">
        <f ca="1">SUM(K4:K19)</f>
        <v>10</v>
      </c>
      <c r="L21" s="23">
        <f ca="1">STDEV(E21:K21)</f>
        <v>1.7320508075688772</v>
      </c>
      <c r="M21" s="21">
        <v>1</v>
      </c>
    </row>
    <row r="22" spans="2:13" x14ac:dyDescent="0.25">
      <c r="K22" s="16" t="s">
        <v>37</v>
      </c>
      <c r="M22" s="21">
        <v>1.707825127659933</v>
      </c>
    </row>
    <row r="23" spans="2:13" ht="13" thickBot="1" x14ac:dyDescent="0.3">
      <c r="K23" s="16" t="s">
        <v>36</v>
      </c>
      <c r="M23" s="21">
        <v>1.2583057392117916</v>
      </c>
    </row>
    <row r="24" spans="2:13" x14ac:dyDescent="0.25">
      <c r="B24" s="17" t="s">
        <v>27</v>
      </c>
      <c r="C24" s="24" t="s">
        <v>20</v>
      </c>
      <c r="D24" s="2"/>
      <c r="E24" s="3"/>
      <c r="K24" s="16" t="s">
        <v>110</v>
      </c>
      <c r="M24" s="21">
        <v>3.7749172176353749</v>
      </c>
    </row>
    <row r="25" spans="2:13" x14ac:dyDescent="0.25">
      <c r="C25" s="4"/>
      <c r="D25" s="5" t="s">
        <v>158</v>
      </c>
      <c r="E25" s="6" t="s">
        <v>22</v>
      </c>
      <c r="F25" s="16" t="s">
        <v>35</v>
      </c>
      <c r="M25" s="21">
        <v>0.5</v>
      </c>
    </row>
    <row r="26" spans="2:13" ht="13" thickBot="1" x14ac:dyDescent="0.3">
      <c r="C26" s="4" t="s">
        <v>157</v>
      </c>
      <c r="D26" s="14">
        <v>12</v>
      </c>
      <c r="E26" s="15">
        <v>8</v>
      </c>
      <c r="F26">
        <f>(D26-E26)^2</f>
        <v>16</v>
      </c>
      <c r="I26" s="16"/>
      <c r="M26" s="21">
        <v>2.8867513459481291</v>
      </c>
    </row>
    <row r="27" spans="2:13" ht="13" thickBot="1" x14ac:dyDescent="0.3">
      <c r="C27" s="4" t="s">
        <v>149</v>
      </c>
      <c r="D27" s="14">
        <v>11</v>
      </c>
      <c r="E27" s="15">
        <v>8</v>
      </c>
      <c r="F27">
        <f t="shared" ref="F27:F29" si="5">(D27-E27)^2</f>
        <v>9</v>
      </c>
      <c r="M27" s="21">
        <v>1.2909944487358056</v>
      </c>
    </row>
    <row r="28" spans="2:13" ht="13" thickBot="1" x14ac:dyDescent="0.3">
      <c r="C28" s="4" t="s">
        <v>150</v>
      </c>
      <c r="D28" s="14">
        <v>11</v>
      </c>
      <c r="E28" s="15">
        <v>8</v>
      </c>
      <c r="F28">
        <f t="shared" si="5"/>
        <v>9</v>
      </c>
      <c r="M28" s="21">
        <v>0.9574271077563381</v>
      </c>
    </row>
    <row r="29" spans="2:13" ht="13" thickBot="1" x14ac:dyDescent="0.3">
      <c r="C29" s="4" t="s">
        <v>151</v>
      </c>
      <c r="D29" s="14">
        <v>4</v>
      </c>
      <c r="E29" s="15">
        <v>8</v>
      </c>
      <c r="F29">
        <f t="shared" si="5"/>
        <v>16</v>
      </c>
      <c r="I29" s="25"/>
      <c r="M29" s="21">
        <v>1.4142135623730951</v>
      </c>
    </row>
    <row r="30" spans="2:13" x14ac:dyDescent="0.25">
      <c r="C30" s="4"/>
      <c r="D30" s="5"/>
      <c r="E30" s="6"/>
      <c r="M30" s="21">
        <v>2.0816659994661326</v>
      </c>
    </row>
    <row r="31" spans="2:13" ht="13" thickBot="1" x14ac:dyDescent="0.3">
      <c r="C31" s="7"/>
      <c r="D31" s="8"/>
      <c r="E31" s="9"/>
      <c r="F31">
        <f>SUM(F26:F29)/8</f>
        <v>6.25</v>
      </c>
      <c r="M31" s="21">
        <v>2.0615528128088303</v>
      </c>
    </row>
    <row r="32" spans="2:13" x14ac:dyDescent="0.25">
      <c r="E32" s="18" t="s">
        <v>30</v>
      </c>
      <c r="F32" s="19">
        <f>CHIDIST(F31,3)</f>
        <v>0.10006083311939495</v>
      </c>
      <c r="G32" s="16" t="s">
        <v>31</v>
      </c>
      <c r="M32" s="21">
        <v>3.7749172176353749</v>
      </c>
    </row>
    <row r="33" spans="5:13" x14ac:dyDescent="0.25">
      <c r="M33" s="21">
        <v>2.5</v>
      </c>
    </row>
    <row r="34" spans="5:13" x14ac:dyDescent="0.25">
      <c r="E34" s="18" t="s">
        <v>29</v>
      </c>
      <c r="F34" s="19">
        <f>CHITEST(D26:D29,E26:E29)</f>
        <v>0.10006083311939495</v>
      </c>
      <c r="M34" s="21">
        <v>0.9574271077563381</v>
      </c>
    </row>
    <row r="35" spans="5:13" x14ac:dyDescent="0.25">
      <c r="M35" s="21">
        <v>1.6329931618554521</v>
      </c>
    </row>
    <row r="36" spans="5:13" x14ac:dyDescent="0.25">
      <c r="M36" s="21">
        <v>2.1602468994692869</v>
      </c>
    </row>
    <row r="37" spans="5:13" x14ac:dyDescent="0.25">
      <c r="M37" s="21">
        <v>1.5</v>
      </c>
    </row>
    <row r="38" spans="5:13" x14ac:dyDescent="0.25">
      <c r="M38" s="21">
        <v>2.2173557826083452</v>
      </c>
    </row>
    <row r="39" spans="5:13" x14ac:dyDescent="0.25">
      <c r="M39" s="21">
        <v>1.2909944487358056</v>
      </c>
    </row>
    <row r="40" spans="5:13" x14ac:dyDescent="0.25">
      <c r="M40" s="21">
        <v>2.2173557826083452</v>
      </c>
    </row>
    <row r="41" spans="5:13" x14ac:dyDescent="0.25">
      <c r="M41" s="21">
        <v>1.7320508075688772</v>
      </c>
    </row>
    <row r="42" spans="5:13" x14ac:dyDescent="0.25">
      <c r="M42" s="21">
        <v>2.8722813232690143</v>
      </c>
    </row>
    <row r="43" spans="5:13" x14ac:dyDescent="0.25">
      <c r="M43" s="21">
        <v>0.9574271077563381</v>
      </c>
    </row>
    <row r="44" spans="5:13" x14ac:dyDescent="0.25">
      <c r="M44" s="21">
        <v>2.0816659994661326</v>
      </c>
    </row>
    <row r="45" spans="5:13" x14ac:dyDescent="0.25">
      <c r="M45" s="21">
        <v>1</v>
      </c>
    </row>
    <row r="46" spans="5:13" x14ac:dyDescent="0.25">
      <c r="M46" s="21">
        <v>2.5819888974716112</v>
      </c>
    </row>
    <row r="47" spans="5:13" x14ac:dyDescent="0.25">
      <c r="M47" s="21">
        <v>2.8284271247461903</v>
      </c>
    </row>
    <row r="48" spans="5:13" x14ac:dyDescent="0.25">
      <c r="M48" s="21">
        <v>3.3040379335998349</v>
      </c>
    </row>
    <row r="49" spans="13:13" x14ac:dyDescent="0.25">
      <c r="M49" s="21">
        <v>3.3040379335998349</v>
      </c>
    </row>
    <row r="50" spans="13:13" x14ac:dyDescent="0.25">
      <c r="M50" s="21">
        <v>2.2173557826083452</v>
      </c>
    </row>
    <row r="51" spans="13:13" x14ac:dyDescent="0.25">
      <c r="M51" s="21">
        <v>2.0816659994661326</v>
      </c>
    </row>
    <row r="52" spans="13:13" x14ac:dyDescent="0.25">
      <c r="M52" s="21">
        <v>1.8257418583505538</v>
      </c>
    </row>
    <row r="53" spans="13:13" x14ac:dyDescent="0.25">
      <c r="M53" s="21">
        <v>1.707825127659933</v>
      </c>
    </row>
    <row r="54" spans="13:13" x14ac:dyDescent="0.25">
      <c r="M54" s="21">
        <v>1.707825127659933</v>
      </c>
    </row>
    <row r="55" spans="13:13" x14ac:dyDescent="0.25">
      <c r="M55" s="21">
        <v>2.2173557826083452</v>
      </c>
    </row>
    <row r="56" spans="13:13" x14ac:dyDescent="0.25">
      <c r="M56" s="21">
        <v>2.70801280154532</v>
      </c>
    </row>
    <row r="57" spans="13:13" x14ac:dyDescent="0.25">
      <c r="M57" s="21">
        <v>1.2583057392117916</v>
      </c>
    </row>
    <row r="58" spans="13:13" x14ac:dyDescent="0.25">
      <c r="M58" s="21">
        <v>1.7320508075688772</v>
      </c>
    </row>
    <row r="59" spans="13:13" x14ac:dyDescent="0.25">
      <c r="M59" s="21">
        <v>2.3804761428476167</v>
      </c>
    </row>
    <row r="60" spans="13:13" x14ac:dyDescent="0.25">
      <c r="M60" s="21">
        <v>1.5</v>
      </c>
    </row>
    <row r="61" spans="13:13" x14ac:dyDescent="0.25">
      <c r="M61" s="21">
        <v>2.6457513110645907</v>
      </c>
    </row>
    <row r="62" spans="13:13" x14ac:dyDescent="0.25">
      <c r="M62" s="21">
        <v>2</v>
      </c>
    </row>
    <row r="63" spans="13:13" x14ac:dyDescent="0.25">
      <c r="M63" s="21">
        <v>2.2173557826083452</v>
      </c>
    </row>
    <row r="64" spans="13:13" x14ac:dyDescent="0.25">
      <c r="M64" s="21">
        <v>1.2909944487358056</v>
      </c>
    </row>
    <row r="65" spans="13:13" x14ac:dyDescent="0.25">
      <c r="M65" s="21">
        <v>1.707825127659933</v>
      </c>
    </row>
    <row r="66" spans="13:13" x14ac:dyDescent="0.25">
      <c r="M66" s="21">
        <v>0.5</v>
      </c>
    </row>
    <row r="67" spans="13:13" x14ac:dyDescent="0.25">
      <c r="M67" s="21">
        <v>2.0615528128088303</v>
      </c>
    </row>
    <row r="68" spans="13:13" x14ac:dyDescent="0.25">
      <c r="M68" s="21">
        <v>1.707825127659933</v>
      </c>
    </row>
    <row r="69" spans="13:13" x14ac:dyDescent="0.25">
      <c r="M69" s="21">
        <v>1.8257418583505538</v>
      </c>
    </row>
    <row r="70" spans="13:13" x14ac:dyDescent="0.25">
      <c r="M70" s="21">
        <v>1.707825127659933</v>
      </c>
    </row>
    <row r="71" spans="13:13" x14ac:dyDescent="0.25">
      <c r="M71" s="21">
        <v>1</v>
      </c>
    </row>
    <row r="72" spans="13:13" x14ac:dyDescent="0.25">
      <c r="M72" s="21">
        <v>2.5</v>
      </c>
    </row>
    <row r="73" spans="13:13" x14ac:dyDescent="0.25">
      <c r="M73" s="21">
        <v>1.6329931618554521</v>
      </c>
    </row>
    <row r="74" spans="13:13" x14ac:dyDescent="0.25">
      <c r="M74" s="21">
        <v>0.57735026918962573</v>
      </c>
    </row>
    <row r="75" spans="13:13" x14ac:dyDescent="0.25">
      <c r="M75" s="21">
        <v>1.2909944487358056</v>
      </c>
    </row>
    <row r="76" spans="13:13" x14ac:dyDescent="0.25">
      <c r="M76" s="21">
        <v>1.2583057392117916</v>
      </c>
    </row>
    <row r="77" spans="13:13" x14ac:dyDescent="0.25">
      <c r="M77" s="21">
        <v>2.4494897427831779</v>
      </c>
    </row>
    <row r="78" spans="13:13" x14ac:dyDescent="0.25">
      <c r="M78" s="21">
        <v>1.8257418583505538</v>
      </c>
    </row>
    <row r="79" spans="13:13" x14ac:dyDescent="0.25">
      <c r="M79" s="21">
        <v>3.2015621187164243</v>
      </c>
    </row>
    <row r="80" spans="13:13" x14ac:dyDescent="0.25">
      <c r="M80" s="21">
        <v>1.707825127659933</v>
      </c>
    </row>
    <row r="81" spans="13:13" x14ac:dyDescent="0.25">
      <c r="M81" s="21">
        <v>2.2173557826083452</v>
      </c>
    </row>
    <row r="82" spans="13:13" x14ac:dyDescent="0.25">
      <c r="M82" s="21">
        <v>1.2909944487358056</v>
      </c>
    </row>
    <row r="83" spans="13:13" x14ac:dyDescent="0.25">
      <c r="M83" s="21">
        <v>1.707825127659933</v>
      </c>
    </row>
    <row r="84" spans="13:13" x14ac:dyDescent="0.25">
      <c r="M84" s="21">
        <v>2.1602468994692869</v>
      </c>
    </row>
    <row r="85" spans="13:13" x14ac:dyDescent="0.25">
      <c r="M85" s="21">
        <v>2.6299556396765835</v>
      </c>
    </row>
    <row r="86" spans="13:13" x14ac:dyDescent="0.25">
      <c r="M86" s="21">
        <v>3.0956959368344519</v>
      </c>
    </row>
    <row r="87" spans="13:13" x14ac:dyDescent="0.25">
      <c r="M87" s="21">
        <v>1.9148542155126762</v>
      </c>
    </row>
    <row r="88" spans="13:13" x14ac:dyDescent="0.25">
      <c r="M88" s="21">
        <v>1.5</v>
      </c>
    </row>
    <row r="89" spans="13:13" x14ac:dyDescent="0.25">
      <c r="M89" s="21">
        <v>1.707825127659933</v>
      </c>
    </row>
    <row r="90" spans="13:13" x14ac:dyDescent="0.25">
      <c r="M90" s="21">
        <v>1.1547005383792515</v>
      </c>
    </row>
    <row r="91" spans="13:13" x14ac:dyDescent="0.25">
      <c r="M91" s="21">
        <v>2.9860788111948193</v>
      </c>
    </row>
    <row r="92" spans="13:13" x14ac:dyDescent="0.25">
      <c r="M92" s="21">
        <v>3.1622776601683795</v>
      </c>
    </row>
    <row r="93" spans="13:13" x14ac:dyDescent="0.25">
      <c r="M93" s="21">
        <v>1.8929694486000912</v>
      </c>
    </row>
    <row r="94" spans="13:13" x14ac:dyDescent="0.25">
      <c r="M94" s="21">
        <v>0.9574271077563381</v>
      </c>
    </row>
    <row r="95" spans="13:13" x14ac:dyDescent="0.25">
      <c r="M95" s="21">
        <v>0.9574271077563381</v>
      </c>
    </row>
    <row r="96" spans="13:13" x14ac:dyDescent="0.25">
      <c r="M96" s="21">
        <v>1.7320508075688772</v>
      </c>
    </row>
    <row r="97" spans="13:13" x14ac:dyDescent="0.25">
      <c r="M97" s="21">
        <v>2.3804761428476167</v>
      </c>
    </row>
    <row r="98" spans="13:13" x14ac:dyDescent="0.25">
      <c r="M98" s="21">
        <v>2.3804761428476167</v>
      </c>
    </row>
    <row r="99" spans="13:13" x14ac:dyDescent="0.25">
      <c r="M99" s="21">
        <v>1.8257418583505538</v>
      </c>
    </row>
    <row r="100" spans="13:13" x14ac:dyDescent="0.25">
      <c r="M100" s="21">
        <v>3.2015621187164243</v>
      </c>
    </row>
    <row r="101" spans="13:13" x14ac:dyDescent="0.25">
      <c r="M101" s="21">
        <v>2.3629078131263039</v>
      </c>
    </row>
    <row r="102" spans="13:13" x14ac:dyDescent="0.25">
      <c r="M102" s="21">
        <v>2.0816659994661326</v>
      </c>
    </row>
    <row r="103" spans="13:13" x14ac:dyDescent="0.25">
      <c r="M103" s="21">
        <v>2.5</v>
      </c>
    </row>
    <row r="104" spans="13:13" x14ac:dyDescent="0.25">
      <c r="M104" s="21">
        <v>2.0816659994661326</v>
      </c>
    </row>
    <row r="105" spans="13:13" x14ac:dyDescent="0.25">
      <c r="M105" s="21">
        <v>1.8929694486000912</v>
      </c>
    </row>
    <row r="106" spans="13:13" x14ac:dyDescent="0.25">
      <c r="M106" s="21">
        <v>2.3629078131263039</v>
      </c>
    </row>
    <row r="107" spans="13:13" x14ac:dyDescent="0.25">
      <c r="M107" s="21">
        <v>1.8257418583505538</v>
      </c>
    </row>
    <row r="108" spans="13:13" x14ac:dyDescent="0.25">
      <c r="M108" s="21">
        <v>1.5</v>
      </c>
    </row>
    <row r="109" spans="13:13" x14ac:dyDescent="0.25">
      <c r="M109" s="21">
        <v>1.6329931618554521</v>
      </c>
    </row>
    <row r="110" spans="13:13" x14ac:dyDescent="0.25">
      <c r="M110" s="21">
        <v>1.6329931618554521</v>
      </c>
    </row>
    <row r="111" spans="13:13" x14ac:dyDescent="0.25">
      <c r="M111" s="21">
        <v>2.5166114784235831</v>
      </c>
    </row>
    <row r="112" spans="13:13" x14ac:dyDescent="0.25">
      <c r="M112" s="21">
        <v>1.4142135623730951</v>
      </c>
    </row>
    <row r="113" spans="13:13" x14ac:dyDescent="0.25">
      <c r="M113" s="21">
        <v>2.1602468994692869</v>
      </c>
    </row>
    <row r="114" spans="13:13" x14ac:dyDescent="0.25">
      <c r="M114" s="21">
        <v>2.6457513110645907</v>
      </c>
    </row>
    <row r="115" spans="13:13" x14ac:dyDescent="0.25">
      <c r="M115" s="21">
        <v>1.2583057392117916</v>
      </c>
    </row>
    <row r="116" spans="13:13" x14ac:dyDescent="0.25">
      <c r="M116" s="21">
        <v>1.5</v>
      </c>
    </row>
    <row r="117" spans="13:13" x14ac:dyDescent="0.25">
      <c r="M117" s="21">
        <v>1.7320508075688772</v>
      </c>
    </row>
    <row r="118" spans="13:13" x14ac:dyDescent="0.25">
      <c r="M118" s="21">
        <v>1.8929694486000912</v>
      </c>
    </row>
    <row r="119" spans="13:13" x14ac:dyDescent="0.25">
      <c r="M119" s="21">
        <v>2.5819888974716112</v>
      </c>
    </row>
    <row r="120" spans="13:13" x14ac:dyDescent="0.25">
      <c r="M120" s="21">
        <v>1.7320508075688772</v>
      </c>
    </row>
    <row r="121" spans="13:13" x14ac:dyDescent="0.25">
      <c r="M121" s="21">
        <v>2.6299556396765835</v>
      </c>
    </row>
    <row r="122" spans="13:13" x14ac:dyDescent="0.25">
      <c r="M122" s="21">
        <v>1.707825127659933</v>
      </c>
    </row>
    <row r="123" spans="13:13" x14ac:dyDescent="0.25">
      <c r="M123" s="21">
        <v>2.0615528128088303</v>
      </c>
    </row>
    <row r="124" spans="13:13" x14ac:dyDescent="0.25">
      <c r="M124" s="21">
        <v>1.7320508075688772</v>
      </c>
    </row>
    <row r="125" spans="13:13" x14ac:dyDescent="0.25">
      <c r="M125" s="21">
        <v>2.0615528128088303</v>
      </c>
    </row>
    <row r="126" spans="13:13" x14ac:dyDescent="0.25">
      <c r="M126" s="21">
        <v>3.2015621187164243</v>
      </c>
    </row>
    <row r="127" spans="13:13" x14ac:dyDescent="0.25">
      <c r="M127" s="21">
        <v>2.2173557826083452</v>
      </c>
    </row>
    <row r="128" spans="13:13" x14ac:dyDescent="0.25">
      <c r="M128" s="21">
        <v>0.81649658092772603</v>
      </c>
    </row>
    <row r="129" spans="13:13" x14ac:dyDescent="0.25">
      <c r="M129" s="21">
        <v>1.9148542155126762</v>
      </c>
    </row>
    <row r="130" spans="13:13" x14ac:dyDescent="0.25">
      <c r="M130" s="21">
        <v>2.2173557826083452</v>
      </c>
    </row>
    <row r="131" spans="13:13" x14ac:dyDescent="0.25">
      <c r="M131" s="21">
        <v>1.8257418583505538</v>
      </c>
    </row>
    <row r="132" spans="13:13" x14ac:dyDescent="0.25">
      <c r="M132" s="21">
        <v>2.2173557826083452</v>
      </c>
    </row>
    <row r="133" spans="13:13" x14ac:dyDescent="0.25">
      <c r="M133" s="21">
        <v>2.1602468994692869</v>
      </c>
    </row>
    <row r="134" spans="13:13" x14ac:dyDescent="0.25">
      <c r="M134" s="21">
        <v>1.8257418583505538</v>
      </c>
    </row>
    <row r="135" spans="13:13" x14ac:dyDescent="0.25">
      <c r="M135" s="21">
        <v>0.9574271077563381</v>
      </c>
    </row>
    <row r="136" spans="13:13" x14ac:dyDescent="0.25">
      <c r="M136" s="21">
        <v>3.3665016461206929</v>
      </c>
    </row>
    <row r="137" spans="13:13" x14ac:dyDescent="0.25">
      <c r="M137" s="21">
        <v>1.5</v>
      </c>
    </row>
    <row r="138" spans="13:13" x14ac:dyDescent="0.25">
      <c r="M138" s="21">
        <v>1.7320508075688772</v>
      </c>
    </row>
    <row r="139" spans="13:13" x14ac:dyDescent="0.25">
      <c r="M139" s="21">
        <v>3.5</v>
      </c>
    </row>
    <row r="140" spans="13:13" x14ac:dyDescent="0.25">
      <c r="M140" s="21">
        <v>2.6457513110645907</v>
      </c>
    </row>
    <row r="141" spans="13:13" x14ac:dyDescent="0.25">
      <c r="M141" s="21">
        <v>3.3040379335998349</v>
      </c>
    </row>
    <row r="142" spans="13:13" x14ac:dyDescent="0.25">
      <c r="M142" s="21">
        <v>1.707825127659933</v>
      </c>
    </row>
    <row r="143" spans="13:13" x14ac:dyDescent="0.25">
      <c r="M143" s="21">
        <v>0.9574271077563381</v>
      </c>
    </row>
    <row r="144" spans="13:13" x14ac:dyDescent="0.25">
      <c r="M144" s="21">
        <v>2.0615528128088303</v>
      </c>
    </row>
    <row r="145" spans="13:13" x14ac:dyDescent="0.25">
      <c r="M145" s="21">
        <v>1.8257418583505538</v>
      </c>
    </row>
    <row r="146" spans="13:13" x14ac:dyDescent="0.25">
      <c r="M146" s="21">
        <v>1.7320508075688772</v>
      </c>
    </row>
    <row r="147" spans="13:13" x14ac:dyDescent="0.25">
      <c r="M147" s="21">
        <v>2.1602468994692869</v>
      </c>
    </row>
    <row r="148" spans="13:13" x14ac:dyDescent="0.25">
      <c r="M148" s="21">
        <v>3.3040379335998349</v>
      </c>
    </row>
    <row r="149" spans="13:13" x14ac:dyDescent="0.25">
      <c r="M149" s="21">
        <v>2.9860788111948193</v>
      </c>
    </row>
    <row r="150" spans="13:13" x14ac:dyDescent="0.25">
      <c r="M150" s="21">
        <v>1.7320508075688772</v>
      </c>
    </row>
    <row r="151" spans="13:13" x14ac:dyDescent="0.25">
      <c r="M151" s="21">
        <v>2.0615528128088303</v>
      </c>
    </row>
    <row r="152" spans="13:13" x14ac:dyDescent="0.25">
      <c r="M152" s="21">
        <v>2.0615528128088303</v>
      </c>
    </row>
    <row r="153" spans="13:13" x14ac:dyDescent="0.25">
      <c r="M153" s="21">
        <v>4.1129875597510219</v>
      </c>
    </row>
    <row r="154" spans="13:13" x14ac:dyDescent="0.25">
      <c r="M154" s="21">
        <v>2.2173557826083452</v>
      </c>
    </row>
    <row r="155" spans="13:13" x14ac:dyDescent="0.25">
      <c r="M155" s="21">
        <v>1.8929694486000912</v>
      </c>
    </row>
    <row r="156" spans="13:13" x14ac:dyDescent="0.25">
      <c r="M156" s="21">
        <v>2.753785273643051</v>
      </c>
    </row>
    <row r="157" spans="13:13" x14ac:dyDescent="0.25">
      <c r="M157" s="21">
        <v>1.2909944487358056</v>
      </c>
    </row>
    <row r="158" spans="13:13" x14ac:dyDescent="0.25">
      <c r="M158" s="21">
        <v>1.2583057392117916</v>
      </c>
    </row>
    <row r="159" spans="13:13" x14ac:dyDescent="0.25">
      <c r="M159" s="21">
        <v>2.5</v>
      </c>
    </row>
    <row r="160" spans="13:13" x14ac:dyDescent="0.25">
      <c r="M160" s="21">
        <v>2.8867513459481291</v>
      </c>
    </row>
    <row r="161" spans="13:13" x14ac:dyDescent="0.25">
      <c r="M161" s="21">
        <v>0.9574271077563381</v>
      </c>
    </row>
    <row r="162" spans="13:13" x14ac:dyDescent="0.25">
      <c r="M162" s="21">
        <v>2.753785273643051</v>
      </c>
    </row>
    <row r="163" spans="13:13" x14ac:dyDescent="0.25">
      <c r="M163" s="21">
        <v>3.3166247903553998</v>
      </c>
    </row>
    <row r="164" spans="13:13" x14ac:dyDescent="0.25">
      <c r="M164" s="21">
        <v>2.0615528128088303</v>
      </c>
    </row>
    <row r="165" spans="13:13" x14ac:dyDescent="0.25">
      <c r="M165" s="21">
        <v>2.5819888974716112</v>
      </c>
    </row>
    <row r="166" spans="13:13" x14ac:dyDescent="0.25">
      <c r="M166" s="21">
        <v>2</v>
      </c>
    </row>
    <row r="167" spans="13:13" x14ac:dyDescent="0.25">
      <c r="M167" s="21">
        <v>2.8867513459481291</v>
      </c>
    </row>
    <row r="168" spans="13:13" x14ac:dyDescent="0.25">
      <c r="M168" s="21">
        <v>2.2173557826083452</v>
      </c>
    </row>
    <row r="169" spans="13:13" x14ac:dyDescent="0.25">
      <c r="M169" s="21">
        <v>3.0956959368344519</v>
      </c>
    </row>
    <row r="170" spans="13:13" x14ac:dyDescent="0.25">
      <c r="M170" s="21">
        <v>1.7320508075688772</v>
      </c>
    </row>
    <row r="171" spans="13:13" x14ac:dyDescent="0.25">
      <c r="M171" s="21">
        <v>1.2583057392117916</v>
      </c>
    </row>
    <row r="172" spans="13:13" x14ac:dyDescent="0.25">
      <c r="M172" s="21">
        <v>0</v>
      </c>
    </row>
    <row r="173" spans="13:13" x14ac:dyDescent="0.25">
      <c r="M173" s="21">
        <v>3.415650255319866</v>
      </c>
    </row>
    <row r="174" spans="13:13" x14ac:dyDescent="0.25">
      <c r="M174" s="21">
        <v>1.8929694486000912</v>
      </c>
    </row>
    <row r="175" spans="13:13" x14ac:dyDescent="0.25">
      <c r="M175" s="21">
        <v>1.7320508075688772</v>
      </c>
    </row>
    <row r="176" spans="13:13" x14ac:dyDescent="0.25">
      <c r="M176" s="21">
        <v>2.2173557826083452</v>
      </c>
    </row>
    <row r="177" spans="13:13" x14ac:dyDescent="0.25">
      <c r="M177" s="21">
        <v>1.5</v>
      </c>
    </row>
    <row r="178" spans="13:13" x14ac:dyDescent="0.25">
      <c r="M178" s="21">
        <v>1.4142135623730951</v>
      </c>
    </row>
    <row r="179" spans="13:13" x14ac:dyDescent="0.25">
      <c r="M179" s="21">
        <v>3.1091263510296048</v>
      </c>
    </row>
    <row r="180" spans="13:13" x14ac:dyDescent="0.25">
      <c r="M180" s="21">
        <v>2.8722813232690143</v>
      </c>
    </row>
    <row r="181" spans="13:13" x14ac:dyDescent="0.25">
      <c r="M181" s="21">
        <v>2.753785273643051</v>
      </c>
    </row>
    <row r="182" spans="13:13" x14ac:dyDescent="0.25">
      <c r="M182" s="21">
        <v>1.4142135623730951</v>
      </c>
    </row>
    <row r="183" spans="13:13" x14ac:dyDescent="0.25">
      <c r="M183" s="21">
        <v>2.5819888974716112</v>
      </c>
    </row>
    <row r="184" spans="13:13" x14ac:dyDescent="0.25">
      <c r="M184" s="21">
        <v>2.2173557826083452</v>
      </c>
    </row>
    <row r="185" spans="13:13" x14ac:dyDescent="0.25">
      <c r="M185" s="21">
        <v>2.0615528128088303</v>
      </c>
    </row>
    <row r="186" spans="13:13" x14ac:dyDescent="0.25">
      <c r="M186" s="21">
        <v>1.2583057392117916</v>
      </c>
    </row>
    <row r="187" spans="13:13" x14ac:dyDescent="0.25">
      <c r="M187" s="21">
        <v>2.5</v>
      </c>
    </row>
    <row r="188" spans="13:13" x14ac:dyDescent="0.25">
      <c r="M188" s="21">
        <v>3.2015621187164243</v>
      </c>
    </row>
    <row r="189" spans="13:13" x14ac:dyDescent="0.25">
      <c r="M189" s="21">
        <v>1.2909944487358056</v>
      </c>
    </row>
    <row r="190" spans="13:13" x14ac:dyDescent="0.25">
      <c r="M190" s="21">
        <v>2.9860788111948193</v>
      </c>
    </row>
    <row r="191" spans="13:13" x14ac:dyDescent="0.25">
      <c r="M191" s="21">
        <v>2.8284271247461903</v>
      </c>
    </row>
    <row r="192" spans="13:13" x14ac:dyDescent="0.25">
      <c r="M192" s="21">
        <v>1.8929694486000912</v>
      </c>
    </row>
    <row r="193" spans="13:13" x14ac:dyDescent="0.25">
      <c r="M193" s="21">
        <v>2.3804761428476167</v>
      </c>
    </row>
    <row r="194" spans="13:13" x14ac:dyDescent="0.25">
      <c r="M194" s="21">
        <v>3.3040379335998349</v>
      </c>
    </row>
    <row r="195" spans="13:13" x14ac:dyDescent="0.25">
      <c r="M195" s="21">
        <v>1.2583057392117916</v>
      </c>
    </row>
    <row r="196" spans="13:13" x14ac:dyDescent="0.25">
      <c r="M196" s="21">
        <v>1</v>
      </c>
    </row>
    <row r="197" spans="13:13" x14ac:dyDescent="0.25">
      <c r="M197" s="21">
        <v>2.9439202887759488</v>
      </c>
    </row>
    <row r="198" spans="13:13" x14ac:dyDescent="0.25">
      <c r="M198" s="21">
        <v>1.2909944487358056</v>
      </c>
    </row>
    <row r="199" spans="13:13" x14ac:dyDescent="0.25">
      <c r="M199" s="21">
        <v>1.2583057392117916</v>
      </c>
    </row>
    <row r="200" spans="13:13" x14ac:dyDescent="0.25">
      <c r="M200" s="21">
        <v>1.2583057392117916</v>
      </c>
    </row>
    <row r="201" spans="13:13" x14ac:dyDescent="0.25">
      <c r="M201" s="21">
        <v>1</v>
      </c>
    </row>
    <row r="202" spans="13:13" x14ac:dyDescent="0.25">
      <c r="M202" s="21">
        <v>2.4494897427831779</v>
      </c>
    </row>
    <row r="203" spans="13:13" x14ac:dyDescent="0.25">
      <c r="M203" s="21">
        <v>1.2583057392117916</v>
      </c>
    </row>
    <row r="204" spans="13:13" x14ac:dyDescent="0.25">
      <c r="M204" s="21">
        <v>1.8257418583505538</v>
      </c>
    </row>
    <row r="205" spans="13:13" x14ac:dyDescent="0.25">
      <c r="M205" s="21">
        <v>1.2583057392117916</v>
      </c>
    </row>
    <row r="206" spans="13:13" x14ac:dyDescent="0.25">
      <c r="M206" s="21">
        <v>1.4142135623730951</v>
      </c>
    </row>
    <row r="207" spans="13:13" x14ac:dyDescent="0.25">
      <c r="M207" s="21">
        <v>1.5</v>
      </c>
    </row>
    <row r="208" spans="13:13" x14ac:dyDescent="0.25">
      <c r="M208" s="21">
        <v>0.9574271077563381</v>
      </c>
    </row>
    <row r="209" spans="13:13" x14ac:dyDescent="0.25">
      <c r="M209" s="21">
        <v>2.9860788111948193</v>
      </c>
    </row>
    <row r="210" spans="13:13" x14ac:dyDescent="0.25">
      <c r="M210" s="21">
        <v>1.2583057392117916</v>
      </c>
    </row>
    <row r="211" spans="13:13" x14ac:dyDescent="0.25">
      <c r="M211" s="21">
        <v>2.4494897427831779</v>
      </c>
    </row>
    <row r="212" spans="13:13" x14ac:dyDescent="0.25">
      <c r="M212" s="21">
        <v>2.4494897427831779</v>
      </c>
    </row>
    <row r="213" spans="13:13" x14ac:dyDescent="0.25">
      <c r="M213" s="21">
        <v>2.0615528128088303</v>
      </c>
    </row>
    <row r="214" spans="13:13" x14ac:dyDescent="0.25">
      <c r="M214" s="21">
        <v>0.57735026918962573</v>
      </c>
    </row>
    <row r="215" spans="13:13" x14ac:dyDescent="0.25">
      <c r="M215" s="21">
        <v>1.1547005383792515</v>
      </c>
    </row>
    <row r="216" spans="13:13" x14ac:dyDescent="0.25">
      <c r="M216" s="21">
        <v>0</v>
      </c>
    </row>
    <row r="217" spans="13:13" x14ac:dyDescent="0.25">
      <c r="M217" s="21">
        <v>2.0615528128088303</v>
      </c>
    </row>
    <row r="218" spans="13:13" x14ac:dyDescent="0.25">
      <c r="M218" s="21">
        <v>1.707825127659933</v>
      </c>
    </row>
    <row r="219" spans="13:13" x14ac:dyDescent="0.25">
      <c r="M219" s="21">
        <v>2.4494897427831779</v>
      </c>
    </row>
    <row r="220" spans="13:13" x14ac:dyDescent="0.25">
      <c r="M220" s="21">
        <v>1.7320508075688772</v>
      </c>
    </row>
    <row r="221" spans="13:13" x14ac:dyDescent="0.25">
      <c r="M221" s="21">
        <v>3.8297084310253524</v>
      </c>
    </row>
    <row r="222" spans="13:13" x14ac:dyDescent="0.25">
      <c r="M222" s="21">
        <v>0.9574271077563381</v>
      </c>
    </row>
    <row r="223" spans="13:13" x14ac:dyDescent="0.25">
      <c r="M223" s="21">
        <v>2.9439202887759488</v>
      </c>
    </row>
    <row r="224" spans="13:13" x14ac:dyDescent="0.25">
      <c r="M224" s="21">
        <v>2.1602468994692869</v>
      </c>
    </row>
    <row r="225" spans="13:13" x14ac:dyDescent="0.25">
      <c r="M225" s="21">
        <v>2.8867513459481291</v>
      </c>
    </row>
    <row r="226" spans="13:13" x14ac:dyDescent="0.25">
      <c r="M226" s="21">
        <v>1.6329931618554521</v>
      </c>
    </row>
    <row r="227" spans="13:13" x14ac:dyDescent="0.25">
      <c r="M227" s="21">
        <v>1.9148542155126762</v>
      </c>
    </row>
    <row r="228" spans="13:13" x14ac:dyDescent="0.25">
      <c r="M228" s="21">
        <v>1.4142135623730951</v>
      </c>
    </row>
    <row r="229" spans="13:13" x14ac:dyDescent="0.25">
      <c r="M229" s="21">
        <v>1.5</v>
      </c>
    </row>
    <row r="230" spans="13:13" x14ac:dyDescent="0.25">
      <c r="M230" s="21">
        <v>3.3166247903553998</v>
      </c>
    </row>
    <row r="231" spans="13:13" x14ac:dyDescent="0.25">
      <c r="M231" s="21">
        <v>1.2583057392117916</v>
      </c>
    </row>
    <row r="232" spans="13:13" x14ac:dyDescent="0.25">
      <c r="M232" s="21">
        <v>1.2909944487358056</v>
      </c>
    </row>
    <row r="233" spans="13:13" x14ac:dyDescent="0.25">
      <c r="M233" s="21">
        <v>1</v>
      </c>
    </row>
    <row r="234" spans="13:13" x14ac:dyDescent="0.25">
      <c r="M234" s="21">
        <v>1.7320508075688772</v>
      </c>
    </row>
    <row r="235" spans="13:13" x14ac:dyDescent="0.25">
      <c r="M235" s="21">
        <v>0.9574271077563381</v>
      </c>
    </row>
    <row r="236" spans="13:13" x14ac:dyDescent="0.25">
      <c r="M236" s="21">
        <v>2.2173557826083452</v>
      </c>
    </row>
    <row r="237" spans="13:13" x14ac:dyDescent="0.25">
      <c r="M237" s="21">
        <v>4.1633319989322652</v>
      </c>
    </row>
    <row r="238" spans="13:13" x14ac:dyDescent="0.25">
      <c r="M238" s="21">
        <v>1.6329931618554521</v>
      </c>
    </row>
    <row r="239" spans="13:13" x14ac:dyDescent="0.25">
      <c r="M239" s="21">
        <v>2.0615528128088303</v>
      </c>
    </row>
    <row r="240" spans="13:13" x14ac:dyDescent="0.25">
      <c r="M240" s="21">
        <v>2.0615528128088303</v>
      </c>
    </row>
    <row r="241" spans="13:13" x14ac:dyDescent="0.25">
      <c r="M241" s="21">
        <v>1.5</v>
      </c>
    </row>
    <row r="242" spans="13:13" x14ac:dyDescent="0.25">
      <c r="M242" s="21">
        <v>2.2173557826083452</v>
      </c>
    </row>
    <row r="243" spans="13:13" x14ac:dyDescent="0.25">
      <c r="M243" s="21">
        <v>0.9574271077563381</v>
      </c>
    </row>
    <row r="244" spans="13:13" x14ac:dyDescent="0.25">
      <c r="M244" s="21">
        <v>1.707825127659933</v>
      </c>
    </row>
    <row r="245" spans="13:13" x14ac:dyDescent="0.25">
      <c r="M245" s="21">
        <v>0.57735026918962573</v>
      </c>
    </row>
    <row r="246" spans="13:13" x14ac:dyDescent="0.25">
      <c r="M246" s="21">
        <v>2.3629078131263039</v>
      </c>
    </row>
    <row r="247" spans="13:13" x14ac:dyDescent="0.25">
      <c r="M247" s="21">
        <v>1.707825127659933</v>
      </c>
    </row>
    <row r="248" spans="13:13" x14ac:dyDescent="0.25">
      <c r="M248" s="21">
        <v>2.6299556396765835</v>
      </c>
    </row>
    <row r="249" spans="13:13" x14ac:dyDescent="0.25">
      <c r="M249" s="21">
        <v>1.2909944487358056</v>
      </c>
    </row>
    <row r="250" spans="13:13" x14ac:dyDescent="0.25">
      <c r="M250" s="21">
        <v>1.8257418583505538</v>
      </c>
    </row>
    <row r="251" spans="13:13" x14ac:dyDescent="0.25">
      <c r="M251" s="21">
        <v>1.2909944487358056</v>
      </c>
    </row>
    <row r="252" spans="13:13" x14ac:dyDescent="0.25">
      <c r="M252" s="21">
        <v>1.6329931618554521</v>
      </c>
    </row>
    <row r="253" spans="13:13" x14ac:dyDescent="0.25">
      <c r="M253" s="21">
        <v>2.5</v>
      </c>
    </row>
    <row r="254" spans="13:13" x14ac:dyDescent="0.25">
      <c r="M254" s="21">
        <v>1.2583057392117916</v>
      </c>
    </row>
    <row r="255" spans="13:13" x14ac:dyDescent="0.25">
      <c r="M255" s="21">
        <v>1.2583057392117916</v>
      </c>
    </row>
    <row r="256" spans="13:13" x14ac:dyDescent="0.25">
      <c r="M256" s="21">
        <v>1.707825127659933</v>
      </c>
    </row>
    <row r="257" spans="13:13" x14ac:dyDescent="0.25">
      <c r="M257" s="21">
        <v>3.1622776601683795</v>
      </c>
    </row>
    <row r="258" spans="13:13" x14ac:dyDescent="0.25">
      <c r="M258" s="21">
        <v>2.0615528128088303</v>
      </c>
    </row>
    <row r="259" spans="13:13" x14ac:dyDescent="0.25">
      <c r="M259" s="21">
        <v>2.6457513110645907</v>
      </c>
    </row>
    <row r="260" spans="13:13" x14ac:dyDescent="0.25">
      <c r="M260" s="21">
        <v>1.2909944487358056</v>
      </c>
    </row>
    <row r="261" spans="13:13" x14ac:dyDescent="0.25">
      <c r="M261" s="21">
        <v>1.2909944487358056</v>
      </c>
    </row>
    <row r="262" spans="13:13" x14ac:dyDescent="0.25">
      <c r="M262" s="21">
        <v>1.2909944487358056</v>
      </c>
    </row>
    <row r="263" spans="13:13" x14ac:dyDescent="0.25">
      <c r="M263" s="21">
        <v>2.6457513110645907</v>
      </c>
    </row>
    <row r="264" spans="13:13" x14ac:dyDescent="0.25">
      <c r="M264" s="21">
        <v>1.7320508075688772</v>
      </c>
    </row>
    <row r="265" spans="13:13" x14ac:dyDescent="0.25">
      <c r="M265" s="21">
        <v>2.9860788111948193</v>
      </c>
    </row>
    <row r="266" spans="13:13" x14ac:dyDescent="0.25">
      <c r="M266" s="21">
        <v>2.0615528128088303</v>
      </c>
    </row>
    <row r="267" spans="13:13" x14ac:dyDescent="0.25">
      <c r="M267" s="21">
        <v>1.4142135623730951</v>
      </c>
    </row>
    <row r="268" spans="13:13" x14ac:dyDescent="0.25">
      <c r="M268" s="21">
        <v>1.707825127659933</v>
      </c>
    </row>
    <row r="269" spans="13:13" x14ac:dyDescent="0.25">
      <c r="M269" s="21">
        <v>2.0615528128088303</v>
      </c>
    </row>
    <row r="270" spans="13:13" x14ac:dyDescent="0.25">
      <c r="M270" s="21">
        <v>1</v>
      </c>
    </row>
    <row r="271" spans="13:13" x14ac:dyDescent="0.25">
      <c r="M271" s="21">
        <v>2.0816659994661326</v>
      </c>
    </row>
    <row r="272" spans="13:13" x14ac:dyDescent="0.25">
      <c r="M272" s="21">
        <v>2.5819888974716112</v>
      </c>
    </row>
    <row r="273" spans="13:13" x14ac:dyDescent="0.25">
      <c r="M273" s="21">
        <v>1.5</v>
      </c>
    </row>
    <row r="274" spans="13:13" x14ac:dyDescent="0.25">
      <c r="M274" s="21">
        <v>0.57735026918962573</v>
      </c>
    </row>
    <row r="275" spans="13:13" x14ac:dyDescent="0.25">
      <c r="M275" s="21">
        <v>1.8929694486000912</v>
      </c>
    </row>
    <row r="276" spans="13:13" x14ac:dyDescent="0.25">
      <c r="M276" s="21">
        <v>2.5819888974716112</v>
      </c>
    </row>
    <row r="277" spans="13:13" x14ac:dyDescent="0.25">
      <c r="M277" s="21">
        <v>2.0816659994661326</v>
      </c>
    </row>
    <row r="278" spans="13:13" x14ac:dyDescent="0.25">
      <c r="M278" s="21">
        <v>1.5</v>
      </c>
    </row>
    <row r="279" spans="13:13" x14ac:dyDescent="0.25">
      <c r="M279" s="21">
        <v>2.2173557826083452</v>
      </c>
    </row>
    <row r="280" spans="13:13" x14ac:dyDescent="0.25">
      <c r="M280" s="21">
        <v>2.1602468994692869</v>
      </c>
    </row>
    <row r="281" spans="13:13" x14ac:dyDescent="0.25">
      <c r="M281" s="21">
        <v>0.9574271077563381</v>
      </c>
    </row>
    <row r="282" spans="13:13" x14ac:dyDescent="0.25">
      <c r="M282" s="21">
        <v>3.4034296427770228</v>
      </c>
    </row>
    <row r="283" spans="13:13" x14ac:dyDescent="0.25">
      <c r="M283" s="21">
        <v>2.753785273643051</v>
      </c>
    </row>
    <row r="284" spans="13:13" x14ac:dyDescent="0.25">
      <c r="M284" s="21">
        <v>2.2173557826083452</v>
      </c>
    </row>
    <row r="285" spans="13:13" x14ac:dyDescent="0.25">
      <c r="M285" s="21">
        <v>1.8257418583505538</v>
      </c>
    </row>
    <row r="286" spans="13:13" x14ac:dyDescent="0.25">
      <c r="M286" s="21">
        <v>2.0615528128088303</v>
      </c>
    </row>
    <row r="287" spans="13:13" x14ac:dyDescent="0.25">
      <c r="M287" s="21">
        <v>1.707825127659933</v>
      </c>
    </row>
    <row r="288" spans="13:13" x14ac:dyDescent="0.25">
      <c r="M288" s="21">
        <v>1.2583057392117916</v>
      </c>
    </row>
    <row r="289" spans="13:13" x14ac:dyDescent="0.25">
      <c r="M289" s="21">
        <v>2.2173557826083452</v>
      </c>
    </row>
    <row r="290" spans="13:13" x14ac:dyDescent="0.25">
      <c r="M290" s="21">
        <v>2.753785273643051</v>
      </c>
    </row>
    <row r="291" spans="13:13" x14ac:dyDescent="0.25">
      <c r="M291" s="21">
        <v>2.0615528128088303</v>
      </c>
    </row>
    <row r="292" spans="13:13" x14ac:dyDescent="0.25">
      <c r="M292" s="21">
        <v>0.5</v>
      </c>
    </row>
    <row r="293" spans="13:13" x14ac:dyDescent="0.25">
      <c r="M293" s="21">
        <v>1.2583057392117916</v>
      </c>
    </row>
    <row r="294" spans="13:13" x14ac:dyDescent="0.25">
      <c r="M294" s="21">
        <v>2.6457513110645907</v>
      </c>
    </row>
    <row r="295" spans="13:13" x14ac:dyDescent="0.25">
      <c r="M295" s="21">
        <v>2.0816659994661326</v>
      </c>
    </row>
    <row r="296" spans="13:13" x14ac:dyDescent="0.25">
      <c r="M296" s="21">
        <v>1.707825127659933</v>
      </c>
    </row>
    <row r="297" spans="13:13" x14ac:dyDescent="0.25">
      <c r="M297" s="21">
        <v>1.5</v>
      </c>
    </row>
    <row r="298" spans="13:13" x14ac:dyDescent="0.25">
      <c r="M298" s="21">
        <v>0.9574271077563381</v>
      </c>
    </row>
    <row r="299" spans="13:13" x14ac:dyDescent="0.25">
      <c r="M299" s="21">
        <v>1.7320508075688772</v>
      </c>
    </row>
    <row r="300" spans="13:13" x14ac:dyDescent="0.25">
      <c r="M300" s="21">
        <v>1.7320508075688772</v>
      </c>
    </row>
    <row r="301" spans="13:13" x14ac:dyDescent="0.25">
      <c r="M301" s="21">
        <v>2.70801280154532</v>
      </c>
    </row>
    <row r="302" spans="13:13" x14ac:dyDescent="0.25">
      <c r="M302" s="21">
        <v>2.0816659994661326</v>
      </c>
    </row>
    <row r="303" spans="13:13" x14ac:dyDescent="0.25">
      <c r="M303" s="21">
        <v>1.8257418583505538</v>
      </c>
    </row>
    <row r="304" spans="13:13" x14ac:dyDescent="0.25">
      <c r="M304" s="21">
        <v>2.5</v>
      </c>
    </row>
    <row r="305" spans="13:13" x14ac:dyDescent="0.25">
      <c r="M305" s="21">
        <v>1.5</v>
      </c>
    </row>
    <row r="306" spans="13:13" x14ac:dyDescent="0.25">
      <c r="M306" s="21">
        <v>1.7320508075688772</v>
      </c>
    </row>
    <row r="307" spans="13:13" x14ac:dyDescent="0.25">
      <c r="M307" s="21">
        <v>1.707825127659933</v>
      </c>
    </row>
    <row r="308" spans="13:13" x14ac:dyDescent="0.25">
      <c r="M308" s="21">
        <v>2.4494897427831779</v>
      </c>
    </row>
    <row r="309" spans="13:13" x14ac:dyDescent="0.25">
      <c r="M309" s="21">
        <v>0.9574271077563381</v>
      </c>
    </row>
    <row r="310" spans="13:13" x14ac:dyDescent="0.25">
      <c r="M310" s="21">
        <v>1.9148542155126762</v>
      </c>
    </row>
    <row r="311" spans="13:13" x14ac:dyDescent="0.25">
      <c r="M311" s="21">
        <v>1.707825127659933</v>
      </c>
    </row>
    <row r="312" spans="13:13" x14ac:dyDescent="0.25">
      <c r="M312" s="21">
        <v>0.81649658092772603</v>
      </c>
    </row>
    <row r="313" spans="13:13" x14ac:dyDescent="0.25">
      <c r="M313" s="21">
        <v>2.3629078131263039</v>
      </c>
    </row>
    <row r="314" spans="13:13" x14ac:dyDescent="0.25">
      <c r="M314" s="21">
        <v>2.0615528128088303</v>
      </c>
    </row>
    <row r="315" spans="13:13" x14ac:dyDescent="0.25">
      <c r="M315" s="21">
        <v>2.8722813232690143</v>
      </c>
    </row>
    <row r="316" spans="13:13" x14ac:dyDescent="0.25">
      <c r="M316" s="21">
        <v>1.9148542155126762</v>
      </c>
    </row>
    <row r="317" spans="13:13" x14ac:dyDescent="0.25">
      <c r="M317" s="21">
        <v>1.8257418583505538</v>
      </c>
    </row>
    <row r="318" spans="13:13" x14ac:dyDescent="0.25">
      <c r="M318" s="21">
        <v>0.57735026918962573</v>
      </c>
    </row>
    <row r="319" spans="13:13" x14ac:dyDescent="0.25">
      <c r="M319" s="21">
        <v>3</v>
      </c>
    </row>
    <row r="320" spans="13:13" x14ac:dyDescent="0.25">
      <c r="M320" s="21">
        <v>1.2583057392117916</v>
      </c>
    </row>
    <row r="321" spans="13:13" x14ac:dyDescent="0.25">
      <c r="M321" s="21">
        <v>2.6457513110645907</v>
      </c>
    </row>
    <row r="322" spans="13:13" x14ac:dyDescent="0.25">
      <c r="M322" s="21">
        <v>2.2173557826083452</v>
      </c>
    </row>
    <row r="323" spans="13:13" x14ac:dyDescent="0.25">
      <c r="M323" s="21">
        <v>0.5</v>
      </c>
    </row>
    <row r="324" spans="13:13" x14ac:dyDescent="0.25">
      <c r="M324" s="21">
        <v>1.7320508075688772</v>
      </c>
    </row>
    <row r="325" spans="13:13" x14ac:dyDescent="0.25">
      <c r="M325" s="21">
        <v>2.1602468994692869</v>
      </c>
    </row>
    <row r="326" spans="13:13" x14ac:dyDescent="0.25">
      <c r="M326" s="21">
        <v>0.9574271077563381</v>
      </c>
    </row>
    <row r="327" spans="13:13" x14ac:dyDescent="0.25">
      <c r="M327" s="21">
        <v>0</v>
      </c>
    </row>
    <row r="328" spans="13:13" x14ac:dyDescent="0.25">
      <c r="M328" s="21">
        <v>1.5</v>
      </c>
    </row>
    <row r="329" spans="13:13" x14ac:dyDescent="0.25">
      <c r="M329" s="21">
        <v>1.4142135623730951</v>
      </c>
    </row>
    <row r="330" spans="13:13" x14ac:dyDescent="0.25">
      <c r="M330" s="21">
        <v>1.2583057392117916</v>
      </c>
    </row>
    <row r="331" spans="13:13" x14ac:dyDescent="0.25">
      <c r="M331" s="21">
        <v>2.6457513110645907</v>
      </c>
    </row>
    <row r="332" spans="13:13" x14ac:dyDescent="0.25">
      <c r="M332" s="21">
        <v>2.1602468994692869</v>
      </c>
    </row>
    <row r="333" spans="13:13" x14ac:dyDescent="0.25">
      <c r="M333" s="21">
        <v>1.6329931618554521</v>
      </c>
    </row>
    <row r="334" spans="13:13" x14ac:dyDescent="0.25">
      <c r="M334" s="21">
        <v>4.1129875597510219</v>
      </c>
    </row>
    <row r="335" spans="13:13" x14ac:dyDescent="0.25">
      <c r="M335" s="21">
        <v>0.81649658092772603</v>
      </c>
    </row>
    <row r="336" spans="13:13" x14ac:dyDescent="0.25">
      <c r="M336" s="21">
        <v>3.4034296427770228</v>
      </c>
    </row>
    <row r="337" spans="13:13" x14ac:dyDescent="0.25">
      <c r="M337" s="21">
        <v>1.7320508075688772</v>
      </c>
    </row>
    <row r="338" spans="13:13" x14ac:dyDescent="0.25">
      <c r="M338" s="21">
        <v>2.5166114784235831</v>
      </c>
    </row>
    <row r="339" spans="13:13" x14ac:dyDescent="0.25">
      <c r="M339" s="21">
        <v>2.2173557826083452</v>
      </c>
    </row>
    <row r="340" spans="13:13" x14ac:dyDescent="0.25">
      <c r="M340" s="21">
        <v>1.2909944487358056</v>
      </c>
    </row>
    <row r="341" spans="13:13" x14ac:dyDescent="0.25">
      <c r="M341" s="21">
        <v>2.2173557826083452</v>
      </c>
    </row>
    <row r="342" spans="13:13" x14ac:dyDescent="0.25">
      <c r="M342" s="21">
        <v>1.4142135623730951</v>
      </c>
    </row>
    <row r="343" spans="13:13" x14ac:dyDescent="0.25">
      <c r="M343" s="21">
        <v>0.5</v>
      </c>
    </row>
    <row r="344" spans="13:13" x14ac:dyDescent="0.25">
      <c r="M344" s="21">
        <v>2.0816659994661326</v>
      </c>
    </row>
    <row r="345" spans="13:13" x14ac:dyDescent="0.25">
      <c r="M345" s="21">
        <v>1.707825127659933</v>
      </c>
    </row>
    <row r="346" spans="13:13" x14ac:dyDescent="0.25">
      <c r="M346" s="21">
        <v>3.0956959368344519</v>
      </c>
    </row>
    <row r="347" spans="13:13" x14ac:dyDescent="0.25">
      <c r="M347" s="21">
        <v>1.4142135623730951</v>
      </c>
    </row>
    <row r="348" spans="13:13" x14ac:dyDescent="0.25">
      <c r="M348" s="21">
        <v>1.9148542155126762</v>
      </c>
    </row>
    <row r="349" spans="13:13" x14ac:dyDescent="0.25">
      <c r="M349" s="21">
        <v>1</v>
      </c>
    </row>
    <row r="350" spans="13:13" x14ac:dyDescent="0.25">
      <c r="M350" s="21">
        <v>2.4494897427831779</v>
      </c>
    </row>
    <row r="351" spans="13:13" x14ac:dyDescent="0.25">
      <c r="M351" s="21">
        <v>2.3629078131263039</v>
      </c>
    </row>
    <row r="352" spans="13:13" x14ac:dyDescent="0.25">
      <c r="M352" s="21">
        <v>1.2909944487358056</v>
      </c>
    </row>
    <row r="353" spans="13:13" x14ac:dyDescent="0.25">
      <c r="M353" s="21">
        <v>1</v>
      </c>
    </row>
    <row r="354" spans="13:13" x14ac:dyDescent="0.25">
      <c r="M354" s="21">
        <v>1.9148542155126762</v>
      </c>
    </row>
    <row r="355" spans="13:13" x14ac:dyDescent="0.25">
      <c r="M355" s="21">
        <v>2.753785273643051</v>
      </c>
    </row>
    <row r="356" spans="13:13" x14ac:dyDescent="0.25">
      <c r="M356" s="21">
        <v>2.3629078131263039</v>
      </c>
    </row>
    <row r="357" spans="13:13" x14ac:dyDescent="0.25">
      <c r="M357" s="21">
        <v>2.9439202887759488</v>
      </c>
    </row>
    <row r="358" spans="13:13" x14ac:dyDescent="0.25">
      <c r="M358" s="21">
        <v>3.2015621187164243</v>
      </c>
    </row>
    <row r="359" spans="13:13" x14ac:dyDescent="0.25">
      <c r="M359" s="21">
        <v>2.5</v>
      </c>
    </row>
    <row r="360" spans="13:13" x14ac:dyDescent="0.25">
      <c r="M360" s="21">
        <v>1.9148542155126762</v>
      </c>
    </row>
    <row r="361" spans="13:13" x14ac:dyDescent="0.25">
      <c r="M361" s="21">
        <v>1.4142135623730951</v>
      </c>
    </row>
    <row r="362" spans="13:13" x14ac:dyDescent="0.25">
      <c r="M362" s="21">
        <v>1.1547005383792515</v>
      </c>
    </row>
    <row r="363" spans="13:13" x14ac:dyDescent="0.25">
      <c r="M363" s="21">
        <v>2.4494897427831779</v>
      </c>
    </row>
    <row r="364" spans="13:13" x14ac:dyDescent="0.25">
      <c r="M364" s="21">
        <v>2.753785273643051</v>
      </c>
    </row>
    <row r="365" spans="13:13" x14ac:dyDescent="0.25">
      <c r="M365" s="21">
        <v>2.2173557826083452</v>
      </c>
    </row>
    <row r="366" spans="13:13" x14ac:dyDescent="0.25">
      <c r="M366" s="21">
        <v>0.81649658092772603</v>
      </c>
    </row>
    <row r="367" spans="13:13" x14ac:dyDescent="0.25">
      <c r="M367" s="21">
        <v>1.8257418583505538</v>
      </c>
    </row>
    <row r="368" spans="13:13" x14ac:dyDescent="0.25">
      <c r="M368" s="21">
        <v>2.0615528128088303</v>
      </c>
    </row>
    <row r="369" spans="13:13" x14ac:dyDescent="0.25">
      <c r="M369" s="21">
        <v>2.6299556396765835</v>
      </c>
    </row>
    <row r="370" spans="13:13" x14ac:dyDescent="0.25">
      <c r="M370" s="21">
        <v>2.0615528128088303</v>
      </c>
    </row>
    <row r="371" spans="13:13" x14ac:dyDescent="0.25">
      <c r="M371" s="21">
        <v>3.5590260840104371</v>
      </c>
    </row>
    <row r="372" spans="13:13" x14ac:dyDescent="0.25">
      <c r="M372" s="21">
        <v>2.70801280154532</v>
      </c>
    </row>
    <row r="373" spans="13:13" x14ac:dyDescent="0.25">
      <c r="M373" s="21">
        <v>2.0615528128088303</v>
      </c>
    </row>
    <row r="374" spans="13:13" x14ac:dyDescent="0.25">
      <c r="M374" s="21">
        <v>3.872983346207417</v>
      </c>
    </row>
    <row r="375" spans="13:13" x14ac:dyDescent="0.25">
      <c r="M375" s="21">
        <v>1.2909944487358056</v>
      </c>
    </row>
    <row r="376" spans="13:13" x14ac:dyDescent="0.25">
      <c r="M376" s="21">
        <v>1.707825127659933</v>
      </c>
    </row>
    <row r="377" spans="13:13" x14ac:dyDescent="0.25">
      <c r="M377" s="21">
        <v>1.4142135623730951</v>
      </c>
    </row>
    <row r="378" spans="13:13" x14ac:dyDescent="0.25">
      <c r="M378" s="21">
        <v>3.7416573867739413</v>
      </c>
    </row>
    <row r="379" spans="13:13" x14ac:dyDescent="0.25">
      <c r="M379" s="21">
        <v>3.3040379335998349</v>
      </c>
    </row>
    <row r="380" spans="13:13" x14ac:dyDescent="0.25">
      <c r="M380" s="21">
        <v>1.2583057392117916</v>
      </c>
    </row>
    <row r="381" spans="13:13" x14ac:dyDescent="0.25">
      <c r="M381" s="21">
        <v>1.707825127659933</v>
      </c>
    </row>
    <row r="382" spans="13:13" x14ac:dyDescent="0.25">
      <c r="M382" s="21">
        <v>1.1547005383792515</v>
      </c>
    </row>
    <row r="383" spans="13:13" x14ac:dyDescent="0.25">
      <c r="M383" s="21">
        <v>1.4142135623730951</v>
      </c>
    </row>
    <row r="384" spans="13:13" x14ac:dyDescent="0.25">
      <c r="M384" s="21">
        <v>1.2583057392117916</v>
      </c>
    </row>
    <row r="385" spans="13:13" x14ac:dyDescent="0.25">
      <c r="M385" s="21">
        <v>2.3804761428476167</v>
      </c>
    </row>
    <row r="386" spans="13:13" x14ac:dyDescent="0.25">
      <c r="M386" s="21">
        <v>3.2015621187164243</v>
      </c>
    </row>
    <row r="387" spans="13:13" x14ac:dyDescent="0.25">
      <c r="M387" s="21">
        <v>1.707825127659933</v>
      </c>
    </row>
    <row r="388" spans="13:13" x14ac:dyDescent="0.25">
      <c r="M388" s="21">
        <v>1.2909944487358056</v>
      </c>
    </row>
    <row r="389" spans="13:13" x14ac:dyDescent="0.25">
      <c r="M389" s="21">
        <v>2.0615528128088303</v>
      </c>
    </row>
    <row r="390" spans="13:13" x14ac:dyDescent="0.25">
      <c r="M390" s="21">
        <v>3.415650255319866</v>
      </c>
    </row>
    <row r="391" spans="13:13" x14ac:dyDescent="0.25">
      <c r="M391" s="21">
        <v>0.81649658092772603</v>
      </c>
    </row>
    <row r="392" spans="13:13" x14ac:dyDescent="0.25">
      <c r="M392" s="21">
        <v>2.8722813232690143</v>
      </c>
    </row>
    <row r="393" spans="13:13" x14ac:dyDescent="0.25">
      <c r="M393" s="21">
        <v>2.3804761428476167</v>
      </c>
    </row>
    <row r="394" spans="13:13" x14ac:dyDescent="0.25">
      <c r="M394" s="21">
        <v>1</v>
      </c>
    </row>
    <row r="395" spans="13:13" x14ac:dyDescent="0.25">
      <c r="M395" s="21">
        <v>0.9574271077563381</v>
      </c>
    </row>
    <row r="396" spans="13:13" x14ac:dyDescent="0.25">
      <c r="M396" s="21">
        <v>3.5118845842842465</v>
      </c>
    </row>
    <row r="397" spans="13:13" x14ac:dyDescent="0.25">
      <c r="M397" s="21">
        <v>2.6299556396765835</v>
      </c>
    </row>
    <row r="398" spans="13:13" x14ac:dyDescent="0.25">
      <c r="M398" s="21">
        <v>1.2583057392117916</v>
      </c>
    </row>
    <row r="399" spans="13:13" x14ac:dyDescent="0.25">
      <c r="M399" s="21">
        <v>1.4142135623730951</v>
      </c>
    </row>
    <row r="400" spans="13:13" x14ac:dyDescent="0.25">
      <c r="M400" s="21">
        <v>1.8257418583505538</v>
      </c>
    </row>
    <row r="401" spans="13:13" x14ac:dyDescent="0.25">
      <c r="M401" s="21">
        <v>2.5166114784235831</v>
      </c>
    </row>
    <row r="402" spans="13:13" x14ac:dyDescent="0.25">
      <c r="M402" s="21">
        <v>2.6299556396765835</v>
      </c>
    </row>
    <row r="403" spans="13:13" x14ac:dyDescent="0.25">
      <c r="M403" s="21">
        <v>3.8622100754188224</v>
      </c>
    </row>
    <row r="404" spans="13:13" x14ac:dyDescent="0.25">
      <c r="M404" s="21">
        <v>1.7320508075688772</v>
      </c>
    </row>
    <row r="405" spans="13:13" x14ac:dyDescent="0.25">
      <c r="M405" s="21">
        <v>3.0956959368344519</v>
      </c>
    </row>
    <row r="406" spans="13:13" x14ac:dyDescent="0.25">
      <c r="M406" s="21">
        <v>1.9148542155126762</v>
      </c>
    </row>
    <row r="407" spans="13:13" x14ac:dyDescent="0.25">
      <c r="M407" s="21">
        <v>0.9574271077563381</v>
      </c>
    </row>
    <row r="408" spans="13:13" x14ac:dyDescent="0.25">
      <c r="M408" s="21">
        <v>2.753785273643051</v>
      </c>
    </row>
    <row r="409" spans="13:13" x14ac:dyDescent="0.25">
      <c r="M409" s="21">
        <v>2.2173557826083452</v>
      </c>
    </row>
    <row r="410" spans="13:13" x14ac:dyDescent="0.25">
      <c r="M410" s="21">
        <v>0.9574271077563381</v>
      </c>
    </row>
    <row r="411" spans="13:13" x14ac:dyDescent="0.25">
      <c r="M411" s="21">
        <v>1.8257418583505538</v>
      </c>
    </row>
    <row r="412" spans="13:13" x14ac:dyDescent="0.25">
      <c r="M412" s="21">
        <v>1.8929694486000912</v>
      </c>
    </row>
    <row r="413" spans="13:13" x14ac:dyDescent="0.25">
      <c r="M413" s="21">
        <v>1.8929694486000912</v>
      </c>
    </row>
    <row r="414" spans="13:13" x14ac:dyDescent="0.25">
      <c r="M414" s="21">
        <v>1.9148542155126762</v>
      </c>
    </row>
    <row r="415" spans="13:13" x14ac:dyDescent="0.25">
      <c r="M415" s="21">
        <v>3.3040379335998349</v>
      </c>
    </row>
    <row r="416" spans="13:13" x14ac:dyDescent="0.25">
      <c r="M416" s="21">
        <v>1.2909944487358056</v>
      </c>
    </row>
    <row r="417" spans="13:13" x14ac:dyDescent="0.25">
      <c r="M417" s="21">
        <v>1.8929694486000912</v>
      </c>
    </row>
    <row r="418" spans="13:13" x14ac:dyDescent="0.25">
      <c r="M418" s="21">
        <v>1.7320508075688772</v>
      </c>
    </row>
    <row r="419" spans="13:13" x14ac:dyDescent="0.25">
      <c r="M419" s="21">
        <v>2.0615528128088303</v>
      </c>
    </row>
    <row r="420" spans="13:13" x14ac:dyDescent="0.25">
      <c r="M420" s="21">
        <v>1.2583057392117916</v>
      </c>
    </row>
    <row r="421" spans="13:13" x14ac:dyDescent="0.25">
      <c r="M421" s="21">
        <v>1.4142135623730951</v>
      </c>
    </row>
    <row r="422" spans="13:13" x14ac:dyDescent="0.25">
      <c r="M422" s="21">
        <v>2.0816659994661326</v>
      </c>
    </row>
    <row r="423" spans="13:13" x14ac:dyDescent="0.25">
      <c r="M423" s="21">
        <v>1.707825127659933</v>
      </c>
    </row>
    <row r="424" spans="13:13" x14ac:dyDescent="0.25">
      <c r="M424" s="21">
        <v>2.9860788111948193</v>
      </c>
    </row>
    <row r="425" spans="13:13" x14ac:dyDescent="0.25">
      <c r="M425" s="21">
        <v>2.2173557826083452</v>
      </c>
    </row>
    <row r="426" spans="13:13" x14ac:dyDescent="0.25">
      <c r="M426" s="21">
        <v>1.2909944487358056</v>
      </c>
    </row>
    <row r="427" spans="13:13" x14ac:dyDescent="0.25">
      <c r="M427" s="21">
        <v>1.5</v>
      </c>
    </row>
    <row r="428" spans="13:13" x14ac:dyDescent="0.25">
      <c r="M428" s="21">
        <v>2.2173557826083452</v>
      </c>
    </row>
    <row r="429" spans="13:13" x14ac:dyDescent="0.25">
      <c r="M429" s="21">
        <v>0.5</v>
      </c>
    </row>
    <row r="430" spans="13:13" x14ac:dyDescent="0.25">
      <c r="M430" s="21">
        <v>1.9148542155126762</v>
      </c>
    </row>
    <row r="431" spans="13:13" x14ac:dyDescent="0.25">
      <c r="M431" s="21">
        <v>1.5</v>
      </c>
    </row>
    <row r="432" spans="13:13" x14ac:dyDescent="0.25">
      <c r="M432" s="21">
        <v>1.2583057392117916</v>
      </c>
    </row>
    <row r="433" spans="13:13" x14ac:dyDescent="0.25">
      <c r="M433" s="21">
        <v>3.4641016151377544</v>
      </c>
    </row>
    <row r="434" spans="13:13" x14ac:dyDescent="0.25">
      <c r="M434" s="21">
        <v>2.3804761428476167</v>
      </c>
    </row>
    <row r="435" spans="13:13" x14ac:dyDescent="0.25">
      <c r="M435" s="21">
        <v>2.2173557826083452</v>
      </c>
    </row>
    <row r="436" spans="13:13" x14ac:dyDescent="0.25">
      <c r="M436" s="21">
        <v>1.2583057392117916</v>
      </c>
    </row>
    <row r="437" spans="13:13" x14ac:dyDescent="0.25">
      <c r="M437" s="21">
        <v>2.3094010767585029</v>
      </c>
    </row>
    <row r="438" spans="13:13" x14ac:dyDescent="0.25">
      <c r="M438" s="21">
        <v>1.2583057392117916</v>
      </c>
    </row>
    <row r="439" spans="13:13" x14ac:dyDescent="0.25">
      <c r="M439" s="21">
        <v>1.707825127659933</v>
      </c>
    </row>
    <row r="440" spans="13:13" x14ac:dyDescent="0.25">
      <c r="M440" s="21">
        <v>1.707825127659933</v>
      </c>
    </row>
    <row r="441" spans="13:13" x14ac:dyDescent="0.25">
      <c r="M441" s="21">
        <v>1.707825127659933</v>
      </c>
    </row>
    <row r="442" spans="13:13" x14ac:dyDescent="0.25">
      <c r="M442" s="21">
        <v>1.2909944487358056</v>
      </c>
    </row>
    <row r="443" spans="13:13" x14ac:dyDescent="0.25">
      <c r="M443" s="21">
        <v>1.8257418583505538</v>
      </c>
    </row>
    <row r="444" spans="13:13" x14ac:dyDescent="0.25">
      <c r="M444" s="21">
        <v>2.5</v>
      </c>
    </row>
    <row r="445" spans="13:13" x14ac:dyDescent="0.25">
      <c r="M445" s="21">
        <v>2.9439202887759488</v>
      </c>
    </row>
    <row r="446" spans="13:13" x14ac:dyDescent="0.25">
      <c r="M446" s="21">
        <v>2.2173557826083452</v>
      </c>
    </row>
    <row r="447" spans="13:13" x14ac:dyDescent="0.25">
      <c r="M447" s="21">
        <v>1.6329931618554521</v>
      </c>
    </row>
    <row r="448" spans="13:13" x14ac:dyDescent="0.25">
      <c r="M448" s="21">
        <v>1.2909944487358056</v>
      </c>
    </row>
    <row r="449" spans="13:13" x14ac:dyDescent="0.25">
      <c r="M449" s="21">
        <v>0.9574271077563381</v>
      </c>
    </row>
    <row r="450" spans="13:13" x14ac:dyDescent="0.25">
      <c r="M450" s="21">
        <v>2.5819888974716112</v>
      </c>
    </row>
    <row r="451" spans="13:13" x14ac:dyDescent="0.25">
      <c r="M451" s="21">
        <v>1.5</v>
      </c>
    </row>
    <row r="452" spans="13:13" x14ac:dyDescent="0.25">
      <c r="M452" s="21">
        <v>2.2173557826083452</v>
      </c>
    </row>
    <row r="453" spans="13:13" x14ac:dyDescent="0.25">
      <c r="M453" s="21">
        <v>2.1602468994692869</v>
      </c>
    </row>
    <row r="454" spans="13:13" x14ac:dyDescent="0.25">
      <c r="M454" s="21">
        <v>0.9574271077563381</v>
      </c>
    </row>
    <row r="455" spans="13:13" x14ac:dyDescent="0.25">
      <c r="M455" s="21">
        <v>2.6299556396765835</v>
      </c>
    </row>
    <row r="456" spans="13:13" x14ac:dyDescent="0.25">
      <c r="M456" s="21">
        <v>1.4142135623730951</v>
      </c>
    </row>
    <row r="457" spans="13:13" x14ac:dyDescent="0.25">
      <c r="M457" s="21">
        <v>2.6299556396765835</v>
      </c>
    </row>
    <row r="458" spans="13:13" x14ac:dyDescent="0.25">
      <c r="M458" s="21">
        <v>2.0615528128088303</v>
      </c>
    </row>
    <row r="459" spans="13:13" x14ac:dyDescent="0.25">
      <c r="M459" s="21">
        <v>2.8722813232690143</v>
      </c>
    </row>
    <row r="460" spans="13:13" x14ac:dyDescent="0.25">
      <c r="M460" s="21">
        <v>2.5166114784235831</v>
      </c>
    </row>
    <row r="461" spans="13:13" x14ac:dyDescent="0.25">
      <c r="M461" s="21">
        <v>3.3040379335998349</v>
      </c>
    </row>
    <row r="462" spans="13:13" x14ac:dyDescent="0.25">
      <c r="M462" s="21">
        <v>1.1547005383792515</v>
      </c>
    </row>
    <row r="463" spans="13:13" x14ac:dyDescent="0.25">
      <c r="M463" s="21">
        <v>3.3166247903553998</v>
      </c>
    </row>
    <row r="464" spans="13:13" x14ac:dyDescent="0.25">
      <c r="M464" s="21">
        <v>1.4142135623730951</v>
      </c>
    </row>
    <row r="465" spans="13:13" x14ac:dyDescent="0.25">
      <c r="M465" s="21">
        <v>2.753785273643051</v>
      </c>
    </row>
    <row r="466" spans="13:13" x14ac:dyDescent="0.25">
      <c r="M466" s="21">
        <v>2.8722813232690143</v>
      </c>
    </row>
    <row r="467" spans="13:13" x14ac:dyDescent="0.25">
      <c r="M467" s="21">
        <v>1</v>
      </c>
    </row>
    <row r="468" spans="13:13" x14ac:dyDescent="0.25">
      <c r="M468" s="21">
        <v>2.0615528128088303</v>
      </c>
    </row>
    <row r="469" spans="13:13" x14ac:dyDescent="0.25">
      <c r="M469" s="21">
        <v>3.2015621187164243</v>
      </c>
    </row>
    <row r="470" spans="13:13" x14ac:dyDescent="0.25">
      <c r="M470" s="21">
        <v>1.4142135623730951</v>
      </c>
    </row>
    <row r="471" spans="13:13" x14ac:dyDescent="0.25">
      <c r="M471" s="21">
        <v>1</v>
      </c>
    </row>
    <row r="472" spans="13:13" x14ac:dyDescent="0.25">
      <c r="M472" s="21">
        <v>1.2909944487358056</v>
      </c>
    </row>
    <row r="473" spans="13:13" x14ac:dyDescent="0.25">
      <c r="M473" s="21">
        <v>2.3804761428476167</v>
      </c>
    </row>
    <row r="474" spans="13:13" x14ac:dyDescent="0.25">
      <c r="M474" s="21">
        <v>0.9574271077563381</v>
      </c>
    </row>
    <row r="475" spans="13:13" x14ac:dyDescent="0.25">
      <c r="M475" s="21">
        <v>0.81649658092772603</v>
      </c>
    </row>
    <row r="476" spans="13:13" x14ac:dyDescent="0.25">
      <c r="M476" s="21">
        <v>1.707825127659933</v>
      </c>
    </row>
    <row r="477" spans="13:13" x14ac:dyDescent="0.25">
      <c r="M477" s="21">
        <v>1.2583057392117916</v>
      </c>
    </row>
    <row r="478" spans="13:13" x14ac:dyDescent="0.25">
      <c r="M478" s="21">
        <v>2.3804761428476167</v>
      </c>
    </row>
    <row r="479" spans="13:13" x14ac:dyDescent="0.25">
      <c r="M479" s="21">
        <v>2.2173557826083452</v>
      </c>
    </row>
    <row r="480" spans="13:13" x14ac:dyDescent="0.25">
      <c r="M480" s="21">
        <v>2.9439202887759488</v>
      </c>
    </row>
    <row r="481" spans="13:13" x14ac:dyDescent="0.25">
      <c r="M481" s="21">
        <v>3.1091263510296048</v>
      </c>
    </row>
    <row r="482" spans="13:13" x14ac:dyDescent="0.25">
      <c r="M482" s="21">
        <v>1</v>
      </c>
    </row>
    <row r="483" spans="13:13" x14ac:dyDescent="0.25">
      <c r="M483" s="21">
        <v>1.5</v>
      </c>
    </row>
    <row r="484" spans="13:13" x14ac:dyDescent="0.25">
      <c r="M484" s="21">
        <v>2.5</v>
      </c>
    </row>
    <row r="485" spans="13:13" x14ac:dyDescent="0.25">
      <c r="M485" s="21">
        <v>0.9574271077563381</v>
      </c>
    </row>
    <row r="486" spans="13:13" x14ac:dyDescent="0.25">
      <c r="M486" s="21">
        <v>1.707825127659933</v>
      </c>
    </row>
    <row r="487" spans="13:13" x14ac:dyDescent="0.25">
      <c r="M487" s="21">
        <v>2.4494897427831779</v>
      </c>
    </row>
    <row r="488" spans="13:13" x14ac:dyDescent="0.25">
      <c r="M488" s="21">
        <v>1.8257418583505538</v>
      </c>
    </row>
    <row r="489" spans="13:13" x14ac:dyDescent="0.25">
      <c r="M489" s="21">
        <v>1.7320508075688772</v>
      </c>
    </row>
    <row r="490" spans="13:13" x14ac:dyDescent="0.25">
      <c r="M490" s="21">
        <v>1.5</v>
      </c>
    </row>
    <row r="491" spans="13:13" x14ac:dyDescent="0.25">
      <c r="M491" s="21">
        <v>1.2583057392117916</v>
      </c>
    </row>
    <row r="492" spans="13:13" x14ac:dyDescent="0.25">
      <c r="M492" s="21">
        <v>2.3804761428476167</v>
      </c>
    </row>
    <row r="493" spans="13:13" x14ac:dyDescent="0.25">
      <c r="M493" s="21">
        <v>0.57735026918962573</v>
      </c>
    </row>
    <row r="494" spans="13:13" x14ac:dyDescent="0.25">
      <c r="M494" s="21">
        <v>1.4142135623730951</v>
      </c>
    </row>
    <row r="495" spans="13:13" x14ac:dyDescent="0.25">
      <c r="M495" s="21">
        <v>1.6329931618554521</v>
      </c>
    </row>
    <row r="496" spans="13:13" x14ac:dyDescent="0.25">
      <c r="M496" s="21">
        <v>1.5</v>
      </c>
    </row>
    <row r="497" spans="13:13" x14ac:dyDescent="0.25">
      <c r="M497" s="21">
        <v>3.3040379335998349</v>
      </c>
    </row>
    <row r="498" spans="13:13" x14ac:dyDescent="0.25">
      <c r="M498" s="21">
        <v>3.872983346207417</v>
      </c>
    </row>
    <row r="499" spans="13:13" x14ac:dyDescent="0.25">
      <c r="M499" s="21">
        <v>2.5</v>
      </c>
    </row>
    <row r="500" spans="13:13" x14ac:dyDescent="0.25">
      <c r="M500" s="21">
        <v>3.5939764421413041</v>
      </c>
    </row>
    <row r="501" spans="13:13" x14ac:dyDescent="0.25">
      <c r="M501" s="21">
        <v>2.6299556396765835</v>
      </c>
    </row>
    <row r="502" spans="13:13" x14ac:dyDescent="0.25">
      <c r="M502" s="21">
        <v>1.707825127659933</v>
      </c>
    </row>
    <row r="503" spans="13:13" x14ac:dyDescent="0.25">
      <c r="M503" s="21">
        <v>1.6329931618554521</v>
      </c>
    </row>
    <row r="504" spans="13:13" x14ac:dyDescent="0.25">
      <c r="M504" s="21">
        <v>2.5</v>
      </c>
    </row>
    <row r="505" spans="13:13" x14ac:dyDescent="0.25">
      <c r="M505" s="21">
        <v>1.7320508075688772</v>
      </c>
    </row>
    <row r="506" spans="13:13" x14ac:dyDescent="0.25">
      <c r="M506" s="21">
        <v>2.2173557826083452</v>
      </c>
    </row>
    <row r="507" spans="13:13" x14ac:dyDescent="0.25">
      <c r="M507" s="21">
        <v>2.2173557826083452</v>
      </c>
    </row>
    <row r="508" spans="13:13" x14ac:dyDescent="0.25">
      <c r="M508" s="21">
        <v>2</v>
      </c>
    </row>
    <row r="509" spans="13:13" x14ac:dyDescent="0.25">
      <c r="M509" s="21">
        <v>2.753785273643051</v>
      </c>
    </row>
    <row r="510" spans="13:13" x14ac:dyDescent="0.25">
      <c r="M510" s="21">
        <v>1.8929694486000912</v>
      </c>
    </row>
    <row r="511" spans="13:13" x14ac:dyDescent="0.25">
      <c r="M511" s="21">
        <v>3.1091263510296048</v>
      </c>
    </row>
    <row r="512" spans="13:13" x14ac:dyDescent="0.25">
      <c r="M512" s="21">
        <v>2.2173557826083452</v>
      </c>
    </row>
    <row r="513" spans="13:13" x14ac:dyDescent="0.25">
      <c r="M513" s="21">
        <v>3.5939764421413041</v>
      </c>
    </row>
    <row r="514" spans="13:13" x14ac:dyDescent="0.25">
      <c r="M514" s="21">
        <v>1.2583057392117916</v>
      </c>
    </row>
    <row r="515" spans="13:13" x14ac:dyDescent="0.25">
      <c r="M515" s="21">
        <v>2.3804761428476167</v>
      </c>
    </row>
    <row r="516" spans="13:13" x14ac:dyDescent="0.25">
      <c r="M516" s="21">
        <v>1.4142135623730951</v>
      </c>
    </row>
    <row r="517" spans="13:13" x14ac:dyDescent="0.25">
      <c r="M517" s="21">
        <v>1.6329931618554521</v>
      </c>
    </row>
    <row r="518" spans="13:13" x14ac:dyDescent="0.25">
      <c r="M518" s="21">
        <v>0.81649658092772603</v>
      </c>
    </row>
    <row r="519" spans="13:13" x14ac:dyDescent="0.25">
      <c r="M519" s="21">
        <v>2.1602468994692869</v>
      </c>
    </row>
    <row r="520" spans="13:13" x14ac:dyDescent="0.25">
      <c r="M520" s="21">
        <v>2.3629078131263039</v>
      </c>
    </row>
    <row r="521" spans="13:13" x14ac:dyDescent="0.25">
      <c r="M521" s="21">
        <v>2.3804761428476167</v>
      </c>
    </row>
    <row r="522" spans="13:13" x14ac:dyDescent="0.25">
      <c r="M522" s="21">
        <v>1.8257418583505538</v>
      </c>
    </row>
    <row r="523" spans="13:13" x14ac:dyDescent="0.25">
      <c r="M523" s="21">
        <v>1.707825127659933</v>
      </c>
    </row>
    <row r="524" spans="13:13" x14ac:dyDescent="0.25">
      <c r="M524" s="21">
        <v>0.81649658092772603</v>
      </c>
    </row>
    <row r="525" spans="13:13" x14ac:dyDescent="0.25">
      <c r="M525" s="21">
        <v>3.1091263510296048</v>
      </c>
    </row>
    <row r="526" spans="13:13" x14ac:dyDescent="0.25">
      <c r="M526" s="21">
        <v>2.2173557826083452</v>
      </c>
    </row>
    <row r="527" spans="13:13" x14ac:dyDescent="0.25">
      <c r="M527" s="21">
        <v>2.1602468994692869</v>
      </c>
    </row>
    <row r="528" spans="13:13" x14ac:dyDescent="0.25">
      <c r="M528" s="21">
        <v>2.0615528128088303</v>
      </c>
    </row>
    <row r="529" spans="13:13" x14ac:dyDescent="0.25">
      <c r="M529" s="21">
        <v>2.1602468994692869</v>
      </c>
    </row>
    <row r="530" spans="13:13" x14ac:dyDescent="0.25">
      <c r="M530" s="21">
        <v>2.1602468994692869</v>
      </c>
    </row>
    <row r="531" spans="13:13" x14ac:dyDescent="0.25">
      <c r="M531" s="21">
        <v>1.8257418583505538</v>
      </c>
    </row>
    <row r="532" spans="13:13" x14ac:dyDescent="0.25">
      <c r="M532" s="21">
        <v>3.0956959368344519</v>
      </c>
    </row>
    <row r="533" spans="13:13" x14ac:dyDescent="0.25">
      <c r="M533" s="21">
        <v>0.81649658092772603</v>
      </c>
    </row>
    <row r="534" spans="13:13" x14ac:dyDescent="0.25">
      <c r="M534" s="21">
        <v>2.753785273643051</v>
      </c>
    </row>
    <row r="535" spans="13:13" x14ac:dyDescent="0.25">
      <c r="M535" s="21">
        <v>1</v>
      </c>
    </row>
    <row r="536" spans="13:13" x14ac:dyDescent="0.25">
      <c r="M536" s="21">
        <v>1.5</v>
      </c>
    </row>
    <row r="537" spans="13:13" x14ac:dyDescent="0.25">
      <c r="M537" s="21">
        <v>1</v>
      </c>
    </row>
    <row r="538" spans="13:13" x14ac:dyDescent="0.25">
      <c r="M538" s="21">
        <v>1.2909944487358056</v>
      </c>
    </row>
    <row r="539" spans="13:13" x14ac:dyDescent="0.25">
      <c r="M539" s="21">
        <v>3.1091263510296048</v>
      </c>
    </row>
    <row r="540" spans="13:13" x14ac:dyDescent="0.25">
      <c r="M540" s="21">
        <v>1.5</v>
      </c>
    </row>
    <row r="541" spans="13:13" x14ac:dyDescent="0.25">
      <c r="M541" s="21">
        <v>0.81649658092772603</v>
      </c>
    </row>
    <row r="542" spans="13:13" x14ac:dyDescent="0.25">
      <c r="M542" s="21">
        <v>2.0615528128088303</v>
      </c>
    </row>
    <row r="543" spans="13:13" x14ac:dyDescent="0.25">
      <c r="M543" s="21">
        <v>3.1091263510296048</v>
      </c>
    </row>
    <row r="544" spans="13:13" x14ac:dyDescent="0.25">
      <c r="M544" s="21">
        <v>0.57735026918962573</v>
      </c>
    </row>
    <row r="545" spans="13:13" x14ac:dyDescent="0.25">
      <c r="M545" s="21">
        <v>2.1602468994692869</v>
      </c>
    </row>
    <row r="546" spans="13:13" x14ac:dyDescent="0.25">
      <c r="M546" s="21">
        <v>3.3040379335998349</v>
      </c>
    </row>
    <row r="547" spans="13:13" x14ac:dyDescent="0.25">
      <c r="M547" s="21">
        <v>1</v>
      </c>
    </row>
    <row r="548" spans="13:13" x14ac:dyDescent="0.25">
      <c r="M548" s="21">
        <v>2</v>
      </c>
    </row>
    <row r="549" spans="13:13" x14ac:dyDescent="0.25">
      <c r="M549" s="21">
        <v>1.9148542155126762</v>
      </c>
    </row>
    <row r="550" spans="13:13" x14ac:dyDescent="0.25">
      <c r="M550" s="21">
        <v>2.6457513110645907</v>
      </c>
    </row>
    <row r="551" spans="13:13" x14ac:dyDescent="0.25">
      <c r="M551" s="21">
        <v>3.2015621187164243</v>
      </c>
    </row>
    <row r="552" spans="13:13" x14ac:dyDescent="0.25">
      <c r="M552" s="21">
        <v>1.5</v>
      </c>
    </row>
    <row r="553" spans="13:13" x14ac:dyDescent="0.25">
      <c r="M553" s="21">
        <v>1</v>
      </c>
    </row>
    <row r="554" spans="13:13" x14ac:dyDescent="0.25">
      <c r="M554" s="21">
        <v>2.1602468994692869</v>
      </c>
    </row>
    <row r="555" spans="13:13" x14ac:dyDescent="0.25">
      <c r="M555" s="21">
        <v>1.7320508075688772</v>
      </c>
    </row>
    <row r="556" spans="13:13" x14ac:dyDescent="0.25">
      <c r="M556" s="21">
        <v>2.6299556396765835</v>
      </c>
    </row>
    <row r="557" spans="13:13" x14ac:dyDescent="0.25">
      <c r="M557" s="21">
        <v>2.3804761428476167</v>
      </c>
    </row>
    <row r="558" spans="13:13" x14ac:dyDescent="0.25">
      <c r="M558" s="21">
        <v>0</v>
      </c>
    </row>
    <row r="559" spans="13:13" x14ac:dyDescent="0.25">
      <c r="M559" s="21">
        <v>2.1602468994692869</v>
      </c>
    </row>
    <row r="560" spans="13:13" x14ac:dyDescent="0.25">
      <c r="M560" s="21">
        <v>1.2583057392117916</v>
      </c>
    </row>
    <row r="561" spans="13:13" x14ac:dyDescent="0.25">
      <c r="M561" s="21">
        <v>2.2173557826083452</v>
      </c>
    </row>
    <row r="562" spans="13:13" x14ac:dyDescent="0.25">
      <c r="M562" s="21">
        <v>0.9574271077563381</v>
      </c>
    </row>
    <row r="563" spans="13:13" x14ac:dyDescent="0.25">
      <c r="M563" s="21">
        <v>2.0615528128088303</v>
      </c>
    </row>
    <row r="564" spans="13:13" x14ac:dyDescent="0.25">
      <c r="M564" s="21">
        <v>3.4034296427770228</v>
      </c>
    </row>
    <row r="565" spans="13:13" x14ac:dyDescent="0.25">
      <c r="M565" s="21">
        <v>0.9574271077563381</v>
      </c>
    </row>
    <row r="566" spans="13:13" x14ac:dyDescent="0.25">
      <c r="M566" s="21">
        <v>1.2909944487358056</v>
      </c>
    </row>
    <row r="567" spans="13:13" x14ac:dyDescent="0.25">
      <c r="M567" s="21">
        <v>1.8929694486000912</v>
      </c>
    </row>
    <row r="568" spans="13:13" x14ac:dyDescent="0.25">
      <c r="M568" s="21">
        <v>1.9148542155126762</v>
      </c>
    </row>
    <row r="569" spans="13:13" x14ac:dyDescent="0.25">
      <c r="M569" s="21">
        <v>0.5</v>
      </c>
    </row>
    <row r="570" spans="13:13" x14ac:dyDescent="0.25">
      <c r="M570" s="21">
        <v>1.2909944487358056</v>
      </c>
    </row>
    <row r="571" spans="13:13" x14ac:dyDescent="0.25">
      <c r="M571" s="21">
        <v>2.2173557826083452</v>
      </c>
    </row>
    <row r="572" spans="13:13" x14ac:dyDescent="0.25">
      <c r="M572" s="21">
        <v>1.5</v>
      </c>
    </row>
    <row r="573" spans="13:13" x14ac:dyDescent="0.25">
      <c r="M573" s="21">
        <v>3.9475730941090039</v>
      </c>
    </row>
    <row r="574" spans="13:13" x14ac:dyDescent="0.25">
      <c r="M574" s="21">
        <v>2.4494897427831779</v>
      </c>
    </row>
    <row r="575" spans="13:13" x14ac:dyDescent="0.25">
      <c r="M575" s="21">
        <v>4.9916597106239795</v>
      </c>
    </row>
    <row r="576" spans="13:13" x14ac:dyDescent="0.25">
      <c r="M576" s="21">
        <v>2.5819888974716112</v>
      </c>
    </row>
    <row r="577" spans="13:13" x14ac:dyDescent="0.25">
      <c r="M577" s="21">
        <v>1.8929694486000912</v>
      </c>
    </row>
    <row r="578" spans="13:13" x14ac:dyDescent="0.25">
      <c r="M578" s="21">
        <v>1.707825127659933</v>
      </c>
    </row>
    <row r="579" spans="13:13" x14ac:dyDescent="0.25">
      <c r="M579" s="21">
        <v>1.6329931618554521</v>
      </c>
    </row>
    <row r="580" spans="13:13" x14ac:dyDescent="0.25">
      <c r="M580" s="21">
        <v>2.6457513110645907</v>
      </c>
    </row>
    <row r="581" spans="13:13" x14ac:dyDescent="0.25">
      <c r="M581" s="21">
        <v>1.8257418583505538</v>
      </c>
    </row>
    <row r="582" spans="13:13" x14ac:dyDescent="0.25">
      <c r="M582" s="21">
        <v>1.2909944487358056</v>
      </c>
    </row>
    <row r="583" spans="13:13" x14ac:dyDescent="0.25">
      <c r="M583" s="21">
        <v>1.8257418583505538</v>
      </c>
    </row>
    <row r="584" spans="13:13" x14ac:dyDescent="0.25">
      <c r="M584" s="21">
        <v>1.8929694486000912</v>
      </c>
    </row>
    <row r="585" spans="13:13" x14ac:dyDescent="0.25">
      <c r="M585" s="21">
        <v>1.4142135623730951</v>
      </c>
    </row>
    <row r="586" spans="13:13" x14ac:dyDescent="0.25">
      <c r="M586" s="21">
        <v>1.707825127659933</v>
      </c>
    </row>
    <row r="587" spans="13:13" x14ac:dyDescent="0.25">
      <c r="M587" s="21">
        <v>0.5</v>
      </c>
    </row>
    <row r="588" spans="13:13" x14ac:dyDescent="0.25">
      <c r="M588" s="21">
        <v>1.5</v>
      </c>
    </row>
    <row r="589" spans="13:13" x14ac:dyDescent="0.25">
      <c r="M589" s="21">
        <v>2.2173557826083452</v>
      </c>
    </row>
    <row r="590" spans="13:13" x14ac:dyDescent="0.25">
      <c r="M590" s="21">
        <v>1.2583057392117916</v>
      </c>
    </row>
    <row r="591" spans="13:13" x14ac:dyDescent="0.25">
      <c r="M591" s="21">
        <v>2.9439202887759488</v>
      </c>
    </row>
    <row r="592" spans="13:13" x14ac:dyDescent="0.25">
      <c r="M592" s="21">
        <v>1.7320508075688772</v>
      </c>
    </row>
    <row r="593" spans="13:13" x14ac:dyDescent="0.25">
      <c r="M593" s="21">
        <v>1.2583057392117916</v>
      </c>
    </row>
    <row r="594" spans="13:13" x14ac:dyDescent="0.25">
      <c r="M594" s="21">
        <v>2.0816659994661326</v>
      </c>
    </row>
    <row r="595" spans="13:13" x14ac:dyDescent="0.25">
      <c r="M595" s="21">
        <v>1</v>
      </c>
    </row>
    <row r="596" spans="13:13" x14ac:dyDescent="0.25">
      <c r="M596" s="21">
        <v>0.81649658092772603</v>
      </c>
    </row>
    <row r="597" spans="13:13" x14ac:dyDescent="0.25">
      <c r="M597" s="21">
        <v>3</v>
      </c>
    </row>
    <row r="598" spans="13:13" x14ac:dyDescent="0.25">
      <c r="M598" s="21">
        <v>1.5</v>
      </c>
    </row>
    <row r="599" spans="13:13" x14ac:dyDescent="0.25">
      <c r="M599" s="21">
        <v>2.2173557826083452</v>
      </c>
    </row>
    <row r="600" spans="13:13" x14ac:dyDescent="0.25">
      <c r="M600" s="21">
        <v>2.4494897427831779</v>
      </c>
    </row>
    <row r="601" spans="13:13" x14ac:dyDescent="0.25">
      <c r="M601" s="21">
        <v>1.2909944487358056</v>
      </c>
    </row>
    <row r="602" spans="13:13" x14ac:dyDescent="0.25">
      <c r="M602" s="21">
        <v>2.3804761428476167</v>
      </c>
    </row>
    <row r="603" spans="13:13" x14ac:dyDescent="0.25">
      <c r="M603" s="21">
        <v>1.2909944487358056</v>
      </c>
    </row>
    <row r="604" spans="13:13" x14ac:dyDescent="0.25">
      <c r="M604" s="21">
        <v>2.6457513110645907</v>
      </c>
    </row>
    <row r="605" spans="13:13" x14ac:dyDescent="0.25">
      <c r="M605" s="21">
        <v>1.2583057392117916</v>
      </c>
    </row>
    <row r="606" spans="13:13" x14ac:dyDescent="0.25">
      <c r="M606" s="21">
        <v>2.4494897427831779</v>
      </c>
    </row>
    <row r="607" spans="13:13" x14ac:dyDescent="0.25">
      <c r="M607" s="21">
        <v>0.5</v>
      </c>
    </row>
    <row r="608" spans="13:13" x14ac:dyDescent="0.25">
      <c r="M608" s="21">
        <v>2.9439202887759488</v>
      </c>
    </row>
    <row r="609" spans="13:13" x14ac:dyDescent="0.25">
      <c r="M609" s="21">
        <v>2.0615528128088303</v>
      </c>
    </row>
    <row r="610" spans="13:13" x14ac:dyDescent="0.25">
      <c r="M610" s="21">
        <v>3.1622776601683795</v>
      </c>
    </row>
    <row r="611" spans="13:13" x14ac:dyDescent="0.25">
      <c r="M611" s="21">
        <v>2.0615528128088303</v>
      </c>
    </row>
    <row r="612" spans="13:13" x14ac:dyDescent="0.25">
      <c r="M612" s="21">
        <v>1.9148542155126762</v>
      </c>
    </row>
    <row r="613" spans="13:13" x14ac:dyDescent="0.25">
      <c r="M613" s="21">
        <v>1.707825127659933</v>
      </c>
    </row>
    <row r="614" spans="13:13" x14ac:dyDescent="0.25">
      <c r="M614" s="21">
        <v>1.2909944487358056</v>
      </c>
    </row>
    <row r="615" spans="13:13" x14ac:dyDescent="0.25">
      <c r="M615" s="21">
        <v>3.2015621187164243</v>
      </c>
    </row>
    <row r="616" spans="13:13" x14ac:dyDescent="0.25">
      <c r="M616" s="21">
        <v>1.707825127659933</v>
      </c>
    </row>
    <row r="617" spans="13:13" x14ac:dyDescent="0.25">
      <c r="M617" s="21">
        <v>2.6299556396765835</v>
      </c>
    </row>
    <row r="618" spans="13:13" x14ac:dyDescent="0.25">
      <c r="M618" s="21">
        <v>2.0615528128088303</v>
      </c>
    </row>
    <row r="619" spans="13:13" x14ac:dyDescent="0.25">
      <c r="M619" s="21">
        <v>1.5</v>
      </c>
    </row>
    <row r="620" spans="13:13" x14ac:dyDescent="0.25">
      <c r="M620" s="21">
        <v>2.3804761428476167</v>
      </c>
    </row>
    <row r="621" spans="13:13" x14ac:dyDescent="0.25">
      <c r="M621" s="21">
        <v>3.4034296427770228</v>
      </c>
    </row>
    <row r="622" spans="13:13" x14ac:dyDescent="0.25">
      <c r="M622" s="21">
        <v>1.2583057392117916</v>
      </c>
    </row>
    <row r="623" spans="13:13" x14ac:dyDescent="0.25">
      <c r="M623" s="21">
        <v>1.8929694486000912</v>
      </c>
    </row>
    <row r="624" spans="13:13" x14ac:dyDescent="0.25">
      <c r="M624" s="21">
        <v>0.9574271077563381</v>
      </c>
    </row>
    <row r="625" spans="13:13" x14ac:dyDescent="0.25">
      <c r="M625" s="21">
        <v>0.9574271077563381</v>
      </c>
    </row>
    <row r="626" spans="13:13" x14ac:dyDescent="0.25">
      <c r="M626" s="21">
        <v>1.2909944487358056</v>
      </c>
    </row>
    <row r="627" spans="13:13" x14ac:dyDescent="0.25">
      <c r="M627" s="21">
        <v>3.1091263510296048</v>
      </c>
    </row>
    <row r="628" spans="13:13" x14ac:dyDescent="0.25">
      <c r="M628" s="21">
        <v>3.5939764421413041</v>
      </c>
    </row>
    <row r="629" spans="13:13" x14ac:dyDescent="0.25">
      <c r="M629" s="21">
        <v>1.8929694486000912</v>
      </c>
    </row>
    <row r="630" spans="13:13" x14ac:dyDescent="0.25">
      <c r="M630" s="21">
        <v>2.8722813232690143</v>
      </c>
    </row>
    <row r="631" spans="13:13" x14ac:dyDescent="0.25">
      <c r="M631" s="21">
        <v>1</v>
      </c>
    </row>
    <row r="632" spans="13:13" x14ac:dyDescent="0.25">
      <c r="M632" s="21">
        <v>3.1091263510296048</v>
      </c>
    </row>
    <row r="633" spans="13:13" x14ac:dyDescent="0.25">
      <c r="M633" s="21">
        <v>4.1231056256176606</v>
      </c>
    </row>
    <row r="634" spans="13:13" x14ac:dyDescent="0.25">
      <c r="M634" s="21">
        <v>1.2583057392117916</v>
      </c>
    </row>
    <row r="635" spans="13:13" x14ac:dyDescent="0.25">
      <c r="M635" s="21">
        <v>1.7320508075688772</v>
      </c>
    </row>
    <row r="636" spans="13:13" x14ac:dyDescent="0.25">
      <c r="M636" s="21">
        <v>0.81649658092772603</v>
      </c>
    </row>
    <row r="637" spans="13:13" x14ac:dyDescent="0.25">
      <c r="M637" s="21">
        <v>2.5</v>
      </c>
    </row>
    <row r="638" spans="13:13" x14ac:dyDescent="0.25">
      <c r="M638" s="21">
        <v>0.57735026918962573</v>
      </c>
    </row>
    <row r="639" spans="13:13" x14ac:dyDescent="0.25">
      <c r="M639" s="21">
        <v>1.7320508075688772</v>
      </c>
    </row>
    <row r="640" spans="13:13" x14ac:dyDescent="0.25">
      <c r="M640" s="21">
        <v>2.753785273643051</v>
      </c>
    </row>
    <row r="641" spans="13:13" x14ac:dyDescent="0.25">
      <c r="M641" s="21">
        <v>1.2909944487358056</v>
      </c>
    </row>
    <row r="642" spans="13:13" x14ac:dyDescent="0.25">
      <c r="M642" s="21">
        <v>1.9148542155126762</v>
      </c>
    </row>
    <row r="643" spans="13:13" x14ac:dyDescent="0.25">
      <c r="M643" s="21">
        <v>3.8297084310253524</v>
      </c>
    </row>
    <row r="644" spans="13:13" x14ac:dyDescent="0.25">
      <c r="M644" s="21">
        <v>1.4142135623730951</v>
      </c>
    </row>
    <row r="645" spans="13:13" x14ac:dyDescent="0.25">
      <c r="M645" s="21">
        <v>2.1602468994692869</v>
      </c>
    </row>
    <row r="646" spans="13:13" x14ac:dyDescent="0.25">
      <c r="M646" s="21">
        <v>1.8929694486000912</v>
      </c>
    </row>
    <row r="647" spans="13:13" x14ac:dyDescent="0.25">
      <c r="M647" s="21">
        <v>0.9574271077563381</v>
      </c>
    </row>
    <row r="648" spans="13:13" x14ac:dyDescent="0.25">
      <c r="M648" s="21">
        <v>2.753785273643051</v>
      </c>
    </row>
    <row r="649" spans="13:13" x14ac:dyDescent="0.25">
      <c r="M649" s="21">
        <v>1.4142135623730951</v>
      </c>
    </row>
    <row r="650" spans="13:13" x14ac:dyDescent="0.25">
      <c r="M650" s="21">
        <v>1.8257418583505538</v>
      </c>
    </row>
    <row r="651" spans="13:13" x14ac:dyDescent="0.25">
      <c r="M651" s="21">
        <v>1.8929694486000912</v>
      </c>
    </row>
    <row r="652" spans="13:13" x14ac:dyDescent="0.25">
      <c r="M652" s="21">
        <v>1.4142135623730951</v>
      </c>
    </row>
    <row r="653" spans="13:13" x14ac:dyDescent="0.25">
      <c r="M653" s="21">
        <v>0.81649658092772603</v>
      </c>
    </row>
    <row r="654" spans="13:13" x14ac:dyDescent="0.25">
      <c r="M654" s="21">
        <v>1.707825127659933</v>
      </c>
    </row>
    <row r="655" spans="13:13" x14ac:dyDescent="0.25">
      <c r="M655" s="21">
        <v>1.2583057392117916</v>
      </c>
    </row>
    <row r="656" spans="13:13" x14ac:dyDescent="0.25">
      <c r="M656" s="21">
        <v>2.8284271247461903</v>
      </c>
    </row>
    <row r="657" spans="13:13" x14ac:dyDescent="0.25">
      <c r="M657" s="21">
        <v>0.57735026918962573</v>
      </c>
    </row>
    <row r="658" spans="13:13" x14ac:dyDescent="0.25">
      <c r="M658" s="21">
        <v>1.8929694486000912</v>
      </c>
    </row>
    <row r="659" spans="13:13" x14ac:dyDescent="0.25">
      <c r="M659" s="21">
        <v>2.9860788111948193</v>
      </c>
    </row>
    <row r="660" spans="13:13" x14ac:dyDescent="0.25">
      <c r="M660" s="21">
        <v>1</v>
      </c>
    </row>
    <row r="661" spans="13:13" x14ac:dyDescent="0.25">
      <c r="M661" s="21">
        <v>2.5</v>
      </c>
    </row>
    <row r="662" spans="13:13" x14ac:dyDescent="0.25">
      <c r="M662" s="21">
        <v>2.4494897427831779</v>
      </c>
    </row>
    <row r="663" spans="13:13" x14ac:dyDescent="0.25">
      <c r="M663" s="21">
        <v>2.4494897427831779</v>
      </c>
    </row>
    <row r="664" spans="13:13" x14ac:dyDescent="0.25">
      <c r="M664" s="21">
        <v>2.1602468994692869</v>
      </c>
    </row>
    <row r="665" spans="13:13" x14ac:dyDescent="0.25">
      <c r="M665" s="21">
        <v>2.5166114784235831</v>
      </c>
    </row>
    <row r="666" spans="13:13" x14ac:dyDescent="0.25">
      <c r="M666" s="21">
        <v>1.7320508075688772</v>
      </c>
    </row>
    <row r="667" spans="13:13" x14ac:dyDescent="0.25">
      <c r="M667" s="21">
        <v>2.6457513110645907</v>
      </c>
    </row>
    <row r="668" spans="13:13" x14ac:dyDescent="0.25">
      <c r="M668" s="21">
        <v>0.81649658092772603</v>
      </c>
    </row>
    <row r="669" spans="13:13" x14ac:dyDescent="0.25">
      <c r="M669" s="21">
        <v>2.5</v>
      </c>
    </row>
    <row r="670" spans="13:13" x14ac:dyDescent="0.25">
      <c r="M670" s="21">
        <v>1.5</v>
      </c>
    </row>
    <row r="671" spans="13:13" x14ac:dyDescent="0.25">
      <c r="M671" s="21">
        <v>2.3804761428476167</v>
      </c>
    </row>
    <row r="672" spans="13:13" x14ac:dyDescent="0.25">
      <c r="M672" s="21">
        <v>1.707825127659933</v>
      </c>
    </row>
    <row r="673" spans="13:13" x14ac:dyDescent="0.25">
      <c r="M673" s="21">
        <v>3.3040379335998349</v>
      </c>
    </row>
    <row r="674" spans="13:13" x14ac:dyDescent="0.25">
      <c r="M674" s="21">
        <v>1.5</v>
      </c>
    </row>
    <row r="675" spans="13:13" x14ac:dyDescent="0.25">
      <c r="M675" s="21">
        <v>1.5</v>
      </c>
    </row>
    <row r="676" spans="13:13" x14ac:dyDescent="0.25">
      <c r="M676" s="21">
        <v>1.2583057392117916</v>
      </c>
    </row>
    <row r="677" spans="13:13" x14ac:dyDescent="0.25">
      <c r="M677" s="21">
        <v>1</v>
      </c>
    </row>
    <row r="678" spans="13:13" x14ac:dyDescent="0.25">
      <c r="M678" s="21">
        <v>2</v>
      </c>
    </row>
    <row r="679" spans="13:13" x14ac:dyDescent="0.25">
      <c r="M679" s="21">
        <v>3.3040379335998349</v>
      </c>
    </row>
    <row r="680" spans="13:13" x14ac:dyDescent="0.25">
      <c r="M680" s="21">
        <v>2.0615528128088303</v>
      </c>
    </row>
    <row r="681" spans="13:13" x14ac:dyDescent="0.25">
      <c r="M681" s="21">
        <v>2.2173557826083452</v>
      </c>
    </row>
    <row r="682" spans="13:13" x14ac:dyDescent="0.25">
      <c r="M682" s="21">
        <v>2.8867513459481291</v>
      </c>
    </row>
    <row r="683" spans="13:13" x14ac:dyDescent="0.25">
      <c r="M683" s="21">
        <v>2.1602468994692869</v>
      </c>
    </row>
    <row r="684" spans="13:13" x14ac:dyDescent="0.25">
      <c r="M684" s="21">
        <v>1.4142135623730951</v>
      </c>
    </row>
    <row r="685" spans="13:13" x14ac:dyDescent="0.25">
      <c r="M685" s="21">
        <v>1.5</v>
      </c>
    </row>
    <row r="686" spans="13:13" x14ac:dyDescent="0.25">
      <c r="M686" s="21">
        <v>2.8722813232690143</v>
      </c>
    </row>
    <row r="687" spans="13:13" x14ac:dyDescent="0.25">
      <c r="M687" s="21">
        <v>0.9574271077563381</v>
      </c>
    </row>
    <row r="688" spans="13:13" x14ac:dyDescent="0.25">
      <c r="M688" s="21">
        <v>1.2583057392117916</v>
      </c>
    </row>
    <row r="689" spans="13:13" x14ac:dyDescent="0.25">
      <c r="M689" s="21">
        <v>0.9574271077563381</v>
      </c>
    </row>
    <row r="690" spans="13:13" x14ac:dyDescent="0.25">
      <c r="M690" s="21">
        <v>2.9439202887759488</v>
      </c>
    </row>
    <row r="691" spans="13:13" x14ac:dyDescent="0.25">
      <c r="M691" s="21">
        <v>3.1091263510296048</v>
      </c>
    </row>
    <row r="692" spans="13:13" x14ac:dyDescent="0.25">
      <c r="M692" s="21">
        <v>0.57735026918962573</v>
      </c>
    </row>
    <row r="693" spans="13:13" x14ac:dyDescent="0.25">
      <c r="M693" s="21">
        <v>0.9574271077563381</v>
      </c>
    </row>
    <row r="694" spans="13:13" x14ac:dyDescent="0.25">
      <c r="M694" s="21">
        <v>1.5</v>
      </c>
    </row>
    <row r="695" spans="13:13" x14ac:dyDescent="0.25">
      <c r="M695" s="21">
        <v>1.8929694486000912</v>
      </c>
    </row>
    <row r="696" spans="13:13" x14ac:dyDescent="0.25">
      <c r="M696" s="21">
        <v>2.4494897427831779</v>
      </c>
    </row>
    <row r="697" spans="13:13" x14ac:dyDescent="0.25">
      <c r="M697" s="21">
        <v>2.9860788111948193</v>
      </c>
    </row>
    <row r="698" spans="13:13" x14ac:dyDescent="0.25">
      <c r="M698" s="21">
        <v>2.8722813232690143</v>
      </c>
    </row>
    <row r="699" spans="13:13" x14ac:dyDescent="0.25">
      <c r="M699" s="21">
        <v>2.6457513110645907</v>
      </c>
    </row>
    <row r="700" spans="13:13" x14ac:dyDescent="0.25">
      <c r="M700" s="21">
        <v>2.1602468994692869</v>
      </c>
    </row>
    <row r="701" spans="13:13" x14ac:dyDescent="0.25">
      <c r="M701" s="21">
        <v>3.6968455021364721</v>
      </c>
    </row>
    <row r="702" spans="13:13" x14ac:dyDescent="0.25">
      <c r="M702" s="21">
        <v>3.1622776601683795</v>
      </c>
    </row>
    <row r="703" spans="13:13" x14ac:dyDescent="0.25">
      <c r="M703" s="21">
        <v>2.0816659994661326</v>
      </c>
    </row>
    <row r="704" spans="13:13" x14ac:dyDescent="0.25">
      <c r="M704" s="21">
        <v>2.70801280154532</v>
      </c>
    </row>
    <row r="705" spans="13:13" x14ac:dyDescent="0.25">
      <c r="M705" s="21">
        <v>2.5</v>
      </c>
    </row>
    <row r="706" spans="13:13" x14ac:dyDescent="0.25">
      <c r="M706" s="21">
        <v>0.81649658092772603</v>
      </c>
    </row>
    <row r="707" spans="13:13" x14ac:dyDescent="0.25">
      <c r="M707" s="21">
        <v>3.1622776601683795</v>
      </c>
    </row>
    <row r="708" spans="13:13" x14ac:dyDescent="0.25">
      <c r="M708" s="21">
        <v>2.8722813232690143</v>
      </c>
    </row>
    <row r="709" spans="13:13" x14ac:dyDescent="0.25">
      <c r="M709" s="21">
        <v>1.4142135623730951</v>
      </c>
    </row>
    <row r="710" spans="13:13" x14ac:dyDescent="0.25">
      <c r="M710" s="21">
        <v>0.5</v>
      </c>
    </row>
    <row r="711" spans="13:13" x14ac:dyDescent="0.25">
      <c r="M711" s="21">
        <v>1.9148542155126762</v>
      </c>
    </row>
    <row r="712" spans="13:13" x14ac:dyDescent="0.25">
      <c r="M712" s="21">
        <v>2.1602468994692869</v>
      </c>
    </row>
    <row r="713" spans="13:13" x14ac:dyDescent="0.25">
      <c r="M713" s="21">
        <v>1.8929694486000912</v>
      </c>
    </row>
    <row r="714" spans="13:13" x14ac:dyDescent="0.25">
      <c r="M714" s="21">
        <v>1.8929694486000912</v>
      </c>
    </row>
    <row r="715" spans="13:13" x14ac:dyDescent="0.25">
      <c r="M715" s="21">
        <v>1.5</v>
      </c>
    </row>
    <row r="716" spans="13:13" x14ac:dyDescent="0.25">
      <c r="M716" s="21">
        <v>2.6299556396765835</v>
      </c>
    </row>
    <row r="717" spans="13:13" x14ac:dyDescent="0.25">
      <c r="M717" s="21">
        <v>3.3166247903553998</v>
      </c>
    </row>
    <row r="718" spans="13:13" x14ac:dyDescent="0.25">
      <c r="M718" s="21">
        <v>1.2583057392117916</v>
      </c>
    </row>
    <row r="719" spans="13:13" x14ac:dyDescent="0.25">
      <c r="M719" s="21">
        <v>1.4142135623730951</v>
      </c>
    </row>
    <row r="720" spans="13:13" x14ac:dyDescent="0.25">
      <c r="M720" s="21">
        <v>1.5</v>
      </c>
    </row>
    <row r="721" spans="13:13" x14ac:dyDescent="0.25">
      <c r="M721" s="21">
        <v>1.4142135623730951</v>
      </c>
    </row>
    <row r="722" spans="13:13" x14ac:dyDescent="0.25">
      <c r="M722" s="21">
        <v>1.2583057392117916</v>
      </c>
    </row>
    <row r="723" spans="13:13" x14ac:dyDescent="0.25">
      <c r="M723" s="21">
        <v>3</v>
      </c>
    </row>
    <row r="724" spans="13:13" x14ac:dyDescent="0.25">
      <c r="M724" s="21">
        <v>1.7320508075688772</v>
      </c>
    </row>
    <row r="725" spans="13:13" x14ac:dyDescent="0.25">
      <c r="M725" s="21">
        <v>1.2583057392117916</v>
      </c>
    </row>
    <row r="726" spans="13:13" x14ac:dyDescent="0.25">
      <c r="M726" s="21">
        <v>1.6329931618554521</v>
      </c>
    </row>
    <row r="727" spans="13:13" x14ac:dyDescent="0.25">
      <c r="M727" s="21">
        <v>1.5</v>
      </c>
    </row>
    <row r="728" spans="13:13" x14ac:dyDescent="0.25">
      <c r="M728" s="21">
        <v>4.2720018726587652</v>
      </c>
    </row>
    <row r="729" spans="13:13" x14ac:dyDescent="0.25">
      <c r="M729" s="21">
        <v>1.7320508075688772</v>
      </c>
    </row>
    <row r="730" spans="13:13" x14ac:dyDescent="0.25">
      <c r="M730" s="21">
        <v>2.6457513110645907</v>
      </c>
    </row>
    <row r="731" spans="13:13" x14ac:dyDescent="0.25">
      <c r="M731" s="21">
        <v>2.3804761428476167</v>
      </c>
    </row>
    <row r="732" spans="13:13" x14ac:dyDescent="0.25">
      <c r="M732" s="21">
        <v>2.3804761428476167</v>
      </c>
    </row>
    <row r="733" spans="13:13" x14ac:dyDescent="0.25">
      <c r="M733" s="21">
        <v>1.6329931618554521</v>
      </c>
    </row>
    <row r="734" spans="13:13" x14ac:dyDescent="0.25">
      <c r="M734" s="21">
        <v>1.2909944487358056</v>
      </c>
    </row>
    <row r="735" spans="13:13" x14ac:dyDescent="0.25">
      <c r="M735" s="21">
        <v>2.9439202887759488</v>
      </c>
    </row>
    <row r="736" spans="13:13" x14ac:dyDescent="0.25">
      <c r="M736" s="21">
        <v>3.3040379335998349</v>
      </c>
    </row>
    <row r="737" spans="13:13" x14ac:dyDescent="0.25">
      <c r="M737" s="21">
        <v>2.3094010767585029</v>
      </c>
    </row>
    <row r="738" spans="13:13" x14ac:dyDescent="0.25">
      <c r="M738" s="21">
        <v>0.81649658092772603</v>
      </c>
    </row>
    <row r="739" spans="13:13" x14ac:dyDescent="0.25">
      <c r="M739" s="21">
        <v>3.1091263510296048</v>
      </c>
    </row>
    <row r="740" spans="13:13" x14ac:dyDescent="0.25">
      <c r="M740" s="21">
        <v>1.7320508075688772</v>
      </c>
    </row>
    <row r="741" spans="13:13" x14ac:dyDescent="0.25">
      <c r="M741" s="21">
        <v>3.1091263510296048</v>
      </c>
    </row>
    <row r="742" spans="13:13" x14ac:dyDescent="0.25">
      <c r="M742" s="21">
        <v>1</v>
      </c>
    </row>
    <row r="743" spans="13:13" x14ac:dyDescent="0.25">
      <c r="M743" s="21">
        <v>3.1091263510296048</v>
      </c>
    </row>
    <row r="744" spans="13:13" x14ac:dyDescent="0.25">
      <c r="M744" s="21">
        <v>1.2909944487358056</v>
      </c>
    </row>
    <row r="745" spans="13:13" x14ac:dyDescent="0.25">
      <c r="M745" s="21">
        <v>1.7320508075688772</v>
      </c>
    </row>
    <row r="746" spans="13:13" x14ac:dyDescent="0.25">
      <c r="M746" s="21">
        <v>2.0615528128088303</v>
      </c>
    </row>
    <row r="747" spans="13:13" x14ac:dyDescent="0.25">
      <c r="M747" s="21">
        <v>1.2583057392117916</v>
      </c>
    </row>
    <row r="748" spans="13:13" x14ac:dyDescent="0.25">
      <c r="M748" s="21">
        <v>2.2173557826083452</v>
      </c>
    </row>
    <row r="749" spans="13:13" x14ac:dyDescent="0.25">
      <c r="M749" s="21">
        <v>1.5</v>
      </c>
    </row>
    <row r="750" spans="13:13" x14ac:dyDescent="0.25">
      <c r="M750" s="21">
        <v>3.3166247903553998</v>
      </c>
    </row>
    <row r="751" spans="13:13" x14ac:dyDescent="0.25">
      <c r="M751" s="21">
        <v>2.2173557826083452</v>
      </c>
    </row>
    <row r="752" spans="13:13" x14ac:dyDescent="0.25">
      <c r="M752" s="21">
        <v>2.3804761428476167</v>
      </c>
    </row>
    <row r="753" spans="13:13" x14ac:dyDescent="0.25">
      <c r="M753" s="21">
        <v>1.5</v>
      </c>
    </row>
    <row r="754" spans="13:13" x14ac:dyDescent="0.25">
      <c r="M754" s="21">
        <v>1.8929694486000912</v>
      </c>
    </row>
    <row r="755" spans="13:13" x14ac:dyDescent="0.25">
      <c r="M755" s="21">
        <v>1.5</v>
      </c>
    </row>
    <row r="756" spans="13:13" x14ac:dyDescent="0.25">
      <c r="M756" s="21">
        <v>0.9574271077563381</v>
      </c>
    </row>
    <row r="757" spans="13:13" x14ac:dyDescent="0.25">
      <c r="M757" s="21">
        <v>2.5</v>
      </c>
    </row>
    <row r="758" spans="13:13" x14ac:dyDescent="0.25">
      <c r="M758" s="21">
        <v>1.7320508075688772</v>
      </c>
    </row>
    <row r="759" spans="13:13" x14ac:dyDescent="0.25">
      <c r="M759" s="21">
        <v>0.81649658092772603</v>
      </c>
    </row>
    <row r="760" spans="13:13" x14ac:dyDescent="0.25">
      <c r="M760" s="21">
        <v>2.6457513110645907</v>
      </c>
    </row>
    <row r="761" spans="13:13" x14ac:dyDescent="0.25">
      <c r="M761" s="21">
        <v>1</v>
      </c>
    </row>
    <row r="762" spans="13:13" x14ac:dyDescent="0.25">
      <c r="M762" s="21">
        <v>1</v>
      </c>
    </row>
    <row r="763" spans="13:13" x14ac:dyDescent="0.25">
      <c r="M763" s="21">
        <v>3.4641016151377544</v>
      </c>
    </row>
    <row r="764" spans="13:13" x14ac:dyDescent="0.25">
      <c r="M764" s="21">
        <v>2.0615528128088303</v>
      </c>
    </row>
    <row r="765" spans="13:13" x14ac:dyDescent="0.25">
      <c r="M765" s="21">
        <v>2</v>
      </c>
    </row>
    <row r="766" spans="13:13" x14ac:dyDescent="0.25">
      <c r="M766" s="21">
        <v>2.5166114784235831</v>
      </c>
    </row>
    <row r="767" spans="13:13" x14ac:dyDescent="0.25">
      <c r="M767" s="21">
        <v>3.3040379335998349</v>
      </c>
    </row>
    <row r="768" spans="13:13" x14ac:dyDescent="0.25">
      <c r="M768" s="21">
        <v>2.2173557826083452</v>
      </c>
    </row>
    <row r="769" spans="13:13" x14ac:dyDescent="0.25">
      <c r="M769" s="21">
        <v>1.9148542155126762</v>
      </c>
    </row>
    <row r="770" spans="13:13" x14ac:dyDescent="0.25">
      <c r="M770" s="21">
        <v>2.2173557826083452</v>
      </c>
    </row>
    <row r="771" spans="13:13" x14ac:dyDescent="0.25">
      <c r="M771" s="21">
        <v>2.8284271247461903</v>
      </c>
    </row>
    <row r="772" spans="13:13" x14ac:dyDescent="0.25">
      <c r="M772" s="21">
        <v>1.2909944487358056</v>
      </c>
    </row>
    <row r="773" spans="13:13" x14ac:dyDescent="0.25">
      <c r="M773" s="21">
        <v>2</v>
      </c>
    </row>
    <row r="774" spans="13:13" x14ac:dyDescent="0.25">
      <c r="M774" s="21">
        <v>1.707825127659933</v>
      </c>
    </row>
    <row r="775" spans="13:13" x14ac:dyDescent="0.25">
      <c r="M775" s="21">
        <v>1.5</v>
      </c>
    </row>
    <row r="776" spans="13:13" x14ac:dyDescent="0.25">
      <c r="M776" s="21">
        <v>2.0615528128088303</v>
      </c>
    </row>
    <row r="777" spans="13:13" x14ac:dyDescent="0.25">
      <c r="M777" s="21">
        <v>2.9439202887759488</v>
      </c>
    </row>
    <row r="778" spans="13:13" x14ac:dyDescent="0.25">
      <c r="M778" s="21">
        <v>1.2909944487358056</v>
      </c>
    </row>
    <row r="779" spans="13:13" x14ac:dyDescent="0.25">
      <c r="M779" s="21">
        <v>1.707825127659933</v>
      </c>
    </row>
    <row r="780" spans="13:13" x14ac:dyDescent="0.25">
      <c r="M780" s="21">
        <v>2.1602468994692869</v>
      </c>
    </row>
    <row r="781" spans="13:13" x14ac:dyDescent="0.25">
      <c r="M781" s="21">
        <v>1.5</v>
      </c>
    </row>
    <row r="782" spans="13:13" x14ac:dyDescent="0.25">
      <c r="M782" s="21">
        <v>1.707825127659933</v>
      </c>
    </row>
    <row r="783" spans="13:13" x14ac:dyDescent="0.25">
      <c r="M783" s="21">
        <v>1.2583057392117916</v>
      </c>
    </row>
    <row r="784" spans="13:13" x14ac:dyDescent="0.25">
      <c r="M784" s="21">
        <v>1.8929694486000912</v>
      </c>
    </row>
    <row r="785" spans="13:13" x14ac:dyDescent="0.25">
      <c r="M785" s="21">
        <v>2.2173557826083452</v>
      </c>
    </row>
    <row r="786" spans="13:13" x14ac:dyDescent="0.25">
      <c r="M786" s="21">
        <v>0.9574271077563381</v>
      </c>
    </row>
    <row r="787" spans="13:13" x14ac:dyDescent="0.25">
      <c r="M787" s="21">
        <v>2.0615528128088303</v>
      </c>
    </row>
    <row r="788" spans="13:13" x14ac:dyDescent="0.25">
      <c r="M788" s="21">
        <v>2.9439202887759488</v>
      </c>
    </row>
    <row r="789" spans="13:13" x14ac:dyDescent="0.25">
      <c r="M789" s="21">
        <v>2.9439202887759488</v>
      </c>
    </row>
    <row r="790" spans="13:13" x14ac:dyDescent="0.25">
      <c r="M790" s="21">
        <v>1.4142135623730951</v>
      </c>
    </row>
    <row r="791" spans="13:13" x14ac:dyDescent="0.25">
      <c r="M791" s="21">
        <v>2.5</v>
      </c>
    </row>
    <row r="792" spans="13:13" x14ac:dyDescent="0.25">
      <c r="M792" s="21">
        <v>0.81649658092772603</v>
      </c>
    </row>
    <row r="793" spans="13:13" x14ac:dyDescent="0.25">
      <c r="M793" s="21">
        <v>2.0615528128088303</v>
      </c>
    </row>
    <row r="794" spans="13:13" x14ac:dyDescent="0.25">
      <c r="M794" s="21">
        <v>1.707825127659933</v>
      </c>
    </row>
    <row r="795" spans="13:13" x14ac:dyDescent="0.25">
      <c r="M795" s="21">
        <v>1.2583057392117916</v>
      </c>
    </row>
    <row r="796" spans="13:13" x14ac:dyDescent="0.25">
      <c r="M796" s="21">
        <v>2.3629078131263039</v>
      </c>
    </row>
    <row r="797" spans="13:13" x14ac:dyDescent="0.25">
      <c r="M797" s="21">
        <v>2.3804761428476167</v>
      </c>
    </row>
    <row r="798" spans="13:13" x14ac:dyDescent="0.25">
      <c r="M798" s="21">
        <v>0.5</v>
      </c>
    </row>
    <row r="799" spans="13:13" x14ac:dyDescent="0.25">
      <c r="M799" s="21">
        <v>3.415650255319866</v>
      </c>
    </row>
    <row r="800" spans="13:13" x14ac:dyDescent="0.25">
      <c r="M800" s="21">
        <v>1.8257418583505538</v>
      </c>
    </row>
    <row r="801" spans="13:13" x14ac:dyDescent="0.25">
      <c r="M801" s="21">
        <v>2.5</v>
      </c>
    </row>
    <row r="802" spans="13:13" x14ac:dyDescent="0.25">
      <c r="M802" s="21">
        <v>1.707825127659933</v>
      </c>
    </row>
    <row r="803" spans="13:13" x14ac:dyDescent="0.25">
      <c r="M803" s="21">
        <v>1.5</v>
      </c>
    </row>
    <row r="804" spans="13:13" x14ac:dyDescent="0.25">
      <c r="M804" s="21">
        <v>1.707825127659933</v>
      </c>
    </row>
    <row r="805" spans="13:13" x14ac:dyDescent="0.25">
      <c r="M805" s="21">
        <v>1.707825127659933</v>
      </c>
    </row>
    <row r="806" spans="13:13" x14ac:dyDescent="0.25">
      <c r="M806" s="21">
        <v>2.5819888974716112</v>
      </c>
    </row>
    <row r="807" spans="13:13" x14ac:dyDescent="0.25">
      <c r="M807" s="21">
        <v>0.9574271077563381</v>
      </c>
    </row>
    <row r="808" spans="13:13" x14ac:dyDescent="0.25">
      <c r="M808" s="21">
        <v>3.7749172176353749</v>
      </c>
    </row>
    <row r="809" spans="13:13" x14ac:dyDescent="0.25">
      <c r="M809" s="21">
        <v>2.9860788111948193</v>
      </c>
    </row>
    <row r="810" spans="13:13" x14ac:dyDescent="0.25">
      <c r="M810" s="21">
        <v>2.5166114784235831</v>
      </c>
    </row>
    <row r="811" spans="13:13" x14ac:dyDescent="0.25">
      <c r="M811" s="21">
        <v>0.5</v>
      </c>
    </row>
    <row r="812" spans="13:13" x14ac:dyDescent="0.25">
      <c r="M812" s="21">
        <v>2.9860788111948193</v>
      </c>
    </row>
    <row r="813" spans="13:13" x14ac:dyDescent="0.25">
      <c r="M813" s="21">
        <v>3.0956959368344519</v>
      </c>
    </row>
    <row r="814" spans="13:13" x14ac:dyDescent="0.25">
      <c r="M814" s="21">
        <v>2.6299556396765835</v>
      </c>
    </row>
    <row r="815" spans="13:13" x14ac:dyDescent="0.25">
      <c r="M815" s="21">
        <v>1.8257418583505538</v>
      </c>
    </row>
    <row r="816" spans="13:13" x14ac:dyDescent="0.25">
      <c r="M816" s="21">
        <v>0.9574271077563381</v>
      </c>
    </row>
    <row r="817" spans="13:13" x14ac:dyDescent="0.25">
      <c r="M817" s="21">
        <v>1.1547005383792515</v>
      </c>
    </row>
    <row r="818" spans="13:13" x14ac:dyDescent="0.25">
      <c r="M818" s="21">
        <v>1.707825127659933</v>
      </c>
    </row>
    <row r="819" spans="13:13" x14ac:dyDescent="0.25">
      <c r="M819" s="21">
        <v>1.7320508075688772</v>
      </c>
    </row>
    <row r="820" spans="13:13" x14ac:dyDescent="0.25">
      <c r="M820" s="21">
        <v>2.2173557826083452</v>
      </c>
    </row>
    <row r="821" spans="13:13" x14ac:dyDescent="0.25">
      <c r="M821" s="21">
        <v>1.9148542155126762</v>
      </c>
    </row>
    <row r="822" spans="13:13" x14ac:dyDescent="0.25">
      <c r="M822" s="21">
        <v>2</v>
      </c>
    </row>
    <row r="823" spans="13:13" x14ac:dyDescent="0.25">
      <c r="M823" s="21">
        <v>1</v>
      </c>
    </row>
    <row r="824" spans="13:13" x14ac:dyDescent="0.25">
      <c r="M824" s="21">
        <v>1.2909944487358056</v>
      </c>
    </row>
    <row r="825" spans="13:13" x14ac:dyDescent="0.25">
      <c r="M825" s="21">
        <v>2.4494897427831779</v>
      </c>
    </row>
    <row r="826" spans="13:13" x14ac:dyDescent="0.25">
      <c r="M826" s="21">
        <v>3</v>
      </c>
    </row>
    <row r="827" spans="13:13" x14ac:dyDescent="0.25">
      <c r="M827" s="21">
        <v>0.81649658092772603</v>
      </c>
    </row>
    <row r="828" spans="13:13" x14ac:dyDescent="0.25">
      <c r="M828" s="21">
        <v>3.415650255319866</v>
      </c>
    </row>
    <row r="829" spans="13:13" x14ac:dyDescent="0.25">
      <c r="M829" s="21">
        <v>1</v>
      </c>
    </row>
    <row r="830" spans="13:13" x14ac:dyDescent="0.25">
      <c r="M830" s="21">
        <v>1.9148542155126762</v>
      </c>
    </row>
    <row r="831" spans="13:13" x14ac:dyDescent="0.25">
      <c r="M831" s="21">
        <v>1.4142135623730951</v>
      </c>
    </row>
    <row r="832" spans="13:13" x14ac:dyDescent="0.25">
      <c r="M832" s="21">
        <v>0.5</v>
      </c>
    </row>
    <row r="833" spans="13:13" x14ac:dyDescent="0.25">
      <c r="M833" s="21">
        <v>2.0615528128088303</v>
      </c>
    </row>
    <row r="834" spans="13:13" x14ac:dyDescent="0.25">
      <c r="M834" s="21">
        <v>2.753785273643051</v>
      </c>
    </row>
    <row r="835" spans="13:13" x14ac:dyDescent="0.25">
      <c r="M835" s="21">
        <v>1.4142135623730951</v>
      </c>
    </row>
    <row r="836" spans="13:13" x14ac:dyDescent="0.25">
      <c r="M836" s="21">
        <v>1.4142135623730951</v>
      </c>
    </row>
    <row r="837" spans="13:13" x14ac:dyDescent="0.25">
      <c r="M837" s="21">
        <v>1.8929694486000912</v>
      </c>
    </row>
    <row r="838" spans="13:13" x14ac:dyDescent="0.25">
      <c r="M838" s="21">
        <v>1.1547005383792515</v>
      </c>
    </row>
    <row r="839" spans="13:13" x14ac:dyDescent="0.25">
      <c r="M839" s="21">
        <v>2.0615528128088303</v>
      </c>
    </row>
    <row r="840" spans="13:13" x14ac:dyDescent="0.25">
      <c r="M840" s="21">
        <v>1.2583057392117916</v>
      </c>
    </row>
    <row r="841" spans="13:13" x14ac:dyDescent="0.25">
      <c r="M841" s="21">
        <v>2.2173557826083452</v>
      </c>
    </row>
    <row r="842" spans="13:13" x14ac:dyDescent="0.25">
      <c r="M842" s="21">
        <v>2.5</v>
      </c>
    </row>
    <row r="843" spans="13:13" x14ac:dyDescent="0.25">
      <c r="M843" s="21">
        <v>2.2173557826083452</v>
      </c>
    </row>
    <row r="844" spans="13:13" x14ac:dyDescent="0.25">
      <c r="M844" s="21">
        <v>2.4494897427831779</v>
      </c>
    </row>
    <row r="845" spans="13:13" x14ac:dyDescent="0.25">
      <c r="M845" s="21">
        <v>2.1602468994692869</v>
      </c>
    </row>
    <row r="846" spans="13:13" x14ac:dyDescent="0.25">
      <c r="M846" s="21">
        <v>2.2173557826083452</v>
      </c>
    </row>
    <row r="847" spans="13:13" x14ac:dyDescent="0.25">
      <c r="M847" s="21">
        <v>1.9148542155126762</v>
      </c>
    </row>
    <row r="848" spans="13:13" x14ac:dyDescent="0.25">
      <c r="M848" s="21">
        <v>0.81649658092772603</v>
      </c>
    </row>
    <row r="849" spans="13:13" x14ac:dyDescent="0.25">
      <c r="M849" s="21">
        <v>0.5</v>
      </c>
    </row>
    <row r="850" spans="13:13" x14ac:dyDescent="0.25">
      <c r="M850" s="21">
        <v>1</v>
      </c>
    </row>
    <row r="851" spans="13:13" x14ac:dyDescent="0.25">
      <c r="M851" s="21">
        <v>1.8257418583505538</v>
      </c>
    </row>
    <row r="852" spans="13:13" x14ac:dyDescent="0.25">
      <c r="M852" s="21">
        <v>3.2659863237109041</v>
      </c>
    </row>
    <row r="853" spans="13:13" x14ac:dyDescent="0.25">
      <c r="M853" s="21">
        <v>2.9860788111948193</v>
      </c>
    </row>
    <row r="854" spans="13:13" x14ac:dyDescent="0.25">
      <c r="M854" s="21">
        <v>2.3804761428476167</v>
      </c>
    </row>
    <row r="855" spans="13:13" x14ac:dyDescent="0.25">
      <c r="M855" s="21">
        <v>1.4142135623730951</v>
      </c>
    </row>
    <row r="856" spans="13:13" x14ac:dyDescent="0.25">
      <c r="M856" s="21">
        <v>1.7320508075688772</v>
      </c>
    </row>
    <row r="857" spans="13:13" x14ac:dyDescent="0.25">
      <c r="M857" s="21">
        <v>1.5</v>
      </c>
    </row>
    <row r="858" spans="13:13" x14ac:dyDescent="0.25">
      <c r="M858" s="21">
        <v>2.6457513110645907</v>
      </c>
    </row>
    <row r="859" spans="13:13" x14ac:dyDescent="0.25">
      <c r="M859" s="21">
        <v>1.2583057392117916</v>
      </c>
    </row>
    <row r="860" spans="13:13" x14ac:dyDescent="0.25">
      <c r="M860" s="21">
        <v>1.2583057392117916</v>
      </c>
    </row>
    <row r="861" spans="13:13" x14ac:dyDescent="0.25">
      <c r="M861" s="21">
        <v>1.4142135623730951</v>
      </c>
    </row>
    <row r="862" spans="13:13" x14ac:dyDescent="0.25">
      <c r="M862" s="21">
        <v>3.8297084310253524</v>
      </c>
    </row>
    <row r="863" spans="13:13" x14ac:dyDescent="0.25">
      <c r="M863" s="21">
        <v>1.7320508075688772</v>
      </c>
    </row>
    <row r="864" spans="13:13" x14ac:dyDescent="0.25">
      <c r="M864" s="21">
        <v>3.1622776601683795</v>
      </c>
    </row>
    <row r="865" spans="13:13" x14ac:dyDescent="0.25">
      <c r="M865" s="21">
        <v>1.707825127659933</v>
      </c>
    </row>
    <row r="866" spans="13:13" x14ac:dyDescent="0.25">
      <c r="M866" s="21">
        <v>1.2583057392117916</v>
      </c>
    </row>
    <row r="867" spans="13:13" x14ac:dyDescent="0.25">
      <c r="M867" s="21">
        <v>1.707825127659933</v>
      </c>
    </row>
    <row r="868" spans="13:13" x14ac:dyDescent="0.25">
      <c r="M868" s="21">
        <v>2.0615528128088303</v>
      </c>
    </row>
    <row r="869" spans="13:13" x14ac:dyDescent="0.25">
      <c r="M869" s="21">
        <v>4.0311288741492746</v>
      </c>
    </row>
    <row r="870" spans="13:13" x14ac:dyDescent="0.25">
      <c r="M870" s="21">
        <v>0.5</v>
      </c>
    </row>
    <row r="871" spans="13:13" x14ac:dyDescent="0.25">
      <c r="M871" s="21">
        <v>0.9574271077563381</v>
      </c>
    </row>
    <row r="872" spans="13:13" x14ac:dyDescent="0.25">
      <c r="M872" s="21">
        <v>2.3629078131263039</v>
      </c>
    </row>
    <row r="873" spans="13:13" x14ac:dyDescent="0.25">
      <c r="M873" s="21">
        <v>1.2909944487358056</v>
      </c>
    </row>
    <row r="874" spans="13:13" x14ac:dyDescent="0.25">
      <c r="M874" s="21">
        <v>1.4142135623730951</v>
      </c>
    </row>
    <row r="875" spans="13:13" x14ac:dyDescent="0.25">
      <c r="M875" s="21">
        <v>3.6855573979159968</v>
      </c>
    </row>
    <row r="876" spans="13:13" x14ac:dyDescent="0.25">
      <c r="M876" s="21">
        <v>2.6457513110645907</v>
      </c>
    </row>
    <row r="877" spans="13:13" x14ac:dyDescent="0.25">
      <c r="M877" s="21">
        <v>3.1091263510296048</v>
      </c>
    </row>
    <row r="878" spans="13:13" x14ac:dyDescent="0.25">
      <c r="M878" s="21">
        <v>1.8257418583505538</v>
      </c>
    </row>
    <row r="879" spans="13:13" x14ac:dyDescent="0.25">
      <c r="M879" s="21">
        <v>3.5590260840104371</v>
      </c>
    </row>
    <row r="880" spans="13:13" x14ac:dyDescent="0.25">
      <c r="M880" s="21">
        <v>1.7320508075688772</v>
      </c>
    </row>
    <row r="881" spans="13:13" x14ac:dyDescent="0.25">
      <c r="M881" s="21">
        <v>2.3804761428476167</v>
      </c>
    </row>
    <row r="882" spans="13:13" x14ac:dyDescent="0.25">
      <c r="M882" s="21">
        <v>0.9574271077563381</v>
      </c>
    </row>
    <row r="883" spans="13:13" x14ac:dyDescent="0.25">
      <c r="M883" s="21">
        <v>1.707825127659933</v>
      </c>
    </row>
    <row r="884" spans="13:13" x14ac:dyDescent="0.25">
      <c r="M884" s="21">
        <v>2.3629078131263039</v>
      </c>
    </row>
    <row r="885" spans="13:13" x14ac:dyDescent="0.25">
      <c r="M885" s="21">
        <v>1.5</v>
      </c>
    </row>
    <row r="886" spans="13:13" x14ac:dyDescent="0.25">
      <c r="M886" s="21">
        <v>1.7320508075688772</v>
      </c>
    </row>
    <row r="887" spans="13:13" x14ac:dyDescent="0.25">
      <c r="M887" s="21">
        <v>4.2426406871192848</v>
      </c>
    </row>
    <row r="888" spans="13:13" x14ac:dyDescent="0.25">
      <c r="M888" s="21">
        <v>2.2173557826083452</v>
      </c>
    </row>
    <row r="889" spans="13:13" x14ac:dyDescent="0.25">
      <c r="M889" s="21">
        <v>1.707825127659933</v>
      </c>
    </row>
    <row r="890" spans="13:13" x14ac:dyDescent="0.25">
      <c r="M890" s="21">
        <v>2.5819888974716112</v>
      </c>
    </row>
    <row r="891" spans="13:13" x14ac:dyDescent="0.25">
      <c r="M891" s="21">
        <v>1.7320508075688772</v>
      </c>
    </row>
    <row r="892" spans="13:13" x14ac:dyDescent="0.25">
      <c r="M892" s="21">
        <v>2.6299556396765835</v>
      </c>
    </row>
    <row r="893" spans="13:13" x14ac:dyDescent="0.25">
      <c r="M893" s="21">
        <v>1.707825127659933</v>
      </c>
    </row>
    <row r="894" spans="13:13" x14ac:dyDescent="0.25">
      <c r="M894" s="21">
        <v>0.5</v>
      </c>
    </row>
    <row r="895" spans="13:13" x14ac:dyDescent="0.25">
      <c r="M895" s="21">
        <v>0.81649658092772603</v>
      </c>
    </row>
    <row r="896" spans="13:13" x14ac:dyDescent="0.25">
      <c r="M896" s="21">
        <v>3.7416573867739413</v>
      </c>
    </row>
    <row r="897" spans="13:13" x14ac:dyDescent="0.25">
      <c r="M897" s="21">
        <v>2.3804761428476167</v>
      </c>
    </row>
    <row r="898" spans="13:13" x14ac:dyDescent="0.25">
      <c r="M898" s="21">
        <v>1.7320508075688772</v>
      </c>
    </row>
    <row r="899" spans="13:13" x14ac:dyDescent="0.25">
      <c r="M899" s="21">
        <v>1.7320508075688772</v>
      </c>
    </row>
    <row r="900" spans="13:13" x14ac:dyDescent="0.25">
      <c r="M900" s="21">
        <v>0.9574271077563381</v>
      </c>
    </row>
    <row r="901" spans="13:13" x14ac:dyDescent="0.25">
      <c r="M901" s="21">
        <v>1.2909944487358056</v>
      </c>
    </row>
    <row r="902" spans="13:13" x14ac:dyDescent="0.25">
      <c r="M902" s="21">
        <v>3.4641016151377544</v>
      </c>
    </row>
    <row r="903" spans="13:13" x14ac:dyDescent="0.25">
      <c r="M903" s="21">
        <v>2.9860788111948193</v>
      </c>
    </row>
    <row r="904" spans="13:13" x14ac:dyDescent="0.25">
      <c r="M904" s="21">
        <v>1.2909944487358056</v>
      </c>
    </row>
    <row r="905" spans="13:13" x14ac:dyDescent="0.25">
      <c r="M905" s="21">
        <v>2.1602468994692869</v>
      </c>
    </row>
    <row r="906" spans="13:13" x14ac:dyDescent="0.25">
      <c r="M906" s="21">
        <v>2.3804761428476167</v>
      </c>
    </row>
    <row r="907" spans="13:13" x14ac:dyDescent="0.25">
      <c r="M907" s="21">
        <v>2.753785273643051</v>
      </c>
    </row>
    <row r="908" spans="13:13" x14ac:dyDescent="0.25">
      <c r="M908" s="21">
        <v>1.7320508075688772</v>
      </c>
    </row>
    <row r="909" spans="13:13" x14ac:dyDescent="0.25">
      <c r="M909" s="21">
        <v>1.2909944487358056</v>
      </c>
    </row>
    <row r="910" spans="13:13" x14ac:dyDescent="0.25">
      <c r="M910" s="21">
        <v>1.2909944487358056</v>
      </c>
    </row>
    <row r="911" spans="13:13" x14ac:dyDescent="0.25">
      <c r="M911" s="21">
        <v>1.6329931618554521</v>
      </c>
    </row>
    <row r="912" spans="13:13" x14ac:dyDescent="0.25">
      <c r="M912" s="21">
        <v>2.1602468994692869</v>
      </c>
    </row>
    <row r="913" spans="13:13" x14ac:dyDescent="0.25">
      <c r="M913" s="21">
        <v>1</v>
      </c>
    </row>
    <row r="914" spans="13:13" x14ac:dyDescent="0.25">
      <c r="M914" s="21">
        <v>2.5166114784235831</v>
      </c>
    </row>
    <row r="915" spans="13:13" x14ac:dyDescent="0.25">
      <c r="M915" s="21">
        <v>1.4142135623730951</v>
      </c>
    </row>
    <row r="916" spans="13:13" x14ac:dyDescent="0.25">
      <c r="M916" s="21">
        <v>2.1602468994692869</v>
      </c>
    </row>
    <row r="917" spans="13:13" x14ac:dyDescent="0.25">
      <c r="M917" s="21">
        <v>1.2909944487358056</v>
      </c>
    </row>
    <row r="918" spans="13:13" x14ac:dyDescent="0.25">
      <c r="M918" s="21">
        <v>3.3040379335998349</v>
      </c>
    </row>
    <row r="919" spans="13:13" x14ac:dyDescent="0.25">
      <c r="M919" s="21">
        <v>1.5</v>
      </c>
    </row>
    <row r="920" spans="13:13" x14ac:dyDescent="0.25">
      <c r="M920" s="21">
        <v>0.81649658092772603</v>
      </c>
    </row>
    <row r="921" spans="13:13" x14ac:dyDescent="0.25">
      <c r="M921" s="21">
        <v>0.9574271077563381</v>
      </c>
    </row>
    <row r="922" spans="13:13" x14ac:dyDescent="0.25">
      <c r="M922" s="21">
        <v>0.9574271077563381</v>
      </c>
    </row>
    <row r="923" spans="13:13" x14ac:dyDescent="0.25">
      <c r="M923" s="21">
        <v>0.81649658092772603</v>
      </c>
    </row>
    <row r="924" spans="13:13" x14ac:dyDescent="0.25">
      <c r="M924" s="21">
        <v>1.2909944487358056</v>
      </c>
    </row>
    <row r="925" spans="13:13" x14ac:dyDescent="0.25">
      <c r="M925" s="21">
        <v>1.2909944487358056</v>
      </c>
    </row>
    <row r="926" spans="13:13" x14ac:dyDescent="0.25">
      <c r="M926" s="21">
        <v>2.0816659994661326</v>
      </c>
    </row>
    <row r="927" spans="13:13" x14ac:dyDescent="0.25">
      <c r="M927" s="21">
        <v>2.8722813232690143</v>
      </c>
    </row>
    <row r="928" spans="13:13" x14ac:dyDescent="0.25">
      <c r="M928" s="21">
        <v>2.3804761428476167</v>
      </c>
    </row>
    <row r="929" spans="13:13" x14ac:dyDescent="0.25">
      <c r="M929" s="21">
        <v>1.707825127659933</v>
      </c>
    </row>
    <row r="930" spans="13:13" x14ac:dyDescent="0.25">
      <c r="M930" s="21">
        <v>2.2173557826083452</v>
      </c>
    </row>
    <row r="931" spans="13:13" x14ac:dyDescent="0.25">
      <c r="M931" s="21">
        <v>2.6457513110645907</v>
      </c>
    </row>
    <row r="932" spans="13:13" x14ac:dyDescent="0.25">
      <c r="M932" s="21">
        <v>1.9148542155126762</v>
      </c>
    </row>
    <row r="933" spans="13:13" x14ac:dyDescent="0.25">
      <c r="M933" s="21">
        <v>1</v>
      </c>
    </row>
    <row r="934" spans="13:13" x14ac:dyDescent="0.25">
      <c r="M934" s="21">
        <v>0.9574271077563381</v>
      </c>
    </row>
    <row r="935" spans="13:13" x14ac:dyDescent="0.25">
      <c r="M935" s="21">
        <v>2.0615528128088303</v>
      </c>
    </row>
    <row r="936" spans="13:13" x14ac:dyDescent="0.25">
      <c r="M936" s="21">
        <v>1.8257418583505538</v>
      </c>
    </row>
    <row r="937" spans="13:13" x14ac:dyDescent="0.25">
      <c r="M937" s="21">
        <v>1.2909944487358056</v>
      </c>
    </row>
    <row r="938" spans="13:13" x14ac:dyDescent="0.25">
      <c r="M938" s="21">
        <v>2.4494897427831779</v>
      </c>
    </row>
    <row r="939" spans="13:13" x14ac:dyDescent="0.25">
      <c r="M939" s="21">
        <v>0.9574271077563381</v>
      </c>
    </row>
    <row r="940" spans="13:13" x14ac:dyDescent="0.25">
      <c r="M940" s="21">
        <v>2.0615528128088303</v>
      </c>
    </row>
    <row r="941" spans="13:13" x14ac:dyDescent="0.25">
      <c r="M941" s="21">
        <v>3.3040379335998349</v>
      </c>
    </row>
    <row r="942" spans="13:13" x14ac:dyDescent="0.25">
      <c r="M942" s="21">
        <v>2.0615528128088303</v>
      </c>
    </row>
    <row r="943" spans="13:13" x14ac:dyDescent="0.25">
      <c r="M943" s="21">
        <v>3.3166247903553998</v>
      </c>
    </row>
    <row r="944" spans="13:13" x14ac:dyDescent="0.25">
      <c r="M944" s="21">
        <v>2.2173557826083452</v>
      </c>
    </row>
    <row r="945" spans="13:13" x14ac:dyDescent="0.25">
      <c r="M945" s="21">
        <v>0.9574271077563381</v>
      </c>
    </row>
    <row r="946" spans="13:13" x14ac:dyDescent="0.25">
      <c r="M946" s="21">
        <v>2.6299556396765835</v>
      </c>
    </row>
    <row r="947" spans="13:13" x14ac:dyDescent="0.25">
      <c r="M947" s="21">
        <v>1.7320508075688772</v>
      </c>
    </row>
    <row r="948" spans="13:13" x14ac:dyDescent="0.25">
      <c r="M948" s="21">
        <v>1.2909944487358056</v>
      </c>
    </row>
    <row r="949" spans="13:13" x14ac:dyDescent="0.25">
      <c r="M949" s="21">
        <v>1.8929694486000912</v>
      </c>
    </row>
    <row r="950" spans="13:13" x14ac:dyDescent="0.25">
      <c r="M950" s="21">
        <v>2.6299556396765835</v>
      </c>
    </row>
    <row r="951" spans="13:13" x14ac:dyDescent="0.25">
      <c r="M951" s="21">
        <v>1.707825127659933</v>
      </c>
    </row>
    <row r="952" spans="13:13" x14ac:dyDescent="0.25">
      <c r="M952" s="21">
        <v>1.707825127659933</v>
      </c>
    </row>
    <row r="953" spans="13:13" x14ac:dyDescent="0.25">
      <c r="M953" s="21">
        <v>1.707825127659933</v>
      </c>
    </row>
    <row r="954" spans="13:13" x14ac:dyDescent="0.25">
      <c r="M954" s="21">
        <v>0.9574271077563381</v>
      </c>
    </row>
    <row r="955" spans="13:13" x14ac:dyDescent="0.25">
      <c r="M955" s="21">
        <v>1.2583057392117916</v>
      </c>
    </row>
    <row r="956" spans="13:13" x14ac:dyDescent="0.25">
      <c r="M956" s="21">
        <v>3.8622100754188224</v>
      </c>
    </row>
    <row r="957" spans="13:13" x14ac:dyDescent="0.25">
      <c r="M957" s="21">
        <v>0.5</v>
      </c>
    </row>
    <row r="958" spans="13:13" x14ac:dyDescent="0.25">
      <c r="M958" s="21">
        <v>1.2909944487358056</v>
      </c>
    </row>
    <row r="959" spans="13:13" x14ac:dyDescent="0.25">
      <c r="M959" s="21">
        <v>2.70801280154532</v>
      </c>
    </row>
    <row r="960" spans="13:13" x14ac:dyDescent="0.25">
      <c r="M960" s="21">
        <v>2.1602468994692869</v>
      </c>
    </row>
    <row r="961" spans="13:13" x14ac:dyDescent="0.25">
      <c r="M961" s="21">
        <v>2.6457513110645907</v>
      </c>
    </row>
    <row r="962" spans="13:13" x14ac:dyDescent="0.25">
      <c r="M962" s="21">
        <v>3.4641016151377544</v>
      </c>
    </row>
    <row r="963" spans="13:13" x14ac:dyDescent="0.25">
      <c r="M963" s="21">
        <v>2.6299556396765835</v>
      </c>
    </row>
    <row r="964" spans="13:13" x14ac:dyDescent="0.25">
      <c r="M964" s="21">
        <v>0.81649658092772603</v>
      </c>
    </row>
    <row r="965" spans="13:13" x14ac:dyDescent="0.25">
      <c r="M965" s="21">
        <v>2.9860788111948193</v>
      </c>
    </row>
    <row r="966" spans="13:13" x14ac:dyDescent="0.25">
      <c r="M966" s="21">
        <v>1.9148542155126762</v>
      </c>
    </row>
    <row r="967" spans="13:13" x14ac:dyDescent="0.25">
      <c r="M967" s="21">
        <v>1.6329931618554521</v>
      </c>
    </row>
    <row r="968" spans="13:13" x14ac:dyDescent="0.25">
      <c r="M968" s="21">
        <v>2.6457513110645907</v>
      </c>
    </row>
    <row r="969" spans="13:13" x14ac:dyDescent="0.25">
      <c r="M969" s="21">
        <v>1.707825127659933</v>
      </c>
    </row>
    <row r="970" spans="13:13" x14ac:dyDescent="0.25">
      <c r="M970" s="21">
        <v>2</v>
      </c>
    </row>
    <row r="971" spans="13:13" x14ac:dyDescent="0.25">
      <c r="M971" s="21">
        <v>1.707825127659933</v>
      </c>
    </row>
    <row r="972" spans="13:13" x14ac:dyDescent="0.25">
      <c r="M972" s="21">
        <v>2.5</v>
      </c>
    </row>
    <row r="973" spans="13:13" x14ac:dyDescent="0.25">
      <c r="M973" s="21">
        <v>1.707825127659933</v>
      </c>
    </row>
    <row r="974" spans="13:13" x14ac:dyDescent="0.25">
      <c r="M974" s="21">
        <v>4.1231056256176606</v>
      </c>
    </row>
    <row r="975" spans="13:13" x14ac:dyDescent="0.25">
      <c r="M975" s="21">
        <v>2.5</v>
      </c>
    </row>
    <row r="976" spans="13:13" x14ac:dyDescent="0.25">
      <c r="M976" s="21">
        <v>1.2583057392117916</v>
      </c>
    </row>
    <row r="977" spans="13:13" x14ac:dyDescent="0.25">
      <c r="M977" s="21">
        <v>2.3804761428476167</v>
      </c>
    </row>
    <row r="978" spans="13:13" x14ac:dyDescent="0.25">
      <c r="M978" s="21">
        <v>1.707825127659933</v>
      </c>
    </row>
    <row r="979" spans="13:13" x14ac:dyDescent="0.25">
      <c r="M979" s="21">
        <v>0.9574271077563381</v>
      </c>
    </row>
    <row r="980" spans="13:13" x14ac:dyDescent="0.25">
      <c r="M980" s="21">
        <v>0.57735026918962573</v>
      </c>
    </row>
    <row r="981" spans="13:13" x14ac:dyDescent="0.25">
      <c r="M981" s="21">
        <v>0</v>
      </c>
    </row>
    <row r="982" spans="13:13" x14ac:dyDescent="0.25">
      <c r="M982" s="21">
        <v>0.81649658092772603</v>
      </c>
    </row>
    <row r="983" spans="13:13" x14ac:dyDescent="0.25">
      <c r="M983" s="21">
        <v>3.415650255319866</v>
      </c>
    </row>
    <row r="984" spans="13:13" x14ac:dyDescent="0.25">
      <c r="M984" s="21">
        <v>2.8867513459481291</v>
      </c>
    </row>
    <row r="985" spans="13:13" x14ac:dyDescent="0.25">
      <c r="M985" s="21">
        <v>3.7749172176353749</v>
      </c>
    </row>
    <row r="986" spans="13:13" x14ac:dyDescent="0.25">
      <c r="M986" s="21">
        <v>4.349329450233296</v>
      </c>
    </row>
    <row r="987" spans="13:13" x14ac:dyDescent="0.25">
      <c r="M987" s="21">
        <v>2.8867513459481291</v>
      </c>
    </row>
    <row r="988" spans="13:13" x14ac:dyDescent="0.25">
      <c r="M988" s="21">
        <v>1.7320508075688772</v>
      </c>
    </row>
    <row r="989" spans="13:13" x14ac:dyDescent="0.25">
      <c r="M989" s="21">
        <v>1.9148542155126762</v>
      </c>
    </row>
    <row r="990" spans="13:13" x14ac:dyDescent="0.25">
      <c r="M990" s="21">
        <v>0.9574271077563381</v>
      </c>
    </row>
    <row r="991" spans="13:13" x14ac:dyDescent="0.25">
      <c r="M991" s="21">
        <v>1.707825127659933</v>
      </c>
    </row>
    <row r="992" spans="13:13" x14ac:dyDescent="0.25">
      <c r="M992" s="21">
        <v>0.5</v>
      </c>
    </row>
    <row r="993" spans="13:13" x14ac:dyDescent="0.25">
      <c r="M993" s="21">
        <v>1.5</v>
      </c>
    </row>
    <row r="994" spans="13:13" x14ac:dyDescent="0.25">
      <c r="M994" s="21">
        <v>2.3804761428476167</v>
      </c>
    </row>
    <row r="995" spans="13:13" x14ac:dyDescent="0.25">
      <c r="M995" s="21">
        <v>3.3166247903553998</v>
      </c>
    </row>
    <row r="996" spans="13:13" x14ac:dyDescent="0.25">
      <c r="M996" s="21">
        <v>2.6299556396765835</v>
      </c>
    </row>
    <row r="997" spans="13:13" x14ac:dyDescent="0.25">
      <c r="M997" s="21">
        <v>1.2583057392117916</v>
      </c>
    </row>
    <row r="998" spans="13:13" x14ac:dyDescent="0.25">
      <c r="M998" s="21">
        <v>2.2173557826083452</v>
      </c>
    </row>
    <row r="999" spans="13:13" x14ac:dyDescent="0.25">
      <c r="M999" s="21">
        <v>0.81649658092772603</v>
      </c>
    </row>
    <row r="1000" spans="13:13" x14ac:dyDescent="0.25">
      <c r="M1000" s="21">
        <v>1.8929694486000912</v>
      </c>
    </row>
    <row r="1001" spans="13:13" x14ac:dyDescent="0.25">
      <c r="M1001" s="21">
        <v>2.5819888974716112</v>
      </c>
    </row>
    <row r="1002" spans="13:13" x14ac:dyDescent="0.25">
      <c r="M1002" s="21">
        <v>1.707825127659933</v>
      </c>
    </row>
    <row r="1003" spans="13:13" x14ac:dyDescent="0.25">
      <c r="M1003" s="21">
        <v>1.707825127659933</v>
      </c>
    </row>
    <row r="1004" spans="13:13" x14ac:dyDescent="0.25">
      <c r="M1004" s="21">
        <v>2.2173557826083452</v>
      </c>
    </row>
    <row r="1005" spans="13:13" x14ac:dyDescent="0.25">
      <c r="M1005" s="21"/>
    </row>
    <row r="1006" spans="13:13" x14ac:dyDescent="0.25">
      <c r="M1006" s="21"/>
    </row>
    <row r="1007" spans="13:13" x14ac:dyDescent="0.25">
      <c r="M1007" s="21"/>
    </row>
    <row r="1008" spans="13:13" x14ac:dyDescent="0.25">
      <c r="M1008" s="21"/>
    </row>
    <row r="1009" spans="13:13" x14ac:dyDescent="0.25">
      <c r="M1009" s="21"/>
    </row>
    <row r="1010" spans="13:13" x14ac:dyDescent="0.25">
      <c r="M1010" s="21"/>
    </row>
    <row r="1011" spans="13:13" x14ac:dyDescent="0.25">
      <c r="M1011" s="21"/>
    </row>
    <row r="1012" spans="13:13" x14ac:dyDescent="0.25">
      <c r="M1012" s="21"/>
    </row>
    <row r="1013" spans="13:13" x14ac:dyDescent="0.25">
      <c r="M1013" s="21"/>
    </row>
    <row r="1014" spans="13:13" x14ac:dyDescent="0.25">
      <c r="M1014" s="21"/>
    </row>
    <row r="1015" spans="13:13" x14ac:dyDescent="0.25">
      <c r="M1015" s="21"/>
    </row>
    <row r="1016" spans="13:13" x14ac:dyDescent="0.25">
      <c r="M1016" s="21"/>
    </row>
    <row r="1017" spans="13:13" x14ac:dyDescent="0.25">
      <c r="M1017" s="21"/>
    </row>
    <row r="1018" spans="13:13" x14ac:dyDescent="0.25">
      <c r="M1018" s="21"/>
    </row>
    <row r="1019" spans="13:13" x14ac:dyDescent="0.25">
      <c r="M1019" s="21"/>
    </row>
    <row r="1020" spans="13:13" x14ac:dyDescent="0.25">
      <c r="M1020" s="21"/>
    </row>
    <row r="1021" spans="13:13" x14ac:dyDescent="0.25">
      <c r="M1021" s="21"/>
    </row>
    <row r="1022" spans="13:13" x14ac:dyDescent="0.25">
      <c r="M1022" s="21"/>
    </row>
    <row r="1023" spans="13:13" x14ac:dyDescent="0.25">
      <c r="M1023" s="21"/>
    </row>
    <row r="1024" spans="13:13" x14ac:dyDescent="0.25">
      <c r="M1024" s="21"/>
    </row>
    <row r="1025" spans="13:13" x14ac:dyDescent="0.25">
      <c r="M1025" s="21"/>
    </row>
    <row r="1026" spans="13:13" x14ac:dyDescent="0.25">
      <c r="M1026" s="21"/>
    </row>
    <row r="1027" spans="13:13" x14ac:dyDescent="0.25">
      <c r="M1027" s="21"/>
    </row>
    <row r="1028" spans="13:13" x14ac:dyDescent="0.25">
      <c r="M1028" s="21"/>
    </row>
    <row r="1029" spans="13:13" x14ac:dyDescent="0.25">
      <c r="M1029" s="21"/>
    </row>
    <row r="1030" spans="13:13" x14ac:dyDescent="0.25">
      <c r="M1030" s="21"/>
    </row>
    <row r="1031" spans="13:13" x14ac:dyDescent="0.25">
      <c r="M1031" s="21"/>
    </row>
    <row r="1032" spans="13:13" x14ac:dyDescent="0.25">
      <c r="M1032" s="21"/>
    </row>
    <row r="1033" spans="13:13" x14ac:dyDescent="0.25">
      <c r="M1033" s="21"/>
    </row>
    <row r="1034" spans="13:13" x14ac:dyDescent="0.25">
      <c r="M1034" s="21"/>
    </row>
    <row r="1035" spans="13:13" x14ac:dyDescent="0.25">
      <c r="M1035" s="21"/>
    </row>
    <row r="1036" spans="13:13" x14ac:dyDescent="0.25">
      <c r="M1036" s="21"/>
    </row>
    <row r="1037" spans="13:13" x14ac:dyDescent="0.25">
      <c r="M1037" s="21"/>
    </row>
    <row r="1038" spans="13:13" x14ac:dyDescent="0.25">
      <c r="M1038" s="21"/>
    </row>
    <row r="1039" spans="13:13" x14ac:dyDescent="0.25">
      <c r="M1039" s="21"/>
    </row>
    <row r="1040" spans="13:13" x14ac:dyDescent="0.25">
      <c r="M1040" s="21"/>
    </row>
    <row r="1041" spans="13:13" x14ac:dyDescent="0.25">
      <c r="M1041" s="21"/>
    </row>
    <row r="1042" spans="13:13" x14ac:dyDescent="0.25">
      <c r="M1042" s="21"/>
    </row>
    <row r="1043" spans="13:13" x14ac:dyDescent="0.25">
      <c r="M1043" s="21"/>
    </row>
    <row r="1044" spans="13:13" x14ac:dyDescent="0.25">
      <c r="M1044" s="21"/>
    </row>
    <row r="1045" spans="13:13" x14ac:dyDescent="0.25">
      <c r="M1045" s="21"/>
    </row>
    <row r="1046" spans="13:13" x14ac:dyDescent="0.25">
      <c r="M1046" s="21"/>
    </row>
    <row r="1047" spans="13:13" x14ac:dyDescent="0.25">
      <c r="M1047" s="21"/>
    </row>
    <row r="1048" spans="13:13" x14ac:dyDescent="0.25">
      <c r="M1048" s="21"/>
    </row>
    <row r="1049" spans="13:13" x14ac:dyDescent="0.25">
      <c r="M1049" s="21"/>
    </row>
    <row r="1050" spans="13:13" x14ac:dyDescent="0.25">
      <c r="M1050" s="21"/>
    </row>
    <row r="1051" spans="13:13" x14ac:dyDescent="0.25">
      <c r="M1051" s="21"/>
    </row>
    <row r="1052" spans="13:13" x14ac:dyDescent="0.25">
      <c r="M1052" s="21"/>
    </row>
    <row r="1053" spans="13:13" x14ac:dyDescent="0.25">
      <c r="M1053" s="21"/>
    </row>
    <row r="1054" spans="13:13" x14ac:dyDescent="0.25">
      <c r="M1054" s="21"/>
    </row>
    <row r="1055" spans="13:13" x14ac:dyDescent="0.25">
      <c r="M1055" s="21"/>
    </row>
    <row r="1056" spans="13:13" x14ac:dyDescent="0.25">
      <c r="M1056" s="21"/>
    </row>
    <row r="1057" spans="13:13" x14ac:dyDescent="0.25">
      <c r="M1057" s="21"/>
    </row>
    <row r="1058" spans="13:13" x14ac:dyDescent="0.25">
      <c r="M1058" s="21"/>
    </row>
    <row r="1059" spans="13:13" x14ac:dyDescent="0.25">
      <c r="M1059" s="21"/>
    </row>
    <row r="1060" spans="13:13" x14ac:dyDescent="0.25">
      <c r="M1060" s="21"/>
    </row>
    <row r="1061" spans="13:13" x14ac:dyDescent="0.25">
      <c r="M1061" s="21"/>
    </row>
    <row r="1062" spans="13:13" x14ac:dyDescent="0.25">
      <c r="M1062" s="21"/>
    </row>
    <row r="1063" spans="13:13" x14ac:dyDescent="0.25">
      <c r="M1063" s="21"/>
    </row>
    <row r="1064" spans="13:13" x14ac:dyDescent="0.25">
      <c r="M1064" s="21"/>
    </row>
    <row r="1065" spans="13:13" x14ac:dyDescent="0.25">
      <c r="M1065" s="21"/>
    </row>
    <row r="1066" spans="13:13" x14ac:dyDescent="0.25">
      <c r="M1066" s="21"/>
    </row>
    <row r="1067" spans="13:13" x14ac:dyDescent="0.25">
      <c r="M1067" s="21"/>
    </row>
    <row r="1068" spans="13:13" x14ac:dyDescent="0.25">
      <c r="M1068" s="21"/>
    </row>
    <row r="1069" spans="13:13" x14ac:dyDescent="0.25">
      <c r="M1069" s="21"/>
    </row>
    <row r="1070" spans="13:13" x14ac:dyDescent="0.25">
      <c r="M1070" s="21"/>
    </row>
    <row r="1071" spans="13:13" x14ac:dyDescent="0.25">
      <c r="M1071" s="21"/>
    </row>
    <row r="1072" spans="13:13" x14ac:dyDescent="0.25">
      <c r="M1072" s="21"/>
    </row>
    <row r="1073" spans="13:13" x14ac:dyDescent="0.25">
      <c r="M1073" s="21"/>
    </row>
    <row r="1074" spans="13:13" x14ac:dyDescent="0.25">
      <c r="M1074" s="21"/>
    </row>
    <row r="1075" spans="13:13" x14ac:dyDescent="0.25">
      <c r="M1075" s="21"/>
    </row>
    <row r="1076" spans="13:13" x14ac:dyDescent="0.25">
      <c r="M1076" s="21"/>
    </row>
    <row r="1077" spans="13:13" x14ac:dyDescent="0.25">
      <c r="M1077" s="21"/>
    </row>
    <row r="1078" spans="13:13" x14ac:dyDescent="0.25">
      <c r="M1078" s="21"/>
    </row>
    <row r="1079" spans="13:13" x14ac:dyDescent="0.25">
      <c r="M1079" s="21"/>
    </row>
    <row r="1080" spans="13:13" x14ac:dyDescent="0.25">
      <c r="M1080" s="21"/>
    </row>
    <row r="1081" spans="13:13" x14ac:dyDescent="0.25">
      <c r="M1081" s="21"/>
    </row>
    <row r="1082" spans="13:13" x14ac:dyDescent="0.25">
      <c r="M1082" s="21"/>
    </row>
    <row r="1083" spans="13:13" x14ac:dyDescent="0.25">
      <c r="M1083" s="21"/>
    </row>
    <row r="1084" spans="13:13" x14ac:dyDescent="0.25">
      <c r="M1084" s="21"/>
    </row>
    <row r="1085" spans="13:13" x14ac:dyDescent="0.25">
      <c r="M1085" s="21"/>
    </row>
    <row r="1086" spans="13:13" x14ac:dyDescent="0.25">
      <c r="M1086" s="21"/>
    </row>
    <row r="1087" spans="13:13" x14ac:dyDescent="0.25">
      <c r="M1087" s="21"/>
    </row>
    <row r="1088" spans="13:13" x14ac:dyDescent="0.25">
      <c r="M1088" s="21"/>
    </row>
    <row r="1089" spans="13:13" x14ac:dyDescent="0.25">
      <c r="M1089" s="21"/>
    </row>
    <row r="1090" spans="13:13" x14ac:dyDescent="0.25">
      <c r="M1090" s="21"/>
    </row>
    <row r="1091" spans="13:13" x14ac:dyDescent="0.25">
      <c r="M1091" s="21"/>
    </row>
    <row r="1092" spans="13:13" x14ac:dyDescent="0.25">
      <c r="M1092" s="21"/>
    </row>
    <row r="1093" spans="13:13" x14ac:dyDescent="0.25">
      <c r="M1093" s="21"/>
    </row>
    <row r="1094" spans="13:13" x14ac:dyDescent="0.25">
      <c r="M1094" s="21"/>
    </row>
    <row r="1095" spans="13:13" x14ac:dyDescent="0.25">
      <c r="M1095" s="21"/>
    </row>
    <row r="1096" spans="13:13" x14ac:dyDescent="0.25">
      <c r="M1096" s="21"/>
    </row>
    <row r="1097" spans="13:13" x14ac:dyDescent="0.25">
      <c r="M1097" s="21"/>
    </row>
    <row r="1098" spans="13:13" x14ac:dyDescent="0.25">
      <c r="M1098" s="21"/>
    </row>
    <row r="1099" spans="13:13" x14ac:dyDescent="0.25">
      <c r="M1099" s="21"/>
    </row>
    <row r="1100" spans="13:13" x14ac:dyDescent="0.25">
      <c r="M1100" s="21"/>
    </row>
    <row r="1101" spans="13:13" x14ac:dyDescent="0.25">
      <c r="M1101" s="21"/>
    </row>
    <row r="1102" spans="13:13" x14ac:dyDescent="0.25">
      <c r="M1102" s="21"/>
    </row>
    <row r="1103" spans="13:13" x14ac:dyDescent="0.25">
      <c r="M1103" s="21"/>
    </row>
    <row r="1104" spans="13:13" x14ac:dyDescent="0.25">
      <c r="M1104" s="21"/>
    </row>
    <row r="1105" spans="13:13" x14ac:dyDescent="0.25">
      <c r="M1105" s="21"/>
    </row>
    <row r="1106" spans="13:13" x14ac:dyDescent="0.25">
      <c r="M1106" s="21"/>
    </row>
    <row r="1107" spans="13:13" x14ac:dyDescent="0.25">
      <c r="M1107" s="21"/>
    </row>
    <row r="1108" spans="13:13" x14ac:dyDescent="0.25">
      <c r="M1108" s="21"/>
    </row>
    <row r="1109" spans="13:13" x14ac:dyDescent="0.25">
      <c r="M1109" s="21"/>
    </row>
    <row r="1110" spans="13:13" x14ac:dyDescent="0.25">
      <c r="M1110" s="21"/>
    </row>
    <row r="1111" spans="13:13" x14ac:dyDescent="0.25">
      <c r="M1111" s="21"/>
    </row>
    <row r="1112" spans="13:13" x14ac:dyDescent="0.25">
      <c r="M1112" s="21"/>
    </row>
    <row r="1113" spans="13:13" x14ac:dyDescent="0.25">
      <c r="M1113" s="21"/>
    </row>
    <row r="1114" spans="13:13" x14ac:dyDescent="0.25">
      <c r="M1114" s="21"/>
    </row>
    <row r="1115" spans="13:13" x14ac:dyDescent="0.25">
      <c r="M1115" s="21"/>
    </row>
    <row r="1116" spans="13:13" x14ac:dyDescent="0.25">
      <c r="M1116" s="21"/>
    </row>
    <row r="1117" spans="13:13" x14ac:dyDescent="0.25">
      <c r="M1117" s="21"/>
    </row>
    <row r="1118" spans="13:13" x14ac:dyDescent="0.25">
      <c r="M1118" s="21"/>
    </row>
    <row r="1119" spans="13:13" x14ac:dyDescent="0.25">
      <c r="M1119" s="21"/>
    </row>
    <row r="1120" spans="13:13" x14ac:dyDescent="0.25">
      <c r="M1120" s="21"/>
    </row>
    <row r="1121" spans="13:13" x14ac:dyDescent="0.25">
      <c r="M1121" s="21"/>
    </row>
    <row r="1122" spans="13:13" x14ac:dyDescent="0.25">
      <c r="M1122" s="21"/>
    </row>
    <row r="1123" spans="13:13" x14ac:dyDescent="0.25">
      <c r="M1123" s="21"/>
    </row>
    <row r="1124" spans="13:13" x14ac:dyDescent="0.25">
      <c r="M1124" s="21"/>
    </row>
    <row r="1125" spans="13:13" x14ac:dyDescent="0.25">
      <c r="M1125" s="21"/>
    </row>
    <row r="1126" spans="13:13" x14ac:dyDescent="0.25">
      <c r="M1126" s="21"/>
    </row>
    <row r="1127" spans="13:13" x14ac:dyDescent="0.25">
      <c r="M1127" s="21"/>
    </row>
    <row r="1128" spans="13:13" x14ac:dyDescent="0.25">
      <c r="M1128" s="21"/>
    </row>
    <row r="1129" spans="13:13" x14ac:dyDescent="0.25">
      <c r="M1129" s="21"/>
    </row>
    <row r="1130" spans="13:13" x14ac:dyDescent="0.25">
      <c r="M1130" s="21"/>
    </row>
    <row r="1131" spans="13:13" x14ac:dyDescent="0.25">
      <c r="M1131" s="21"/>
    </row>
    <row r="1132" spans="13:13" x14ac:dyDescent="0.25">
      <c r="M1132" s="21"/>
    </row>
    <row r="1133" spans="13:13" x14ac:dyDescent="0.25">
      <c r="M1133" s="21"/>
    </row>
    <row r="1134" spans="13:13" x14ac:dyDescent="0.25">
      <c r="M1134" s="21"/>
    </row>
    <row r="1135" spans="13:13" x14ac:dyDescent="0.25">
      <c r="M1135" s="21"/>
    </row>
    <row r="1136" spans="13:13" x14ac:dyDescent="0.25">
      <c r="M1136" s="21"/>
    </row>
    <row r="1137" spans="13:13" x14ac:dyDescent="0.25">
      <c r="M1137" s="21"/>
    </row>
    <row r="1138" spans="13:13" x14ac:dyDescent="0.25">
      <c r="M1138" s="21"/>
    </row>
    <row r="1139" spans="13:13" x14ac:dyDescent="0.25">
      <c r="M1139" s="21"/>
    </row>
    <row r="1140" spans="13:13" x14ac:dyDescent="0.25">
      <c r="M1140" s="21"/>
    </row>
    <row r="1141" spans="13:13" x14ac:dyDescent="0.25">
      <c r="M1141" s="21"/>
    </row>
    <row r="1142" spans="13:13" x14ac:dyDescent="0.25">
      <c r="M1142" s="21"/>
    </row>
    <row r="1143" spans="13:13" x14ac:dyDescent="0.25">
      <c r="M1143" s="21"/>
    </row>
    <row r="1144" spans="13:13" x14ac:dyDescent="0.25">
      <c r="M1144" s="21"/>
    </row>
    <row r="1145" spans="13:13" x14ac:dyDescent="0.25">
      <c r="M1145" s="21"/>
    </row>
    <row r="1146" spans="13:13" x14ac:dyDescent="0.25">
      <c r="M1146" s="21"/>
    </row>
    <row r="1147" spans="13:13" x14ac:dyDescent="0.25">
      <c r="M1147" s="21"/>
    </row>
    <row r="1148" spans="13:13" x14ac:dyDescent="0.25">
      <c r="M1148" s="21"/>
    </row>
    <row r="1149" spans="13:13" x14ac:dyDescent="0.25">
      <c r="M1149" s="21"/>
    </row>
    <row r="1150" spans="13:13" x14ac:dyDescent="0.25">
      <c r="M1150" s="21"/>
    </row>
    <row r="1151" spans="13:13" x14ac:dyDescent="0.25">
      <c r="M1151" s="21"/>
    </row>
    <row r="1152" spans="13:13" x14ac:dyDescent="0.25">
      <c r="M1152" s="21"/>
    </row>
    <row r="1153" spans="13:13" x14ac:dyDescent="0.25">
      <c r="M1153" s="21"/>
    </row>
    <row r="1154" spans="13:13" x14ac:dyDescent="0.25">
      <c r="M1154" s="21"/>
    </row>
    <row r="1155" spans="13:13" x14ac:dyDescent="0.25">
      <c r="M1155" s="21"/>
    </row>
    <row r="1156" spans="13:13" x14ac:dyDescent="0.25">
      <c r="M1156" s="21"/>
    </row>
    <row r="1157" spans="13:13" x14ac:dyDescent="0.25">
      <c r="M1157" s="21"/>
    </row>
    <row r="1158" spans="13:13" x14ac:dyDescent="0.25">
      <c r="M1158" s="21"/>
    </row>
    <row r="1159" spans="13:13" x14ac:dyDescent="0.25">
      <c r="M1159" s="21"/>
    </row>
    <row r="1160" spans="13:13" x14ac:dyDescent="0.25">
      <c r="M1160" s="21"/>
    </row>
    <row r="1161" spans="13:13" x14ac:dyDescent="0.25">
      <c r="M1161" s="21"/>
    </row>
    <row r="1162" spans="13:13" x14ac:dyDescent="0.25">
      <c r="M1162" s="21"/>
    </row>
    <row r="1163" spans="13:13" x14ac:dyDescent="0.25">
      <c r="M1163" s="21"/>
    </row>
    <row r="1164" spans="13:13" x14ac:dyDescent="0.25">
      <c r="M1164" s="21"/>
    </row>
    <row r="1165" spans="13:13" x14ac:dyDescent="0.25">
      <c r="M1165" s="21"/>
    </row>
    <row r="1166" spans="13:13" x14ac:dyDescent="0.25">
      <c r="M1166" s="21"/>
    </row>
    <row r="1167" spans="13:13" x14ac:dyDescent="0.25">
      <c r="M1167" s="21"/>
    </row>
    <row r="1168" spans="13:13" x14ac:dyDescent="0.25">
      <c r="M1168" s="21"/>
    </row>
    <row r="1169" spans="13:13" x14ac:dyDescent="0.25">
      <c r="M1169" s="21"/>
    </row>
    <row r="1170" spans="13:13" x14ac:dyDescent="0.25">
      <c r="M1170" s="21"/>
    </row>
    <row r="1171" spans="13:13" x14ac:dyDescent="0.25">
      <c r="M1171" s="21"/>
    </row>
    <row r="1172" spans="13:13" x14ac:dyDescent="0.25">
      <c r="M1172" s="21"/>
    </row>
    <row r="1173" spans="13:13" x14ac:dyDescent="0.25">
      <c r="M1173" s="21"/>
    </row>
    <row r="1174" spans="13:13" x14ac:dyDescent="0.25">
      <c r="M1174" s="21"/>
    </row>
    <row r="1175" spans="13:13" x14ac:dyDescent="0.25">
      <c r="M1175" s="21"/>
    </row>
    <row r="1176" spans="13:13" x14ac:dyDescent="0.25">
      <c r="M1176" s="21"/>
    </row>
    <row r="1177" spans="13:13" x14ac:dyDescent="0.25">
      <c r="M1177" s="21"/>
    </row>
    <row r="1178" spans="13:13" x14ac:dyDescent="0.25">
      <c r="M1178" s="21"/>
    </row>
    <row r="1179" spans="13:13" x14ac:dyDescent="0.25">
      <c r="M1179" s="21"/>
    </row>
    <row r="1180" spans="13:13" x14ac:dyDescent="0.25">
      <c r="M1180" s="21"/>
    </row>
    <row r="1181" spans="13:13" x14ac:dyDescent="0.25">
      <c r="M1181" s="21"/>
    </row>
    <row r="1182" spans="13:13" x14ac:dyDescent="0.25">
      <c r="M1182" s="21"/>
    </row>
    <row r="1183" spans="13:13" x14ac:dyDescent="0.25">
      <c r="M1183" s="21"/>
    </row>
    <row r="1184" spans="13:13" x14ac:dyDescent="0.25">
      <c r="M1184" s="21"/>
    </row>
    <row r="1185" spans="13:13" x14ac:dyDescent="0.25">
      <c r="M1185" s="21"/>
    </row>
    <row r="1186" spans="13:13" x14ac:dyDescent="0.25">
      <c r="M1186" s="21"/>
    </row>
    <row r="1187" spans="13:13" x14ac:dyDescent="0.25">
      <c r="M1187" s="21"/>
    </row>
    <row r="1188" spans="13:13" x14ac:dyDescent="0.25">
      <c r="M1188" s="21"/>
    </row>
    <row r="1189" spans="13:13" x14ac:dyDescent="0.25">
      <c r="M1189" s="21"/>
    </row>
    <row r="1190" spans="13:13" x14ac:dyDescent="0.25">
      <c r="M1190" s="21"/>
    </row>
    <row r="1191" spans="13:13" x14ac:dyDescent="0.25">
      <c r="M1191" s="21"/>
    </row>
    <row r="1192" spans="13:13" x14ac:dyDescent="0.25">
      <c r="M1192" s="21"/>
    </row>
    <row r="1193" spans="13:13" x14ac:dyDescent="0.25">
      <c r="M1193" s="21"/>
    </row>
    <row r="1194" spans="13:13" x14ac:dyDescent="0.25">
      <c r="M1194" s="21"/>
    </row>
    <row r="1195" spans="13:13" x14ac:dyDescent="0.25">
      <c r="M1195" s="21"/>
    </row>
    <row r="1196" spans="13:13" x14ac:dyDescent="0.25">
      <c r="M1196" s="21"/>
    </row>
    <row r="1197" spans="13:13" x14ac:dyDescent="0.25">
      <c r="M1197" s="21"/>
    </row>
    <row r="1198" spans="13:13" x14ac:dyDescent="0.25">
      <c r="M1198" s="21"/>
    </row>
    <row r="1199" spans="13:13" x14ac:dyDescent="0.25">
      <c r="M1199" s="21"/>
    </row>
    <row r="1200" spans="13:13" x14ac:dyDescent="0.25">
      <c r="M1200" s="21"/>
    </row>
    <row r="1201" spans="13:13" x14ac:dyDescent="0.25">
      <c r="M1201" s="21"/>
    </row>
    <row r="1202" spans="13:13" x14ac:dyDescent="0.25">
      <c r="M1202" s="21"/>
    </row>
    <row r="1203" spans="13:13" x14ac:dyDescent="0.25">
      <c r="M1203" s="21"/>
    </row>
    <row r="1204" spans="13:13" x14ac:dyDescent="0.25">
      <c r="M1204" s="21"/>
    </row>
    <row r="1205" spans="13:13" x14ac:dyDescent="0.25">
      <c r="M1205" s="21"/>
    </row>
    <row r="1206" spans="13:13" x14ac:dyDescent="0.25">
      <c r="M1206" s="21"/>
    </row>
    <row r="1207" spans="13:13" x14ac:dyDescent="0.25">
      <c r="M1207" s="21"/>
    </row>
    <row r="1208" spans="13:13" x14ac:dyDescent="0.25">
      <c r="M1208" s="21"/>
    </row>
    <row r="1209" spans="13:13" x14ac:dyDescent="0.25">
      <c r="M1209" s="21"/>
    </row>
    <row r="1210" spans="13:13" x14ac:dyDescent="0.25">
      <c r="M1210" s="21"/>
    </row>
    <row r="1211" spans="13:13" x14ac:dyDescent="0.25">
      <c r="M1211" s="21"/>
    </row>
    <row r="1212" spans="13:13" x14ac:dyDescent="0.25">
      <c r="M1212" s="21"/>
    </row>
    <row r="1213" spans="13:13" x14ac:dyDescent="0.25">
      <c r="M1213" s="21"/>
    </row>
    <row r="1214" spans="13:13" x14ac:dyDescent="0.25">
      <c r="M1214" s="21"/>
    </row>
    <row r="1215" spans="13:13" x14ac:dyDescent="0.25">
      <c r="M1215" s="21"/>
    </row>
    <row r="1216" spans="13:13" x14ac:dyDescent="0.25">
      <c r="M1216" s="21"/>
    </row>
    <row r="1217" spans="13:13" x14ac:dyDescent="0.25">
      <c r="M1217" s="21"/>
    </row>
    <row r="1218" spans="13:13" x14ac:dyDescent="0.25">
      <c r="M1218" s="21"/>
    </row>
    <row r="1219" spans="13:13" x14ac:dyDescent="0.25">
      <c r="M1219" s="21"/>
    </row>
    <row r="1220" spans="13:13" x14ac:dyDescent="0.25">
      <c r="M1220" s="21"/>
    </row>
    <row r="1221" spans="13:13" x14ac:dyDescent="0.25">
      <c r="M1221" s="21"/>
    </row>
    <row r="1222" spans="13:13" x14ac:dyDescent="0.25">
      <c r="M1222" s="21"/>
    </row>
    <row r="1223" spans="13:13" x14ac:dyDescent="0.25">
      <c r="M1223" s="21"/>
    </row>
    <row r="1224" spans="13:13" x14ac:dyDescent="0.25">
      <c r="M1224" s="21"/>
    </row>
    <row r="1225" spans="13:13" x14ac:dyDescent="0.25">
      <c r="M1225" s="21"/>
    </row>
    <row r="1226" spans="13:13" x14ac:dyDescent="0.25">
      <c r="M1226" s="21"/>
    </row>
    <row r="1227" spans="13:13" x14ac:dyDescent="0.25">
      <c r="M1227" s="21"/>
    </row>
    <row r="1228" spans="13:13" x14ac:dyDescent="0.25">
      <c r="M1228" s="21"/>
    </row>
    <row r="1229" spans="13:13" x14ac:dyDescent="0.25">
      <c r="M1229" s="21"/>
    </row>
    <row r="1230" spans="13:13" x14ac:dyDescent="0.25">
      <c r="M1230" s="21"/>
    </row>
    <row r="1231" spans="13:13" x14ac:dyDescent="0.25">
      <c r="M1231" s="21"/>
    </row>
    <row r="1232" spans="13:13" x14ac:dyDescent="0.25">
      <c r="M1232" s="21"/>
    </row>
    <row r="1233" spans="13:13" x14ac:dyDescent="0.25">
      <c r="M1233" s="21"/>
    </row>
    <row r="1234" spans="13:13" x14ac:dyDescent="0.25">
      <c r="M1234" s="21"/>
    </row>
    <row r="1235" spans="13:13" x14ac:dyDescent="0.25">
      <c r="M1235" s="21"/>
    </row>
    <row r="1236" spans="13:13" x14ac:dyDescent="0.25">
      <c r="M1236" s="21"/>
    </row>
    <row r="1237" spans="13:13" x14ac:dyDescent="0.25">
      <c r="M1237" s="21"/>
    </row>
    <row r="1238" spans="13:13" x14ac:dyDescent="0.25">
      <c r="M1238" s="21"/>
    </row>
    <row r="1239" spans="13:13" x14ac:dyDescent="0.25">
      <c r="M1239" s="21"/>
    </row>
    <row r="1240" spans="13:13" x14ac:dyDescent="0.25">
      <c r="M1240" s="21"/>
    </row>
    <row r="1241" spans="13:13" x14ac:dyDescent="0.25">
      <c r="M1241" s="21"/>
    </row>
    <row r="1242" spans="13:13" x14ac:dyDescent="0.25">
      <c r="M1242" s="21"/>
    </row>
    <row r="1243" spans="13:13" x14ac:dyDescent="0.25">
      <c r="M1243" s="21"/>
    </row>
    <row r="1244" spans="13:13" x14ac:dyDescent="0.25">
      <c r="M1244" s="21"/>
    </row>
    <row r="1245" spans="13:13" x14ac:dyDescent="0.25">
      <c r="M1245" s="21"/>
    </row>
    <row r="1246" spans="13:13" x14ac:dyDescent="0.25">
      <c r="M1246" s="21"/>
    </row>
    <row r="1247" spans="13:13" x14ac:dyDescent="0.25">
      <c r="M1247" s="21"/>
    </row>
    <row r="1248" spans="13:13" x14ac:dyDescent="0.25">
      <c r="M1248" s="21"/>
    </row>
    <row r="1249" spans="13:13" x14ac:dyDescent="0.25">
      <c r="M1249" s="21"/>
    </row>
    <row r="1250" spans="13:13" x14ac:dyDescent="0.25">
      <c r="M1250" s="21"/>
    </row>
    <row r="1251" spans="13:13" x14ac:dyDescent="0.25">
      <c r="M1251" s="21"/>
    </row>
    <row r="1252" spans="13:13" x14ac:dyDescent="0.25">
      <c r="M1252" s="21"/>
    </row>
    <row r="1253" spans="13:13" x14ac:dyDescent="0.25">
      <c r="M1253" s="21"/>
    </row>
    <row r="1254" spans="13:13" x14ac:dyDescent="0.25">
      <c r="M1254" s="21"/>
    </row>
    <row r="1255" spans="13:13" x14ac:dyDescent="0.25">
      <c r="M1255" s="21"/>
    </row>
    <row r="1256" spans="13:13" x14ac:dyDescent="0.25">
      <c r="M1256" s="21"/>
    </row>
    <row r="1257" spans="13:13" x14ac:dyDescent="0.25">
      <c r="M1257" s="21"/>
    </row>
    <row r="1258" spans="13:13" x14ac:dyDescent="0.25">
      <c r="M1258" s="21"/>
    </row>
    <row r="1259" spans="13:13" x14ac:dyDescent="0.25">
      <c r="M1259" s="21"/>
    </row>
    <row r="1260" spans="13:13" x14ac:dyDescent="0.25">
      <c r="M1260" s="21"/>
    </row>
    <row r="1261" spans="13:13" x14ac:dyDescent="0.25">
      <c r="M1261" s="21"/>
    </row>
    <row r="1262" spans="13:13" x14ac:dyDescent="0.25">
      <c r="M1262" s="21"/>
    </row>
    <row r="1263" spans="13:13" x14ac:dyDescent="0.25">
      <c r="M1263" s="21"/>
    </row>
    <row r="1264" spans="13:13" x14ac:dyDescent="0.25">
      <c r="M1264" s="21"/>
    </row>
    <row r="1265" spans="13:13" x14ac:dyDescent="0.25">
      <c r="M1265" s="21"/>
    </row>
    <row r="1266" spans="13:13" x14ac:dyDescent="0.25">
      <c r="M1266" s="21"/>
    </row>
    <row r="1267" spans="13:13" x14ac:dyDescent="0.25">
      <c r="M1267" s="21"/>
    </row>
    <row r="1268" spans="13:13" x14ac:dyDescent="0.25">
      <c r="M1268" s="21"/>
    </row>
    <row r="1269" spans="13:13" x14ac:dyDescent="0.25">
      <c r="M1269" s="21"/>
    </row>
    <row r="1270" spans="13:13" x14ac:dyDescent="0.25">
      <c r="M1270" s="21"/>
    </row>
    <row r="1271" spans="13:13" x14ac:dyDescent="0.25">
      <c r="M1271" s="21"/>
    </row>
    <row r="1272" spans="13:13" x14ac:dyDescent="0.25">
      <c r="M1272" s="21"/>
    </row>
    <row r="1273" spans="13:13" x14ac:dyDescent="0.25">
      <c r="M1273" s="21"/>
    </row>
    <row r="1274" spans="13:13" x14ac:dyDescent="0.25">
      <c r="M1274" s="21"/>
    </row>
    <row r="1275" spans="13:13" x14ac:dyDescent="0.25">
      <c r="M1275" s="21"/>
    </row>
    <row r="1276" spans="13:13" x14ac:dyDescent="0.25">
      <c r="M1276" s="21"/>
    </row>
    <row r="1277" spans="13:13" x14ac:dyDescent="0.25">
      <c r="M1277" s="21"/>
    </row>
    <row r="1278" spans="13:13" x14ac:dyDescent="0.25">
      <c r="M1278" s="21"/>
    </row>
    <row r="1279" spans="13:13" x14ac:dyDescent="0.25">
      <c r="M1279" s="21"/>
    </row>
    <row r="1280" spans="13:13" x14ac:dyDescent="0.25">
      <c r="M1280" s="21"/>
    </row>
    <row r="1281" spans="13:13" x14ac:dyDescent="0.25">
      <c r="M1281" s="21"/>
    </row>
    <row r="1282" spans="13:13" x14ac:dyDescent="0.25">
      <c r="M1282" s="21"/>
    </row>
    <row r="1283" spans="13:13" x14ac:dyDescent="0.25">
      <c r="M1283" s="21"/>
    </row>
    <row r="1284" spans="13:13" x14ac:dyDescent="0.25">
      <c r="M1284" s="21"/>
    </row>
    <row r="1285" spans="13:13" x14ac:dyDescent="0.25">
      <c r="M1285" s="21"/>
    </row>
    <row r="1286" spans="13:13" x14ac:dyDescent="0.25">
      <c r="M1286" s="21"/>
    </row>
    <row r="1287" spans="13:13" x14ac:dyDescent="0.25">
      <c r="M1287" s="21"/>
    </row>
    <row r="1288" spans="13:13" x14ac:dyDescent="0.25">
      <c r="M1288" s="21"/>
    </row>
    <row r="1289" spans="13:13" x14ac:dyDescent="0.25">
      <c r="M1289" s="21"/>
    </row>
    <row r="1290" spans="13:13" x14ac:dyDescent="0.25">
      <c r="M1290" s="21"/>
    </row>
    <row r="1291" spans="13:13" x14ac:dyDescent="0.25">
      <c r="M1291" s="21"/>
    </row>
    <row r="1292" spans="13:13" x14ac:dyDescent="0.25">
      <c r="M1292" s="21"/>
    </row>
    <row r="1293" spans="13:13" x14ac:dyDescent="0.25">
      <c r="M1293" s="21"/>
    </row>
    <row r="1294" spans="13:13" x14ac:dyDescent="0.25">
      <c r="M1294" s="21"/>
    </row>
    <row r="1295" spans="13:13" x14ac:dyDescent="0.25">
      <c r="M1295" s="21"/>
    </row>
    <row r="1296" spans="13:13" x14ac:dyDescent="0.25">
      <c r="M1296" s="21"/>
    </row>
    <row r="1297" spans="13:13" x14ac:dyDescent="0.25">
      <c r="M1297" s="21"/>
    </row>
    <row r="1298" spans="13:13" x14ac:dyDescent="0.25">
      <c r="M1298" s="21"/>
    </row>
    <row r="1299" spans="13:13" x14ac:dyDescent="0.25">
      <c r="M1299" s="21"/>
    </row>
    <row r="1300" spans="13:13" x14ac:dyDescent="0.25">
      <c r="M1300" s="21"/>
    </row>
    <row r="1301" spans="13:13" x14ac:dyDescent="0.25">
      <c r="M1301" s="21"/>
    </row>
    <row r="1302" spans="13:13" x14ac:dyDescent="0.25">
      <c r="M1302" s="21"/>
    </row>
    <row r="1303" spans="13:13" x14ac:dyDescent="0.25">
      <c r="M1303" s="21"/>
    </row>
    <row r="1304" spans="13:13" x14ac:dyDescent="0.25">
      <c r="M1304" s="21"/>
    </row>
    <row r="1305" spans="13:13" x14ac:dyDescent="0.25">
      <c r="M1305" s="21"/>
    </row>
    <row r="1306" spans="13:13" x14ac:dyDescent="0.25">
      <c r="M1306" s="21"/>
    </row>
    <row r="1307" spans="13:13" x14ac:dyDescent="0.25">
      <c r="M1307" s="21"/>
    </row>
    <row r="1308" spans="13:13" x14ac:dyDescent="0.25">
      <c r="M1308" s="21"/>
    </row>
    <row r="1309" spans="13:13" x14ac:dyDescent="0.25">
      <c r="M1309" s="21"/>
    </row>
    <row r="1310" spans="13:13" x14ac:dyDescent="0.25">
      <c r="M1310" s="21"/>
    </row>
    <row r="1311" spans="13:13" x14ac:dyDescent="0.25">
      <c r="M1311" s="21"/>
    </row>
    <row r="1312" spans="13:13" x14ac:dyDescent="0.25">
      <c r="M1312" s="21"/>
    </row>
    <row r="1313" spans="13:13" x14ac:dyDescent="0.25">
      <c r="M1313" s="21"/>
    </row>
    <row r="1314" spans="13:13" x14ac:dyDescent="0.25">
      <c r="M1314" s="21"/>
    </row>
    <row r="1315" spans="13:13" x14ac:dyDescent="0.25">
      <c r="M1315" s="21"/>
    </row>
    <row r="1316" spans="13:13" x14ac:dyDescent="0.25">
      <c r="M1316" s="21"/>
    </row>
    <row r="1317" spans="13:13" x14ac:dyDescent="0.25">
      <c r="M1317" s="21"/>
    </row>
    <row r="1318" spans="13:13" x14ac:dyDescent="0.25">
      <c r="M1318" s="21"/>
    </row>
    <row r="1319" spans="13:13" x14ac:dyDescent="0.25">
      <c r="M1319" s="21"/>
    </row>
    <row r="1320" spans="13:13" x14ac:dyDescent="0.25">
      <c r="M1320" s="21"/>
    </row>
    <row r="1321" spans="13:13" x14ac:dyDescent="0.25">
      <c r="M1321" s="21"/>
    </row>
    <row r="1322" spans="13:13" x14ac:dyDescent="0.25">
      <c r="M1322" s="21"/>
    </row>
    <row r="1323" spans="13:13" x14ac:dyDescent="0.25">
      <c r="M1323" s="21"/>
    </row>
    <row r="1324" spans="13:13" x14ac:dyDescent="0.25">
      <c r="M1324" s="21"/>
    </row>
    <row r="1325" spans="13:13" x14ac:dyDescent="0.25">
      <c r="M1325" s="21"/>
    </row>
    <row r="1326" spans="13:13" x14ac:dyDescent="0.25">
      <c r="M1326" s="21"/>
    </row>
    <row r="1327" spans="13:13" x14ac:dyDescent="0.25">
      <c r="M1327" s="21"/>
    </row>
    <row r="1328" spans="13:13" x14ac:dyDescent="0.25">
      <c r="M1328" s="21"/>
    </row>
    <row r="1329" spans="13:13" x14ac:dyDescent="0.25">
      <c r="M1329" s="21"/>
    </row>
    <row r="1330" spans="13:13" x14ac:dyDescent="0.25">
      <c r="M1330" s="21"/>
    </row>
    <row r="1331" spans="13:13" x14ac:dyDescent="0.25">
      <c r="M1331" s="21"/>
    </row>
    <row r="1332" spans="13:13" x14ac:dyDescent="0.25">
      <c r="M1332" s="21"/>
    </row>
    <row r="1333" spans="13:13" x14ac:dyDescent="0.25">
      <c r="M1333" s="21"/>
    </row>
    <row r="1334" spans="13:13" x14ac:dyDescent="0.25">
      <c r="M1334" s="21"/>
    </row>
    <row r="1335" spans="13:13" x14ac:dyDescent="0.25">
      <c r="M1335" s="21"/>
    </row>
    <row r="1336" spans="13:13" x14ac:dyDescent="0.25">
      <c r="M1336" s="21"/>
    </row>
    <row r="1337" spans="13:13" x14ac:dyDescent="0.25">
      <c r="M1337" s="21"/>
    </row>
    <row r="1338" spans="13:13" x14ac:dyDescent="0.25">
      <c r="M1338" s="21"/>
    </row>
    <row r="1339" spans="13:13" x14ac:dyDescent="0.25">
      <c r="M1339" s="21"/>
    </row>
    <row r="1340" spans="13:13" x14ac:dyDescent="0.25">
      <c r="M1340" s="21"/>
    </row>
    <row r="1341" spans="13:13" x14ac:dyDescent="0.25">
      <c r="M1341" s="21"/>
    </row>
    <row r="1342" spans="13:13" x14ac:dyDescent="0.25">
      <c r="M1342" s="21"/>
    </row>
    <row r="1343" spans="13:13" x14ac:dyDescent="0.25">
      <c r="M1343" s="21"/>
    </row>
    <row r="1344" spans="13:13" x14ac:dyDescent="0.25">
      <c r="M1344" s="21"/>
    </row>
    <row r="1345" spans="13:13" x14ac:dyDescent="0.25">
      <c r="M1345" s="21"/>
    </row>
    <row r="1346" spans="13:13" x14ac:dyDescent="0.25">
      <c r="M1346" s="21"/>
    </row>
    <row r="1347" spans="13:13" x14ac:dyDescent="0.25">
      <c r="M1347" s="21"/>
    </row>
    <row r="1348" spans="13:13" x14ac:dyDescent="0.25">
      <c r="M1348" s="21"/>
    </row>
    <row r="1349" spans="13:13" x14ac:dyDescent="0.25">
      <c r="M1349" s="21"/>
    </row>
    <row r="1350" spans="13:13" x14ac:dyDescent="0.25">
      <c r="M1350" s="21"/>
    </row>
    <row r="1351" spans="13:13" x14ac:dyDescent="0.25">
      <c r="M1351" s="21"/>
    </row>
    <row r="1352" spans="13:13" x14ac:dyDescent="0.25">
      <c r="M1352" s="21"/>
    </row>
    <row r="1353" spans="13:13" x14ac:dyDescent="0.25">
      <c r="M1353" s="21"/>
    </row>
    <row r="1354" spans="13:13" x14ac:dyDescent="0.25">
      <c r="M1354" s="21"/>
    </row>
    <row r="1355" spans="13:13" x14ac:dyDescent="0.25">
      <c r="M1355" s="21"/>
    </row>
    <row r="1356" spans="13:13" x14ac:dyDescent="0.25">
      <c r="M1356" s="21"/>
    </row>
    <row r="1357" spans="13:13" x14ac:dyDescent="0.25">
      <c r="M1357" s="21"/>
    </row>
    <row r="1358" spans="13:13" x14ac:dyDescent="0.25">
      <c r="M1358" s="21"/>
    </row>
    <row r="1359" spans="13:13" x14ac:dyDescent="0.25">
      <c r="M1359" s="21"/>
    </row>
    <row r="1360" spans="13:13" x14ac:dyDescent="0.25">
      <c r="M1360" s="21"/>
    </row>
    <row r="1361" spans="13:13" x14ac:dyDescent="0.25">
      <c r="M1361" s="21"/>
    </row>
    <row r="1362" spans="13:13" x14ac:dyDescent="0.25">
      <c r="M1362" s="21"/>
    </row>
    <row r="1363" spans="13:13" x14ac:dyDescent="0.25">
      <c r="M1363" s="21"/>
    </row>
    <row r="1364" spans="13:13" x14ac:dyDescent="0.25">
      <c r="M1364" s="21"/>
    </row>
    <row r="1365" spans="13:13" x14ac:dyDescent="0.25">
      <c r="M1365" s="21"/>
    </row>
    <row r="1366" spans="13:13" x14ac:dyDescent="0.25">
      <c r="M1366" s="21"/>
    </row>
    <row r="1367" spans="13:13" x14ac:dyDescent="0.25">
      <c r="M1367" s="21"/>
    </row>
    <row r="1368" spans="13:13" x14ac:dyDescent="0.25">
      <c r="M1368" s="21"/>
    </row>
    <row r="1369" spans="13:13" x14ac:dyDescent="0.25">
      <c r="M1369" s="21"/>
    </row>
    <row r="1370" spans="13:13" x14ac:dyDescent="0.25">
      <c r="M1370" s="21"/>
    </row>
    <row r="1371" spans="13:13" x14ac:dyDescent="0.25">
      <c r="M1371" s="21"/>
    </row>
    <row r="1372" spans="13:13" x14ac:dyDescent="0.25">
      <c r="M1372" s="21"/>
    </row>
    <row r="1373" spans="13:13" x14ac:dyDescent="0.25">
      <c r="M1373" s="21"/>
    </row>
    <row r="1374" spans="13:13" x14ac:dyDescent="0.25">
      <c r="M1374" s="21"/>
    </row>
    <row r="1375" spans="13:13" x14ac:dyDescent="0.25">
      <c r="M1375" s="21"/>
    </row>
    <row r="1376" spans="13:13" x14ac:dyDescent="0.25">
      <c r="M1376" s="21"/>
    </row>
    <row r="1377" spans="13:13" x14ac:dyDescent="0.25">
      <c r="M1377" s="21"/>
    </row>
    <row r="1378" spans="13:13" x14ac:dyDescent="0.25">
      <c r="M1378" s="21"/>
    </row>
    <row r="1379" spans="13:13" x14ac:dyDescent="0.25">
      <c r="M1379" s="21"/>
    </row>
    <row r="1380" spans="13:13" x14ac:dyDescent="0.25">
      <c r="M1380" s="21"/>
    </row>
    <row r="1381" spans="13:13" x14ac:dyDescent="0.25">
      <c r="M1381" s="21"/>
    </row>
    <row r="1382" spans="13:13" x14ac:dyDescent="0.25">
      <c r="M1382" s="21"/>
    </row>
    <row r="1383" spans="13:13" x14ac:dyDescent="0.25">
      <c r="M1383" s="21"/>
    </row>
    <row r="1384" spans="13:13" x14ac:dyDescent="0.25">
      <c r="M1384" s="21"/>
    </row>
    <row r="1385" spans="13:13" x14ac:dyDescent="0.25">
      <c r="M1385" s="21"/>
    </row>
    <row r="1386" spans="13:13" x14ac:dyDescent="0.25">
      <c r="M1386" s="21"/>
    </row>
    <row r="1387" spans="13:13" x14ac:dyDescent="0.25">
      <c r="M1387" s="21"/>
    </row>
    <row r="1388" spans="13:13" x14ac:dyDescent="0.25">
      <c r="M1388" s="21"/>
    </row>
    <row r="1389" spans="13:13" x14ac:dyDescent="0.25">
      <c r="M1389" s="21"/>
    </row>
    <row r="1390" spans="13:13" x14ac:dyDescent="0.25">
      <c r="M1390" s="21"/>
    </row>
    <row r="1391" spans="13:13" x14ac:dyDescent="0.25">
      <c r="M1391" s="21"/>
    </row>
    <row r="1392" spans="13:13" x14ac:dyDescent="0.25">
      <c r="M1392" s="21"/>
    </row>
    <row r="1393" spans="13:13" x14ac:dyDescent="0.25">
      <c r="M1393" s="21"/>
    </row>
    <row r="1394" spans="13:13" x14ac:dyDescent="0.25">
      <c r="M1394" s="21"/>
    </row>
    <row r="1395" spans="13:13" x14ac:dyDescent="0.25">
      <c r="M1395" s="21"/>
    </row>
    <row r="1396" spans="13:13" x14ac:dyDescent="0.25">
      <c r="M1396" s="21"/>
    </row>
    <row r="1397" spans="13:13" x14ac:dyDescent="0.25">
      <c r="M1397" s="21"/>
    </row>
    <row r="1398" spans="13:13" x14ac:dyDescent="0.25">
      <c r="M1398" s="21"/>
    </row>
    <row r="1399" spans="13:13" x14ac:dyDescent="0.25">
      <c r="M1399" s="21"/>
    </row>
    <row r="1400" spans="13:13" x14ac:dyDescent="0.25">
      <c r="M1400" s="21"/>
    </row>
    <row r="1401" spans="13:13" x14ac:dyDescent="0.25">
      <c r="M1401" s="21"/>
    </row>
    <row r="1402" spans="13:13" x14ac:dyDescent="0.25">
      <c r="M1402" s="21"/>
    </row>
    <row r="1403" spans="13:13" x14ac:dyDescent="0.25">
      <c r="M1403" s="21"/>
    </row>
    <row r="1404" spans="13:13" x14ac:dyDescent="0.25">
      <c r="M1404" s="21"/>
    </row>
    <row r="1405" spans="13:13" x14ac:dyDescent="0.25">
      <c r="M1405" s="21"/>
    </row>
    <row r="1406" spans="13:13" x14ac:dyDescent="0.25">
      <c r="M1406" s="21"/>
    </row>
    <row r="1407" spans="13:13" x14ac:dyDescent="0.25">
      <c r="M1407" s="21"/>
    </row>
    <row r="1408" spans="13:13" x14ac:dyDescent="0.25">
      <c r="M1408" s="21"/>
    </row>
    <row r="1409" spans="13:13" x14ac:dyDescent="0.25">
      <c r="M1409" s="21"/>
    </row>
    <row r="1410" spans="13:13" x14ac:dyDescent="0.25">
      <c r="M1410" s="21"/>
    </row>
    <row r="1411" spans="13:13" x14ac:dyDescent="0.25">
      <c r="M1411" s="21"/>
    </row>
    <row r="1412" spans="13:13" x14ac:dyDescent="0.25">
      <c r="M1412" s="21"/>
    </row>
    <row r="1413" spans="13:13" x14ac:dyDescent="0.25">
      <c r="M1413" s="21"/>
    </row>
    <row r="1414" spans="13:13" x14ac:dyDescent="0.25">
      <c r="M1414" s="21"/>
    </row>
    <row r="1415" spans="13:13" x14ac:dyDescent="0.25">
      <c r="M1415" s="21"/>
    </row>
    <row r="1416" spans="13:13" x14ac:dyDescent="0.25">
      <c r="M1416" s="21"/>
    </row>
    <row r="1417" spans="13:13" x14ac:dyDescent="0.25">
      <c r="M1417" s="21"/>
    </row>
    <row r="1418" spans="13:13" x14ac:dyDescent="0.25">
      <c r="M1418" s="21"/>
    </row>
    <row r="1419" spans="13:13" x14ac:dyDescent="0.25">
      <c r="M1419" s="21"/>
    </row>
    <row r="1420" spans="13:13" x14ac:dyDescent="0.25">
      <c r="M1420" s="21"/>
    </row>
    <row r="1421" spans="13:13" x14ac:dyDescent="0.25">
      <c r="M1421" s="21"/>
    </row>
    <row r="1422" spans="13:13" x14ac:dyDescent="0.25">
      <c r="M1422" s="21"/>
    </row>
    <row r="1423" spans="13:13" x14ac:dyDescent="0.25">
      <c r="M1423" s="21"/>
    </row>
    <row r="1424" spans="13:13" x14ac:dyDescent="0.25">
      <c r="M1424" s="21"/>
    </row>
    <row r="1425" spans="13:13" x14ac:dyDescent="0.25">
      <c r="M1425" s="21"/>
    </row>
    <row r="1426" spans="13:13" x14ac:dyDescent="0.25">
      <c r="M1426" s="21"/>
    </row>
    <row r="1427" spans="13:13" x14ac:dyDescent="0.25">
      <c r="M1427" s="21"/>
    </row>
    <row r="1428" spans="13:13" x14ac:dyDescent="0.25">
      <c r="M1428" s="21"/>
    </row>
    <row r="1429" spans="13:13" x14ac:dyDescent="0.25">
      <c r="M1429" s="21"/>
    </row>
    <row r="1430" spans="13:13" x14ac:dyDescent="0.25">
      <c r="M1430" s="21"/>
    </row>
    <row r="1431" spans="13:13" x14ac:dyDescent="0.25">
      <c r="M1431" s="21"/>
    </row>
    <row r="1432" spans="13:13" x14ac:dyDescent="0.25">
      <c r="M1432" s="21"/>
    </row>
    <row r="1433" spans="13:13" x14ac:dyDescent="0.25">
      <c r="M1433" s="21"/>
    </row>
    <row r="1434" spans="13:13" x14ac:dyDescent="0.25">
      <c r="M1434" s="21"/>
    </row>
    <row r="1435" spans="13:13" x14ac:dyDescent="0.25">
      <c r="M1435" s="21"/>
    </row>
    <row r="1436" spans="13:13" x14ac:dyDescent="0.25">
      <c r="M1436" s="21"/>
    </row>
    <row r="1437" spans="13:13" x14ac:dyDescent="0.25">
      <c r="M1437" s="21"/>
    </row>
    <row r="1438" spans="13:13" x14ac:dyDescent="0.25">
      <c r="M1438" s="21"/>
    </row>
    <row r="1439" spans="13:13" x14ac:dyDescent="0.25">
      <c r="M1439" s="21"/>
    </row>
    <row r="1440" spans="13:13" x14ac:dyDescent="0.25">
      <c r="M1440" s="21"/>
    </row>
    <row r="1441" spans="13:13" x14ac:dyDescent="0.25">
      <c r="M1441" s="21"/>
    </row>
    <row r="1442" spans="13:13" x14ac:dyDescent="0.25">
      <c r="M1442" s="21"/>
    </row>
    <row r="1443" spans="13:13" x14ac:dyDescent="0.25">
      <c r="M1443" s="21"/>
    </row>
    <row r="1444" spans="13:13" x14ac:dyDescent="0.25">
      <c r="M1444" s="21"/>
    </row>
    <row r="1445" spans="13:13" x14ac:dyDescent="0.25">
      <c r="M1445" s="21"/>
    </row>
    <row r="1446" spans="13:13" x14ac:dyDescent="0.25">
      <c r="M1446" s="21"/>
    </row>
    <row r="1447" spans="13:13" x14ac:dyDescent="0.25">
      <c r="M1447" s="21"/>
    </row>
    <row r="1448" spans="13:13" x14ac:dyDescent="0.25">
      <c r="M1448" s="21"/>
    </row>
    <row r="1449" spans="13:13" x14ac:dyDescent="0.25">
      <c r="M1449" s="21"/>
    </row>
    <row r="1450" spans="13:13" x14ac:dyDescent="0.25">
      <c r="M1450" s="21"/>
    </row>
    <row r="1451" spans="13:13" x14ac:dyDescent="0.25">
      <c r="M1451" s="21"/>
    </row>
    <row r="1452" spans="13:13" x14ac:dyDescent="0.25">
      <c r="M1452" s="21"/>
    </row>
    <row r="1453" spans="13:13" x14ac:dyDescent="0.25">
      <c r="M1453" s="21"/>
    </row>
    <row r="1454" spans="13:13" x14ac:dyDescent="0.25">
      <c r="M1454" s="21"/>
    </row>
    <row r="1455" spans="13:13" x14ac:dyDescent="0.25">
      <c r="M1455" s="21"/>
    </row>
    <row r="1456" spans="13:13" x14ac:dyDescent="0.25">
      <c r="M1456" s="21"/>
    </row>
    <row r="1457" spans="13:13" x14ac:dyDescent="0.25">
      <c r="M1457" s="21"/>
    </row>
    <row r="1458" spans="13:13" x14ac:dyDescent="0.25">
      <c r="M1458" s="21"/>
    </row>
    <row r="1459" spans="13:13" x14ac:dyDescent="0.25">
      <c r="M1459" s="21"/>
    </row>
    <row r="1460" spans="13:13" x14ac:dyDescent="0.25">
      <c r="M1460" s="21"/>
    </row>
    <row r="1461" spans="13:13" x14ac:dyDescent="0.25">
      <c r="M1461" s="21"/>
    </row>
    <row r="1462" spans="13:13" x14ac:dyDescent="0.25">
      <c r="M1462" s="21"/>
    </row>
    <row r="1463" spans="13:13" x14ac:dyDescent="0.25">
      <c r="M1463" s="21"/>
    </row>
    <row r="1464" spans="13:13" x14ac:dyDescent="0.25">
      <c r="M1464" s="21"/>
    </row>
    <row r="1465" spans="13:13" x14ac:dyDescent="0.25">
      <c r="M1465" s="21"/>
    </row>
    <row r="1466" spans="13:13" x14ac:dyDescent="0.25">
      <c r="M1466" s="21"/>
    </row>
    <row r="1467" spans="13:13" x14ac:dyDescent="0.25">
      <c r="M1467" s="21"/>
    </row>
    <row r="1468" spans="13:13" x14ac:dyDescent="0.25">
      <c r="M1468" s="21"/>
    </row>
    <row r="1469" spans="13:13" x14ac:dyDescent="0.25">
      <c r="M1469" s="21"/>
    </row>
    <row r="1470" spans="13:13" x14ac:dyDescent="0.25">
      <c r="M1470" s="21"/>
    </row>
    <row r="1471" spans="13:13" x14ac:dyDescent="0.25">
      <c r="M1471" s="21"/>
    </row>
    <row r="1472" spans="13:13" x14ac:dyDescent="0.25">
      <c r="M1472" s="21"/>
    </row>
    <row r="1473" spans="13:13" x14ac:dyDescent="0.25">
      <c r="M1473" s="21"/>
    </row>
    <row r="1474" spans="13:13" x14ac:dyDescent="0.25">
      <c r="M1474" s="21"/>
    </row>
    <row r="1475" spans="13:13" x14ac:dyDescent="0.25">
      <c r="M1475" s="21"/>
    </row>
    <row r="1476" spans="13:13" x14ac:dyDescent="0.25">
      <c r="M1476" s="21"/>
    </row>
    <row r="1477" spans="13:13" x14ac:dyDescent="0.25">
      <c r="M1477" s="21"/>
    </row>
    <row r="1478" spans="13:13" x14ac:dyDescent="0.25">
      <c r="M1478" s="21"/>
    </row>
    <row r="1479" spans="13:13" x14ac:dyDescent="0.25">
      <c r="M1479" s="21"/>
    </row>
    <row r="1480" spans="13:13" x14ac:dyDescent="0.25">
      <c r="M1480" s="21"/>
    </row>
    <row r="1481" spans="13:13" x14ac:dyDescent="0.25">
      <c r="M1481" s="21"/>
    </row>
    <row r="1482" spans="13:13" x14ac:dyDescent="0.25">
      <c r="M1482" s="21"/>
    </row>
    <row r="1483" spans="13:13" x14ac:dyDescent="0.25">
      <c r="M1483" s="21"/>
    </row>
    <row r="1484" spans="13:13" x14ac:dyDescent="0.25">
      <c r="M1484" s="21"/>
    </row>
    <row r="1485" spans="13:13" x14ac:dyDescent="0.25">
      <c r="M1485" s="21"/>
    </row>
    <row r="1486" spans="13:13" x14ac:dyDescent="0.25">
      <c r="M1486" s="21"/>
    </row>
    <row r="1487" spans="13:13" x14ac:dyDescent="0.25">
      <c r="M1487" s="21"/>
    </row>
    <row r="1488" spans="13:13" x14ac:dyDescent="0.25">
      <c r="M1488" s="21"/>
    </row>
    <row r="1489" spans="13:13" x14ac:dyDescent="0.25">
      <c r="M1489" s="21"/>
    </row>
    <row r="1490" spans="13:13" x14ac:dyDescent="0.25">
      <c r="M1490" s="21"/>
    </row>
    <row r="1491" spans="13:13" x14ac:dyDescent="0.25">
      <c r="M1491" s="21"/>
    </row>
    <row r="1492" spans="13:13" x14ac:dyDescent="0.25">
      <c r="M1492" s="21"/>
    </row>
    <row r="1493" spans="13:13" x14ac:dyDescent="0.25">
      <c r="M1493" s="21"/>
    </row>
    <row r="1494" spans="13:13" x14ac:dyDescent="0.25">
      <c r="M1494" s="21"/>
    </row>
    <row r="1495" spans="13:13" x14ac:dyDescent="0.25">
      <c r="M1495" s="21"/>
    </row>
    <row r="1496" spans="13:13" x14ac:dyDescent="0.25">
      <c r="M1496" s="21"/>
    </row>
    <row r="1497" spans="13:13" x14ac:dyDescent="0.25">
      <c r="M1497" s="21"/>
    </row>
    <row r="1498" spans="13:13" x14ac:dyDescent="0.25">
      <c r="M1498" s="21"/>
    </row>
    <row r="1499" spans="13:13" x14ac:dyDescent="0.25">
      <c r="M1499" s="21"/>
    </row>
    <row r="1500" spans="13:13" x14ac:dyDescent="0.25">
      <c r="M1500" s="21"/>
    </row>
    <row r="1501" spans="13:13" x14ac:dyDescent="0.25">
      <c r="M1501" s="21"/>
    </row>
    <row r="1502" spans="13:13" x14ac:dyDescent="0.25">
      <c r="M1502" s="21"/>
    </row>
    <row r="1503" spans="13:13" x14ac:dyDescent="0.25">
      <c r="M1503" s="21"/>
    </row>
    <row r="1504" spans="13:13" x14ac:dyDescent="0.25">
      <c r="M1504" s="21"/>
    </row>
    <row r="1505" spans="13:13" x14ac:dyDescent="0.25">
      <c r="M1505" s="21"/>
    </row>
    <row r="1506" spans="13:13" x14ac:dyDescent="0.25">
      <c r="M1506" s="21"/>
    </row>
    <row r="1507" spans="13:13" x14ac:dyDescent="0.25">
      <c r="M1507" s="21"/>
    </row>
    <row r="1508" spans="13:13" x14ac:dyDescent="0.25">
      <c r="M1508" s="21"/>
    </row>
    <row r="1509" spans="13:13" x14ac:dyDescent="0.25">
      <c r="M1509" s="21"/>
    </row>
    <row r="1510" spans="13:13" x14ac:dyDescent="0.25">
      <c r="M1510" s="21"/>
    </row>
    <row r="1511" spans="13:13" x14ac:dyDescent="0.25">
      <c r="M1511" s="21"/>
    </row>
    <row r="1512" spans="13:13" x14ac:dyDescent="0.25">
      <c r="M1512" s="21"/>
    </row>
    <row r="1513" spans="13:13" x14ac:dyDescent="0.25">
      <c r="M1513" s="21"/>
    </row>
    <row r="1514" spans="13:13" x14ac:dyDescent="0.25">
      <c r="M1514" s="21"/>
    </row>
    <row r="1515" spans="13:13" x14ac:dyDescent="0.25">
      <c r="M1515" s="21"/>
    </row>
    <row r="1516" spans="13:13" x14ac:dyDescent="0.25">
      <c r="M1516" s="21"/>
    </row>
    <row r="1517" spans="13:13" x14ac:dyDescent="0.25">
      <c r="M1517" s="21"/>
    </row>
    <row r="1518" spans="13:13" x14ac:dyDescent="0.25">
      <c r="M1518" s="21"/>
    </row>
    <row r="1519" spans="13:13" x14ac:dyDescent="0.25">
      <c r="M1519" s="21"/>
    </row>
    <row r="1520" spans="13:13" x14ac:dyDescent="0.25">
      <c r="M1520" s="21"/>
    </row>
    <row r="1521" spans="13:13" x14ac:dyDescent="0.25">
      <c r="M1521" s="21"/>
    </row>
    <row r="1522" spans="13:13" x14ac:dyDescent="0.25">
      <c r="M1522" s="21"/>
    </row>
    <row r="1523" spans="13:13" x14ac:dyDescent="0.25">
      <c r="M1523" s="21"/>
    </row>
    <row r="1524" spans="13:13" x14ac:dyDescent="0.25">
      <c r="M1524" s="21"/>
    </row>
    <row r="1525" spans="13:13" x14ac:dyDescent="0.25">
      <c r="M1525" s="21"/>
    </row>
    <row r="1526" spans="13:13" x14ac:dyDescent="0.25">
      <c r="M1526" s="21"/>
    </row>
    <row r="1527" spans="13:13" x14ac:dyDescent="0.25">
      <c r="M1527" s="21"/>
    </row>
    <row r="1528" spans="13:13" x14ac:dyDescent="0.25">
      <c r="M1528" s="21"/>
    </row>
    <row r="1529" spans="13:13" x14ac:dyDescent="0.25">
      <c r="M1529" s="21"/>
    </row>
    <row r="1530" spans="13:13" x14ac:dyDescent="0.25">
      <c r="M1530" s="21"/>
    </row>
    <row r="1531" spans="13:13" x14ac:dyDescent="0.25">
      <c r="M1531" s="21"/>
    </row>
    <row r="1532" spans="13:13" x14ac:dyDescent="0.25">
      <c r="M1532" s="21"/>
    </row>
    <row r="1533" spans="13:13" x14ac:dyDescent="0.25">
      <c r="M1533" s="21"/>
    </row>
    <row r="1534" spans="13:13" x14ac:dyDescent="0.25">
      <c r="M1534" s="21"/>
    </row>
    <row r="1535" spans="13:13" x14ac:dyDescent="0.25">
      <c r="M1535" s="21"/>
    </row>
    <row r="1536" spans="13:13" x14ac:dyDescent="0.25">
      <c r="M1536" s="21"/>
    </row>
    <row r="1537" spans="13:13" x14ac:dyDescent="0.25">
      <c r="M1537" s="21"/>
    </row>
    <row r="1538" spans="13:13" x14ac:dyDescent="0.25">
      <c r="M1538" s="21"/>
    </row>
    <row r="1539" spans="13:13" x14ac:dyDescent="0.25">
      <c r="M1539" s="21"/>
    </row>
    <row r="1540" spans="13:13" x14ac:dyDescent="0.25">
      <c r="M1540" s="21"/>
    </row>
    <row r="1541" spans="13:13" x14ac:dyDescent="0.25">
      <c r="M1541" s="21"/>
    </row>
    <row r="1542" spans="13:13" x14ac:dyDescent="0.25">
      <c r="M1542" s="21"/>
    </row>
    <row r="1543" spans="13:13" x14ac:dyDescent="0.25">
      <c r="M1543" s="21"/>
    </row>
    <row r="1544" spans="13:13" x14ac:dyDescent="0.25">
      <c r="M1544" s="21"/>
    </row>
    <row r="1545" spans="13:13" x14ac:dyDescent="0.25">
      <c r="M1545" s="21"/>
    </row>
    <row r="1546" spans="13:13" x14ac:dyDescent="0.25">
      <c r="M1546" s="21"/>
    </row>
    <row r="1547" spans="13:13" x14ac:dyDescent="0.25">
      <c r="M1547" s="21"/>
    </row>
    <row r="1548" spans="13:13" x14ac:dyDescent="0.25">
      <c r="M1548" s="21"/>
    </row>
    <row r="1549" spans="13:13" x14ac:dyDescent="0.25">
      <c r="M1549" s="21"/>
    </row>
    <row r="1550" spans="13:13" x14ac:dyDescent="0.25">
      <c r="M1550" s="21"/>
    </row>
    <row r="1551" spans="13:13" x14ac:dyDescent="0.25">
      <c r="M1551" s="21"/>
    </row>
    <row r="1552" spans="13:13" x14ac:dyDescent="0.25">
      <c r="M1552" s="21"/>
    </row>
    <row r="1553" spans="13:13" x14ac:dyDescent="0.25">
      <c r="M1553" s="21"/>
    </row>
    <row r="1554" spans="13:13" x14ac:dyDescent="0.25">
      <c r="M1554" s="21"/>
    </row>
    <row r="1555" spans="13:13" x14ac:dyDescent="0.25">
      <c r="M1555" s="21"/>
    </row>
    <row r="1556" spans="13:13" x14ac:dyDescent="0.25">
      <c r="M1556" s="21"/>
    </row>
    <row r="1557" spans="13:13" x14ac:dyDescent="0.25">
      <c r="M1557" s="21"/>
    </row>
    <row r="1558" spans="13:13" x14ac:dyDescent="0.25">
      <c r="M1558" s="21"/>
    </row>
    <row r="1559" spans="13:13" x14ac:dyDescent="0.25">
      <c r="M1559" s="21"/>
    </row>
    <row r="1560" spans="13:13" x14ac:dyDescent="0.25">
      <c r="M1560" s="21"/>
    </row>
    <row r="1561" spans="13:13" x14ac:dyDescent="0.25">
      <c r="M1561" s="21"/>
    </row>
    <row r="1562" spans="13:13" x14ac:dyDescent="0.25">
      <c r="M1562" s="21"/>
    </row>
    <row r="1563" spans="13:13" x14ac:dyDescent="0.25">
      <c r="M1563" s="21"/>
    </row>
    <row r="1564" spans="13:13" x14ac:dyDescent="0.25">
      <c r="M1564" s="21"/>
    </row>
    <row r="1565" spans="13:13" x14ac:dyDescent="0.25">
      <c r="M1565" s="21"/>
    </row>
    <row r="1566" spans="13:13" x14ac:dyDescent="0.25">
      <c r="M1566" s="21"/>
    </row>
    <row r="1567" spans="13:13" x14ac:dyDescent="0.25">
      <c r="M1567" s="21"/>
    </row>
    <row r="1568" spans="13:13" x14ac:dyDescent="0.25">
      <c r="M1568" s="21"/>
    </row>
    <row r="1569" spans="13:13" x14ac:dyDescent="0.25">
      <c r="M1569" s="21"/>
    </row>
    <row r="1570" spans="13:13" x14ac:dyDescent="0.25">
      <c r="M1570" s="21"/>
    </row>
    <row r="1571" spans="13:13" x14ac:dyDescent="0.25">
      <c r="M1571" s="21"/>
    </row>
    <row r="1572" spans="13:13" x14ac:dyDescent="0.25">
      <c r="M1572" s="21"/>
    </row>
    <row r="1573" spans="13:13" x14ac:dyDescent="0.25">
      <c r="M1573" s="21"/>
    </row>
    <row r="1574" spans="13:13" x14ac:dyDescent="0.25">
      <c r="M1574" s="21"/>
    </row>
    <row r="1575" spans="13:13" x14ac:dyDescent="0.25">
      <c r="M1575" s="21"/>
    </row>
    <row r="1576" spans="13:13" x14ac:dyDescent="0.25">
      <c r="M1576" s="21"/>
    </row>
    <row r="1577" spans="13:13" x14ac:dyDescent="0.25">
      <c r="M1577" s="21"/>
    </row>
    <row r="1578" spans="13:13" x14ac:dyDescent="0.25">
      <c r="M1578" s="21"/>
    </row>
    <row r="1579" spans="13:13" x14ac:dyDescent="0.25">
      <c r="M1579" s="21"/>
    </row>
    <row r="1580" spans="13:13" x14ac:dyDescent="0.25">
      <c r="M1580" s="21"/>
    </row>
    <row r="1581" spans="13:13" x14ac:dyDescent="0.25">
      <c r="M1581" s="21"/>
    </row>
    <row r="1582" spans="13:13" x14ac:dyDescent="0.25">
      <c r="M1582" s="21"/>
    </row>
    <row r="1583" spans="13:13" x14ac:dyDescent="0.25">
      <c r="M1583" s="21"/>
    </row>
    <row r="1584" spans="13:13" x14ac:dyDescent="0.25">
      <c r="M1584" s="21"/>
    </row>
    <row r="1585" spans="13:13" x14ac:dyDescent="0.25">
      <c r="M1585" s="21"/>
    </row>
    <row r="1586" spans="13:13" x14ac:dyDescent="0.25">
      <c r="M1586" s="21"/>
    </row>
    <row r="1587" spans="13:13" x14ac:dyDescent="0.25">
      <c r="M1587" s="21"/>
    </row>
    <row r="1588" spans="13:13" x14ac:dyDescent="0.25">
      <c r="M1588" s="21"/>
    </row>
    <row r="1589" spans="13:13" x14ac:dyDescent="0.25">
      <c r="M1589" s="21"/>
    </row>
    <row r="1590" spans="13:13" x14ac:dyDescent="0.25">
      <c r="M1590" s="21"/>
    </row>
    <row r="1591" spans="13:13" x14ac:dyDescent="0.25">
      <c r="M1591" s="21"/>
    </row>
    <row r="1592" spans="13:13" x14ac:dyDescent="0.25">
      <c r="M1592" s="21"/>
    </row>
    <row r="1593" spans="13:13" x14ac:dyDescent="0.25">
      <c r="M1593" s="21"/>
    </row>
    <row r="1594" spans="13:13" x14ac:dyDescent="0.25">
      <c r="M1594" s="21"/>
    </row>
    <row r="1595" spans="13:13" x14ac:dyDescent="0.25">
      <c r="M1595" s="21"/>
    </row>
    <row r="1596" spans="13:13" x14ac:dyDescent="0.25">
      <c r="M1596" s="21"/>
    </row>
    <row r="1597" spans="13:13" x14ac:dyDescent="0.25">
      <c r="M1597" s="21"/>
    </row>
    <row r="1598" spans="13:13" x14ac:dyDescent="0.25">
      <c r="M1598" s="21"/>
    </row>
    <row r="1599" spans="13:13" x14ac:dyDescent="0.25">
      <c r="M1599" s="21"/>
    </row>
    <row r="1600" spans="13:13" x14ac:dyDescent="0.25">
      <c r="M1600" s="21"/>
    </row>
    <row r="1601" spans="13:13" x14ac:dyDescent="0.25">
      <c r="M1601" s="21"/>
    </row>
    <row r="1602" spans="13:13" x14ac:dyDescent="0.25">
      <c r="M1602" s="21"/>
    </row>
    <row r="1603" spans="13:13" x14ac:dyDescent="0.25">
      <c r="M1603" s="21"/>
    </row>
    <row r="1604" spans="13:13" x14ac:dyDescent="0.25">
      <c r="M1604" s="21"/>
    </row>
    <row r="1605" spans="13:13" x14ac:dyDescent="0.25">
      <c r="M1605" s="21"/>
    </row>
    <row r="1606" spans="13:13" x14ac:dyDescent="0.25">
      <c r="M1606" s="21"/>
    </row>
    <row r="1607" spans="13:13" x14ac:dyDescent="0.25">
      <c r="M1607" s="21"/>
    </row>
    <row r="1608" spans="13:13" x14ac:dyDescent="0.25">
      <c r="M1608" s="21"/>
    </row>
    <row r="1609" spans="13:13" x14ac:dyDescent="0.25">
      <c r="M1609" s="21"/>
    </row>
    <row r="1610" spans="13:13" x14ac:dyDescent="0.25">
      <c r="M1610" s="21"/>
    </row>
    <row r="1611" spans="13:13" x14ac:dyDescent="0.25">
      <c r="M1611" s="21"/>
    </row>
    <row r="1612" spans="13:13" x14ac:dyDescent="0.25">
      <c r="M1612" s="21"/>
    </row>
    <row r="1613" spans="13:13" x14ac:dyDescent="0.25">
      <c r="M1613" s="21"/>
    </row>
    <row r="1614" spans="13:13" x14ac:dyDescent="0.25">
      <c r="M1614" s="21"/>
    </row>
    <row r="1615" spans="13:13" x14ac:dyDescent="0.25">
      <c r="M1615" s="21"/>
    </row>
    <row r="1616" spans="13:13" x14ac:dyDescent="0.25">
      <c r="M1616" s="21"/>
    </row>
    <row r="1617" spans="13:13" x14ac:dyDescent="0.25">
      <c r="M1617" s="21"/>
    </row>
    <row r="1618" spans="13:13" x14ac:dyDescent="0.25">
      <c r="M1618" s="21"/>
    </row>
    <row r="1619" spans="13:13" x14ac:dyDescent="0.25">
      <c r="M1619" s="21"/>
    </row>
    <row r="1620" spans="13:13" x14ac:dyDescent="0.25">
      <c r="M1620" s="21"/>
    </row>
    <row r="1621" spans="13:13" x14ac:dyDescent="0.25">
      <c r="M1621" s="21"/>
    </row>
    <row r="1622" spans="13:13" x14ac:dyDescent="0.25">
      <c r="M1622" s="21"/>
    </row>
    <row r="1623" spans="13:13" x14ac:dyDescent="0.25">
      <c r="M1623" s="21"/>
    </row>
    <row r="1624" spans="13:13" x14ac:dyDescent="0.25">
      <c r="M1624" s="21"/>
    </row>
    <row r="1625" spans="13:13" x14ac:dyDescent="0.25">
      <c r="M1625" s="21"/>
    </row>
    <row r="1626" spans="13:13" x14ac:dyDescent="0.25">
      <c r="M1626" s="21"/>
    </row>
    <row r="1627" spans="13:13" x14ac:dyDescent="0.25">
      <c r="M1627" s="21"/>
    </row>
    <row r="1628" spans="13:13" x14ac:dyDescent="0.25">
      <c r="M1628" s="21"/>
    </row>
    <row r="1629" spans="13:13" x14ac:dyDescent="0.25">
      <c r="M1629" s="21"/>
    </row>
    <row r="1630" spans="13:13" x14ac:dyDescent="0.25">
      <c r="M1630" s="21"/>
    </row>
    <row r="1631" spans="13:13" x14ac:dyDescent="0.25">
      <c r="M1631" s="21"/>
    </row>
    <row r="1632" spans="13:13" x14ac:dyDescent="0.25">
      <c r="M1632" s="21"/>
    </row>
    <row r="1633" spans="13:13" x14ac:dyDescent="0.25">
      <c r="M1633" s="21"/>
    </row>
    <row r="1634" spans="13:13" x14ac:dyDescent="0.25">
      <c r="M1634" s="21"/>
    </row>
    <row r="1635" spans="13:13" x14ac:dyDescent="0.25">
      <c r="M1635" s="21"/>
    </row>
    <row r="1636" spans="13:13" x14ac:dyDescent="0.25">
      <c r="M1636" s="21"/>
    </row>
    <row r="1637" spans="13:13" x14ac:dyDescent="0.25">
      <c r="M1637" s="21"/>
    </row>
    <row r="1638" spans="13:13" x14ac:dyDescent="0.25">
      <c r="M1638" s="21"/>
    </row>
    <row r="1639" spans="13:13" x14ac:dyDescent="0.25">
      <c r="M1639" s="21"/>
    </row>
    <row r="1640" spans="13:13" x14ac:dyDescent="0.25">
      <c r="M1640" s="21"/>
    </row>
    <row r="1641" spans="13:13" x14ac:dyDescent="0.25">
      <c r="M1641" s="21"/>
    </row>
    <row r="1642" spans="13:13" x14ac:dyDescent="0.25">
      <c r="M1642" s="21"/>
    </row>
    <row r="1643" spans="13:13" x14ac:dyDescent="0.25">
      <c r="M1643" s="21"/>
    </row>
    <row r="1644" spans="13:13" x14ac:dyDescent="0.25">
      <c r="M1644" s="21"/>
    </row>
    <row r="1645" spans="13:13" x14ac:dyDescent="0.25">
      <c r="M1645" s="21"/>
    </row>
    <row r="1646" spans="13:13" x14ac:dyDescent="0.25">
      <c r="M1646" s="21"/>
    </row>
    <row r="1647" spans="13:13" x14ac:dyDescent="0.25">
      <c r="M1647" s="21"/>
    </row>
    <row r="1648" spans="13:13" x14ac:dyDescent="0.25">
      <c r="M1648" s="21"/>
    </row>
    <row r="1649" spans="13:13" x14ac:dyDescent="0.25">
      <c r="M1649" s="21"/>
    </row>
    <row r="1650" spans="13:13" x14ac:dyDescent="0.25">
      <c r="M1650" s="21"/>
    </row>
    <row r="1651" spans="13:13" x14ac:dyDescent="0.25">
      <c r="M1651" s="21"/>
    </row>
    <row r="1652" spans="13:13" x14ac:dyDescent="0.25">
      <c r="M1652" s="21"/>
    </row>
    <row r="1653" spans="13:13" x14ac:dyDescent="0.25">
      <c r="M1653" s="21"/>
    </row>
    <row r="1654" spans="13:13" x14ac:dyDescent="0.25">
      <c r="M1654" s="21"/>
    </row>
    <row r="1655" spans="13:13" x14ac:dyDescent="0.25">
      <c r="M1655" s="21"/>
    </row>
    <row r="1656" spans="13:13" x14ac:dyDescent="0.25">
      <c r="M1656" s="21"/>
    </row>
    <row r="1657" spans="13:13" x14ac:dyDescent="0.25">
      <c r="M1657" s="21"/>
    </row>
    <row r="1658" spans="13:13" x14ac:dyDescent="0.25">
      <c r="M1658" s="21"/>
    </row>
    <row r="1659" spans="13:13" x14ac:dyDescent="0.25">
      <c r="M1659" s="21"/>
    </row>
    <row r="1660" spans="13:13" x14ac:dyDescent="0.25">
      <c r="M1660" s="21"/>
    </row>
    <row r="1661" spans="13:13" x14ac:dyDescent="0.25">
      <c r="M1661" s="21"/>
    </row>
    <row r="1662" spans="13:13" x14ac:dyDescent="0.25">
      <c r="M1662" s="21"/>
    </row>
    <row r="1663" spans="13:13" x14ac:dyDescent="0.25">
      <c r="M1663" s="21"/>
    </row>
    <row r="1664" spans="13:13" x14ac:dyDescent="0.25">
      <c r="M1664" s="21"/>
    </row>
    <row r="1665" spans="13:13" x14ac:dyDescent="0.25">
      <c r="M1665" s="21"/>
    </row>
    <row r="1666" spans="13:13" x14ac:dyDescent="0.25">
      <c r="M1666" s="21"/>
    </row>
    <row r="1667" spans="13:13" x14ac:dyDescent="0.25">
      <c r="M1667" s="21"/>
    </row>
    <row r="1668" spans="13:13" x14ac:dyDescent="0.25">
      <c r="M1668" s="21"/>
    </row>
    <row r="1669" spans="13:13" x14ac:dyDescent="0.25">
      <c r="M1669" s="21"/>
    </row>
    <row r="1670" spans="13:13" x14ac:dyDescent="0.25">
      <c r="M1670" s="21"/>
    </row>
    <row r="1671" spans="13:13" x14ac:dyDescent="0.25">
      <c r="M1671" s="21"/>
    </row>
    <row r="1672" spans="13:13" x14ac:dyDescent="0.25">
      <c r="M1672" s="21"/>
    </row>
    <row r="1673" spans="13:13" x14ac:dyDescent="0.25">
      <c r="M1673" s="21"/>
    </row>
    <row r="1674" spans="13:13" x14ac:dyDescent="0.25">
      <c r="M1674" s="21"/>
    </row>
    <row r="1675" spans="13:13" x14ac:dyDescent="0.25">
      <c r="M1675" s="21"/>
    </row>
    <row r="1676" spans="13:13" x14ac:dyDescent="0.25">
      <c r="M1676" s="21"/>
    </row>
    <row r="1677" spans="13:13" x14ac:dyDescent="0.25">
      <c r="M1677" s="21"/>
    </row>
    <row r="1678" spans="13:13" x14ac:dyDescent="0.25">
      <c r="M1678" s="21"/>
    </row>
    <row r="1679" spans="13:13" x14ac:dyDescent="0.25">
      <c r="M1679" s="21"/>
    </row>
    <row r="1680" spans="13:13" x14ac:dyDescent="0.25">
      <c r="M1680" s="21"/>
    </row>
    <row r="1681" spans="13:13" x14ac:dyDescent="0.25">
      <c r="M1681" s="21"/>
    </row>
    <row r="1682" spans="13:13" x14ac:dyDescent="0.25">
      <c r="M1682" s="21"/>
    </row>
    <row r="1683" spans="13:13" x14ac:dyDescent="0.25">
      <c r="M1683" s="21"/>
    </row>
    <row r="1684" spans="13:13" x14ac:dyDescent="0.25">
      <c r="M1684" s="21"/>
    </row>
    <row r="1685" spans="13:13" x14ac:dyDescent="0.25">
      <c r="M1685" s="21"/>
    </row>
    <row r="1686" spans="13:13" x14ac:dyDescent="0.25">
      <c r="M1686" s="21"/>
    </row>
    <row r="1687" spans="13:13" x14ac:dyDescent="0.25">
      <c r="M1687" s="21"/>
    </row>
    <row r="1688" spans="13:13" x14ac:dyDescent="0.25">
      <c r="M1688" s="21"/>
    </row>
    <row r="1689" spans="13:13" x14ac:dyDescent="0.25">
      <c r="M1689" s="21"/>
    </row>
    <row r="1690" spans="13:13" x14ac:dyDescent="0.25">
      <c r="M1690" s="21"/>
    </row>
    <row r="1691" spans="13:13" x14ac:dyDescent="0.25">
      <c r="M1691" s="21"/>
    </row>
    <row r="1692" spans="13:13" x14ac:dyDescent="0.25">
      <c r="M1692" s="21"/>
    </row>
    <row r="1693" spans="13:13" x14ac:dyDescent="0.25">
      <c r="M1693" s="21"/>
    </row>
    <row r="1694" spans="13:13" x14ac:dyDescent="0.25">
      <c r="M1694" s="21"/>
    </row>
    <row r="1695" spans="13:13" x14ac:dyDescent="0.25">
      <c r="M1695" s="21"/>
    </row>
    <row r="1696" spans="13:13" x14ac:dyDescent="0.25">
      <c r="M1696" s="21"/>
    </row>
    <row r="1697" spans="13:13" x14ac:dyDescent="0.25">
      <c r="M1697" s="21"/>
    </row>
    <row r="1698" spans="13:13" x14ac:dyDescent="0.25">
      <c r="M1698" s="21"/>
    </row>
    <row r="1699" spans="13:13" x14ac:dyDescent="0.25">
      <c r="M1699" s="21"/>
    </row>
    <row r="1700" spans="13:13" x14ac:dyDescent="0.25">
      <c r="M1700" s="21"/>
    </row>
    <row r="1701" spans="13:13" x14ac:dyDescent="0.25">
      <c r="M1701" s="21"/>
    </row>
    <row r="1702" spans="13:13" x14ac:dyDescent="0.25">
      <c r="M1702" s="21"/>
    </row>
    <row r="1703" spans="13:13" x14ac:dyDescent="0.25">
      <c r="M1703" s="21"/>
    </row>
    <row r="1704" spans="13:13" x14ac:dyDescent="0.25">
      <c r="M1704" s="21"/>
    </row>
    <row r="1705" spans="13:13" x14ac:dyDescent="0.25">
      <c r="M1705" s="21"/>
    </row>
    <row r="1706" spans="13:13" x14ac:dyDescent="0.25">
      <c r="M1706" s="21"/>
    </row>
    <row r="1707" spans="13:13" x14ac:dyDescent="0.25">
      <c r="M1707" s="21"/>
    </row>
    <row r="1708" spans="13:13" x14ac:dyDescent="0.25">
      <c r="M1708" s="21"/>
    </row>
    <row r="1709" spans="13:13" x14ac:dyDescent="0.25">
      <c r="M1709" s="21"/>
    </row>
    <row r="1710" spans="13:13" x14ac:dyDescent="0.25">
      <c r="M1710" s="21"/>
    </row>
    <row r="1711" spans="13:13" x14ac:dyDescent="0.25">
      <c r="M1711" s="21"/>
    </row>
    <row r="1712" spans="13:13" x14ac:dyDescent="0.25">
      <c r="M1712" s="21"/>
    </row>
    <row r="1713" spans="13:13" x14ac:dyDescent="0.25">
      <c r="M1713" s="21"/>
    </row>
    <row r="1714" spans="13:13" x14ac:dyDescent="0.25">
      <c r="M1714" s="21"/>
    </row>
    <row r="1715" spans="13:13" x14ac:dyDescent="0.25">
      <c r="M1715" s="21"/>
    </row>
    <row r="1716" spans="13:13" x14ac:dyDescent="0.25">
      <c r="M1716" s="21"/>
    </row>
    <row r="1717" spans="13:13" x14ac:dyDescent="0.25">
      <c r="M1717" s="21"/>
    </row>
    <row r="1718" spans="13:13" x14ac:dyDescent="0.25">
      <c r="M1718" s="21"/>
    </row>
    <row r="1719" spans="13:13" x14ac:dyDescent="0.25">
      <c r="M1719" s="21"/>
    </row>
    <row r="1720" spans="13:13" x14ac:dyDescent="0.25">
      <c r="M1720" s="21"/>
    </row>
    <row r="1721" spans="13:13" x14ac:dyDescent="0.25">
      <c r="M1721" s="21"/>
    </row>
    <row r="1722" spans="13:13" x14ac:dyDescent="0.25">
      <c r="M1722" s="21"/>
    </row>
    <row r="1723" spans="13:13" x14ac:dyDescent="0.25">
      <c r="M1723" s="21"/>
    </row>
    <row r="1724" spans="13:13" x14ac:dyDescent="0.25">
      <c r="M1724" s="21"/>
    </row>
    <row r="1725" spans="13:13" x14ac:dyDescent="0.25">
      <c r="M1725" s="21"/>
    </row>
    <row r="1726" spans="13:13" x14ac:dyDescent="0.25">
      <c r="M1726" s="21"/>
    </row>
    <row r="1727" spans="13:13" x14ac:dyDescent="0.25">
      <c r="M1727" s="21"/>
    </row>
    <row r="1728" spans="13:13" x14ac:dyDescent="0.25">
      <c r="M1728" s="21"/>
    </row>
    <row r="1729" spans="13:13" x14ac:dyDescent="0.25">
      <c r="M1729" s="21"/>
    </row>
    <row r="1730" spans="13:13" x14ac:dyDescent="0.25">
      <c r="M1730" s="21"/>
    </row>
    <row r="1731" spans="13:13" x14ac:dyDescent="0.25">
      <c r="M1731" s="21"/>
    </row>
    <row r="1732" spans="13:13" x14ac:dyDescent="0.25">
      <c r="M1732" s="21"/>
    </row>
    <row r="1733" spans="13:13" x14ac:dyDescent="0.25">
      <c r="M1733" s="21"/>
    </row>
    <row r="1734" spans="13:13" x14ac:dyDescent="0.25">
      <c r="M1734" s="21"/>
    </row>
    <row r="1735" spans="13:13" x14ac:dyDescent="0.25">
      <c r="M1735" s="21"/>
    </row>
    <row r="1736" spans="13:13" x14ac:dyDescent="0.25">
      <c r="M1736" s="21"/>
    </row>
    <row r="1737" spans="13:13" x14ac:dyDescent="0.25">
      <c r="M1737" s="21"/>
    </row>
    <row r="1738" spans="13:13" x14ac:dyDescent="0.25">
      <c r="M1738" s="21"/>
    </row>
    <row r="1739" spans="13:13" x14ac:dyDescent="0.25">
      <c r="M1739" s="21"/>
    </row>
    <row r="1740" spans="13:13" x14ac:dyDescent="0.25">
      <c r="M1740" s="21"/>
    </row>
    <row r="1741" spans="13:13" x14ac:dyDescent="0.25">
      <c r="M1741" s="21"/>
    </row>
    <row r="1742" spans="13:13" x14ac:dyDescent="0.25">
      <c r="M1742" s="21"/>
    </row>
    <row r="1743" spans="13:13" x14ac:dyDescent="0.25">
      <c r="M1743" s="21"/>
    </row>
    <row r="1744" spans="13:13" x14ac:dyDescent="0.25">
      <c r="M1744" s="21"/>
    </row>
    <row r="1745" spans="13:13" x14ac:dyDescent="0.25">
      <c r="M1745" s="21"/>
    </row>
    <row r="1746" spans="13:13" x14ac:dyDescent="0.25">
      <c r="M1746" s="21"/>
    </row>
    <row r="1747" spans="13:13" x14ac:dyDescent="0.25">
      <c r="M1747" s="21"/>
    </row>
    <row r="1748" spans="13:13" x14ac:dyDescent="0.25">
      <c r="M1748" s="21"/>
    </row>
    <row r="1749" spans="13:13" x14ac:dyDescent="0.25">
      <c r="M1749" s="21"/>
    </row>
    <row r="1750" spans="13:13" x14ac:dyDescent="0.25">
      <c r="M1750" s="21"/>
    </row>
    <row r="1751" spans="13:13" x14ac:dyDescent="0.25">
      <c r="M1751" s="21"/>
    </row>
    <row r="1752" spans="13:13" x14ac:dyDescent="0.25">
      <c r="M1752" s="21"/>
    </row>
    <row r="1753" spans="13:13" x14ac:dyDescent="0.25">
      <c r="M1753" s="21"/>
    </row>
    <row r="1754" spans="13:13" x14ac:dyDescent="0.25">
      <c r="M1754" s="21"/>
    </row>
    <row r="1755" spans="13:13" x14ac:dyDescent="0.25">
      <c r="M1755" s="21"/>
    </row>
    <row r="1756" spans="13:13" x14ac:dyDescent="0.25">
      <c r="M1756" s="21"/>
    </row>
    <row r="1757" spans="13:13" x14ac:dyDescent="0.25">
      <c r="M1757" s="21"/>
    </row>
    <row r="1758" spans="13:13" x14ac:dyDescent="0.25">
      <c r="M1758" s="21"/>
    </row>
    <row r="1759" spans="13:13" x14ac:dyDescent="0.25">
      <c r="M1759" s="21"/>
    </row>
    <row r="1760" spans="13:13" x14ac:dyDescent="0.25">
      <c r="M1760" s="21"/>
    </row>
    <row r="1761" spans="13:13" x14ac:dyDescent="0.25">
      <c r="M1761" s="21"/>
    </row>
    <row r="1762" spans="13:13" x14ac:dyDescent="0.25">
      <c r="M1762" s="21"/>
    </row>
    <row r="1763" spans="13:13" x14ac:dyDescent="0.25">
      <c r="M1763" s="21"/>
    </row>
    <row r="1764" spans="13:13" x14ac:dyDescent="0.25">
      <c r="M1764" s="21"/>
    </row>
    <row r="1765" spans="13:13" x14ac:dyDescent="0.25">
      <c r="M1765" s="21"/>
    </row>
    <row r="1766" spans="13:13" x14ac:dyDescent="0.25">
      <c r="M1766" s="21"/>
    </row>
    <row r="1767" spans="13:13" x14ac:dyDescent="0.25">
      <c r="M1767" s="21"/>
    </row>
    <row r="1768" spans="13:13" x14ac:dyDescent="0.25">
      <c r="M1768" s="21"/>
    </row>
    <row r="1769" spans="13:13" x14ac:dyDescent="0.25">
      <c r="M1769" s="21"/>
    </row>
    <row r="1770" spans="13:13" x14ac:dyDescent="0.25">
      <c r="M1770" s="21"/>
    </row>
    <row r="1771" spans="13:13" x14ac:dyDescent="0.25">
      <c r="M1771" s="21"/>
    </row>
    <row r="1772" spans="13:13" x14ac:dyDescent="0.25">
      <c r="M1772" s="21"/>
    </row>
    <row r="1773" spans="13:13" x14ac:dyDescent="0.25">
      <c r="M1773" s="21"/>
    </row>
    <row r="1774" spans="13:13" x14ac:dyDescent="0.25">
      <c r="M1774" s="21"/>
    </row>
    <row r="1775" spans="13:13" x14ac:dyDescent="0.25">
      <c r="M1775" s="21"/>
    </row>
    <row r="1776" spans="13:13" x14ac:dyDescent="0.25">
      <c r="M1776" s="21"/>
    </row>
    <row r="1777" spans="13:13" x14ac:dyDescent="0.25">
      <c r="M1777" s="21"/>
    </row>
    <row r="1778" spans="13:13" x14ac:dyDescent="0.25">
      <c r="M1778" s="21"/>
    </row>
    <row r="1779" spans="13:13" x14ac:dyDescent="0.25">
      <c r="M1779" s="21"/>
    </row>
    <row r="1780" spans="13:13" x14ac:dyDescent="0.25">
      <c r="M1780" s="21"/>
    </row>
    <row r="1781" spans="13:13" x14ac:dyDescent="0.25">
      <c r="M1781" s="21"/>
    </row>
    <row r="1782" spans="13:13" x14ac:dyDescent="0.25">
      <c r="M1782" s="21"/>
    </row>
    <row r="1783" spans="13:13" x14ac:dyDescent="0.25">
      <c r="M1783" s="21"/>
    </row>
    <row r="1784" spans="13:13" x14ac:dyDescent="0.25">
      <c r="M1784" s="21"/>
    </row>
    <row r="1785" spans="13:13" x14ac:dyDescent="0.25">
      <c r="M1785" s="21"/>
    </row>
    <row r="1786" spans="13:13" x14ac:dyDescent="0.25">
      <c r="M1786" s="21"/>
    </row>
    <row r="1787" spans="13:13" x14ac:dyDescent="0.25">
      <c r="M1787" s="21"/>
    </row>
    <row r="1788" spans="13:13" x14ac:dyDescent="0.25">
      <c r="M1788" s="21"/>
    </row>
    <row r="1789" spans="13:13" x14ac:dyDescent="0.25">
      <c r="M1789" s="21"/>
    </row>
    <row r="1790" spans="13:13" x14ac:dyDescent="0.25">
      <c r="M1790" s="21"/>
    </row>
    <row r="1791" spans="13:13" x14ac:dyDescent="0.25">
      <c r="M1791" s="21"/>
    </row>
    <row r="1792" spans="13:13" x14ac:dyDescent="0.25">
      <c r="M1792" s="21"/>
    </row>
    <row r="1793" spans="13:13" x14ac:dyDescent="0.25">
      <c r="M1793" s="21"/>
    </row>
    <row r="1794" spans="13:13" x14ac:dyDescent="0.25">
      <c r="M1794" s="21"/>
    </row>
    <row r="1795" spans="13:13" x14ac:dyDescent="0.25">
      <c r="M1795" s="21"/>
    </row>
    <row r="1796" spans="13:13" x14ac:dyDescent="0.25">
      <c r="M1796" s="21"/>
    </row>
    <row r="1797" spans="13:13" x14ac:dyDescent="0.25">
      <c r="M1797" s="21"/>
    </row>
    <row r="1798" spans="13:13" x14ac:dyDescent="0.25">
      <c r="M1798" s="21"/>
    </row>
    <row r="1799" spans="13:13" x14ac:dyDescent="0.25">
      <c r="M1799" s="21"/>
    </row>
    <row r="1800" spans="13:13" x14ac:dyDescent="0.25">
      <c r="M1800" s="21"/>
    </row>
    <row r="1801" spans="13:13" x14ac:dyDescent="0.25">
      <c r="M1801" s="21"/>
    </row>
    <row r="1802" spans="13:13" x14ac:dyDescent="0.25">
      <c r="M1802" s="21"/>
    </row>
    <row r="1803" spans="13:13" x14ac:dyDescent="0.25">
      <c r="M1803" s="21"/>
    </row>
    <row r="1804" spans="13:13" x14ac:dyDescent="0.25">
      <c r="M1804" s="21"/>
    </row>
    <row r="1805" spans="13:13" x14ac:dyDescent="0.25">
      <c r="M1805" s="21"/>
    </row>
    <row r="1806" spans="13:13" x14ac:dyDescent="0.25">
      <c r="M1806" s="21"/>
    </row>
    <row r="1807" spans="13:13" x14ac:dyDescent="0.25">
      <c r="M1807" s="21"/>
    </row>
    <row r="1808" spans="13:13" x14ac:dyDescent="0.25">
      <c r="M1808" s="21"/>
    </row>
    <row r="1809" spans="13:13" x14ac:dyDescent="0.25">
      <c r="M1809" s="21"/>
    </row>
    <row r="1810" spans="13:13" x14ac:dyDescent="0.25">
      <c r="M1810" s="21"/>
    </row>
    <row r="1811" spans="13:13" x14ac:dyDescent="0.25">
      <c r="M1811" s="21"/>
    </row>
    <row r="1812" spans="13:13" x14ac:dyDescent="0.25">
      <c r="M1812" s="21"/>
    </row>
    <row r="1813" spans="13:13" x14ac:dyDescent="0.25">
      <c r="M1813" s="21"/>
    </row>
    <row r="1814" spans="13:13" x14ac:dyDescent="0.25">
      <c r="M1814" s="21"/>
    </row>
    <row r="1815" spans="13:13" x14ac:dyDescent="0.25">
      <c r="M1815" s="21"/>
    </row>
    <row r="1816" spans="13:13" x14ac:dyDescent="0.25">
      <c r="M1816" s="21"/>
    </row>
    <row r="1817" spans="13:13" x14ac:dyDescent="0.25">
      <c r="M1817" s="21"/>
    </row>
    <row r="1818" spans="13:13" x14ac:dyDescent="0.25">
      <c r="M1818" s="21"/>
    </row>
    <row r="1819" spans="13:13" x14ac:dyDescent="0.25">
      <c r="M1819" s="21"/>
    </row>
    <row r="1820" spans="13:13" x14ac:dyDescent="0.25">
      <c r="M1820" s="21"/>
    </row>
    <row r="1821" spans="13:13" x14ac:dyDescent="0.25">
      <c r="M1821" s="21"/>
    </row>
    <row r="1822" spans="13:13" x14ac:dyDescent="0.25">
      <c r="M1822" s="21"/>
    </row>
    <row r="1823" spans="13:13" x14ac:dyDescent="0.25">
      <c r="M1823" s="21"/>
    </row>
    <row r="1824" spans="13:13" x14ac:dyDescent="0.25">
      <c r="M1824" s="21"/>
    </row>
    <row r="1825" spans="13:13" x14ac:dyDescent="0.25">
      <c r="M1825" s="21"/>
    </row>
    <row r="1826" spans="13:13" x14ac:dyDescent="0.25">
      <c r="M1826" s="21"/>
    </row>
    <row r="1827" spans="13:13" x14ac:dyDescent="0.25">
      <c r="M1827" s="21"/>
    </row>
    <row r="1828" spans="13:13" x14ac:dyDescent="0.25">
      <c r="M1828" s="21"/>
    </row>
    <row r="1829" spans="13:13" x14ac:dyDescent="0.25">
      <c r="M1829" s="21"/>
    </row>
    <row r="1830" spans="13:13" x14ac:dyDescent="0.25">
      <c r="M1830" s="21"/>
    </row>
    <row r="1831" spans="13:13" x14ac:dyDescent="0.25">
      <c r="M1831" s="21"/>
    </row>
    <row r="1832" spans="13:13" x14ac:dyDescent="0.25">
      <c r="M1832" s="21"/>
    </row>
    <row r="1833" spans="13:13" x14ac:dyDescent="0.25">
      <c r="M1833" s="21"/>
    </row>
    <row r="1834" spans="13:13" x14ac:dyDescent="0.25">
      <c r="M1834" s="21"/>
    </row>
    <row r="1835" spans="13:13" x14ac:dyDescent="0.25">
      <c r="M1835" s="21"/>
    </row>
    <row r="1836" spans="13:13" x14ac:dyDescent="0.25">
      <c r="M1836" s="21"/>
    </row>
    <row r="1837" spans="13:13" x14ac:dyDescent="0.25">
      <c r="M1837" s="21"/>
    </row>
    <row r="1838" spans="13:13" x14ac:dyDescent="0.25">
      <c r="M1838" s="21"/>
    </row>
    <row r="1839" spans="13:13" x14ac:dyDescent="0.25">
      <c r="M1839" s="21"/>
    </row>
    <row r="1840" spans="13:13" x14ac:dyDescent="0.25">
      <c r="M1840" s="21"/>
    </row>
    <row r="1841" spans="13:13" x14ac:dyDescent="0.25">
      <c r="M1841" s="21"/>
    </row>
    <row r="1842" spans="13:13" x14ac:dyDescent="0.25">
      <c r="M1842" s="21"/>
    </row>
    <row r="1843" spans="13:13" x14ac:dyDescent="0.25">
      <c r="M1843" s="21"/>
    </row>
    <row r="1844" spans="13:13" x14ac:dyDescent="0.25">
      <c r="M1844" s="21"/>
    </row>
    <row r="1845" spans="13:13" x14ac:dyDescent="0.25">
      <c r="M1845" s="21"/>
    </row>
    <row r="1846" spans="13:13" x14ac:dyDescent="0.25">
      <c r="M1846" s="21"/>
    </row>
    <row r="1847" spans="13:13" x14ac:dyDescent="0.25">
      <c r="M1847" s="21"/>
    </row>
    <row r="1848" spans="13:13" x14ac:dyDescent="0.25">
      <c r="M1848" s="21"/>
    </row>
    <row r="1849" spans="13:13" x14ac:dyDescent="0.25">
      <c r="M1849" s="21"/>
    </row>
    <row r="1850" spans="13:13" x14ac:dyDescent="0.25">
      <c r="M1850" s="21"/>
    </row>
    <row r="1851" spans="13:13" x14ac:dyDescent="0.25">
      <c r="M1851" s="21"/>
    </row>
    <row r="1852" spans="13:13" x14ac:dyDescent="0.25">
      <c r="M1852" s="21"/>
    </row>
    <row r="1853" spans="13:13" x14ac:dyDescent="0.25">
      <c r="M1853" s="21"/>
    </row>
    <row r="1854" spans="13:13" x14ac:dyDescent="0.25">
      <c r="M1854" s="21"/>
    </row>
    <row r="1855" spans="13:13" x14ac:dyDescent="0.25">
      <c r="M1855" s="21"/>
    </row>
    <row r="1856" spans="13:13" x14ac:dyDescent="0.25">
      <c r="M1856" s="21"/>
    </row>
    <row r="1857" spans="13:13" x14ac:dyDescent="0.25">
      <c r="M1857" s="21"/>
    </row>
    <row r="1858" spans="13:13" x14ac:dyDescent="0.25">
      <c r="M1858" s="21"/>
    </row>
    <row r="1859" spans="13:13" x14ac:dyDescent="0.25">
      <c r="M1859" s="21"/>
    </row>
    <row r="1860" spans="13:13" x14ac:dyDescent="0.25">
      <c r="M1860" s="21"/>
    </row>
    <row r="1861" spans="13:13" x14ac:dyDescent="0.25">
      <c r="M1861" s="21"/>
    </row>
    <row r="1862" spans="13:13" x14ac:dyDescent="0.25">
      <c r="M1862" s="21"/>
    </row>
    <row r="1863" spans="13:13" x14ac:dyDescent="0.25">
      <c r="M1863" s="21"/>
    </row>
    <row r="1864" spans="13:13" x14ac:dyDescent="0.25">
      <c r="M1864" s="21"/>
    </row>
    <row r="1865" spans="13:13" x14ac:dyDescent="0.25">
      <c r="M1865" s="21"/>
    </row>
    <row r="1866" spans="13:13" x14ac:dyDescent="0.25">
      <c r="M1866" s="21"/>
    </row>
    <row r="1867" spans="13:13" x14ac:dyDescent="0.25">
      <c r="M1867" s="21"/>
    </row>
    <row r="1868" spans="13:13" x14ac:dyDescent="0.25">
      <c r="M1868" s="21"/>
    </row>
    <row r="1869" spans="13:13" x14ac:dyDescent="0.25">
      <c r="M1869" s="21"/>
    </row>
    <row r="1870" spans="13:13" x14ac:dyDescent="0.25">
      <c r="M1870" s="21"/>
    </row>
    <row r="1871" spans="13:13" x14ac:dyDescent="0.25">
      <c r="M1871" s="21"/>
    </row>
    <row r="1872" spans="13:13" x14ac:dyDescent="0.25">
      <c r="M1872" s="21"/>
    </row>
    <row r="1873" spans="13:13" x14ac:dyDescent="0.25">
      <c r="M1873" s="21"/>
    </row>
    <row r="1874" spans="13:13" x14ac:dyDescent="0.25">
      <c r="M1874" s="21"/>
    </row>
    <row r="1875" spans="13:13" x14ac:dyDescent="0.25">
      <c r="M1875" s="21"/>
    </row>
    <row r="1876" spans="13:13" x14ac:dyDescent="0.25">
      <c r="M1876" s="21"/>
    </row>
    <row r="1877" spans="13:13" x14ac:dyDescent="0.25">
      <c r="M1877" s="21"/>
    </row>
    <row r="1878" spans="13:13" x14ac:dyDescent="0.25">
      <c r="M1878" s="21"/>
    </row>
    <row r="1879" spans="13:13" x14ac:dyDescent="0.25">
      <c r="M1879" s="21"/>
    </row>
    <row r="1880" spans="13:13" x14ac:dyDescent="0.25">
      <c r="M1880" s="21"/>
    </row>
    <row r="1881" spans="13:13" x14ac:dyDescent="0.25">
      <c r="M1881" s="21"/>
    </row>
    <row r="1882" spans="13:13" x14ac:dyDescent="0.25">
      <c r="M1882" s="21"/>
    </row>
    <row r="1883" spans="13:13" x14ac:dyDescent="0.25">
      <c r="M1883" s="21"/>
    </row>
    <row r="1884" spans="13:13" x14ac:dyDescent="0.25">
      <c r="M1884" s="21"/>
    </row>
    <row r="1885" spans="13:13" x14ac:dyDescent="0.25">
      <c r="M1885" s="21"/>
    </row>
    <row r="1886" spans="13:13" x14ac:dyDescent="0.25">
      <c r="M1886" s="21"/>
    </row>
    <row r="1887" spans="13:13" x14ac:dyDescent="0.25">
      <c r="M1887" s="21"/>
    </row>
    <row r="1888" spans="13:13" x14ac:dyDescent="0.25">
      <c r="M1888" s="21"/>
    </row>
    <row r="1889" spans="13:13" x14ac:dyDescent="0.25">
      <c r="M1889" s="21"/>
    </row>
    <row r="1890" spans="13:13" x14ac:dyDescent="0.25">
      <c r="M1890" s="21"/>
    </row>
    <row r="1891" spans="13:13" x14ac:dyDescent="0.25">
      <c r="M1891" s="21"/>
    </row>
    <row r="1892" spans="13:13" x14ac:dyDescent="0.25">
      <c r="M1892" s="21"/>
    </row>
    <row r="1893" spans="13:13" x14ac:dyDescent="0.25">
      <c r="M1893" s="21"/>
    </row>
    <row r="1894" spans="13:13" x14ac:dyDescent="0.25">
      <c r="M1894" s="21"/>
    </row>
    <row r="1895" spans="13:13" x14ac:dyDescent="0.25">
      <c r="M1895" s="21"/>
    </row>
    <row r="1896" spans="13:13" x14ac:dyDescent="0.25">
      <c r="M1896" s="21"/>
    </row>
    <row r="1897" spans="13:13" x14ac:dyDescent="0.25">
      <c r="M1897" s="21"/>
    </row>
    <row r="1898" spans="13:13" x14ac:dyDescent="0.25">
      <c r="M1898" s="21"/>
    </row>
    <row r="1899" spans="13:13" x14ac:dyDescent="0.25">
      <c r="M1899" s="21"/>
    </row>
    <row r="1900" spans="13:13" x14ac:dyDescent="0.25">
      <c r="M1900" s="21"/>
    </row>
    <row r="1901" spans="13:13" x14ac:dyDescent="0.25">
      <c r="M1901" s="21"/>
    </row>
    <row r="1902" spans="13:13" x14ac:dyDescent="0.25">
      <c r="M1902" s="21"/>
    </row>
    <row r="1903" spans="13:13" x14ac:dyDescent="0.25">
      <c r="M1903" s="21"/>
    </row>
    <row r="1904" spans="13:13" x14ac:dyDescent="0.25">
      <c r="M1904" s="21"/>
    </row>
    <row r="1905" spans="13:13" x14ac:dyDescent="0.25">
      <c r="M1905" s="21"/>
    </row>
    <row r="1906" spans="13:13" x14ac:dyDescent="0.25">
      <c r="M1906" s="21"/>
    </row>
    <row r="1907" spans="13:13" x14ac:dyDescent="0.25">
      <c r="M1907" s="21"/>
    </row>
    <row r="1908" spans="13:13" x14ac:dyDescent="0.25">
      <c r="M1908" s="21"/>
    </row>
    <row r="1909" spans="13:13" x14ac:dyDescent="0.25">
      <c r="M1909" s="21"/>
    </row>
    <row r="1910" spans="13:13" x14ac:dyDescent="0.25">
      <c r="M1910" s="21"/>
    </row>
    <row r="1911" spans="13:13" x14ac:dyDescent="0.25">
      <c r="M1911" s="21"/>
    </row>
    <row r="1912" spans="13:13" x14ac:dyDescent="0.25">
      <c r="M1912" s="21"/>
    </row>
    <row r="1913" spans="13:13" x14ac:dyDescent="0.25">
      <c r="M1913" s="21"/>
    </row>
    <row r="1914" spans="13:13" x14ac:dyDescent="0.25">
      <c r="M1914" s="21"/>
    </row>
    <row r="1915" spans="13:13" x14ac:dyDescent="0.25">
      <c r="M1915" s="21"/>
    </row>
    <row r="1916" spans="13:13" x14ac:dyDescent="0.25">
      <c r="M1916" s="21"/>
    </row>
    <row r="1917" spans="13:13" x14ac:dyDescent="0.25">
      <c r="M1917" s="21"/>
    </row>
    <row r="1918" spans="13:13" x14ac:dyDescent="0.25">
      <c r="M1918" s="21"/>
    </row>
    <row r="1919" spans="13:13" x14ac:dyDescent="0.25">
      <c r="M1919" s="21"/>
    </row>
    <row r="1920" spans="13:13" x14ac:dyDescent="0.25">
      <c r="M1920" s="21"/>
    </row>
    <row r="1921" spans="13:13" x14ac:dyDescent="0.25">
      <c r="M1921" s="21"/>
    </row>
    <row r="1922" spans="13:13" x14ac:dyDescent="0.25">
      <c r="M1922" s="21"/>
    </row>
    <row r="1923" spans="13:13" x14ac:dyDescent="0.25">
      <c r="M1923" s="21"/>
    </row>
    <row r="1924" spans="13:13" x14ac:dyDescent="0.25">
      <c r="M1924" s="21"/>
    </row>
    <row r="1925" spans="13:13" x14ac:dyDescent="0.25">
      <c r="M1925" s="21"/>
    </row>
    <row r="1926" spans="13:13" x14ac:dyDescent="0.25">
      <c r="M1926" s="21"/>
    </row>
    <row r="1927" spans="13:13" x14ac:dyDescent="0.25">
      <c r="M1927" s="21"/>
    </row>
    <row r="1928" spans="13:13" x14ac:dyDescent="0.25">
      <c r="M1928" s="21"/>
    </row>
    <row r="1929" spans="13:13" x14ac:dyDescent="0.25">
      <c r="M1929" s="21"/>
    </row>
    <row r="1930" spans="13:13" x14ac:dyDescent="0.25">
      <c r="M1930" s="21"/>
    </row>
    <row r="1931" spans="13:13" x14ac:dyDescent="0.25">
      <c r="M1931" s="21"/>
    </row>
    <row r="1932" spans="13:13" x14ac:dyDescent="0.25">
      <c r="M1932" s="21"/>
    </row>
    <row r="1933" spans="13:13" x14ac:dyDescent="0.25">
      <c r="M1933" s="21"/>
    </row>
    <row r="1934" spans="13:13" x14ac:dyDescent="0.25">
      <c r="M1934" s="21"/>
    </row>
    <row r="1935" spans="13:13" x14ac:dyDescent="0.25">
      <c r="M1935" s="21"/>
    </row>
    <row r="1936" spans="13:13" x14ac:dyDescent="0.25">
      <c r="M1936" s="21"/>
    </row>
    <row r="1937" spans="13:13" x14ac:dyDescent="0.25">
      <c r="M1937" s="21"/>
    </row>
    <row r="1938" spans="13:13" x14ac:dyDescent="0.25">
      <c r="M1938" s="21"/>
    </row>
    <row r="1939" spans="13:13" x14ac:dyDescent="0.25">
      <c r="M1939" s="21"/>
    </row>
    <row r="1940" spans="13:13" x14ac:dyDescent="0.25">
      <c r="M1940" s="21"/>
    </row>
    <row r="1941" spans="13:13" x14ac:dyDescent="0.25">
      <c r="M1941" s="21"/>
    </row>
    <row r="1942" spans="13:13" x14ac:dyDescent="0.25">
      <c r="M1942" s="21"/>
    </row>
    <row r="1943" spans="13:13" x14ac:dyDescent="0.25">
      <c r="M1943" s="21"/>
    </row>
    <row r="1944" spans="13:13" x14ac:dyDescent="0.25">
      <c r="M1944" s="21"/>
    </row>
    <row r="1945" spans="13:13" x14ac:dyDescent="0.25">
      <c r="M1945" s="21"/>
    </row>
    <row r="1946" spans="13:13" x14ac:dyDescent="0.25">
      <c r="M1946" s="21"/>
    </row>
    <row r="1947" spans="13:13" x14ac:dyDescent="0.25">
      <c r="M1947" s="21"/>
    </row>
    <row r="1948" spans="13:13" x14ac:dyDescent="0.25">
      <c r="M1948" s="21"/>
    </row>
    <row r="1949" spans="13:13" x14ac:dyDescent="0.25">
      <c r="M1949" s="21"/>
    </row>
    <row r="1950" spans="13:13" x14ac:dyDescent="0.25">
      <c r="M1950" s="21"/>
    </row>
    <row r="1951" spans="13:13" x14ac:dyDescent="0.25">
      <c r="M1951" s="21"/>
    </row>
    <row r="1952" spans="13:13" x14ac:dyDescent="0.25">
      <c r="M1952" s="21"/>
    </row>
    <row r="1953" spans="13:13" x14ac:dyDescent="0.25">
      <c r="M1953" s="21"/>
    </row>
    <row r="1954" spans="13:13" x14ac:dyDescent="0.25">
      <c r="M1954" s="21"/>
    </row>
    <row r="1955" spans="13:13" x14ac:dyDescent="0.25">
      <c r="M1955" s="21"/>
    </row>
    <row r="1956" spans="13:13" x14ac:dyDescent="0.25">
      <c r="M1956" s="21"/>
    </row>
    <row r="1957" spans="13:13" x14ac:dyDescent="0.25">
      <c r="M1957" s="21"/>
    </row>
    <row r="1958" spans="13:13" x14ac:dyDescent="0.25">
      <c r="M1958" s="21"/>
    </row>
    <row r="1959" spans="13:13" x14ac:dyDescent="0.25">
      <c r="M1959" s="21"/>
    </row>
    <row r="1960" spans="13:13" x14ac:dyDescent="0.25">
      <c r="M1960" s="21"/>
    </row>
    <row r="1961" spans="13:13" x14ac:dyDescent="0.25">
      <c r="M1961" s="21"/>
    </row>
    <row r="1962" spans="13:13" x14ac:dyDescent="0.25">
      <c r="M1962" s="21"/>
    </row>
    <row r="1963" spans="13:13" x14ac:dyDescent="0.25">
      <c r="M1963" s="21"/>
    </row>
    <row r="1964" spans="13:13" x14ac:dyDescent="0.25">
      <c r="M1964" s="21"/>
    </row>
    <row r="1965" spans="13:13" x14ac:dyDescent="0.25">
      <c r="M1965" s="21"/>
    </row>
    <row r="1966" spans="13:13" x14ac:dyDescent="0.25">
      <c r="M1966" s="21"/>
    </row>
    <row r="1967" spans="13:13" x14ac:dyDescent="0.25">
      <c r="M1967" s="21"/>
    </row>
    <row r="1968" spans="13:13" x14ac:dyDescent="0.25">
      <c r="M1968" s="21"/>
    </row>
    <row r="1969" spans="13:13" x14ac:dyDescent="0.25">
      <c r="M1969" s="21"/>
    </row>
    <row r="1970" spans="13:13" x14ac:dyDescent="0.25">
      <c r="M1970" s="21"/>
    </row>
    <row r="1971" spans="13:13" x14ac:dyDescent="0.25">
      <c r="M1971" s="21"/>
    </row>
    <row r="1972" spans="13:13" x14ac:dyDescent="0.25">
      <c r="M1972" s="21"/>
    </row>
    <row r="1973" spans="13:13" x14ac:dyDescent="0.25">
      <c r="M1973" s="21"/>
    </row>
    <row r="1974" spans="13:13" x14ac:dyDescent="0.25">
      <c r="M1974" s="21"/>
    </row>
    <row r="1975" spans="13:13" x14ac:dyDescent="0.25">
      <c r="M1975" s="21"/>
    </row>
    <row r="1976" spans="13:13" x14ac:dyDescent="0.25">
      <c r="M1976" s="21"/>
    </row>
    <row r="1977" spans="13:13" x14ac:dyDescent="0.25">
      <c r="M1977" s="21"/>
    </row>
    <row r="1978" spans="13:13" x14ac:dyDescent="0.25">
      <c r="M1978" s="21"/>
    </row>
    <row r="1979" spans="13:13" x14ac:dyDescent="0.25">
      <c r="M1979" s="21"/>
    </row>
    <row r="1980" spans="13:13" x14ac:dyDescent="0.25">
      <c r="M1980" s="21"/>
    </row>
    <row r="1981" spans="13:13" x14ac:dyDescent="0.25">
      <c r="M1981" s="21"/>
    </row>
    <row r="1982" spans="13:13" x14ac:dyDescent="0.25">
      <c r="M1982" s="21"/>
    </row>
    <row r="1983" spans="13:13" x14ac:dyDescent="0.25">
      <c r="M1983" s="21"/>
    </row>
    <row r="1984" spans="13:13" x14ac:dyDescent="0.25">
      <c r="M1984" s="21"/>
    </row>
    <row r="1985" spans="13:13" x14ac:dyDescent="0.25">
      <c r="M1985" s="21"/>
    </row>
    <row r="1986" spans="13:13" x14ac:dyDescent="0.25">
      <c r="M1986" s="21"/>
    </row>
    <row r="1987" spans="13:13" x14ac:dyDescent="0.25">
      <c r="M1987" s="21"/>
    </row>
    <row r="1988" spans="13:13" x14ac:dyDescent="0.25">
      <c r="M1988" s="21"/>
    </row>
    <row r="1989" spans="13:13" x14ac:dyDescent="0.25">
      <c r="M1989" s="21"/>
    </row>
    <row r="1990" spans="13:13" x14ac:dyDescent="0.25">
      <c r="M1990" s="21"/>
    </row>
    <row r="1991" spans="13:13" x14ac:dyDescent="0.25">
      <c r="M1991" s="21"/>
    </row>
    <row r="1992" spans="13:13" x14ac:dyDescent="0.25">
      <c r="M1992" s="21"/>
    </row>
    <row r="1993" spans="13:13" x14ac:dyDescent="0.25">
      <c r="M1993" s="21"/>
    </row>
    <row r="1994" spans="13:13" x14ac:dyDescent="0.25">
      <c r="M1994" s="21"/>
    </row>
    <row r="1995" spans="13:13" x14ac:dyDescent="0.25">
      <c r="M1995" s="21"/>
    </row>
    <row r="1996" spans="13:13" x14ac:dyDescent="0.25">
      <c r="M1996" s="21"/>
    </row>
    <row r="1997" spans="13:13" x14ac:dyDescent="0.25">
      <c r="M1997" s="21"/>
    </row>
    <row r="1998" spans="13:13" x14ac:dyDescent="0.25">
      <c r="M1998" s="21"/>
    </row>
    <row r="1999" spans="13:13" x14ac:dyDescent="0.25">
      <c r="M1999" s="21"/>
    </row>
    <row r="2000" spans="13:13" x14ac:dyDescent="0.25">
      <c r="M2000" s="21"/>
    </row>
    <row r="2001" spans="13:13" x14ac:dyDescent="0.25">
      <c r="M2001" s="21"/>
    </row>
    <row r="2002" spans="13:13" x14ac:dyDescent="0.25">
      <c r="M2002" s="21"/>
    </row>
    <row r="2003" spans="13:13" x14ac:dyDescent="0.25">
      <c r="M2003" s="21"/>
    </row>
    <row r="2004" spans="13:13" x14ac:dyDescent="0.25">
      <c r="M2004" s="21"/>
    </row>
    <row r="2005" spans="13:13" x14ac:dyDescent="0.25">
      <c r="M2005" s="21"/>
    </row>
    <row r="2006" spans="13:13" x14ac:dyDescent="0.25">
      <c r="M2006" s="21"/>
    </row>
    <row r="2007" spans="13:13" x14ac:dyDescent="0.25">
      <c r="M2007" s="21"/>
    </row>
    <row r="2008" spans="13:13" x14ac:dyDescent="0.25">
      <c r="M2008" s="21"/>
    </row>
    <row r="2009" spans="13:13" x14ac:dyDescent="0.25">
      <c r="M2009" s="21"/>
    </row>
    <row r="2010" spans="13:13" x14ac:dyDescent="0.25">
      <c r="M2010" s="21"/>
    </row>
    <row r="2011" spans="13:13" x14ac:dyDescent="0.25">
      <c r="M2011" s="21"/>
    </row>
    <row r="2012" spans="13:13" x14ac:dyDescent="0.25">
      <c r="M2012" s="21"/>
    </row>
    <row r="2013" spans="13:13" x14ac:dyDescent="0.25">
      <c r="M2013" s="21"/>
    </row>
    <row r="2014" spans="13:13" x14ac:dyDescent="0.25">
      <c r="M2014" s="21"/>
    </row>
    <row r="2015" spans="13:13" x14ac:dyDescent="0.25">
      <c r="M2015" s="21"/>
    </row>
    <row r="2016" spans="13:13" x14ac:dyDescent="0.25">
      <c r="M2016" s="21"/>
    </row>
    <row r="2017" spans="13:13" x14ac:dyDescent="0.25">
      <c r="M2017" s="21"/>
    </row>
    <row r="2018" spans="13:13" x14ac:dyDescent="0.25">
      <c r="M2018" s="21"/>
    </row>
    <row r="2019" spans="13:13" x14ac:dyDescent="0.25">
      <c r="M2019" s="21"/>
    </row>
    <row r="2020" spans="13:13" x14ac:dyDescent="0.25">
      <c r="M2020" s="21"/>
    </row>
    <row r="2021" spans="13:13" x14ac:dyDescent="0.25">
      <c r="M2021" s="21"/>
    </row>
    <row r="2022" spans="13:13" x14ac:dyDescent="0.25">
      <c r="M2022" s="21"/>
    </row>
    <row r="2023" spans="13:13" x14ac:dyDescent="0.25">
      <c r="M2023" s="21"/>
    </row>
    <row r="2024" spans="13:13" x14ac:dyDescent="0.25">
      <c r="M2024" s="21"/>
    </row>
    <row r="2025" spans="13:13" x14ac:dyDescent="0.25">
      <c r="M2025" s="21"/>
    </row>
    <row r="2026" spans="13:13" x14ac:dyDescent="0.25">
      <c r="M2026" s="21"/>
    </row>
    <row r="2027" spans="13:13" x14ac:dyDescent="0.25">
      <c r="M2027" s="21"/>
    </row>
    <row r="2028" spans="13:13" x14ac:dyDescent="0.25">
      <c r="M2028" s="21"/>
    </row>
    <row r="2029" spans="13:13" x14ac:dyDescent="0.25">
      <c r="M2029" s="21"/>
    </row>
    <row r="2030" spans="13:13" x14ac:dyDescent="0.25">
      <c r="M2030" s="21"/>
    </row>
    <row r="2031" spans="13:13" x14ac:dyDescent="0.25">
      <c r="M2031" s="21"/>
    </row>
    <row r="2032" spans="13:13" x14ac:dyDescent="0.25">
      <c r="M2032" s="21"/>
    </row>
    <row r="2033" spans="13:13" x14ac:dyDescent="0.25">
      <c r="M2033" s="21"/>
    </row>
    <row r="2034" spans="13:13" x14ac:dyDescent="0.25">
      <c r="M2034" s="21"/>
    </row>
    <row r="2035" spans="13:13" x14ac:dyDescent="0.25">
      <c r="M2035" s="21"/>
    </row>
    <row r="2036" spans="13:13" x14ac:dyDescent="0.25">
      <c r="M2036" s="21"/>
    </row>
    <row r="2037" spans="13:13" x14ac:dyDescent="0.25">
      <c r="M2037" s="21"/>
    </row>
    <row r="2038" spans="13:13" x14ac:dyDescent="0.25">
      <c r="M2038" s="21"/>
    </row>
    <row r="2039" spans="13:13" x14ac:dyDescent="0.25">
      <c r="M2039" s="21"/>
    </row>
    <row r="2040" spans="13:13" x14ac:dyDescent="0.25">
      <c r="M2040" s="21"/>
    </row>
    <row r="2041" spans="13:13" x14ac:dyDescent="0.25">
      <c r="M2041" s="21"/>
    </row>
    <row r="2042" spans="13:13" x14ac:dyDescent="0.25">
      <c r="M2042" s="21"/>
    </row>
    <row r="2043" spans="13:13" x14ac:dyDescent="0.25">
      <c r="M2043" s="21"/>
    </row>
    <row r="2044" spans="13:13" x14ac:dyDescent="0.25">
      <c r="M2044" s="21"/>
    </row>
    <row r="2045" spans="13:13" x14ac:dyDescent="0.25">
      <c r="M2045" s="21"/>
    </row>
    <row r="2046" spans="13:13" x14ac:dyDescent="0.25">
      <c r="M2046" s="21"/>
    </row>
    <row r="2047" spans="13:13" x14ac:dyDescent="0.25">
      <c r="M2047" s="21"/>
    </row>
    <row r="2048" spans="13:13" x14ac:dyDescent="0.25">
      <c r="M2048" s="21"/>
    </row>
    <row r="2049" spans="13:13" x14ac:dyDescent="0.25">
      <c r="M2049" s="21"/>
    </row>
    <row r="2050" spans="13:13" x14ac:dyDescent="0.25">
      <c r="M2050" s="21"/>
    </row>
    <row r="2051" spans="13:13" x14ac:dyDescent="0.25">
      <c r="M2051" s="21"/>
    </row>
    <row r="2052" spans="13:13" x14ac:dyDescent="0.25">
      <c r="M2052" s="21"/>
    </row>
    <row r="2053" spans="13:13" x14ac:dyDescent="0.25">
      <c r="M2053" s="21"/>
    </row>
    <row r="2054" spans="13:13" x14ac:dyDescent="0.25">
      <c r="M2054" s="21"/>
    </row>
    <row r="2055" spans="13:13" x14ac:dyDescent="0.25">
      <c r="M2055" s="21"/>
    </row>
    <row r="2056" spans="13:13" x14ac:dyDescent="0.25">
      <c r="M2056" s="21"/>
    </row>
    <row r="2057" spans="13:13" x14ac:dyDescent="0.25">
      <c r="M2057" s="21"/>
    </row>
    <row r="2058" spans="13:13" x14ac:dyDescent="0.25">
      <c r="M2058" s="21"/>
    </row>
    <row r="2059" spans="13:13" x14ac:dyDescent="0.25">
      <c r="M2059" s="21"/>
    </row>
    <row r="2060" spans="13:13" x14ac:dyDescent="0.25">
      <c r="M2060" s="21"/>
    </row>
    <row r="2061" spans="13:13" x14ac:dyDescent="0.25">
      <c r="M2061" s="21"/>
    </row>
    <row r="2062" spans="13:13" x14ac:dyDescent="0.25">
      <c r="M2062" s="21"/>
    </row>
    <row r="2063" spans="13:13" x14ac:dyDescent="0.25">
      <c r="M2063" s="21"/>
    </row>
    <row r="2064" spans="13:13" x14ac:dyDescent="0.25">
      <c r="M2064" s="21"/>
    </row>
    <row r="2065" spans="13:13" x14ac:dyDescent="0.25">
      <c r="M2065" s="21"/>
    </row>
    <row r="2066" spans="13:13" x14ac:dyDescent="0.25">
      <c r="M2066" s="21"/>
    </row>
    <row r="2067" spans="13:13" x14ac:dyDescent="0.25">
      <c r="M2067" s="21"/>
    </row>
    <row r="2068" spans="13:13" x14ac:dyDescent="0.25">
      <c r="M2068" s="21"/>
    </row>
    <row r="2069" spans="13:13" x14ac:dyDescent="0.25">
      <c r="M2069" s="21"/>
    </row>
    <row r="2070" spans="13:13" x14ac:dyDescent="0.25">
      <c r="M2070" s="21"/>
    </row>
    <row r="2071" spans="13:13" x14ac:dyDescent="0.25">
      <c r="M2071" s="21"/>
    </row>
    <row r="2072" spans="13:13" x14ac:dyDescent="0.25">
      <c r="M2072" s="21"/>
    </row>
    <row r="2073" spans="13:13" x14ac:dyDescent="0.25">
      <c r="M2073" s="21"/>
    </row>
    <row r="2074" spans="13:13" x14ac:dyDescent="0.25">
      <c r="M2074" s="21"/>
    </row>
    <row r="2075" spans="13:13" x14ac:dyDescent="0.25">
      <c r="M2075" s="21"/>
    </row>
    <row r="2076" spans="13:13" x14ac:dyDescent="0.25">
      <c r="M2076" s="21"/>
    </row>
    <row r="2077" spans="13:13" x14ac:dyDescent="0.25">
      <c r="M2077" s="21"/>
    </row>
    <row r="2078" spans="13:13" x14ac:dyDescent="0.25">
      <c r="M2078" s="21"/>
    </row>
    <row r="2079" spans="13:13" x14ac:dyDescent="0.25">
      <c r="M2079" s="21"/>
    </row>
    <row r="2080" spans="13:13" x14ac:dyDescent="0.25">
      <c r="M2080" s="21"/>
    </row>
    <row r="2081" spans="13:13" x14ac:dyDescent="0.25">
      <c r="M2081" s="21"/>
    </row>
    <row r="2082" spans="13:13" x14ac:dyDescent="0.25">
      <c r="M2082" s="21"/>
    </row>
    <row r="2083" spans="13:13" x14ac:dyDescent="0.25">
      <c r="M2083" s="21"/>
    </row>
    <row r="2084" spans="13:13" x14ac:dyDescent="0.25">
      <c r="M2084" s="21"/>
    </row>
    <row r="2085" spans="13:13" x14ac:dyDescent="0.25">
      <c r="M2085" s="21"/>
    </row>
    <row r="2086" spans="13:13" x14ac:dyDescent="0.25">
      <c r="M2086" s="21"/>
    </row>
    <row r="2087" spans="13:13" x14ac:dyDescent="0.25">
      <c r="M2087" s="21"/>
    </row>
    <row r="2088" spans="13:13" x14ac:dyDescent="0.25">
      <c r="M2088" s="21"/>
    </row>
    <row r="2089" spans="13:13" x14ac:dyDescent="0.25">
      <c r="M2089" s="21"/>
    </row>
    <row r="2090" spans="13:13" x14ac:dyDescent="0.25">
      <c r="M2090" s="21"/>
    </row>
    <row r="2091" spans="13:13" x14ac:dyDescent="0.25">
      <c r="M2091" s="21"/>
    </row>
    <row r="2092" spans="13:13" x14ac:dyDescent="0.25">
      <c r="M2092" s="21"/>
    </row>
    <row r="2093" spans="13:13" x14ac:dyDescent="0.25">
      <c r="M2093" s="21"/>
    </row>
    <row r="2094" spans="13:13" x14ac:dyDescent="0.25">
      <c r="M2094" s="21"/>
    </row>
    <row r="2095" spans="13:13" x14ac:dyDescent="0.25">
      <c r="M2095" s="21"/>
    </row>
    <row r="2096" spans="13:13" x14ac:dyDescent="0.25">
      <c r="M2096" s="21"/>
    </row>
    <row r="2097" spans="13:13" x14ac:dyDescent="0.25">
      <c r="M2097" s="21"/>
    </row>
    <row r="2098" spans="13:13" x14ac:dyDescent="0.25">
      <c r="M2098" s="21"/>
    </row>
    <row r="2099" spans="13:13" x14ac:dyDescent="0.25">
      <c r="M2099" s="21"/>
    </row>
    <row r="2100" spans="13:13" x14ac:dyDescent="0.25">
      <c r="M2100" s="21"/>
    </row>
    <row r="2101" spans="13:13" x14ac:dyDescent="0.25">
      <c r="M2101" s="21"/>
    </row>
    <row r="2102" spans="13:13" x14ac:dyDescent="0.25">
      <c r="M2102" s="21"/>
    </row>
    <row r="2103" spans="13:13" x14ac:dyDescent="0.25">
      <c r="M2103" s="21"/>
    </row>
    <row r="2104" spans="13:13" x14ac:dyDescent="0.25">
      <c r="M2104" s="21"/>
    </row>
    <row r="2105" spans="13:13" x14ac:dyDescent="0.25">
      <c r="M2105" s="21"/>
    </row>
    <row r="2106" spans="13:13" x14ac:dyDescent="0.25">
      <c r="M2106" s="21"/>
    </row>
    <row r="2107" spans="13:13" x14ac:dyDescent="0.25">
      <c r="M2107" s="21"/>
    </row>
    <row r="2108" spans="13:13" x14ac:dyDescent="0.25">
      <c r="M2108" s="21"/>
    </row>
    <row r="2109" spans="13:13" x14ac:dyDescent="0.25">
      <c r="M2109" s="21"/>
    </row>
    <row r="2110" spans="13:13" x14ac:dyDescent="0.25">
      <c r="M2110" s="21"/>
    </row>
    <row r="2111" spans="13:13" x14ac:dyDescent="0.25">
      <c r="M2111" s="21"/>
    </row>
    <row r="2112" spans="13:13" x14ac:dyDescent="0.25">
      <c r="M2112" s="21"/>
    </row>
    <row r="2113" spans="13:13" x14ac:dyDescent="0.25">
      <c r="M2113" s="21"/>
    </row>
    <row r="2114" spans="13:13" x14ac:dyDescent="0.25">
      <c r="M2114" s="21"/>
    </row>
    <row r="2115" spans="13:13" x14ac:dyDescent="0.25">
      <c r="M2115" s="21"/>
    </row>
    <row r="2116" spans="13:13" x14ac:dyDescent="0.25">
      <c r="M2116" s="21"/>
    </row>
    <row r="2117" spans="13:13" x14ac:dyDescent="0.25">
      <c r="M2117" s="21"/>
    </row>
    <row r="2118" spans="13:13" x14ac:dyDescent="0.25">
      <c r="M2118" s="21"/>
    </row>
    <row r="2119" spans="13:13" x14ac:dyDescent="0.25">
      <c r="M2119" s="21"/>
    </row>
    <row r="2120" spans="13:13" x14ac:dyDescent="0.25">
      <c r="M2120" s="21"/>
    </row>
    <row r="2121" spans="13:13" x14ac:dyDescent="0.25">
      <c r="M2121" s="21"/>
    </row>
    <row r="2122" spans="13:13" x14ac:dyDescent="0.25">
      <c r="M2122" s="21"/>
    </row>
    <row r="2123" spans="13:13" x14ac:dyDescent="0.25">
      <c r="M2123" s="21"/>
    </row>
    <row r="2124" spans="13:13" x14ac:dyDescent="0.25">
      <c r="M2124" s="21"/>
    </row>
    <row r="2125" spans="13:13" x14ac:dyDescent="0.25">
      <c r="M2125" s="21"/>
    </row>
    <row r="2126" spans="13:13" x14ac:dyDescent="0.25">
      <c r="M2126" s="21"/>
    </row>
    <row r="2127" spans="13:13" x14ac:dyDescent="0.25">
      <c r="M2127" s="21"/>
    </row>
    <row r="2128" spans="13:13" x14ac:dyDescent="0.25">
      <c r="M2128" s="21"/>
    </row>
    <row r="2129" spans="13:13" x14ac:dyDescent="0.25">
      <c r="M2129" s="21"/>
    </row>
    <row r="2130" spans="13:13" x14ac:dyDescent="0.25">
      <c r="M2130" s="21"/>
    </row>
    <row r="2131" spans="13:13" x14ac:dyDescent="0.25">
      <c r="M2131" s="21"/>
    </row>
    <row r="2132" spans="13:13" x14ac:dyDescent="0.25">
      <c r="M2132" s="21"/>
    </row>
    <row r="2133" spans="13:13" x14ac:dyDescent="0.25">
      <c r="M2133" s="21"/>
    </row>
    <row r="2134" spans="13:13" x14ac:dyDescent="0.25">
      <c r="M2134" s="21"/>
    </row>
    <row r="2135" spans="13:13" x14ac:dyDescent="0.25">
      <c r="M2135" s="21"/>
    </row>
    <row r="2136" spans="13:13" x14ac:dyDescent="0.25">
      <c r="M2136" s="21"/>
    </row>
    <row r="2137" spans="13:13" x14ac:dyDescent="0.25">
      <c r="M2137" s="21"/>
    </row>
    <row r="2138" spans="13:13" x14ac:dyDescent="0.25">
      <c r="M2138" s="21"/>
    </row>
    <row r="2139" spans="13:13" x14ac:dyDescent="0.25">
      <c r="M2139" s="21"/>
    </row>
    <row r="2140" spans="13:13" x14ac:dyDescent="0.25">
      <c r="M2140" s="21"/>
    </row>
    <row r="2141" spans="13:13" x14ac:dyDescent="0.25">
      <c r="M2141" s="21"/>
    </row>
    <row r="2142" spans="13:13" x14ac:dyDescent="0.25">
      <c r="M2142" s="21"/>
    </row>
    <row r="2143" spans="13:13" x14ac:dyDescent="0.25">
      <c r="M2143" s="21"/>
    </row>
    <row r="2144" spans="13:13" x14ac:dyDescent="0.25">
      <c r="M2144" s="21"/>
    </row>
    <row r="2145" spans="13:13" x14ac:dyDescent="0.25">
      <c r="M2145" s="21"/>
    </row>
    <row r="2146" spans="13:13" x14ac:dyDescent="0.25">
      <c r="M2146" s="21"/>
    </row>
    <row r="2147" spans="13:13" x14ac:dyDescent="0.25">
      <c r="M2147" s="21"/>
    </row>
    <row r="2148" spans="13:13" x14ac:dyDescent="0.25">
      <c r="M2148" s="21"/>
    </row>
    <row r="2149" spans="13:13" x14ac:dyDescent="0.25">
      <c r="M2149" s="21"/>
    </row>
    <row r="2150" spans="13:13" x14ac:dyDescent="0.25">
      <c r="M2150" s="21"/>
    </row>
    <row r="2151" spans="13:13" x14ac:dyDescent="0.25">
      <c r="M2151" s="21"/>
    </row>
    <row r="2152" spans="13:13" x14ac:dyDescent="0.25">
      <c r="M2152" s="21"/>
    </row>
    <row r="2153" spans="13:13" x14ac:dyDescent="0.25">
      <c r="M2153" s="21"/>
    </row>
    <row r="2154" spans="13:13" x14ac:dyDescent="0.25">
      <c r="M2154" s="21"/>
    </row>
    <row r="2155" spans="13:13" x14ac:dyDescent="0.25">
      <c r="M2155" s="21"/>
    </row>
    <row r="2156" spans="13:13" x14ac:dyDescent="0.25">
      <c r="M2156" s="21"/>
    </row>
    <row r="2157" spans="13:13" x14ac:dyDescent="0.25">
      <c r="M2157" s="21"/>
    </row>
    <row r="2158" spans="13:13" x14ac:dyDescent="0.25">
      <c r="M2158" s="21"/>
    </row>
    <row r="2159" spans="13:13" x14ac:dyDescent="0.25">
      <c r="M2159" s="21"/>
    </row>
    <row r="2160" spans="13:13" x14ac:dyDescent="0.25">
      <c r="M2160" s="21"/>
    </row>
    <row r="2161" spans="13:13" x14ac:dyDescent="0.25">
      <c r="M2161" s="21"/>
    </row>
    <row r="2162" spans="13:13" x14ac:dyDescent="0.25">
      <c r="M2162" s="21"/>
    </row>
    <row r="2163" spans="13:13" x14ac:dyDescent="0.25">
      <c r="M2163" s="21"/>
    </row>
    <row r="2164" spans="13:13" x14ac:dyDescent="0.25">
      <c r="M2164" s="21"/>
    </row>
    <row r="2165" spans="13:13" x14ac:dyDescent="0.25">
      <c r="M2165" s="21"/>
    </row>
    <row r="2166" spans="13:13" x14ac:dyDescent="0.25">
      <c r="M2166" s="21"/>
    </row>
    <row r="2167" spans="13:13" x14ac:dyDescent="0.25">
      <c r="M2167" s="21"/>
    </row>
    <row r="2168" spans="13:13" x14ac:dyDescent="0.25">
      <c r="M2168" s="21"/>
    </row>
    <row r="2169" spans="13:13" x14ac:dyDescent="0.25">
      <c r="M2169" s="21"/>
    </row>
    <row r="2170" spans="13:13" x14ac:dyDescent="0.25">
      <c r="M2170" s="21"/>
    </row>
    <row r="2171" spans="13:13" x14ac:dyDescent="0.25">
      <c r="M2171" s="21"/>
    </row>
    <row r="2172" spans="13:13" x14ac:dyDescent="0.25">
      <c r="M2172" s="21"/>
    </row>
    <row r="2173" spans="13:13" x14ac:dyDescent="0.25">
      <c r="M2173" s="21"/>
    </row>
    <row r="2174" spans="13:13" x14ac:dyDescent="0.25">
      <c r="M2174" s="21"/>
    </row>
    <row r="2175" spans="13:13" x14ac:dyDescent="0.25">
      <c r="M2175" s="21"/>
    </row>
    <row r="2176" spans="13:13" x14ac:dyDescent="0.25">
      <c r="M2176" s="21"/>
    </row>
    <row r="2177" spans="13:13" x14ac:dyDescent="0.25">
      <c r="M2177" s="21"/>
    </row>
    <row r="2178" spans="13:13" x14ac:dyDescent="0.25">
      <c r="M2178" s="21"/>
    </row>
    <row r="2179" spans="13:13" x14ac:dyDescent="0.25">
      <c r="M2179" s="21"/>
    </row>
    <row r="2180" spans="13:13" x14ac:dyDescent="0.25">
      <c r="M2180" s="21"/>
    </row>
    <row r="2181" spans="13:13" x14ac:dyDescent="0.25">
      <c r="M2181" s="21"/>
    </row>
    <row r="2182" spans="13:13" x14ac:dyDescent="0.25">
      <c r="M2182" s="21"/>
    </row>
    <row r="2183" spans="13:13" x14ac:dyDescent="0.25">
      <c r="M2183" s="21"/>
    </row>
    <row r="2184" spans="13:13" x14ac:dyDescent="0.25">
      <c r="M2184" s="21"/>
    </row>
    <row r="2185" spans="13:13" x14ac:dyDescent="0.25">
      <c r="M2185" s="21"/>
    </row>
    <row r="2186" spans="13:13" x14ac:dyDescent="0.25">
      <c r="M2186" s="21"/>
    </row>
    <row r="2187" spans="13:13" x14ac:dyDescent="0.25">
      <c r="M2187" s="21"/>
    </row>
    <row r="2188" spans="13:13" x14ac:dyDescent="0.25">
      <c r="M2188" s="21"/>
    </row>
    <row r="2189" spans="13:13" x14ac:dyDescent="0.25">
      <c r="M2189" s="21"/>
    </row>
    <row r="2190" spans="13:13" x14ac:dyDescent="0.25">
      <c r="M2190" s="21"/>
    </row>
    <row r="2191" spans="13:13" x14ac:dyDescent="0.25">
      <c r="M2191" s="21"/>
    </row>
    <row r="2192" spans="13:13" x14ac:dyDescent="0.25">
      <c r="M2192" s="21"/>
    </row>
    <row r="2193" spans="13:13" x14ac:dyDescent="0.25">
      <c r="M2193" s="21"/>
    </row>
    <row r="2194" spans="13:13" x14ac:dyDescent="0.25">
      <c r="M2194" s="21"/>
    </row>
    <row r="2195" spans="13:13" x14ac:dyDescent="0.25">
      <c r="M2195" s="21"/>
    </row>
    <row r="2196" spans="13:13" x14ac:dyDescent="0.25">
      <c r="M2196" s="21"/>
    </row>
    <row r="2197" spans="13:13" x14ac:dyDescent="0.25">
      <c r="M2197" s="21"/>
    </row>
    <row r="2198" spans="13:13" x14ac:dyDescent="0.25">
      <c r="M2198" s="21"/>
    </row>
    <row r="2199" spans="13:13" x14ac:dyDescent="0.25">
      <c r="M2199" s="21"/>
    </row>
    <row r="2200" spans="13:13" x14ac:dyDescent="0.25">
      <c r="M2200" s="21"/>
    </row>
    <row r="2201" spans="13:13" x14ac:dyDescent="0.25">
      <c r="M2201" s="21"/>
    </row>
    <row r="2202" spans="13:13" x14ac:dyDescent="0.25">
      <c r="M2202" s="21"/>
    </row>
    <row r="2203" spans="13:13" x14ac:dyDescent="0.25">
      <c r="M2203" s="21"/>
    </row>
    <row r="2204" spans="13:13" x14ac:dyDescent="0.25">
      <c r="M2204" s="21"/>
    </row>
    <row r="2205" spans="13:13" x14ac:dyDescent="0.25">
      <c r="M2205" s="21"/>
    </row>
    <row r="2206" spans="13:13" x14ac:dyDescent="0.25">
      <c r="M2206" s="21"/>
    </row>
    <row r="2207" spans="13:13" x14ac:dyDescent="0.25">
      <c r="M2207" s="21"/>
    </row>
    <row r="2208" spans="13:13" x14ac:dyDescent="0.25">
      <c r="M2208" s="21"/>
    </row>
    <row r="2209" spans="13:13" x14ac:dyDescent="0.25">
      <c r="M2209" s="21"/>
    </row>
    <row r="2210" spans="13:13" x14ac:dyDescent="0.25">
      <c r="M2210" s="21"/>
    </row>
    <row r="2211" spans="13:13" x14ac:dyDescent="0.25">
      <c r="M2211" s="21"/>
    </row>
    <row r="2212" spans="13:13" x14ac:dyDescent="0.25">
      <c r="M2212" s="21"/>
    </row>
    <row r="2213" spans="13:13" x14ac:dyDescent="0.25">
      <c r="M2213" s="21"/>
    </row>
    <row r="2214" spans="13:13" x14ac:dyDescent="0.25">
      <c r="M2214" s="21"/>
    </row>
    <row r="2215" spans="13:13" x14ac:dyDescent="0.25">
      <c r="M2215" s="21"/>
    </row>
    <row r="2216" spans="13:13" x14ac:dyDescent="0.25">
      <c r="M2216" s="21"/>
    </row>
    <row r="2217" spans="13:13" x14ac:dyDescent="0.25">
      <c r="M2217" s="21"/>
    </row>
    <row r="2218" spans="13:13" x14ac:dyDescent="0.25">
      <c r="M2218" s="21"/>
    </row>
    <row r="2219" spans="13:13" x14ac:dyDescent="0.25">
      <c r="M2219" s="21"/>
    </row>
    <row r="2220" spans="13:13" x14ac:dyDescent="0.25">
      <c r="M2220" s="21"/>
    </row>
    <row r="2221" spans="13:13" x14ac:dyDescent="0.25">
      <c r="M2221" s="21"/>
    </row>
    <row r="2222" spans="13:13" x14ac:dyDescent="0.25">
      <c r="M2222" s="21"/>
    </row>
    <row r="2223" spans="13:13" x14ac:dyDescent="0.25">
      <c r="M2223" s="21"/>
    </row>
    <row r="2224" spans="13:13" x14ac:dyDescent="0.25">
      <c r="M2224" s="21"/>
    </row>
    <row r="2225" spans="13:13" x14ac:dyDescent="0.25">
      <c r="M2225" s="21"/>
    </row>
    <row r="2226" spans="13:13" x14ac:dyDescent="0.25">
      <c r="M2226" s="21"/>
    </row>
    <row r="2227" spans="13:13" x14ac:dyDescent="0.25">
      <c r="M2227" s="21"/>
    </row>
    <row r="2228" spans="13:13" x14ac:dyDescent="0.25">
      <c r="M2228" s="21"/>
    </row>
    <row r="2229" spans="13:13" x14ac:dyDescent="0.25">
      <c r="M2229" s="21"/>
    </row>
    <row r="2230" spans="13:13" x14ac:dyDescent="0.25">
      <c r="M2230" s="21"/>
    </row>
    <row r="2231" spans="13:13" x14ac:dyDescent="0.25">
      <c r="M2231" s="21"/>
    </row>
    <row r="2232" spans="13:13" x14ac:dyDescent="0.25">
      <c r="M2232" s="21"/>
    </row>
    <row r="2233" spans="13:13" x14ac:dyDescent="0.25">
      <c r="M2233" s="21"/>
    </row>
    <row r="2234" spans="13:13" x14ac:dyDescent="0.25">
      <c r="M2234" s="21"/>
    </row>
    <row r="2235" spans="13:13" x14ac:dyDescent="0.25">
      <c r="M2235" s="21"/>
    </row>
    <row r="2236" spans="13:13" x14ac:dyDescent="0.25">
      <c r="M2236" s="21"/>
    </row>
    <row r="2237" spans="13:13" x14ac:dyDescent="0.25">
      <c r="M2237" s="21"/>
    </row>
    <row r="2238" spans="13:13" x14ac:dyDescent="0.25">
      <c r="M2238" s="21"/>
    </row>
    <row r="2239" spans="13:13" x14ac:dyDescent="0.25">
      <c r="M2239" s="21"/>
    </row>
    <row r="2240" spans="13:13" x14ac:dyDescent="0.25">
      <c r="M2240" s="21"/>
    </row>
    <row r="2241" spans="13:13" x14ac:dyDescent="0.25">
      <c r="M2241" s="21"/>
    </row>
    <row r="2242" spans="13:13" x14ac:dyDescent="0.25">
      <c r="M2242" s="21"/>
    </row>
    <row r="2243" spans="13:13" x14ac:dyDescent="0.25">
      <c r="M2243" s="21"/>
    </row>
    <row r="2244" spans="13:13" x14ac:dyDescent="0.25">
      <c r="M2244" s="21"/>
    </row>
    <row r="2245" spans="13:13" x14ac:dyDescent="0.25">
      <c r="M2245" s="21"/>
    </row>
    <row r="2246" spans="13:13" x14ac:dyDescent="0.25">
      <c r="M2246" s="21"/>
    </row>
    <row r="2247" spans="13:13" x14ac:dyDescent="0.25">
      <c r="M2247" s="21"/>
    </row>
    <row r="2248" spans="13:13" x14ac:dyDescent="0.25">
      <c r="M2248" s="21"/>
    </row>
    <row r="2249" spans="13:13" x14ac:dyDescent="0.25">
      <c r="M2249" s="21"/>
    </row>
    <row r="2250" spans="13:13" x14ac:dyDescent="0.25">
      <c r="M2250" s="21"/>
    </row>
    <row r="2251" spans="13:13" x14ac:dyDescent="0.25">
      <c r="M2251" s="21"/>
    </row>
    <row r="2252" spans="13:13" x14ac:dyDescent="0.25">
      <c r="M2252" s="21"/>
    </row>
    <row r="2253" spans="13:13" x14ac:dyDescent="0.25">
      <c r="M2253" s="21"/>
    </row>
    <row r="2254" spans="13:13" x14ac:dyDescent="0.25">
      <c r="M2254" s="21"/>
    </row>
    <row r="2255" spans="13:13" x14ac:dyDescent="0.25">
      <c r="M2255" s="21"/>
    </row>
    <row r="2256" spans="13:13" x14ac:dyDescent="0.25">
      <c r="M2256" s="21"/>
    </row>
    <row r="2257" spans="13:13" x14ac:dyDescent="0.25">
      <c r="M2257" s="21"/>
    </row>
    <row r="2258" spans="13:13" x14ac:dyDescent="0.25">
      <c r="M2258" s="21"/>
    </row>
    <row r="2259" spans="13:13" x14ac:dyDescent="0.25">
      <c r="M2259" s="21"/>
    </row>
    <row r="2260" spans="13:13" x14ac:dyDescent="0.25">
      <c r="M2260" s="21"/>
    </row>
    <row r="2261" spans="13:13" x14ac:dyDescent="0.25">
      <c r="M2261" s="21"/>
    </row>
    <row r="2262" spans="13:13" x14ac:dyDescent="0.25">
      <c r="M2262" s="21"/>
    </row>
    <row r="2263" spans="13:13" x14ac:dyDescent="0.25">
      <c r="M2263" s="21"/>
    </row>
    <row r="2264" spans="13:13" x14ac:dyDescent="0.25">
      <c r="M2264" s="21"/>
    </row>
    <row r="2265" spans="13:13" x14ac:dyDescent="0.25">
      <c r="M2265" s="21"/>
    </row>
    <row r="2266" spans="13:13" x14ac:dyDescent="0.25">
      <c r="M2266" s="21"/>
    </row>
    <row r="2267" spans="13:13" x14ac:dyDescent="0.25">
      <c r="M2267" s="21"/>
    </row>
    <row r="2268" spans="13:13" x14ac:dyDescent="0.25">
      <c r="M2268" s="21"/>
    </row>
    <row r="2269" spans="13:13" x14ac:dyDescent="0.25">
      <c r="M2269" s="21"/>
    </row>
    <row r="2270" spans="13:13" x14ac:dyDescent="0.25">
      <c r="M2270" s="21"/>
    </row>
    <row r="2271" spans="13:13" x14ac:dyDescent="0.25">
      <c r="M2271" s="21"/>
    </row>
    <row r="2272" spans="13:13" x14ac:dyDescent="0.25">
      <c r="M2272" s="21"/>
    </row>
    <row r="2273" spans="13:13" x14ac:dyDescent="0.25">
      <c r="M2273" s="21"/>
    </row>
    <row r="2274" spans="13:13" x14ac:dyDescent="0.25">
      <c r="M2274" s="21"/>
    </row>
    <row r="2275" spans="13:13" x14ac:dyDescent="0.25">
      <c r="M2275" s="21"/>
    </row>
    <row r="2276" spans="13:13" x14ac:dyDescent="0.25">
      <c r="M2276" s="21"/>
    </row>
    <row r="2277" spans="13:13" x14ac:dyDescent="0.25">
      <c r="M2277" s="21"/>
    </row>
    <row r="2278" spans="13:13" x14ac:dyDescent="0.25">
      <c r="M2278" s="21"/>
    </row>
    <row r="2279" spans="13:13" x14ac:dyDescent="0.25">
      <c r="M2279" s="21"/>
    </row>
    <row r="2280" spans="13:13" x14ac:dyDescent="0.25">
      <c r="M2280" s="21"/>
    </row>
    <row r="2281" spans="13:13" x14ac:dyDescent="0.25">
      <c r="M2281" s="21"/>
    </row>
    <row r="2282" spans="13:13" x14ac:dyDescent="0.25">
      <c r="M2282" s="21"/>
    </row>
    <row r="2283" spans="13:13" x14ac:dyDescent="0.25">
      <c r="M2283" s="21"/>
    </row>
    <row r="2284" spans="13:13" x14ac:dyDescent="0.25">
      <c r="M2284" s="21"/>
    </row>
    <row r="2285" spans="13:13" x14ac:dyDescent="0.25">
      <c r="M2285" s="21"/>
    </row>
    <row r="2286" spans="13:13" x14ac:dyDescent="0.25">
      <c r="M2286" s="21"/>
    </row>
    <row r="2287" spans="13:13" x14ac:dyDescent="0.25">
      <c r="M2287" s="21"/>
    </row>
    <row r="2288" spans="13:13" x14ac:dyDescent="0.25">
      <c r="M2288" s="21"/>
    </row>
    <row r="2289" spans="13:13" x14ac:dyDescent="0.25">
      <c r="M2289" s="21"/>
    </row>
    <row r="2290" spans="13:13" x14ac:dyDescent="0.25">
      <c r="M2290" s="21"/>
    </row>
    <row r="2291" spans="13:13" x14ac:dyDescent="0.25">
      <c r="M2291" s="21"/>
    </row>
    <row r="2292" spans="13:13" x14ac:dyDescent="0.25">
      <c r="M2292" s="21"/>
    </row>
    <row r="2293" spans="13:13" x14ac:dyDescent="0.25">
      <c r="M2293" s="21"/>
    </row>
    <row r="2294" spans="13:13" x14ac:dyDescent="0.25">
      <c r="M2294" s="21"/>
    </row>
    <row r="2295" spans="13:13" x14ac:dyDescent="0.25">
      <c r="M2295" s="21"/>
    </row>
    <row r="2296" spans="13:13" x14ac:dyDescent="0.25">
      <c r="M2296" s="21"/>
    </row>
    <row r="2297" spans="13:13" x14ac:dyDescent="0.25">
      <c r="M2297" s="21"/>
    </row>
    <row r="2298" spans="13:13" x14ac:dyDescent="0.25">
      <c r="M2298" s="21"/>
    </row>
    <row r="2299" spans="13:13" x14ac:dyDescent="0.25">
      <c r="M2299" s="21"/>
    </row>
    <row r="2300" spans="13:13" x14ac:dyDescent="0.25">
      <c r="M2300" s="21"/>
    </row>
    <row r="2301" spans="13:13" x14ac:dyDescent="0.25">
      <c r="M2301" s="21"/>
    </row>
    <row r="2302" spans="13:13" x14ac:dyDescent="0.25">
      <c r="M2302" s="21"/>
    </row>
    <row r="2303" spans="13:13" x14ac:dyDescent="0.25">
      <c r="M2303" s="21"/>
    </row>
    <row r="2304" spans="13:13" x14ac:dyDescent="0.25">
      <c r="M2304" s="21"/>
    </row>
    <row r="2305" spans="13:13" x14ac:dyDescent="0.25">
      <c r="M2305" s="21"/>
    </row>
    <row r="2306" spans="13:13" x14ac:dyDescent="0.25">
      <c r="M2306" s="21"/>
    </row>
    <row r="2307" spans="13:13" x14ac:dyDescent="0.25">
      <c r="M2307" s="21"/>
    </row>
    <row r="2308" spans="13:13" x14ac:dyDescent="0.25">
      <c r="M2308" s="21"/>
    </row>
    <row r="2309" spans="13:13" x14ac:dyDescent="0.25">
      <c r="M2309" s="21"/>
    </row>
    <row r="2310" spans="13:13" x14ac:dyDescent="0.25">
      <c r="M2310" s="21"/>
    </row>
    <row r="2311" spans="13:13" x14ac:dyDescent="0.25">
      <c r="M2311" s="21"/>
    </row>
    <row r="2312" spans="13:13" x14ac:dyDescent="0.25">
      <c r="M2312" s="21"/>
    </row>
    <row r="2313" spans="13:13" x14ac:dyDescent="0.25">
      <c r="M2313" s="21"/>
    </row>
    <row r="2314" spans="13:13" x14ac:dyDescent="0.25">
      <c r="M2314" s="21"/>
    </row>
    <row r="2315" spans="13:13" x14ac:dyDescent="0.25">
      <c r="M2315" s="21"/>
    </row>
    <row r="2316" spans="13:13" x14ac:dyDescent="0.25">
      <c r="M2316" s="21"/>
    </row>
    <row r="2317" spans="13:13" x14ac:dyDescent="0.25">
      <c r="M2317" s="21"/>
    </row>
    <row r="2318" spans="13:13" x14ac:dyDescent="0.25">
      <c r="M2318" s="21"/>
    </row>
    <row r="2319" spans="13:13" x14ac:dyDescent="0.25">
      <c r="M2319" s="21"/>
    </row>
    <row r="2320" spans="13:13" x14ac:dyDescent="0.25">
      <c r="M2320" s="21"/>
    </row>
    <row r="2321" spans="13:13" x14ac:dyDescent="0.25">
      <c r="M2321" s="21"/>
    </row>
    <row r="2322" spans="13:13" x14ac:dyDescent="0.25">
      <c r="M2322" s="21"/>
    </row>
    <row r="2323" spans="13:13" x14ac:dyDescent="0.25">
      <c r="M2323" s="21"/>
    </row>
    <row r="2324" spans="13:13" x14ac:dyDescent="0.25">
      <c r="M2324" s="21"/>
    </row>
    <row r="2325" spans="13:13" x14ac:dyDescent="0.25">
      <c r="M2325" s="21"/>
    </row>
    <row r="2326" spans="13:13" x14ac:dyDescent="0.25">
      <c r="M2326" s="21"/>
    </row>
    <row r="2327" spans="13:13" x14ac:dyDescent="0.25">
      <c r="M2327" s="21"/>
    </row>
    <row r="2328" spans="13:13" x14ac:dyDescent="0.25">
      <c r="M2328" s="21"/>
    </row>
    <row r="2329" spans="13:13" x14ac:dyDescent="0.25">
      <c r="M2329" s="21"/>
    </row>
    <row r="2330" spans="13:13" x14ac:dyDescent="0.25">
      <c r="M2330" s="21"/>
    </row>
    <row r="2331" spans="13:13" x14ac:dyDescent="0.25">
      <c r="M2331" s="21"/>
    </row>
    <row r="2332" spans="13:13" x14ac:dyDescent="0.25">
      <c r="M2332" s="21"/>
    </row>
    <row r="2333" spans="13:13" x14ac:dyDescent="0.25">
      <c r="M2333" s="21"/>
    </row>
    <row r="2334" spans="13:13" x14ac:dyDescent="0.25">
      <c r="M2334" s="21"/>
    </row>
    <row r="2335" spans="13:13" x14ac:dyDescent="0.25">
      <c r="M2335" s="21"/>
    </row>
    <row r="2336" spans="13:13" x14ac:dyDescent="0.25">
      <c r="M2336" s="21"/>
    </row>
    <row r="2337" spans="13:13" x14ac:dyDescent="0.25">
      <c r="M2337" s="21"/>
    </row>
    <row r="2338" spans="13:13" x14ac:dyDescent="0.25">
      <c r="M2338" s="21"/>
    </row>
    <row r="2339" spans="13:13" x14ac:dyDescent="0.25">
      <c r="M2339" s="21"/>
    </row>
    <row r="2340" spans="13:13" x14ac:dyDescent="0.25">
      <c r="M2340" s="21"/>
    </row>
    <row r="2341" spans="13:13" x14ac:dyDescent="0.25">
      <c r="M2341" s="21"/>
    </row>
    <row r="2342" spans="13:13" x14ac:dyDescent="0.25">
      <c r="M2342" s="21"/>
    </row>
    <row r="2343" spans="13:13" x14ac:dyDescent="0.25">
      <c r="M2343" s="21"/>
    </row>
    <row r="2344" spans="13:13" x14ac:dyDescent="0.25">
      <c r="M2344" s="21"/>
    </row>
    <row r="2345" spans="13:13" x14ac:dyDescent="0.25">
      <c r="M2345" s="21"/>
    </row>
    <row r="2346" spans="13:13" x14ac:dyDescent="0.25">
      <c r="M2346" s="21"/>
    </row>
    <row r="2347" spans="13:13" x14ac:dyDescent="0.25">
      <c r="M2347" s="21"/>
    </row>
    <row r="2348" spans="13:13" x14ac:dyDescent="0.25">
      <c r="M2348" s="21"/>
    </row>
    <row r="2349" spans="13:13" x14ac:dyDescent="0.25">
      <c r="M2349" s="21"/>
    </row>
    <row r="2350" spans="13:13" x14ac:dyDescent="0.25">
      <c r="M2350" s="21"/>
    </row>
    <row r="2351" spans="13:13" x14ac:dyDescent="0.25">
      <c r="M2351" s="21"/>
    </row>
    <row r="2352" spans="13:13" x14ac:dyDescent="0.25">
      <c r="M2352" s="21"/>
    </row>
    <row r="2353" spans="13:13" x14ac:dyDescent="0.25">
      <c r="M2353" s="21"/>
    </row>
    <row r="2354" spans="13:13" x14ac:dyDescent="0.25">
      <c r="M2354" s="21"/>
    </row>
    <row r="2355" spans="13:13" x14ac:dyDescent="0.25">
      <c r="M2355" s="21"/>
    </row>
    <row r="2356" spans="13:13" x14ac:dyDescent="0.25">
      <c r="M2356" s="21"/>
    </row>
    <row r="2357" spans="13:13" x14ac:dyDescent="0.25">
      <c r="M2357" s="21"/>
    </row>
    <row r="2358" spans="13:13" x14ac:dyDescent="0.25">
      <c r="M2358" s="21"/>
    </row>
    <row r="2359" spans="13:13" x14ac:dyDescent="0.25">
      <c r="M2359" s="21"/>
    </row>
    <row r="2360" spans="13:13" x14ac:dyDescent="0.25">
      <c r="M2360" s="21"/>
    </row>
    <row r="2361" spans="13:13" x14ac:dyDescent="0.25">
      <c r="M2361" s="21"/>
    </row>
    <row r="2362" spans="13:13" x14ac:dyDescent="0.25">
      <c r="M2362" s="21"/>
    </row>
    <row r="2363" spans="13:13" x14ac:dyDescent="0.25">
      <c r="M2363" s="21"/>
    </row>
    <row r="2364" spans="13:13" x14ac:dyDescent="0.25">
      <c r="M2364" s="21"/>
    </row>
    <row r="2365" spans="13:13" x14ac:dyDescent="0.25">
      <c r="M2365" s="21"/>
    </row>
    <row r="2366" spans="13:13" x14ac:dyDescent="0.25">
      <c r="M2366" s="21"/>
    </row>
    <row r="2367" spans="13:13" x14ac:dyDescent="0.25">
      <c r="M2367" s="21"/>
    </row>
    <row r="2368" spans="13:13" x14ac:dyDescent="0.25">
      <c r="M2368" s="21"/>
    </row>
    <row r="2369" spans="13:13" x14ac:dyDescent="0.25">
      <c r="M2369" s="21"/>
    </row>
    <row r="2370" spans="13:13" x14ac:dyDescent="0.25">
      <c r="M2370" s="21"/>
    </row>
    <row r="2371" spans="13:13" x14ac:dyDescent="0.25">
      <c r="M2371" s="21"/>
    </row>
    <row r="2372" spans="13:13" x14ac:dyDescent="0.25">
      <c r="M2372" s="21"/>
    </row>
    <row r="2373" spans="13:13" x14ac:dyDescent="0.25">
      <c r="M2373" s="21"/>
    </row>
    <row r="2374" spans="13:13" x14ac:dyDescent="0.25">
      <c r="M2374" s="21"/>
    </row>
    <row r="2375" spans="13:13" x14ac:dyDescent="0.25">
      <c r="M2375" s="21"/>
    </row>
    <row r="2376" spans="13:13" x14ac:dyDescent="0.25">
      <c r="M2376" s="21"/>
    </row>
    <row r="2377" spans="13:13" x14ac:dyDescent="0.25">
      <c r="M2377" s="21"/>
    </row>
    <row r="2378" spans="13:13" x14ac:dyDescent="0.25">
      <c r="M2378" s="21"/>
    </row>
    <row r="2379" spans="13:13" x14ac:dyDescent="0.25">
      <c r="M2379" s="21"/>
    </row>
    <row r="2380" spans="13:13" x14ac:dyDescent="0.25">
      <c r="M2380" s="21"/>
    </row>
    <row r="2381" spans="13:13" x14ac:dyDescent="0.25">
      <c r="M2381" s="21"/>
    </row>
    <row r="2382" spans="13:13" x14ac:dyDescent="0.25">
      <c r="M2382" s="21"/>
    </row>
    <row r="2383" spans="13:13" x14ac:dyDescent="0.25">
      <c r="M2383" s="21"/>
    </row>
    <row r="2384" spans="13:13" x14ac:dyDescent="0.25">
      <c r="M2384" s="21"/>
    </row>
    <row r="2385" spans="13:13" x14ac:dyDescent="0.25">
      <c r="M2385" s="21"/>
    </row>
    <row r="2386" spans="13:13" x14ac:dyDescent="0.25">
      <c r="M2386" s="21"/>
    </row>
    <row r="2387" spans="13:13" x14ac:dyDescent="0.25">
      <c r="M2387" s="21"/>
    </row>
    <row r="2388" spans="13:13" x14ac:dyDescent="0.25">
      <c r="M2388" s="21"/>
    </row>
    <row r="2389" spans="13:13" x14ac:dyDescent="0.25">
      <c r="M2389" s="21"/>
    </row>
    <row r="2390" spans="13:13" x14ac:dyDescent="0.25">
      <c r="M2390" s="21"/>
    </row>
    <row r="2391" spans="13:13" x14ac:dyDescent="0.25">
      <c r="M2391" s="21"/>
    </row>
    <row r="2392" spans="13:13" x14ac:dyDescent="0.25">
      <c r="M2392" s="21"/>
    </row>
    <row r="2393" spans="13:13" x14ac:dyDescent="0.25">
      <c r="M2393" s="21"/>
    </row>
    <row r="2394" spans="13:13" x14ac:dyDescent="0.25">
      <c r="M2394" s="21"/>
    </row>
    <row r="2395" spans="13:13" x14ac:dyDescent="0.25">
      <c r="M2395" s="21"/>
    </row>
    <row r="2396" spans="13:13" x14ac:dyDescent="0.25">
      <c r="M2396" s="21"/>
    </row>
    <row r="2397" spans="13:13" x14ac:dyDescent="0.25">
      <c r="M2397" s="21"/>
    </row>
    <row r="2398" spans="13:13" x14ac:dyDescent="0.25">
      <c r="M2398" s="21"/>
    </row>
    <row r="2399" spans="13:13" x14ac:dyDescent="0.25">
      <c r="M2399" s="21"/>
    </row>
    <row r="2400" spans="13:13" x14ac:dyDescent="0.25">
      <c r="M2400" s="21"/>
    </row>
    <row r="2401" spans="13:13" x14ac:dyDescent="0.25">
      <c r="M2401" s="21"/>
    </row>
    <row r="2402" spans="13:13" x14ac:dyDescent="0.25">
      <c r="M2402" s="21"/>
    </row>
    <row r="2403" spans="13:13" x14ac:dyDescent="0.25">
      <c r="M2403" s="21"/>
    </row>
    <row r="2404" spans="13:13" x14ac:dyDescent="0.25">
      <c r="M2404" s="21"/>
    </row>
    <row r="2405" spans="13:13" x14ac:dyDescent="0.25">
      <c r="M2405" s="21"/>
    </row>
    <row r="2406" spans="13:13" x14ac:dyDescent="0.25">
      <c r="M2406" s="21"/>
    </row>
    <row r="2407" spans="13:13" x14ac:dyDescent="0.25">
      <c r="M2407" s="21"/>
    </row>
    <row r="2408" spans="13:13" x14ac:dyDescent="0.25">
      <c r="M2408" s="21"/>
    </row>
    <row r="2409" spans="13:13" x14ac:dyDescent="0.25">
      <c r="M2409" s="21"/>
    </row>
    <row r="2410" spans="13:13" x14ac:dyDescent="0.25">
      <c r="M2410" s="21"/>
    </row>
    <row r="2411" spans="13:13" x14ac:dyDescent="0.25">
      <c r="M2411" s="21"/>
    </row>
    <row r="2412" spans="13:13" x14ac:dyDescent="0.25">
      <c r="M2412" s="21"/>
    </row>
    <row r="2413" spans="13:13" x14ac:dyDescent="0.25">
      <c r="M2413" s="21"/>
    </row>
    <row r="2414" spans="13:13" x14ac:dyDescent="0.25">
      <c r="M2414" s="21"/>
    </row>
    <row r="2415" spans="13:13" x14ac:dyDescent="0.25">
      <c r="M2415" s="21"/>
    </row>
    <row r="2416" spans="13:13" x14ac:dyDescent="0.25">
      <c r="M2416" s="21"/>
    </row>
    <row r="2417" spans="13:13" x14ac:dyDescent="0.25">
      <c r="M2417" s="21"/>
    </row>
    <row r="2418" spans="13:13" x14ac:dyDescent="0.25">
      <c r="M2418" s="21"/>
    </row>
    <row r="2419" spans="13:13" x14ac:dyDescent="0.25">
      <c r="M2419" s="21"/>
    </row>
    <row r="2420" spans="13:13" x14ac:dyDescent="0.25">
      <c r="M2420" s="21"/>
    </row>
    <row r="2421" spans="13:13" x14ac:dyDescent="0.25">
      <c r="M2421" s="21"/>
    </row>
    <row r="2422" spans="13:13" x14ac:dyDescent="0.25">
      <c r="M2422" s="21"/>
    </row>
    <row r="2423" spans="13:13" x14ac:dyDescent="0.25">
      <c r="M2423" s="21"/>
    </row>
    <row r="2424" spans="13:13" x14ac:dyDescent="0.25">
      <c r="M2424" s="21"/>
    </row>
    <row r="2425" spans="13:13" x14ac:dyDescent="0.25">
      <c r="M2425" s="21"/>
    </row>
    <row r="2426" spans="13:13" x14ac:dyDescent="0.25">
      <c r="M2426" s="21"/>
    </row>
    <row r="2427" spans="13:13" x14ac:dyDescent="0.25">
      <c r="M2427" s="21"/>
    </row>
    <row r="2428" spans="13:13" x14ac:dyDescent="0.25">
      <c r="M2428" s="21"/>
    </row>
    <row r="2429" spans="13:13" x14ac:dyDescent="0.25">
      <c r="M2429" s="21"/>
    </row>
    <row r="2430" spans="13:13" x14ac:dyDescent="0.25">
      <c r="M2430" s="21"/>
    </row>
    <row r="2431" spans="13:13" x14ac:dyDescent="0.25">
      <c r="M2431" s="21"/>
    </row>
    <row r="2432" spans="13:13" x14ac:dyDescent="0.25">
      <c r="M2432" s="21"/>
    </row>
    <row r="2433" spans="13:13" x14ac:dyDescent="0.25">
      <c r="M2433" s="21"/>
    </row>
    <row r="2434" spans="13:13" x14ac:dyDescent="0.25">
      <c r="M2434" s="21"/>
    </row>
    <row r="2435" spans="13:13" x14ac:dyDescent="0.25">
      <c r="M2435" s="21"/>
    </row>
    <row r="2436" spans="13:13" x14ac:dyDescent="0.25">
      <c r="M2436" s="21"/>
    </row>
    <row r="2437" spans="13:13" x14ac:dyDescent="0.25">
      <c r="M2437" s="21"/>
    </row>
    <row r="2438" spans="13:13" x14ac:dyDescent="0.25">
      <c r="M2438" s="21"/>
    </row>
    <row r="2439" spans="13:13" x14ac:dyDescent="0.25">
      <c r="M2439" s="21"/>
    </row>
    <row r="2440" spans="13:13" x14ac:dyDescent="0.25">
      <c r="M2440" s="21"/>
    </row>
    <row r="2441" spans="13:13" x14ac:dyDescent="0.25">
      <c r="M2441" s="21"/>
    </row>
    <row r="2442" spans="13:13" x14ac:dyDescent="0.25">
      <c r="M2442" s="21"/>
    </row>
    <row r="2443" spans="13:13" x14ac:dyDescent="0.25">
      <c r="M2443" s="21"/>
    </row>
    <row r="2444" spans="13:13" x14ac:dyDescent="0.25">
      <c r="M2444" s="21"/>
    </row>
    <row r="2445" spans="13:13" x14ac:dyDescent="0.25">
      <c r="M2445" s="21"/>
    </row>
    <row r="2446" spans="13:13" x14ac:dyDescent="0.25">
      <c r="M2446" s="21"/>
    </row>
    <row r="2447" spans="13:13" x14ac:dyDescent="0.25">
      <c r="M2447" s="21"/>
    </row>
    <row r="2448" spans="13:13" x14ac:dyDescent="0.25">
      <c r="M2448" s="21"/>
    </row>
    <row r="2449" spans="13:13" x14ac:dyDescent="0.25">
      <c r="M2449" s="21"/>
    </row>
    <row r="2450" spans="13:13" x14ac:dyDescent="0.25">
      <c r="M2450" s="21"/>
    </row>
    <row r="2451" spans="13:13" x14ac:dyDescent="0.25">
      <c r="M2451" s="21"/>
    </row>
    <row r="2452" spans="13:13" x14ac:dyDescent="0.25">
      <c r="M2452" s="21"/>
    </row>
    <row r="2453" spans="13:13" x14ac:dyDescent="0.25">
      <c r="M2453" s="21"/>
    </row>
    <row r="2454" spans="13:13" x14ac:dyDescent="0.25">
      <c r="M2454" s="21"/>
    </row>
    <row r="2455" spans="13:13" x14ac:dyDescent="0.25">
      <c r="M2455" s="21"/>
    </row>
    <row r="2456" spans="13:13" x14ac:dyDescent="0.25">
      <c r="M2456" s="21"/>
    </row>
    <row r="2457" spans="13:13" x14ac:dyDescent="0.25">
      <c r="M2457" s="21"/>
    </row>
    <row r="2458" spans="13:13" x14ac:dyDescent="0.25">
      <c r="M2458" s="21"/>
    </row>
    <row r="2459" spans="13:13" x14ac:dyDescent="0.25">
      <c r="M2459" s="21"/>
    </row>
    <row r="2460" spans="13:13" x14ac:dyDescent="0.25">
      <c r="M2460" s="21"/>
    </row>
    <row r="2461" spans="13:13" x14ac:dyDescent="0.25">
      <c r="M2461" s="21"/>
    </row>
    <row r="2462" spans="13:13" x14ac:dyDescent="0.25">
      <c r="M2462" s="21"/>
    </row>
    <row r="2463" spans="13:13" x14ac:dyDescent="0.25">
      <c r="M2463" s="21"/>
    </row>
    <row r="2464" spans="13:13" x14ac:dyDescent="0.25">
      <c r="M2464" s="21"/>
    </row>
    <row r="2465" spans="13:13" x14ac:dyDescent="0.25">
      <c r="M2465" s="21"/>
    </row>
    <row r="2466" spans="13:13" x14ac:dyDescent="0.25">
      <c r="M2466" s="21"/>
    </row>
    <row r="2467" spans="13:13" x14ac:dyDescent="0.25">
      <c r="M2467" s="21"/>
    </row>
    <row r="2468" spans="13:13" x14ac:dyDescent="0.25">
      <c r="M2468" s="21"/>
    </row>
    <row r="2469" spans="13:13" x14ac:dyDescent="0.25">
      <c r="M2469" s="21"/>
    </row>
    <row r="2470" spans="13:13" x14ac:dyDescent="0.25">
      <c r="M2470" s="21"/>
    </row>
    <row r="2471" spans="13:13" x14ac:dyDescent="0.25">
      <c r="M2471" s="21"/>
    </row>
    <row r="2472" spans="13:13" x14ac:dyDescent="0.25">
      <c r="M2472" s="21"/>
    </row>
    <row r="2473" spans="13:13" x14ac:dyDescent="0.25">
      <c r="M2473" s="21"/>
    </row>
    <row r="2474" spans="13:13" x14ac:dyDescent="0.25">
      <c r="M2474" s="21"/>
    </row>
    <row r="2475" spans="13:13" x14ac:dyDescent="0.25">
      <c r="M2475" s="21"/>
    </row>
    <row r="2476" spans="13:13" x14ac:dyDescent="0.25">
      <c r="M2476" s="21"/>
    </row>
    <row r="2477" spans="13:13" x14ac:dyDescent="0.25">
      <c r="M2477" s="21"/>
    </row>
    <row r="2478" spans="13:13" x14ac:dyDescent="0.25">
      <c r="M2478" s="21"/>
    </row>
    <row r="2479" spans="13:13" x14ac:dyDescent="0.25">
      <c r="M2479" s="21"/>
    </row>
    <row r="2480" spans="13:13" x14ac:dyDescent="0.25">
      <c r="M2480" s="21"/>
    </row>
    <row r="2481" spans="13:13" x14ac:dyDescent="0.25">
      <c r="M2481" s="21"/>
    </row>
    <row r="2482" spans="13:13" x14ac:dyDescent="0.25">
      <c r="M2482" s="21"/>
    </row>
    <row r="2483" spans="13:13" x14ac:dyDescent="0.25">
      <c r="M2483" s="21"/>
    </row>
    <row r="2484" spans="13:13" x14ac:dyDescent="0.25">
      <c r="M2484" s="21"/>
    </row>
    <row r="2485" spans="13:13" x14ac:dyDescent="0.25">
      <c r="M2485" s="21"/>
    </row>
    <row r="2486" spans="13:13" x14ac:dyDescent="0.25">
      <c r="M2486" s="21"/>
    </row>
    <row r="2487" spans="13:13" x14ac:dyDescent="0.25">
      <c r="M2487" s="21"/>
    </row>
    <row r="2488" spans="13:13" x14ac:dyDescent="0.25">
      <c r="M2488" s="21"/>
    </row>
    <row r="2489" spans="13:13" x14ac:dyDescent="0.25">
      <c r="M2489" s="21"/>
    </row>
    <row r="2490" spans="13:13" x14ac:dyDescent="0.25">
      <c r="M2490" s="21"/>
    </row>
    <row r="2491" spans="13:13" x14ac:dyDescent="0.25">
      <c r="M2491" s="21"/>
    </row>
    <row r="2492" spans="13:13" x14ac:dyDescent="0.25">
      <c r="M2492" s="21"/>
    </row>
    <row r="2493" spans="13:13" x14ac:dyDescent="0.25">
      <c r="M2493" s="21"/>
    </row>
    <row r="2494" spans="13:13" x14ac:dyDescent="0.25">
      <c r="M2494" s="21"/>
    </row>
    <row r="2495" spans="13:13" x14ac:dyDescent="0.25">
      <c r="M2495" s="21"/>
    </row>
    <row r="2496" spans="13:13" x14ac:dyDescent="0.25">
      <c r="M2496" s="21"/>
    </row>
    <row r="2497" spans="13:13" x14ac:dyDescent="0.25">
      <c r="M2497" s="21"/>
    </row>
    <row r="2498" spans="13:13" x14ac:dyDescent="0.25">
      <c r="M2498" s="21"/>
    </row>
    <row r="2499" spans="13:13" x14ac:dyDescent="0.25">
      <c r="M2499" s="21"/>
    </row>
    <row r="2500" spans="13:13" x14ac:dyDescent="0.25">
      <c r="M2500" s="21"/>
    </row>
    <row r="2501" spans="13:13" x14ac:dyDescent="0.25">
      <c r="M2501" s="21"/>
    </row>
    <row r="2502" spans="13:13" x14ac:dyDescent="0.25">
      <c r="M2502" s="21"/>
    </row>
    <row r="2503" spans="13:13" x14ac:dyDescent="0.25">
      <c r="M2503" s="21"/>
    </row>
    <row r="2504" spans="13:13" x14ac:dyDescent="0.25">
      <c r="M2504" s="21"/>
    </row>
    <row r="2505" spans="13:13" x14ac:dyDescent="0.25">
      <c r="M2505" s="21"/>
    </row>
    <row r="2506" spans="13:13" x14ac:dyDescent="0.25">
      <c r="M2506" s="21"/>
    </row>
    <row r="2507" spans="13:13" x14ac:dyDescent="0.25">
      <c r="M2507" s="21"/>
    </row>
    <row r="2508" spans="13:13" x14ac:dyDescent="0.25">
      <c r="M2508" s="21"/>
    </row>
    <row r="2509" spans="13:13" x14ac:dyDescent="0.25">
      <c r="M2509" s="21"/>
    </row>
    <row r="2510" spans="13:13" x14ac:dyDescent="0.25">
      <c r="M2510" s="21"/>
    </row>
    <row r="2511" spans="13:13" x14ac:dyDescent="0.25">
      <c r="M2511" s="21"/>
    </row>
    <row r="2512" spans="13:13" x14ac:dyDescent="0.25">
      <c r="M2512" s="21"/>
    </row>
    <row r="2513" spans="13:13" x14ac:dyDescent="0.25">
      <c r="M2513" s="21"/>
    </row>
    <row r="2514" spans="13:13" x14ac:dyDescent="0.25">
      <c r="M2514" s="21"/>
    </row>
    <row r="2515" spans="13:13" x14ac:dyDescent="0.25">
      <c r="M2515" s="21"/>
    </row>
    <row r="2516" spans="13:13" x14ac:dyDescent="0.25">
      <c r="M2516" s="21"/>
    </row>
    <row r="2517" spans="13:13" x14ac:dyDescent="0.25">
      <c r="M2517" s="21"/>
    </row>
    <row r="2518" spans="13:13" x14ac:dyDescent="0.25">
      <c r="M2518" s="21"/>
    </row>
    <row r="2519" spans="13:13" x14ac:dyDescent="0.25">
      <c r="M2519" s="21"/>
    </row>
    <row r="2520" spans="13:13" x14ac:dyDescent="0.25">
      <c r="M2520" s="21"/>
    </row>
    <row r="2521" spans="13:13" x14ac:dyDescent="0.25">
      <c r="M2521" s="21"/>
    </row>
    <row r="2522" spans="13:13" x14ac:dyDescent="0.25">
      <c r="M2522" s="21"/>
    </row>
    <row r="2523" spans="13:13" x14ac:dyDescent="0.25">
      <c r="M2523" s="21"/>
    </row>
    <row r="2524" spans="13:13" x14ac:dyDescent="0.25">
      <c r="M2524" s="21"/>
    </row>
    <row r="2525" spans="13:13" x14ac:dyDescent="0.25">
      <c r="M2525" s="21"/>
    </row>
    <row r="2526" spans="13:13" x14ac:dyDescent="0.25">
      <c r="M2526" s="21"/>
    </row>
    <row r="2527" spans="13:13" x14ac:dyDescent="0.25">
      <c r="M2527" s="21"/>
    </row>
    <row r="2528" spans="13:13" x14ac:dyDescent="0.25">
      <c r="M2528" s="21"/>
    </row>
    <row r="2529" spans="13:13" x14ac:dyDescent="0.25">
      <c r="M2529" s="21"/>
    </row>
    <row r="2530" spans="13:13" x14ac:dyDescent="0.25">
      <c r="M2530" s="21"/>
    </row>
    <row r="2531" spans="13:13" x14ac:dyDescent="0.25">
      <c r="M2531" s="21"/>
    </row>
    <row r="2532" spans="13:13" x14ac:dyDescent="0.25">
      <c r="M2532" s="21"/>
    </row>
    <row r="2533" spans="13:13" x14ac:dyDescent="0.25">
      <c r="M2533" s="21"/>
    </row>
    <row r="2534" spans="13:13" x14ac:dyDescent="0.25">
      <c r="M2534" s="21"/>
    </row>
    <row r="2535" spans="13:13" x14ac:dyDescent="0.25">
      <c r="M2535" s="21"/>
    </row>
    <row r="2536" spans="13:13" x14ac:dyDescent="0.25">
      <c r="M2536" s="21"/>
    </row>
    <row r="2537" spans="13:13" x14ac:dyDescent="0.25">
      <c r="M2537" s="21"/>
    </row>
    <row r="2538" spans="13:13" x14ac:dyDescent="0.25">
      <c r="M2538" s="21"/>
    </row>
    <row r="2539" spans="13:13" x14ac:dyDescent="0.25">
      <c r="M2539" s="21"/>
    </row>
    <row r="2540" spans="13:13" x14ac:dyDescent="0.25">
      <c r="M2540" s="21"/>
    </row>
    <row r="2541" spans="13:13" x14ac:dyDescent="0.25">
      <c r="M2541" s="21"/>
    </row>
    <row r="2542" spans="13:13" x14ac:dyDescent="0.25">
      <c r="M2542" s="21"/>
    </row>
    <row r="2543" spans="13:13" x14ac:dyDescent="0.25">
      <c r="M2543" s="21"/>
    </row>
    <row r="2544" spans="13:13" x14ac:dyDescent="0.25">
      <c r="M2544" s="21"/>
    </row>
    <row r="2545" spans="13:13" x14ac:dyDescent="0.25">
      <c r="M2545" s="21"/>
    </row>
    <row r="2546" spans="13:13" x14ac:dyDescent="0.25">
      <c r="M2546" s="21"/>
    </row>
    <row r="2547" spans="13:13" x14ac:dyDescent="0.25">
      <c r="M2547" s="21"/>
    </row>
    <row r="2548" spans="13:13" x14ac:dyDescent="0.25">
      <c r="M2548" s="21"/>
    </row>
    <row r="2549" spans="13:13" x14ac:dyDescent="0.25">
      <c r="M2549" s="21"/>
    </row>
    <row r="2550" spans="13:13" x14ac:dyDescent="0.25">
      <c r="M2550" s="21"/>
    </row>
    <row r="2551" spans="13:13" x14ac:dyDescent="0.25">
      <c r="M2551" s="21"/>
    </row>
    <row r="2552" spans="13:13" x14ac:dyDescent="0.25">
      <c r="M2552" s="21"/>
    </row>
    <row r="2553" spans="13:13" x14ac:dyDescent="0.25">
      <c r="M2553" s="21"/>
    </row>
    <row r="2554" spans="13:13" x14ac:dyDescent="0.25">
      <c r="M2554" s="21"/>
    </row>
    <row r="2555" spans="13:13" x14ac:dyDescent="0.25">
      <c r="M2555" s="21"/>
    </row>
    <row r="2556" spans="13:13" x14ac:dyDescent="0.25">
      <c r="M2556" s="21"/>
    </row>
    <row r="2557" spans="13:13" x14ac:dyDescent="0.25">
      <c r="M2557" s="21"/>
    </row>
    <row r="2558" spans="13:13" x14ac:dyDescent="0.25">
      <c r="M2558" s="21"/>
    </row>
    <row r="2559" spans="13:13" x14ac:dyDescent="0.25">
      <c r="M2559" s="21"/>
    </row>
    <row r="2560" spans="13:13" x14ac:dyDescent="0.25">
      <c r="M2560" s="21"/>
    </row>
    <row r="2561" spans="13:13" x14ac:dyDescent="0.25">
      <c r="M2561" s="21"/>
    </row>
    <row r="2562" spans="13:13" x14ac:dyDescent="0.25">
      <c r="M2562" s="21"/>
    </row>
    <row r="2563" spans="13:13" x14ac:dyDescent="0.25">
      <c r="M2563" s="21"/>
    </row>
    <row r="2564" spans="13:13" x14ac:dyDescent="0.25">
      <c r="M2564" s="21"/>
    </row>
    <row r="2565" spans="13:13" x14ac:dyDescent="0.25">
      <c r="M2565" s="21"/>
    </row>
    <row r="2566" spans="13:13" x14ac:dyDescent="0.25">
      <c r="M2566" s="21"/>
    </row>
    <row r="2567" spans="13:13" x14ac:dyDescent="0.25">
      <c r="M2567" s="21"/>
    </row>
    <row r="2568" spans="13:13" x14ac:dyDescent="0.25">
      <c r="M2568" s="21"/>
    </row>
    <row r="2569" spans="13:13" x14ac:dyDescent="0.25">
      <c r="M2569" s="21"/>
    </row>
    <row r="2570" spans="13:13" x14ac:dyDescent="0.25">
      <c r="M2570" s="21"/>
    </row>
    <row r="2571" spans="13:13" x14ac:dyDescent="0.25">
      <c r="M2571" s="21"/>
    </row>
    <row r="2572" spans="13:13" x14ac:dyDescent="0.25">
      <c r="M2572" s="21"/>
    </row>
    <row r="2573" spans="13:13" x14ac:dyDescent="0.25">
      <c r="M2573" s="21"/>
    </row>
    <row r="2574" spans="13:13" x14ac:dyDescent="0.25">
      <c r="M2574" s="21"/>
    </row>
    <row r="2575" spans="13:13" x14ac:dyDescent="0.25">
      <c r="M2575" s="21"/>
    </row>
    <row r="2576" spans="13:13" x14ac:dyDescent="0.25">
      <c r="M2576" s="21"/>
    </row>
    <row r="2577" spans="13:13" x14ac:dyDescent="0.25">
      <c r="M2577" s="21"/>
    </row>
    <row r="2578" spans="13:13" x14ac:dyDescent="0.25">
      <c r="M2578" s="21"/>
    </row>
    <row r="2579" spans="13:13" x14ac:dyDescent="0.25">
      <c r="M2579" s="21"/>
    </row>
    <row r="2580" spans="13:13" x14ac:dyDescent="0.25">
      <c r="M2580" s="21"/>
    </row>
    <row r="2581" spans="13:13" x14ac:dyDescent="0.25">
      <c r="M2581" s="21"/>
    </row>
    <row r="2582" spans="13:13" x14ac:dyDescent="0.25">
      <c r="M2582" s="21"/>
    </row>
    <row r="2583" spans="13:13" x14ac:dyDescent="0.25">
      <c r="M2583" s="21"/>
    </row>
    <row r="2584" spans="13:13" x14ac:dyDescent="0.25">
      <c r="M2584" s="21"/>
    </row>
    <row r="2585" spans="13:13" x14ac:dyDescent="0.25">
      <c r="M2585" s="21"/>
    </row>
    <row r="2586" spans="13:13" x14ac:dyDescent="0.25">
      <c r="M2586" s="21"/>
    </row>
    <row r="2587" spans="13:13" x14ac:dyDescent="0.25">
      <c r="M2587" s="21"/>
    </row>
    <row r="2588" spans="13:13" x14ac:dyDescent="0.25">
      <c r="M2588" s="21"/>
    </row>
    <row r="2589" spans="13:13" x14ac:dyDescent="0.25">
      <c r="M2589" s="21"/>
    </row>
    <row r="2590" spans="13:13" x14ac:dyDescent="0.25">
      <c r="M2590" s="21"/>
    </row>
    <row r="2591" spans="13:13" x14ac:dyDescent="0.25">
      <c r="M2591" s="21"/>
    </row>
    <row r="2592" spans="13:13" x14ac:dyDescent="0.25">
      <c r="M2592" s="21"/>
    </row>
    <row r="2593" spans="13:13" x14ac:dyDescent="0.25">
      <c r="M2593" s="21"/>
    </row>
    <row r="2594" spans="13:13" x14ac:dyDescent="0.25">
      <c r="M2594" s="21"/>
    </row>
    <row r="2595" spans="13:13" x14ac:dyDescent="0.25">
      <c r="M2595" s="21"/>
    </row>
    <row r="2596" spans="13:13" x14ac:dyDescent="0.25">
      <c r="M2596" s="21"/>
    </row>
    <row r="2597" spans="13:13" x14ac:dyDescent="0.25">
      <c r="M2597" s="21"/>
    </row>
    <row r="2598" spans="13:13" x14ac:dyDescent="0.25">
      <c r="M2598" s="21"/>
    </row>
    <row r="2599" spans="13:13" x14ac:dyDescent="0.25">
      <c r="M2599" s="21"/>
    </row>
    <row r="2600" spans="13:13" x14ac:dyDescent="0.25">
      <c r="M2600" s="21"/>
    </row>
    <row r="2601" spans="13:13" x14ac:dyDescent="0.25">
      <c r="M2601" s="21"/>
    </row>
    <row r="2602" spans="13:13" x14ac:dyDescent="0.25">
      <c r="M2602" s="21"/>
    </row>
    <row r="2603" spans="13:13" x14ac:dyDescent="0.25">
      <c r="M2603" s="21"/>
    </row>
    <row r="2604" spans="13:13" x14ac:dyDescent="0.25">
      <c r="M2604" s="21"/>
    </row>
    <row r="2605" spans="13:13" x14ac:dyDescent="0.25">
      <c r="M2605" s="21"/>
    </row>
    <row r="2606" spans="13:13" x14ac:dyDescent="0.25">
      <c r="M2606" s="21"/>
    </row>
    <row r="2607" spans="13:13" x14ac:dyDescent="0.25">
      <c r="M2607" s="21"/>
    </row>
    <row r="2608" spans="13:13" x14ac:dyDescent="0.25">
      <c r="M2608" s="21"/>
    </row>
    <row r="2609" spans="13:13" x14ac:dyDescent="0.25">
      <c r="M2609" s="21"/>
    </row>
    <row r="2610" spans="13:13" x14ac:dyDescent="0.25">
      <c r="M2610" s="21"/>
    </row>
    <row r="2611" spans="13:13" x14ac:dyDescent="0.25">
      <c r="M2611" s="21"/>
    </row>
    <row r="2612" spans="13:13" x14ac:dyDescent="0.25">
      <c r="M2612" s="21"/>
    </row>
    <row r="2613" spans="13:13" x14ac:dyDescent="0.25">
      <c r="M2613" s="21"/>
    </row>
    <row r="2614" spans="13:13" x14ac:dyDescent="0.25">
      <c r="M2614" s="21"/>
    </row>
    <row r="2615" spans="13:13" x14ac:dyDescent="0.25">
      <c r="M2615" s="21"/>
    </row>
    <row r="2616" spans="13:13" x14ac:dyDescent="0.25">
      <c r="M2616" s="21"/>
    </row>
    <row r="2617" spans="13:13" x14ac:dyDescent="0.25">
      <c r="M2617" s="21"/>
    </row>
    <row r="2618" spans="13:13" x14ac:dyDescent="0.25">
      <c r="M2618" s="21"/>
    </row>
    <row r="2619" spans="13:13" x14ac:dyDescent="0.25">
      <c r="M2619" s="21"/>
    </row>
    <row r="2620" spans="13:13" x14ac:dyDescent="0.25">
      <c r="M2620" s="21"/>
    </row>
    <row r="2621" spans="13:13" x14ac:dyDescent="0.25">
      <c r="M2621" s="21"/>
    </row>
    <row r="2622" spans="13:13" x14ac:dyDescent="0.25">
      <c r="M2622" s="21"/>
    </row>
    <row r="2623" spans="13:13" x14ac:dyDescent="0.25">
      <c r="M2623" s="21"/>
    </row>
    <row r="2624" spans="13:13" x14ac:dyDescent="0.25">
      <c r="M2624" s="21"/>
    </row>
    <row r="2625" spans="13:13" x14ac:dyDescent="0.25">
      <c r="M2625" s="21"/>
    </row>
    <row r="2626" spans="13:13" x14ac:dyDescent="0.25">
      <c r="M2626" s="21"/>
    </row>
    <row r="2627" spans="13:13" x14ac:dyDescent="0.25">
      <c r="M2627" s="21"/>
    </row>
    <row r="2628" spans="13:13" x14ac:dyDescent="0.25">
      <c r="M2628" s="21"/>
    </row>
    <row r="2629" spans="13:13" x14ac:dyDescent="0.25">
      <c r="M2629" s="21"/>
    </row>
    <row r="2630" spans="13:13" x14ac:dyDescent="0.25">
      <c r="M2630" s="21"/>
    </row>
    <row r="2631" spans="13:13" x14ac:dyDescent="0.25">
      <c r="M2631" s="21"/>
    </row>
    <row r="2632" spans="13:13" x14ac:dyDescent="0.25">
      <c r="M2632" s="21"/>
    </row>
    <row r="2633" spans="13:13" x14ac:dyDescent="0.25">
      <c r="M2633" s="21"/>
    </row>
    <row r="2634" spans="13:13" x14ac:dyDescent="0.25">
      <c r="M2634" s="21"/>
    </row>
    <row r="2635" spans="13:13" x14ac:dyDescent="0.25">
      <c r="M2635" s="21"/>
    </row>
    <row r="2636" spans="13:13" x14ac:dyDescent="0.25">
      <c r="M2636" s="21"/>
    </row>
    <row r="2637" spans="13:13" x14ac:dyDescent="0.25">
      <c r="M2637" s="21"/>
    </row>
    <row r="2638" spans="13:13" x14ac:dyDescent="0.25">
      <c r="M2638" s="21"/>
    </row>
    <row r="2639" spans="13:13" x14ac:dyDescent="0.25">
      <c r="M2639" s="21"/>
    </row>
    <row r="2640" spans="13:13" x14ac:dyDescent="0.25">
      <c r="M2640" s="21"/>
    </row>
    <row r="2641" spans="13:13" x14ac:dyDescent="0.25">
      <c r="M2641" s="21"/>
    </row>
    <row r="2642" spans="13:13" x14ac:dyDescent="0.25">
      <c r="M2642" s="21"/>
    </row>
    <row r="2643" spans="13:13" x14ac:dyDescent="0.25">
      <c r="M2643" s="21"/>
    </row>
    <row r="2644" spans="13:13" x14ac:dyDescent="0.25">
      <c r="M2644" s="21"/>
    </row>
    <row r="2645" spans="13:13" x14ac:dyDescent="0.25">
      <c r="M2645" s="21"/>
    </row>
    <row r="2646" spans="13:13" x14ac:dyDescent="0.25">
      <c r="M2646" s="21"/>
    </row>
    <row r="2647" spans="13:13" x14ac:dyDescent="0.25">
      <c r="M2647" s="21"/>
    </row>
    <row r="2648" spans="13:13" x14ac:dyDescent="0.25">
      <c r="M2648" s="21"/>
    </row>
    <row r="2649" spans="13:13" x14ac:dyDescent="0.25">
      <c r="M2649" s="21"/>
    </row>
    <row r="2650" spans="13:13" x14ac:dyDescent="0.25">
      <c r="M2650" s="21"/>
    </row>
    <row r="2651" spans="13:13" x14ac:dyDescent="0.25">
      <c r="M2651" s="21"/>
    </row>
    <row r="2652" spans="13:13" x14ac:dyDescent="0.25">
      <c r="M2652" s="21"/>
    </row>
    <row r="2653" spans="13:13" x14ac:dyDescent="0.25">
      <c r="M2653" s="21"/>
    </row>
    <row r="2654" spans="13:13" x14ac:dyDescent="0.25">
      <c r="M2654" s="21"/>
    </row>
    <row r="2655" spans="13:13" x14ac:dyDescent="0.25">
      <c r="M2655" s="21"/>
    </row>
    <row r="2656" spans="13:13" x14ac:dyDescent="0.25">
      <c r="M2656" s="21"/>
    </row>
    <row r="2657" spans="13:13" x14ac:dyDescent="0.25">
      <c r="M2657" s="21"/>
    </row>
    <row r="2658" spans="13:13" x14ac:dyDescent="0.25">
      <c r="M2658" s="21"/>
    </row>
    <row r="2659" spans="13:13" x14ac:dyDescent="0.25">
      <c r="M2659" s="21"/>
    </row>
    <row r="2660" spans="13:13" x14ac:dyDescent="0.25">
      <c r="M2660" s="21"/>
    </row>
    <row r="2661" spans="13:13" x14ac:dyDescent="0.25">
      <c r="M2661" s="21"/>
    </row>
    <row r="2662" spans="13:13" x14ac:dyDescent="0.25">
      <c r="M2662" s="21"/>
    </row>
    <row r="2663" spans="13:13" x14ac:dyDescent="0.25">
      <c r="M2663" s="21"/>
    </row>
    <row r="2664" spans="13:13" x14ac:dyDescent="0.25">
      <c r="M2664" s="21"/>
    </row>
    <row r="2665" spans="13:13" x14ac:dyDescent="0.25">
      <c r="M2665" s="21"/>
    </row>
    <row r="2666" spans="13:13" x14ac:dyDescent="0.25">
      <c r="M2666" s="21"/>
    </row>
    <row r="2667" spans="13:13" x14ac:dyDescent="0.25">
      <c r="M2667" s="21"/>
    </row>
    <row r="2668" spans="13:13" x14ac:dyDescent="0.25">
      <c r="M2668" s="21"/>
    </row>
    <row r="2669" spans="13:13" x14ac:dyDescent="0.25">
      <c r="M2669" s="21"/>
    </row>
    <row r="2670" spans="13:13" x14ac:dyDescent="0.25">
      <c r="M2670" s="21"/>
    </row>
    <row r="2671" spans="13:13" x14ac:dyDescent="0.25">
      <c r="M2671" s="21"/>
    </row>
    <row r="2672" spans="13:13" x14ac:dyDescent="0.25">
      <c r="M2672" s="21"/>
    </row>
    <row r="2673" spans="13:13" x14ac:dyDescent="0.25">
      <c r="M2673" s="21"/>
    </row>
    <row r="2674" spans="13:13" x14ac:dyDescent="0.25">
      <c r="M2674" s="21"/>
    </row>
    <row r="2675" spans="13:13" x14ac:dyDescent="0.25">
      <c r="M2675" s="21"/>
    </row>
    <row r="2676" spans="13:13" x14ac:dyDescent="0.25">
      <c r="M2676" s="21"/>
    </row>
    <row r="2677" spans="13:13" x14ac:dyDescent="0.25">
      <c r="M2677" s="21"/>
    </row>
    <row r="2678" spans="13:13" x14ac:dyDescent="0.25">
      <c r="M2678" s="21"/>
    </row>
    <row r="2679" spans="13:13" x14ac:dyDescent="0.25">
      <c r="M2679" s="21"/>
    </row>
    <row r="2680" spans="13:13" x14ac:dyDescent="0.25">
      <c r="M2680" s="21"/>
    </row>
    <row r="2681" spans="13:13" x14ac:dyDescent="0.25">
      <c r="M2681" s="21"/>
    </row>
    <row r="2682" spans="13:13" x14ac:dyDescent="0.25">
      <c r="M2682" s="21"/>
    </row>
    <row r="2683" spans="13:13" x14ac:dyDescent="0.25">
      <c r="M2683" s="21"/>
    </row>
    <row r="2684" spans="13:13" x14ac:dyDescent="0.25">
      <c r="M2684" s="21"/>
    </row>
    <row r="2685" spans="13:13" x14ac:dyDescent="0.25">
      <c r="M2685" s="21"/>
    </row>
    <row r="2686" spans="13:13" x14ac:dyDescent="0.25">
      <c r="M2686" s="21"/>
    </row>
    <row r="2687" spans="13:13" x14ac:dyDescent="0.25">
      <c r="M2687" s="21"/>
    </row>
    <row r="2688" spans="13:13" x14ac:dyDescent="0.25">
      <c r="M2688" s="21"/>
    </row>
    <row r="2689" spans="13:13" x14ac:dyDescent="0.25">
      <c r="M2689" s="21"/>
    </row>
    <row r="2690" spans="13:13" x14ac:dyDescent="0.25">
      <c r="M2690" s="21"/>
    </row>
    <row r="2691" spans="13:13" x14ac:dyDescent="0.25">
      <c r="M2691" s="21"/>
    </row>
    <row r="2692" spans="13:13" x14ac:dyDescent="0.25">
      <c r="M2692" s="21"/>
    </row>
    <row r="2693" spans="13:13" x14ac:dyDescent="0.25">
      <c r="M2693" s="21"/>
    </row>
    <row r="2694" spans="13:13" x14ac:dyDescent="0.25">
      <c r="M2694" s="21"/>
    </row>
    <row r="2695" spans="13:13" x14ac:dyDescent="0.25">
      <c r="M2695" s="21"/>
    </row>
    <row r="2696" spans="13:13" x14ac:dyDescent="0.25">
      <c r="M2696" s="21"/>
    </row>
    <row r="2697" spans="13:13" x14ac:dyDescent="0.25">
      <c r="M2697" s="21"/>
    </row>
    <row r="2698" spans="13:13" x14ac:dyDescent="0.25">
      <c r="M2698" s="21"/>
    </row>
    <row r="2699" spans="13:13" x14ac:dyDescent="0.25">
      <c r="M2699" s="21"/>
    </row>
    <row r="2700" spans="13:13" x14ac:dyDescent="0.25">
      <c r="M2700" s="21"/>
    </row>
    <row r="2701" spans="13:13" x14ac:dyDescent="0.25">
      <c r="M2701" s="21"/>
    </row>
    <row r="2702" spans="13:13" x14ac:dyDescent="0.25">
      <c r="M2702" s="21"/>
    </row>
    <row r="2703" spans="13:13" x14ac:dyDescent="0.25">
      <c r="M2703" s="21"/>
    </row>
    <row r="2704" spans="13:13" x14ac:dyDescent="0.25">
      <c r="M2704" s="21"/>
    </row>
    <row r="2705" spans="13:13" x14ac:dyDescent="0.25">
      <c r="M2705" s="21"/>
    </row>
    <row r="2706" spans="13:13" x14ac:dyDescent="0.25">
      <c r="M2706" s="21"/>
    </row>
    <row r="2707" spans="13:13" x14ac:dyDescent="0.25">
      <c r="M2707" s="21"/>
    </row>
    <row r="2708" spans="13:13" x14ac:dyDescent="0.25">
      <c r="M2708" s="21"/>
    </row>
    <row r="2709" spans="13:13" x14ac:dyDescent="0.25">
      <c r="M2709" s="21"/>
    </row>
    <row r="2710" spans="13:13" x14ac:dyDescent="0.25">
      <c r="M2710" s="21"/>
    </row>
    <row r="2711" spans="13:13" x14ac:dyDescent="0.25">
      <c r="M2711" s="21"/>
    </row>
    <row r="2712" spans="13:13" x14ac:dyDescent="0.25">
      <c r="M2712" s="21"/>
    </row>
    <row r="2713" spans="13:13" x14ac:dyDescent="0.25">
      <c r="M2713" s="21"/>
    </row>
    <row r="2714" spans="13:13" x14ac:dyDescent="0.25">
      <c r="M2714" s="21"/>
    </row>
    <row r="2715" spans="13:13" x14ac:dyDescent="0.25">
      <c r="M2715" s="21"/>
    </row>
    <row r="2716" spans="13:13" x14ac:dyDescent="0.25">
      <c r="M2716" s="21"/>
    </row>
    <row r="2717" spans="13:13" x14ac:dyDescent="0.25">
      <c r="M2717" s="21"/>
    </row>
    <row r="2718" spans="13:13" x14ac:dyDescent="0.25">
      <c r="M2718" s="21"/>
    </row>
    <row r="2719" spans="13:13" x14ac:dyDescent="0.25">
      <c r="M2719" s="21"/>
    </row>
    <row r="2720" spans="13:13" x14ac:dyDescent="0.25">
      <c r="M2720" s="21"/>
    </row>
    <row r="2721" spans="13:13" x14ac:dyDescent="0.25">
      <c r="M2721" s="21"/>
    </row>
    <row r="2722" spans="13:13" x14ac:dyDescent="0.25">
      <c r="M2722" s="21"/>
    </row>
    <row r="2723" spans="13:13" x14ac:dyDescent="0.25">
      <c r="M2723" s="21"/>
    </row>
    <row r="2724" spans="13:13" x14ac:dyDescent="0.25">
      <c r="M2724" s="21"/>
    </row>
    <row r="2725" spans="13:13" x14ac:dyDescent="0.25">
      <c r="M2725" s="21"/>
    </row>
    <row r="2726" spans="13:13" x14ac:dyDescent="0.25">
      <c r="M2726" s="21"/>
    </row>
    <row r="2727" spans="13:13" x14ac:dyDescent="0.25">
      <c r="M2727" s="21"/>
    </row>
    <row r="2728" spans="13:13" x14ac:dyDescent="0.25">
      <c r="M2728" s="21"/>
    </row>
    <row r="2729" spans="13:13" x14ac:dyDescent="0.25">
      <c r="M2729" s="21"/>
    </row>
    <row r="2730" spans="13:13" x14ac:dyDescent="0.25">
      <c r="M2730" s="21"/>
    </row>
    <row r="2731" spans="13:13" x14ac:dyDescent="0.25">
      <c r="M2731" s="21"/>
    </row>
    <row r="2732" spans="13:13" x14ac:dyDescent="0.25">
      <c r="M2732" s="21"/>
    </row>
    <row r="2733" spans="13:13" x14ac:dyDescent="0.25">
      <c r="M2733" s="21"/>
    </row>
    <row r="2734" spans="13:13" x14ac:dyDescent="0.25">
      <c r="M2734" s="21"/>
    </row>
    <row r="2735" spans="13:13" x14ac:dyDescent="0.25">
      <c r="M2735" s="21"/>
    </row>
    <row r="2736" spans="13:13" x14ac:dyDescent="0.25">
      <c r="M2736" s="21"/>
    </row>
    <row r="2737" spans="13:13" x14ac:dyDescent="0.25">
      <c r="M2737" s="21"/>
    </row>
    <row r="2738" spans="13:13" x14ac:dyDescent="0.25">
      <c r="M2738" s="21"/>
    </row>
    <row r="2739" spans="13:13" x14ac:dyDescent="0.25">
      <c r="M2739" s="21"/>
    </row>
    <row r="2740" spans="13:13" x14ac:dyDescent="0.25">
      <c r="M2740" s="21"/>
    </row>
    <row r="2741" spans="13:13" x14ac:dyDescent="0.25">
      <c r="M2741" s="21"/>
    </row>
    <row r="2742" spans="13:13" x14ac:dyDescent="0.25">
      <c r="M2742" s="21"/>
    </row>
    <row r="2743" spans="13:13" x14ac:dyDescent="0.25">
      <c r="M2743" s="21"/>
    </row>
    <row r="2744" spans="13:13" x14ac:dyDescent="0.25">
      <c r="M2744" s="21"/>
    </row>
    <row r="2745" spans="13:13" x14ac:dyDescent="0.25">
      <c r="M2745" s="21"/>
    </row>
    <row r="2746" spans="13:13" x14ac:dyDescent="0.25">
      <c r="M2746" s="21"/>
    </row>
    <row r="2747" spans="13:13" x14ac:dyDescent="0.25">
      <c r="M2747" s="21"/>
    </row>
    <row r="2748" spans="13:13" x14ac:dyDescent="0.25">
      <c r="M2748" s="21"/>
    </row>
    <row r="2749" spans="13:13" x14ac:dyDescent="0.25">
      <c r="M2749" s="21"/>
    </row>
    <row r="2750" spans="13:13" x14ac:dyDescent="0.25">
      <c r="M2750" s="21"/>
    </row>
    <row r="2751" spans="13:13" x14ac:dyDescent="0.25">
      <c r="M2751" s="21"/>
    </row>
    <row r="2752" spans="13:13" x14ac:dyDescent="0.25">
      <c r="M2752" s="21"/>
    </row>
    <row r="2753" spans="13:13" x14ac:dyDescent="0.25">
      <c r="M2753" s="21"/>
    </row>
    <row r="2754" spans="13:13" x14ac:dyDescent="0.25">
      <c r="M2754" s="21"/>
    </row>
    <row r="2755" spans="13:13" x14ac:dyDescent="0.25">
      <c r="M2755" s="21"/>
    </row>
    <row r="2756" spans="13:13" x14ac:dyDescent="0.25">
      <c r="M2756" s="21"/>
    </row>
    <row r="2757" spans="13:13" x14ac:dyDescent="0.25">
      <c r="M2757" s="21"/>
    </row>
    <row r="2758" spans="13:13" x14ac:dyDescent="0.25">
      <c r="M2758" s="21"/>
    </row>
    <row r="2759" spans="13:13" x14ac:dyDescent="0.25">
      <c r="M2759" s="21"/>
    </row>
    <row r="2760" spans="13:13" x14ac:dyDescent="0.25">
      <c r="M2760" s="21"/>
    </row>
    <row r="2761" spans="13:13" x14ac:dyDescent="0.25">
      <c r="M2761" s="21"/>
    </row>
    <row r="2762" spans="13:13" x14ac:dyDescent="0.25">
      <c r="M2762" s="21"/>
    </row>
    <row r="2763" spans="13:13" x14ac:dyDescent="0.25">
      <c r="M2763" s="21"/>
    </row>
    <row r="2764" spans="13:13" x14ac:dyDescent="0.25">
      <c r="M2764" s="21"/>
    </row>
    <row r="2765" spans="13:13" x14ac:dyDescent="0.25">
      <c r="M2765" s="21"/>
    </row>
    <row r="2766" spans="13:13" x14ac:dyDescent="0.25">
      <c r="M2766" s="21"/>
    </row>
    <row r="2767" spans="13:13" x14ac:dyDescent="0.25">
      <c r="M2767" s="21"/>
    </row>
    <row r="2768" spans="13:13" x14ac:dyDescent="0.25">
      <c r="M2768" s="21"/>
    </row>
    <row r="2769" spans="13:13" x14ac:dyDescent="0.25">
      <c r="M2769" s="21"/>
    </row>
    <row r="2770" spans="13:13" x14ac:dyDescent="0.25">
      <c r="M2770" s="21"/>
    </row>
    <row r="2771" spans="13:13" x14ac:dyDescent="0.25">
      <c r="M2771" s="21"/>
    </row>
    <row r="2772" spans="13:13" x14ac:dyDescent="0.25">
      <c r="M2772" s="21"/>
    </row>
    <row r="2773" spans="13:13" x14ac:dyDescent="0.25">
      <c r="M2773" s="21"/>
    </row>
    <row r="2774" spans="13:13" x14ac:dyDescent="0.25">
      <c r="M2774" s="21"/>
    </row>
    <row r="2775" spans="13:13" x14ac:dyDescent="0.25">
      <c r="M2775" s="21"/>
    </row>
    <row r="2776" spans="13:13" x14ac:dyDescent="0.25">
      <c r="M2776" s="21"/>
    </row>
    <row r="2777" spans="13:13" x14ac:dyDescent="0.25">
      <c r="M2777" s="21"/>
    </row>
    <row r="2778" spans="13:13" x14ac:dyDescent="0.25">
      <c r="M2778" s="21"/>
    </row>
    <row r="2779" spans="13:13" x14ac:dyDescent="0.25">
      <c r="M2779" s="21"/>
    </row>
    <row r="2780" spans="13:13" x14ac:dyDescent="0.25">
      <c r="M2780" s="21"/>
    </row>
    <row r="2781" spans="13:13" x14ac:dyDescent="0.25">
      <c r="M2781" s="21"/>
    </row>
    <row r="2782" spans="13:13" x14ac:dyDescent="0.25">
      <c r="M2782" s="21"/>
    </row>
    <row r="2783" spans="13:13" x14ac:dyDescent="0.25">
      <c r="M2783" s="21"/>
    </row>
    <row r="2784" spans="13:13" x14ac:dyDescent="0.25">
      <c r="M2784" s="21"/>
    </row>
    <row r="2785" spans="13:13" x14ac:dyDescent="0.25">
      <c r="M2785" s="21"/>
    </row>
    <row r="2786" spans="13:13" x14ac:dyDescent="0.25">
      <c r="M2786" s="21"/>
    </row>
    <row r="2787" spans="13:13" x14ac:dyDescent="0.25">
      <c r="M2787" s="21"/>
    </row>
    <row r="2788" spans="13:13" x14ac:dyDescent="0.25">
      <c r="M2788" s="21"/>
    </row>
    <row r="2789" spans="13:13" x14ac:dyDescent="0.25">
      <c r="M2789" s="21"/>
    </row>
    <row r="2790" spans="13:13" x14ac:dyDescent="0.25">
      <c r="M2790" s="21"/>
    </row>
    <row r="2791" spans="13:13" x14ac:dyDescent="0.25">
      <c r="M2791" s="21"/>
    </row>
    <row r="2792" spans="13:13" x14ac:dyDescent="0.25">
      <c r="M2792" s="21"/>
    </row>
    <row r="2793" spans="13:13" x14ac:dyDescent="0.25">
      <c r="M2793" s="21"/>
    </row>
    <row r="2794" spans="13:13" x14ac:dyDescent="0.25">
      <c r="M2794" s="21"/>
    </row>
    <row r="2795" spans="13:13" x14ac:dyDescent="0.25">
      <c r="M2795" s="21"/>
    </row>
    <row r="2796" spans="13:13" x14ac:dyDescent="0.25">
      <c r="M2796" s="21"/>
    </row>
    <row r="2797" spans="13:13" x14ac:dyDescent="0.25">
      <c r="M2797" s="21"/>
    </row>
    <row r="2798" spans="13:13" x14ac:dyDescent="0.25">
      <c r="M2798" s="21"/>
    </row>
    <row r="2799" spans="13:13" x14ac:dyDescent="0.25">
      <c r="M2799" s="21"/>
    </row>
    <row r="2800" spans="13:13" x14ac:dyDescent="0.25">
      <c r="M2800" s="21"/>
    </row>
    <row r="2801" spans="13:13" x14ac:dyDescent="0.25">
      <c r="M2801" s="21"/>
    </row>
    <row r="2802" spans="13:13" x14ac:dyDescent="0.25">
      <c r="M2802" s="21"/>
    </row>
    <row r="2803" spans="13:13" x14ac:dyDescent="0.25">
      <c r="M2803" s="21"/>
    </row>
    <row r="2804" spans="13:13" x14ac:dyDescent="0.25">
      <c r="M2804" s="21"/>
    </row>
    <row r="2805" spans="13:13" x14ac:dyDescent="0.25">
      <c r="M2805" s="21"/>
    </row>
    <row r="2806" spans="13:13" x14ac:dyDescent="0.25">
      <c r="M2806" s="21"/>
    </row>
    <row r="2807" spans="13:13" x14ac:dyDescent="0.25">
      <c r="M2807" s="21"/>
    </row>
    <row r="2808" spans="13:13" x14ac:dyDescent="0.25">
      <c r="M2808" s="21"/>
    </row>
    <row r="2809" spans="13:13" x14ac:dyDescent="0.25">
      <c r="M2809" s="21"/>
    </row>
    <row r="2810" spans="13:13" x14ac:dyDescent="0.25">
      <c r="M2810" s="21"/>
    </row>
    <row r="2811" spans="13:13" x14ac:dyDescent="0.25">
      <c r="M2811" s="21"/>
    </row>
    <row r="2812" spans="13:13" x14ac:dyDescent="0.25">
      <c r="M2812" s="21"/>
    </row>
    <row r="2813" spans="13:13" x14ac:dyDescent="0.25">
      <c r="M2813" s="21"/>
    </row>
    <row r="2814" spans="13:13" x14ac:dyDescent="0.25">
      <c r="M2814" s="21"/>
    </row>
    <row r="2815" spans="13:13" x14ac:dyDescent="0.25">
      <c r="M2815" s="21"/>
    </row>
    <row r="2816" spans="13:13" x14ac:dyDescent="0.25">
      <c r="M2816" s="21"/>
    </row>
    <row r="2817" spans="13:13" x14ac:dyDescent="0.25">
      <c r="M2817" s="21"/>
    </row>
    <row r="2818" spans="13:13" x14ac:dyDescent="0.25">
      <c r="M2818" s="21"/>
    </row>
    <row r="2819" spans="13:13" x14ac:dyDescent="0.25">
      <c r="M2819" s="21"/>
    </row>
    <row r="2820" spans="13:13" x14ac:dyDescent="0.25">
      <c r="M2820" s="21"/>
    </row>
    <row r="2821" spans="13:13" x14ac:dyDescent="0.25">
      <c r="M2821" s="21"/>
    </row>
    <row r="2822" spans="13:13" x14ac:dyDescent="0.25">
      <c r="M2822" s="21"/>
    </row>
    <row r="2823" spans="13:13" x14ac:dyDescent="0.25">
      <c r="M2823" s="21"/>
    </row>
    <row r="2824" spans="13:13" x14ac:dyDescent="0.25">
      <c r="M2824" s="21"/>
    </row>
    <row r="2825" spans="13:13" x14ac:dyDescent="0.25">
      <c r="M2825" s="21"/>
    </row>
    <row r="2826" spans="13:13" x14ac:dyDescent="0.25">
      <c r="M2826" s="21"/>
    </row>
    <row r="2827" spans="13:13" x14ac:dyDescent="0.25">
      <c r="M2827" s="21"/>
    </row>
    <row r="2828" spans="13:13" x14ac:dyDescent="0.25">
      <c r="M2828" s="21"/>
    </row>
    <row r="2829" spans="13:13" x14ac:dyDescent="0.25">
      <c r="M2829" s="21"/>
    </row>
    <row r="2830" spans="13:13" x14ac:dyDescent="0.25">
      <c r="M2830" s="21"/>
    </row>
    <row r="2831" spans="13:13" x14ac:dyDescent="0.25">
      <c r="M2831" s="21"/>
    </row>
    <row r="2832" spans="13:13" x14ac:dyDescent="0.25">
      <c r="M2832" s="21"/>
    </row>
    <row r="2833" spans="13:13" x14ac:dyDescent="0.25">
      <c r="M2833" s="21"/>
    </row>
    <row r="2834" spans="13:13" x14ac:dyDescent="0.25">
      <c r="M2834" s="21"/>
    </row>
    <row r="2835" spans="13:13" x14ac:dyDescent="0.25">
      <c r="M2835" s="21"/>
    </row>
    <row r="2836" spans="13:13" x14ac:dyDescent="0.25">
      <c r="M2836" s="21"/>
    </row>
    <row r="2837" spans="13:13" x14ac:dyDescent="0.25">
      <c r="M2837" s="21"/>
    </row>
    <row r="2838" spans="13:13" x14ac:dyDescent="0.25">
      <c r="M2838" s="21"/>
    </row>
    <row r="2839" spans="13:13" x14ac:dyDescent="0.25">
      <c r="M2839" s="21"/>
    </row>
    <row r="2840" spans="13:13" x14ac:dyDescent="0.25">
      <c r="M2840" s="21"/>
    </row>
    <row r="2841" spans="13:13" x14ac:dyDescent="0.25">
      <c r="M2841" s="21"/>
    </row>
    <row r="2842" spans="13:13" x14ac:dyDescent="0.25">
      <c r="M2842" s="21"/>
    </row>
    <row r="2843" spans="13:13" x14ac:dyDescent="0.25">
      <c r="M2843" s="21"/>
    </row>
    <row r="2844" spans="13:13" x14ac:dyDescent="0.25">
      <c r="M2844" s="21"/>
    </row>
    <row r="2845" spans="13:13" x14ac:dyDescent="0.25">
      <c r="M2845" s="21"/>
    </row>
    <row r="2846" spans="13:13" x14ac:dyDescent="0.25">
      <c r="M2846" s="21"/>
    </row>
    <row r="2847" spans="13:13" x14ac:dyDescent="0.25">
      <c r="M2847" s="21"/>
    </row>
    <row r="2848" spans="13:13" x14ac:dyDescent="0.25">
      <c r="M2848" s="21"/>
    </row>
    <row r="2849" spans="13:13" x14ac:dyDescent="0.25">
      <c r="M2849" s="21"/>
    </row>
    <row r="2850" spans="13:13" x14ac:dyDescent="0.25">
      <c r="M2850" s="21"/>
    </row>
    <row r="2851" spans="13:13" x14ac:dyDescent="0.25">
      <c r="M2851" s="21"/>
    </row>
    <row r="2852" spans="13:13" x14ac:dyDescent="0.25">
      <c r="M2852" s="21"/>
    </row>
    <row r="2853" spans="13:13" x14ac:dyDescent="0.25">
      <c r="M2853" s="21"/>
    </row>
    <row r="2854" spans="13:13" x14ac:dyDescent="0.25">
      <c r="M2854" s="21"/>
    </row>
    <row r="2855" spans="13:13" x14ac:dyDescent="0.25">
      <c r="M2855" s="21"/>
    </row>
    <row r="2856" spans="13:13" x14ac:dyDescent="0.25">
      <c r="M2856" s="21"/>
    </row>
    <row r="2857" spans="13:13" x14ac:dyDescent="0.25">
      <c r="M2857" s="21"/>
    </row>
    <row r="2858" spans="13:13" x14ac:dyDescent="0.25">
      <c r="M2858" s="21"/>
    </row>
    <row r="2859" spans="13:13" x14ac:dyDescent="0.25">
      <c r="M2859" s="21"/>
    </row>
    <row r="2860" spans="13:13" x14ac:dyDescent="0.25">
      <c r="M2860" s="21"/>
    </row>
    <row r="2861" spans="13:13" x14ac:dyDescent="0.25">
      <c r="M2861" s="21"/>
    </row>
    <row r="2862" spans="13:13" x14ac:dyDescent="0.25">
      <c r="M2862" s="21"/>
    </row>
    <row r="2863" spans="13:13" x14ac:dyDescent="0.25">
      <c r="M2863" s="21"/>
    </row>
    <row r="2864" spans="13:13" x14ac:dyDescent="0.25">
      <c r="M2864" s="21"/>
    </row>
    <row r="2865" spans="13:13" x14ac:dyDescent="0.25">
      <c r="M2865" s="21"/>
    </row>
    <row r="2866" spans="13:13" x14ac:dyDescent="0.25">
      <c r="M2866" s="21"/>
    </row>
    <row r="2867" spans="13:13" x14ac:dyDescent="0.25">
      <c r="M2867" s="21"/>
    </row>
    <row r="2868" spans="13:13" x14ac:dyDescent="0.25">
      <c r="M2868" s="21"/>
    </row>
    <row r="2869" spans="13:13" x14ac:dyDescent="0.25">
      <c r="M2869" s="21"/>
    </row>
    <row r="2870" spans="13:13" x14ac:dyDescent="0.25">
      <c r="M2870" s="21"/>
    </row>
    <row r="2871" spans="13:13" x14ac:dyDescent="0.25">
      <c r="M2871" s="21"/>
    </row>
    <row r="2872" spans="13:13" x14ac:dyDescent="0.25">
      <c r="M2872" s="21"/>
    </row>
    <row r="2873" spans="13:13" x14ac:dyDescent="0.25">
      <c r="M2873" s="21"/>
    </row>
    <row r="2874" spans="13:13" x14ac:dyDescent="0.25">
      <c r="M2874" s="21"/>
    </row>
    <row r="2875" spans="13:13" x14ac:dyDescent="0.25">
      <c r="M2875" s="21"/>
    </row>
    <row r="2876" spans="13:13" x14ac:dyDescent="0.25">
      <c r="M2876" s="21"/>
    </row>
    <row r="2877" spans="13:13" x14ac:dyDescent="0.25">
      <c r="M2877" s="21"/>
    </row>
    <row r="2878" spans="13:13" x14ac:dyDescent="0.25">
      <c r="M2878" s="21"/>
    </row>
    <row r="2879" spans="13:13" x14ac:dyDescent="0.25">
      <c r="M2879" s="21"/>
    </row>
    <row r="2880" spans="13:13" x14ac:dyDescent="0.25">
      <c r="M2880" s="21"/>
    </row>
    <row r="2881" spans="13:13" x14ac:dyDescent="0.25">
      <c r="M2881" s="21"/>
    </row>
    <row r="2882" spans="13:13" x14ac:dyDescent="0.25">
      <c r="M2882" s="21"/>
    </row>
    <row r="2883" spans="13:13" x14ac:dyDescent="0.25">
      <c r="M2883" s="21"/>
    </row>
    <row r="2884" spans="13:13" x14ac:dyDescent="0.25">
      <c r="M2884" s="21"/>
    </row>
    <row r="2885" spans="13:13" x14ac:dyDescent="0.25">
      <c r="M2885" s="21"/>
    </row>
    <row r="2886" spans="13:13" x14ac:dyDescent="0.25">
      <c r="M2886" s="21"/>
    </row>
    <row r="2887" spans="13:13" x14ac:dyDescent="0.25">
      <c r="M2887" s="21"/>
    </row>
    <row r="2888" spans="13:13" x14ac:dyDescent="0.25">
      <c r="M2888" s="21"/>
    </row>
    <row r="2889" spans="13:13" x14ac:dyDescent="0.25">
      <c r="M2889" s="21"/>
    </row>
    <row r="2890" spans="13:13" x14ac:dyDescent="0.25">
      <c r="M2890" s="21"/>
    </row>
    <row r="2891" spans="13:13" x14ac:dyDescent="0.25">
      <c r="M2891" s="21"/>
    </row>
    <row r="2892" spans="13:13" x14ac:dyDescent="0.25">
      <c r="M2892" s="21"/>
    </row>
    <row r="2893" spans="13:13" x14ac:dyDescent="0.25">
      <c r="M2893" s="21"/>
    </row>
    <row r="2894" spans="13:13" x14ac:dyDescent="0.25">
      <c r="M2894" s="21"/>
    </row>
    <row r="2895" spans="13:13" x14ac:dyDescent="0.25">
      <c r="M2895" s="21"/>
    </row>
    <row r="2896" spans="13:13" x14ac:dyDescent="0.25">
      <c r="M2896" s="21"/>
    </row>
    <row r="2897" spans="13:13" x14ac:dyDescent="0.25">
      <c r="M2897" s="21"/>
    </row>
    <row r="2898" spans="13:13" x14ac:dyDescent="0.25">
      <c r="M2898" s="21"/>
    </row>
    <row r="2899" spans="13:13" x14ac:dyDescent="0.25">
      <c r="M2899" s="21"/>
    </row>
    <row r="2900" spans="13:13" x14ac:dyDescent="0.25">
      <c r="M2900" s="21"/>
    </row>
    <row r="2901" spans="13:13" x14ac:dyDescent="0.25">
      <c r="M2901" s="21"/>
    </row>
    <row r="2902" spans="13:13" x14ac:dyDescent="0.25">
      <c r="M2902" s="21"/>
    </row>
    <row r="2903" spans="13:13" x14ac:dyDescent="0.25">
      <c r="M2903" s="21"/>
    </row>
    <row r="2904" spans="13:13" x14ac:dyDescent="0.25">
      <c r="M2904" s="21"/>
    </row>
    <row r="2905" spans="13:13" x14ac:dyDescent="0.25">
      <c r="M2905" s="21"/>
    </row>
    <row r="2906" spans="13:13" x14ac:dyDescent="0.25">
      <c r="M2906" s="21"/>
    </row>
    <row r="2907" spans="13:13" x14ac:dyDescent="0.25">
      <c r="M2907" s="21"/>
    </row>
    <row r="2908" spans="13:13" x14ac:dyDescent="0.25">
      <c r="M2908" s="21"/>
    </row>
    <row r="2909" spans="13:13" x14ac:dyDescent="0.25">
      <c r="M2909" s="21"/>
    </row>
    <row r="2910" spans="13:13" x14ac:dyDescent="0.25">
      <c r="M2910" s="21"/>
    </row>
    <row r="2911" spans="13:13" x14ac:dyDescent="0.25">
      <c r="M2911" s="21"/>
    </row>
    <row r="2912" spans="13:13" x14ac:dyDescent="0.25">
      <c r="M2912" s="21"/>
    </row>
    <row r="2913" spans="13:13" x14ac:dyDescent="0.25">
      <c r="M2913" s="21"/>
    </row>
    <row r="2914" spans="13:13" x14ac:dyDescent="0.25">
      <c r="M2914" s="21"/>
    </row>
    <row r="2915" spans="13:13" x14ac:dyDescent="0.25">
      <c r="M2915" s="21"/>
    </row>
    <row r="2916" spans="13:13" x14ac:dyDescent="0.25">
      <c r="M2916" s="21"/>
    </row>
    <row r="2917" spans="13:13" x14ac:dyDescent="0.25">
      <c r="M2917" s="21"/>
    </row>
    <row r="2918" spans="13:13" x14ac:dyDescent="0.25">
      <c r="M2918" s="21"/>
    </row>
    <row r="2919" spans="13:13" x14ac:dyDescent="0.25">
      <c r="M2919" s="21"/>
    </row>
    <row r="2920" spans="13:13" x14ac:dyDescent="0.25">
      <c r="M2920" s="21"/>
    </row>
    <row r="2921" spans="13:13" x14ac:dyDescent="0.25">
      <c r="M2921" s="21"/>
    </row>
    <row r="2922" spans="13:13" x14ac:dyDescent="0.25">
      <c r="M2922" s="21"/>
    </row>
    <row r="2923" spans="13:13" x14ac:dyDescent="0.25">
      <c r="M2923" s="21"/>
    </row>
    <row r="2924" spans="13:13" x14ac:dyDescent="0.25">
      <c r="M2924" s="21"/>
    </row>
    <row r="2925" spans="13:13" x14ac:dyDescent="0.25">
      <c r="M2925" s="21"/>
    </row>
    <row r="2926" spans="13:13" x14ac:dyDescent="0.25">
      <c r="M2926" s="21"/>
    </row>
    <row r="2927" spans="13:13" x14ac:dyDescent="0.25">
      <c r="M2927" s="21"/>
    </row>
    <row r="2928" spans="13:13" x14ac:dyDescent="0.25">
      <c r="M2928" s="21"/>
    </row>
    <row r="2929" spans="13:13" x14ac:dyDescent="0.25">
      <c r="M2929" s="21"/>
    </row>
    <row r="2930" spans="13:13" x14ac:dyDescent="0.25">
      <c r="M2930" s="21"/>
    </row>
    <row r="2931" spans="13:13" x14ac:dyDescent="0.25">
      <c r="M2931" s="21"/>
    </row>
    <row r="2932" spans="13:13" x14ac:dyDescent="0.25">
      <c r="M2932" s="21"/>
    </row>
    <row r="2933" spans="13:13" x14ac:dyDescent="0.25">
      <c r="M2933" s="21"/>
    </row>
    <row r="2934" spans="13:13" x14ac:dyDescent="0.25">
      <c r="M2934" s="21"/>
    </row>
    <row r="2935" spans="13:13" x14ac:dyDescent="0.25">
      <c r="M2935" s="21"/>
    </row>
    <row r="2936" spans="13:13" x14ac:dyDescent="0.25">
      <c r="M2936" s="21"/>
    </row>
    <row r="2937" spans="13:13" x14ac:dyDescent="0.25">
      <c r="M2937" s="21"/>
    </row>
    <row r="2938" spans="13:13" x14ac:dyDescent="0.25">
      <c r="M2938" s="21"/>
    </row>
    <row r="2939" spans="13:13" x14ac:dyDescent="0.25">
      <c r="M2939" s="21"/>
    </row>
    <row r="2940" spans="13:13" x14ac:dyDescent="0.25">
      <c r="M2940" s="21"/>
    </row>
    <row r="2941" spans="13:13" x14ac:dyDescent="0.25">
      <c r="M2941" s="21"/>
    </row>
    <row r="2942" spans="13:13" x14ac:dyDescent="0.25">
      <c r="M2942" s="21"/>
    </row>
    <row r="2943" spans="13:13" x14ac:dyDescent="0.25">
      <c r="M2943" s="21"/>
    </row>
    <row r="2944" spans="13:13" x14ac:dyDescent="0.25">
      <c r="M2944" s="21"/>
    </row>
    <row r="2945" spans="13:13" x14ac:dyDescent="0.25">
      <c r="M2945" s="21"/>
    </row>
    <row r="2946" spans="13:13" x14ac:dyDescent="0.25">
      <c r="M2946" s="21"/>
    </row>
    <row r="2947" spans="13:13" x14ac:dyDescent="0.25">
      <c r="M2947" s="21"/>
    </row>
    <row r="2948" spans="13:13" x14ac:dyDescent="0.25">
      <c r="M2948" s="21"/>
    </row>
    <row r="2949" spans="13:13" x14ac:dyDescent="0.25">
      <c r="M2949" s="21"/>
    </row>
    <row r="2950" spans="13:13" x14ac:dyDescent="0.25">
      <c r="M2950" s="21"/>
    </row>
    <row r="2951" spans="13:13" x14ac:dyDescent="0.25">
      <c r="M2951" s="21"/>
    </row>
    <row r="2952" spans="13:13" x14ac:dyDescent="0.25">
      <c r="M2952" s="21"/>
    </row>
    <row r="2953" spans="13:13" x14ac:dyDescent="0.25">
      <c r="M2953" s="21"/>
    </row>
    <row r="2954" spans="13:13" x14ac:dyDescent="0.25">
      <c r="M2954" s="21"/>
    </row>
    <row r="2955" spans="13:13" x14ac:dyDescent="0.25">
      <c r="M2955" s="21"/>
    </row>
    <row r="2956" spans="13:13" x14ac:dyDescent="0.25">
      <c r="M2956" s="21"/>
    </row>
    <row r="2957" spans="13:13" x14ac:dyDescent="0.25">
      <c r="M2957" s="21"/>
    </row>
    <row r="2958" spans="13:13" x14ac:dyDescent="0.25">
      <c r="M2958" s="21"/>
    </row>
    <row r="2959" spans="13:13" x14ac:dyDescent="0.25">
      <c r="M2959" s="21"/>
    </row>
    <row r="2960" spans="13:13" x14ac:dyDescent="0.25">
      <c r="M2960" s="21"/>
    </row>
    <row r="2961" spans="13:13" x14ac:dyDescent="0.25">
      <c r="M2961" s="21"/>
    </row>
    <row r="2962" spans="13:13" x14ac:dyDescent="0.25">
      <c r="M2962" s="21"/>
    </row>
    <row r="2963" spans="13:13" x14ac:dyDescent="0.25">
      <c r="M2963" s="21"/>
    </row>
    <row r="2964" spans="13:13" x14ac:dyDescent="0.25">
      <c r="M2964" s="21"/>
    </row>
    <row r="2965" spans="13:13" x14ac:dyDescent="0.25">
      <c r="M2965" s="21"/>
    </row>
    <row r="2966" spans="13:13" x14ac:dyDescent="0.25">
      <c r="M2966" s="21"/>
    </row>
    <row r="2967" spans="13:13" x14ac:dyDescent="0.25">
      <c r="M2967" s="21"/>
    </row>
    <row r="2968" spans="13:13" x14ac:dyDescent="0.25">
      <c r="M2968" s="21"/>
    </row>
    <row r="2969" spans="13:13" x14ac:dyDescent="0.25">
      <c r="M2969" s="21"/>
    </row>
    <row r="2970" spans="13:13" x14ac:dyDescent="0.25">
      <c r="M2970" s="21"/>
    </row>
    <row r="2971" spans="13:13" x14ac:dyDescent="0.25">
      <c r="M2971" s="21"/>
    </row>
    <row r="2972" spans="13:13" x14ac:dyDescent="0.25">
      <c r="M2972" s="21"/>
    </row>
    <row r="2973" spans="13:13" x14ac:dyDescent="0.25">
      <c r="M2973" s="21"/>
    </row>
    <row r="2974" spans="13:13" x14ac:dyDescent="0.25">
      <c r="M2974" s="21"/>
    </row>
    <row r="2975" spans="13:13" x14ac:dyDescent="0.25">
      <c r="M2975" s="21"/>
    </row>
    <row r="2976" spans="13:13" x14ac:dyDescent="0.25">
      <c r="M2976" s="21"/>
    </row>
    <row r="2977" spans="13:13" x14ac:dyDescent="0.25">
      <c r="M2977" s="21"/>
    </row>
    <row r="2978" spans="13:13" x14ac:dyDescent="0.25">
      <c r="M2978" s="21"/>
    </row>
    <row r="2979" spans="13:13" x14ac:dyDescent="0.25">
      <c r="M2979" s="21"/>
    </row>
    <row r="2980" spans="13:13" x14ac:dyDescent="0.25">
      <c r="M2980" s="21"/>
    </row>
    <row r="2981" spans="13:13" x14ac:dyDescent="0.25">
      <c r="M2981" s="21"/>
    </row>
    <row r="2982" spans="13:13" x14ac:dyDescent="0.25">
      <c r="M2982" s="21"/>
    </row>
    <row r="2983" spans="13:13" x14ac:dyDescent="0.25">
      <c r="M2983" s="21"/>
    </row>
    <row r="2984" spans="13:13" x14ac:dyDescent="0.25">
      <c r="M2984" s="21"/>
    </row>
    <row r="2985" spans="13:13" x14ac:dyDescent="0.25">
      <c r="M2985" s="21"/>
    </row>
    <row r="2986" spans="13:13" x14ac:dyDescent="0.25">
      <c r="M2986" s="21"/>
    </row>
    <row r="2987" spans="13:13" x14ac:dyDescent="0.25">
      <c r="M2987" s="21"/>
    </row>
    <row r="2988" spans="13:13" x14ac:dyDescent="0.25">
      <c r="M2988" s="21"/>
    </row>
    <row r="2989" spans="13:13" x14ac:dyDescent="0.25">
      <c r="M2989" s="21"/>
    </row>
    <row r="2990" spans="13:13" x14ac:dyDescent="0.25">
      <c r="M2990" s="21"/>
    </row>
    <row r="2991" spans="13:13" x14ac:dyDescent="0.25">
      <c r="M2991" s="21"/>
    </row>
    <row r="2992" spans="13:13" x14ac:dyDescent="0.25">
      <c r="M2992" s="21"/>
    </row>
    <row r="2993" spans="13:13" x14ac:dyDescent="0.25">
      <c r="M2993" s="21"/>
    </row>
    <row r="2994" spans="13:13" x14ac:dyDescent="0.25">
      <c r="M2994" s="21"/>
    </row>
    <row r="2995" spans="13:13" x14ac:dyDescent="0.25">
      <c r="M2995" s="21"/>
    </row>
    <row r="2996" spans="13:13" x14ac:dyDescent="0.25">
      <c r="M2996" s="21"/>
    </row>
    <row r="2997" spans="13:13" x14ac:dyDescent="0.25">
      <c r="M2997" s="21"/>
    </row>
    <row r="2998" spans="13:13" x14ac:dyDescent="0.25">
      <c r="M2998" s="21"/>
    </row>
    <row r="2999" spans="13:13" x14ac:dyDescent="0.25">
      <c r="M2999" s="21"/>
    </row>
    <row r="3000" spans="13:13" x14ac:dyDescent="0.25">
      <c r="M3000" s="21"/>
    </row>
    <row r="3001" spans="13:13" x14ac:dyDescent="0.25">
      <c r="M3001" s="21"/>
    </row>
    <row r="3002" spans="13:13" x14ac:dyDescent="0.25">
      <c r="M3002" s="21"/>
    </row>
    <row r="3003" spans="13:13" x14ac:dyDescent="0.25">
      <c r="M3003" s="21"/>
    </row>
    <row r="3004" spans="13:13" x14ac:dyDescent="0.25">
      <c r="M3004" s="21"/>
    </row>
    <row r="3005" spans="13:13" x14ac:dyDescent="0.25">
      <c r="M3005" s="21"/>
    </row>
    <row r="3006" spans="13:13" x14ac:dyDescent="0.25">
      <c r="M3006" s="21"/>
    </row>
    <row r="3007" spans="13:13" x14ac:dyDescent="0.25">
      <c r="M3007" s="21"/>
    </row>
    <row r="3008" spans="13:13" x14ac:dyDescent="0.25">
      <c r="M3008" s="21"/>
    </row>
    <row r="3009" spans="13:13" x14ac:dyDescent="0.25">
      <c r="M3009" s="21"/>
    </row>
    <row r="3010" spans="13:13" x14ac:dyDescent="0.25">
      <c r="M3010" s="21"/>
    </row>
    <row r="3011" spans="13:13" x14ac:dyDescent="0.25">
      <c r="M3011" s="21"/>
    </row>
    <row r="3012" spans="13:13" x14ac:dyDescent="0.25">
      <c r="M3012" s="21"/>
    </row>
    <row r="3013" spans="13:13" x14ac:dyDescent="0.25">
      <c r="M3013" s="21"/>
    </row>
    <row r="3014" spans="13:13" x14ac:dyDescent="0.25">
      <c r="M3014" s="21"/>
    </row>
    <row r="3015" spans="13:13" x14ac:dyDescent="0.25">
      <c r="M3015" s="21"/>
    </row>
    <row r="3016" spans="13:13" x14ac:dyDescent="0.25">
      <c r="M3016" s="21"/>
    </row>
    <row r="3017" spans="13:13" x14ac:dyDescent="0.25">
      <c r="M3017" s="21"/>
    </row>
    <row r="3018" spans="13:13" x14ac:dyDescent="0.25">
      <c r="M3018" s="21"/>
    </row>
    <row r="3019" spans="13:13" x14ac:dyDescent="0.25">
      <c r="M3019" s="21"/>
    </row>
    <row r="3020" spans="13:13" x14ac:dyDescent="0.25">
      <c r="M3020" s="21"/>
    </row>
    <row r="3021" spans="13:13" x14ac:dyDescent="0.25">
      <c r="M3021" s="21"/>
    </row>
    <row r="3022" spans="13:13" x14ac:dyDescent="0.25">
      <c r="M3022" s="21"/>
    </row>
    <row r="3023" spans="13:13" x14ac:dyDescent="0.25">
      <c r="M3023" s="21"/>
    </row>
    <row r="3024" spans="13:13" x14ac:dyDescent="0.25">
      <c r="M3024" s="21"/>
    </row>
    <row r="3025" spans="13:13" x14ac:dyDescent="0.25">
      <c r="M3025" s="21"/>
    </row>
    <row r="3026" spans="13:13" x14ac:dyDescent="0.25">
      <c r="M3026" s="21"/>
    </row>
    <row r="3027" spans="13:13" x14ac:dyDescent="0.25">
      <c r="M3027" s="21"/>
    </row>
    <row r="3028" spans="13:13" x14ac:dyDescent="0.25">
      <c r="M3028" s="21"/>
    </row>
    <row r="3029" spans="13:13" x14ac:dyDescent="0.25">
      <c r="M3029" s="21"/>
    </row>
    <row r="3030" spans="13:13" x14ac:dyDescent="0.25">
      <c r="M3030" s="21"/>
    </row>
    <row r="3031" spans="13:13" x14ac:dyDescent="0.25">
      <c r="M3031" s="21"/>
    </row>
    <row r="3032" spans="13:13" x14ac:dyDescent="0.25">
      <c r="M3032" s="21"/>
    </row>
    <row r="3033" spans="13:13" x14ac:dyDescent="0.25">
      <c r="M3033" s="21"/>
    </row>
    <row r="3034" spans="13:13" x14ac:dyDescent="0.25">
      <c r="M3034" s="21"/>
    </row>
    <row r="3035" spans="13:13" x14ac:dyDescent="0.25">
      <c r="M3035" s="21"/>
    </row>
    <row r="3036" spans="13:13" x14ac:dyDescent="0.25">
      <c r="M3036" s="21"/>
    </row>
    <row r="3037" spans="13:13" x14ac:dyDescent="0.25">
      <c r="M3037" s="21"/>
    </row>
    <row r="3038" spans="13:13" x14ac:dyDescent="0.25">
      <c r="M3038" s="21"/>
    </row>
    <row r="3039" spans="13:13" x14ac:dyDescent="0.25">
      <c r="M3039" s="21"/>
    </row>
    <row r="3040" spans="13:13" x14ac:dyDescent="0.25">
      <c r="M3040" s="21"/>
    </row>
    <row r="3041" spans="13:13" x14ac:dyDescent="0.25">
      <c r="M3041" s="21"/>
    </row>
    <row r="3042" spans="13:13" x14ac:dyDescent="0.25">
      <c r="M3042" s="21"/>
    </row>
    <row r="3043" spans="13:13" x14ac:dyDescent="0.25">
      <c r="M3043" s="21"/>
    </row>
    <row r="3044" spans="13:13" x14ac:dyDescent="0.25">
      <c r="M3044" s="21"/>
    </row>
    <row r="3045" spans="13:13" x14ac:dyDescent="0.25">
      <c r="M3045" s="21"/>
    </row>
    <row r="3046" spans="13:13" x14ac:dyDescent="0.25">
      <c r="M3046" s="21"/>
    </row>
    <row r="3047" spans="13:13" x14ac:dyDescent="0.25">
      <c r="M3047" s="21"/>
    </row>
    <row r="3048" spans="13:13" x14ac:dyDescent="0.25">
      <c r="M3048" s="21"/>
    </row>
    <row r="3049" spans="13:13" x14ac:dyDescent="0.25">
      <c r="M3049" s="21"/>
    </row>
    <row r="3050" spans="13:13" x14ac:dyDescent="0.25">
      <c r="M3050" s="21"/>
    </row>
    <row r="3051" spans="13:13" x14ac:dyDescent="0.25">
      <c r="M3051" s="21"/>
    </row>
    <row r="3052" spans="13:13" x14ac:dyDescent="0.25">
      <c r="M3052" s="21"/>
    </row>
    <row r="3053" spans="13:13" x14ac:dyDescent="0.25">
      <c r="M3053" s="21"/>
    </row>
    <row r="3054" spans="13:13" x14ac:dyDescent="0.25">
      <c r="M3054" s="21"/>
    </row>
    <row r="3055" spans="13:13" x14ac:dyDescent="0.25">
      <c r="M3055" s="21"/>
    </row>
    <row r="3056" spans="13:13" x14ac:dyDescent="0.25">
      <c r="M3056" s="21"/>
    </row>
    <row r="3057" spans="13:13" x14ac:dyDescent="0.25">
      <c r="M3057" s="21"/>
    </row>
    <row r="3058" spans="13:13" x14ac:dyDescent="0.25">
      <c r="M3058" s="21"/>
    </row>
    <row r="3059" spans="13:13" x14ac:dyDescent="0.25">
      <c r="M3059" s="21"/>
    </row>
    <row r="3060" spans="13:13" x14ac:dyDescent="0.25">
      <c r="M3060" s="21"/>
    </row>
    <row r="3061" spans="13:13" x14ac:dyDescent="0.25">
      <c r="M3061" s="21"/>
    </row>
    <row r="3062" spans="13:13" x14ac:dyDescent="0.25">
      <c r="M3062" s="21"/>
    </row>
    <row r="3063" spans="13:13" x14ac:dyDescent="0.25">
      <c r="M3063" s="21"/>
    </row>
    <row r="3064" spans="13:13" x14ac:dyDescent="0.25">
      <c r="M3064" s="21"/>
    </row>
    <row r="3065" spans="13:13" x14ac:dyDescent="0.25">
      <c r="M3065" s="21"/>
    </row>
    <row r="3066" spans="13:13" x14ac:dyDescent="0.25">
      <c r="M3066" s="21"/>
    </row>
    <row r="3067" spans="13:13" x14ac:dyDescent="0.25">
      <c r="M3067" s="21"/>
    </row>
    <row r="3068" spans="13:13" x14ac:dyDescent="0.25">
      <c r="M3068" s="21"/>
    </row>
    <row r="3069" spans="13:13" x14ac:dyDescent="0.25">
      <c r="M3069" s="21"/>
    </row>
    <row r="3070" spans="13:13" x14ac:dyDescent="0.25">
      <c r="M3070" s="21"/>
    </row>
    <row r="3071" spans="13:13" x14ac:dyDescent="0.25">
      <c r="M3071" s="21"/>
    </row>
    <row r="3072" spans="13:13" x14ac:dyDescent="0.25">
      <c r="M3072" s="21"/>
    </row>
    <row r="3073" spans="13:13" x14ac:dyDescent="0.25">
      <c r="M3073" s="21"/>
    </row>
    <row r="3074" spans="13:13" x14ac:dyDescent="0.25">
      <c r="M3074" s="21"/>
    </row>
    <row r="3075" spans="13:13" x14ac:dyDescent="0.25">
      <c r="M3075" s="21"/>
    </row>
    <row r="3076" spans="13:13" x14ac:dyDescent="0.25">
      <c r="M3076" s="21"/>
    </row>
    <row r="3077" spans="13:13" x14ac:dyDescent="0.25">
      <c r="M3077" s="21"/>
    </row>
    <row r="3078" spans="13:13" x14ac:dyDescent="0.25">
      <c r="M3078" s="21"/>
    </row>
    <row r="3079" spans="13:13" x14ac:dyDescent="0.25">
      <c r="M3079" s="21"/>
    </row>
    <row r="3080" spans="13:13" x14ac:dyDescent="0.25">
      <c r="M3080" s="21"/>
    </row>
    <row r="3081" spans="13:13" x14ac:dyDescent="0.25">
      <c r="M3081" s="21"/>
    </row>
    <row r="3082" spans="13:13" x14ac:dyDescent="0.25">
      <c r="M3082" s="21"/>
    </row>
    <row r="3083" spans="13:13" x14ac:dyDescent="0.25">
      <c r="M3083" s="21"/>
    </row>
    <row r="3084" spans="13:13" x14ac:dyDescent="0.25">
      <c r="M3084" s="21"/>
    </row>
    <row r="3085" spans="13:13" x14ac:dyDescent="0.25">
      <c r="M3085" s="21"/>
    </row>
    <row r="3086" spans="13:13" x14ac:dyDescent="0.25">
      <c r="M3086" s="21"/>
    </row>
    <row r="3087" spans="13:13" x14ac:dyDescent="0.25">
      <c r="M3087" s="21"/>
    </row>
    <row r="3088" spans="13:13" x14ac:dyDescent="0.25">
      <c r="M3088" s="21"/>
    </row>
    <row r="3089" spans="13:13" x14ac:dyDescent="0.25">
      <c r="M3089" s="21"/>
    </row>
    <row r="3090" spans="13:13" x14ac:dyDescent="0.25">
      <c r="M3090" s="21"/>
    </row>
    <row r="3091" spans="13:13" x14ac:dyDescent="0.25">
      <c r="M3091" s="21"/>
    </row>
    <row r="3092" spans="13:13" x14ac:dyDescent="0.25">
      <c r="M3092" s="21"/>
    </row>
    <row r="3093" spans="13:13" x14ac:dyDescent="0.25">
      <c r="M3093" s="21"/>
    </row>
    <row r="3094" spans="13:13" x14ac:dyDescent="0.25">
      <c r="M3094" s="21"/>
    </row>
    <row r="3095" spans="13:13" x14ac:dyDescent="0.25">
      <c r="M3095" s="21"/>
    </row>
    <row r="3096" spans="13:13" x14ac:dyDescent="0.25">
      <c r="M3096" s="21"/>
    </row>
    <row r="3097" spans="13:13" x14ac:dyDescent="0.25">
      <c r="M3097" s="21"/>
    </row>
    <row r="3098" spans="13:13" x14ac:dyDescent="0.25">
      <c r="M3098" s="21"/>
    </row>
    <row r="3099" spans="13:13" x14ac:dyDescent="0.25">
      <c r="M3099" s="21"/>
    </row>
    <row r="3100" spans="13:13" x14ac:dyDescent="0.25">
      <c r="M3100" s="21"/>
    </row>
    <row r="3101" spans="13:13" x14ac:dyDescent="0.25">
      <c r="M3101" s="21"/>
    </row>
    <row r="3102" spans="13:13" x14ac:dyDescent="0.25">
      <c r="M3102" s="21"/>
    </row>
    <row r="3103" spans="13:13" x14ac:dyDescent="0.25">
      <c r="M3103" s="21"/>
    </row>
    <row r="3104" spans="13:13" x14ac:dyDescent="0.25">
      <c r="M3104" s="21"/>
    </row>
    <row r="3105" spans="13:13" x14ac:dyDescent="0.25">
      <c r="M3105" s="21"/>
    </row>
    <row r="3106" spans="13:13" x14ac:dyDescent="0.25">
      <c r="M3106" s="21"/>
    </row>
    <row r="3107" spans="13:13" x14ac:dyDescent="0.25">
      <c r="M3107" s="21"/>
    </row>
    <row r="3108" spans="13:13" x14ac:dyDescent="0.25">
      <c r="M3108" s="21"/>
    </row>
    <row r="3109" spans="13:13" x14ac:dyDescent="0.25">
      <c r="M3109" s="21"/>
    </row>
    <row r="3110" spans="13:13" x14ac:dyDescent="0.25">
      <c r="M3110" s="21"/>
    </row>
    <row r="3111" spans="13:13" x14ac:dyDescent="0.25">
      <c r="M3111" s="21"/>
    </row>
    <row r="3112" spans="13:13" x14ac:dyDescent="0.25">
      <c r="M3112" s="21"/>
    </row>
    <row r="3113" spans="13:13" x14ac:dyDescent="0.25">
      <c r="M3113" s="21"/>
    </row>
    <row r="3114" spans="13:13" x14ac:dyDescent="0.25">
      <c r="M3114" s="21"/>
    </row>
    <row r="3115" spans="13:13" x14ac:dyDescent="0.25">
      <c r="M3115" s="21"/>
    </row>
    <row r="3116" spans="13:13" x14ac:dyDescent="0.25">
      <c r="M3116" s="21"/>
    </row>
    <row r="3117" spans="13:13" x14ac:dyDescent="0.25">
      <c r="M3117" s="21"/>
    </row>
    <row r="3118" spans="13:13" x14ac:dyDescent="0.25">
      <c r="M3118" s="21"/>
    </row>
    <row r="3119" spans="13:13" x14ac:dyDescent="0.25">
      <c r="M3119" s="21"/>
    </row>
    <row r="3120" spans="13:13" x14ac:dyDescent="0.25">
      <c r="M3120" s="21"/>
    </row>
    <row r="3121" spans="13:13" x14ac:dyDescent="0.25">
      <c r="M3121" s="21"/>
    </row>
    <row r="3122" spans="13:13" x14ac:dyDescent="0.25">
      <c r="M3122" s="21"/>
    </row>
    <row r="3123" spans="13:13" x14ac:dyDescent="0.25">
      <c r="M3123" s="21"/>
    </row>
    <row r="3124" spans="13:13" x14ac:dyDescent="0.25">
      <c r="M3124" s="21"/>
    </row>
    <row r="3125" spans="13:13" x14ac:dyDescent="0.25">
      <c r="M3125" s="21"/>
    </row>
    <row r="3126" spans="13:13" x14ac:dyDescent="0.25">
      <c r="M3126" s="21"/>
    </row>
    <row r="3127" spans="13:13" x14ac:dyDescent="0.25">
      <c r="M3127" s="21"/>
    </row>
    <row r="3128" spans="13:13" x14ac:dyDescent="0.25">
      <c r="M3128" s="21"/>
    </row>
    <row r="3129" spans="13:13" x14ac:dyDescent="0.25">
      <c r="M3129" s="21"/>
    </row>
    <row r="3130" spans="13:13" x14ac:dyDescent="0.25">
      <c r="M3130" s="21"/>
    </row>
    <row r="3131" spans="13:13" x14ac:dyDescent="0.25">
      <c r="M3131" s="21"/>
    </row>
    <row r="3132" spans="13:13" x14ac:dyDescent="0.25">
      <c r="M3132" s="21"/>
    </row>
    <row r="3133" spans="13:13" x14ac:dyDescent="0.25">
      <c r="M3133" s="21"/>
    </row>
    <row r="3134" spans="13:13" x14ac:dyDescent="0.25">
      <c r="M3134" s="21"/>
    </row>
    <row r="3135" spans="13:13" x14ac:dyDescent="0.25">
      <c r="M3135" s="21"/>
    </row>
    <row r="3136" spans="13:13" x14ac:dyDescent="0.25">
      <c r="M3136" s="21"/>
    </row>
    <row r="3137" spans="13:13" x14ac:dyDescent="0.25">
      <c r="M3137" s="21"/>
    </row>
    <row r="3138" spans="13:13" x14ac:dyDescent="0.25">
      <c r="M3138" s="21"/>
    </row>
    <row r="3139" spans="13:13" x14ac:dyDescent="0.25">
      <c r="M3139" s="21"/>
    </row>
    <row r="3140" spans="13:13" x14ac:dyDescent="0.25">
      <c r="M3140" s="21"/>
    </row>
    <row r="3141" spans="13:13" x14ac:dyDescent="0.25">
      <c r="M3141" s="21"/>
    </row>
    <row r="3142" spans="13:13" x14ac:dyDescent="0.25">
      <c r="M3142" s="21"/>
    </row>
    <row r="3143" spans="13:13" x14ac:dyDescent="0.25">
      <c r="M3143" s="21"/>
    </row>
    <row r="3144" spans="13:13" x14ac:dyDescent="0.25">
      <c r="M3144" s="21"/>
    </row>
    <row r="3145" spans="13:13" x14ac:dyDescent="0.25">
      <c r="M3145" s="21"/>
    </row>
    <row r="3146" spans="13:13" x14ac:dyDescent="0.25">
      <c r="M3146" s="21"/>
    </row>
    <row r="3147" spans="13:13" x14ac:dyDescent="0.25">
      <c r="M3147" s="21"/>
    </row>
    <row r="3148" spans="13:13" x14ac:dyDescent="0.25">
      <c r="M3148" s="21"/>
    </row>
    <row r="3149" spans="13:13" x14ac:dyDescent="0.25">
      <c r="M3149" s="21"/>
    </row>
    <row r="3150" spans="13:13" x14ac:dyDescent="0.25">
      <c r="M3150" s="21"/>
    </row>
    <row r="3151" spans="13:13" x14ac:dyDescent="0.25">
      <c r="M3151" s="21"/>
    </row>
    <row r="3152" spans="13:13" x14ac:dyDescent="0.25">
      <c r="M3152" s="21"/>
    </row>
    <row r="3153" spans="13:13" x14ac:dyDescent="0.25">
      <c r="M3153" s="21"/>
    </row>
    <row r="3154" spans="13:13" x14ac:dyDescent="0.25">
      <c r="M3154" s="21"/>
    </row>
    <row r="3155" spans="13:13" x14ac:dyDescent="0.25">
      <c r="M3155" s="21"/>
    </row>
    <row r="3156" spans="13:13" x14ac:dyDescent="0.25">
      <c r="M3156" s="21"/>
    </row>
    <row r="3157" spans="13:13" x14ac:dyDescent="0.25">
      <c r="M3157" s="21"/>
    </row>
    <row r="3158" spans="13:13" x14ac:dyDescent="0.25">
      <c r="M3158" s="21"/>
    </row>
    <row r="3159" spans="13:13" x14ac:dyDescent="0.25">
      <c r="M3159" s="21"/>
    </row>
    <row r="3160" spans="13:13" x14ac:dyDescent="0.25">
      <c r="M3160" s="21"/>
    </row>
    <row r="3161" spans="13:13" x14ac:dyDescent="0.25">
      <c r="M3161" s="21"/>
    </row>
    <row r="3162" spans="13:13" x14ac:dyDescent="0.25">
      <c r="M3162" s="21"/>
    </row>
    <row r="3163" spans="13:13" x14ac:dyDescent="0.25">
      <c r="M3163" s="21"/>
    </row>
    <row r="3164" spans="13:13" x14ac:dyDescent="0.25">
      <c r="M3164" s="21"/>
    </row>
    <row r="3165" spans="13:13" x14ac:dyDescent="0.25">
      <c r="M3165" s="21"/>
    </row>
    <row r="3166" spans="13:13" x14ac:dyDescent="0.25">
      <c r="M3166" s="21"/>
    </row>
    <row r="3167" spans="13:13" x14ac:dyDescent="0.25">
      <c r="M3167" s="21"/>
    </row>
    <row r="3168" spans="13:13" x14ac:dyDescent="0.25">
      <c r="M3168" s="21"/>
    </row>
    <row r="3169" spans="13:13" x14ac:dyDescent="0.25">
      <c r="M3169" s="21"/>
    </row>
    <row r="3170" spans="13:13" x14ac:dyDescent="0.25">
      <c r="M3170" s="21"/>
    </row>
    <row r="3171" spans="13:13" x14ac:dyDescent="0.25">
      <c r="M3171" s="21"/>
    </row>
    <row r="3172" spans="13:13" x14ac:dyDescent="0.25">
      <c r="M3172" s="21"/>
    </row>
    <row r="3173" spans="13:13" x14ac:dyDescent="0.25">
      <c r="M3173" s="21"/>
    </row>
    <row r="3174" spans="13:13" x14ac:dyDescent="0.25">
      <c r="M3174" s="21"/>
    </row>
    <row r="3175" spans="13:13" x14ac:dyDescent="0.25">
      <c r="M3175" s="21"/>
    </row>
    <row r="3176" spans="13:13" x14ac:dyDescent="0.25">
      <c r="M3176" s="21"/>
    </row>
    <row r="3177" spans="13:13" x14ac:dyDescent="0.25">
      <c r="M3177" s="21"/>
    </row>
    <row r="3178" spans="13:13" x14ac:dyDescent="0.25">
      <c r="M3178" s="21"/>
    </row>
    <row r="3179" spans="13:13" x14ac:dyDescent="0.25">
      <c r="M3179" s="21"/>
    </row>
    <row r="3180" spans="13:13" x14ac:dyDescent="0.25">
      <c r="M3180" s="21"/>
    </row>
    <row r="3181" spans="13:13" x14ac:dyDescent="0.25">
      <c r="M3181" s="21"/>
    </row>
    <row r="3182" spans="13:13" x14ac:dyDescent="0.25">
      <c r="M3182" s="21"/>
    </row>
    <row r="3183" spans="13:13" x14ac:dyDescent="0.25">
      <c r="M3183" s="21"/>
    </row>
    <row r="3184" spans="13:13" x14ac:dyDescent="0.25">
      <c r="M3184" s="21"/>
    </row>
    <row r="3185" spans="13:13" x14ac:dyDescent="0.25">
      <c r="M3185" s="21"/>
    </row>
    <row r="3186" spans="13:13" x14ac:dyDescent="0.25">
      <c r="M3186" s="21"/>
    </row>
    <row r="3187" spans="13:13" x14ac:dyDescent="0.25">
      <c r="M3187" s="21"/>
    </row>
    <row r="3188" spans="13:13" x14ac:dyDescent="0.25">
      <c r="M3188" s="21"/>
    </row>
    <row r="3189" spans="13:13" x14ac:dyDescent="0.25">
      <c r="M3189" s="21"/>
    </row>
    <row r="3190" spans="13:13" x14ac:dyDescent="0.25">
      <c r="M3190" s="21"/>
    </row>
    <row r="3191" spans="13:13" x14ac:dyDescent="0.25">
      <c r="M3191" s="21"/>
    </row>
    <row r="3192" spans="13:13" x14ac:dyDescent="0.25">
      <c r="M3192" s="21"/>
    </row>
    <row r="3193" spans="13:13" x14ac:dyDescent="0.25">
      <c r="M3193" s="21"/>
    </row>
    <row r="3194" spans="13:13" x14ac:dyDescent="0.25">
      <c r="M3194" s="21"/>
    </row>
    <row r="3195" spans="13:13" x14ac:dyDescent="0.25">
      <c r="M3195" s="21"/>
    </row>
    <row r="3196" spans="13:13" x14ac:dyDescent="0.25">
      <c r="M3196" s="21"/>
    </row>
    <row r="3197" spans="13:13" x14ac:dyDescent="0.25">
      <c r="M3197" s="21"/>
    </row>
    <row r="3198" spans="13:13" x14ac:dyDescent="0.25">
      <c r="M3198" s="21"/>
    </row>
    <row r="3199" spans="13:13" x14ac:dyDescent="0.25">
      <c r="M3199" s="21"/>
    </row>
    <row r="3200" spans="13:13" x14ac:dyDescent="0.25">
      <c r="M3200" s="21"/>
    </row>
    <row r="3201" spans="13:13" x14ac:dyDescent="0.25">
      <c r="M3201" s="21"/>
    </row>
    <row r="3202" spans="13:13" x14ac:dyDescent="0.25">
      <c r="M3202" s="21"/>
    </row>
    <row r="3203" spans="13:13" x14ac:dyDescent="0.25">
      <c r="M3203" s="21"/>
    </row>
    <row r="3204" spans="13:13" x14ac:dyDescent="0.25">
      <c r="M3204" s="21"/>
    </row>
    <row r="3205" spans="13:13" x14ac:dyDescent="0.25">
      <c r="M3205" s="21"/>
    </row>
    <row r="3206" spans="13:13" x14ac:dyDescent="0.25">
      <c r="M3206" s="21"/>
    </row>
    <row r="3207" spans="13:13" x14ac:dyDescent="0.25">
      <c r="M3207" s="21"/>
    </row>
    <row r="3208" spans="13:13" x14ac:dyDescent="0.25">
      <c r="M3208" s="21"/>
    </row>
    <row r="3209" spans="13:13" x14ac:dyDescent="0.25">
      <c r="M3209" s="21"/>
    </row>
    <row r="3210" spans="13:13" x14ac:dyDescent="0.25">
      <c r="M3210" s="21"/>
    </row>
    <row r="3211" spans="13:13" x14ac:dyDescent="0.25">
      <c r="M3211" s="21"/>
    </row>
    <row r="3212" spans="13:13" x14ac:dyDescent="0.25">
      <c r="M3212" s="21"/>
    </row>
    <row r="3213" spans="13:13" x14ac:dyDescent="0.25">
      <c r="M3213" s="21"/>
    </row>
    <row r="3214" spans="13:13" x14ac:dyDescent="0.25">
      <c r="M3214" s="21"/>
    </row>
    <row r="3215" spans="13:13" x14ac:dyDescent="0.25">
      <c r="M3215" s="21"/>
    </row>
    <row r="3216" spans="13:13" x14ac:dyDescent="0.25">
      <c r="M3216" s="21"/>
    </row>
    <row r="3217" spans="13:13" x14ac:dyDescent="0.25">
      <c r="M3217" s="21"/>
    </row>
    <row r="3218" spans="13:13" x14ac:dyDescent="0.25">
      <c r="M3218" s="21"/>
    </row>
    <row r="3219" spans="13:13" x14ac:dyDescent="0.25">
      <c r="M3219" s="21"/>
    </row>
    <row r="3220" spans="13:13" x14ac:dyDescent="0.25">
      <c r="M3220" s="21"/>
    </row>
    <row r="3221" spans="13:13" x14ac:dyDescent="0.25">
      <c r="M3221" s="21"/>
    </row>
    <row r="3222" spans="13:13" x14ac:dyDescent="0.25">
      <c r="M3222" s="21"/>
    </row>
    <row r="3223" spans="13:13" x14ac:dyDescent="0.25">
      <c r="M3223" s="21"/>
    </row>
    <row r="3224" spans="13:13" x14ac:dyDescent="0.25">
      <c r="M3224" s="21"/>
    </row>
    <row r="3225" spans="13:13" x14ac:dyDescent="0.25">
      <c r="M3225" s="21"/>
    </row>
    <row r="3226" spans="13:13" x14ac:dyDescent="0.25">
      <c r="M3226" s="21"/>
    </row>
    <row r="3227" spans="13:13" x14ac:dyDescent="0.25">
      <c r="M3227" s="21"/>
    </row>
    <row r="3228" spans="13:13" x14ac:dyDescent="0.25">
      <c r="M3228" s="21"/>
    </row>
    <row r="3229" spans="13:13" x14ac:dyDescent="0.25">
      <c r="M3229" s="21"/>
    </row>
    <row r="3230" spans="13:13" x14ac:dyDescent="0.25">
      <c r="M3230" s="21"/>
    </row>
    <row r="3231" spans="13:13" x14ac:dyDescent="0.25">
      <c r="M3231" s="21"/>
    </row>
    <row r="3232" spans="13:13" x14ac:dyDescent="0.25">
      <c r="M3232" s="21"/>
    </row>
    <row r="3233" spans="13:13" x14ac:dyDescent="0.25">
      <c r="M3233" s="21"/>
    </row>
    <row r="3234" spans="13:13" x14ac:dyDescent="0.25">
      <c r="M3234" s="21"/>
    </row>
    <row r="3235" spans="13:13" x14ac:dyDescent="0.25">
      <c r="M3235" s="21"/>
    </row>
    <row r="3236" spans="13:13" x14ac:dyDescent="0.25">
      <c r="M3236" s="21"/>
    </row>
    <row r="3237" spans="13:13" x14ac:dyDescent="0.25">
      <c r="M3237" s="21"/>
    </row>
    <row r="3238" spans="13:13" x14ac:dyDescent="0.25">
      <c r="M3238" s="21"/>
    </row>
    <row r="3239" spans="13:13" x14ac:dyDescent="0.25">
      <c r="M3239" s="21"/>
    </row>
    <row r="3240" spans="13:13" x14ac:dyDescent="0.25">
      <c r="M3240" s="21"/>
    </row>
    <row r="3241" spans="13:13" x14ac:dyDescent="0.25">
      <c r="M3241" s="21"/>
    </row>
    <row r="3242" spans="13:13" x14ac:dyDescent="0.25">
      <c r="M3242" s="21"/>
    </row>
    <row r="3243" spans="13:13" x14ac:dyDescent="0.25">
      <c r="M3243" s="21"/>
    </row>
    <row r="3244" spans="13:13" x14ac:dyDescent="0.25">
      <c r="M3244" s="21"/>
    </row>
    <row r="3245" spans="13:13" x14ac:dyDescent="0.25">
      <c r="M3245" s="21"/>
    </row>
    <row r="3246" spans="13:13" x14ac:dyDescent="0.25">
      <c r="M3246" s="21"/>
    </row>
    <row r="3247" spans="13:13" x14ac:dyDescent="0.25">
      <c r="M3247" s="21"/>
    </row>
    <row r="3248" spans="13:13" x14ac:dyDescent="0.25">
      <c r="M3248" s="21"/>
    </row>
    <row r="3249" spans="13:13" x14ac:dyDescent="0.25">
      <c r="M3249" s="21"/>
    </row>
    <row r="3250" spans="13:13" x14ac:dyDescent="0.25">
      <c r="M3250" s="21"/>
    </row>
    <row r="3251" spans="13:13" x14ac:dyDescent="0.25">
      <c r="M3251" s="21"/>
    </row>
    <row r="3252" spans="13:13" x14ac:dyDescent="0.25">
      <c r="M3252" s="21"/>
    </row>
    <row r="3253" spans="13:13" x14ac:dyDescent="0.25">
      <c r="M3253" s="21"/>
    </row>
    <row r="3254" spans="13:13" x14ac:dyDescent="0.25">
      <c r="M3254" s="21"/>
    </row>
    <row r="3255" spans="13:13" x14ac:dyDescent="0.25">
      <c r="M3255" s="21"/>
    </row>
    <row r="3256" spans="13:13" x14ac:dyDescent="0.25">
      <c r="M3256" s="21"/>
    </row>
    <row r="3257" spans="13:13" x14ac:dyDescent="0.25">
      <c r="M3257" s="21"/>
    </row>
    <row r="3258" spans="13:13" x14ac:dyDescent="0.25">
      <c r="M3258" s="21"/>
    </row>
    <row r="3259" spans="13:13" x14ac:dyDescent="0.25">
      <c r="M3259" s="21"/>
    </row>
    <row r="3260" spans="13:13" x14ac:dyDescent="0.25">
      <c r="M3260" s="21"/>
    </row>
    <row r="3261" spans="13:13" x14ac:dyDescent="0.25">
      <c r="M3261" s="21"/>
    </row>
    <row r="3262" spans="13:13" x14ac:dyDescent="0.25">
      <c r="M3262" s="21"/>
    </row>
    <row r="3263" spans="13:13" x14ac:dyDescent="0.25">
      <c r="M3263" s="21"/>
    </row>
    <row r="3264" spans="13:13" x14ac:dyDescent="0.25">
      <c r="M3264" s="21"/>
    </row>
    <row r="3265" spans="13:13" x14ac:dyDescent="0.25">
      <c r="M3265" s="21"/>
    </row>
    <row r="3266" spans="13:13" x14ac:dyDescent="0.25">
      <c r="M3266" s="21"/>
    </row>
    <row r="3267" spans="13:13" x14ac:dyDescent="0.25">
      <c r="M3267" s="21"/>
    </row>
    <row r="3268" spans="13:13" x14ac:dyDescent="0.25">
      <c r="M3268" s="21"/>
    </row>
    <row r="3269" spans="13:13" x14ac:dyDescent="0.25">
      <c r="M3269" s="21"/>
    </row>
    <row r="3270" spans="13:13" x14ac:dyDescent="0.25">
      <c r="M3270" s="21"/>
    </row>
    <row r="3271" spans="13:13" x14ac:dyDescent="0.25">
      <c r="M3271" s="21"/>
    </row>
    <row r="3272" spans="13:13" x14ac:dyDescent="0.25">
      <c r="M3272" s="21"/>
    </row>
    <row r="3273" spans="13:13" x14ac:dyDescent="0.25">
      <c r="M3273" s="21"/>
    </row>
    <row r="3274" spans="13:13" x14ac:dyDescent="0.25">
      <c r="M3274" s="21"/>
    </row>
    <row r="3275" spans="13:13" x14ac:dyDescent="0.25">
      <c r="M3275" s="21"/>
    </row>
    <row r="3276" spans="13:13" x14ac:dyDescent="0.25">
      <c r="M3276" s="21"/>
    </row>
    <row r="3277" spans="13:13" x14ac:dyDescent="0.25">
      <c r="M3277" s="21"/>
    </row>
    <row r="3278" spans="13:13" x14ac:dyDescent="0.25">
      <c r="M3278" s="21"/>
    </row>
    <row r="3279" spans="13:13" x14ac:dyDescent="0.25">
      <c r="M3279" s="21"/>
    </row>
    <row r="3280" spans="13:13" x14ac:dyDescent="0.25">
      <c r="M3280" s="21"/>
    </row>
    <row r="3281" spans="13:13" x14ac:dyDescent="0.25">
      <c r="M3281" s="21"/>
    </row>
    <row r="3282" spans="13:13" x14ac:dyDescent="0.25">
      <c r="M3282" s="21"/>
    </row>
    <row r="3283" spans="13:13" x14ac:dyDescent="0.25">
      <c r="M3283" s="21"/>
    </row>
    <row r="3284" spans="13:13" x14ac:dyDescent="0.25">
      <c r="M3284" s="21"/>
    </row>
    <row r="3285" spans="13:13" x14ac:dyDescent="0.25">
      <c r="M3285" s="21"/>
    </row>
    <row r="3286" spans="13:13" x14ac:dyDescent="0.25">
      <c r="M3286" s="21"/>
    </row>
    <row r="3287" spans="13:13" x14ac:dyDescent="0.25">
      <c r="M3287" s="21"/>
    </row>
    <row r="3288" spans="13:13" x14ac:dyDescent="0.25">
      <c r="M3288" s="21"/>
    </row>
    <row r="3289" spans="13:13" x14ac:dyDescent="0.25">
      <c r="M3289" s="21"/>
    </row>
    <row r="3290" spans="13:13" x14ac:dyDescent="0.25">
      <c r="M3290" s="21"/>
    </row>
    <row r="3291" spans="13:13" x14ac:dyDescent="0.25">
      <c r="M3291" s="21"/>
    </row>
    <row r="3292" spans="13:13" x14ac:dyDescent="0.25">
      <c r="M3292" s="21"/>
    </row>
    <row r="3293" spans="13:13" x14ac:dyDescent="0.25">
      <c r="M3293" s="21"/>
    </row>
    <row r="3294" spans="13:13" x14ac:dyDescent="0.25">
      <c r="M3294" s="21"/>
    </row>
    <row r="3295" spans="13:13" x14ac:dyDescent="0.25">
      <c r="M3295" s="21"/>
    </row>
    <row r="3296" spans="13:13" x14ac:dyDescent="0.25">
      <c r="M3296" s="21"/>
    </row>
    <row r="3297" spans="13:13" x14ac:dyDescent="0.25">
      <c r="M3297" s="21"/>
    </row>
    <row r="3298" spans="13:13" x14ac:dyDescent="0.25">
      <c r="M3298" s="21"/>
    </row>
    <row r="3299" spans="13:13" x14ac:dyDescent="0.25">
      <c r="M3299" s="21"/>
    </row>
    <row r="3300" spans="13:13" x14ac:dyDescent="0.25">
      <c r="M3300" s="21"/>
    </row>
    <row r="3301" spans="13:13" x14ac:dyDescent="0.25">
      <c r="M3301" s="21"/>
    </row>
    <row r="3302" spans="13:13" x14ac:dyDescent="0.25">
      <c r="M3302" s="21"/>
    </row>
    <row r="3303" spans="13:13" x14ac:dyDescent="0.25">
      <c r="M3303" s="21"/>
    </row>
    <row r="3304" spans="13:13" x14ac:dyDescent="0.25">
      <c r="M3304" s="21"/>
    </row>
    <row r="3305" spans="13:13" x14ac:dyDescent="0.25">
      <c r="M3305" s="21"/>
    </row>
    <row r="3306" spans="13:13" x14ac:dyDescent="0.25">
      <c r="M3306" s="21"/>
    </row>
    <row r="3307" spans="13:13" x14ac:dyDescent="0.25">
      <c r="M3307" s="21"/>
    </row>
    <row r="3308" spans="13:13" x14ac:dyDescent="0.25">
      <c r="M3308" s="21"/>
    </row>
    <row r="3309" spans="13:13" x14ac:dyDescent="0.25">
      <c r="M3309" s="21"/>
    </row>
    <row r="3310" spans="13:13" x14ac:dyDescent="0.25">
      <c r="M3310" s="21"/>
    </row>
    <row r="3311" spans="13:13" x14ac:dyDescent="0.25">
      <c r="M3311" s="21"/>
    </row>
    <row r="3312" spans="13:13" x14ac:dyDescent="0.25">
      <c r="M3312" s="21"/>
    </row>
    <row r="3313" spans="13:13" x14ac:dyDescent="0.25">
      <c r="M3313" s="21"/>
    </row>
    <row r="3314" spans="13:13" x14ac:dyDescent="0.25">
      <c r="M3314" s="21"/>
    </row>
    <row r="3315" spans="13:13" x14ac:dyDescent="0.25">
      <c r="M3315" s="21"/>
    </row>
    <row r="3316" spans="13:13" x14ac:dyDescent="0.25">
      <c r="M3316" s="21"/>
    </row>
    <row r="3317" spans="13:13" x14ac:dyDescent="0.25">
      <c r="M3317" s="21"/>
    </row>
    <row r="3318" spans="13:13" x14ac:dyDescent="0.25">
      <c r="M3318" s="21"/>
    </row>
    <row r="3319" spans="13:13" x14ac:dyDescent="0.25">
      <c r="M3319" s="21"/>
    </row>
    <row r="3320" spans="13:13" x14ac:dyDescent="0.25">
      <c r="M3320" s="21"/>
    </row>
    <row r="3321" spans="13:13" x14ac:dyDescent="0.25">
      <c r="M3321" s="21"/>
    </row>
    <row r="3322" spans="13:13" x14ac:dyDescent="0.25">
      <c r="M3322" s="21"/>
    </row>
    <row r="3323" spans="13:13" x14ac:dyDescent="0.25">
      <c r="M3323" s="21"/>
    </row>
    <row r="3324" spans="13:13" x14ac:dyDescent="0.25">
      <c r="M3324" s="21"/>
    </row>
    <row r="3325" spans="13:13" x14ac:dyDescent="0.25">
      <c r="M3325" s="21"/>
    </row>
    <row r="3326" spans="13:13" x14ac:dyDescent="0.25">
      <c r="M3326" s="21"/>
    </row>
    <row r="3327" spans="13:13" x14ac:dyDescent="0.25">
      <c r="M3327" s="21"/>
    </row>
    <row r="3328" spans="13:13" x14ac:dyDescent="0.25">
      <c r="M3328" s="21"/>
    </row>
    <row r="3329" spans="13:13" x14ac:dyDescent="0.25">
      <c r="M3329" s="21"/>
    </row>
    <row r="3330" spans="13:13" x14ac:dyDescent="0.25">
      <c r="M3330" s="21"/>
    </row>
    <row r="3331" spans="13:13" x14ac:dyDescent="0.25">
      <c r="M3331" s="21"/>
    </row>
    <row r="3332" spans="13:13" x14ac:dyDescent="0.25">
      <c r="M3332" s="21"/>
    </row>
    <row r="3333" spans="13:13" x14ac:dyDescent="0.25">
      <c r="M3333" s="21"/>
    </row>
    <row r="3334" spans="13:13" x14ac:dyDescent="0.25">
      <c r="M3334" s="21"/>
    </row>
    <row r="3335" spans="13:13" x14ac:dyDescent="0.25">
      <c r="M3335" s="21"/>
    </row>
    <row r="3336" spans="13:13" x14ac:dyDescent="0.25">
      <c r="M3336" s="21"/>
    </row>
    <row r="3337" spans="13:13" x14ac:dyDescent="0.25">
      <c r="M3337" s="21"/>
    </row>
    <row r="3338" spans="13:13" x14ac:dyDescent="0.25">
      <c r="M3338" s="21"/>
    </row>
    <row r="3339" spans="13:13" x14ac:dyDescent="0.25">
      <c r="M3339" s="21"/>
    </row>
    <row r="3340" spans="13:13" x14ac:dyDescent="0.25">
      <c r="M3340" s="21"/>
    </row>
    <row r="3341" spans="13:13" x14ac:dyDescent="0.25">
      <c r="M3341" s="21"/>
    </row>
    <row r="3342" spans="13:13" x14ac:dyDescent="0.25">
      <c r="M3342" s="21"/>
    </row>
    <row r="3343" spans="13:13" x14ac:dyDescent="0.25">
      <c r="M3343" s="21"/>
    </row>
    <row r="3344" spans="13:13" x14ac:dyDescent="0.25">
      <c r="M3344" s="21"/>
    </row>
    <row r="3345" spans="13:13" x14ac:dyDescent="0.25">
      <c r="M3345" s="21"/>
    </row>
    <row r="3346" spans="13:13" x14ac:dyDescent="0.25">
      <c r="M3346" s="21"/>
    </row>
    <row r="3347" spans="13:13" x14ac:dyDescent="0.25">
      <c r="M3347" s="21"/>
    </row>
    <row r="3348" spans="13:13" x14ac:dyDescent="0.25">
      <c r="M3348" s="21"/>
    </row>
    <row r="3349" spans="13:13" x14ac:dyDescent="0.25">
      <c r="M3349" s="21"/>
    </row>
    <row r="3350" spans="13:13" x14ac:dyDescent="0.25">
      <c r="M3350" s="21"/>
    </row>
    <row r="3351" spans="13:13" x14ac:dyDescent="0.25">
      <c r="M3351" s="21"/>
    </row>
    <row r="3352" spans="13:13" x14ac:dyDescent="0.25">
      <c r="M3352" s="21"/>
    </row>
    <row r="3353" spans="13:13" x14ac:dyDescent="0.25">
      <c r="M3353" s="21"/>
    </row>
    <row r="3354" spans="13:13" x14ac:dyDescent="0.25">
      <c r="M3354" s="21"/>
    </row>
    <row r="3355" spans="13:13" x14ac:dyDescent="0.25">
      <c r="M3355" s="21"/>
    </row>
    <row r="3356" spans="13:13" x14ac:dyDescent="0.25">
      <c r="M3356" s="21"/>
    </row>
    <row r="3357" spans="13:13" x14ac:dyDescent="0.25">
      <c r="M3357" s="21"/>
    </row>
    <row r="3358" spans="13:13" x14ac:dyDescent="0.25">
      <c r="M3358" s="21"/>
    </row>
    <row r="3359" spans="13:13" x14ac:dyDescent="0.25">
      <c r="M3359" s="21"/>
    </row>
    <row r="3360" spans="13:13" x14ac:dyDescent="0.25">
      <c r="M3360" s="21"/>
    </row>
    <row r="3361" spans="13:13" x14ac:dyDescent="0.25">
      <c r="M3361" s="21"/>
    </row>
    <row r="3362" spans="13:13" x14ac:dyDescent="0.25">
      <c r="M3362" s="21"/>
    </row>
    <row r="3363" spans="13:13" x14ac:dyDescent="0.25">
      <c r="M3363" s="21"/>
    </row>
    <row r="3364" spans="13:13" x14ac:dyDescent="0.25">
      <c r="M3364" s="21"/>
    </row>
    <row r="3365" spans="13:13" x14ac:dyDescent="0.25">
      <c r="M3365" s="21"/>
    </row>
    <row r="3366" spans="13:13" x14ac:dyDescent="0.25">
      <c r="M3366" s="21"/>
    </row>
    <row r="3367" spans="13:13" x14ac:dyDescent="0.25">
      <c r="M3367" s="21"/>
    </row>
    <row r="3368" spans="13:13" x14ac:dyDescent="0.25">
      <c r="M3368" s="21"/>
    </row>
    <row r="3369" spans="13:13" x14ac:dyDescent="0.25">
      <c r="M3369" s="21"/>
    </row>
    <row r="3370" spans="13:13" x14ac:dyDescent="0.25">
      <c r="M3370" s="21"/>
    </row>
    <row r="3371" spans="13:13" x14ac:dyDescent="0.25">
      <c r="M3371" s="21"/>
    </row>
    <row r="3372" spans="13:13" x14ac:dyDescent="0.25">
      <c r="M3372" s="21"/>
    </row>
    <row r="3373" spans="13:13" x14ac:dyDescent="0.25">
      <c r="M3373" s="21"/>
    </row>
    <row r="3374" spans="13:13" x14ac:dyDescent="0.25">
      <c r="M3374" s="21"/>
    </row>
    <row r="3375" spans="13:13" x14ac:dyDescent="0.25">
      <c r="M3375" s="21"/>
    </row>
    <row r="3376" spans="13:13" x14ac:dyDescent="0.25">
      <c r="M3376" s="21"/>
    </row>
    <row r="3377" spans="13:13" x14ac:dyDescent="0.25">
      <c r="M3377" s="21"/>
    </row>
    <row r="3378" spans="13:13" x14ac:dyDescent="0.25">
      <c r="M3378" s="21"/>
    </row>
    <row r="3379" spans="13:13" x14ac:dyDescent="0.25">
      <c r="M3379" s="21"/>
    </row>
    <row r="3380" spans="13:13" x14ac:dyDescent="0.25">
      <c r="M3380" s="21"/>
    </row>
    <row r="3381" spans="13:13" x14ac:dyDescent="0.25">
      <c r="M3381" s="21"/>
    </row>
    <row r="3382" spans="13:13" x14ac:dyDescent="0.25">
      <c r="M3382" s="21"/>
    </row>
    <row r="3383" spans="13:13" x14ac:dyDescent="0.25">
      <c r="M3383" s="21"/>
    </row>
    <row r="3384" spans="13:13" x14ac:dyDescent="0.25">
      <c r="M3384" s="21"/>
    </row>
    <row r="3385" spans="13:13" x14ac:dyDescent="0.25">
      <c r="M3385" s="21"/>
    </row>
    <row r="3386" spans="13:13" x14ac:dyDescent="0.25">
      <c r="M3386" s="21"/>
    </row>
    <row r="3387" spans="13:13" x14ac:dyDescent="0.25">
      <c r="M3387" s="21"/>
    </row>
    <row r="3388" spans="13:13" x14ac:dyDescent="0.25">
      <c r="M3388" s="21"/>
    </row>
    <row r="3389" spans="13:13" x14ac:dyDescent="0.25">
      <c r="M3389" s="21"/>
    </row>
    <row r="3390" spans="13:13" x14ac:dyDescent="0.25">
      <c r="M3390" s="21"/>
    </row>
    <row r="3391" spans="13:13" x14ac:dyDescent="0.25">
      <c r="M3391" s="21"/>
    </row>
    <row r="3392" spans="13:13" x14ac:dyDescent="0.25">
      <c r="M3392" s="21"/>
    </row>
    <row r="3393" spans="13:13" x14ac:dyDescent="0.25">
      <c r="M3393" s="21"/>
    </row>
    <row r="3394" spans="13:13" x14ac:dyDescent="0.25">
      <c r="M3394" s="21"/>
    </row>
    <row r="3395" spans="13:13" x14ac:dyDescent="0.25">
      <c r="M3395" s="21"/>
    </row>
    <row r="3396" spans="13:13" x14ac:dyDescent="0.25">
      <c r="M3396" s="21"/>
    </row>
    <row r="3397" spans="13:13" x14ac:dyDescent="0.25">
      <c r="M3397" s="21"/>
    </row>
    <row r="3398" spans="13:13" x14ac:dyDescent="0.25">
      <c r="M3398" s="21"/>
    </row>
    <row r="3399" spans="13:13" x14ac:dyDescent="0.25">
      <c r="M3399" s="21"/>
    </row>
    <row r="3400" spans="13:13" x14ac:dyDescent="0.25">
      <c r="M3400" s="21"/>
    </row>
    <row r="3401" spans="13:13" x14ac:dyDescent="0.25">
      <c r="M3401" s="21"/>
    </row>
    <row r="3402" spans="13:13" x14ac:dyDescent="0.25">
      <c r="M3402" s="21"/>
    </row>
    <row r="3403" spans="13:13" x14ac:dyDescent="0.25">
      <c r="M3403" s="21"/>
    </row>
    <row r="3404" spans="13:13" x14ac:dyDescent="0.25">
      <c r="M3404" s="21"/>
    </row>
    <row r="3405" spans="13:13" x14ac:dyDescent="0.25">
      <c r="M3405" s="21"/>
    </row>
    <row r="3406" spans="13:13" x14ac:dyDescent="0.25">
      <c r="M3406" s="21"/>
    </row>
    <row r="3407" spans="13:13" x14ac:dyDescent="0.25">
      <c r="M3407" s="21"/>
    </row>
    <row r="3408" spans="13:13" x14ac:dyDescent="0.25">
      <c r="M3408" s="21"/>
    </row>
    <row r="3409" spans="13:13" x14ac:dyDescent="0.25">
      <c r="M3409" s="21"/>
    </row>
    <row r="3410" spans="13:13" x14ac:dyDescent="0.25">
      <c r="M3410" s="21"/>
    </row>
    <row r="3411" spans="13:13" x14ac:dyDescent="0.25">
      <c r="M3411" s="21"/>
    </row>
    <row r="3412" spans="13:13" x14ac:dyDescent="0.25">
      <c r="M3412" s="21"/>
    </row>
    <row r="3413" spans="13:13" x14ac:dyDescent="0.25">
      <c r="M3413" s="21"/>
    </row>
    <row r="3414" spans="13:13" x14ac:dyDescent="0.25">
      <c r="M3414" s="21"/>
    </row>
    <row r="3415" spans="13:13" x14ac:dyDescent="0.25">
      <c r="M3415" s="21"/>
    </row>
    <row r="3416" spans="13:13" x14ac:dyDescent="0.25">
      <c r="M3416" s="21"/>
    </row>
    <row r="3417" spans="13:13" x14ac:dyDescent="0.25">
      <c r="M3417" s="21"/>
    </row>
    <row r="3418" spans="13:13" x14ac:dyDescent="0.25">
      <c r="M3418" s="21"/>
    </row>
    <row r="3419" spans="13:13" x14ac:dyDescent="0.25">
      <c r="M3419" s="21"/>
    </row>
    <row r="3420" spans="13:13" x14ac:dyDescent="0.25">
      <c r="M3420" s="21"/>
    </row>
    <row r="3421" spans="13:13" x14ac:dyDescent="0.25">
      <c r="M3421" s="21"/>
    </row>
    <row r="3422" spans="13:13" x14ac:dyDescent="0.25">
      <c r="M3422" s="21"/>
    </row>
    <row r="3423" spans="13:13" x14ac:dyDescent="0.25">
      <c r="M3423" s="21"/>
    </row>
    <row r="3424" spans="13:13" x14ac:dyDescent="0.25">
      <c r="M3424" s="21"/>
    </row>
    <row r="3425" spans="13:13" x14ac:dyDescent="0.25">
      <c r="M3425" s="21"/>
    </row>
    <row r="3426" spans="13:13" x14ac:dyDescent="0.25">
      <c r="M3426" s="21"/>
    </row>
    <row r="3427" spans="13:13" x14ac:dyDescent="0.25">
      <c r="M3427" s="21"/>
    </row>
    <row r="3428" spans="13:13" x14ac:dyDescent="0.25">
      <c r="M3428" s="21"/>
    </row>
    <row r="3429" spans="13:13" x14ac:dyDescent="0.25">
      <c r="M3429" s="21"/>
    </row>
    <row r="3430" spans="13:13" x14ac:dyDescent="0.25">
      <c r="M3430" s="21"/>
    </row>
    <row r="3431" spans="13:13" x14ac:dyDescent="0.25">
      <c r="M3431" s="21"/>
    </row>
    <row r="3432" spans="13:13" x14ac:dyDescent="0.25">
      <c r="M3432" s="21"/>
    </row>
    <row r="3433" spans="13:13" x14ac:dyDescent="0.25">
      <c r="M3433" s="21"/>
    </row>
    <row r="3434" spans="13:13" x14ac:dyDescent="0.25">
      <c r="M3434" s="21"/>
    </row>
    <row r="3435" spans="13:13" x14ac:dyDescent="0.25">
      <c r="M3435" s="21"/>
    </row>
    <row r="3436" spans="13:13" x14ac:dyDescent="0.25">
      <c r="M3436" s="21"/>
    </row>
    <row r="3437" spans="13:13" x14ac:dyDescent="0.25">
      <c r="M3437" s="21"/>
    </row>
    <row r="3438" spans="13:13" x14ac:dyDescent="0.25">
      <c r="M3438" s="21"/>
    </row>
    <row r="3439" spans="13:13" x14ac:dyDescent="0.25">
      <c r="M3439" s="21"/>
    </row>
    <row r="3440" spans="13:13" x14ac:dyDescent="0.25">
      <c r="M3440" s="21"/>
    </row>
    <row r="3441" spans="13:13" x14ac:dyDescent="0.25">
      <c r="M3441" s="21"/>
    </row>
    <row r="3442" spans="13:13" x14ac:dyDescent="0.25">
      <c r="M3442" s="21"/>
    </row>
    <row r="3443" spans="13:13" x14ac:dyDescent="0.25">
      <c r="M3443" s="21"/>
    </row>
    <row r="3444" spans="13:13" x14ac:dyDescent="0.25">
      <c r="M3444" s="21"/>
    </row>
    <row r="3445" spans="13:13" x14ac:dyDescent="0.25">
      <c r="M3445" s="21"/>
    </row>
    <row r="3446" spans="13:13" x14ac:dyDescent="0.25">
      <c r="M3446" s="21"/>
    </row>
    <row r="3447" spans="13:13" x14ac:dyDescent="0.25">
      <c r="M3447" s="21"/>
    </row>
    <row r="3448" spans="13:13" x14ac:dyDescent="0.25">
      <c r="M3448" s="21"/>
    </row>
    <row r="3449" spans="13:13" x14ac:dyDescent="0.25">
      <c r="M3449" s="21"/>
    </row>
    <row r="3450" spans="13:13" x14ac:dyDescent="0.25">
      <c r="M3450" s="21"/>
    </row>
    <row r="3451" spans="13:13" x14ac:dyDescent="0.25">
      <c r="M3451" s="21"/>
    </row>
    <row r="3452" spans="13:13" x14ac:dyDescent="0.25">
      <c r="M3452" s="21"/>
    </row>
    <row r="3453" spans="13:13" x14ac:dyDescent="0.25">
      <c r="M3453" s="21"/>
    </row>
    <row r="3454" spans="13:13" x14ac:dyDescent="0.25">
      <c r="M3454" s="21"/>
    </row>
    <row r="3455" spans="13:13" x14ac:dyDescent="0.25">
      <c r="M3455" s="21"/>
    </row>
    <row r="3456" spans="13:13" x14ac:dyDescent="0.25">
      <c r="M3456" s="21"/>
    </row>
    <row r="3457" spans="13:13" x14ac:dyDescent="0.25">
      <c r="M3457" s="21"/>
    </row>
    <row r="3458" spans="13:13" x14ac:dyDescent="0.25">
      <c r="M3458" s="21"/>
    </row>
    <row r="3459" spans="13:13" x14ac:dyDescent="0.25">
      <c r="M3459" s="21"/>
    </row>
    <row r="3460" spans="13:13" x14ac:dyDescent="0.25">
      <c r="M3460" s="21"/>
    </row>
    <row r="3461" spans="13:13" x14ac:dyDescent="0.25">
      <c r="M3461" s="21"/>
    </row>
    <row r="3462" spans="13:13" x14ac:dyDescent="0.25">
      <c r="M3462" s="21"/>
    </row>
    <row r="3463" spans="13:13" x14ac:dyDescent="0.25">
      <c r="M3463" s="21"/>
    </row>
    <row r="3464" spans="13:13" x14ac:dyDescent="0.25">
      <c r="M3464" s="21"/>
    </row>
    <row r="3465" spans="13:13" x14ac:dyDescent="0.25">
      <c r="M3465" s="21"/>
    </row>
    <row r="3466" spans="13:13" x14ac:dyDescent="0.25">
      <c r="M3466" s="21"/>
    </row>
    <row r="3467" spans="13:13" x14ac:dyDescent="0.25">
      <c r="M3467" s="21"/>
    </row>
    <row r="3468" spans="13:13" x14ac:dyDescent="0.25">
      <c r="M3468" s="21"/>
    </row>
    <row r="3469" spans="13:13" x14ac:dyDescent="0.25">
      <c r="M3469" s="21"/>
    </row>
    <row r="3470" spans="13:13" x14ac:dyDescent="0.25">
      <c r="M3470" s="21"/>
    </row>
    <row r="3471" spans="13:13" x14ac:dyDescent="0.25">
      <c r="M3471" s="21"/>
    </row>
    <row r="3472" spans="13:13" x14ac:dyDescent="0.25">
      <c r="M3472" s="21"/>
    </row>
    <row r="3473" spans="13:13" x14ac:dyDescent="0.25">
      <c r="M3473" s="21"/>
    </row>
    <row r="3474" spans="13:13" x14ac:dyDescent="0.25">
      <c r="M3474" s="21"/>
    </row>
    <row r="3475" spans="13:13" x14ac:dyDescent="0.25">
      <c r="M3475" s="21"/>
    </row>
    <row r="3476" spans="13:13" x14ac:dyDescent="0.25">
      <c r="M3476" s="21"/>
    </row>
    <row r="3477" spans="13:13" x14ac:dyDescent="0.25">
      <c r="M3477" s="21"/>
    </row>
    <row r="3478" spans="13:13" x14ac:dyDescent="0.25">
      <c r="M3478" s="21"/>
    </row>
    <row r="3479" spans="13:13" x14ac:dyDescent="0.25">
      <c r="M3479" s="21"/>
    </row>
    <row r="3480" spans="13:13" x14ac:dyDescent="0.25">
      <c r="M3480" s="21"/>
    </row>
    <row r="3481" spans="13:13" x14ac:dyDescent="0.25">
      <c r="M3481" s="21"/>
    </row>
    <row r="3482" spans="13:13" x14ac:dyDescent="0.25">
      <c r="M3482" s="21"/>
    </row>
    <row r="3483" spans="13:13" x14ac:dyDescent="0.25">
      <c r="M3483" s="21"/>
    </row>
    <row r="3484" spans="13:13" x14ac:dyDescent="0.25">
      <c r="M3484" s="21"/>
    </row>
    <row r="3485" spans="13:13" x14ac:dyDescent="0.25">
      <c r="M3485" s="21"/>
    </row>
    <row r="3486" spans="13:13" x14ac:dyDescent="0.25">
      <c r="M3486" s="21"/>
    </row>
    <row r="3487" spans="13:13" x14ac:dyDescent="0.25">
      <c r="M3487" s="21"/>
    </row>
    <row r="3488" spans="13:13" x14ac:dyDescent="0.25">
      <c r="M3488" s="21"/>
    </row>
    <row r="3489" spans="13:13" x14ac:dyDescent="0.25">
      <c r="M3489" s="21"/>
    </row>
    <row r="3490" spans="13:13" x14ac:dyDescent="0.25">
      <c r="M3490" s="21"/>
    </row>
    <row r="3491" spans="13:13" x14ac:dyDescent="0.25">
      <c r="M3491" s="21"/>
    </row>
    <row r="3492" spans="13:13" x14ac:dyDescent="0.25">
      <c r="M3492" s="21"/>
    </row>
    <row r="3493" spans="13:13" x14ac:dyDescent="0.25">
      <c r="M3493" s="21"/>
    </row>
    <row r="3494" spans="13:13" x14ac:dyDescent="0.25">
      <c r="M3494" s="21"/>
    </row>
    <row r="3495" spans="13:13" x14ac:dyDescent="0.25">
      <c r="M3495" s="21"/>
    </row>
    <row r="3496" spans="13:13" x14ac:dyDescent="0.25">
      <c r="M3496" s="21"/>
    </row>
    <row r="3497" spans="13:13" x14ac:dyDescent="0.25">
      <c r="M3497" s="21"/>
    </row>
    <row r="3498" spans="13:13" x14ac:dyDescent="0.25">
      <c r="M3498" s="21"/>
    </row>
    <row r="3499" spans="13:13" x14ac:dyDescent="0.25">
      <c r="M3499" s="21"/>
    </row>
    <row r="3500" spans="13:13" x14ac:dyDescent="0.25">
      <c r="M3500" s="21"/>
    </row>
    <row r="3501" spans="13:13" x14ac:dyDescent="0.25">
      <c r="M3501" s="21"/>
    </row>
    <row r="3502" spans="13:13" x14ac:dyDescent="0.25">
      <c r="M3502" s="21"/>
    </row>
    <row r="3503" spans="13:13" x14ac:dyDescent="0.25">
      <c r="M3503" s="21"/>
    </row>
    <row r="3504" spans="13:13" x14ac:dyDescent="0.25">
      <c r="M3504" s="21"/>
    </row>
    <row r="3505" spans="13:13" x14ac:dyDescent="0.25">
      <c r="M3505" s="21"/>
    </row>
    <row r="3506" spans="13:13" x14ac:dyDescent="0.25">
      <c r="M3506" s="21"/>
    </row>
    <row r="3507" spans="13:13" x14ac:dyDescent="0.25">
      <c r="M3507" s="21"/>
    </row>
    <row r="3508" spans="13:13" x14ac:dyDescent="0.25">
      <c r="M3508" s="21"/>
    </row>
    <row r="3509" spans="13:13" x14ac:dyDescent="0.25">
      <c r="M3509" s="21"/>
    </row>
    <row r="3510" spans="13:13" x14ac:dyDescent="0.25">
      <c r="M3510" s="21"/>
    </row>
    <row r="3511" spans="13:13" x14ac:dyDescent="0.25">
      <c r="M3511" s="21"/>
    </row>
    <row r="3512" spans="13:13" x14ac:dyDescent="0.25">
      <c r="M3512" s="21"/>
    </row>
    <row r="3513" spans="13:13" x14ac:dyDescent="0.25">
      <c r="M3513" s="21"/>
    </row>
    <row r="3514" spans="13:13" x14ac:dyDescent="0.25">
      <c r="M3514" s="21"/>
    </row>
    <row r="3515" spans="13:13" x14ac:dyDescent="0.25">
      <c r="M3515" s="21"/>
    </row>
    <row r="3516" spans="13:13" x14ac:dyDescent="0.25">
      <c r="M3516" s="21"/>
    </row>
    <row r="3517" spans="13:13" x14ac:dyDescent="0.25">
      <c r="M3517" s="21"/>
    </row>
    <row r="3518" spans="13:13" x14ac:dyDescent="0.25">
      <c r="M3518" s="21"/>
    </row>
    <row r="3519" spans="13:13" x14ac:dyDescent="0.25">
      <c r="M3519" s="21"/>
    </row>
    <row r="3520" spans="13:13" x14ac:dyDescent="0.25">
      <c r="M3520" s="21"/>
    </row>
    <row r="3521" spans="13:13" x14ac:dyDescent="0.25">
      <c r="M3521" s="21"/>
    </row>
    <row r="3522" spans="13:13" x14ac:dyDescent="0.25">
      <c r="M3522" s="21"/>
    </row>
    <row r="3523" spans="13:13" x14ac:dyDescent="0.25">
      <c r="M3523" s="21"/>
    </row>
    <row r="3524" spans="13:13" x14ac:dyDescent="0.25">
      <c r="M3524" s="21"/>
    </row>
    <row r="3525" spans="13:13" x14ac:dyDescent="0.25">
      <c r="M3525" s="21"/>
    </row>
    <row r="3526" spans="13:13" x14ac:dyDescent="0.25">
      <c r="M3526" s="21"/>
    </row>
    <row r="3527" spans="13:13" x14ac:dyDescent="0.25">
      <c r="M3527" s="21"/>
    </row>
    <row r="3528" spans="13:13" x14ac:dyDescent="0.25">
      <c r="M3528" s="21"/>
    </row>
    <row r="3529" spans="13:13" x14ac:dyDescent="0.25">
      <c r="M3529" s="21"/>
    </row>
    <row r="3530" spans="13:13" x14ac:dyDescent="0.25">
      <c r="M3530" s="21"/>
    </row>
    <row r="3531" spans="13:13" x14ac:dyDescent="0.25">
      <c r="M3531" s="21"/>
    </row>
    <row r="3532" spans="13:13" x14ac:dyDescent="0.25">
      <c r="M3532" s="21"/>
    </row>
    <row r="3533" spans="13:13" x14ac:dyDescent="0.25">
      <c r="M3533" s="21"/>
    </row>
    <row r="3534" spans="13:13" x14ac:dyDescent="0.25">
      <c r="M3534" s="21"/>
    </row>
    <row r="3535" spans="13:13" x14ac:dyDescent="0.25">
      <c r="M3535" s="21"/>
    </row>
    <row r="3536" spans="13:13" x14ac:dyDescent="0.25">
      <c r="M3536" s="21"/>
    </row>
    <row r="3537" spans="13:13" x14ac:dyDescent="0.25">
      <c r="M3537" s="21"/>
    </row>
    <row r="3538" spans="13:13" x14ac:dyDescent="0.25">
      <c r="M3538" s="21"/>
    </row>
    <row r="3539" spans="13:13" x14ac:dyDescent="0.25">
      <c r="M3539" s="21"/>
    </row>
    <row r="3540" spans="13:13" x14ac:dyDescent="0.25">
      <c r="M3540" s="21"/>
    </row>
    <row r="3541" spans="13:13" x14ac:dyDescent="0.25">
      <c r="M3541" s="21"/>
    </row>
    <row r="3542" spans="13:13" x14ac:dyDescent="0.25">
      <c r="M3542" s="21"/>
    </row>
    <row r="3543" spans="13:13" x14ac:dyDescent="0.25">
      <c r="M3543" s="21"/>
    </row>
    <row r="3544" spans="13:13" x14ac:dyDescent="0.25">
      <c r="M3544" s="21"/>
    </row>
    <row r="3545" spans="13:13" x14ac:dyDescent="0.25">
      <c r="M3545" s="21"/>
    </row>
    <row r="3546" spans="13:13" x14ac:dyDescent="0.25">
      <c r="M3546" s="21"/>
    </row>
    <row r="3547" spans="13:13" x14ac:dyDescent="0.25">
      <c r="M3547" s="21"/>
    </row>
    <row r="3548" spans="13:13" x14ac:dyDescent="0.25">
      <c r="M3548" s="21"/>
    </row>
    <row r="3549" spans="13:13" x14ac:dyDescent="0.25">
      <c r="M3549" s="21"/>
    </row>
    <row r="3550" spans="13:13" x14ac:dyDescent="0.25">
      <c r="M3550" s="21"/>
    </row>
    <row r="3551" spans="13:13" x14ac:dyDescent="0.25">
      <c r="M3551" s="21"/>
    </row>
    <row r="3552" spans="13:13" x14ac:dyDescent="0.25">
      <c r="M3552" s="21"/>
    </row>
    <row r="3553" spans="13:13" x14ac:dyDescent="0.25">
      <c r="M3553" s="21"/>
    </row>
    <row r="3554" spans="13:13" x14ac:dyDescent="0.25">
      <c r="M3554" s="21"/>
    </row>
    <row r="3555" spans="13:13" x14ac:dyDescent="0.25">
      <c r="M3555" s="21"/>
    </row>
    <row r="3556" spans="13:13" x14ac:dyDescent="0.25">
      <c r="M3556" s="21"/>
    </row>
    <row r="3557" spans="13:13" x14ac:dyDescent="0.25">
      <c r="M3557" s="21"/>
    </row>
    <row r="3558" spans="13:13" x14ac:dyDescent="0.25">
      <c r="M3558" s="21"/>
    </row>
    <row r="3559" spans="13:13" x14ac:dyDescent="0.25">
      <c r="M3559" s="21"/>
    </row>
    <row r="3560" spans="13:13" x14ac:dyDescent="0.25">
      <c r="M3560" s="21"/>
    </row>
    <row r="3561" spans="13:13" x14ac:dyDescent="0.25">
      <c r="M3561" s="21"/>
    </row>
    <row r="3562" spans="13:13" x14ac:dyDescent="0.25">
      <c r="M3562" s="21"/>
    </row>
    <row r="3563" spans="13:13" x14ac:dyDescent="0.25">
      <c r="M3563" s="21"/>
    </row>
    <row r="3564" spans="13:13" x14ac:dyDescent="0.25">
      <c r="M3564" s="21"/>
    </row>
    <row r="3565" spans="13:13" x14ac:dyDescent="0.25">
      <c r="M3565" s="21"/>
    </row>
    <row r="3566" spans="13:13" x14ac:dyDescent="0.25">
      <c r="M3566" s="21"/>
    </row>
    <row r="3567" spans="13:13" x14ac:dyDescent="0.25">
      <c r="M3567" s="21"/>
    </row>
    <row r="3568" spans="13:13" x14ac:dyDescent="0.25">
      <c r="M3568" s="21"/>
    </row>
    <row r="3569" spans="13:13" x14ac:dyDescent="0.25">
      <c r="M3569" s="21"/>
    </row>
    <row r="3570" spans="13:13" x14ac:dyDescent="0.25">
      <c r="M3570" s="21"/>
    </row>
    <row r="3571" spans="13:13" x14ac:dyDescent="0.25">
      <c r="M3571" s="21"/>
    </row>
    <row r="3572" spans="13:13" x14ac:dyDescent="0.25">
      <c r="M3572" s="21"/>
    </row>
    <row r="3573" spans="13:13" x14ac:dyDescent="0.25">
      <c r="M3573" s="21"/>
    </row>
    <row r="3574" spans="13:13" x14ac:dyDescent="0.25">
      <c r="M3574" s="21"/>
    </row>
    <row r="3575" spans="13:13" x14ac:dyDescent="0.25">
      <c r="M3575" s="21"/>
    </row>
    <row r="3576" spans="13:13" x14ac:dyDescent="0.25">
      <c r="M3576" s="21"/>
    </row>
    <row r="3577" spans="13:13" x14ac:dyDescent="0.25">
      <c r="M3577" s="21"/>
    </row>
    <row r="3578" spans="13:13" x14ac:dyDescent="0.25">
      <c r="M3578" s="21"/>
    </row>
    <row r="3579" spans="13:13" x14ac:dyDescent="0.25">
      <c r="M3579" s="21"/>
    </row>
    <row r="3580" spans="13:13" x14ac:dyDescent="0.25">
      <c r="M3580" s="21"/>
    </row>
    <row r="3581" spans="13:13" x14ac:dyDescent="0.25">
      <c r="M3581" s="21"/>
    </row>
    <row r="3582" spans="13:13" x14ac:dyDescent="0.25">
      <c r="M3582" s="21"/>
    </row>
    <row r="3583" spans="13:13" x14ac:dyDescent="0.25">
      <c r="M3583" s="21"/>
    </row>
    <row r="3584" spans="13:13" x14ac:dyDescent="0.25">
      <c r="M3584" s="21"/>
    </row>
    <row r="3585" spans="13:13" x14ac:dyDescent="0.25">
      <c r="M3585" s="21"/>
    </row>
    <row r="3586" spans="13:13" x14ac:dyDescent="0.25">
      <c r="M3586" s="21"/>
    </row>
    <row r="3587" spans="13:13" x14ac:dyDescent="0.25">
      <c r="M3587" s="21"/>
    </row>
    <row r="3588" spans="13:13" x14ac:dyDescent="0.25">
      <c r="M3588" s="21"/>
    </row>
    <row r="3589" spans="13:13" x14ac:dyDescent="0.25">
      <c r="M3589" s="21"/>
    </row>
    <row r="3590" spans="13:13" x14ac:dyDescent="0.25">
      <c r="M3590" s="21"/>
    </row>
    <row r="3591" spans="13:13" x14ac:dyDescent="0.25">
      <c r="M3591" s="21"/>
    </row>
    <row r="3592" spans="13:13" x14ac:dyDescent="0.25">
      <c r="M3592" s="21"/>
    </row>
    <row r="3593" spans="13:13" x14ac:dyDescent="0.25">
      <c r="M3593" s="21"/>
    </row>
    <row r="3594" spans="13:13" x14ac:dyDescent="0.25">
      <c r="M3594" s="21"/>
    </row>
    <row r="3595" spans="13:13" x14ac:dyDescent="0.25">
      <c r="M3595" s="21"/>
    </row>
    <row r="3596" spans="13:13" x14ac:dyDescent="0.25">
      <c r="M3596" s="21"/>
    </row>
    <row r="3597" spans="13:13" x14ac:dyDescent="0.25">
      <c r="M3597" s="21"/>
    </row>
    <row r="3598" spans="13:13" x14ac:dyDescent="0.25">
      <c r="M3598" s="21"/>
    </row>
    <row r="3599" spans="13:13" x14ac:dyDescent="0.25">
      <c r="M3599" s="21"/>
    </row>
    <row r="3600" spans="13:13" x14ac:dyDescent="0.25">
      <c r="M3600" s="21"/>
    </row>
    <row r="3601" spans="13:13" x14ac:dyDescent="0.25">
      <c r="M3601" s="21"/>
    </row>
    <row r="3602" spans="13:13" x14ac:dyDescent="0.25">
      <c r="M3602" s="21"/>
    </row>
    <row r="3603" spans="13:13" x14ac:dyDescent="0.25">
      <c r="M3603" s="21"/>
    </row>
    <row r="3604" spans="13:13" x14ac:dyDescent="0.25">
      <c r="M3604" s="21"/>
    </row>
    <row r="3605" spans="13:13" x14ac:dyDescent="0.25">
      <c r="M3605" s="21"/>
    </row>
    <row r="3606" spans="13:13" x14ac:dyDescent="0.25">
      <c r="M3606" s="21"/>
    </row>
    <row r="3607" spans="13:13" x14ac:dyDescent="0.25">
      <c r="M3607" s="21"/>
    </row>
    <row r="3608" spans="13:13" x14ac:dyDescent="0.25">
      <c r="M3608" s="21"/>
    </row>
    <row r="3609" spans="13:13" x14ac:dyDescent="0.25">
      <c r="M3609" s="21"/>
    </row>
    <row r="3610" spans="13:13" x14ac:dyDescent="0.25">
      <c r="M3610" s="21"/>
    </row>
    <row r="3611" spans="13:13" x14ac:dyDescent="0.25">
      <c r="M3611" s="21"/>
    </row>
    <row r="3612" spans="13:13" x14ac:dyDescent="0.25">
      <c r="M3612" s="21"/>
    </row>
    <row r="3613" spans="13:13" x14ac:dyDescent="0.25">
      <c r="M3613" s="21"/>
    </row>
    <row r="3614" spans="13:13" x14ac:dyDescent="0.25">
      <c r="M3614" s="21"/>
    </row>
    <row r="3615" spans="13:13" x14ac:dyDescent="0.25">
      <c r="M3615" s="21"/>
    </row>
    <row r="3616" spans="13:13" x14ac:dyDescent="0.25">
      <c r="M3616" s="21"/>
    </row>
    <row r="3617" spans="13:13" x14ac:dyDescent="0.25">
      <c r="M3617" s="21"/>
    </row>
    <row r="3618" spans="13:13" x14ac:dyDescent="0.25">
      <c r="M3618" s="21"/>
    </row>
    <row r="3619" spans="13:13" x14ac:dyDescent="0.25">
      <c r="M3619" s="21"/>
    </row>
    <row r="3620" spans="13:13" x14ac:dyDescent="0.25">
      <c r="M3620" s="21"/>
    </row>
    <row r="3621" spans="13:13" x14ac:dyDescent="0.25">
      <c r="M3621" s="21"/>
    </row>
    <row r="3622" spans="13:13" x14ac:dyDescent="0.25">
      <c r="M3622" s="21"/>
    </row>
    <row r="3623" spans="13:13" x14ac:dyDescent="0.25">
      <c r="M3623" s="21"/>
    </row>
    <row r="3624" spans="13:13" x14ac:dyDescent="0.25">
      <c r="M3624" s="21"/>
    </row>
    <row r="3625" spans="13:13" x14ac:dyDescent="0.25">
      <c r="M3625" s="21"/>
    </row>
    <row r="3626" spans="13:13" x14ac:dyDescent="0.25">
      <c r="M3626" s="21"/>
    </row>
    <row r="3627" spans="13:13" x14ac:dyDescent="0.25">
      <c r="M3627" s="21"/>
    </row>
    <row r="3628" spans="13:13" x14ac:dyDescent="0.25">
      <c r="M3628" s="21"/>
    </row>
    <row r="3629" spans="13:13" x14ac:dyDescent="0.25">
      <c r="M3629" s="21"/>
    </row>
    <row r="3630" spans="13:13" x14ac:dyDescent="0.25">
      <c r="M3630" s="21"/>
    </row>
    <row r="3631" spans="13:13" x14ac:dyDescent="0.25">
      <c r="M3631" s="21"/>
    </row>
    <row r="3632" spans="13:13" x14ac:dyDescent="0.25">
      <c r="M3632" s="21"/>
    </row>
    <row r="3633" spans="13:13" x14ac:dyDescent="0.25">
      <c r="M3633" s="21"/>
    </row>
    <row r="3634" spans="13:13" x14ac:dyDescent="0.25">
      <c r="M3634" s="21"/>
    </row>
    <row r="3635" spans="13:13" x14ac:dyDescent="0.25">
      <c r="M3635" s="21"/>
    </row>
    <row r="3636" spans="13:13" x14ac:dyDescent="0.25">
      <c r="M3636" s="21"/>
    </row>
    <row r="3637" spans="13:13" x14ac:dyDescent="0.25">
      <c r="M3637" s="21"/>
    </row>
    <row r="3638" spans="13:13" x14ac:dyDescent="0.25">
      <c r="M3638" s="21"/>
    </row>
    <row r="3639" spans="13:13" x14ac:dyDescent="0.25">
      <c r="M3639" s="21"/>
    </row>
    <row r="3640" spans="13:13" x14ac:dyDescent="0.25">
      <c r="M3640" s="21"/>
    </row>
    <row r="3641" spans="13:13" x14ac:dyDescent="0.25">
      <c r="M3641" s="21"/>
    </row>
    <row r="3642" spans="13:13" x14ac:dyDescent="0.25">
      <c r="M3642" s="21"/>
    </row>
    <row r="3643" spans="13:13" x14ac:dyDescent="0.25">
      <c r="M3643" s="21"/>
    </row>
    <row r="3644" spans="13:13" x14ac:dyDescent="0.25">
      <c r="M3644" s="21"/>
    </row>
    <row r="3645" spans="13:13" x14ac:dyDescent="0.25">
      <c r="M3645" s="21"/>
    </row>
    <row r="3646" spans="13:13" x14ac:dyDescent="0.25">
      <c r="M3646" s="21"/>
    </row>
    <row r="3647" spans="13:13" x14ac:dyDescent="0.25">
      <c r="M3647" s="21"/>
    </row>
    <row r="3648" spans="13:13" x14ac:dyDescent="0.25">
      <c r="M3648" s="21"/>
    </row>
    <row r="3649" spans="13:13" x14ac:dyDescent="0.25">
      <c r="M3649" s="21"/>
    </row>
    <row r="3650" spans="13:13" x14ac:dyDescent="0.25">
      <c r="M3650" s="21"/>
    </row>
    <row r="3651" spans="13:13" x14ac:dyDescent="0.25">
      <c r="M3651" s="21"/>
    </row>
    <row r="3652" spans="13:13" x14ac:dyDescent="0.25">
      <c r="M3652" s="21"/>
    </row>
    <row r="3653" spans="13:13" x14ac:dyDescent="0.25">
      <c r="M3653" s="21"/>
    </row>
    <row r="3654" spans="13:13" x14ac:dyDescent="0.25">
      <c r="M3654" s="21"/>
    </row>
    <row r="3655" spans="13:13" x14ac:dyDescent="0.25">
      <c r="M3655" s="21"/>
    </row>
    <row r="3656" spans="13:13" x14ac:dyDescent="0.25">
      <c r="M3656" s="21"/>
    </row>
    <row r="3657" spans="13:13" x14ac:dyDescent="0.25">
      <c r="M3657" s="21"/>
    </row>
    <row r="3658" spans="13:13" x14ac:dyDescent="0.25">
      <c r="M3658" s="21"/>
    </row>
    <row r="3659" spans="13:13" x14ac:dyDescent="0.25">
      <c r="M3659" s="21"/>
    </row>
    <row r="3660" spans="13:13" x14ac:dyDescent="0.25">
      <c r="M3660" s="21"/>
    </row>
    <row r="3661" spans="13:13" x14ac:dyDescent="0.25">
      <c r="M3661" s="21"/>
    </row>
    <row r="3662" spans="13:13" x14ac:dyDescent="0.25">
      <c r="M3662" s="21"/>
    </row>
    <row r="3663" spans="13:13" x14ac:dyDescent="0.25">
      <c r="M3663" s="21"/>
    </row>
    <row r="3664" spans="13:13" x14ac:dyDescent="0.25">
      <c r="M3664" s="21"/>
    </row>
    <row r="3665" spans="13:13" x14ac:dyDescent="0.25">
      <c r="M3665" s="21"/>
    </row>
    <row r="3666" spans="13:13" x14ac:dyDescent="0.25">
      <c r="M3666" s="21"/>
    </row>
    <row r="3667" spans="13:13" x14ac:dyDescent="0.25">
      <c r="M3667" s="21"/>
    </row>
    <row r="3668" spans="13:13" x14ac:dyDescent="0.25">
      <c r="M3668" s="21"/>
    </row>
    <row r="3669" spans="13:13" x14ac:dyDescent="0.25">
      <c r="M3669" s="21"/>
    </row>
    <row r="3670" spans="13:13" x14ac:dyDescent="0.25">
      <c r="M3670" s="21"/>
    </row>
    <row r="3671" spans="13:13" x14ac:dyDescent="0.25">
      <c r="M3671" s="21"/>
    </row>
    <row r="3672" spans="13:13" x14ac:dyDescent="0.25">
      <c r="M3672" s="21"/>
    </row>
    <row r="3673" spans="13:13" x14ac:dyDescent="0.25">
      <c r="M3673" s="21"/>
    </row>
    <row r="3674" spans="13:13" x14ac:dyDescent="0.25">
      <c r="M3674" s="21"/>
    </row>
    <row r="3675" spans="13:13" x14ac:dyDescent="0.25">
      <c r="M3675" s="21"/>
    </row>
    <row r="3676" spans="13:13" x14ac:dyDescent="0.25">
      <c r="M3676" s="21"/>
    </row>
    <row r="3677" spans="13:13" x14ac:dyDescent="0.25">
      <c r="M3677" s="21"/>
    </row>
    <row r="3678" spans="13:13" x14ac:dyDescent="0.25">
      <c r="M3678" s="21"/>
    </row>
    <row r="3679" spans="13:13" x14ac:dyDescent="0.25">
      <c r="M3679" s="21"/>
    </row>
    <row r="3680" spans="13:13" x14ac:dyDescent="0.25">
      <c r="M3680" s="21"/>
    </row>
    <row r="3681" spans="13:13" x14ac:dyDescent="0.25">
      <c r="M3681" s="21"/>
    </row>
    <row r="3682" spans="13:13" x14ac:dyDescent="0.25">
      <c r="M3682" s="21"/>
    </row>
    <row r="3683" spans="13:13" x14ac:dyDescent="0.25">
      <c r="M3683" s="21"/>
    </row>
    <row r="3684" spans="13:13" x14ac:dyDescent="0.25">
      <c r="M3684" s="21"/>
    </row>
    <row r="3685" spans="13:13" x14ac:dyDescent="0.25">
      <c r="M3685" s="21"/>
    </row>
    <row r="3686" spans="13:13" x14ac:dyDescent="0.25">
      <c r="M3686" s="21"/>
    </row>
    <row r="3687" spans="13:13" x14ac:dyDescent="0.25">
      <c r="M3687" s="21"/>
    </row>
    <row r="3688" spans="13:13" x14ac:dyDescent="0.25">
      <c r="M3688" s="21"/>
    </row>
    <row r="3689" spans="13:13" x14ac:dyDescent="0.25">
      <c r="M3689" s="21"/>
    </row>
    <row r="3690" spans="13:13" x14ac:dyDescent="0.25">
      <c r="M3690" s="21"/>
    </row>
    <row r="3691" spans="13:13" x14ac:dyDescent="0.25">
      <c r="M3691" s="21"/>
    </row>
    <row r="3692" spans="13:13" x14ac:dyDescent="0.25">
      <c r="M3692" s="21"/>
    </row>
    <row r="3693" spans="13:13" x14ac:dyDescent="0.25">
      <c r="M3693" s="21"/>
    </row>
    <row r="3694" spans="13:13" x14ac:dyDescent="0.25">
      <c r="M3694" s="21"/>
    </row>
    <row r="3695" spans="13:13" x14ac:dyDescent="0.25">
      <c r="M3695" s="21"/>
    </row>
    <row r="3696" spans="13:13" x14ac:dyDescent="0.25">
      <c r="M3696" s="21"/>
    </row>
    <row r="3697" spans="13:13" x14ac:dyDescent="0.25">
      <c r="M3697" s="21"/>
    </row>
    <row r="3698" spans="13:13" x14ac:dyDescent="0.25">
      <c r="M3698" s="21"/>
    </row>
    <row r="3699" spans="13:13" x14ac:dyDescent="0.25">
      <c r="M3699" s="21"/>
    </row>
    <row r="3700" spans="13:13" x14ac:dyDescent="0.25">
      <c r="M3700" s="21"/>
    </row>
    <row r="3701" spans="13:13" x14ac:dyDescent="0.25">
      <c r="M3701" s="21"/>
    </row>
    <row r="3702" spans="13:13" x14ac:dyDescent="0.25">
      <c r="M3702" s="21"/>
    </row>
    <row r="3703" spans="13:13" x14ac:dyDescent="0.25">
      <c r="M3703" s="21"/>
    </row>
    <row r="3704" spans="13:13" x14ac:dyDescent="0.25">
      <c r="M3704" s="21"/>
    </row>
    <row r="3705" spans="13:13" x14ac:dyDescent="0.25">
      <c r="M3705" s="21"/>
    </row>
    <row r="3706" spans="13:13" x14ac:dyDescent="0.25">
      <c r="M3706" s="21"/>
    </row>
    <row r="3707" spans="13:13" x14ac:dyDescent="0.25">
      <c r="M3707" s="21"/>
    </row>
    <row r="3708" spans="13:13" x14ac:dyDescent="0.25">
      <c r="M3708" s="21"/>
    </row>
    <row r="3709" spans="13:13" x14ac:dyDescent="0.25">
      <c r="M3709" s="21"/>
    </row>
    <row r="3710" spans="13:13" x14ac:dyDescent="0.25">
      <c r="M3710" s="21"/>
    </row>
    <row r="3711" spans="13:13" x14ac:dyDescent="0.25">
      <c r="M3711" s="21"/>
    </row>
    <row r="3712" spans="13:13" x14ac:dyDescent="0.25">
      <c r="M3712" s="21"/>
    </row>
    <row r="3713" spans="13:13" x14ac:dyDescent="0.25">
      <c r="M3713" s="21"/>
    </row>
    <row r="3714" spans="13:13" x14ac:dyDescent="0.25">
      <c r="M3714" s="21"/>
    </row>
    <row r="3715" spans="13:13" x14ac:dyDescent="0.25">
      <c r="M3715" s="21"/>
    </row>
    <row r="3716" spans="13:13" x14ac:dyDescent="0.25">
      <c r="M3716" s="21"/>
    </row>
    <row r="3717" spans="13:13" x14ac:dyDescent="0.25">
      <c r="M3717" s="21"/>
    </row>
    <row r="3718" spans="13:13" x14ac:dyDescent="0.25">
      <c r="M3718" s="21"/>
    </row>
    <row r="3719" spans="13:13" x14ac:dyDescent="0.25">
      <c r="M3719" s="21"/>
    </row>
    <row r="3720" spans="13:13" x14ac:dyDescent="0.25">
      <c r="M3720" s="21"/>
    </row>
    <row r="3721" spans="13:13" x14ac:dyDescent="0.25">
      <c r="M3721" s="21"/>
    </row>
    <row r="3722" spans="13:13" x14ac:dyDescent="0.25">
      <c r="M3722" s="21"/>
    </row>
    <row r="3723" spans="13:13" x14ac:dyDescent="0.25">
      <c r="M3723" s="21"/>
    </row>
    <row r="3724" spans="13:13" x14ac:dyDescent="0.25">
      <c r="M3724" s="21"/>
    </row>
    <row r="3725" spans="13:13" x14ac:dyDescent="0.25">
      <c r="M3725" s="21"/>
    </row>
    <row r="3726" spans="13:13" x14ac:dyDescent="0.25">
      <c r="M3726" s="21"/>
    </row>
    <row r="3727" spans="13:13" x14ac:dyDescent="0.25">
      <c r="M3727" s="21"/>
    </row>
    <row r="3728" spans="13:13" x14ac:dyDescent="0.25">
      <c r="M3728" s="21"/>
    </row>
    <row r="3729" spans="13:13" x14ac:dyDescent="0.25">
      <c r="M3729" s="21"/>
    </row>
    <row r="3730" spans="13:13" x14ac:dyDescent="0.25">
      <c r="M3730" s="21"/>
    </row>
    <row r="3731" spans="13:13" x14ac:dyDescent="0.25">
      <c r="M3731" s="21"/>
    </row>
    <row r="3732" spans="13:13" x14ac:dyDescent="0.25">
      <c r="M3732" s="21"/>
    </row>
    <row r="3733" spans="13:13" x14ac:dyDescent="0.25">
      <c r="M3733" s="21"/>
    </row>
    <row r="3734" spans="13:13" x14ac:dyDescent="0.25">
      <c r="M3734" s="21"/>
    </row>
    <row r="3735" spans="13:13" x14ac:dyDescent="0.25">
      <c r="M3735" s="21"/>
    </row>
    <row r="3736" spans="13:13" x14ac:dyDescent="0.25">
      <c r="M3736" s="21"/>
    </row>
    <row r="3737" spans="13:13" x14ac:dyDescent="0.25">
      <c r="M3737" s="21"/>
    </row>
    <row r="3738" spans="13:13" x14ac:dyDescent="0.25">
      <c r="M3738" s="21"/>
    </row>
    <row r="3739" spans="13:13" x14ac:dyDescent="0.25">
      <c r="M3739" s="21"/>
    </row>
    <row r="3740" spans="13:13" x14ac:dyDescent="0.25">
      <c r="M3740" s="21"/>
    </row>
    <row r="3741" spans="13:13" x14ac:dyDescent="0.25">
      <c r="M3741" s="21"/>
    </row>
    <row r="3742" spans="13:13" x14ac:dyDescent="0.25">
      <c r="M3742" s="21"/>
    </row>
    <row r="3743" spans="13:13" x14ac:dyDescent="0.25">
      <c r="M3743" s="21"/>
    </row>
    <row r="3744" spans="13:13" x14ac:dyDescent="0.25">
      <c r="M3744" s="21"/>
    </row>
    <row r="3745" spans="13:13" x14ac:dyDescent="0.25">
      <c r="M3745" s="21"/>
    </row>
    <row r="3746" spans="13:13" x14ac:dyDescent="0.25">
      <c r="M3746" s="21"/>
    </row>
    <row r="3747" spans="13:13" x14ac:dyDescent="0.25">
      <c r="M3747" s="21"/>
    </row>
    <row r="3748" spans="13:13" x14ac:dyDescent="0.25">
      <c r="M3748" s="21"/>
    </row>
    <row r="3749" spans="13:13" x14ac:dyDescent="0.25">
      <c r="M3749" s="21"/>
    </row>
    <row r="3750" spans="13:13" x14ac:dyDescent="0.25">
      <c r="M3750" s="21"/>
    </row>
    <row r="3751" spans="13:13" x14ac:dyDescent="0.25">
      <c r="M3751" s="21"/>
    </row>
    <row r="3752" spans="13:13" x14ac:dyDescent="0.25">
      <c r="M3752" s="21"/>
    </row>
    <row r="3753" spans="13:13" x14ac:dyDescent="0.25">
      <c r="M3753" s="21"/>
    </row>
    <row r="3754" spans="13:13" x14ac:dyDescent="0.25">
      <c r="M3754" s="21"/>
    </row>
    <row r="3755" spans="13:13" x14ac:dyDescent="0.25">
      <c r="M3755" s="21"/>
    </row>
    <row r="3756" spans="13:13" x14ac:dyDescent="0.25">
      <c r="M3756" s="21"/>
    </row>
    <row r="3757" spans="13:13" x14ac:dyDescent="0.25">
      <c r="M3757" s="21"/>
    </row>
    <row r="3758" spans="13:13" x14ac:dyDescent="0.25">
      <c r="M3758" s="21"/>
    </row>
    <row r="3759" spans="13:13" x14ac:dyDescent="0.25">
      <c r="M3759" s="21"/>
    </row>
    <row r="3760" spans="13:13" x14ac:dyDescent="0.25">
      <c r="M3760" s="21"/>
    </row>
    <row r="3761" spans="13:13" x14ac:dyDescent="0.25">
      <c r="M3761" s="21"/>
    </row>
    <row r="3762" spans="13:13" x14ac:dyDescent="0.25">
      <c r="M3762" s="21"/>
    </row>
    <row r="3763" spans="13:13" x14ac:dyDescent="0.25">
      <c r="M3763" s="21"/>
    </row>
    <row r="3764" spans="13:13" x14ac:dyDescent="0.25">
      <c r="M3764" s="21"/>
    </row>
    <row r="3765" spans="13:13" x14ac:dyDescent="0.25">
      <c r="M3765" s="21"/>
    </row>
    <row r="3766" spans="13:13" x14ac:dyDescent="0.25">
      <c r="M3766" s="21"/>
    </row>
    <row r="3767" spans="13:13" x14ac:dyDescent="0.25">
      <c r="M3767" s="21"/>
    </row>
    <row r="3768" spans="13:13" x14ac:dyDescent="0.25">
      <c r="M3768" s="21"/>
    </row>
    <row r="3769" spans="13:13" x14ac:dyDescent="0.25">
      <c r="M3769" s="21"/>
    </row>
    <row r="3770" spans="13:13" x14ac:dyDescent="0.25">
      <c r="M3770" s="21"/>
    </row>
    <row r="3771" spans="13:13" x14ac:dyDescent="0.25">
      <c r="M3771" s="21"/>
    </row>
    <row r="3772" spans="13:13" x14ac:dyDescent="0.25">
      <c r="M3772" s="21"/>
    </row>
    <row r="3773" spans="13:13" x14ac:dyDescent="0.25">
      <c r="M3773" s="21"/>
    </row>
    <row r="3774" spans="13:13" x14ac:dyDescent="0.25">
      <c r="M3774" s="21"/>
    </row>
    <row r="3775" spans="13:13" x14ac:dyDescent="0.25">
      <c r="M3775" s="21"/>
    </row>
    <row r="3776" spans="13:13" x14ac:dyDescent="0.25">
      <c r="M3776" s="21"/>
    </row>
    <row r="3777" spans="13:13" x14ac:dyDescent="0.25">
      <c r="M3777" s="21"/>
    </row>
    <row r="3778" spans="13:13" x14ac:dyDescent="0.25">
      <c r="M3778" s="21"/>
    </row>
    <row r="3779" spans="13:13" x14ac:dyDescent="0.25">
      <c r="M3779" s="21"/>
    </row>
    <row r="3780" spans="13:13" x14ac:dyDescent="0.25">
      <c r="M3780" s="21"/>
    </row>
    <row r="3781" spans="13:13" x14ac:dyDescent="0.25">
      <c r="M3781" s="21"/>
    </row>
    <row r="3782" spans="13:13" x14ac:dyDescent="0.25">
      <c r="M3782" s="21"/>
    </row>
    <row r="3783" spans="13:13" x14ac:dyDescent="0.25">
      <c r="M3783" s="21"/>
    </row>
    <row r="3784" spans="13:13" x14ac:dyDescent="0.25">
      <c r="M3784" s="21"/>
    </row>
    <row r="3785" spans="13:13" x14ac:dyDescent="0.25">
      <c r="M3785" s="21"/>
    </row>
    <row r="3786" spans="13:13" x14ac:dyDescent="0.25">
      <c r="M3786" s="21"/>
    </row>
    <row r="3787" spans="13:13" x14ac:dyDescent="0.25">
      <c r="M3787" s="21"/>
    </row>
    <row r="3788" spans="13:13" x14ac:dyDescent="0.25">
      <c r="M3788" s="21"/>
    </row>
    <row r="3789" spans="13:13" x14ac:dyDescent="0.25">
      <c r="M3789" s="21"/>
    </row>
    <row r="3790" spans="13:13" x14ac:dyDescent="0.25">
      <c r="M3790" s="21"/>
    </row>
    <row r="3791" spans="13:13" x14ac:dyDescent="0.25">
      <c r="M3791" s="21"/>
    </row>
    <row r="3792" spans="13:13" x14ac:dyDescent="0.25">
      <c r="M3792" s="21"/>
    </row>
    <row r="3793" spans="13:13" x14ac:dyDescent="0.25">
      <c r="M3793" s="21"/>
    </row>
    <row r="3794" spans="13:13" x14ac:dyDescent="0.25">
      <c r="M3794" s="21"/>
    </row>
    <row r="3795" spans="13:13" x14ac:dyDescent="0.25">
      <c r="M3795" s="21"/>
    </row>
    <row r="3796" spans="13:13" x14ac:dyDescent="0.25">
      <c r="M3796" s="21"/>
    </row>
    <row r="3797" spans="13:13" x14ac:dyDescent="0.25">
      <c r="M3797" s="21"/>
    </row>
    <row r="3798" spans="13:13" x14ac:dyDescent="0.25">
      <c r="M3798" s="21"/>
    </row>
    <row r="3799" spans="13:13" x14ac:dyDescent="0.25">
      <c r="M3799" s="21"/>
    </row>
    <row r="3800" spans="13:13" x14ac:dyDescent="0.25">
      <c r="M3800" s="21"/>
    </row>
    <row r="3801" spans="13:13" x14ac:dyDescent="0.25">
      <c r="M3801" s="21"/>
    </row>
    <row r="3802" spans="13:13" x14ac:dyDescent="0.25">
      <c r="M3802" s="21"/>
    </row>
    <row r="3803" spans="13:13" x14ac:dyDescent="0.25">
      <c r="M3803" s="21"/>
    </row>
    <row r="3804" spans="13:13" x14ac:dyDescent="0.25">
      <c r="M3804" s="21"/>
    </row>
    <row r="3805" spans="13:13" x14ac:dyDescent="0.25">
      <c r="M3805" s="21"/>
    </row>
    <row r="3806" spans="13:13" x14ac:dyDescent="0.25">
      <c r="M3806" s="21"/>
    </row>
    <row r="3807" spans="13:13" x14ac:dyDescent="0.25">
      <c r="M3807" s="21"/>
    </row>
    <row r="3808" spans="13:13" x14ac:dyDescent="0.25">
      <c r="M3808" s="21"/>
    </row>
    <row r="3809" spans="13:13" x14ac:dyDescent="0.25">
      <c r="M3809" s="21"/>
    </row>
    <row r="3810" spans="13:13" x14ac:dyDescent="0.25">
      <c r="M3810" s="21"/>
    </row>
    <row r="3811" spans="13:13" x14ac:dyDescent="0.25">
      <c r="M3811" s="21"/>
    </row>
    <row r="3812" spans="13:13" x14ac:dyDescent="0.25">
      <c r="M3812" s="21"/>
    </row>
    <row r="3813" spans="13:13" x14ac:dyDescent="0.25">
      <c r="M3813" s="21"/>
    </row>
    <row r="3814" spans="13:13" x14ac:dyDescent="0.25">
      <c r="M3814" s="21"/>
    </row>
    <row r="3815" spans="13:13" x14ac:dyDescent="0.25">
      <c r="M3815" s="21"/>
    </row>
    <row r="3816" spans="13:13" x14ac:dyDescent="0.25">
      <c r="M3816" s="21"/>
    </row>
    <row r="3817" spans="13:13" x14ac:dyDescent="0.25">
      <c r="M3817" s="21"/>
    </row>
    <row r="3818" spans="13:13" x14ac:dyDescent="0.25">
      <c r="M3818" s="21"/>
    </row>
    <row r="3819" spans="13:13" x14ac:dyDescent="0.25">
      <c r="M3819" s="21"/>
    </row>
    <row r="3820" spans="13:13" x14ac:dyDescent="0.25">
      <c r="M3820" s="21"/>
    </row>
    <row r="3821" spans="13:13" x14ac:dyDescent="0.25">
      <c r="M3821" s="21"/>
    </row>
    <row r="3822" spans="13:13" x14ac:dyDescent="0.25">
      <c r="M3822" s="21"/>
    </row>
    <row r="3823" spans="13:13" x14ac:dyDescent="0.25">
      <c r="M3823" s="21"/>
    </row>
    <row r="3824" spans="13:13" x14ac:dyDescent="0.25">
      <c r="M3824" s="21"/>
    </row>
    <row r="3825" spans="13:13" x14ac:dyDescent="0.25">
      <c r="M3825" s="21"/>
    </row>
    <row r="3826" spans="13:13" x14ac:dyDescent="0.25">
      <c r="M3826" s="21"/>
    </row>
    <row r="3827" spans="13:13" x14ac:dyDescent="0.25">
      <c r="M3827" s="21"/>
    </row>
    <row r="3828" spans="13:13" x14ac:dyDescent="0.25">
      <c r="M3828" s="21"/>
    </row>
    <row r="3829" spans="13:13" x14ac:dyDescent="0.25">
      <c r="M3829" s="21"/>
    </row>
    <row r="3830" spans="13:13" x14ac:dyDescent="0.25">
      <c r="M3830" s="21"/>
    </row>
    <row r="3831" spans="13:13" x14ac:dyDescent="0.25">
      <c r="M3831" s="21"/>
    </row>
    <row r="3832" spans="13:13" x14ac:dyDescent="0.25">
      <c r="M3832" s="21"/>
    </row>
    <row r="3833" spans="13:13" x14ac:dyDescent="0.25">
      <c r="M3833" s="21"/>
    </row>
    <row r="3834" spans="13:13" x14ac:dyDescent="0.25">
      <c r="M3834" s="21"/>
    </row>
    <row r="3835" spans="13:13" x14ac:dyDescent="0.25">
      <c r="M3835" s="21"/>
    </row>
    <row r="3836" spans="13:13" x14ac:dyDescent="0.25">
      <c r="M3836" s="21"/>
    </row>
    <row r="3837" spans="13:13" x14ac:dyDescent="0.25">
      <c r="M3837" s="21"/>
    </row>
    <row r="3838" spans="13:13" x14ac:dyDescent="0.25">
      <c r="M3838" s="21"/>
    </row>
    <row r="3839" spans="13:13" x14ac:dyDescent="0.25">
      <c r="M3839" s="21"/>
    </row>
    <row r="3840" spans="13:13" x14ac:dyDescent="0.25">
      <c r="M3840" s="21"/>
    </row>
    <row r="3841" spans="13:13" x14ac:dyDescent="0.25">
      <c r="M3841" s="21"/>
    </row>
    <row r="3842" spans="13:13" x14ac:dyDescent="0.25">
      <c r="M3842" s="21"/>
    </row>
    <row r="3843" spans="13:13" x14ac:dyDescent="0.25">
      <c r="M3843" s="21"/>
    </row>
    <row r="3844" spans="13:13" x14ac:dyDescent="0.25">
      <c r="M3844" s="21"/>
    </row>
    <row r="3845" spans="13:13" x14ac:dyDescent="0.25">
      <c r="M3845" s="21"/>
    </row>
    <row r="3846" spans="13:13" x14ac:dyDescent="0.25">
      <c r="M3846" s="21"/>
    </row>
    <row r="3847" spans="13:13" x14ac:dyDescent="0.25">
      <c r="M3847" s="21"/>
    </row>
    <row r="3848" spans="13:13" x14ac:dyDescent="0.25">
      <c r="M3848" s="21"/>
    </row>
    <row r="3849" spans="13:13" x14ac:dyDescent="0.25">
      <c r="M3849" s="21"/>
    </row>
    <row r="3850" spans="13:13" x14ac:dyDescent="0.25">
      <c r="M3850" s="21"/>
    </row>
    <row r="3851" spans="13:13" x14ac:dyDescent="0.25">
      <c r="M3851" s="21"/>
    </row>
    <row r="3852" spans="13:13" x14ac:dyDescent="0.25">
      <c r="M3852" s="21"/>
    </row>
    <row r="3853" spans="13:13" x14ac:dyDescent="0.25">
      <c r="M3853" s="21"/>
    </row>
    <row r="3854" spans="13:13" x14ac:dyDescent="0.25">
      <c r="M3854" s="21"/>
    </row>
    <row r="3855" spans="13:13" x14ac:dyDescent="0.25">
      <c r="M3855" s="21"/>
    </row>
    <row r="3856" spans="13:13" x14ac:dyDescent="0.25">
      <c r="M3856" s="21"/>
    </row>
    <row r="3857" spans="13:13" x14ac:dyDescent="0.25">
      <c r="M3857" s="21"/>
    </row>
    <row r="3858" spans="13:13" x14ac:dyDescent="0.25">
      <c r="M3858" s="21"/>
    </row>
    <row r="3859" spans="13:13" x14ac:dyDescent="0.25">
      <c r="M3859" s="21"/>
    </row>
    <row r="3860" spans="13:13" x14ac:dyDescent="0.25">
      <c r="M3860" s="21"/>
    </row>
    <row r="3861" spans="13:13" x14ac:dyDescent="0.25">
      <c r="M3861" s="21"/>
    </row>
    <row r="3862" spans="13:13" x14ac:dyDescent="0.25">
      <c r="M3862" s="21"/>
    </row>
    <row r="3863" spans="13:13" x14ac:dyDescent="0.25">
      <c r="M3863" s="21"/>
    </row>
    <row r="3864" spans="13:13" x14ac:dyDescent="0.25">
      <c r="M3864" s="21"/>
    </row>
    <row r="3865" spans="13:13" x14ac:dyDescent="0.25">
      <c r="M3865" s="21"/>
    </row>
    <row r="3866" spans="13:13" x14ac:dyDescent="0.25">
      <c r="M3866" s="21"/>
    </row>
    <row r="3867" spans="13:13" x14ac:dyDescent="0.25">
      <c r="M3867" s="21"/>
    </row>
    <row r="3868" spans="13:13" x14ac:dyDescent="0.25">
      <c r="M3868" s="21"/>
    </row>
    <row r="3869" spans="13:13" x14ac:dyDescent="0.25">
      <c r="M3869" s="21"/>
    </row>
    <row r="3870" spans="13:13" x14ac:dyDescent="0.25">
      <c r="M3870" s="21"/>
    </row>
    <row r="3871" spans="13:13" x14ac:dyDescent="0.25">
      <c r="M3871" s="21"/>
    </row>
    <row r="3872" spans="13:13" x14ac:dyDescent="0.25">
      <c r="M3872" s="21"/>
    </row>
    <row r="3873" spans="13:13" x14ac:dyDescent="0.25">
      <c r="M3873" s="21"/>
    </row>
    <row r="3874" spans="13:13" x14ac:dyDescent="0.25">
      <c r="M3874" s="21"/>
    </row>
    <row r="3875" spans="13:13" x14ac:dyDescent="0.25">
      <c r="M3875" s="21"/>
    </row>
    <row r="3876" spans="13:13" x14ac:dyDescent="0.25">
      <c r="M3876" s="21"/>
    </row>
    <row r="3877" spans="13:13" x14ac:dyDescent="0.25">
      <c r="M3877" s="21"/>
    </row>
    <row r="3878" spans="13:13" x14ac:dyDescent="0.25">
      <c r="M3878" s="21"/>
    </row>
    <row r="3879" spans="13:13" x14ac:dyDescent="0.25">
      <c r="M3879" s="21"/>
    </row>
    <row r="3880" spans="13:13" x14ac:dyDescent="0.25">
      <c r="M3880" s="21"/>
    </row>
    <row r="3881" spans="13:13" x14ac:dyDescent="0.25">
      <c r="M3881" s="21"/>
    </row>
    <row r="3882" spans="13:13" x14ac:dyDescent="0.25">
      <c r="M3882" s="21"/>
    </row>
    <row r="3883" spans="13:13" x14ac:dyDescent="0.25">
      <c r="M3883" s="21"/>
    </row>
    <row r="3884" spans="13:13" x14ac:dyDescent="0.25">
      <c r="M3884" s="21"/>
    </row>
    <row r="3885" spans="13:13" x14ac:dyDescent="0.25">
      <c r="M3885" s="21"/>
    </row>
    <row r="3886" spans="13:13" x14ac:dyDescent="0.25">
      <c r="M3886" s="21"/>
    </row>
    <row r="3887" spans="13:13" x14ac:dyDescent="0.25">
      <c r="M3887" s="21"/>
    </row>
    <row r="3888" spans="13:13" x14ac:dyDescent="0.25">
      <c r="M3888" s="21"/>
    </row>
    <row r="3889" spans="13:13" x14ac:dyDescent="0.25">
      <c r="M3889" s="21"/>
    </row>
    <row r="3890" spans="13:13" x14ac:dyDescent="0.25">
      <c r="M3890" s="21"/>
    </row>
    <row r="3891" spans="13:13" x14ac:dyDescent="0.25">
      <c r="M3891" s="21"/>
    </row>
    <row r="3892" spans="13:13" x14ac:dyDescent="0.25">
      <c r="M3892" s="21"/>
    </row>
    <row r="3893" spans="13:13" x14ac:dyDescent="0.25">
      <c r="M3893" s="21"/>
    </row>
    <row r="3894" spans="13:13" x14ac:dyDescent="0.25">
      <c r="M3894" s="21"/>
    </row>
    <row r="3895" spans="13:13" x14ac:dyDescent="0.25">
      <c r="M3895" s="21"/>
    </row>
    <row r="3896" spans="13:13" x14ac:dyDescent="0.25">
      <c r="M3896" s="21"/>
    </row>
    <row r="3897" spans="13:13" x14ac:dyDescent="0.25">
      <c r="M3897" s="21"/>
    </row>
    <row r="3898" spans="13:13" x14ac:dyDescent="0.25">
      <c r="M3898" s="21"/>
    </row>
    <row r="3899" spans="13:13" x14ac:dyDescent="0.25">
      <c r="M3899" s="21"/>
    </row>
    <row r="3900" spans="13:13" x14ac:dyDescent="0.25">
      <c r="M3900" s="21"/>
    </row>
    <row r="3901" spans="13:13" x14ac:dyDescent="0.25">
      <c r="M3901" s="21"/>
    </row>
    <row r="3902" spans="13:13" x14ac:dyDescent="0.25">
      <c r="M3902" s="21"/>
    </row>
    <row r="3903" spans="13:13" x14ac:dyDescent="0.25">
      <c r="M3903" s="21"/>
    </row>
    <row r="3904" spans="13:13" x14ac:dyDescent="0.25">
      <c r="M3904" s="21"/>
    </row>
    <row r="3905" spans="13:13" x14ac:dyDescent="0.25">
      <c r="M3905" s="21"/>
    </row>
    <row r="3906" spans="13:13" x14ac:dyDescent="0.25">
      <c r="M3906" s="21"/>
    </row>
    <row r="3907" spans="13:13" x14ac:dyDescent="0.25">
      <c r="M3907" s="21"/>
    </row>
    <row r="3908" spans="13:13" x14ac:dyDescent="0.25">
      <c r="M3908" s="21"/>
    </row>
    <row r="3909" spans="13:13" x14ac:dyDescent="0.25">
      <c r="M3909" s="21"/>
    </row>
    <row r="3910" spans="13:13" x14ac:dyDescent="0.25">
      <c r="M3910" s="21"/>
    </row>
    <row r="3911" spans="13:13" x14ac:dyDescent="0.25">
      <c r="M3911" s="21"/>
    </row>
    <row r="3912" spans="13:13" x14ac:dyDescent="0.25">
      <c r="M3912" s="21"/>
    </row>
    <row r="3913" spans="13:13" x14ac:dyDescent="0.25">
      <c r="M3913" s="21"/>
    </row>
    <row r="3914" spans="13:13" x14ac:dyDescent="0.25">
      <c r="M3914" s="21"/>
    </row>
    <row r="3915" spans="13:13" x14ac:dyDescent="0.25">
      <c r="M3915" s="21"/>
    </row>
    <row r="3916" spans="13:13" x14ac:dyDescent="0.25">
      <c r="M3916" s="21"/>
    </row>
    <row r="3917" spans="13:13" x14ac:dyDescent="0.25">
      <c r="M3917" s="21"/>
    </row>
    <row r="3918" spans="13:13" x14ac:dyDescent="0.25">
      <c r="M3918" s="21"/>
    </row>
    <row r="3919" spans="13:13" x14ac:dyDescent="0.25">
      <c r="M3919" s="21"/>
    </row>
    <row r="3920" spans="13:13" x14ac:dyDescent="0.25">
      <c r="M3920" s="21"/>
    </row>
    <row r="3921" spans="13:13" x14ac:dyDescent="0.25">
      <c r="M3921" s="21"/>
    </row>
    <row r="3922" spans="13:13" x14ac:dyDescent="0.25">
      <c r="M3922" s="21"/>
    </row>
    <row r="3923" spans="13:13" x14ac:dyDescent="0.25">
      <c r="M3923" s="21"/>
    </row>
    <row r="3924" spans="13:13" x14ac:dyDescent="0.25">
      <c r="M3924" s="21"/>
    </row>
    <row r="3925" spans="13:13" x14ac:dyDescent="0.25">
      <c r="M3925" s="21"/>
    </row>
    <row r="3926" spans="13:13" x14ac:dyDescent="0.25">
      <c r="M3926" s="21"/>
    </row>
    <row r="3927" spans="13:13" x14ac:dyDescent="0.25">
      <c r="M3927" s="21"/>
    </row>
    <row r="3928" spans="13:13" x14ac:dyDescent="0.25">
      <c r="M3928" s="21"/>
    </row>
    <row r="3929" spans="13:13" x14ac:dyDescent="0.25">
      <c r="M3929" s="21"/>
    </row>
    <row r="3930" spans="13:13" x14ac:dyDescent="0.25">
      <c r="M3930" s="21"/>
    </row>
    <row r="3931" spans="13:13" x14ac:dyDescent="0.25">
      <c r="M3931" s="21"/>
    </row>
    <row r="3932" spans="13:13" x14ac:dyDescent="0.25">
      <c r="M3932" s="21"/>
    </row>
    <row r="3933" spans="13:13" x14ac:dyDescent="0.25">
      <c r="M3933" s="21"/>
    </row>
    <row r="3934" spans="13:13" x14ac:dyDescent="0.25">
      <c r="M3934" s="21"/>
    </row>
    <row r="3935" spans="13:13" x14ac:dyDescent="0.25">
      <c r="M3935" s="21"/>
    </row>
    <row r="3936" spans="13:13" x14ac:dyDescent="0.25">
      <c r="M3936" s="21"/>
    </row>
    <row r="3937" spans="13:13" x14ac:dyDescent="0.25">
      <c r="M3937" s="21"/>
    </row>
    <row r="3938" spans="13:13" x14ac:dyDescent="0.25">
      <c r="M3938" s="21"/>
    </row>
    <row r="3939" spans="13:13" x14ac:dyDescent="0.25">
      <c r="M3939" s="21"/>
    </row>
    <row r="3940" spans="13:13" x14ac:dyDescent="0.25">
      <c r="M3940" s="21"/>
    </row>
    <row r="3941" spans="13:13" x14ac:dyDescent="0.25">
      <c r="M3941" s="21"/>
    </row>
    <row r="3942" spans="13:13" x14ac:dyDescent="0.25">
      <c r="M3942" s="21"/>
    </row>
    <row r="3943" spans="13:13" x14ac:dyDescent="0.25">
      <c r="M3943" s="21"/>
    </row>
    <row r="3944" spans="13:13" x14ac:dyDescent="0.25">
      <c r="M3944" s="21"/>
    </row>
    <row r="3945" spans="13:13" x14ac:dyDescent="0.25">
      <c r="M3945" s="21"/>
    </row>
    <row r="3946" spans="13:13" x14ac:dyDescent="0.25">
      <c r="M3946" s="21"/>
    </row>
    <row r="3947" spans="13:13" x14ac:dyDescent="0.25">
      <c r="M3947" s="21"/>
    </row>
    <row r="3948" spans="13:13" x14ac:dyDescent="0.25">
      <c r="M3948" s="21"/>
    </row>
    <row r="3949" spans="13:13" x14ac:dyDescent="0.25">
      <c r="M3949" s="21"/>
    </row>
    <row r="3950" spans="13:13" x14ac:dyDescent="0.25">
      <c r="M3950" s="21"/>
    </row>
    <row r="3951" spans="13:13" x14ac:dyDescent="0.25">
      <c r="M3951" s="21"/>
    </row>
    <row r="3952" spans="13:13" x14ac:dyDescent="0.25">
      <c r="M3952" s="21"/>
    </row>
    <row r="3953" spans="13:13" x14ac:dyDescent="0.25">
      <c r="M3953" s="21"/>
    </row>
    <row r="3954" spans="13:13" x14ac:dyDescent="0.25">
      <c r="M3954" s="21"/>
    </row>
    <row r="3955" spans="13:13" x14ac:dyDescent="0.25">
      <c r="M3955" s="21"/>
    </row>
    <row r="3956" spans="13:13" x14ac:dyDescent="0.25">
      <c r="M3956" s="21"/>
    </row>
    <row r="3957" spans="13:13" x14ac:dyDescent="0.25">
      <c r="M3957" s="21"/>
    </row>
    <row r="3958" spans="13:13" x14ac:dyDescent="0.25">
      <c r="M3958" s="21"/>
    </row>
    <row r="3959" spans="13:13" x14ac:dyDescent="0.25">
      <c r="M3959" s="21"/>
    </row>
    <row r="3960" spans="13:13" x14ac:dyDescent="0.25">
      <c r="M3960" s="21"/>
    </row>
    <row r="3961" spans="13:13" x14ac:dyDescent="0.25">
      <c r="M3961" s="21"/>
    </row>
    <row r="3962" spans="13:13" x14ac:dyDescent="0.25">
      <c r="M3962" s="21"/>
    </row>
    <row r="3963" spans="13:13" x14ac:dyDescent="0.25">
      <c r="M3963" s="21"/>
    </row>
    <row r="3964" spans="13:13" x14ac:dyDescent="0.25">
      <c r="M3964" s="21"/>
    </row>
    <row r="3965" spans="13:13" x14ac:dyDescent="0.25">
      <c r="M3965" s="21"/>
    </row>
    <row r="3966" spans="13:13" x14ac:dyDescent="0.25">
      <c r="M3966" s="21"/>
    </row>
    <row r="3967" spans="13:13" x14ac:dyDescent="0.25">
      <c r="M3967" s="21"/>
    </row>
    <row r="3968" spans="13:13" x14ac:dyDescent="0.25">
      <c r="M3968" s="21"/>
    </row>
    <row r="3969" spans="13:13" x14ac:dyDescent="0.25">
      <c r="M3969" s="21"/>
    </row>
    <row r="3970" spans="13:13" x14ac:dyDescent="0.25">
      <c r="M3970" s="21"/>
    </row>
    <row r="3971" spans="13:13" x14ac:dyDescent="0.25">
      <c r="M3971" s="21"/>
    </row>
    <row r="3972" spans="13:13" x14ac:dyDescent="0.25">
      <c r="M3972" s="21"/>
    </row>
    <row r="3973" spans="13:13" x14ac:dyDescent="0.25">
      <c r="M3973" s="21"/>
    </row>
    <row r="3974" spans="13:13" x14ac:dyDescent="0.25">
      <c r="M3974" s="21"/>
    </row>
    <row r="3975" spans="13:13" x14ac:dyDescent="0.25">
      <c r="M3975" s="21"/>
    </row>
    <row r="3976" spans="13:13" x14ac:dyDescent="0.25">
      <c r="M3976" s="21"/>
    </row>
    <row r="3977" spans="13:13" x14ac:dyDescent="0.25">
      <c r="M3977" s="21"/>
    </row>
    <row r="3978" spans="13:13" x14ac:dyDescent="0.25">
      <c r="M3978" s="21"/>
    </row>
    <row r="3979" spans="13:13" x14ac:dyDescent="0.25">
      <c r="M3979" s="21"/>
    </row>
    <row r="3980" spans="13:13" x14ac:dyDescent="0.25">
      <c r="M3980" s="21"/>
    </row>
    <row r="3981" spans="13:13" x14ac:dyDescent="0.25">
      <c r="M3981" s="21"/>
    </row>
    <row r="3982" spans="13:13" x14ac:dyDescent="0.25">
      <c r="M3982" s="21"/>
    </row>
    <row r="3983" spans="13:13" x14ac:dyDescent="0.25">
      <c r="M3983" s="21"/>
    </row>
    <row r="3984" spans="13:13" x14ac:dyDescent="0.25">
      <c r="M3984" s="21"/>
    </row>
    <row r="3985" spans="13:13" x14ac:dyDescent="0.25">
      <c r="M3985" s="21"/>
    </row>
    <row r="3986" spans="13:13" x14ac:dyDescent="0.25">
      <c r="M3986" s="21"/>
    </row>
    <row r="3987" spans="13:13" x14ac:dyDescent="0.25">
      <c r="M3987" s="21"/>
    </row>
    <row r="3988" spans="13:13" x14ac:dyDescent="0.25">
      <c r="M3988" s="21"/>
    </row>
    <row r="3989" spans="13:13" x14ac:dyDescent="0.25">
      <c r="M3989" s="21"/>
    </row>
    <row r="3990" spans="13:13" x14ac:dyDescent="0.25">
      <c r="M3990" s="21"/>
    </row>
    <row r="3991" spans="13:13" x14ac:dyDescent="0.25">
      <c r="M3991" s="21"/>
    </row>
    <row r="3992" spans="13:13" x14ac:dyDescent="0.25">
      <c r="M3992" s="21"/>
    </row>
    <row r="3993" spans="13:13" x14ac:dyDescent="0.25">
      <c r="M3993" s="21"/>
    </row>
    <row r="3994" spans="13:13" x14ac:dyDescent="0.25">
      <c r="M3994" s="21"/>
    </row>
    <row r="3995" spans="13:13" x14ac:dyDescent="0.25">
      <c r="M3995" s="21"/>
    </row>
    <row r="3996" spans="13:13" x14ac:dyDescent="0.25">
      <c r="M3996" s="21"/>
    </row>
    <row r="3997" spans="13:13" x14ac:dyDescent="0.25">
      <c r="M3997" s="21"/>
    </row>
    <row r="3998" spans="13:13" x14ac:dyDescent="0.25">
      <c r="M3998" s="21"/>
    </row>
    <row r="3999" spans="13:13" x14ac:dyDescent="0.25">
      <c r="M3999" s="21"/>
    </row>
    <row r="4000" spans="13:13" x14ac:dyDescent="0.25">
      <c r="M4000" s="21"/>
    </row>
    <row r="4001" spans="13:13" x14ac:dyDescent="0.25">
      <c r="M4001" s="21"/>
    </row>
    <row r="4002" spans="13:13" x14ac:dyDescent="0.25">
      <c r="M4002" s="21"/>
    </row>
    <row r="4003" spans="13:13" x14ac:dyDescent="0.25">
      <c r="M4003" s="21"/>
    </row>
    <row r="4004" spans="13:13" x14ac:dyDescent="0.25">
      <c r="M4004" s="21"/>
    </row>
    <row r="4005" spans="13:13" x14ac:dyDescent="0.25">
      <c r="M4005" s="21"/>
    </row>
    <row r="4006" spans="13:13" x14ac:dyDescent="0.25">
      <c r="M4006" s="21"/>
    </row>
    <row r="4007" spans="13:13" x14ac:dyDescent="0.25">
      <c r="M4007" s="21"/>
    </row>
    <row r="4008" spans="13:13" x14ac:dyDescent="0.25">
      <c r="M4008" s="21"/>
    </row>
    <row r="4009" spans="13:13" x14ac:dyDescent="0.25">
      <c r="M4009" s="21"/>
    </row>
    <row r="4010" spans="13:13" x14ac:dyDescent="0.25">
      <c r="M4010" s="21"/>
    </row>
    <row r="4011" spans="13:13" x14ac:dyDescent="0.25">
      <c r="M4011" s="21"/>
    </row>
    <row r="4012" spans="13:13" x14ac:dyDescent="0.25">
      <c r="M4012" s="21"/>
    </row>
    <row r="4013" spans="13:13" x14ac:dyDescent="0.25">
      <c r="M4013" s="21"/>
    </row>
    <row r="4014" spans="13:13" x14ac:dyDescent="0.25">
      <c r="M4014" s="21"/>
    </row>
    <row r="4015" spans="13:13" x14ac:dyDescent="0.25">
      <c r="M4015" s="21"/>
    </row>
    <row r="4016" spans="13:13" x14ac:dyDescent="0.25">
      <c r="M4016" s="21"/>
    </row>
    <row r="4017" spans="13:13" x14ac:dyDescent="0.25">
      <c r="M4017" s="21"/>
    </row>
    <row r="4018" spans="13:13" x14ac:dyDescent="0.25">
      <c r="M4018" s="21"/>
    </row>
    <row r="4019" spans="13:13" x14ac:dyDescent="0.25">
      <c r="M4019" s="21"/>
    </row>
    <row r="4020" spans="13:13" x14ac:dyDescent="0.25">
      <c r="M4020" s="21"/>
    </row>
    <row r="4021" spans="13:13" x14ac:dyDescent="0.25">
      <c r="M4021" s="21"/>
    </row>
    <row r="4022" spans="13:13" x14ac:dyDescent="0.25">
      <c r="M4022" s="21"/>
    </row>
    <row r="4023" spans="13:13" x14ac:dyDescent="0.25">
      <c r="M4023" s="21"/>
    </row>
    <row r="4024" spans="13:13" x14ac:dyDescent="0.25">
      <c r="M4024" s="21"/>
    </row>
    <row r="4025" spans="13:13" x14ac:dyDescent="0.25">
      <c r="M4025" s="21"/>
    </row>
    <row r="4026" spans="13:13" x14ac:dyDescent="0.25">
      <c r="M4026" s="21"/>
    </row>
    <row r="4027" spans="13:13" x14ac:dyDescent="0.25">
      <c r="M4027" s="21"/>
    </row>
    <row r="4028" spans="13:13" x14ac:dyDescent="0.25">
      <c r="M4028" s="21"/>
    </row>
    <row r="4029" spans="13:13" x14ac:dyDescent="0.25">
      <c r="M4029" s="21"/>
    </row>
    <row r="4030" spans="13:13" x14ac:dyDescent="0.25">
      <c r="M4030" s="21"/>
    </row>
    <row r="4031" spans="13:13" x14ac:dyDescent="0.25">
      <c r="M4031" s="21"/>
    </row>
    <row r="4032" spans="13:13" x14ac:dyDescent="0.25">
      <c r="M4032" s="21"/>
    </row>
    <row r="4033" spans="13:13" x14ac:dyDescent="0.25">
      <c r="M4033" s="21"/>
    </row>
    <row r="4034" spans="13:13" x14ac:dyDescent="0.25">
      <c r="M4034" s="21"/>
    </row>
    <row r="4035" spans="13:13" x14ac:dyDescent="0.25">
      <c r="M4035" s="21"/>
    </row>
    <row r="4036" spans="13:13" x14ac:dyDescent="0.25">
      <c r="M4036" s="21"/>
    </row>
    <row r="4037" spans="13:13" x14ac:dyDescent="0.25">
      <c r="M4037" s="21"/>
    </row>
    <row r="4038" spans="13:13" x14ac:dyDescent="0.25">
      <c r="M4038" s="21"/>
    </row>
    <row r="4039" spans="13:13" x14ac:dyDescent="0.25">
      <c r="M4039" s="21"/>
    </row>
    <row r="4040" spans="13:13" x14ac:dyDescent="0.25">
      <c r="M4040" s="21"/>
    </row>
    <row r="4041" spans="13:13" x14ac:dyDescent="0.25">
      <c r="M4041" s="21"/>
    </row>
    <row r="4042" spans="13:13" x14ac:dyDescent="0.25">
      <c r="M4042" s="21"/>
    </row>
    <row r="4043" spans="13:13" x14ac:dyDescent="0.25">
      <c r="M4043" s="21"/>
    </row>
    <row r="4044" spans="13:13" x14ac:dyDescent="0.25">
      <c r="M4044" s="21"/>
    </row>
    <row r="4045" spans="13:13" x14ac:dyDescent="0.25">
      <c r="M4045" s="21"/>
    </row>
    <row r="4046" spans="13:13" x14ac:dyDescent="0.25">
      <c r="M4046" s="21"/>
    </row>
    <row r="4047" spans="13:13" x14ac:dyDescent="0.25">
      <c r="M4047" s="21"/>
    </row>
    <row r="4048" spans="13:13" x14ac:dyDescent="0.25">
      <c r="M4048" s="21"/>
    </row>
    <row r="4049" spans="13:13" x14ac:dyDescent="0.25">
      <c r="M4049" s="21"/>
    </row>
    <row r="4050" spans="13:13" x14ac:dyDescent="0.25">
      <c r="M4050" s="21"/>
    </row>
    <row r="4051" spans="13:13" x14ac:dyDescent="0.25">
      <c r="M4051" s="21"/>
    </row>
    <row r="4052" spans="13:13" x14ac:dyDescent="0.25">
      <c r="M4052" s="21"/>
    </row>
    <row r="4053" spans="13:13" x14ac:dyDescent="0.25">
      <c r="M4053" s="21"/>
    </row>
    <row r="4054" spans="13:13" x14ac:dyDescent="0.25">
      <c r="M4054" s="21"/>
    </row>
    <row r="4055" spans="13:13" x14ac:dyDescent="0.25">
      <c r="M4055" s="21"/>
    </row>
    <row r="4056" spans="13:13" x14ac:dyDescent="0.25">
      <c r="M4056" s="21"/>
    </row>
    <row r="4057" spans="13:13" x14ac:dyDescent="0.25">
      <c r="M4057" s="21"/>
    </row>
    <row r="4058" spans="13:13" x14ac:dyDescent="0.25">
      <c r="M4058" s="21"/>
    </row>
    <row r="4059" spans="13:13" x14ac:dyDescent="0.25">
      <c r="M4059" s="21"/>
    </row>
    <row r="4060" spans="13:13" x14ac:dyDescent="0.25">
      <c r="M4060" s="21"/>
    </row>
    <row r="4061" spans="13:13" x14ac:dyDescent="0.25">
      <c r="M4061" s="21"/>
    </row>
    <row r="4062" spans="13:13" x14ac:dyDescent="0.25">
      <c r="M4062" s="21"/>
    </row>
    <row r="4063" spans="13:13" x14ac:dyDescent="0.25">
      <c r="M4063" s="21"/>
    </row>
    <row r="4064" spans="13:13" x14ac:dyDescent="0.25">
      <c r="M4064" s="21"/>
    </row>
    <row r="4065" spans="13:13" x14ac:dyDescent="0.25">
      <c r="M4065" s="21"/>
    </row>
    <row r="4066" spans="13:13" x14ac:dyDescent="0.25">
      <c r="M4066" s="21"/>
    </row>
    <row r="4067" spans="13:13" x14ac:dyDescent="0.25">
      <c r="M4067" s="21"/>
    </row>
    <row r="4068" spans="13:13" x14ac:dyDescent="0.25">
      <c r="M4068" s="21"/>
    </row>
    <row r="4069" spans="13:13" x14ac:dyDescent="0.25">
      <c r="M4069" s="21"/>
    </row>
    <row r="4070" spans="13:13" x14ac:dyDescent="0.25">
      <c r="M4070" s="21"/>
    </row>
    <row r="4071" spans="13:13" x14ac:dyDescent="0.25">
      <c r="M4071" s="21"/>
    </row>
    <row r="4072" spans="13:13" x14ac:dyDescent="0.25">
      <c r="M4072" s="21"/>
    </row>
    <row r="4073" spans="13:13" x14ac:dyDescent="0.25">
      <c r="M4073" s="21"/>
    </row>
    <row r="4074" spans="13:13" x14ac:dyDescent="0.25">
      <c r="M4074" s="21"/>
    </row>
    <row r="4075" spans="13:13" x14ac:dyDescent="0.25">
      <c r="M4075" s="21"/>
    </row>
    <row r="4076" spans="13:13" x14ac:dyDescent="0.25">
      <c r="M4076" s="21"/>
    </row>
    <row r="4077" spans="13:13" x14ac:dyDescent="0.25">
      <c r="M4077" s="21"/>
    </row>
    <row r="4078" spans="13:13" x14ac:dyDescent="0.25">
      <c r="M4078" s="21"/>
    </row>
    <row r="4079" spans="13:13" x14ac:dyDescent="0.25">
      <c r="M4079" s="21"/>
    </row>
    <row r="4080" spans="13:13" x14ac:dyDescent="0.25">
      <c r="M4080" s="21"/>
    </row>
    <row r="4081" spans="13:13" x14ac:dyDescent="0.25">
      <c r="M4081" s="21"/>
    </row>
    <row r="4082" spans="13:13" x14ac:dyDescent="0.25">
      <c r="M4082" s="21"/>
    </row>
    <row r="4083" spans="13:13" x14ac:dyDescent="0.25">
      <c r="M4083" s="21"/>
    </row>
    <row r="4084" spans="13:13" x14ac:dyDescent="0.25">
      <c r="M4084" s="21"/>
    </row>
    <row r="4085" spans="13:13" x14ac:dyDescent="0.25">
      <c r="M4085" s="21"/>
    </row>
    <row r="4086" spans="13:13" x14ac:dyDescent="0.25">
      <c r="M4086" s="21"/>
    </row>
    <row r="4087" spans="13:13" x14ac:dyDescent="0.25">
      <c r="M4087" s="21"/>
    </row>
    <row r="4088" spans="13:13" x14ac:dyDescent="0.25">
      <c r="M4088" s="21"/>
    </row>
    <row r="4089" spans="13:13" x14ac:dyDescent="0.25">
      <c r="M4089" s="21"/>
    </row>
    <row r="4090" spans="13:13" x14ac:dyDescent="0.25">
      <c r="M4090" s="21"/>
    </row>
    <row r="4091" spans="13:13" x14ac:dyDescent="0.25">
      <c r="M4091" s="21"/>
    </row>
    <row r="4092" spans="13:13" x14ac:dyDescent="0.25">
      <c r="M4092" s="21"/>
    </row>
    <row r="4093" spans="13:13" x14ac:dyDescent="0.25">
      <c r="M4093" s="21"/>
    </row>
    <row r="4094" spans="13:13" x14ac:dyDescent="0.25">
      <c r="M4094" s="21"/>
    </row>
    <row r="4095" spans="13:13" x14ac:dyDescent="0.25">
      <c r="M4095" s="21"/>
    </row>
    <row r="4096" spans="13:13" x14ac:dyDescent="0.25">
      <c r="M4096" s="21"/>
    </row>
    <row r="4097" spans="13:13" x14ac:dyDescent="0.25">
      <c r="M4097" s="21"/>
    </row>
    <row r="4098" spans="13:13" x14ac:dyDescent="0.25">
      <c r="M4098" s="21"/>
    </row>
    <row r="4099" spans="13:13" x14ac:dyDescent="0.25">
      <c r="M4099" s="21"/>
    </row>
    <row r="4100" spans="13:13" x14ac:dyDescent="0.25">
      <c r="M4100" s="21"/>
    </row>
    <row r="4101" spans="13:13" x14ac:dyDescent="0.25">
      <c r="M4101" s="21"/>
    </row>
    <row r="4102" spans="13:13" x14ac:dyDescent="0.25">
      <c r="M4102" s="21"/>
    </row>
    <row r="4103" spans="13:13" x14ac:dyDescent="0.25">
      <c r="M4103" s="21"/>
    </row>
    <row r="4104" spans="13:13" x14ac:dyDescent="0.25">
      <c r="M4104" s="21"/>
    </row>
    <row r="4105" spans="13:13" x14ac:dyDescent="0.25">
      <c r="M4105" s="21"/>
    </row>
    <row r="4106" spans="13:13" x14ac:dyDescent="0.25">
      <c r="M4106" s="21"/>
    </row>
    <row r="4107" spans="13:13" x14ac:dyDescent="0.25">
      <c r="M4107" s="21"/>
    </row>
    <row r="4108" spans="13:13" x14ac:dyDescent="0.25">
      <c r="M4108" s="21"/>
    </row>
    <row r="4109" spans="13:13" x14ac:dyDescent="0.25">
      <c r="M4109" s="21"/>
    </row>
    <row r="4110" spans="13:13" x14ac:dyDescent="0.25">
      <c r="M4110" s="21"/>
    </row>
    <row r="4111" spans="13:13" x14ac:dyDescent="0.25">
      <c r="M4111" s="21"/>
    </row>
    <row r="4112" spans="13:13" x14ac:dyDescent="0.25">
      <c r="M4112" s="21"/>
    </row>
    <row r="4113" spans="13:13" x14ac:dyDescent="0.25">
      <c r="M4113" s="21"/>
    </row>
    <row r="4114" spans="13:13" x14ac:dyDescent="0.25">
      <c r="M4114" s="21"/>
    </row>
    <row r="4115" spans="13:13" x14ac:dyDescent="0.25">
      <c r="M4115" s="21"/>
    </row>
    <row r="4116" spans="13:13" x14ac:dyDescent="0.25">
      <c r="M4116" s="21"/>
    </row>
    <row r="4117" spans="13:13" x14ac:dyDescent="0.25">
      <c r="M4117" s="21"/>
    </row>
    <row r="4118" spans="13:13" x14ac:dyDescent="0.25">
      <c r="M4118" s="21"/>
    </row>
    <row r="4119" spans="13:13" x14ac:dyDescent="0.25">
      <c r="M4119" s="21"/>
    </row>
    <row r="4120" spans="13:13" x14ac:dyDescent="0.25">
      <c r="M4120" s="21"/>
    </row>
    <row r="4121" spans="13:13" x14ac:dyDescent="0.25">
      <c r="M4121" s="21"/>
    </row>
    <row r="4122" spans="13:13" x14ac:dyDescent="0.25">
      <c r="M4122" s="21"/>
    </row>
    <row r="4123" spans="13:13" x14ac:dyDescent="0.25">
      <c r="M4123" s="21"/>
    </row>
    <row r="4124" spans="13:13" x14ac:dyDescent="0.25">
      <c r="M4124" s="21"/>
    </row>
    <row r="4125" spans="13:13" x14ac:dyDescent="0.25">
      <c r="M4125" s="21"/>
    </row>
    <row r="4126" spans="13:13" x14ac:dyDescent="0.25">
      <c r="M4126" s="21"/>
    </row>
    <row r="4127" spans="13:13" x14ac:dyDescent="0.25">
      <c r="M4127" s="21"/>
    </row>
    <row r="4128" spans="13:13" x14ac:dyDescent="0.25">
      <c r="M4128" s="21"/>
    </row>
    <row r="4129" spans="13:13" x14ac:dyDescent="0.25">
      <c r="M4129" s="21"/>
    </row>
    <row r="4130" spans="13:13" x14ac:dyDescent="0.25">
      <c r="M4130" s="21"/>
    </row>
    <row r="4131" spans="13:13" x14ac:dyDescent="0.25">
      <c r="M4131" s="21"/>
    </row>
    <row r="4132" spans="13:13" x14ac:dyDescent="0.25">
      <c r="M4132" s="21"/>
    </row>
    <row r="4133" spans="13:13" x14ac:dyDescent="0.25">
      <c r="M4133" s="21"/>
    </row>
    <row r="4134" spans="13:13" x14ac:dyDescent="0.25">
      <c r="M4134" s="21"/>
    </row>
    <row r="4135" spans="13:13" x14ac:dyDescent="0.25">
      <c r="M4135" s="21"/>
    </row>
    <row r="4136" spans="13:13" x14ac:dyDescent="0.25">
      <c r="M4136" s="21"/>
    </row>
    <row r="4137" spans="13:13" x14ac:dyDescent="0.25">
      <c r="M4137" s="21"/>
    </row>
    <row r="4138" spans="13:13" x14ac:dyDescent="0.25">
      <c r="M4138" s="21"/>
    </row>
    <row r="4139" spans="13:13" x14ac:dyDescent="0.25">
      <c r="M4139" s="21"/>
    </row>
    <row r="4140" spans="13:13" x14ac:dyDescent="0.25">
      <c r="M4140" s="21"/>
    </row>
    <row r="4141" spans="13:13" x14ac:dyDescent="0.25">
      <c r="M4141" s="21"/>
    </row>
    <row r="4142" spans="13:13" x14ac:dyDescent="0.25">
      <c r="M4142" s="21"/>
    </row>
    <row r="4143" spans="13:13" x14ac:dyDescent="0.25">
      <c r="M4143" s="21"/>
    </row>
    <row r="4144" spans="13:13" x14ac:dyDescent="0.25">
      <c r="M4144" s="21"/>
    </row>
    <row r="4145" spans="13:13" x14ac:dyDescent="0.25">
      <c r="M4145" s="21"/>
    </row>
    <row r="4146" spans="13:13" x14ac:dyDescent="0.25">
      <c r="M4146" s="21"/>
    </row>
    <row r="4147" spans="13:13" x14ac:dyDescent="0.25">
      <c r="M4147" s="21"/>
    </row>
    <row r="4148" spans="13:13" x14ac:dyDescent="0.25">
      <c r="M4148" s="21"/>
    </row>
    <row r="4149" spans="13:13" x14ac:dyDescent="0.25">
      <c r="M4149" s="21"/>
    </row>
    <row r="4150" spans="13:13" x14ac:dyDescent="0.25">
      <c r="M4150" s="21"/>
    </row>
    <row r="4151" spans="13:13" x14ac:dyDescent="0.25">
      <c r="M4151" s="21"/>
    </row>
    <row r="4152" spans="13:13" x14ac:dyDescent="0.25">
      <c r="M4152" s="21"/>
    </row>
    <row r="4153" spans="13:13" x14ac:dyDescent="0.25">
      <c r="M4153" s="21"/>
    </row>
    <row r="4154" spans="13:13" x14ac:dyDescent="0.25">
      <c r="M4154" s="21"/>
    </row>
    <row r="4155" spans="13:13" x14ac:dyDescent="0.25">
      <c r="M4155" s="21"/>
    </row>
    <row r="4156" spans="13:13" x14ac:dyDescent="0.25">
      <c r="M4156" s="21"/>
    </row>
    <row r="4157" spans="13:13" x14ac:dyDescent="0.25">
      <c r="M4157" s="21"/>
    </row>
    <row r="4158" spans="13:13" x14ac:dyDescent="0.25">
      <c r="M4158" s="21"/>
    </row>
    <row r="4159" spans="13:13" x14ac:dyDescent="0.25">
      <c r="M4159" s="21"/>
    </row>
    <row r="4160" spans="13:13" x14ac:dyDescent="0.25">
      <c r="M4160" s="21"/>
    </row>
    <row r="4161" spans="13:13" x14ac:dyDescent="0.25">
      <c r="M4161" s="21"/>
    </row>
    <row r="4162" spans="13:13" x14ac:dyDescent="0.25">
      <c r="M4162" s="21"/>
    </row>
    <row r="4163" spans="13:13" x14ac:dyDescent="0.25">
      <c r="M4163" s="21"/>
    </row>
    <row r="4164" spans="13:13" x14ac:dyDescent="0.25">
      <c r="M4164" s="21"/>
    </row>
    <row r="4165" spans="13:13" x14ac:dyDescent="0.25">
      <c r="M4165" s="21"/>
    </row>
    <row r="4166" spans="13:13" x14ac:dyDescent="0.25">
      <c r="M4166" s="21"/>
    </row>
    <row r="4167" spans="13:13" x14ac:dyDescent="0.25">
      <c r="M4167" s="21"/>
    </row>
    <row r="4168" spans="13:13" x14ac:dyDescent="0.25">
      <c r="M4168" s="21"/>
    </row>
    <row r="4169" spans="13:13" x14ac:dyDescent="0.25">
      <c r="M4169" s="21"/>
    </row>
    <row r="4170" spans="13:13" x14ac:dyDescent="0.25">
      <c r="M4170" s="21"/>
    </row>
    <row r="4171" spans="13:13" x14ac:dyDescent="0.25">
      <c r="M4171" s="21"/>
    </row>
    <row r="4172" spans="13:13" x14ac:dyDescent="0.25">
      <c r="M4172" s="21"/>
    </row>
    <row r="4173" spans="13:13" x14ac:dyDescent="0.25">
      <c r="M4173" s="21"/>
    </row>
    <row r="4174" spans="13:13" x14ac:dyDescent="0.25">
      <c r="M4174" s="21"/>
    </row>
    <row r="4175" spans="13:13" x14ac:dyDescent="0.25">
      <c r="M4175" s="21"/>
    </row>
    <row r="4176" spans="13:13" x14ac:dyDescent="0.25">
      <c r="M4176" s="21"/>
    </row>
    <row r="4177" spans="13:13" x14ac:dyDescent="0.25">
      <c r="M4177" s="21"/>
    </row>
    <row r="4178" spans="13:13" x14ac:dyDescent="0.25">
      <c r="M4178" s="21"/>
    </row>
    <row r="4179" spans="13:13" x14ac:dyDescent="0.25">
      <c r="M4179" s="21"/>
    </row>
    <row r="4180" spans="13:13" x14ac:dyDescent="0.25">
      <c r="M4180" s="21"/>
    </row>
    <row r="4181" spans="13:13" x14ac:dyDescent="0.25">
      <c r="M4181" s="21"/>
    </row>
    <row r="4182" spans="13:13" x14ac:dyDescent="0.25">
      <c r="M4182" s="21"/>
    </row>
    <row r="4183" spans="13:13" x14ac:dyDescent="0.25">
      <c r="M4183" s="21"/>
    </row>
    <row r="4184" spans="13:13" x14ac:dyDescent="0.25">
      <c r="M4184" s="21"/>
    </row>
    <row r="4185" spans="13:13" x14ac:dyDescent="0.25">
      <c r="M4185" s="21"/>
    </row>
    <row r="4186" spans="13:13" x14ac:dyDescent="0.25">
      <c r="M4186" s="21"/>
    </row>
    <row r="4187" spans="13:13" x14ac:dyDescent="0.25">
      <c r="M4187" s="21"/>
    </row>
    <row r="4188" spans="13:13" x14ac:dyDescent="0.25">
      <c r="M4188" s="21"/>
    </row>
    <row r="4189" spans="13:13" x14ac:dyDescent="0.25">
      <c r="M4189" s="21"/>
    </row>
    <row r="4190" spans="13:13" x14ac:dyDescent="0.25">
      <c r="M4190" s="21"/>
    </row>
    <row r="4191" spans="13:13" x14ac:dyDescent="0.25">
      <c r="M4191" s="21"/>
    </row>
    <row r="4192" spans="13:13" x14ac:dyDescent="0.25">
      <c r="M4192" s="21"/>
    </row>
    <row r="4193" spans="13:13" x14ac:dyDescent="0.25">
      <c r="M4193" s="21"/>
    </row>
    <row r="4194" spans="13:13" x14ac:dyDescent="0.25">
      <c r="M4194" s="21"/>
    </row>
    <row r="4195" spans="13:13" x14ac:dyDescent="0.25">
      <c r="M4195" s="21"/>
    </row>
    <row r="4196" spans="13:13" x14ac:dyDescent="0.25">
      <c r="M4196" s="21"/>
    </row>
    <row r="4197" spans="13:13" x14ac:dyDescent="0.25">
      <c r="M4197" s="21"/>
    </row>
    <row r="4198" spans="13:13" x14ac:dyDescent="0.25">
      <c r="M4198" s="21"/>
    </row>
    <row r="4199" spans="13:13" x14ac:dyDescent="0.25">
      <c r="M4199" s="21"/>
    </row>
    <row r="4200" spans="13:13" x14ac:dyDescent="0.25">
      <c r="M4200" s="21"/>
    </row>
    <row r="4201" spans="13:13" x14ac:dyDescent="0.25">
      <c r="M4201" s="21"/>
    </row>
    <row r="4202" spans="13:13" x14ac:dyDescent="0.25">
      <c r="M4202" s="21"/>
    </row>
    <row r="4203" spans="13:13" x14ac:dyDescent="0.25">
      <c r="M4203" s="21"/>
    </row>
    <row r="4204" spans="13:13" x14ac:dyDescent="0.25">
      <c r="M4204" s="21"/>
    </row>
    <row r="4205" spans="13:13" x14ac:dyDescent="0.25">
      <c r="M4205" s="21"/>
    </row>
    <row r="4206" spans="13:13" x14ac:dyDescent="0.25">
      <c r="M4206" s="21"/>
    </row>
    <row r="4207" spans="13:13" x14ac:dyDescent="0.25">
      <c r="M4207" s="21"/>
    </row>
    <row r="4208" spans="13:13" x14ac:dyDescent="0.25">
      <c r="M4208" s="21"/>
    </row>
    <row r="4209" spans="13:13" x14ac:dyDescent="0.25">
      <c r="M4209" s="21"/>
    </row>
    <row r="4210" spans="13:13" x14ac:dyDescent="0.25">
      <c r="M4210" s="21"/>
    </row>
    <row r="4211" spans="13:13" x14ac:dyDescent="0.25">
      <c r="M4211" s="21"/>
    </row>
    <row r="4212" spans="13:13" x14ac:dyDescent="0.25">
      <c r="M4212" s="21"/>
    </row>
    <row r="4213" spans="13:13" x14ac:dyDescent="0.25">
      <c r="M4213" s="21"/>
    </row>
    <row r="4214" spans="13:13" x14ac:dyDescent="0.25">
      <c r="M4214" s="21"/>
    </row>
    <row r="4215" spans="13:13" x14ac:dyDescent="0.25">
      <c r="M4215" s="21"/>
    </row>
    <row r="4216" spans="13:13" x14ac:dyDescent="0.25">
      <c r="M4216" s="21"/>
    </row>
    <row r="4217" spans="13:13" x14ac:dyDescent="0.25">
      <c r="M4217" s="21"/>
    </row>
    <row r="4218" spans="13:13" x14ac:dyDescent="0.25">
      <c r="M4218" s="21"/>
    </row>
    <row r="4219" spans="13:13" x14ac:dyDescent="0.25">
      <c r="M4219" s="21"/>
    </row>
    <row r="4220" spans="13:13" x14ac:dyDescent="0.25">
      <c r="M4220" s="21"/>
    </row>
    <row r="4221" spans="13:13" x14ac:dyDescent="0.25">
      <c r="M4221" s="21"/>
    </row>
    <row r="4222" spans="13:13" x14ac:dyDescent="0.25">
      <c r="M4222" s="21"/>
    </row>
    <row r="4223" spans="13:13" x14ac:dyDescent="0.25">
      <c r="M4223" s="21"/>
    </row>
    <row r="4224" spans="13:13" x14ac:dyDescent="0.25">
      <c r="M4224" s="21"/>
    </row>
    <row r="4225" spans="13:13" x14ac:dyDescent="0.25">
      <c r="M4225" s="21"/>
    </row>
    <row r="4226" spans="13:13" x14ac:dyDescent="0.25">
      <c r="M4226" s="21"/>
    </row>
    <row r="4227" spans="13:13" x14ac:dyDescent="0.25">
      <c r="M4227" s="21"/>
    </row>
    <row r="4228" spans="13:13" x14ac:dyDescent="0.25">
      <c r="M4228" s="21"/>
    </row>
    <row r="4229" spans="13:13" x14ac:dyDescent="0.25">
      <c r="M4229" s="21"/>
    </row>
    <row r="4230" spans="13:13" x14ac:dyDescent="0.25">
      <c r="M4230" s="21"/>
    </row>
    <row r="4231" spans="13:13" x14ac:dyDescent="0.25">
      <c r="M4231" s="21"/>
    </row>
    <row r="4232" spans="13:13" x14ac:dyDescent="0.25">
      <c r="M4232" s="21"/>
    </row>
    <row r="4233" spans="13:13" x14ac:dyDescent="0.25">
      <c r="M4233" s="21"/>
    </row>
    <row r="4234" spans="13:13" x14ac:dyDescent="0.25">
      <c r="M4234" s="21"/>
    </row>
    <row r="4235" spans="13:13" x14ac:dyDescent="0.25">
      <c r="M4235" s="21"/>
    </row>
    <row r="4236" spans="13:13" x14ac:dyDescent="0.25">
      <c r="M4236" s="21"/>
    </row>
    <row r="4237" spans="13:13" x14ac:dyDescent="0.25">
      <c r="M4237" s="21"/>
    </row>
    <row r="4238" spans="13:13" x14ac:dyDescent="0.25">
      <c r="M4238" s="21"/>
    </row>
    <row r="4239" spans="13:13" x14ac:dyDescent="0.25">
      <c r="M4239" s="21"/>
    </row>
    <row r="4240" spans="13:13" x14ac:dyDescent="0.25">
      <c r="M4240" s="21"/>
    </row>
    <row r="4241" spans="13:13" x14ac:dyDescent="0.25">
      <c r="M4241" s="21"/>
    </row>
    <row r="4242" spans="13:13" x14ac:dyDescent="0.25">
      <c r="M4242" s="21"/>
    </row>
    <row r="4243" spans="13:13" x14ac:dyDescent="0.25">
      <c r="M4243" s="21"/>
    </row>
    <row r="4244" spans="13:13" x14ac:dyDescent="0.25">
      <c r="M4244" s="21"/>
    </row>
    <row r="4245" spans="13:13" x14ac:dyDescent="0.25">
      <c r="M4245" s="21"/>
    </row>
    <row r="4246" spans="13:13" x14ac:dyDescent="0.25">
      <c r="M4246" s="21"/>
    </row>
    <row r="4247" spans="13:13" x14ac:dyDescent="0.25">
      <c r="M4247" s="21"/>
    </row>
    <row r="4248" spans="13:13" x14ac:dyDescent="0.25">
      <c r="M4248" s="21"/>
    </row>
    <row r="4249" spans="13:13" x14ac:dyDescent="0.25">
      <c r="M4249" s="21"/>
    </row>
    <row r="4250" spans="13:13" x14ac:dyDescent="0.25">
      <c r="M4250" s="21"/>
    </row>
    <row r="4251" spans="13:13" x14ac:dyDescent="0.25">
      <c r="M4251" s="21"/>
    </row>
    <row r="4252" spans="13:13" x14ac:dyDescent="0.25">
      <c r="M4252" s="21"/>
    </row>
    <row r="4253" spans="13:13" x14ac:dyDescent="0.25">
      <c r="M4253" s="21"/>
    </row>
    <row r="4254" spans="13:13" x14ac:dyDescent="0.25">
      <c r="M4254" s="21"/>
    </row>
    <row r="4255" spans="13:13" x14ac:dyDescent="0.25">
      <c r="M4255" s="21"/>
    </row>
    <row r="4256" spans="13:13" x14ac:dyDescent="0.25">
      <c r="M4256" s="21"/>
    </row>
    <row r="4257" spans="13:13" x14ac:dyDescent="0.25">
      <c r="M4257" s="21"/>
    </row>
    <row r="4258" spans="13:13" x14ac:dyDescent="0.25">
      <c r="M4258" s="21"/>
    </row>
    <row r="4259" spans="13:13" x14ac:dyDescent="0.25">
      <c r="M4259" s="21"/>
    </row>
    <row r="4260" spans="13:13" x14ac:dyDescent="0.25">
      <c r="M4260" s="21"/>
    </row>
    <row r="4261" spans="13:13" x14ac:dyDescent="0.25">
      <c r="M4261" s="21"/>
    </row>
    <row r="4262" spans="13:13" x14ac:dyDescent="0.25">
      <c r="M4262" s="21"/>
    </row>
    <row r="4263" spans="13:13" x14ac:dyDescent="0.25">
      <c r="M4263" s="21"/>
    </row>
    <row r="4264" spans="13:13" x14ac:dyDescent="0.25">
      <c r="M4264" s="21"/>
    </row>
    <row r="4265" spans="13:13" x14ac:dyDescent="0.25">
      <c r="M4265" s="21"/>
    </row>
    <row r="4266" spans="13:13" x14ac:dyDescent="0.25">
      <c r="M4266" s="21"/>
    </row>
    <row r="4267" spans="13:13" x14ac:dyDescent="0.25">
      <c r="M4267" s="21"/>
    </row>
    <row r="4268" spans="13:13" x14ac:dyDescent="0.25">
      <c r="M4268" s="21"/>
    </row>
    <row r="4269" spans="13:13" x14ac:dyDescent="0.25">
      <c r="M4269" s="21"/>
    </row>
    <row r="4270" spans="13:13" x14ac:dyDescent="0.25">
      <c r="M4270" s="21"/>
    </row>
    <row r="4271" spans="13:13" x14ac:dyDescent="0.25">
      <c r="M4271" s="21"/>
    </row>
    <row r="4272" spans="13:13" x14ac:dyDescent="0.25">
      <c r="M4272" s="21"/>
    </row>
    <row r="4273" spans="13:13" x14ac:dyDescent="0.25">
      <c r="M4273" s="21"/>
    </row>
    <row r="4274" spans="13:13" x14ac:dyDescent="0.25">
      <c r="M4274" s="21"/>
    </row>
    <row r="4275" spans="13:13" x14ac:dyDescent="0.25">
      <c r="M4275" s="21"/>
    </row>
    <row r="4276" spans="13:13" x14ac:dyDescent="0.25">
      <c r="M4276" s="21"/>
    </row>
    <row r="4277" spans="13:13" x14ac:dyDescent="0.25">
      <c r="M4277" s="21"/>
    </row>
    <row r="4278" spans="13:13" x14ac:dyDescent="0.25">
      <c r="M4278" s="21"/>
    </row>
    <row r="4279" spans="13:13" x14ac:dyDescent="0.25">
      <c r="M4279" s="21"/>
    </row>
    <row r="4280" spans="13:13" x14ac:dyDescent="0.25">
      <c r="M4280" s="21"/>
    </row>
    <row r="4281" spans="13:13" x14ac:dyDescent="0.25">
      <c r="M4281" s="21"/>
    </row>
    <row r="4282" spans="13:13" x14ac:dyDescent="0.25">
      <c r="M4282" s="21"/>
    </row>
    <row r="4283" spans="13:13" x14ac:dyDescent="0.25">
      <c r="M4283" s="21"/>
    </row>
    <row r="4284" spans="13:13" x14ac:dyDescent="0.25">
      <c r="M4284" s="21"/>
    </row>
    <row r="4285" spans="13:13" x14ac:dyDescent="0.25">
      <c r="M4285" s="21"/>
    </row>
    <row r="4286" spans="13:13" x14ac:dyDescent="0.25">
      <c r="M4286" s="21"/>
    </row>
    <row r="4287" spans="13:13" x14ac:dyDescent="0.25">
      <c r="M4287" s="21"/>
    </row>
    <row r="4288" spans="13:13" x14ac:dyDescent="0.25">
      <c r="M4288" s="21"/>
    </row>
    <row r="4289" spans="13:13" x14ac:dyDescent="0.25">
      <c r="M4289" s="21"/>
    </row>
    <row r="4290" spans="13:13" x14ac:dyDescent="0.25">
      <c r="M4290" s="21"/>
    </row>
    <row r="4291" spans="13:13" x14ac:dyDescent="0.25">
      <c r="M4291" s="21"/>
    </row>
    <row r="4292" spans="13:13" x14ac:dyDescent="0.25">
      <c r="M4292" s="21"/>
    </row>
    <row r="4293" spans="13:13" x14ac:dyDescent="0.25">
      <c r="M4293" s="21"/>
    </row>
    <row r="4294" spans="13:13" x14ac:dyDescent="0.25">
      <c r="M4294" s="21"/>
    </row>
    <row r="4295" spans="13:13" x14ac:dyDescent="0.25">
      <c r="M4295" s="21"/>
    </row>
    <row r="4296" spans="13:13" x14ac:dyDescent="0.25">
      <c r="M4296" s="21"/>
    </row>
    <row r="4297" spans="13:13" x14ac:dyDescent="0.25">
      <c r="M4297" s="21"/>
    </row>
    <row r="4298" spans="13:13" x14ac:dyDescent="0.25">
      <c r="M4298" s="21"/>
    </row>
    <row r="4299" spans="13:13" x14ac:dyDescent="0.25">
      <c r="M4299" s="21"/>
    </row>
    <row r="4300" spans="13:13" x14ac:dyDescent="0.25">
      <c r="M4300" s="21"/>
    </row>
    <row r="4301" spans="13:13" x14ac:dyDescent="0.25">
      <c r="M4301" s="21"/>
    </row>
    <row r="4302" spans="13:13" x14ac:dyDescent="0.25">
      <c r="M4302" s="21"/>
    </row>
    <row r="4303" spans="13:13" x14ac:dyDescent="0.25">
      <c r="M4303" s="21"/>
    </row>
    <row r="4304" spans="13:13" x14ac:dyDescent="0.25">
      <c r="M4304" s="21"/>
    </row>
    <row r="4305" spans="13:13" x14ac:dyDescent="0.25">
      <c r="M4305" s="21"/>
    </row>
    <row r="4306" spans="13:13" x14ac:dyDescent="0.25">
      <c r="M4306" s="21"/>
    </row>
    <row r="4307" spans="13:13" x14ac:dyDescent="0.25">
      <c r="M4307" s="21"/>
    </row>
    <row r="4308" spans="13:13" x14ac:dyDescent="0.25">
      <c r="M4308" s="21"/>
    </row>
    <row r="4309" spans="13:13" x14ac:dyDescent="0.25">
      <c r="M4309" s="21"/>
    </row>
    <row r="4310" spans="13:13" x14ac:dyDescent="0.25">
      <c r="M4310" s="21"/>
    </row>
    <row r="4311" spans="13:13" x14ac:dyDescent="0.25">
      <c r="M4311" s="21"/>
    </row>
    <row r="4312" spans="13:13" x14ac:dyDescent="0.25">
      <c r="M4312" s="21"/>
    </row>
    <row r="4313" spans="13:13" x14ac:dyDescent="0.25">
      <c r="M4313" s="21"/>
    </row>
    <row r="4314" spans="13:13" x14ac:dyDescent="0.25">
      <c r="M4314" s="21"/>
    </row>
    <row r="4315" spans="13:13" x14ac:dyDescent="0.25">
      <c r="M4315" s="21"/>
    </row>
    <row r="4316" spans="13:13" x14ac:dyDescent="0.25">
      <c r="M4316" s="21"/>
    </row>
    <row r="4317" spans="13:13" x14ac:dyDescent="0.25">
      <c r="M4317" s="21"/>
    </row>
    <row r="4318" spans="13:13" x14ac:dyDescent="0.25">
      <c r="M4318" s="21"/>
    </row>
    <row r="4319" spans="13:13" x14ac:dyDescent="0.25">
      <c r="M4319" s="21"/>
    </row>
    <row r="4320" spans="13:13" x14ac:dyDescent="0.25">
      <c r="M4320" s="21"/>
    </row>
    <row r="4321" spans="13:13" x14ac:dyDescent="0.25">
      <c r="M4321" s="21"/>
    </row>
    <row r="4322" spans="13:13" x14ac:dyDescent="0.25">
      <c r="M4322" s="21"/>
    </row>
    <row r="4323" spans="13:13" x14ac:dyDescent="0.25">
      <c r="M4323" s="21"/>
    </row>
    <row r="4324" spans="13:13" x14ac:dyDescent="0.25">
      <c r="M4324" s="21"/>
    </row>
    <row r="4325" spans="13:13" x14ac:dyDescent="0.25">
      <c r="M4325" s="21"/>
    </row>
    <row r="4326" spans="13:13" x14ac:dyDescent="0.25">
      <c r="M4326" s="21"/>
    </row>
    <row r="4327" spans="13:13" x14ac:dyDescent="0.25">
      <c r="M4327" s="21"/>
    </row>
    <row r="4328" spans="13:13" x14ac:dyDescent="0.25">
      <c r="M4328" s="21"/>
    </row>
    <row r="4329" spans="13:13" x14ac:dyDescent="0.25">
      <c r="M4329" s="21"/>
    </row>
    <row r="4330" spans="13:13" x14ac:dyDescent="0.25">
      <c r="M4330" s="21"/>
    </row>
    <row r="4331" spans="13:13" x14ac:dyDescent="0.25">
      <c r="M4331" s="21"/>
    </row>
    <row r="4332" spans="13:13" x14ac:dyDescent="0.25">
      <c r="M4332" s="21"/>
    </row>
    <row r="4333" spans="13:13" x14ac:dyDescent="0.25">
      <c r="M4333" s="21"/>
    </row>
    <row r="4334" spans="13:13" x14ac:dyDescent="0.25">
      <c r="M4334" s="21"/>
    </row>
    <row r="4335" spans="13:13" x14ac:dyDescent="0.25">
      <c r="M4335" s="21"/>
    </row>
    <row r="4336" spans="13:13" x14ac:dyDescent="0.25">
      <c r="M4336" s="21"/>
    </row>
    <row r="4337" spans="13:13" x14ac:dyDescent="0.25">
      <c r="M4337" s="21"/>
    </row>
    <row r="4338" spans="13:13" x14ac:dyDescent="0.25">
      <c r="M4338" s="21"/>
    </row>
    <row r="4339" spans="13:13" x14ac:dyDescent="0.25">
      <c r="M4339" s="21"/>
    </row>
    <row r="4340" spans="13:13" x14ac:dyDescent="0.25">
      <c r="M4340" s="21"/>
    </row>
    <row r="4341" spans="13:13" x14ac:dyDescent="0.25">
      <c r="M4341" s="21"/>
    </row>
    <row r="4342" spans="13:13" x14ac:dyDescent="0.25">
      <c r="M4342" s="21"/>
    </row>
    <row r="4343" spans="13:13" x14ac:dyDescent="0.25">
      <c r="M4343" s="21"/>
    </row>
    <row r="4344" spans="13:13" x14ac:dyDescent="0.25">
      <c r="M4344" s="21"/>
    </row>
    <row r="4345" spans="13:13" x14ac:dyDescent="0.25">
      <c r="M4345" s="21"/>
    </row>
    <row r="4346" spans="13:13" x14ac:dyDescent="0.25">
      <c r="M4346" s="21"/>
    </row>
    <row r="4347" spans="13:13" x14ac:dyDescent="0.25">
      <c r="M4347" s="21"/>
    </row>
    <row r="4348" spans="13:13" x14ac:dyDescent="0.25">
      <c r="M4348" s="21"/>
    </row>
    <row r="4349" spans="13:13" x14ac:dyDescent="0.25">
      <c r="M4349" s="21"/>
    </row>
    <row r="4350" spans="13:13" x14ac:dyDescent="0.25">
      <c r="M4350" s="21"/>
    </row>
    <row r="4351" spans="13:13" x14ac:dyDescent="0.25">
      <c r="M4351" s="21"/>
    </row>
    <row r="4352" spans="13:13" x14ac:dyDescent="0.25">
      <c r="M4352" s="21"/>
    </row>
    <row r="4353" spans="13:13" x14ac:dyDescent="0.25">
      <c r="M4353" s="21"/>
    </row>
    <row r="4354" spans="13:13" x14ac:dyDescent="0.25">
      <c r="M4354" s="21"/>
    </row>
    <row r="4355" spans="13:13" x14ac:dyDescent="0.25">
      <c r="M4355" s="21"/>
    </row>
    <row r="4356" spans="13:13" x14ac:dyDescent="0.25">
      <c r="M4356" s="21"/>
    </row>
    <row r="4357" spans="13:13" x14ac:dyDescent="0.25">
      <c r="M4357" s="21"/>
    </row>
    <row r="4358" spans="13:13" x14ac:dyDescent="0.25">
      <c r="M4358" s="21"/>
    </row>
    <row r="4359" spans="13:13" x14ac:dyDescent="0.25">
      <c r="M4359" s="21"/>
    </row>
    <row r="4360" spans="13:13" x14ac:dyDescent="0.25">
      <c r="M4360" s="21"/>
    </row>
    <row r="4361" spans="13:13" x14ac:dyDescent="0.25">
      <c r="M4361" s="21"/>
    </row>
    <row r="4362" spans="13:13" x14ac:dyDescent="0.25">
      <c r="M4362" s="21"/>
    </row>
    <row r="4363" spans="13:13" x14ac:dyDescent="0.25">
      <c r="M4363" s="21"/>
    </row>
    <row r="4364" spans="13:13" x14ac:dyDescent="0.25">
      <c r="M4364" s="21"/>
    </row>
    <row r="4365" spans="13:13" x14ac:dyDescent="0.25">
      <c r="M4365" s="21"/>
    </row>
    <row r="4366" spans="13:13" x14ac:dyDescent="0.25">
      <c r="M4366" s="21"/>
    </row>
    <row r="4367" spans="13:13" x14ac:dyDescent="0.25">
      <c r="M4367" s="21"/>
    </row>
    <row r="4368" spans="13:13" x14ac:dyDescent="0.25">
      <c r="M4368" s="21"/>
    </row>
    <row r="4369" spans="13:13" x14ac:dyDescent="0.25">
      <c r="M4369" s="21"/>
    </row>
    <row r="4370" spans="13:13" x14ac:dyDescent="0.25">
      <c r="M4370" s="21"/>
    </row>
    <row r="4371" spans="13:13" x14ac:dyDescent="0.25">
      <c r="M4371" s="21"/>
    </row>
    <row r="4372" spans="13:13" x14ac:dyDescent="0.25">
      <c r="M4372" s="21"/>
    </row>
    <row r="4373" spans="13:13" x14ac:dyDescent="0.25">
      <c r="M4373" s="21"/>
    </row>
    <row r="4374" spans="13:13" x14ac:dyDescent="0.25">
      <c r="M4374" s="21"/>
    </row>
    <row r="4375" spans="13:13" x14ac:dyDescent="0.25">
      <c r="M4375" s="21"/>
    </row>
    <row r="4376" spans="13:13" x14ac:dyDescent="0.25">
      <c r="M4376" s="21"/>
    </row>
    <row r="4377" spans="13:13" x14ac:dyDescent="0.25">
      <c r="M4377" s="21"/>
    </row>
    <row r="4378" spans="13:13" x14ac:dyDescent="0.25">
      <c r="M4378" s="21"/>
    </row>
    <row r="4379" spans="13:13" x14ac:dyDescent="0.25">
      <c r="M4379" s="21"/>
    </row>
    <row r="4380" spans="13:13" x14ac:dyDescent="0.25">
      <c r="M4380" s="21"/>
    </row>
    <row r="4381" spans="13:13" x14ac:dyDescent="0.25">
      <c r="M4381" s="21"/>
    </row>
    <row r="4382" spans="13:13" x14ac:dyDescent="0.25">
      <c r="M4382" s="21"/>
    </row>
    <row r="4383" spans="13:13" x14ac:dyDescent="0.25">
      <c r="M4383" s="21"/>
    </row>
    <row r="4384" spans="13:13" x14ac:dyDescent="0.25">
      <c r="M4384" s="21"/>
    </row>
    <row r="4385" spans="13:13" x14ac:dyDescent="0.25">
      <c r="M4385" s="21"/>
    </row>
    <row r="4386" spans="13:13" x14ac:dyDescent="0.25">
      <c r="M4386" s="21"/>
    </row>
    <row r="4387" spans="13:13" x14ac:dyDescent="0.25">
      <c r="M4387" s="21"/>
    </row>
    <row r="4388" spans="13:13" x14ac:dyDescent="0.25">
      <c r="M4388" s="21"/>
    </row>
    <row r="4389" spans="13:13" x14ac:dyDescent="0.25">
      <c r="M4389" s="21"/>
    </row>
    <row r="4390" spans="13:13" x14ac:dyDescent="0.25">
      <c r="M4390" s="21"/>
    </row>
    <row r="4391" spans="13:13" x14ac:dyDescent="0.25">
      <c r="M4391" s="21"/>
    </row>
    <row r="4392" spans="13:13" x14ac:dyDescent="0.25">
      <c r="M4392" s="21"/>
    </row>
    <row r="4393" spans="13:13" x14ac:dyDescent="0.25">
      <c r="M4393" s="21"/>
    </row>
    <row r="4394" spans="13:13" x14ac:dyDescent="0.25">
      <c r="M4394" s="21"/>
    </row>
    <row r="4395" spans="13:13" x14ac:dyDescent="0.25">
      <c r="M4395" s="21"/>
    </row>
    <row r="4396" spans="13:13" x14ac:dyDescent="0.25">
      <c r="M4396" s="21"/>
    </row>
    <row r="4397" spans="13:13" x14ac:dyDescent="0.25">
      <c r="M4397" s="21"/>
    </row>
    <row r="4398" spans="13:13" x14ac:dyDescent="0.25">
      <c r="M4398" s="21"/>
    </row>
    <row r="4399" spans="13:13" x14ac:dyDescent="0.25">
      <c r="M4399" s="21"/>
    </row>
    <row r="4400" spans="13:13" x14ac:dyDescent="0.25">
      <c r="M4400" s="21"/>
    </row>
    <row r="4401" spans="13:13" x14ac:dyDescent="0.25">
      <c r="M4401" s="21"/>
    </row>
    <row r="4402" spans="13:13" x14ac:dyDescent="0.25">
      <c r="M4402" s="21"/>
    </row>
    <row r="4403" spans="13:13" x14ac:dyDescent="0.25">
      <c r="M4403" s="21"/>
    </row>
    <row r="4404" spans="13:13" x14ac:dyDescent="0.25">
      <c r="M4404" s="21"/>
    </row>
    <row r="4405" spans="13:13" x14ac:dyDescent="0.25">
      <c r="M4405" s="21"/>
    </row>
    <row r="4406" spans="13:13" x14ac:dyDescent="0.25">
      <c r="M4406" s="21"/>
    </row>
    <row r="4407" spans="13:13" x14ac:dyDescent="0.25">
      <c r="M4407" s="21"/>
    </row>
    <row r="4408" spans="13:13" x14ac:dyDescent="0.25">
      <c r="M4408" s="21"/>
    </row>
    <row r="4409" spans="13:13" x14ac:dyDescent="0.25">
      <c r="M4409" s="21"/>
    </row>
    <row r="4410" spans="13:13" x14ac:dyDescent="0.25">
      <c r="M4410" s="21"/>
    </row>
    <row r="4411" spans="13:13" x14ac:dyDescent="0.25">
      <c r="M4411" s="21"/>
    </row>
    <row r="4412" spans="13:13" x14ac:dyDescent="0.25">
      <c r="M4412" s="21"/>
    </row>
    <row r="4413" spans="13:13" x14ac:dyDescent="0.25">
      <c r="M4413" s="21"/>
    </row>
    <row r="4414" spans="13:13" x14ac:dyDescent="0.25">
      <c r="M4414" s="21"/>
    </row>
    <row r="4415" spans="13:13" x14ac:dyDescent="0.25">
      <c r="M4415" s="21"/>
    </row>
    <row r="4416" spans="13:13" x14ac:dyDescent="0.25">
      <c r="M4416" s="21"/>
    </row>
    <row r="4417" spans="13:13" x14ac:dyDescent="0.25">
      <c r="M4417" s="21"/>
    </row>
    <row r="4418" spans="13:13" x14ac:dyDescent="0.25">
      <c r="M4418" s="21"/>
    </row>
    <row r="4419" spans="13:13" x14ac:dyDescent="0.25">
      <c r="M4419" s="21"/>
    </row>
    <row r="4420" spans="13:13" x14ac:dyDescent="0.25">
      <c r="M4420" s="21"/>
    </row>
    <row r="4421" spans="13:13" x14ac:dyDescent="0.25">
      <c r="M4421" s="21"/>
    </row>
    <row r="4422" spans="13:13" x14ac:dyDescent="0.25">
      <c r="M4422" s="21"/>
    </row>
    <row r="4423" spans="13:13" x14ac:dyDescent="0.25">
      <c r="M4423" s="21"/>
    </row>
    <row r="4424" spans="13:13" x14ac:dyDescent="0.25">
      <c r="M4424" s="21"/>
    </row>
    <row r="4425" spans="13:13" x14ac:dyDescent="0.25">
      <c r="M4425" s="21"/>
    </row>
    <row r="4426" spans="13:13" x14ac:dyDescent="0.25">
      <c r="M4426" s="21"/>
    </row>
    <row r="4427" spans="13:13" x14ac:dyDescent="0.25">
      <c r="M4427" s="21"/>
    </row>
    <row r="4428" spans="13:13" x14ac:dyDescent="0.25">
      <c r="M4428" s="21"/>
    </row>
    <row r="4429" spans="13:13" x14ac:dyDescent="0.25">
      <c r="M4429" s="21"/>
    </row>
    <row r="4430" spans="13:13" x14ac:dyDescent="0.25">
      <c r="M4430" s="21"/>
    </row>
    <row r="4431" spans="13:13" x14ac:dyDescent="0.25">
      <c r="M4431" s="21"/>
    </row>
    <row r="4432" spans="13:13" x14ac:dyDescent="0.25">
      <c r="M4432" s="21"/>
    </row>
    <row r="4433" spans="13:13" x14ac:dyDescent="0.25">
      <c r="M4433" s="21"/>
    </row>
    <row r="4434" spans="13:13" x14ac:dyDescent="0.25">
      <c r="M4434" s="21"/>
    </row>
    <row r="4435" spans="13:13" x14ac:dyDescent="0.25">
      <c r="M4435" s="21"/>
    </row>
    <row r="4436" spans="13:13" x14ac:dyDescent="0.25">
      <c r="M4436" s="21"/>
    </row>
    <row r="4437" spans="13:13" x14ac:dyDescent="0.25">
      <c r="M4437" s="21"/>
    </row>
    <row r="4438" spans="13:13" x14ac:dyDescent="0.25">
      <c r="M4438" s="21"/>
    </row>
    <row r="4439" spans="13:13" x14ac:dyDescent="0.25">
      <c r="M4439" s="21"/>
    </row>
    <row r="4440" spans="13:13" x14ac:dyDescent="0.25">
      <c r="M4440" s="21"/>
    </row>
    <row r="4441" spans="13:13" x14ac:dyDescent="0.25">
      <c r="M4441" s="21"/>
    </row>
    <row r="4442" spans="13:13" x14ac:dyDescent="0.25">
      <c r="M4442" s="21"/>
    </row>
    <row r="4443" spans="13:13" x14ac:dyDescent="0.25">
      <c r="M4443" s="21"/>
    </row>
    <row r="4444" spans="13:13" x14ac:dyDescent="0.25">
      <c r="M4444" s="21"/>
    </row>
    <row r="4445" spans="13:13" x14ac:dyDescent="0.25">
      <c r="M4445" s="21"/>
    </row>
    <row r="4446" spans="13:13" x14ac:dyDescent="0.25">
      <c r="M4446" s="21"/>
    </row>
    <row r="4447" spans="13:13" x14ac:dyDescent="0.25">
      <c r="M4447" s="21"/>
    </row>
    <row r="4448" spans="13:13" x14ac:dyDescent="0.25">
      <c r="M4448" s="21"/>
    </row>
    <row r="4449" spans="13:13" x14ac:dyDescent="0.25">
      <c r="M4449" s="21"/>
    </row>
    <row r="4450" spans="13:13" x14ac:dyDescent="0.25">
      <c r="M4450" s="21"/>
    </row>
    <row r="4451" spans="13:13" x14ac:dyDescent="0.25">
      <c r="M4451" s="21"/>
    </row>
    <row r="4452" spans="13:13" x14ac:dyDescent="0.25">
      <c r="M4452" s="21"/>
    </row>
    <row r="4453" spans="13:13" x14ac:dyDescent="0.25">
      <c r="M4453" s="21"/>
    </row>
    <row r="4454" spans="13:13" x14ac:dyDescent="0.25">
      <c r="M4454" s="21"/>
    </row>
    <row r="4455" spans="13:13" x14ac:dyDescent="0.25">
      <c r="M4455" s="21"/>
    </row>
    <row r="4456" spans="13:13" x14ac:dyDescent="0.25">
      <c r="M4456" s="21"/>
    </row>
    <row r="4457" spans="13:13" x14ac:dyDescent="0.25">
      <c r="M4457" s="21"/>
    </row>
    <row r="4458" spans="13:13" x14ac:dyDescent="0.25">
      <c r="M4458" s="21"/>
    </row>
    <row r="4459" spans="13:13" x14ac:dyDescent="0.25">
      <c r="M4459" s="21"/>
    </row>
    <row r="4460" spans="13:13" x14ac:dyDescent="0.25">
      <c r="M4460" s="21"/>
    </row>
    <row r="4461" spans="13:13" x14ac:dyDescent="0.25">
      <c r="M4461" s="21"/>
    </row>
    <row r="4462" spans="13:13" x14ac:dyDescent="0.25">
      <c r="M4462" s="21"/>
    </row>
    <row r="4463" spans="13:13" x14ac:dyDescent="0.25">
      <c r="M4463" s="21"/>
    </row>
    <row r="4464" spans="13:13" x14ac:dyDescent="0.25">
      <c r="M4464" s="21"/>
    </row>
    <row r="4465" spans="13:13" x14ac:dyDescent="0.25">
      <c r="M4465" s="21"/>
    </row>
    <row r="4466" spans="13:13" x14ac:dyDescent="0.25">
      <c r="M4466" s="21"/>
    </row>
    <row r="4467" spans="13:13" x14ac:dyDescent="0.25">
      <c r="M4467" s="21"/>
    </row>
    <row r="4468" spans="13:13" x14ac:dyDescent="0.25">
      <c r="M4468" s="21"/>
    </row>
    <row r="4469" spans="13:13" x14ac:dyDescent="0.25">
      <c r="M4469" s="21"/>
    </row>
    <row r="4470" spans="13:13" x14ac:dyDescent="0.25">
      <c r="M4470" s="21"/>
    </row>
    <row r="4471" spans="13:13" x14ac:dyDescent="0.25">
      <c r="M4471" s="21"/>
    </row>
    <row r="4472" spans="13:13" x14ac:dyDescent="0.25">
      <c r="M4472" s="21"/>
    </row>
    <row r="4473" spans="13:13" x14ac:dyDescent="0.25">
      <c r="M4473" s="21"/>
    </row>
    <row r="4474" spans="13:13" x14ac:dyDescent="0.25">
      <c r="M4474" s="21"/>
    </row>
    <row r="4475" spans="13:13" x14ac:dyDescent="0.25">
      <c r="M4475" s="21"/>
    </row>
    <row r="4476" spans="13:13" x14ac:dyDescent="0.25">
      <c r="M4476" s="21"/>
    </row>
    <row r="4477" spans="13:13" x14ac:dyDescent="0.25">
      <c r="M4477" s="21"/>
    </row>
    <row r="4478" spans="13:13" x14ac:dyDescent="0.25">
      <c r="M4478" s="21"/>
    </row>
    <row r="4479" spans="13:13" x14ac:dyDescent="0.25">
      <c r="M4479" s="21"/>
    </row>
    <row r="4480" spans="13:13" x14ac:dyDescent="0.25">
      <c r="M4480" s="21"/>
    </row>
    <row r="4481" spans="13:13" x14ac:dyDescent="0.25">
      <c r="M4481" s="21"/>
    </row>
    <row r="4482" spans="13:13" x14ac:dyDescent="0.25">
      <c r="M4482" s="21"/>
    </row>
    <row r="4483" spans="13:13" x14ac:dyDescent="0.25">
      <c r="M4483" s="21"/>
    </row>
    <row r="4484" spans="13:13" x14ac:dyDescent="0.25">
      <c r="M4484" s="21"/>
    </row>
    <row r="4485" spans="13:13" x14ac:dyDescent="0.25">
      <c r="M4485" s="21"/>
    </row>
    <row r="4486" spans="13:13" x14ac:dyDescent="0.25">
      <c r="M4486" s="21"/>
    </row>
    <row r="4487" spans="13:13" x14ac:dyDescent="0.25">
      <c r="M4487" s="21"/>
    </row>
    <row r="4488" spans="13:13" x14ac:dyDescent="0.25">
      <c r="M4488" s="21"/>
    </row>
    <row r="4489" spans="13:13" x14ac:dyDescent="0.25">
      <c r="M4489" s="21"/>
    </row>
    <row r="4490" spans="13:13" x14ac:dyDescent="0.25">
      <c r="M4490" s="21"/>
    </row>
    <row r="4491" spans="13:13" x14ac:dyDescent="0.25">
      <c r="M4491" s="21"/>
    </row>
    <row r="4492" spans="13:13" x14ac:dyDescent="0.25">
      <c r="M4492" s="21"/>
    </row>
    <row r="4493" spans="13:13" x14ac:dyDescent="0.25">
      <c r="M4493" s="21"/>
    </row>
    <row r="4494" spans="13:13" x14ac:dyDescent="0.25">
      <c r="M4494" s="21"/>
    </row>
    <row r="4495" spans="13:13" x14ac:dyDescent="0.25">
      <c r="M4495" s="21"/>
    </row>
    <row r="4496" spans="13:13" x14ac:dyDescent="0.25">
      <c r="M4496" s="21"/>
    </row>
    <row r="4497" spans="13:13" x14ac:dyDescent="0.25">
      <c r="M4497" s="21"/>
    </row>
    <row r="4498" spans="13:13" x14ac:dyDescent="0.25">
      <c r="M4498" s="21"/>
    </row>
    <row r="4499" spans="13:13" x14ac:dyDescent="0.25">
      <c r="M4499" s="21"/>
    </row>
    <row r="4500" spans="13:13" x14ac:dyDescent="0.25">
      <c r="M4500" s="21"/>
    </row>
    <row r="4501" spans="13:13" x14ac:dyDescent="0.25">
      <c r="M4501" s="21"/>
    </row>
    <row r="4502" spans="13:13" x14ac:dyDescent="0.25">
      <c r="M4502" s="21"/>
    </row>
    <row r="4503" spans="13:13" x14ac:dyDescent="0.25">
      <c r="M4503" s="21"/>
    </row>
    <row r="4504" spans="13:13" x14ac:dyDescent="0.25">
      <c r="M4504" s="21"/>
    </row>
    <row r="4505" spans="13:13" x14ac:dyDescent="0.25">
      <c r="M4505" s="21"/>
    </row>
    <row r="4506" spans="13:13" x14ac:dyDescent="0.25">
      <c r="M4506" s="21"/>
    </row>
    <row r="4507" spans="13:13" x14ac:dyDescent="0.25">
      <c r="M4507" s="21"/>
    </row>
    <row r="4508" spans="13:13" x14ac:dyDescent="0.25">
      <c r="M4508" s="21"/>
    </row>
    <row r="4509" spans="13:13" x14ac:dyDescent="0.25">
      <c r="M4509" s="21"/>
    </row>
    <row r="4510" spans="13:13" x14ac:dyDescent="0.25">
      <c r="M4510" s="21"/>
    </row>
    <row r="4511" spans="13:13" x14ac:dyDescent="0.25">
      <c r="M4511" s="21"/>
    </row>
    <row r="4512" spans="13:13" x14ac:dyDescent="0.25">
      <c r="M4512" s="21"/>
    </row>
    <row r="4513" spans="13:13" x14ac:dyDescent="0.25">
      <c r="M4513" s="21"/>
    </row>
    <row r="4514" spans="13:13" x14ac:dyDescent="0.25">
      <c r="M4514" s="21"/>
    </row>
    <row r="4515" spans="13:13" x14ac:dyDescent="0.25">
      <c r="M4515" s="21"/>
    </row>
    <row r="4516" spans="13:13" x14ac:dyDescent="0.25">
      <c r="M4516" s="21"/>
    </row>
    <row r="4517" spans="13:13" x14ac:dyDescent="0.25">
      <c r="M4517" s="21"/>
    </row>
    <row r="4518" spans="13:13" x14ac:dyDescent="0.25">
      <c r="M4518" s="21"/>
    </row>
    <row r="4519" spans="13:13" x14ac:dyDescent="0.25">
      <c r="M4519" s="21"/>
    </row>
    <row r="4520" spans="13:13" x14ac:dyDescent="0.25">
      <c r="M4520" s="21"/>
    </row>
    <row r="4521" spans="13:13" x14ac:dyDescent="0.25">
      <c r="M4521" s="21"/>
    </row>
    <row r="4522" spans="13:13" x14ac:dyDescent="0.25">
      <c r="M4522" s="21"/>
    </row>
    <row r="4523" spans="13:13" x14ac:dyDescent="0.25">
      <c r="M4523" s="21"/>
    </row>
    <row r="4524" spans="13:13" x14ac:dyDescent="0.25">
      <c r="M4524" s="21"/>
    </row>
    <row r="4525" spans="13:13" x14ac:dyDescent="0.25">
      <c r="M4525" s="21"/>
    </row>
    <row r="4526" spans="13:13" x14ac:dyDescent="0.25">
      <c r="M4526" s="21"/>
    </row>
    <row r="4527" spans="13:13" x14ac:dyDescent="0.25">
      <c r="M4527" s="21"/>
    </row>
    <row r="4528" spans="13:13" x14ac:dyDescent="0.25">
      <c r="M4528" s="21"/>
    </row>
    <row r="4529" spans="13:13" x14ac:dyDescent="0.25">
      <c r="M4529" s="21"/>
    </row>
    <row r="4530" spans="13:13" x14ac:dyDescent="0.25">
      <c r="M4530" s="21"/>
    </row>
    <row r="4531" spans="13:13" x14ac:dyDescent="0.25">
      <c r="M4531" s="21"/>
    </row>
    <row r="4532" spans="13:13" x14ac:dyDescent="0.25">
      <c r="M4532" s="21"/>
    </row>
    <row r="4533" spans="13:13" x14ac:dyDescent="0.25">
      <c r="M4533" s="21"/>
    </row>
    <row r="4534" spans="13:13" x14ac:dyDescent="0.25">
      <c r="M4534" s="21"/>
    </row>
    <row r="4535" spans="13:13" x14ac:dyDescent="0.25">
      <c r="M4535" s="21"/>
    </row>
    <row r="4536" spans="13:13" x14ac:dyDescent="0.25">
      <c r="M4536" s="21"/>
    </row>
    <row r="4537" spans="13:13" x14ac:dyDescent="0.25">
      <c r="M4537" s="21"/>
    </row>
    <row r="4538" spans="13:13" x14ac:dyDescent="0.25">
      <c r="M4538" s="21"/>
    </row>
    <row r="4539" spans="13:13" x14ac:dyDescent="0.25">
      <c r="M4539" s="21"/>
    </row>
    <row r="4540" spans="13:13" x14ac:dyDescent="0.25">
      <c r="M4540" s="21"/>
    </row>
    <row r="4541" spans="13:13" x14ac:dyDescent="0.25">
      <c r="M4541" s="21"/>
    </row>
    <row r="4542" spans="13:13" x14ac:dyDescent="0.25">
      <c r="M4542" s="21"/>
    </row>
    <row r="4543" spans="13:13" x14ac:dyDescent="0.25">
      <c r="M4543" s="21"/>
    </row>
    <row r="4544" spans="13:13" x14ac:dyDescent="0.25">
      <c r="M4544" s="21"/>
    </row>
    <row r="4545" spans="13:13" x14ac:dyDescent="0.25">
      <c r="M4545" s="21"/>
    </row>
    <row r="4546" spans="13:13" x14ac:dyDescent="0.25">
      <c r="M4546" s="21"/>
    </row>
    <row r="4547" spans="13:13" x14ac:dyDescent="0.25">
      <c r="M4547" s="21"/>
    </row>
    <row r="4548" spans="13:13" x14ac:dyDescent="0.25">
      <c r="M4548" s="21"/>
    </row>
    <row r="4549" spans="13:13" x14ac:dyDescent="0.25">
      <c r="M4549" s="21"/>
    </row>
    <row r="4550" spans="13:13" x14ac:dyDescent="0.25">
      <c r="M4550" s="21"/>
    </row>
    <row r="4551" spans="13:13" x14ac:dyDescent="0.25">
      <c r="M4551" s="21"/>
    </row>
    <row r="4552" spans="13:13" x14ac:dyDescent="0.25">
      <c r="M4552" s="21"/>
    </row>
    <row r="4553" spans="13:13" x14ac:dyDescent="0.25">
      <c r="M4553" s="21"/>
    </row>
    <row r="4554" spans="13:13" x14ac:dyDescent="0.25">
      <c r="M4554" s="21"/>
    </row>
    <row r="4555" spans="13:13" x14ac:dyDescent="0.25">
      <c r="M4555" s="21"/>
    </row>
    <row r="4556" spans="13:13" x14ac:dyDescent="0.25">
      <c r="M4556" s="21"/>
    </row>
    <row r="4557" spans="13:13" x14ac:dyDescent="0.25">
      <c r="M4557" s="21"/>
    </row>
    <row r="4558" spans="13:13" x14ac:dyDescent="0.25">
      <c r="M4558" s="21"/>
    </row>
    <row r="4559" spans="13:13" x14ac:dyDescent="0.25">
      <c r="M4559" s="21"/>
    </row>
    <row r="4560" spans="13:13" x14ac:dyDescent="0.25">
      <c r="M4560" s="21"/>
    </row>
    <row r="4561" spans="13:13" x14ac:dyDescent="0.25">
      <c r="M4561" s="21"/>
    </row>
    <row r="4562" spans="13:13" x14ac:dyDescent="0.25">
      <c r="M4562" s="21"/>
    </row>
    <row r="4563" spans="13:13" x14ac:dyDescent="0.25">
      <c r="M4563" s="21"/>
    </row>
    <row r="4564" spans="13:13" x14ac:dyDescent="0.25">
      <c r="M4564" s="21"/>
    </row>
    <row r="4565" spans="13:13" x14ac:dyDescent="0.25">
      <c r="M4565" s="21"/>
    </row>
    <row r="4566" spans="13:13" x14ac:dyDescent="0.25">
      <c r="M4566" s="21"/>
    </row>
    <row r="4567" spans="13:13" x14ac:dyDescent="0.25">
      <c r="M4567" s="21"/>
    </row>
    <row r="4568" spans="13:13" x14ac:dyDescent="0.25">
      <c r="M4568" s="21"/>
    </row>
    <row r="4569" spans="13:13" x14ac:dyDescent="0.25">
      <c r="M4569" s="21"/>
    </row>
    <row r="4570" spans="13:13" x14ac:dyDescent="0.25">
      <c r="M4570" s="21"/>
    </row>
    <row r="4571" spans="13:13" x14ac:dyDescent="0.25">
      <c r="M4571" s="21"/>
    </row>
    <row r="4572" spans="13:13" x14ac:dyDescent="0.25">
      <c r="M4572" s="21"/>
    </row>
    <row r="4573" spans="13:13" x14ac:dyDescent="0.25">
      <c r="M4573" s="21"/>
    </row>
    <row r="4574" spans="13:13" x14ac:dyDescent="0.25">
      <c r="M4574" s="21"/>
    </row>
    <row r="4575" spans="13:13" x14ac:dyDescent="0.25">
      <c r="M4575" s="21"/>
    </row>
    <row r="4576" spans="13:13" x14ac:dyDescent="0.25">
      <c r="M4576" s="21"/>
    </row>
    <row r="4577" spans="13:13" x14ac:dyDescent="0.25">
      <c r="M4577" s="21"/>
    </row>
    <row r="4578" spans="13:13" x14ac:dyDescent="0.25">
      <c r="M4578" s="21"/>
    </row>
    <row r="4579" spans="13:13" x14ac:dyDescent="0.25">
      <c r="M4579" s="21"/>
    </row>
    <row r="4580" spans="13:13" x14ac:dyDescent="0.25">
      <c r="M4580" s="21"/>
    </row>
    <row r="4581" spans="13:13" x14ac:dyDescent="0.25">
      <c r="M4581" s="21"/>
    </row>
    <row r="4582" spans="13:13" x14ac:dyDescent="0.25">
      <c r="M4582" s="21"/>
    </row>
    <row r="4583" spans="13:13" x14ac:dyDescent="0.25">
      <c r="M4583" s="21"/>
    </row>
    <row r="4584" spans="13:13" x14ac:dyDescent="0.25">
      <c r="M4584" s="21"/>
    </row>
    <row r="4585" spans="13:13" x14ac:dyDescent="0.25">
      <c r="M4585" s="21"/>
    </row>
    <row r="4586" spans="13:13" x14ac:dyDescent="0.25">
      <c r="M4586" s="21"/>
    </row>
    <row r="4587" spans="13:13" x14ac:dyDescent="0.25">
      <c r="M4587" s="21"/>
    </row>
    <row r="4588" spans="13:13" x14ac:dyDescent="0.25">
      <c r="M4588" s="21"/>
    </row>
    <row r="4589" spans="13:13" x14ac:dyDescent="0.25">
      <c r="M4589" s="21"/>
    </row>
    <row r="4590" spans="13:13" x14ac:dyDescent="0.25">
      <c r="M4590" s="21"/>
    </row>
    <row r="4591" spans="13:13" x14ac:dyDescent="0.25">
      <c r="M4591" s="21"/>
    </row>
    <row r="4592" spans="13:13" x14ac:dyDescent="0.25">
      <c r="M4592" s="21"/>
    </row>
    <row r="4593" spans="13:13" x14ac:dyDescent="0.25">
      <c r="M4593" s="21"/>
    </row>
    <row r="4594" spans="13:13" x14ac:dyDescent="0.25">
      <c r="M4594" s="21"/>
    </row>
    <row r="4595" spans="13:13" x14ac:dyDescent="0.25">
      <c r="M4595" s="21"/>
    </row>
    <row r="4596" spans="13:13" x14ac:dyDescent="0.25">
      <c r="M4596" s="21"/>
    </row>
    <row r="4597" spans="13:13" x14ac:dyDescent="0.25">
      <c r="M4597" s="21"/>
    </row>
    <row r="4598" spans="13:13" x14ac:dyDescent="0.25">
      <c r="M4598" s="21"/>
    </row>
    <row r="4599" spans="13:13" x14ac:dyDescent="0.25">
      <c r="M4599" s="21"/>
    </row>
    <row r="4600" spans="13:13" x14ac:dyDescent="0.25">
      <c r="M4600" s="21"/>
    </row>
    <row r="4601" spans="13:13" x14ac:dyDescent="0.25">
      <c r="M4601" s="21"/>
    </row>
    <row r="4602" spans="13:13" x14ac:dyDescent="0.25">
      <c r="M4602" s="21"/>
    </row>
    <row r="4603" spans="13:13" x14ac:dyDescent="0.25">
      <c r="M4603" s="21"/>
    </row>
    <row r="4604" spans="13:13" x14ac:dyDescent="0.25">
      <c r="M4604" s="21"/>
    </row>
    <row r="4605" spans="13:13" x14ac:dyDescent="0.25">
      <c r="M4605" s="21"/>
    </row>
    <row r="4606" spans="13:13" x14ac:dyDescent="0.25">
      <c r="M4606" s="21"/>
    </row>
    <row r="4607" spans="13:13" x14ac:dyDescent="0.25">
      <c r="M4607" s="21"/>
    </row>
    <row r="4608" spans="13:13" x14ac:dyDescent="0.25">
      <c r="M4608" s="21"/>
    </row>
    <row r="4609" spans="13:13" x14ac:dyDescent="0.25">
      <c r="M4609" s="21"/>
    </row>
    <row r="4610" spans="13:13" x14ac:dyDescent="0.25">
      <c r="M4610" s="21"/>
    </row>
    <row r="4611" spans="13:13" x14ac:dyDescent="0.25">
      <c r="M4611" s="21"/>
    </row>
    <row r="4612" spans="13:13" x14ac:dyDescent="0.25">
      <c r="M4612" s="21"/>
    </row>
    <row r="4613" spans="13:13" x14ac:dyDescent="0.25">
      <c r="M4613" s="21"/>
    </row>
    <row r="4614" spans="13:13" x14ac:dyDescent="0.25">
      <c r="M4614" s="21"/>
    </row>
    <row r="4615" spans="13:13" x14ac:dyDescent="0.25">
      <c r="M4615" s="21"/>
    </row>
    <row r="4616" spans="13:13" x14ac:dyDescent="0.25">
      <c r="M4616" s="21"/>
    </row>
    <row r="4617" spans="13:13" x14ac:dyDescent="0.25">
      <c r="M4617" s="21"/>
    </row>
    <row r="4618" spans="13:13" x14ac:dyDescent="0.25">
      <c r="M4618" s="21"/>
    </row>
    <row r="4619" spans="13:13" x14ac:dyDescent="0.25">
      <c r="M4619" s="21"/>
    </row>
    <row r="4620" spans="13:13" x14ac:dyDescent="0.25">
      <c r="M4620" s="21"/>
    </row>
    <row r="4621" spans="13:13" x14ac:dyDescent="0.25">
      <c r="M4621" s="21"/>
    </row>
    <row r="4622" spans="13:13" x14ac:dyDescent="0.25">
      <c r="M4622" s="21"/>
    </row>
    <row r="4623" spans="13:13" x14ac:dyDescent="0.25">
      <c r="M4623" s="21"/>
    </row>
    <row r="4624" spans="13:13" x14ac:dyDescent="0.25">
      <c r="M4624" s="21"/>
    </row>
    <row r="4625" spans="13:13" x14ac:dyDescent="0.25">
      <c r="M4625" s="21"/>
    </row>
    <row r="4626" spans="13:13" x14ac:dyDescent="0.25">
      <c r="M4626" s="21"/>
    </row>
    <row r="4627" spans="13:13" x14ac:dyDescent="0.25">
      <c r="M4627" s="21"/>
    </row>
    <row r="4628" spans="13:13" x14ac:dyDescent="0.25">
      <c r="M4628" s="21"/>
    </row>
    <row r="4629" spans="13:13" x14ac:dyDescent="0.25">
      <c r="M4629" s="21"/>
    </row>
    <row r="4630" spans="13:13" x14ac:dyDescent="0.25">
      <c r="M4630" s="21"/>
    </row>
    <row r="4631" spans="13:13" x14ac:dyDescent="0.25">
      <c r="M4631" s="21"/>
    </row>
    <row r="4632" spans="13:13" x14ac:dyDescent="0.25">
      <c r="M4632" s="21"/>
    </row>
    <row r="4633" spans="13:13" x14ac:dyDescent="0.25">
      <c r="M4633" s="21"/>
    </row>
    <row r="4634" spans="13:13" x14ac:dyDescent="0.25">
      <c r="M4634" s="21"/>
    </row>
    <row r="4635" spans="13:13" x14ac:dyDescent="0.25">
      <c r="M4635" s="21"/>
    </row>
    <row r="4636" spans="13:13" x14ac:dyDescent="0.25">
      <c r="M4636" s="21"/>
    </row>
    <row r="4637" spans="13:13" x14ac:dyDescent="0.25">
      <c r="M4637" s="21"/>
    </row>
    <row r="4638" spans="13:13" x14ac:dyDescent="0.25">
      <c r="M4638" s="21"/>
    </row>
    <row r="4639" spans="13:13" x14ac:dyDescent="0.25">
      <c r="M4639" s="21"/>
    </row>
    <row r="4640" spans="13:13" x14ac:dyDescent="0.25">
      <c r="M4640" s="21"/>
    </row>
    <row r="4641" spans="13:13" x14ac:dyDescent="0.25">
      <c r="M4641" s="21"/>
    </row>
    <row r="4642" spans="13:13" x14ac:dyDescent="0.25">
      <c r="M4642" s="21"/>
    </row>
    <row r="4643" spans="13:13" x14ac:dyDescent="0.25">
      <c r="M4643" s="21"/>
    </row>
    <row r="4644" spans="13:13" x14ac:dyDescent="0.25">
      <c r="M4644" s="21"/>
    </row>
    <row r="4645" spans="13:13" x14ac:dyDescent="0.25">
      <c r="M4645" s="21"/>
    </row>
    <row r="4646" spans="13:13" x14ac:dyDescent="0.25">
      <c r="M4646" s="21"/>
    </row>
    <row r="4647" spans="13:13" x14ac:dyDescent="0.25">
      <c r="M4647" s="21"/>
    </row>
    <row r="4648" spans="13:13" x14ac:dyDescent="0.25">
      <c r="M4648" s="21"/>
    </row>
    <row r="4649" spans="13:13" x14ac:dyDescent="0.25">
      <c r="M4649" s="21"/>
    </row>
    <row r="4650" spans="13:13" x14ac:dyDescent="0.25">
      <c r="M4650" s="21"/>
    </row>
    <row r="4651" spans="13:13" x14ac:dyDescent="0.25">
      <c r="M4651" s="21"/>
    </row>
    <row r="4652" spans="13:13" x14ac:dyDescent="0.25">
      <c r="M4652" s="21"/>
    </row>
    <row r="4653" spans="13:13" x14ac:dyDescent="0.25">
      <c r="M4653" s="21"/>
    </row>
    <row r="4654" spans="13:13" x14ac:dyDescent="0.25">
      <c r="M4654" s="21"/>
    </row>
    <row r="4655" spans="13:13" x14ac:dyDescent="0.25">
      <c r="M4655" s="21"/>
    </row>
    <row r="4656" spans="13:13" x14ac:dyDescent="0.25">
      <c r="M4656" s="21"/>
    </row>
    <row r="4657" spans="13:13" x14ac:dyDescent="0.25">
      <c r="M4657" s="21"/>
    </row>
    <row r="4658" spans="13:13" x14ac:dyDescent="0.25">
      <c r="M4658" s="21"/>
    </row>
    <row r="4659" spans="13:13" x14ac:dyDescent="0.25">
      <c r="M4659" s="21"/>
    </row>
    <row r="4660" spans="13:13" x14ac:dyDescent="0.25">
      <c r="M4660" s="21"/>
    </row>
    <row r="4661" spans="13:13" x14ac:dyDescent="0.25">
      <c r="M4661" s="21"/>
    </row>
    <row r="4662" spans="13:13" x14ac:dyDescent="0.25">
      <c r="M4662" s="21"/>
    </row>
    <row r="4663" spans="13:13" x14ac:dyDescent="0.25">
      <c r="M4663" s="21"/>
    </row>
    <row r="4664" spans="13:13" x14ac:dyDescent="0.25">
      <c r="M4664" s="21"/>
    </row>
    <row r="4665" spans="13:13" x14ac:dyDescent="0.25">
      <c r="M4665" s="21"/>
    </row>
    <row r="4666" spans="13:13" x14ac:dyDescent="0.25">
      <c r="M4666" s="21"/>
    </row>
    <row r="4667" spans="13:13" x14ac:dyDescent="0.25">
      <c r="M4667" s="21"/>
    </row>
    <row r="4668" spans="13:13" x14ac:dyDescent="0.25">
      <c r="M4668" s="21"/>
    </row>
    <row r="4669" spans="13:13" x14ac:dyDescent="0.25">
      <c r="M4669" s="21"/>
    </row>
    <row r="4670" spans="13:13" x14ac:dyDescent="0.25">
      <c r="M4670" s="21"/>
    </row>
    <row r="4671" spans="13:13" x14ac:dyDescent="0.25">
      <c r="M4671" s="21"/>
    </row>
    <row r="4672" spans="13:13" x14ac:dyDescent="0.25">
      <c r="M4672" s="21"/>
    </row>
    <row r="4673" spans="13:13" x14ac:dyDescent="0.25">
      <c r="M4673" s="21"/>
    </row>
    <row r="4674" spans="13:13" x14ac:dyDescent="0.25">
      <c r="M4674" s="21"/>
    </row>
    <row r="4675" spans="13:13" x14ac:dyDescent="0.25">
      <c r="M4675" s="21"/>
    </row>
    <row r="4676" spans="13:13" x14ac:dyDescent="0.25">
      <c r="M4676" s="21"/>
    </row>
    <row r="4677" spans="13:13" x14ac:dyDescent="0.25">
      <c r="M4677" s="21"/>
    </row>
    <row r="4678" spans="13:13" x14ac:dyDescent="0.25">
      <c r="M4678" s="21"/>
    </row>
    <row r="4679" spans="13:13" x14ac:dyDescent="0.25">
      <c r="M4679" s="21"/>
    </row>
    <row r="4680" spans="13:13" x14ac:dyDescent="0.25">
      <c r="M4680" s="21"/>
    </row>
    <row r="4681" spans="13:13" x14ac:dyDescent="0.25">
      <c r="M4681" s="21"/>
    </row>
    <row r="4682" spans="13:13" x14ac:dyDescent="0.25">
      <c r="M4682" s="21"/>
    </row>
    <row r="4683" spans="13:13" x14ac:dyDescent="0.25">
      <c r="M4683" s="21"/>
    </row>
    <row r="4684" spans="13:13" x14ac:dyDescent="0.25">
      <c r="M4684" s="21"/>
    </row>
    <row r="4685" spans="13:13" x14ac:dyDescent="0.25">
      <c r="M4685" s="21"/>
    </row>
    <row r="4686" spans="13:13" x14ac:dyDescent="0.25">
      <c r="M4686" s="21"/>
    </row>
    <row r="4687" spans="13:13" x14ac:dyDescent="0.25">
      <c r="M4687" s="21"/>
    </row>
    <row r="4688" spans="13:13" x14ac:dyDescent="0.25">
      <c r="M4688" s="21"/>
    </row>
    <row r="4689" spans="13:13" x14ac:dyDescent="0.25">
      <c r="M4689" s="21"/>
    </row>
    <row r="4690" spans="13:13" x14ac:dyDescent="0.25">
      <c r="M4690" s="21"/>
    </row>
    <row r="4691" spans="13:13" x14ac:dyDescent="0.25">
      <c r="M4691" s="21"/>
    </row>
    <row r="4692" spans="13:13" x14ac:dyDescent="0.25">
      <c r="M4692" s="21"/>
    </row>
    <row r="4693" spans="13:13" x14ac:dyDescent="0.25">
      <c r="M4693" s="21"/>
    </row>
    <row r="4694" spans="13:13" x14ac:dyDescent="0.25">
      <c r="M4694" s="21"/>
    </row>
    <row r="4695" spans="13:13" x14ac:dyDescent="0.25">
      <c r="M4695" s="21"/>
    </row>
    <row r="4696" spans="13:13" x14ac:dyDescent="0.25">
      <c r="M4696" s="21"/>
    </row>
    <row r="4697" spans="13:13" x14ac:dyDescent="0.25">
      <c r="M4697" s="21"/>
    </row>
    <row r="4698" spans="13:13" x14ac:dyDescent="0.25">
      <c r="M4698" s="21"/>
    </row>
    <row r="4699" spans="13:13" x14ac:dyDescent="0.25">
      <c r="M4699" s="21"/>
    </row>
    <row r="4700" spans="13:13" x14ac:dyDescent="0.25">
      <c r="M4700" s="21"/>
    </row>
    <row r="4701" spans="13:13" x14ac:dyDescent="0.25">
      <c r="M4701" s="21"/>
    </row>
    <row r="4702" spans="13:13" x14ac:dyDescent="0.25">
      <c r="M4702" s="21"/>
    </row>
    <row r="4703" spans="13:13" x14ac:dyDescent="0.25">
      <c r="M4703" s="21"/>
    </row>
    <row r="4704" spans="13:13" x14ac:dyDescent="0.25">
      <c r="M4704" s="21"/>
    </row>
    <row r="4705" spans="13:13" x14ac:dyDescent="0.25">
      <c r="M4705" s="21"/>
    </row>
    <row r="4706" spans="13:13" x14ac:dyDescent="0.25">
      <c r="M4706" s="21"/>
    </row>
    <row r="4707" spans="13:13" x14ac:dyDescent="0.25">
      <c r="M4707" s="21"/>
    </row>
    <row r="4708" spans="13:13" x14ac:dyDescent="0.25">
      <c r="M4708" s="21"/>
    </row>
    <row r="4709" spans="13:13" x14ac:dyDescent="0.25">
      <c r="M4709" s="21"/>
    </row>
    <row r="4710" spans="13:13" x14ac:dyDescent="0.25">
      <c r="M4710" s="21"/>
    </row>
    <row r="4711" spans="13:13" x14ac:dyDescent="0.25">
      <c r="M4711" s="21"/>
    </row>
    <row r="4712" spans="13:13" x14ac:dyDescent="0.25">
      <c r="M4712" s="21"/>
    </row>
    <row r="4713" spans="13:13" x14ac:dyDescent="0.25">
      <c r="M4713" s="21"/>
    </row>
    <row r="4714" spans="13:13" x14ac:dyDescent="0.25">
      <c r="M4714" s="21"/>
    </row>
    <row r="4715" spans="13:13" x14ac:dyDescent="0.25">
      <c r="M4715" s="21"/>
    </row>
    <row r="4716" spans="13:13" x14ac:dyDescent="0.25">
      <c r="M4716" s="21"/>
    </row>
    <row r="4717" spans="13:13" x14ac:dyDescent="0.25">
      <c r="M4717" s="21"/>
    </row>
    <row r="4718" spans="13:13" x14ac:dyDescent="0.25">
      <c r="M4718" s="21"/>
    </row>
    <row r="4719" spans="13:13" x14ac:dyDescent="0.25">
      <c r="M4719" s="21"/>
    </row>
    <row r="4720" spans="13:13" x14ac:dyDescent="0.25">
      <c r="M4720" s="21"/>
    </row>
    <row r="4721" spans="13:13" x14ac:dyDescent="0.25">
      <c r="M4721" s="21"/>
    </row>
    <row r="4722" spans="13:13" x14ac:dyDescent="0.25">
      <c r="M4722" s="21"/>
    </row>
    <row r="4723" spans="13:13" x14ac:dyDescent="0.25">
      <c r="M4723" s="21"/>
    </row>
    <row r="4724" spans="13:13" x14ac:dyDescent="0.25">
      <c r="M4724" s="21"/>
    </row>
    <row r="4725" spans="13:13" x14ac:dyDescent="0.25">
      <c r="M4725" s="21"/>
    </row>
    <row r="4726" spans="13:13" x14ac:dyDescent="0.25">
      <c r="M4726" s="21"/>
    </row>
    <row r="4727" spans="13:13" x14ac:dyDescent="0.25">
      <c r="M4727" s="21"/>
    </row>
    <row r="4728" spans="13:13" x14ac:dyDescent="0.25">
      <c r="M4728" s="21"/>
    </row>
    <row r="4729" spans="13:13" x14ac:dyDescent="0.25">
      <c r="M4729" s="21"/>
    </row>
    <row r="4730" spans="13:13" x14ac:dyDescent="0.25">
      <c r="M4730" s="21"/>
    </row>
    <row r="4731" spans="13:13" x14ac:dyDescent="0.25">
      <c r="M4731" s="21"/>
    </row>
    <row r="4732" spans="13:13" x14ac:dyDescent="0.25">
      <c r="M4732" s="21"/>
    </row>
    <row r="4733" spans="13:13" x14ac:dyDescent="0.25">
      <c r="M4733" s="21"/>
    </row>
    <row r="4734" spans="13:13" x14ac:dyDescent="0.25">
      <c r="M4734" s="21"/>
    </row>
    <row r="4735" spans="13:13" x14ac:dyDescent="0.25">
      <c r="M4735" s="21"/>
    </row>
    <row r="4736" spans="13:13" x14ac:dyDescent="0.25">
      <c r="M4736" s="21"/>
    </row>
    <row r="4737" spans="13:13" x14ac:dyDescent="0.25">
      <c r="M4737" s="21"/>
    </row>
    <row r="4738" spans="13:13" x14ac:dyDescent="0.25">
      <c r="M4738" s="21"/>
    </row>
    <row r="4739" spans="13:13" x14ac:dyDescent="0.25">
      <c r="M4739" s="21"/>
    </row>
    <row r="4740" spans="13:13" x14ac:dyDescent="0.25">
      <c r="M4740" s="21"/>
    </row>
    <row r="4741" spans="13:13" x14ac:dyDescent="0.25">
      <c r="M4741" s="21"/>
    </row>
    <row r="4742" spans="13:13" x14ac:dyDescent="0.25">
      <c r="M4742" s="21"/>
    </row>
    <row r="4743" spans="13:13" x14ac:dyDescent="0.25">
      <c r="M4743" s="21"/>
    </row>
    <row r="4744" spans="13:13" x14ac:dyDescent="0.25">
      <c r="M4744" s="21"/>
    </row>
    <row r="4745" spans="13:13" x14ac:dyDescent="0.25">
      <c r="M4745" s="21"/>
    </row>
    <row r="4746" spans="13:13" x14ac:dyDescent="0.25">
      <c r="M4746" s="21"/>
    </row>
    <row r="4747" spans="13:13" x14ac:dyDescent="0.25">
      <c r="M4747" s="21"/>
    </row>
    <row r="4748" spans="13:13" x14ac:dyDescent="0.25">
      <c r="M4748" s="21"/>
    </row>
    <row r="4749" spans="13:13" x14ac:dyDescent="0.25">
      <c r="M4749" s="21"/>
    </row>
    <row r="4750" spans="13:13" x14ac:dyDescent="0.25">
      <c r="M4750" s="21"/>
    </row>
    <row r="4751" spans="13:13" x14ac:dyDescent="0.25">
      <c r="M4751" s="21"/>
    </row>
    <row r="4752" spans="13:13" x14ac:dyDescent="0.25">
      <c r="M4752" s="21"/>
    </row>
    <row r="4753" spans="13:13" x14ac:dyDescent="0.25">
      <c r="M4753" s="21"/>
    </row>
    <row r="4754" spans="13:13" x14ac:dyDescent="0.25">
      <c r="M4754" s="21"/>
    </row>
    <row r="4755" spans="13:13" x14ac:dyDescent="0.25">
      <c r="M4755" s="21"/>
    </row>
    <row r="4756" spans="13:13" x14ac:dyDescent="0.25">
      <c r="M4756" s="21"/>
    </row>
    <row r="4757" spans="13:13" x14ac:dyDescent="0.25">
      <c r="M4757" s="21"/>
    </row>
    <row r="4758" spans="13:13" x14ac:dyDescent="0.25">
      <c r="M4758" s="21"/>
    </row>
    <row r="4759" spans="13:13" x14ac:dyDescent="0.25">
      <c r="M4759" s="21"/>
    </row>
    <row r="4760" spans="13:13" x14ac:dyDescent="0.25">
      <c r="M4760" s="21"/>
    </row>
    <row r="4761" spans="13:13" x14ac:dyDescent="0.25">
      <c r="M4761" s="21"/>
    </row>
    <row r="4762" spans="13:13" x14ac:dyDescent="0.25">
      <c r="M4762" s="21"/>
    </row>
    <row r="4763" spans="13:13" x14ac:dyDescent="0.25">
      <c r="M4763" s="21"/>
    </row>
    <row r="4764" spans="13:13" x14ac:dyDescent="0.25">
      <c r="M4764" s="21"/>
    </row>
    <row r="4765" spans="13:13" x14ac:dyDescent="0.25">
      <c r="M4765" s="21"/>
    </row>
    <row r="4766" spans="13:13" x14ac:dyDescent="0.25">
      <c r="M4766" s="21"/>
    </row>
    <row r="4767" spans="13:13" x14ac:dyDescent="0.25">
      <c r="M4767" s="21"/>
    </row>
    <row r="4768" spans="13:13" x14ac:dyDescent="0.25">
      <c r="M4768" s="21"/>
    </row>
    <row r="4769" spans="13:13" x14ac:dyDescent="0.25">
      <c r="M4769" s="21"/>
    </row>
    <row r="4770" spans="13:13" x14ac:dyDescent="0.25">
      <c r="M4770" s="21"/>
    </row>
    <row r="4771" spans="13:13" x14ac:dyDescent="0.25">
      <c r="M4771" s="21"/>
    </row>
    <row r="4772" spans="13:13" x14ac:dyDescent="0.25">
      <c r="M4772" s="21"/>
    </row>
    <row r="4773" spans="13:13" x14ac:dyDescent="0.25">
      <c r="M4773" s="21"/>
    </row>
    <row r="4774" spans="13:13" x14ac:dyDescent="0.25">
      <c r="M4774" s="21"/>
    </row>
    <row r="4775" spans="13:13" x14ac:dyDescent="0.25">
      <c r="M4775" s="21"/>
    </row>
    <row r="4776" spans="13:13" x14ac:dyDescent="0.25">
      <c r="M4776" s="21"/>
    </row>
    <row r="4777" spans="13:13" x14ac:dyDescent="0.25">
      <c r="M4777" s="21"/>
    </row>
    <row r="4778" spans="13:13" x14ac:dyDescent="0.25">
      <c r="M4778" s="21"/>
    </row>
    <row r="4779" spans="13:13" x14ac:dyDescent="0.25">
      <c r="M4779" s="21"/>
    </row>
    <row r="4780" spans="13:13" x14ac:dyDescent="0.25">
      <c r="M4780" s="21"/>
    </row>
    <row r="4781" spans="13:13" x14ac:dyDescent="0.25">
      <c r="M4781" s="21"/>
    </row>
    <row r="4782" spans="13:13" x14ac:dyDescent="0.25">
      <c r="M4782" s="21"/>
    </row>
    <row r="4783" spans="13:13" x14ac:dyDescent="0.25">
      <c r="M4783" s="21"/>
    </row>
    <row r="4784" spans="13:13" x14ac:dyDescent="0.25">
      <c r="M4784" s="21"/>
    </row>
    <row r="4785" spans="13:13" x14ac:dyDescent="0.25">
      <c r="M4785" s="21"/>
    </row>
    <row r="4786" spans="13:13" x14ac:dyDescent="0.25">
      <c r="M4786" s="21"/>
    </row>
    <row r="4787" spans="13:13" x14ac:dyDescent="0.25">
      <c r="M4787" s="21"/>
    </row>
    <row r="4788" spans="13:13" x14ac:dyDescent="0.25">
      <c r="M4788" s="21"/>
    </row>
    <row r="4789" spans="13:13" x14ac:dyDescent="0.25">
      <c r="M4789" s="21"/>
    </row>
    <row r="4790" spans="13:13" x14ac:dyDescent="0.25">
      <c r="M4790" s="21"/>
    </row>
    <row r="4791" spans="13:13" x14ac:dyDescent="0.25">
      <c r="M4791" s="21"/>
    </row>
    <row r="4792" spans="13:13" x14ac:dyDescent="0.25">
      <c r="M4792" s="21"/>
    </row>
    <row r="4793" spans="13:13" x14ac:dyDescent="0.25">
      <c r="M4793" s="21"/>
    </row>
    <row r="4794" spans="13:13" x14ac:dyDescent="0.25">
      <c r="M4794" s="21"/>
    </row>
    <row r="4795" spans="13:13" x14ac:dyDescent="0.25">
      <c r="M4795" s="21"/>
    </row>
    <row r="4796" spans="13:13" x14ac:dyDescent="0.25">
      <c r="M4796" s="21"/>
    </row>
    <row r="4797" spans="13:13" x14ac:dyDescent="0.25">
      <c r="M4797" s="21"/>
    </row>
    <row r="4798" spans="13:13" x14ac:dyDescent="0.25">
      <c r="M4798" s="21"/>
    </row>
    <row r="4799" spans="13:13" x14ac:dyDescent="0.25">
      <c r="M4799" s="21"/>
    </row>
    <row r="4800" spans="13:13" x14ac:dyDescent="0.25">
      <c r="M4800" s="21"/>
    </row>
    <row r="4801" spans="13:13" x14ac:dyDescent="0.25">
      <c r="M4801" s="21"/>
    </row>
    <row r="4802" spans="13:13" x14ac:dyDescent="0.25">
      <c r="M4802" s="21"/>
    </row>
    <row r="4803" spans="13:13" x14ac:dyDescent="0.25">
      <c r="M4803" s="21"/>
    </row>
    <row r="4804" spans="13:13" x14ac:dyDescent="0.25">
      <c r="M4804" s="21"/>
    </row>
    <row r="4805" spans="13:13" x14ac:dyDescent="0.25">
      <c r="M4805" s="21"/>
    </row>
    <row r="4806" spans="13:13" x14ac:dyDescent="0.25">
      <c r="M4806" s="21"/>
    </row>
    <row r="4807" spans="13:13" x14ac:dyDescent="0.25">
      <c r="M4807" s="21"/>
    </row>
    <row r="4808" spans="13:13" x14ac:dyDescent="0.25">
      <c r="M4808" s="21"/>
    </row>
    <row r="4809" spans="13:13" x14ac:dyDescent="0.25">
      <c r="M4809" s="21"/>
    </row>
    <row r="4810" spans="13:13" x14ac:dyDescent="0.25">
      <c r="M4810" s="21"/>
    </row>
    <row r="4811" spans="13:13" x14ac:dyDescent="0.25">
      <c r="M4811" s="21"/>
    </row>
    <row r="4812" spans="13:13" x14ac:dyDescent="0.25">
      <c r="M4812" s="21"/>
    </row>
    <row r="4813" spans="13:13" x14ac:dyDescent="0.25">
      <c r="M4813" s="21"/>
    </row>
    <row r="4814" spans="13:13" x14ac:dyDescent="0.25">
      <c r="M4814" s="21"/>
    </row>
    <row r="4815" spans="13:13" x14ac:dyDescent="0.25">
      <c r="M4815" s="21"/>
    </row>
    <row r="4816" spans="13:13" x14ac:dyDescent="0.25">
      <c r="M4816" s="21"/>
    </row>
    <row r="4817" spans="13:13" x14ac:dyDescent="0.25">
      <c r="M4817" s="21"/>
    </row>
    <row r="4818" spans="13:13" x14ac:dyDescent="0.25">
      <c r="M4818" s="21"/>
    </row>
    <row r="4819" spans="13:13" x14ac:dyDescent="0.25">
      <c r="M4819" s="21"/>
    </row>
    <row r="4820" spans="13:13" x14ac:dyDescent="0.25">
      <c r="M4820" s="21"/>
    </row>
    <row r="4821" spans="13:13" x14ac:dyDescent="0.25">
      <c r="M4821" s="21"/>
    </row>
    <row r="4822" spans="13:13" x14ac:dyDescent="0.25">
      <c r="M4822" s="21"/>
    </row>
    <row r="4823" spans="13:13" x14ac:dyDescent="0.25">
      <c r="M4823" s="21"/>
    </row>
    <row r="4824" spans="13:13" x14ac:dyDescent="0.25">
      <c r="M4824" s="21"/>
    </row>
    <row r="4825" spans="13:13" x14ac:dyDescent="0.25">
      <c r="M4825" s="21"/>
    </row>
    <row r="4826" spans="13:13" x14ac:dyDescent="0.25">
      <c r="M4826" s="21"/>
    </row>
    <row r="4827" spans="13:13" x14ac:dyDescent="0.25">
      <c r="M4827" s="21"/>
    </row>
    <row r="4828" spans="13:13" x14ac:dyDescent="0.25">
      <c r="M4828" s="21"/>
    </row>
    <row r="4829" spans="13:13" x14ac:dyDescent="0.25">
      <c r="M4829" s="21"/>
    </row>
    <row r="4830" spans="13:13" x14ac:dyDescent="0.25">
      <c r="M4830" s="21"/>
    </row>
    <row r="4831" spans="13:13" x14ac:dyDescent="0.25">
      <c r="M4831" s="21"/>
    </row>
    <row r="4832" spans="13:13" x14ac:dyDescent="0.25">
      <c r="M4832" s="21"/>
    </row>
    <row r="4833" spans="13:13" x14ac:dyDescent="0.25">
      <c r="M4833" s="21"/>
    </row>
    <row r="4834" spans="13:13" x14ac:dyDescent="0.25">
      <c r="M4834" s="21"/>
    </row>
    <row r="4835" spans="13:13" x14ac:dyDescent="0.25">
      <c r="M4835" s="21"/>
    </row>
    <row r="4836" spans="13:13" x14ac:dyDescent="0.25">
      <c r="M4836" s="21"/>
    </row>
    <row r="4837" spans="13:13" x14ac:dyDescent="0.25">
      <c r="M4837" s="21"/>
    </row>
    <row r="4838" spans="13:13" x14ac:dyDescent="0.25">
      <c r="M4838" s="21"/>
    </row>
    <row r="4839" spans="13:13" x14ac:dyDescent="0.25">
      <c r="M4839" s="21"/>
    </row>
    <row r="4840" spans="13:13" x14ac:dyDescent="0.25">
      <c r="M4840" s="21"/>
    </row>
    <row r="4841" spans="13:13" x14ac:dyDescent="0.25">
      <c r="M4841" s="21"/>
    </row>
    <row r="4842" spans="13:13" x14ac:dyDescent="0.25">
      <c r="M4842" s="21"/>
    </row>
    <row r="4843" spans="13:13" x14ac:dyDescent="0.25">
      <c r="M4843" s="21"/>
    </row>
    <row r="4844" spans="13:13" x14ac:dyDescent="0.25">
      <c r="M4844" s="21"/>
    </row>
    <row r="4845" spans="13:13" x14ac:dyDescent="0.25">
      <c r="M4845" s="21"/>
    </row>
    <row r="4846" spans="13:13" x14ac:dyDescent="0.25">
      <c r="M4846" s="21"/>
    </row>
    <row r="4847" spans="13:13" x14ac:dyDescent="0.25">
      <c r="M4847" s="21"/>
    </row>
    <row r="4848" spans="13:13" x14ac:dyDescent="0.25">
      <c r="M4848" s="21"/>
    </row>
    <row r="4849" spans="13:13" x14ac:dyDescent="0.25">
      <c r="M4849" s="21"/>
    </row>
    <row r="4850" spans="13:13" x14ac:dyDescent="0.25">
      <c r="M4850" s="21"/>
    </row>
    <row r="4851" spans="13:13" x14ac:dyDescent="0.25">
      <c r="M4851" s="21"/>
    </row>
    <row r="4852" spans="13:13" x14ac:dyDescent="0.25">
      <c r="M4852" s="21"/>
    </row>
    <row r="4853" spans="13:13" x14ac:dyDescent="0.25">
      <c r="M4853" s="21"/>
    </row>
    <row r="4854" spans="13:13" x14ac:dyDescent="0.25">
      <c r="M4854" s="21"/>
    </row>
    <row r="4855" spans="13:13" x14ac:dyDescent="0.25">
      <c r="M4855" s="21"/>
    </row>
    <row r="4856" spans="13:13" x14ac:dyDescent="0.25">
      <c r="M4856" s="21"/>
    </row>
    <row r="4857" spans="13:13" x14ac:dyDescent="0.25">
      <c r="M4857" s="21"/>
    </row>
    <row r="4858" spans="13:13" x14ac:dyDescent="0.25">
      <c r="M4858" s="21"/>
    </row>
    <row r="4859" spans="13:13" x14ac:dyDescent="0.25">
      <c r="M4859" s="21"/>
    </row>
    <row r="4860" spans="13:13" x14ac:dyDescent="0.25">
      <c r="M4860" s="21"/>
    </row>
    <row r="4861" spans="13:13" x14ac:dyDescent="0.25">
      <c r="M4861" s="21"/>
    </row>
    <row r="4862" spans="13:13" x14ac:dyDescent="0.25">
      <c r="M4862" s="21"/>
    </row>
    <row r="4863" spans="13:13" x14ac:dyDescent="0.25">
      <c r="M4863" s="21"/>
    </row>
    <row r="4864" spans="13:13" x14ac:dyDescent="0.25">
      <c r="M4864" s="21"/>
    </row>
    <row r="4865" spans="13:13" x14ac:dyDescent="0.25">
      <c r="M4865" s="21"/>
    </row>
    <row r="4866" spans="13:13" x14ac:dyDescent="0.25">
      <c r="M4866" s="21"/>
    </row>
    <row r="4867" spans="13:13" x14ac:dyDescent="0.25">
      <c r="M4867" s="21"/>
    </row>
    <row r="4868" spans="13:13" x14ac:dyDescent="0.25">
      <c r="M4868" s="21"/>
    </row>
    <row r="4869" spans="13:13" x14ac:dyDescent="0.25">
      <c r="M4869" s="21"/>
    </row>
    <row r="4870" spans="13:13" x14ac:dyDescent="0.25">
      <c r="M4870" s="21"/>
    </row>
    <row r="4871" spans="13:13" x14ac:dyDescent="0.25">
      <c r="M4871" s="21"/>
    </row>
    <row r="4872" spans="13:13" x14ac:dyDescent="0.25">
      <c r="M4872" s="21"/>
    </row>
    <row r="4873" spans="13:13" x14ac:dyDescent="0.25">
      <c r="M4873" s="21"/>
    </row>
    <row r="4874" spans="13:13" x14ac:dyDescent="0.25">
      <c r="M4874" s="21"/>
    </row>
    <row r="4875" spans="13:13" x14ac:dyDescent="0.25">
      <c r="M4875" s="21"/>
    </row>
    <row r="4876" spans="13:13" x14ac:dyDescent="0.25">
      <c r="M4876" s="21"/>
    </row>
    <row r="4877" spans="13:13" x14ac:dyDescent="0.25">
      <c r="M4877" s="21"/>
    </row>
    <row r="4878" spans="13:13" x14ac:dyDescent="0.25">
      <c r="M4878" s="21"/>
    </row>
    <row r="4879" spans="13:13" x14ac:dyDescent="0.25">
      <c r="M4879" s="21"/>
    </row>
    <row r="4880" spans="13:13" x14ac:dyDescent="0.25">
      <c r="M4880" s="21"/>
    </row>
    <row r="4881" spans="13:13" x14ac:dyDescent="0.25">
      <c r="M4881" s="21"/>
    </row>
    <row r="4882" spans="13:13" x14ac:dyDescent="0.25">
      <c r="M4882" s="21"/>
    </row>
    <row r="4883" spans="13:13" x14ac:dyDescent="0.25">
      <c r="M4883" s="21"/>
    </row>
    <row r="4884" spans="13:13" x14ac:dyDescent="0.25">
      <c r="M4884" s="21"/>
    </row>
    <row r="4885" spans="13:13" x14ac:dyDescent="0.25">
      <c r="M4885" s="21"/>
    </row>
    <row r="4886" spans="13:13" x14ac:dyDescent="0.25">
      <c r="M4886" s="21"/>
    </row>
    <row r="4887" spans="13:13" x14ac:dyDescent="0.25">
      <c r="M4887" s="21"/>
    </row>
    <row r="4888" spans="13:13" x14ac:dyDescent="0.25">
      <c r="M4888" s="21"/>
    </row>
    <row r="4889" spans="13:13" x14ac:dyDescent="0.25">
      <c r="M4889" s="21"/>
    </row>
    <row r="4890" spans="13:13" x14ac:dyDescent="0.25">
      <c r="M4890" s="21"/>
    </row>
    <row r="4891" spans="13:13" x14ac:dyDescent="0.25">
      <c r="M4891" s="21"/>
    </row>
    <row r="4892" spans="13:13" x14ac:dyDescent="0.25">
      <c r="M4892" s="21"/>
    </row>
    <row r="4893" spans="13:13" x14ac:dyDescent="0.25">
      <c r="M4893" s="21"/>
    </row>
    <row r="4894" spans="13:13" x14ac:dyDescent="0.25">
      <c r="M4894" s="21"/>
    </row>
    <row r="4895" spans="13:13" x14ac:dyDescent="0.25">
      <c r="M4895" s="21"/>
    </row>
    <row r="4896" spans="13:13" x14ac:dyDescent="0.25">
      <c r="M4896" s="21"/>
    </row>
    <row r="4897" spans="13:13" x14ac:dyDescent="0.25">
      <c r="M4897" s="21"/>
    </row>
    <row r="4898" spans="13:13" x14ac:dyDescent="0.25">
      <c r="M4898" s="21"/>
    </row>
    <row r="4899" spans="13:13" x14ac:dyDescent="0.25">
      <c r="M4899" s="21"/>
    </row>
    <row r="4900" spans="13:13" x14ac:dyDescent="0.25">
      <c r="M4900" s="21"/>
    </row>
    <row r="4901" spans="13:13" x14ac:dyDescent="0.25">
      <c r="M4901" s="21"/>
    </row>
    <row r="4902" spans="13:13" x14ac:dyDescent="0.25">
      <c r="M4902" s="21"/>
    </row>
    <row r="4903" spans="13:13" x14ac:dyDescent="0.25">
      <c r="M4903" s="21"/>
    </row>
    <row r="4904" spans="13:13" x14ac:dyDescent="0.25">
      <c r="M4904" s="21"/>
    </row>
    <row r="4905" spans="13:13" x14ac:dyDescent="0.25">
      <c r="M4905" s="21"/>
    </row>
    <row r="4906" spans="13:13" x14ac:dyDescent="0.25">
      <c r="M4906" s="21"/>
    </row>
    <row r="4907" spans="13:13" x14ac:dyDescent="0.25">
      <c r="M4907" s="21"/>
    </row>
    <row r="4908" spans="13:13" x14ac:dyDescent="0.25">
      <c r="M4908" s="21"/>
    </row>
    <row r="4909" spans="13:13" x14ac:dyDescent="0.25">
      <c r="M4909" s="21"/>
    </row>
    <row r="4910" spans="13:13" x14ac:dyDescent="0.25">
      <c r="M4910" s="21"/>
    </row>
    <row r="4911" spans="13:13" x14ac:dyDescent="0.25">
      <c r="M4911" s="21"/>
    </row>
    <row r="4912" spans="13:13" x14ac:dyDescent="0.25">
      <c r="M4912" s="21"/>
    </row>
    <row r="4913" spans="13:13" x14ac:dyDescent="0.25">
      <c r="M4913" s="21"/>
    </row>
    <row r="4914" spans="13:13" x14ac:dyDescent="0.25">
      <c r="M4914" s="21"/>
    </row>
    <row r="4915" spans="13:13" x14ac:dyDescent="0.25">
      <c r="M4915" s="21"/>
    </row>
    <row r="4916" spans="13:13" x14ac:dyDescent="0.25">
      <c r="M4916" s="21"/>
    </row>
    <row r="4917" spans="13:13" x14ac:dyDescent="0.25">
      <c r="M4917" s="21"/>
    </row>
    <row r="4918" spans="13:13" x14ac:dyDescent="0.25">
      <c r="M4918" s="21"/>
    </row>
    <row r="4919" spans="13:13" x14ac:dyDescent="0.25">
      <c r="M4919" s="21"/>
    </row>
    <row r="4920" spans="13:13" x14ac:dyDescent="0.25">
      <c r="M4920" s="21"/>
    </row>
    <row r="4921" spans="13:13" x14ac:dyDescent="0.25">
      <c r="M4921" s="21"/>
    </row>
    <row r="4922" spans="13:13" x14ac:dyDescent="0.25">
      <c r="M4922" s="21"/>
    </row>
    <row r="4923" spans="13:13" x14ac:dyDescent="0.25">
      <c r="M4923" s="21"/>
    </row>
    <row r="4924" spans="13:13" x14ac:dyDescent="0.25">
      <c r="M4924" s="21"/>
    </row>
    <row r="4925" spans="13:13" x14ac:dyDescent="0.25">
      <c r="M4925" s="21"/>
    </row>
    <row r="4926" spans="13:13" x14ac:dyDescent="0.25">
      <c r="M4926" s="21"/>
    </row>
    <row r="4927" spans="13:13" x14ac:dyDescent="0.25">
      <c r="M4927" s="21"/>
    </row>
    <row r="4928" spans="13:13" x14ac:dyDescent="0.25">
      <c r="M4928" s="21"/>
    </row>
    <row r="4929" spans="13:13" x14ac:dyDescent="0.25">
      <c r="M4929" s="21"/>
    </row>
    <row r="4930" spans="13:13" x14ac:dyDescent="0.25">
      <c r="M4930" s="21"/>
    </row>
    <row r="4931" spans="13:13" x14ac:dyDescent="0.25">
      <c r="M4931" s="21"/>
    </row>
    <row r="4932" spans="13:13" x14ac:dyDescent="0.25">
      <c r="M4932" s="21"/>
    </row>
    <row r="4933" spans="13:13" x14ac:dyDescent="0.25">
      <c r="M4933" s="21"/>
    </row>
    <row r="4934" spans="13:13" x14ac:dyDescent="0.25">
      <c r="M4934" s="21"/>
    </row>
    <row r="4935" spans="13:13" x14ac:dyDescent="0.25">
      <c r="M4935" s="21"/>
    </row>
    <row r="4936" spans="13:13" x14ac:dyDescent="0.25">
      <c r="M4936" s="21"/>
    </row>
    <row r="4937" spans="13:13" x14ac:dyDescent="0.25">
      <c r="M4937" s="21"/>
    </row>
    <row r="4938" spans="13:13" x14ac:dyDescent="0.25">
      <c r="M4938" s="21"/>
    </row>
    <row r="4939" spans="13:13" x14ac:dyDescent="0.25">
      <c r="M4939" s="21"/>
    </row>
    <row r="4940" spans="13:13" x14ac:dyDescent="0.25">
      <c r="M4940" s="21"/>
    </row>
    <row r="4941" spans="13:13" x14ac:dyDescent="0.25">
      <c r="M4941" s="21"/>
    </row>
    <row r="4942" spans="13:13" x14ac:dyDescent="0.25">
      <c r="M4942" s="21"/>
    </row>
    <row r="4943" spans="13:13" x14ac:dyDescent="0.25">
      <c r="M4943" s="21"/>
    </row>
    <row r="4944" spans="13:13" x14ac:dyDescent="0.25">
      <c r="M4944" s="21"/>
    </row>
    <row r="4945" spans="13:13" x14ac:dyDescent="0.25">
      <c r="M4945" s="21"/>
    </row>
    <row r="4946" spans="13:13" x14ac:dyDescent="0.25">
      <c r="M4946" s="21"/>
    </row>
    <row r="4947" spans="13:13" x14ac:dyDescent="0.25">
      <c r="M4947" s="21"/>
    </row>
    <row r="4948" spans="13:13" x14ac:dyDescent="0.25">
      <c r="M4948" s="21"/>
    </row>
    <row r="4949" spans="13:13" x14ac:dyDescent="0.25">
      <c r="M4949" s="21"/>
    </row>
    <row r="4950" spans="13:13" x14ac:dyDescent="0.25">
      <c r="M4950" s="21"/>
    </row>
    <row r="4951" spans="13:13" x14ac:dyDescent="0.25">
      <c r="M4951" s="21"/>
    </row>
    <row r="4952" spans="13:13" x14ac:dyDescent="0.25">
      <c r="M4952" s="21"/>
    </row>
    <row r="4953" spans="13:13" x14ac:dyDescent="0.25">
      <c r="M4953" s="21"/>
    </row>
    <row r="4954" spans="13:13" x14ac:dyDescent="0.25">
      <c r="M4954" s="21"/>
    </row>
    <row r="4955" spans="13:13" x14ac:dyDescent="0.25">
      <c r="M4955" s="21"/>
    </row>
    <row r="4956" spans="13:13" x14ac:dyDescent="0.25">
      <c r="M4956" s="21"/>
    </row>
    <row r="4957" spans="13:13" x14ac:dyDescent="0.25">
      <c r="M4957" s="21"/>
    </row>
    <row r="4958" spans="13:13" x14ac:dyDescent="0.25">
      <c r="M4958" s="21"/>
    </row>
    <row r="4959" spans="13:13" x14ac:dyDescent="0.25">
      <c r="M4959" s="21"/>
    </row>
    <row r="4960" spans="13:13" x14ac:dyDescent="0.25">
      <c r="M4960" s="21"/>
    </row>
    <row r="4961" spans="13:13" x14ac:dyDescent="0.25">
      <c r="M4961" s="21"/>
    </row>
    <row r="4962" spans="13:13" x14ac:dyDescent="0.25">
      <c r="M4962" s="21"/>
    </row>
    <row r="4963" spans="13:13" x14ac:dyDescent="0.25">
      <c r="M4963" s="21"/>
    </row>
    <row r="4964" spans="13:13" x14ac:dyDescent="0.25">
      <c r="M4964" s="21"/>
    </row>
    <row r="4965" spans="13:13" x14ac:dyDescent="0.25">
      <c r="M4965" s="21"/>
    </row>
    <row r="4966" spans="13:13" x14ac:dyDescent="0.25">
      <c r="M4966" s="21"/>
    </row>
    <row r="4967" spans="13:13" x14ac:dyDescent="0.25">
      <c r="M4967" s="21"/>
    </row>
    <row r="4968" spans="13:13" x14ac:dyDescent="0.25">
      <c r="M4968" s="21"/>
    </row>
    <row r="4969" spans="13:13" x14ac:dyDescent="0.25">
      <c r="M4969" s="21"/>
    </row>
    <row r="4970" spans="13:13" x14ac:dyDescent="0.25">
      <c r="M4970" s="21"/>
    </row>
    <row r="4971" spans="13:13" x14ac:dyDescent="0.25">
      <c r="M4971" s="21"/>
    </row>
    <row r="4972" spans="13:13" x14ac:dyDescent="0.25">
      <c r="M4972" s="21"/>
    </row>
    <row r="4973" spans="13:13" x14ac:dyDescent="0.25">
      <c r="M4973" s="21"/>
    </row>
    <row r="4974" spans="13:13" x14ac:dyDescent="0.25">
      <c r="M4974" s="21"/>
    </row>
    <row r="4975" spans="13:13" x14ac:dyDescent="0.25">
      <c r="M4975" s="21"/>
    </row>
    <row r="4976" spans="13:13" x14ac:dyDescent="0.25">
      <c r="M4976" s="21"/>
    </row>
    <row r="4977" spans="13:13" x14ac:dyDescent="0.25">
      <c r="M4977" s="21"/>
    </row>
    <row r="4978" spans="13:13" x14ac:dyDescent="0.25">
      <c r="M4978" s="21"/>
    </row>
    <row r="4979" spans="13:13" x14ac:dyDescent="0.25">
      <c r="M4979" s="21"/>
    </row>
    <row r="4980" spans="13:13" x14ac:dyDescent="0.25">
      <c r="M4980" s="21"/>
    </row>
    <row r="4981" spans="13:13" x14ac:dyDescent="0.25">
      <c r="M4981" s="21"/>
    </row>
    <row r="4982" spans="13:13" x14ac:dyDescent="0.25">
      <c r="M4982" s="21"/>
    </row>
    <row r="4983" spans="13:13" x14ac:dyDescent="0.25">
      <c r="M4983" s="21"/>
    </row>
    <row r="4984" spans="13:13" x14ac:dyDescent="0.25">
      <c r="M4984" s="21"/>
    </row>
    <row r="4985" spans="13:13" x14ac:dyDescent="0.25">
      <c r="M4985" s="21"/>
    </row>
    <row r="4986" spans="13:13" x14ac:dyDescent="0.25">
      <c r="M4986" s="21"/>
    </row>
    <row r="4987" spans="13:13" x14ac:dyDescent="0.25">
      <c r="M4987" s="21"/>
    </row>
    <row r="4988" spans="13:13" x14ac:dyDescent="0.25">
      <c r="M4988" s="21"/>
    </row>
    <row r="4989" spans="13:13" x14ac:dyDescent="0.25">
      <c r="M4989" s="21"/>
    </row>
    <row r="4990" spans="13:13" x14ac:dyDescent="0.25">
      <c r="M4990" s="21"/>
    </row>
    <row r="4991" spans="13:13" x14ac:dyDescent="0.25">
      <c r="M4991" s="21"/>
    </row>
    <row r="4992" spans="13:13" x14ac:dyDescent="0.25">
      <c r="M4992" s="21"/>
    </row>
    <row r="4993" spans="13:13" x14ac:dyDescent="0.25">
      <c r="M4993" s="21"/>
    </row>
    <row r="4994" spans="13:13" x14ac:dyDescent="0.25">
      <c r="M4994" s="21"/>
    </row>
    <row r="4995" spans="13:13" x14ac:dyDescent="0.25">
      <c r="M4995" s="21"/>
    </row>
    <row r="4996" spans="13:13" x14ac:dyDescent="0.25">
      <c r="M4996" s="21"/>
    </row>
    <row r="4997" spans="13:13" x14ac:dyDescent="0.25">
      <c r="M4997" s="21"/>
    </row>
    <row r="4998" spans="13:13" x14ac:dyDescent="0.25">
      <c r="M4998" s="21"/>
    </row>
    <row r="4999" spans="13:13" x14ac:dyDescent="0.25">
      <c r="M4999" s="21"/>
    </row>
    <row r="5000" spans="13:13" x14ac:dyDescent="0.25">
      <c r="M5000" s="21"/>
    </row>
    <row r="5001" spans="13:13" x14ac:dyDescent="0.25">
      <c r="M5001" s="21"/>
    </row>
    <row r="5002" spans="13:13" x14ac:dyDescent="0.25">
      <c r="M5002" s="21"/>
    </row>
    <row r="5003" spans="13:13" x14ac:dyDescent="0.25">
      <c r="M5003" s="21"/>
    </row>
    <row r="5004" spans="13:13" x14ac:dyDescent="0.25">
      <c r="M5004" s="21"/>
    </row>
    <row r="5005" spans="13:13" x14ac:dyDescent="0.25">
      <c r="M5005" s="21"/>
    </row>
    <row r="5006" spans="13:13" x14ac:dyDescent="0.25">
      <c r="M5006" s="21"/>
    </row>
    <row r="5007" spans="13:13" x14ac:dyDescent="0.25">
      <c r="M5007" s="21"/>
    </row>
    <row r="5008" spans="13:13" x14ac:dyDescent="0.25">
      <c r="M5008" s="21"/>
    </row>
    <row r="5009" spans="13:13" x14ac:dyDescent="0.25">
      <c r="M5009" s="21"/>
    </row>
    <row r="5010" spans="13:13" x14ac:dyDescent="0.25">
      <c r="M5010" s="21"/>
    </row>
    <row r="5011" spans="13:13" x14ac:dyDescent="0.25">
      <c r="M5011" s="21"/>
    </row>
    <row r="5012" spans="13:13" x14ac:dyDescent="0.25">
      <c r="M5012" s="21"/>
    </row>
    <row r="5013" spans="13:13" x14ac:dyDescent="0.25">
      <c r="M5013" s="21"/>
    </row>
    <row r="5014" spans="13:13" x14ac:dyDescent="0.25">
      <c r="M5014" s="21"/>
    </row>
    <row r="5015" spans="13:13" x14ac:dyDescent="0.25">
      <c r="M5015" s="21"/>
    </row>
    <row r="5016" spans="13:13" x14ac:dyDescent="0.25">
      <c r="M5016" s="21"/>
    </row>
    <row r="5017" spans="13:13" x14ac:dyDescent="0.25">
      <c r="M5017" s="21"/>
    </row>
    <row r="5018" spans="13:13" x14ac:dyDescent="0.25">
      <c r="M5018" s="21"/>
    </row>
    <row r="5019" spans="13:13" x14ac:dyDescent="0.25">
      <c r="M5019" s="21"/>
    </row>
    <row r="5020" spans="13:13" x14ac:dyDescent="0.25">
      <c r="M5020" s="21"/>
    </row>
    <row r="5021" spans="13:13" x14ac:dyDescent="0.25">
      <c r="M5021" s="21"/>
    </row>
    <row r="5022" spans="13:13" x14ac:dyDescent="0.25">
      <c r="M5022" s="21"/>
    </row>
    <row r="5023" spans="13:13" x14ac:dyDescent="0.25">
      <c r="M5023" s="21"/>
    </row>
    <row r="5024" spans="13:13" x14ac:dyDescent="0.25">
      <c r="M5024" s="21"/>
    </row>
    <row r="5025" spans="13:13" x14ac:dyDescent="0.25">
      <c r="M5025" s="21"/>
    </row>
    <row r="5026" spans="13:13" x14ac:dyDescent="0.25">
      <c r="M5026" s="21"/>
    </row>
    <row r="5027" spans="13:13" x14ac:dyDescent="0.25">
      <c r="M5027" s="21"/>
    </row>
    <row r="5028" spans="13:13" x14ac:dyDescent="0.25">
      <c r="M5028" s="21"/>
    </row>
    <row r="5029" spans="13:13" x14ac:dyDescent="0.25">
      <c r="M5029" s="21"/>
    </row>
    <row r="5030" spans="13:13" x14ac:dyDescent="0.25">
      <c r="M5030" s="21"/>
    </row>
    <row r="5031" spans="13:13" x14ac:dyDescent="0.25">
      <c r="M5031" s="21"/>
    </row>
    <row r="5032" spans="13:13" x14ac:dyDescent="0.25">
      <c r="M5032" s="21"/>
    </row>
    <row r="5033" spans="13:13" x14ac:dyDescent="0.25">
      <c r="M5033" s="21"/>
    </row>
    <row r="5034" spans="13:13" x14ac:dyDescent="0.25">
      <c r="M5034" s="21"/>
    </row>
    <row r="5035" spans="13:13" x14ac:dyDescent="0.25">
      <c r="M5035" s="21"/>
    </row>
    <row r="5036" spans="13:13" x14ac:dyDescent="0.25">
      <c r="M5036" s="21"/>
    </row>
    <row r="5037" spans="13:13" x14ac:dyDescent="0.25">
      <c r="M5037" s="21"/>
    </row>
    <row r="5038" spans="13:13" x14ac:dyDescent="0.25">
      <c r="M5038" s="21"/>
    </row>
    <row r="5039" spans="13:13" x14ac:dyDescent="0.25">
      <c r="M5039" s="21"/>
    </row>
    <row r="5040" spans="13:13" x14ac:dyDescent="0.25">
      <c r="M5040" s="21"/>
    </row>
    <row r="5041" spans="13:13" x14ac:dyDescent="0.25">
      <c r="M5041" s="21"/>
    </row>
    <row r="5042" spans="13:13" x14ac:dyDescent="0.25">
      <c r="M5042" s="21"/>
    </row>
    <row r="5043" spans="13:13" x14ac:dyDescent="0.25">
      <c r="M5043" s="21"/>
    </row>
    <row r="5044" spans="13:13" x14ac:dyDescent="0.25">
      <c r="M5044" s="21"/>
    </row>
    <row r="5045" spans="13:13" x14ac:dyDescent="0.25">
      <c r="M5045" s="21"/>
    </row>
    <row r="5046" spans="13:13" x14ac:dyDescent="0.25">
      <c r="M5046" s="21"/>
    </row>
    <row r="5047" spans="13:13" x14ac:dyDescent="0.25">
      <c r="M5047" s="21"/>
    </row>
    <row r="5048" spans="13:13" x14ac:dyDescent="0.25">
      <c r="M5048" s="21"/>
    </row>
    <row r="5049" spans="13:13" x14ac:dyDescent="0.25">
      <c r="M5049" s="21"/>
    </row>
    <row r="5050" spans="13:13" x14ac:dyDescent="0.25">
      <c r="M5050" s="21"/>
    </row>
    <row r="5051" spans="13:13" x14ac:dyDescent="0.25">
      <c r="M5051" s="21"/>
    </row>
    <row r="5052" spans="13:13" x14ac:dyDescent="0.25">
      <c r="M5052" s="21"/>
    </row>
    <row r="5053" spans="13:13" x14ac:dyDescent="0.25">
      <c r="M5053" s="21"/>
    </row>
    <row r="5054" spans="13:13" x14ac:dyDescent="0.25">
      <c r="M5054" s="21"/>
    </row>
    <row r="5055" spans="13:13" x14ac:dyDescent="0.25">
      <c r="M5055" s="21"/>
    </row>
    <row r="5056" spans="13:13" x14ac:dyDescent="0.25">
      <c r="M5056" s="21"/>
    </row>
    <row r="5057" spans="13:13" x14ac:dyDescent="0.25">
      <c r="M5057" s="21"/>
    </row>
    <row r="5058" spans="13:13" x14ac:dyDescent="0.25">
      <c r="M5058" s="21"/>
    </row>
    <row r="5059" spans="13:13" x14ac:dyDescent="0.25">
      <c r="M5059" s="21"/>
    </row>
    <row r="5060" spans="13:13" x14ac:dyDescent="0.25">
      <c r="M5060" s="21"/>
    </row>
    <row r="5061" spans="13:13" x14ac:dyDescent="0.25">
      <c r="M5061" s="21"/>
    </row>
    <row r="5062" spans="13:13" x14ac:dyDescent="0.25">
      <c r="M5062" s="21"/>
    </row>
    <row r="5063" spans="13:13" x14ac:dyDescent="0.25">
      <c r="M5063" s="21"/>
    </row>
    <row r="5064" spans="13:13" x14ac:dyDescent="0.25">
      <c r="M5064" s="21"/>
    </row>
    <row r="5065" spans="13:13" x14ac:dyDescent="0.25">
      <c r="M5065" s="21"/>
    </row>
    <row r="5066" spans="13:13" x14ac:dyDescent="0.25">
      <c r="M5066" s="21"/>
    </row>
    <row r="5067" spans="13:13" x14ac:dyDescent="0.25">
      <c r="M5067" s="21"/>
    </row>
    <row r="5068" spans="13:13" x14ac:dyDescent="0.25">
      <c r="M5068" s="21"/>
    </row>
    <row r="5069" spans="13:13" x14ac:dyDescent="0.25">
      <c r="M5069" s="21"/>
    </row>
    <row r="5070" spans="13:13" x14ac:dyDescent="0.25">
      <c r="M5070" s="21"/>
    </row>
    <row r="5071" spans="13:13" x14ac:dyDescent="0.25">
      <c r="M5071" s="21"/>
    </row>
    <row r="5072" spans="13:13" x14ac:dyDescent="0.25">
      <c r="M5072" s="21"/>
    </row>
    <row r="5073" spans="13:13" x14ac:dyDescent="0.25">
      <c r="M5073" s="21"/>
    </row>
    <row r="5074" spans="13:13" x14ac:dyDescent="0.25">
      <c r="M5074" s="21"/>
    </row>
    <row r="5075" spans="13:13" x14ac:dyDescent="0.25">
      <c r="M5075" s="21"/>
    </row>
    <row r="5076" spans="13:13" x14ac:dyDescent="0.25">
      <c r="M5076" s="21"/>
    </row>
    <row r="5077" spans="13:13" x14ac:dyDescent="0.25">
      <c r="M5077" s="21"/>
    </row>
    <row r="5078" spans="13:13" x14ac:dyDescent="0.25">
      <c r="M5078" s="21"/>
    </row>
    <row r="5079" spans="13:13" x14ac:dyDescent="0.25">
      <c r="M5079" s="21"/>
    </row>
    <row r="5080" spans="13:13" x14ac:dyDescent="0.25">
      <c r="M5080" s="21"/>
    </row>
    <row r="5081" spans="13:13" x14ac:dyDescent="0.25">
      <c r="M5081" s="21"/>
    </row>
    <row r="5082" spans="13:13" x14ac:dyDescent="0.25">
      <c r="M5082" s="21"/>
    </row>
    <row r="5083" spans="13:13" x14ac:dyDescent="0.25">
      <c r="M5083" s="21"/>
    </row>
    <row r="5084" spans="13:13" x14ac:dyDescent="0.25">
      <c r="M5084" s="21"/>
    </row>
    <row r="5085" spans="13:13" x14ac:dyDescent="0.25">
      <c r="M5085" s="21"/>
    </row>
    <row r="5086" spans="13:13" x14ac:dyDescent="0.25">
      <c r="M5086" s="21"/>
    </row>
    <row r="5087" spans="13:13" x14ac:dyDescent="0.25">
      <c r="M5087" s="21"/>
    </row>
    <row r="5088" spans="13:13" x14ac:dyDescent="0.25">
      <c r="M5088" s="21"/>
    </row>
    <row r="5089" spans="13:13" x14ac:dyDescent="0.25">
      <c r="M5089" s="21"/>
    </row>
    <row r="5090" spans="13:13" x14ac:dyDescent="0.25">
      <c r="M5090" s="21"/>
    </row>
    <row r="5091" spans="13:13" x14ac:dyDescent="0.25">
      <c r="M5091" s="21"/>
    </row>
    <row r="5092" spans="13:13" x14ac:dyDescent="0.25">
      <c r="M5092" s="21"/>
    </row>
    <row r="5093" spans="13:13" x14ac:dyDescent="0.25">
      <c r="M5093" s="21"/>
    </row>
    <row r="5094" spans="13:13" x14ac:dyDescent="0.25">
      <c r="M5094" s="21"/>
    </row>
    <row r="5095" spans="13:13" x14ac:dyDescent="0.25">
      <c r="M5095" s="21"/>
    </row>
    <row r="5096" spans="13:13" x14ac:dyDescent="0.25">
      <c r="M5096" s="21"/>
    </row>
    <row r="5097" spans="13:13" x14ac:dyDescent="0.25">
      <c r="M5097" s="21"/>
    </row>
    <row r="5098" spans="13:13" x14ac:dyDescent="0.25">
      <c r="M5098" s="21"/>
    </row>
    <row r="5099" spans="13:13" x14ac:dyDescent="0.25">
      <c r="M5099" s="21"/>
    </row>
    <row r="5100" spans="13:13" x14ac:dyDescent="0.25">
      <c r="M5100" s="21"/>
    </row>
    <row r="5101" spans="13:13" x14ac:dyDescent="0.25">
      <c r="M5101" s="21"/>
    </row>
    <row r="5102" spans="13:13" x14ac:dyDescent="0.25">
      <c r="M5102" s="21"/>
    </row>
    <row r="5103" spans="13:13" x14ac:dyDescent="0.25">
      <c r="M5103" s="21"/>
    </row>
    <row r="5104" spans="13:13" x14ac:dyDescent="0.25">
      <c r="M5104" s="21"/>
    </row>
    <row r="5105" spans="13:13" x14ac:dyDescent="0.25">
      <c r="M5105" s="21"/>
    </row>
    <row r="5106" spans="13:13" x14ac:dyDescent="0.25">
      <c r="M5106" s="21"/>
    </row>
    <row r="5107" spans="13:13" x14ac:dyDescent="0.25">
      <c r="M5107" s="21"/>
    </row>
    <row r="5108" spans="13:13" x14ac:dyDescent="0.25">
      <c r="M5108" s="21"/>
    </row>
    <row r="5109" spans="13:13" x14ac:dyDescent="0.25">
      <c r="M5109" s="21"/>
    </row>
    <row r="5110" spans="13:13" x14ac:dyDescent="0.25">
      <c r="M5110" s="21"/>
    </row>
    <row r="5111" spans="13:13" x14ac:dyDescent="0.25">
      <c r="M5111" s="21"/>
    </row>
    <row r="5112" spans="13:13" x14ac:dyDescent="0.25">
      <c r="M5112" s="21"/>
    </row>
    <row r="5113" spans="13:13" x14ac:dyDescent="0.25">
      <c r="M5113" s="21"/>
    </row>
    <row r="5114" spans="13:13" x14ac:dyDescent="0.25">
      <c r="M5114" s="21"/>
    </row>
    <row r="5115" spans="13:13" x14ac:dyDescent="0.25">
      <c r="M5115" s="21"/>
    </row>
    <row r="5116" spans="13:13" x14ac:dyDescent="0.25">
      <c r="M5116" s="21"/>
    </row>
    <row r="5117" spans="13:13" x14ac:dyDescent="0.25">
      <c r="M5117" s="21"/>
    </row>
    <row r="5118" spans="13:13" x14ac:dyDescent="0.25">
      <c r="M5118" s="21"/>
    </row>
    <row r="5119" spans="13:13" x14ac:dyDescent="0.25">
      <c r="M5119" s="21"/>
    </row>
    <row r="5120" spans="13:13" x14ac:dyDescent="0.25">
      <c r="M5120" s="21"/>
    </row>
    <row r="5121" spans="13:13" x14ac:dyDescent="0.25">
      <c r="M5121" s="21"/>
    </row>
    <row r="5122" spans="13:13" x14ac:dyDescent="0.25">
      <c r="M5122" s="21"/>
    </row>
    <row r="5123" spans="13:13" x14ac:dyDescent="0.25">
      <c r="M5123" s="21"/>
    </row>
    <row r="5124" spans="13:13" x14ac:dyDescent="0.25">
      <c r="M5124" s="21"/>
    </row>
    <row r="5125" spans="13:13" x14ac:dyDescent="0.25">
      <c r="M5125" s="21"/>
    </row>
    <row r="5126" spans="13:13" x14ac:dyDescent="0.25">
      <c r="M5126" s="21"/>
    </row>
    <row r="5127" spans="13:13" x14ac:dyDescent="0.25">
      <c r="M5127" s="21"/>
    </row>
    <row r="5128" spans="13:13" x14ac:dyDescent="0.25">
      <c r="M5128" s="21"/>
    </row>
    <row r="5129" spans="13:13" x14ac:dyDescent="0.25">
      <c r="M5129" s="21"/>
    </row>
    <row r="5130" spans="13:13" x14ac:dyDescent="0.25">
      <c r="M5130" s="21"/>
    </row>
    <row r="5131" spans="13:13" x14ac:dyDescent="0.25">
      <c r="M5131" s="21"/>
    </row>
    <row r="5132" spans="13:13" x14ac:dyDescent="0.25">
      <c r="M5132" s="21"/>
    </row>
    <row r="5133" spans="13:13" x14ac:dyDescent="0.25">
      <c r="M5133" s="21"/>
    </row>
    <row r="5134" spans="13:13" x14ac:dyDescent="0.25">
      <c r="M5134" s="21"/>
    </row>
    <row r="5135" spans="13:13" x14ac:dyDescent="0.25">
      <c r="M5135" s="21"/>
    </row>
    <row r="5136" spans="13:13" x14ac:dyDescent="0.25">
      <c r="M5136" s="21"/>
    </row>
    <row r="5137" spans="13:13" x14ac:dyDescent="0.25">
      <c r="M5137" s="21"/>
    </row>
    <row r="5138" spans="13:13" x14ac:dyDescent="0.25">
      <c r="M5138" s="21"/>
    </row>
    <row r="5139" spans="13:13" x14ac:dyDescent="0.25">
      <c r="M5139" s="21"/>
    </row>
    <row r="5140" spans="13:13" x14ac:dyDescent="0.25">
      <c r="M5140" s="21"/>
    </row>
    <row r="5141" spans="13:13" x14ac:dyDescent="0.25">
      <c r="M5141" s="21"/>
    </row>
    <row r="5142" spans="13:13" x14ac:dyDescent="0.25">
      <c r="M5142" s="21"/>
    </row>
    <row r="5143" spans="13:13" x14ac:dyDescent="0.25">
      <c r="M5143" s="21"/>
    </row>
    <row r="5144" spans="13:13" x14ac:dyDescent="0.25">
      <c r="M5144" s="21"/>
    </row>
    <row r="5145" spans="13:13" x14ac:dyDescent="0.25">
      <c r="M5145" s="21"/>
    </row>
    <row r="5146" spans="13:13" x14ac:dyDescent="0.25">
      <c r="M5146" s="21"/>
    </row>
    <row r="5147" spans="13:13" x14ac:dyDescent="0.25">
      <c r="M5147" s="21"/>
    </row>
    <row r="5148" spans="13:13" x14ac:dyDescent="0.25">
      <c r="M5148" s="21"/>
    </row>
    <row r="5149" spans="13:13" x14ac:dyDescent="0.25">
      <c r="M5149" s="21"/>
    </row>
    <row r="5150" spans="13:13" x14ac:dyDescent="0.25">
      <c r="M5150" s="21"/>
    </row>
    <row r="5151" spans="13:13" x14ac:dyDescent="0.25">
      <c r="M5151" s="21"/>
    </row>
    <row r="5152" spans="13:13" x14ac:dyDescent="0.25">
      <c r="M5152" s="21"/>
    </row>
    <row r="5153" spans="13:13" x14ac:dyDescent="0.25">
      <c r="M5153" s="21"/>
    </row>
    <row r="5154" spans="13:13" x14ac:dyDescent="0.25">
      <c r="M5154" s="21"/>
    </row>
    <row r="5155" spans="13:13" x14ac:dyDescent="0.25">
      <c r="M5155" s="21"/>
    </row>
    <row r="5156" spans="13:13" x14ac:dyDescent="0.25">
      <c r="M5156" s="21"/>
    </row>
    <row r="5157" spans="13:13" x14ac:dyDescent="0.25">
      <c r="M5157" s="21"/>
    </row>
    <row r="5158" spans="13:13" x14ac:dyDescent="0.25">
      <c r="M5158" s="21"/>
    </row>
    <row r="5159" spans="13:13" x14ac:dyDescent="0.25">
      <c r="M5159" s="21"/>
    </row>
    <row r="5160" spans="13:13" x14ac:dyDescent="0.25">
      <c r="M5160" s="21"/>
    </row>
    <row r="5161" spans="13:13" x14ac:dyDescent="0.25">
      <c r="M5161" s="21"/>
    </row>
    <row r="5162" spans="13:13" x14ac:dyDescent="0.25">
      <c r="M5162" s="21"/>
    </row>
    <row r="5163" spans="13:13" x14ac:dyDescent="0.25">
      <c r="M5163" s="21"/>
    </row>
    <row r="5164" spans="13:13" x14ac:dyDescent="0.25">
      <c r="M5164" s="21"/>
    </row>
    <row r="5165" spans="13:13" x14ac:dyDescent="0.25">
      <c r="M5165" s="21"/>
    </row>
    <row r="5166" spans="13:13" x14ac:dyDescent="0.25">
      <c r="M5166" s="21"/>
    </row>
    <row r="5167" spans="13:13" x14ac:dyDescent="0.25">
      <c r="M5167" s="21"/>
    </row>
    <row r="5168" spans="13:13" x14ac:dyDescent="0.25">
      <c r="M5168" s="21"/>
    </row>
    <row r="5169" spans="13:13" x14ac:dyDescent="0.25">
      <c r="M5169" s="21"/>
    </row>
    <row r="5170" spans="13:13" x14ac:dyDescent="0.25">
      <c r="M5170" s="21"/>
    </row>
    <row r="5171" spans="13:13" x14ac:dyDescent="0.25">
      <c r="M5171" s="21"/>
    </row>
    <row r="5172" spans="13:13" x14ac:dyDescent="0.25">
      <c r="M5172" s="21"/>
    </row>
    <row r="5173" spans="13:13" x14ac:dyDescent="0.25">
      <c r="M5173" s="21"/>
    </row>
    <row r="5174" spans="13:13" x14ac:dyDescent="0.25">
      <c r="M5174" s="21"/>
    </row>
    <row r="5175" spans="13:13" x14ac:dyDescent="0.25">
      <c r="M5175" s="21"/>
    </row>
    <row r="5176" spans="13:13" x14ac:dyDescent="0.25">
      <c r="M5176" s="21"/>
    </row>
    <row r="5177" spans="13:13" x14ac:dyDescent="0.25">
      <c r="M5177" s="21"/>
    </row>
    <row r="5178" spans="13:13" x14ac:dyDescent="0.25">
      <c r="M5178" s="21"/>
    </row>
    <row r="5179" spans="13:13" x14ac:dyDescent="0.25">
      <c r="M5179" s="21"/>
    </row>
    <row r="5180" spans="13:13" x14ac:dyDescent="0.25">
      <c r="M5180" s="21"/>
    </row>
    <row r="5181" spans="13:13" x14ac:dyDescent="0.25">
      <c r="M5181" s="21"/>
    </row>
    <row r="5182" spans="13:13" x14ac:dyDescent="0.25">
      <c r="M5182" s="21"/>
    </row>
    <row r="5183" spans="13:13" x14ac:dyDescent="0.25">
      <c r="M5183" s="21"/>
    </row>
    <row r="5184" spans="13:13" x14ac:dyDescent="0.25">
      <c r="M5184" s="21"/>
    </row>
    <row r="5185" spans="13:13" x14ac:dyDescent="0.25">
      <c r="M5185" s="21"/>
    </row>
    <row r="5186" spans="13:13" x14ac:dyDescent="0.25">
      <c r="M5186" s="21"/>
    </row>
    <row r="5187" spans="13:13" x14ac:dyDescent="0.25">
      <c r="M5187" s="21"/>
    </row>
    <row r="5188" spans="13:13" x14ac:dyDescent="0.25">
      <c r="M5188" s="21"/>
    </row>
    <row r="5189" spans="13:13" x14ac:dyDescent="0.25">
      <c r="M5189" s="21"/>
    </row>
    <row r="5190" spans="13:13" x14ac:dyDescent="0.25">
      <c r="M5190" s="21"/>
    </row>
    <row r="5191" spans="13:13" x14ac:dyDescent="0.25">
      <c r="M5191" s="21"/>
    </row>
    <row r="5192" spans="13:13" x14ac:dyDescent="0.25">
      <c r="M5192" s="21"/>
    </row>
    <row r="5193" spans="13:13" x14ac:dyDescent="0.25">
      <c r="M5193" s="21"/>
    </row>
    <row r="5194" spans="13:13" x14ac:dyDescent="0.25">
      <c r="M5194" s="21"/>
    </row>
    <row r="5195" spans="13:13" x14ac:dyDescent="0.25">
      <c r="M5195" s="21"/>
    </row>
    <row r="5196" spans="13:13" x14ac:dyDescent="0.25">
      <c r="M5196" s="21"/>
    </row>
    <row r="5197" spans="13:13" x14ac:dyDescent="0.25">
      <c r="M5197" s="21"/>
    </row>
    <row r="5198" spans="13:13" x14ac:dyDescent="0.25">
      <c r="M5198" s="21"/>
    </row>
    <row r="5199" spans="13:13" x14ac:dyDescent="0.25">
      <c r="M5199" s="21"/>
    </row>
    <row r="5200" spans="13:13" x14ac:dyDescent="0.25">
      <c r="M5200" s="21"/>
    </row>
    <row r="5201" spans="13:13" x14ac:dyDescent="0.25">
      <c r="M5201" s="21"/>
    </row>
    <row r="5202" spans="13:13" x14ac:dyDescent="0.25">
      <c r="M5202" s="21"/>
    </row>
    <row r="5203" spans="13:13" x14ac:dyDescent="0.25">
      <c r="M5203" s="21"/>
    </row>
    <row r="5204" spans="13:13" x14ac:dyDescent="0.25">
      <c r="M5204" s="21"/>
    </row>
    <row r="5205" spans="13:13" x14ac:dyDescent="0.25">
      <c r="M5205" s="21"/>
    </row>
    <row r="5206" spans="13:13" x14ac:dyDescent="0.25">
      <c r="M5206" s="21"/>
    </row>
    <row r="5207" spans="13:13" x14ac:dyDescent="0.25">
      <c r="M5207" s="21"/>
    </row>
    <row r="5208" spans="13:13" x14ac:dyDescent="0.25">
      <c r="M5208" s="21"/>
    </row>
    <row r="5209" spans="13:13" x14ac:dyDescent="0.25">
      <c r="M5209" s="21"/>
    </row>
    <row r="5210" spans="13:13" x14ac:dyDescent="0.25">
      <c r="M5210" s="21"/>
    </row>
    <row r="5211" spans="13:13" x14ac:dyDescent="0.25">
      <c r="M5211" s="21"/>
    </row>
    <row r="5212" spans="13:13" x14ac:dyDescent="0.25">
      <c r="M5212" s="21"/>
    </row>
    <row r="5213" spans="13:13" x14ac:dyDescent="0.25">
      <c r="M5213" s="21"/>
    </row>
    <row r="5214" spans="13:13" x14ac:dyDescent="0.25">
      <c r="M5214" s="21"/>
    </row>
    <row r="5215" spans="13:13" x14ac:dyDescent="0.25">
      <c r="M5215" s="21"/>
    </row>
    <row r="5216" spans="13:13" x14ac:dyDescent="0.25">
      <c r="M5216" s="21"/>
    </row>
    <row r="5217" spans="13:13" x14ac:dyDescent="0.25">
      <c r="M5217" s="21"/>
    </row>
    <row r="5218" spans="13:13" x14ac:dyDescent="0.25">
      <c r="M5218" s="21"/>
    </row>
    <row r="5219" spans="13:13" x14ac:dyDescent="0.25">
      <c r="M5219" s="21"/>
    </row>
    <row r="5220" spans="13:13" x14ac:dyDescent="0.25">
      <c r="M5220" s="21"/>
    </row>
    <row r="5221" spans="13:13" x14ac:dyDescent="0.25">
      <c r="M5221" s="21"/>
    </row>
    <row r="5222" spans="13:13" x14ac:dyDescent="0.25">
      <c r="M5222" s="21"/>
    </row>
    <row r="5223" spans="13:13" x14ac:dyDescent="0.25">
      <c r="M5223" s="21"/>
    </row>
    <row r="5224" spans="13:13" x14ac:dyDescent="0.25">
      <c r="M5224" s="21"/>
    </row>
    <row r="5225" spans="13:13" x14ac:dyDescent="0.25">
      <c r="M5225" s="21"/>
    </row>
    <row r="5226" spans="13:13" x14ac:dyDescent="0.25">
      <c r="M5226" s="21"/>
    </row>
    <row r="5227" spans="13:13" x14ac:dyDescent="0.25">
      <c r="M5227" s="21"/>
    </row>
    <row r="5228" spans="13:13" x14ac:dyDescent="0.25">
      <c r="M5228" s="21"/>
    </row>
    <row r="5229" spans="13:13" x14ac:dyDescent="0.25">
      <c r="M5229" s="21"/>
    </row>
    <row r="5230" spans="13:13" x14ac:dyDescent="0.25">
      <c r="M5230" s="21"/>
    </row>
    <row r="5231" spans="13:13" x14ac:dyDescent="0.25">
      <c r="M5231" s="21"/>
    </row>
    <row r="5232" spans="13:13" x14ac:dyDescent="0.25">
      <c r="M5232" s="21"/>
    </row>
    <row r="5233" spans="13:13" x14ac:dyDescent="0.25">
      <c r="M5233" s="21"/>
    </row>
    <row r="5234" spans="13:13" x14ac:dyDescent="0.25">
      <c r="M5234" s="21"/>
    </row>
    <row r="5235" spans="13:13" x14ac:dyDescent="0.25">
      <c r="M5235" s="21"/>
    </row>
    <row r="5236" spans="13:13" x14ac:dyDescent="0.25">
      <c r="M5236" s="21"/>
    </row>
    <row r="5237" spans="13:13" x14ac:dyDescent="0.25">
      <c r="M5237" s="21"/>
    </row>
    <row r="5238" spans="13:13" x14ac:dyDescent="0.25">
      <c r="M5238" s="21"/>
    </row>
    <row r="5239" spans="13:13" x14ac:dyDescent="0.25">
      <c r="M5239" s="21"/>
    </row>
    <row r="5240" spans="13:13" x14ac:dyDescent="0.25">
      <c r="M5240" s="21"/>
    </row>
    <row r="5241" spans="13:13" x14ac:dyDescent="0.25">
      <c r="M5241" s="21"/>
    </row>
    <row r="5242" spans="13:13" x14ac:dyDescent="0.25">
      <c r="M5242" s="21"/>
    </row>
    <row r="5243" spans="13:13" x14ac:dyDescent="0.25">
      <c r="M5243" s="21"/>
    </row>
    <row r="5244" spans="13:13" x14ac:dyDescent="0.25">
      <c r="M5244" s="21"/>
    </row>
    <row r="5245" spans="13:13" x14ac:dyDescent="0.25">
      <c r="M5245" s="21"/>
    </row>
    <row r="5246" spans="13:13" x14ac:dyDescent="0.25">
      <c r="M5246" s="21"/>
    </row>
    <row r="5247" spans="13:13" x14ac:dyDescent="0.25">
      <c r="M5247" s="21"/>
    </row>
    <row r="5248" spans="13:13" x14ac:dyDescent="0.25">
      <c r="M5248" s="21"/>
    </row>
    <row r="5249" spans="13:13" x14ac:dyDescent="0.25">
      <c r="M5249" s="21"/>
    </row>
    <row r="5250" spans="13:13" x14ac:dyDescent="0.25">
      <c r="M5250" s="21"/>
    </row>
    <row r="5251" spans="13:13" x14ac:dyDescent="0.25">
      <c r="M5251" s="21"/>
    </row>
    <row r="5252" spans="13:13" x14ac:dyDescent="0.25">
      <c r="M5252" s="21"/>
    </row>
    <row r="5253" spans="13:13" x14ac:dyDescent="0.25">
      <c r="M5253" s="21"/>
    </row>
    <row r="5254" spans="13:13" x14ac:dyDescent="0.25">
      <c r="M5254" s="21"/>
    </row>
    <row r="5255" spans="13:13" x14ac:dyDescent="0.25">
      <c r="M5255" s="21"/>
    </row>
    <row r="5256" spans="13:13" x14ac:dyDescent="0.25">
      <c r="M5256" s="21"/>
    </row>
    <row r="5257" spans="13:13" x14ac:dyDescent="0.25">
      <c r="M5257" s="21"/>
    </row>
    <row r="5258" spans="13:13" x14ac:dyDescent="0.25">
      <c r="M5258" s="21"/>
    </row>
    <row r="5259" spans="13:13" x14ac:dyDescent="0.25">
      <c r="M5259" s="21"/>
    </row>
    <row r="5260" spans="13:13" x14ac:dyDescent="0.25">
      <c r="M5260" s="21"/>
    </row>
    <row r="5261" spans="13:13" x14ac:dyDescent="0.25">
      <c r="M5261" s="21"/>
    </row>
    <row r="5262" spans="13:13" x14ac:dyDescent="0.25">
      <c r="M5262" s="21"/>
    </row>
    <row r="5263" spans="13:13" x14ac:dyDescent="0.25">
      <c r="M5263" s="21"/>
    </row>
    <row r="5264" spans="13:13" x14ac:dyDescent="0.25">
      <c r="M5264" s="21"/>
    </row>
    <row r="5265" spans="13:13" x14ac:dyDescent="0.25">
      <c r="M5265" s="21"/>
    </row>
    <row r="5266" spans="13:13" x14ac:dyDescent="0.25">
      <c r="M5266" s="21"/>
    </row>
    <row r="5267" spans="13:13" x14ac:dyDescent="0.25">
      <c r="M5267" s="21"/>
    </row>
    <row r="5268" spans="13:13" x14ac:dyDescent="0.25">
      <c r="M5268" s="21"/>
    </row>
    <row r="5269" spans="13:13" x14ac:dyDescent="0.25">
      <c r="M5269" s="21"/>
    </row>
    <row r="5270" spans="13:13" x14ac:dyDescent="0.25">
      <c r="M5270" s="21"/>
    </row>
    <row r="5271" spans="13:13" x14ac:dyDescent="0.25">
      <c r="M5271" s="21"/>
    </row>
    <row r="5272" spans="13:13" x14ac:dyDescent="0.25">
      <c r="M5272" s="21"/>
    </row>
    <row r="5273" spans="13:13" x14ac:dyDescent="0.25">
      <c r="M5273" s="21"/>
    </row>
    <row r="5274" spans="13:13" x14ac:dyDescent="0.25">
      <c r="M5274" s="21"/>
    </row>
    <row r="5275" spans="13:13" x14ac:dyDescent="0.25">
      <c r="M5275" s="21"/>
    </row>
    <row r="5276" spans="13:13" x14ac:dyDescent="0.25">
      <c r="M5276" s="21"/>
    </row>
    <row r="5277" spans="13:13" x14ac:dyDescent="0.25">
      <c r="M5277" s="21"/>
    </row>
    <row r="5278" spans="13:13" x14ac:dyDescent="0.25">
      <c r="M5278" s="21"/>
    </row>
    <row r="5279" spans="13:13" x14ac:dyDescent="0.25">
      <c r="M5279" s="21"/>
    </row>
    <row r="5280" spans="13:13" x14ac:dyDescent="0.25">
      <c r="M5280" s="21"/>
    </row>
    <row r="5281" spans="13:13" x14ac:dyDescent="0.25">
      <c r="M5281" s="21"/>
    </row>
    <row r="5282" spans="13:13" x14ac:dyDescent="0.25">
      <c r="M5282" s="21"/>
    </row>
    <row r="5283" spans="13:13" x14ac:dyDescent="0.25">
      <c r="M5283" s="21"/>
    </row>
    <row r="5284" spans="13:13" x14ac:dyDescent="0.25">
      <c r="M5284" s="21"/>
    </row>
    <row r="5285" spans="13:13" x14ac:dyDescent="0.25">
      <c r="M5285" s="21"/>
    </row>
    <row r="5286" spans="13:13" x14ac:dyDescent="0.25">
      <c r="M5286" s="21"/>
    </row>
    <row r="5287" spans="13:13" x14ac:dyDescent="0.25">
      <c r="M5287" s="21"/>
    </row>
    <row r="5288" spans="13:13" x14ac:dyDescent="0.25">
      <c r="M5288" s="21"/>
    </row>
    <row r="5289" spans="13:13" x14ac:dyDescent="0.25">
      <c r="M5289" s="21"/>
    </row>
    <row r="5290" spans="13:13" x14ac:dyDescent="0.25">
      <c r="M5290" s="21"/>
    </row>
    <row r="5291" spans="13:13" x14ac:dyDescent="0.25">
      <c r="M5291" s="21"/>
    </row>
    <row r="5292" spans="13:13" x14ac:dyDescent="0.25">
      <c r="M5292" s="21"/>
    </row>
    <row r="5293" spans="13:13" x14ac:dyDescent="0.25">
      <c r="M5293" s="21"/>
    </row>
    <row r="5294" spans="13:13" x14ac:dyDescent="0.25">
      <c r="M5294" s="21"/>
    </row>
    <row r="5295" spans="13:13" x14ac:dyDescent="0.25">
      <c r="M5295" s="21"/>
    </row>
    <row r="5296" spans="13:13" x14ac:dyDescent="0.25">
      <c r="M5296" s="21"/>
    </row>
    <row r="5297" spans="13:13" x14ac:dyDescent="0.25">
      <c r="M5297" s="21"/>
    </row>
    <row r="5298" spans="13:13" x14ac:dyDescent="0.25">
      <c r="M5298" s="21"/>
    </row>
    <row r="5299" spans="13:13" x14ac:dyDescent="0.25">
      <c r="M5299" s="21"/>
    </row>
    <row r="5300" spans="13:13" x14ac:dyDescent="0.25">
      <c r="M5300" s="21"/>
    </row>
    <row r="5301" spans="13:13" x14ac:dyDescent="0.25">
      <c r="M5301" s="21"/>
    </row>
    <row r="5302" spans="13:13" x14ac:dyDescent="0.25">
      <c r="M5302" s="21"/>
    </row>
    <row r="5303" spans="13:13" x14ac:dyDescent="0.25">
      <c r="M5303" s="21"/>
    </row>
    <row r="5304" spans="13:13" x14ac:dyDescent="0.25">
      <c r="M5304" s="21"/>
    </row>
    <row r="5305" spans="13:13" x14ac:dyDescent="0.25">
      <c r="M5305" s="21"/>
    </row>
    <row r="5306" spans="13:13" x14ac:dyDescent="0.25">
      <c r="M5306" s="21"/>
    </row>
    <row r="5307" spans="13:13" x14ac:dyDescent="0.25">
      <c r="M5307" s="21"/>
    </row>
    <row r="5308" spans="13:13" x14ac:dyDescent="0.25">
      <c r="M5308" s="21"/>
    </row>
    <row r="5309" spans="13:13" x14ac:dyDescent="0.25">
      <c r="M5309" s="21"/>
    </row>
    <row r="5310" spans="13:13" x14ac:dyDescent="0.25">
      <c r="M5310" s="21"/>
    </row>
    <row r="5311" spans="13:13" x14ac:dyDescent="0.25">
      <c r="M5311" s="21"/>
    </row>
    <row r="5312" spans="13:13" x14ac:dyDescent="0.25">
      <c r="M5312" s="21"/>
    </row>
    <row r="5313" spans="13:13" x14ac:dyDescent="0.25">
      <c r="M5313" s="21"/>
    </row>
    <row r="5314" spans="13:13" x14ac:dyDescent="0.25">
      <c r="M5314" s="21"/>
    </row>
    <row r="5315" spans="13:13" x14ac:dyDescent="0.25">
      <c r="M5315" s="21"/>
    </row>
    <row r="5316" spans="13:13" x14ac:dyDescent="0.25">
      <c r="M5316" s="21"/>
    </row>
    <row r="5317" spans="13:13" x14ac:dyDescent="0.25">
      <c r="M5317" s="21"/>
    </row>
    <row r="5318" spans="13:13" x14ac:dyDescent="0.25">
      <c r="M5318" s="21"/>
    </row>
    <row r="5319" spans="13:13" x14ac:dyDescent="0.25">
      <c r="M5319" s="21"/>
    </row>
    <row r="5320" spans="13:13" x14ac:dyDescent="0.25">
      <c r="M5320" s="21"/>
    </row>
    <row r="5321" spans="13:13" x14ac:dyDescent="0.25">
      <c r="M5321" s="21"/>
    </row>
    <row r="5322" spans="13:13" x14ac:dyDescent="0.25">
      <c r="M5322" s="21"/>
    </row>
    <row r="5323" spans="13:13" x14ac:dyDescent="0.25">
      <c r="M5323" s="21"/>
    </row>
    <row r="5324" spans="13:13" x14ac:dyDescent="0.25">
      <c r="M5324" s="21"/>
    </row>
    <row r="5325" spans="13:13" x14ac:dyDescent="0.25">
      <c r="M5325" s="21"/>
    </row>
    <row r="5326" spans="13:13" x14ac:dyDescent="0.25">
      <c r="M5326" s="21"/>
    </row>
    <row r="5327" spans="13:13" x14ac:dyDescent="0.25">
      <c r="M5327" s="21"/>
    </row>
    <row r="5328" spans="13:13" x14ac:dyDescent="0.25">
      <c r="M5328" s="21"/>
    </row>
    <row r="5329" spans="13:13" x14ac:dyDescent="0.25">
      <c r="M5329" s="21"/>
    </row>
    <row r="5330" spans="13:13" x14ac:dyDescent="0.25">
      <c r="M5330" s="21"/>
    </row>
    <row r="5331" spans="13:13" x14ac:dyDescent="0.25">
      <c r="M5331" s="21"/>
    </row>
    <row r="5332" spans="13:13" x14ac:dyDescent="0.25">
      <c r="M5332" s="21"/>
    </row>
    <row r="5333" spans="13:13" x14ac:dyDescent="0.25">
      <c r="M5333" s="21"/>
    </row>
    <row r="5334" spans="13:13" x14ac:dyDescent="0.25">
      <c r="M5334" s="21"/>
    </row>
    <row r="5335" spans="13:13" x14ac:dyDescent="0.25">
      <c r="M5335" s="21"/>
    </row>
    <row r="5336" spans="13:13" x14ac:dyDescent="0.25">
      <c r="M5336" s="21"/>
    </row>
    <row r="5337" spans="13:13" x14ac:dyDescent="0.25">
      <c r="M5337" s="21"/>
    </row>
    <row r="5338" spans="13:13" x14ac:dyDescent="0.25">
      <c r="M5338" s="21"/>
    </row>
    <row r="5339" spans="13:13" x14ac:dyDescent="0.25">
      <c r="M5339" s="21"/>
    </row>
    <row r="5340" spans="13:13" x14ac:dyDescent="0.25">
      <c r="M5340" s="21"/>
    </row>
    <row r="5341" spans="13:13" x14ac:dyDescent="0.25">
      <c r="M5341" s="21"/>
    </row>
    <row r="5342" spans="13:13" x14ac:dyDescent="0.25">
      <c r="M5342" s="21"/>
    </row>
    <row r="5343" spans="13:13" x14ac:dyDescent="0.25">
      <c r="M5343" s="21"/>
    </row>
    <row r="5344" spans="13:13" x14ac:dyDescent="0.25">
      <c r="M5344" s="21"/>
    </row>
    <row r="5345" spans="13:13" x14ac:dyDescent="0.25">
      <c r="M5345" s="21"/>
    </row>
    <row r="5346" spans="13:13" x14ac:dyDescent="0.25">
      <c r="M5346" s="21"/>
    </row>
    <row r="5347" spans="13:13" x14ac:dyDescent="0.25">
      <c r="M5347" s="21"/>
    </row>
    <row r="5348" spans="13:13" x14ac:dyDescent="0.25">
      <c r="M5348" s="21"/>
    </row>
    <row r="5349" spans="13:13" x14ac:dyDescent="0.25">
      <c r="M5349" s="21"/>
    </row>
    <row r="5350" spans="13:13" x14ac:dyDescent="0.25">
      <c r="M5350" s="21"/>
    </row>
    <row r="5351" spans="13:13" x14ac:dyDescent="0.25">
      <c r="M5351" s="21"/>
    </row>
    <row r="5352" spans="13:13" x14ac:dyDescent="0.25">
      <c r="M5352" s="21"/>
    </row>
    <row r="5353" spans="13:13" x14ac:dyDescent="0.25">
      <c r="M5353" s="21"/>
    </row>
    <row r="5354" spans="13:13" x14ac:dyDescent="0.25">
      <c r="M5354" s="21"/>
    </row>
    <row r="5355" spans="13:13" x14ac:dyDescent="0.25">
      <c r="M5355" s="21"/>
    </row>
    <row r="5356" spans="13:13" x14ac:dyDescent="0.25">
      <c r="M5356" s="21"/>
    </row>
    <row r="5357" spans="13:13" x14ac:dyDescent="0.25">
      <c r="M5357" s="21"/>
    </row>
    <row r="5358" spans="13:13" x14ac:dyDescent="0.25">
      <c r="M5358" s="21"/>
    </row>
    <row r="5359" spans="13:13" x14ac:dyDescent="0.25">
      <c r="M5359" s="21"/>
    </row>
    <row r="5360" spans="13:13" x14ac:dyDescent="0.25">
      <c r="M5360" s="21"/>
    </row>
    <row r="5361" spans="13:13" x14ac:dyDescent="0.25">
      <c r="M5361" s="21"/>
    </row>
    <row r="5362" spans="13:13" x14ac:dyDescent="0.25">
      <c r="M5362" s="21"/>
    </row>
    <row r="5363" spans="13:13" x14ac:dyDescent="0.25">
      <c r="M5363" s="21"/>
    </row>
    <row r="5364" spans="13:13" x14ac:dyDescent="0.25">
      <c r="M5364" s="21"/>
    </row>
    <row r="5365" spans="13:13" x14ac:dyDescent="0.25">
      <c r="M5365" s="21"/>
    </row>
    <row r="5366" spans="13:13" x14ac:dyDescent="0.25">
      <c r="M5366" s="21"/>
    </row>
    <row r="5367" spans="13:13" x14ac:dyDescent="0.25">
      <c r="M5367" s="21"/>
    </row>
    <row r="5368" spans="13:13" x14ac:dyDescent="0.25">
      <c r="M5368" s="21"/>
    </row>
    <row r="5369" spans="13:13" x14ac:dyDescent="0.25">
      <c r="M5369" s="21"/>
    </row>
    <row r="5370" spans="13:13" x14ac:dyDescent="0.25">
      <c r="M5370" s="21"/>
    </row>
    <row r="5371" spans="13:13" x14ac:dyDescent="0.25">
      <c r="M5371" s="21"/>
    </row>
    <row r="5372" spans="13:13" x14ac:dyDescent="0.25">
      <c r="M5372" s="21"/>
    </row>
    <row r="5373" spans="13:13" x14ac:dyDescent="0.25">
      <c r="M5373" s="21"/>
    </row>
    <row r="5374" spans="13:13" x14ac:dyDescent="0.25">
      <c r="M5374" s="21"/>
    </row>
    <row r="5375" spans="13:13" x14ac:dyDescent="0.25">
      <c r="M5375" s="21"/>
    </row>
    <row r="5376" spans="13:13" x14ac:dyDescent="0.25">
      <c r="M5376" s="21"/>
    </row>
    <row r="5377" spans="13:13" x14ac:dyDescent="0.25">
      <c r="M5377" s="21"/>
    </row>
    <row r="5378" spans="13:13" x14ac:dyDescent="0.25">
      <c r="M5378" s="21"/>
    </row>
    <row r="5379" spans="13:13" x14ac:dyDescent="0.25">
      <c r="M5379" s="21"/>
    </row>
    <row r="5380" spans="13:13" x14ac:dyDescent="0.25">
      <c r="M5380" s="21"/>
    </row>
    <row r="5381" spans="13:13" x14ac:dyDescent="0.25">
      <c r="M5381" s="21"/>
    </row>
    <row r="5382" spans="13:13" x14ac:dyDescent="0.25">
      <c r="M5382" s="21"/>
    </row>
    <row r="5383" spans="13:13" x14ac:dyDescent="0.25">
      <c r="M5383" s="21"/>
    </row>
    <row r="5384" spans="13:13" x14ac:dyDescent="0.25">
      <c r="M5384" s="21"/>
    </row>
    <row r="5385" spans="13:13" x14ac:dyDescent="0.25">
      <c r="M5385" s="21"/>
    </row>
    <row r="5386" spans="13:13" x14ac:dyDescent="0.25">
      <c r="M5386" s="21"/>
    </row>
    <row r="5387" spans="13:13" x14ac:dyDescent="0.25">
      <c r="M5387" s="21"/>
    </row>
    <row r="5388" spans="13:13" x14ac:dyDescent="0.25">
      <c r="M5388" s="21"/>
    </row>
    <row r="5389" spans="13:13" x14ac:dyDescent="0.25">
      <c r="M5389" s="21"/>
    </row>
    <row r="5390" spans="13:13" x14ac:dyDescent="0.25">
      <c r="M5390" s="21"/>
    </row>
    <row r="5391" spans="13:13" x14ac:dyDescent="0.25">
      <c r="M5391" s="21"/>
    </row>
    <row r="5392" spans="13:13" x14ac:dyDescent="0.25">
      <c r="M5392" s="21"/>
    </row>
    <row r="5393" spans="13:13" x14ac:dyDescent="0.25">
      <c r="M5393" s="21"/>
    </row>
    <row r="5394" spans="13:13" x14ac:dyDescent="0.25">
      <c r="M5394" s="21"/>
    </row>
    <row r="5395" spans="13:13" x14ac:dyDescent="0.25">
      <c r="M5395" s="21"/>
    </row>
    <row r="5396" spans="13:13" x14ac:dyDescent="0.25">
      <c r="M5396" s="21"/>
    </row>
    <row r="5397" spans="13:13" x14ac:dyDescent="0.25">
      <c r="M5397" s="21"/>
    </row>
    <row r="5398" spans="13:13" x14ac:dyDescent="0.25">
      <c r="M5398" s="21"/>
    </row>
    <row r="5399" spans="13:13" x14ac:dyDescent="0.25">
      <c r="M5399" s="21"/>
    </row>
    <row r="5400" spans="13:13" x14ac:dyDescent="0.25">
      <c r="M5400" s="21"/>
    </row>
    <row r="5401" spans="13:13" x14ac:dyDescent="0.25">
      <c r="M5401" s="21"/>
    </row>
    <row r="5402" spans="13:13" x14ac:dyDescent="0.25">
      <c r="M5402" s="21"/>
    </row>
    <row r="5403" spans="13:13" x14ac:dyDescent="0.25">
      <c r="M5403" s="21"/>
    </row>
    <row r="5404" spans="13:13" x14ac:dyDescent="0.25">
      <c r="M5404" s="21"/>
    </row>
    <row r="5405" spans="13:13" x14ac:dyDescent="0.25">
      <c r="M5405" s="21"/>
    </row>
    <row r="5406" spans="13:13" x14ac:dyDescent="0.25">
      <c r="M5406" s="21"/>
    </row>
    <row r="5407" spans="13:13" x14ac:dyDescent="0.25">
      <c r="M5407" s="21"/>
    </row>
    <row r="5408" spans="13:13" x14ac:dyDescent="0.25">
      <c r="M5408" s="21"/>
    </row>
    <row r="5409" spans="13:13" x14ac:dyDescent="0.25">
      <c r="M5409" s="21"/>
    </row>
    <row r="5410" spans="13:13" x14ac:dyDescent="0.25">
      <c r="M5410" s="21"/>
    </row>
    <row r="5411" spans="13:13" x14ac:dyDescent="0.25">
      <c r="M5411" s="21"/>
    </row>
    <row r="5412" spans="13:13" x14ac:dyDescent="0.25">
      <c r="M5412" s="21"/>
    </row>
    <row r="5413" spans="13:13" x14ac:dyDescent="0.25">
      <c r="M5413" s="21"/>
    </row>
    <row r="5414" spans="13:13" x14ac:dyDescent="0.25">
      <c r="M5414" s="21"/>
    </row>
    <row r="5415" spans="13:13" x14ac:dyDescent="0.25">
      <c r="M5415" s="21"/>
    </row>
    <row r="5416" spans="13:13" x14ac:dyDescent="0.25">
      <c r="M5416" s="21"/>
    </row>
    <row r="5417" spans="13:13" x14ac:dyDescent="0.25">
      <c r="M5417" s="21"/>
    </row>
    <row r="5418" spans="13:13" x14ac:dyDescent="0.25">
      <c r="M5418" s="21"/>
    </row>
    <row r="5419" spans="13:13" x14ac:dyDescent="0.25">
      <c r="M5419" s="21"/>
    </row>
    <row r="5420" spans="13:13" x14ac:dyDescent="0.25">
      <c r="M5420" s="21"/>
    </row>
    <row r="5421" spans="13:13" x14ac:dyDescent="0.25">
      <c r="M5421" s="21"/>
    </row>
    <row r="5422" spans="13:13" x14ac:dyDescent="0.25">
      <c r="M5422" s="21"/>
    </row>
    <row r="5423" spans="13:13" x14ac:dyDescent="0.25">
      <c r="M5423" s="21"/>
    </row>
    <row r="5424" spans="13:13" x14ac:dyDescent="0.25">
      <c r="M5424" s="21"/>
    </row>
    <row r="5425" spans="13:13" x14ac:dyDescent="0.25">
      <c r="M5425" s="21"/>
    </row>
    <row r="5426" spans="13:13" x14ac:dyDescent="0.25">
      <c r="M5426" s="21"/>
    </row>
    <row r="5427" spans="13:13" x14ac:dyDescent="0.25">
      <c r="M5427" s="21"/>
    </row>
    <row r="5428" spans="13:13" x14ac:dyDescent="0.25">
      <c r="M5428" s="21"/>
    </row>
    <row r="5429" spans="13:13" x14ac:dyDescent="0.25">
      <c r="M5429" s="21"/>
    </row>
    <row r="5430" spans="13:13" x14ac:dyDescent="0.25">
      <c r="M5430" s="21"/>
    </row>
    <row r="5431" spans="13:13" x14ac:dyDescent="0.25">
      <c r="M5431" s="21"/>
    </row>
    <row r="5432" spans="13:13" x14ac:dyDescent="0.25">
      <c r="M5432" s="21"/>
    </row>
    <row r="5433" spans="13:13" x14ac:dyDescent="0.25">
      <c r="M5433" s="21"/>
    </row>
    <row r="5434" spans="13:13" x14ac:dyDescent="0.25">
      <c r="M5434" s="21"/>
    </row>
    <row r="5435" spans="13:13" x14ac:dyDescent="0.25">
      <c r="M5435" s="21"/>
    </row>
    <row r="5436" spans="13:13" x14ac:dyDescent="0.25">
      <c r="M5436" s="21"/>
    </row>
    <row r="5437" spans="13:13" x14ac:dyDescent="0.25">
      <c r="M5437" s="21"/>
    </row>
    <row r="5438" spans="13:13" x14ac:dyDescent="0.25">
      <c r="M5438" s="21"/>
    </row>
    <row r="5439" spans="13:13" x14ac:dyDescent="0.25">
      <c r="M5439" s="21"/>
    </row>
    <row r="5440" spans="13:13" x14ac:dyDescent="0.25">
      <c r="M5440" s="21"/>
    </row>
    <row r="5441" spans="13:13" x14ac:dyDescent="0.25">
      <c r="M5441" s="21"/>
    </row>
    <row r="5442" spans="13:13" x14ac:dyDescent="0.25">
      <c r="M5442" s="21"/>
    </row>
    <row r="5443" spans="13:13" x14ac:dyDescent="0.25">
      <c r="M5443" s="21"/>
    </row>
    <row r="5444" spans="13:13" x14ac:dyDescent="0.25">
      <c r="M5444" s="21"/>
    </row>
    <row r="5445" spans="13:13" x14ac:dyDescent="0.25">
      <c r="M5445" s="21"/>
    </row>
    <row r="5446" spans="13:13" x14ac:dyDescent="0.25">
      <c r="M5446" s="21"/>
    </row>
    <row r="5447" spans="13:13" x14ac:dyDescent="0.25">
      <c r="M5447" s="21"/>
    </row>
    <row r="5448" spans="13:13" x14ac:dyDescent="0.25">
      <c r="M5448" s="21"/>
    </row>
    <row r="5449" spans="13:13" x14ac:dyDescent="0.25">
      <c r="M5449" s="21"/>
    </row>
    <row r="5450" spans="13:13" x14ac:dyDescent="0.25">
      <c r="M5450" s="21"/>
    </row>
    <row r="5451" spans="13:13" x14ac:dyDescent="0.25">
      <c r="M5451" s="21"/>
    </row>
    <row r="5452" spans="13:13" x14ac:dyDescent="0.25">
      <c r="M5452" s="21"/>
    </row>
    <row r="5453" spans="13:13" x14ac:dyDescent="0.25">
      <c r="M5453" s="21"/>
    </row>
    <row r="5454" spans="13:13" x14ac:dyDescent="0.25">
      <c r="M5454" s="21"/>
    </row>
    <row r="5455" spans="13:13" x14ac:dyDescent="0.25">
      <c r="M5455" s="21"/>
    </row>
    <row r="5456" spans="13:13" x14ac:dyDescent="0.25">
      <c r="M5456" s="21"/>
    </row>
    <row r="5457" spans="13:13" x14ac:dyDescent="0.25">
      <c r="M5457" s="21"/>
    </row>
    <row r="5458" spans="13:13" x14ac:dyDescent="0.25">
      <c r="M5458" s="21"/>
    </row>
    <row r="5459" spans="13:13" x14ac:dyDescent="0.25">
      <c r="M5459" s="21"/>
    </row>
    <row r="5460" spans="13:13" x14ac:dyDescent="0.25">
      <c r="M5460" s="21"/>
    </row>
    <row r="5461" spans="13:13" x14ac:dyDescent="0.25">
      <c r="M5461" s="21"/>
    </row>
    <row r="5462" spans="13:13" x14ac:dyDescent="0.25">
      <c r="M5462" s="21"/>
    </row>
    <row r="5463" spans="13:13" x14ac:dyDescent="0.25">
      <c r="M5463" s="21"/>
    </row>
    <row r="5464" spans="13:13" x14ac:dyDescent="0.25">
      <c r="M5464" s="21"/>
    </row>
    <row r="5465" spans="13:13" x14ac:dyDescent="0.25">
      <c r="M5465" s="21"/>
    </row>
    <row r="5466" spans="13:13" x14ac:dyDescent="0.25">
      <c r="M5466" s="21"/>
    </row>
    <row r="5467" spans="13:13" x14ac:dyDescent="0.25">
      <c r="M5467" s="21"/>
    </row>
    <row r="5468" spans="13:13" x14ac:dyDescent="0.25">
      <c r="M5468" s="21"/>
    </row>
    <row r="5469" spans="13:13" x14ac:dyDescent="0.25">
      <c r="M5469" s="21"/>
    </row>
    <row r="5470" spans="13:13" x14ac:dyDescent="0.25">
      <c r="M5470" s="21"/>
    </row>
    <row r="5471" spans="13:13" x14ac:dyDescent="0.25">
      <c r="M5471" s="21"/>
    </row>
    <row r="5472" spans="13:13" x14ac:dyDescent="0.25">
      <c r="M5472" s="21"/>
    </row>
    <row r="5473" spans="13:13" x14ac:dyDescent="0.25">
      <c r="M5473" s="21"/>
    </row>
    <row r="5474" spans="13:13" x14ac:dyDescent="0.25">
      <c r="M5474" s="21"/>
    </row>
    <row r="5475" spans="13:13" x14ac:dyDescent="0.25">
      <c r="M5475" s="21"/>
    </row>
    <row r="5476" spans="13:13" x14ac:dyDescent="0.25">
      <c r="M5476" s="21"/>
    </row>
    <row r="5477" spans="13:13" x14ac:dyDescent="0.25">
      <c r="M5477" s="21"/>
    </row>
    <row r="5478" spans="13:13" x14ac:dyDescent="0.25">
      <c r="M5478" s="21"/>
    </row>
    <row r="5479" spans="13:13" x14ac:dyDescent="0.25">
      <c r="M5479" s="21"/>
    </row>
    <row r="5480" spans="13:13" x14ac:dyDescent="0.25">
      <c r="M5480" s="21"/>
    </row>
    <row r="5481" spans="13:13" x14ac:dyDescent="0.25">
      <c r="M5481" s="21"/>
    </row>
    <row r="5482" spans="13:13" x14ac:dyDescent="0.25">
      <c r="M5482" s="21"/>
    </row>
    <row r="5483" spans="13:13" x14ac:dyDescent="0.25">
      <c r="M5483" s="21"/>
    </row>
    <row r="5484" spans="13:13" x14ac:dyDescent="0.25">
      <c r="M5484" s="21"/>
    </row>
    <row r="5485" spans="13:13" x14ac:dyDescent="0.25">
      <c r="M5485" s="21"/>
    </row>
    <row r="5486" spans="13:13" x14ac:dyDescent="0.25">
      <c r="M5486" s="21"/>
    </row>
    <row r="5487" spans="13:13" x14ac:dyDescent="0.25">
      <c r="M5487" s="21"/>
    </row>
    <row r="5488" spans="13:13" x14ac:dyDescent="0.25">
      <c r="M5488" s="21"/>
    </row>
    <row r="5489" spans="13:13" x14ac:dyDescent="0.25">
      <c r="M5489" s="21"/>
    </row>
    <row r="5490" spans="13:13" x14ac:dyDescent="0.25">
      <c r="M5490" s="21"/>
    </row>
    <row r="5491" spans="13:13" x14ac:dyDescent="0.25">
      <c r="M5491" s="21"/>
    </row>
    <row r="5492" spans="13:13" x14ac:dyDescent="0.25">
      <c r="M5492" s="21"/>
    </row>
    <row r="5493" spans="13:13" x14ac:dyDescent="0.25">
      <c r="M5493" s="21"/>
    </row>
    <row r="5494" spans="13:13" x14ac:dyDescent="0.25">
      <c r="M5494" s="21"/>
    </row>
    <row r="5495" spans="13:13" x14ac:dyDescent="0.25">
      <c r="M5495" s="21"/>
    </row>
    <row r="5496" spans="13:13" x14ac:dyDescent="0.25">
      <c r="M5496" s="21"/>
    </row>
    <row r="5497" spans="13:13" x14ac:dyDescent="0.25">
      <c r="M5497" s="21"/>
    </row>
    <row r="5498" spans="13:13" x14ac:dyDescent="0.25">
      <c r="M5498" s="21"/>
    </row>
    <row r="5499" spans="13:13" x14ac:dyDescent="0.25">
      <c r="M5499" s="21"/>
    </row>
    <row r="5500" spans="13:13" x14ac:dyDescent="0.25">
      <c r="M5500" s="21"/>
    </row>
    <row r="5501" spans="13:13" x14ac:dyDescent="0.25">
      <c r="M5501" s="21"/>
    </row>
    <row r="5502" spans="13:13" x14ac:dyDescent="0.25">
      <c r="M5502" s="21"/>
    </row>
    <row r="5503" spans="13:13" x14ac:dyDescent="0.25">
      <c r="M5503" s="21"/>
    </row>
    <row r="5504" spans="13:13" x14ac:dyDescent="0.25">
      <c r="M5504" s="21"/>
    </row>
    <row r="5505" spans="13:13" x14ac:dyDescent="0.25">
      <c r="M5505" s="21"/>
    </row>
    <row r="5506" spans="13:13" x14ac:dyDescent="0.25">
      <c r="M5506" s="21"/>
    </row>
    <row r="5507" spans="13:13" x14ac:dyDescent="0.25">
      <c r="M5507" s="21"/>
    </row>
    <row r="5508" spans="13:13" x14ac:dyDescent="0.25">
      <c r="M5508" s="21"/>
    </row>
    <row r="5509" spans="13:13" x14ac:dyDescent="0.25">
      <c r="M5509" s="21"/>
    </row>
    <row r="5510" spans="13:13" x14ac:dyDescent="0.25">
      <c r="M5510" s="21"/>
    </row>
    <row r="5511" spans="13:13" x14ac:dyDescent="0.25">
      <c r="M5511" s="21"/>
    </row>
    <row r="5512" spans="13:13" x14ac:dyDescent="0.25">
      <c r="M5512" s="21"/>
    </row>
    <row r="5513" spans="13:13" x14ac:dyDescent="0.25">
      <c r="M5513" s="21"/>
    </row>
    <row r="5514" spans="13:13" x14ac:dyDescent="0.25">
      <c r="M5514" s="21"/>
    </row>
    <row r="5515" spans="13:13" x14ac:dyDescent="0.25">
      <c r="M5515" s="21"/>
    </row>
    <row r="5516" spans="13:13" x14ac:dyDescent="0.25">
      <c r="M5516" s="21"/>
    </row>
    <row r="5517" spans="13:13" x14ac:dyDescent="0.25">
      <c r="M5517" s="21"/>
    </row>
    <row r="5518" spans="13:13" x14ac:dyDescent="0.25">
      <c r="M5518" s="21"/>
    </row>
    <row r="5519" spans="13:13" x14ac:dyDescent="0.25">
      <c r="M5519" s="21"/>
    </row>
    <row r="5520" spans="13:13" x14ac:dyDescent="0.25">
      <c r="M5520" s="21"/>
    </row>
    <row r="5521" spans="13:13" x14ac:dyDescent="0.25">
      <c r="M5521" s="21"/>
    </row>
    <row r="5522" spans="13:13" x14ac:dyDescent="0.25">
      <c r="M5522" s="21"/>
    </row>
    <row r="5523" spans="13:13" x14ac:dyDescent="0.25">
      <c r="M5523" s="21"/>
    </row>
    <row r="5524" spans="13:13" x14ac:dyDescent="0.25">
      <c r="M5524" s="21"/>
    </row>
    <row r="5525" spans="13:13" x14ac:dyDescent="0.25">
      <c r="M5525" s="21"/>
    </row>
    <row r="5526" spans="13:13" x14ac:dyDescent="0.25">
      <c r="M5526" s="21"/>
    </row>
    <row r="5527" spans="13:13" x14ac:dyDescent="0.25">
      <c r="M5527" s="21"/>
    </row>
    <row r="5528" spans="13:13" x14ac:dyDescent="0.25">
      <c r="M5528" s="21"/>
    </row>
    <row r="5529" spans="13:13" x14ac:dyDescent="0.25">
      <c r="M5529" s="21"/>
    </row>
    <row r="5530" spans="13:13" x14ac:dyDescent="0.25">
      <c r="M5530" s="21"/>
    </row>
    <row r="5531" spans="13:13" x14ac:dyDescent="0.25">
      <c r="M5531" s="21"/>
    </row>
    <row r="5532" spans="13:13" x14ac:dyDescent="0.25">
      <c r="M5532" s="21"/>
    </row>
    <row r="5533" spans="13:13" x14ac:dyDescent="0.25">
      <c r="M5533" s="21"/>
    </row>
    <row r="5534" spans="13:13" x14ac:dyDescent="0.25">
      <c r="M5534" s="21"/>
    </row>
    <row r="5535" spans="13:13" x14ac:dyDescent="0.25">
      <c r="M5535" s="21"/>
    </row>
    <row r="5536" spans="13:13" x14ac:dyDescent="0.25">
      <c r="M5536" s="21"/>
    </row>
    <row r="5537" spans="13:13" x14ac:dyDescent="0.25">
      <c r="M5537" s="21"/>
    </row>
    <row r="5538" spans="13:13" x14ac:dyDescent="0.25">
      <c r="M5538" s="21"/>
    </row>
    <row r="5539" spans="13:13" x14ac:dyDescent="0.25">
      <c r="M5539" s="21"/>
    </row>
    <row r="5540" spans="13:13" x14ac:dyDescent="0.25">
      <c r="M5540" s="21"/>
    </row>
    <row r="5541" spans="13:13" x14ac:dyDescent="0.25">
      <c r="M5541" s="21"/>
    </row>
    <row r="5542" spans="13:13" x14ac:dyDescent="0.25">
      <c r="M5542" s="21"/>
    </row>
    <row r="5543" spans="13:13" x14ac:dyDescent="0.25">
      <c r="M5543" s="21"/>
    </row>
    <row r="5544" spans="13:13" x14ac:dyDescent="0.25">
      <c r="M5544" s="21"/>
    </row>
    <row r="5545" spans="13:13" x14ac:dyDescent="0.25">
      <c r="M5545" s="21"/>
    </row>
    <row r="5546" spans="13:13" x14ac:dyDescent="0.25">
      <c r="M5546" s="21"/>
    </row>
    <row r="5547" spans="13:13" x14ac:dyDescent="0.25">
      <c r="M5547" s="21"/>
    </row>
    <row r="5548" spans="13:13" x14ac:dyDescent="0.25">
      <c r="M5548" s="21"/>
    </row>
    <row r="5549" spans="13:13" x14ac:dyDescent="0.25">
      <c r="M5549" s="21"/>
    </row>
    <row r="5550" spans="13:13" x14ac:dyDescent="0.25">
      <c r="M5550" s="21"/>
    </row>
    <row r="5551" spans="13:13" x14ac:dyDescent="0.25">
      <c r="M5551" s="21"/>
    </row>
    <row r="5552" spans="13:13" x14ac:dyDescent="0.25">
      <c r="M5552" s="21"/>
    </row>
    <row r="5553" spans="13:13" x14ac:dyDescent="0.25">
      <c r="M5553" s="21"/>
    </row>
    <row r="5554" spans="13:13" x14ac:dyDescent="0.25">
      <c r="M5554" s="21"/>
    </row>
    <row r="5555" spans="13:13" x14ac:dyDescent="0.25">
      <c r="M5555" s="21"/>
    </row>
    <row r="5556" spans="13:13" x14ac:dyDescent="0.25">
      <c r="M5556" s="21"/>
    </row>
    <row r="5557" spans="13:13" x14ac:dyDescent="0.25">
      <c r="M5557" s="21"/>
    </row>
    <row r="5558" spans="13:13" x14ac:dyDescent="0.25">
      <c r="M5558" s="21"/>
    </row>
    <row r="5559" spans="13:13" x14ac:dyDescent="0.25">
      <c r="M5559" s="21"/>
    </row>
    <row r="5560" spans="13:13" x14ac:dyDescent="0.25">
      <c r="M5560" s="21"/>
    </row>
    <row r="5561" spans="13:13" x14ac:dyDescent="0.25">
      <c r="M5561" s="21"/>
    </row>
    <row r="5562" spans="13:13" x14ac:dyDescent="0.25">
      <c r="M5562" s="21"/>
    </row>
    <row r="5563" spans="13:13" x14ac:dyDescent="0.25">
      <c r="M5563" s="21"/>
    </row>
    <row r="5564" spans="13:13" x14ac:dyDescent="0.25">
      <c r="M5564" s="21"/>
    </row>
    <row r="5565" spans="13:13" x14ac:dyDescent="0.25">
      <c r="M5565" s="21"/>
    </row>
    <row r="5566" spans="13:13" x14ac:dyDescent="0.25">
      <c r="M5566" s="21"/>
    </row>
    <row r="5567" spans="13:13" x14ac:dyDescent="0.25">
      <c r="M5567" s="21"/>
    </row>
    <row r="5568" spans="13:13" x14ac:dyDescent="0.25">
      <c r="M5568" s="21"/>
    </row>
    <row r="5569" spans="13:13" x14ac:dyDescent="0.25">
      <c r="M5569" s="21"/>
    </row>
    <row r="5570" spans="13:13" x14ac:dyDescent="0.25">
      <c r="M5570" s="21"/>
    </row>
    <row r="5571" spans="13:13" x14ac:dyDescent="0.25">
      <c r="M5571" s="21"/>
    </row>
    <row r="5572" spans="13:13" x14ac:dyDescent="0.25">
      <c r="M5572" s="21"/>
    </row>
    <row r="5573" spans="13:13" x14ac:dyDescent="0.25">
      <c r="M5573" s="21"/>
    </row>
    <row r="5574" spans="13:13" x14ac:dyDescent="0.25">
      <c r="M5574" s="21"/>
    </row>
    <row r="5575" spans="13:13" x14ac:dyDescent="0.25">
      <c r="M5575" s="21"/>
    </row>
    <row r="5576" spans="13:13" x14ac:dyDescent="0.25">
      <c r="M5576" s="21"/>
    </row>
    <row r="5577" spans="13:13" x14ac:dyDescent="0.25">
      <c r="M5577" s="21"/>
    </row>
    <row r="5578" spans="13:13" x14ac:dyDescent="0.25">
      <c r="M5578" s="21"/>
    </row>
    <row r="5579" spans="13:13" x14ac:dyDescent="0.25">
      <c r="M5579" s="21"/>
    </row>
    <row r="5580" spans="13:13" x14ac:dyDescent="0.25">
      <c r="M5580" s="21"/>
    </row>
    <row r="5581" spans="13:13" x14ac:dyDescent="0.25">
      <c r="M5581" s="21"/>
    </row>
    <row r="5582" spans="13:13" x14ac:dyDescent="0.25">
      <c r="M5582" s="21"/>
    </row>
    <row r="5583" spans="13:13" x14ac:dyDescent="0.25">
      <c r="M5583" s="21"/>
    </row>
    <row r="5584" spans="13:13" x14ac:dyDescent="0.25">
      <c r="M5584" s="21"/>
    </row>
    <row r="5585" spans="13:13" x14ac:dyDescent="0.25">
      <c r="M5585" s="21"/>
    </row>
    <row r="5586" spans="13:13" x14ac:dyDescent="0.25">
      <c r="M5586" s="21"/>
    </row>
    <row r="5587" spans="13:13" x14ac:dyDescent="0.25">
      <c r="M5587" s="21"/>
    </row>
    <row r="5588" spans="13:13" x14ac:dyDescent="0.25">
      <c r="M5588" s="21"/>
    </row>
    <row r="5589" spans="13:13" x14ac:dyDescent="0.25">
      <c r="M5589" s="21"/>
    </row>
    <row r="5590" spans="13:13" x14ac:dyDescent="0.25">
      <c r="M5590" s="21"/>
    </row>
    <row r="5591" spans="13:13" x14ac:dyDescent="0.25">
      <c r="M5591" s="21"/>
    </row>
    <row r="5592" spans="13:13" x14ac:dyDescent="0.25">
      <c r="M5592" s="21"/>
    </row>
    <row r="5593" spans="13:13" x14ac:dyDescent="0.25">
      <c r="M5593" s="21"/>
    </row>
    <row r="5594" spans="13:13" x14ac:dyDescent="0.25">
      <c r="M5594" s="21"/>
    </row>
    <row r="5595" spans="13:13" x14ac:dyDescent="0.25">
      <c r="M5595" s="21"/>
    </row>
    <row r="5596" spans="13:13" x14ac:dyDescent="0.25">
      <c r="M5596" s="21"/>
    </row>
    <row r="5597" spans="13:13" x14ac:dyDescent="0.25">
      <c r="M5597" s="21"/>
    </row>
    <row r="5598" spans="13:13" x14ac:dyDescent="0.25">
      <c r="M5598" s="21"/>
    </row>
    <row r="5599" spans="13:13" x14ac:dyDescent="0.25">
      <c r="M5599" s="21"/>
    </row>
    <row r="5600" spans="13:13" x14ac:dyDescent="0.25">
      <c r="M5600" s="21"/>
    </row>
    <row r="5601" spans="13:13" x14ac:dyDescent="0.25">
      <c r="M5601" s="21"/>
    </row>
    <row r="5602" spans="13:13" x14ac:dyDescent="0.25">
      <c r="M5602" s="21"/>
    </row>
    <row r="5603" spans="13:13" x14ac:dyDescent="0.25">
      <c r="M5603" s="21"/>
    </row>
    <row r="5604" spans="13:13" x14ac:dyDescent="0.25">
      <c r="M5604" s="21"/>
    </row>
    <row r="5605" spans="13:13" x14ac:dyDescent="0.25">
      <c r="M5605" s="21"/>
    </row>
    <row r="5606" spans="13:13" x14ac:dyDescent="0.25">
      <c r="M5606" s="21"/>
    </row>
    <row r="5607" spans="13:13" x14ac:dyDescent="0.25">
      <c r="M5607" s="21"/>
    </row>
    <row r="5608" spans="13:13" x14ac:dyDescent="0.25">
      <c r="M5608" s="21"/>
    </row>
    <row r="5609" spans="13:13" x14ac:dyDescent="0.25">
      <c r="M5609" s="21"/>
    </row>
    <row r="5610" spans="13:13" x14ac:dyDescent="0.25">
      <c r="M5610" s="21"/>
    </row>
    <row r="5611" spans="13:13" x14ac:dyDescent="0.25">
      <c r="M5611" s="21"/>
    </row>
    <row r="5612" spans="13:13" x14ac:dyDescent="0.25">
      <c r="M5612" s="21"/>
    </row>
    <row r="5613" spans="13:13" x14ac:dyDescent="0.25">
      <c r="M5613" s="21"/>
    </row>
    <row r="5614" spans="13:13" x14ac:dyDescent="0.25">
      <c r="M5614" s="21"/>
    </row>
    <row r="5615" spans="13:13" x14ac:dyDescent="0.25">
      <c r="M5615" s="21"/>
    </row>
    <row r="5616" spans="13:13" x14ac:dyDescent="0.25">
      <c r="M5616" s="21"/>
    </row>
    <row r="5617" spans="13:13" x14ac:dyDescent="0.25">
      <c r="M5617" s="21"/>
    </row>
    <row r="5618" spans="13:13" x14ac:dyDescent="0.25">
      <c r="M5618" s="21"/>
    </row>
    <row r="5619" spans="13:13" x14ac:dyDescent="0.25">
      <c r="M5619" s="21"/>
    </row>
    <row r="5620" spans="13:13" x14ac:dyDescent="0.25">
      <c r="M5620" s="21"/>
    </row>
    <row r="5621" spans="13:13" x14ac:dyDescent="0.25">
      <c r="M5621" s="21"/>
    </row>
    <row r="5622" spans="13:13" x14ac:dyDescent="0.25">
      <c r="M5622" s="21"/>
    </row>
    <row r="5623" spans="13:13" x14ac:dyDescent="0.25">
      <c r="M5623" s="21"/>
    </row>
    <row r="5624" spans="13:13" x14ac:dyDescent="0.25">
      <c r="M5624" s="21"/>
    </row>
    <row r="5625" spans="13:13" x14ac:dyDescent="0.25">
      <c r="M5625" s="21"/>
    </row>
    <row r="5626" spans="13:13" x14ac:dyDescent="0.25">
      <c r="M5626" s="21"/>
    </row>
    <row r="5627" spans="13:13" x14ac:dyDescent="0.25">
      <c r="M5627" s="21"/>
    </row>
    <row r="5628" spans="13:13" x14ac:dyDescent="0.25">
      <c r="M5628" s="21"/>
    </row>
    <row r="5629" spans="13:13" x14ac:dyDescent="0.25">
      <c r="M5629" s="21"/>
    </row>
    <row r="5630" spans="13:13" x14ac:dyDescent="0.25">
      <c r="M5630" s="21"/>
    </row>
    <row r="5631" spans="13:13" x14ac:dyDescent="0.25">
      <c r="M5631" s="21"/>
    </row>
    <row r="5632" spans="13:13" x14ac:dyDescent="0.25">
      <c r="M5632" s="21"/>
    </row>
    <row r="5633" spans="13:13" x14ac:dyDescent="0.25">
      <c r="M5633" s="21"/>
    </row>
    <row r="5634" spans="13:13" x14ac:dyDescent="0.25">
      <c r="M5634" s="21"/>
    </row>
    <row r="5635" spans="13:13" x14ac:dyDescent="0.25">
      <c r="M5635" s="21"/>
    </row>
    <row r="5636" spans="13:13" x14ac:dyDescent="0.25">
      <c r="M5636" s="21"/>
    </row>
    <row r="5637" spans="13:13" x14ac:dyDescent="0.25">
      <c r="M5637" s="21"/>
    </row>
    <row r="5638" spans="13:13" x14ac:dyDescent="0.25">
      <c r="M5638" s="21"/>
    </row>
    <row r="5639" spans="13:13" x14ac:dyDescent="0.25">
      <c r="M5639" s="21"/>
    </row>
    <row r="5640" spans="13:13" x14ac:dyDescent="0.25">
      <c r="M5640" s="21"/>
    </row>
    <row r="5641" spans="13:13" x14ac:dyDescent="0.25">
      <c r="M5641" s="21"/>
    </row>
    <row r="5642" spans="13:13" x14ac:dyDescent="0.25">
      <c r="M5642" s="21"/>
    </row>
    <row r="5643" spans="13:13" x14ac:dyDescent="0.25">
      <c r="M5643" s="21"/>
    </row>
    <row r="5644" spans="13:13" x14ac:dyDescent="0.25">
      <c r="M5644" s="21"/>
    </row>
    <row r="5645" spans="13:13" x14ac:dyDescent="0.25">
      <c r="M5645" s="21"/>
    </row>
    <row r="5646" spans="13:13" x14ac:dyDescent="0.25">
      <c r="M5646" s="21"/>
    </row>
    <row r="5647" spans="13:13" x14ac:dyDescent="0.25">
      <c r="M5647" s="21"/>
    </row>
    <row r="5648" spans="13:13" x14ac:dyDescent="0.25">
      <c r="M5648" s="21"/>
    </row>
    <row r="5649" spans="13:13" x14ac:dyDescent="0.25">
      <c r="M5649" s="21"/>
    </row>
    <row r="5650" spans="13:13" x14ac:dyDescent="0.25">
      <c r="M5650" s="21"/>
    </row>
    <row r="5651" spans="13:13" x14ac:dyDescent="0.25">
      <c r="M5651" s="21"/>
    </row>
    <row r="5652" spans="13:13" x14ac:dyDescent="0.25">
      <c r="M5652" s="21"/>
    </row>
    <row r="5653" spans="13:13" x14ac:dyDescent="0.25">
      <c r="M5653" s="21"/>
    </row>
    <row r="5654" spans="13:13" x14ac:dyDescent="0.25">
      <c r="M5654" s="21"/>
    </row>
    <row r="5655" spans="13:13" x14ac:dyDescent="0.25">
      <c r="M5655" s="21"/>
    </row>
    <row r="5656" spans="13:13" x14ac:dyDescent="0.25">
      <c r="M5656" s="21"/>
    </row>
    <row r="5657" spans="13:13" x14ac:dyDescent="0.25">
      <c r="M5657" s="21"/>
    </row>
    <row r="5658" spans="13:13" x14ac:dyDescent="0.25">
      <c r="M5658" s="21"/>
    </row>
    <row r="5659" spans="13:13" x14ac:dyDescent="0.25">
      <c r="M5659" s="21"/>
    </row>
    <row r="5660" spans="13:13" x14ac:dyDescent="0.25">
      <c r="M5660" s="21"/>
    </row>
    <row r="5661" spans="13:13" x14ac:dyDescent="0.25">
      <c r="M5661" s="21"/>
    </row>
    <row r="5662" spans="13:13" x14ac:dyDescent="0.25">
      <c r="M5662" s="21"/>
    </row>
    <row r="5663" spans="13:13" x14ac:dyDescent="0.25">
      <c r="M5663" s="21"/>
    </row>
    <row r="5664" spans="13:13" x14ac:dyDescent="0.25">
      <c r="M5664" s="21"/>
    </row>
    <row r="5665" spans="13:13" x14ac:dyDescent="0.25">
      <c r="M5665" s="21"/>
    </row>
    <row r="5666" spans="13:13" x14ac:dyDescent="0.25">
      <c r="M5666" s="21"/>
    </row>
    <row r="5667" spans="13:13" x14ac:dyDescent="0.25">
      <c r="M5667" s="21"/>
    </row>
    <row r="5668" spans="13:13" x14ac:dyDescent="0.25">
      <c r="M5668" s="21"/>
    </row>
    <row r="5669" spans="13:13" x14ac:dyDescent="0.25">
      <c r="M5669" s="21"/>
    </row>
    <row r="5670" spans="13:13" x14ac:dyDescent="0.25">
      <c r="M5670" s="21"/>
    </row>
    <row r="5671" spans="13:13" x14ac:dyDescent="0.25">
      <c r="M5671" s="21"/>
    </row>
    <row r="5672" spans="13:13" x14ac:dyDescent="0.25">
      <c r="M5672" s="21"/>
    </row>
    <row r="5673" spans="13:13" x14ac:dyDescent="0.25">
      <c r="M5673" s="21"/>
    </row>
    <row r="5674" spans="13:13" x14ac:dyDescent="0.25">
      <c r="M5674" s="21"/>
    </row>
    <row r="5675" spans="13:13" x14ac:dyDescent="0.25">
      <c r="M5675" s="21"/>
    </row>
    <row r="5676" spans="13:13" x14ac:dyDescent="0.25">
      <c r="M5676" s="21"/>
    </row>
    <row r="5677" spans="13:13" x14ac:dyDescent="0.25">
      <c r="M5677" s="21"/>
    </row>
    <row r="5678" spans="13:13" x14ac:dyDescent="0.25">
      <c r="M5678" s="21"/>
    </row>
    <row r="5679" spans="13:13" x14ac:dyDescent="0.25">
      <c r="M5679" s="21"/>
    </row>
    <row r="5680" spans="13:13" x14ac:dyDescent="0.25">
      <c r="M5680" s="21"/>
    </row>
    <row r="5681" spans="13:13" x14ac:dyDescent="0.25">
      <c r="M5681" s="21"/>
    </row>
    <row r="5682" spans="13:13" x14ac:dyDescent="0.25">
      <c r="M5682" s="21"/>
    </row>
    <row r="5683" spans="13:13" x14ac:dyDescent="0.25">
      <c r="M5683" s="21"/>
    </row>
    <row r="5684" spans="13:13" x14ac:dyDescent="0.25">
      <c r="M5684" s="21"/>
    </row>
    <row r="5685" spans="13:13" x14ac:dyDescent="0.25">
      <c r="M5685" s="21"/>
    </row>
    <row r="5686" spans="13:13" x14ac:dyDescent="0.25">
      <c r="M5686" s="21"/>
    </row>
    <row r="5687" spans="13:13" x14ac:dyDescent="0.25">
      <c r="M5687" s="21"/>
    </row>
    <row r="5688" spans="13:13" x14ac:dyDescent="0.25">
      <c r="M5688" s="21"/>
    </row>
    <row r="5689" spans="13:13" x14ac:dyDescent="0.25">
      <c r="M5689" s="21"/>
    </row>
    <row r="5690" spans="13:13" x14ac:dyDescent="0.25">
      <c r="M5690" s="21"/>
    </row>
    <row r="5691" spans="13:13" x14ac:dyDescent="0.25">
      <c r="M5691" s="21"/>
    </row>
    <row r="5692" spans="13:13" x14ac:dyDescent="0.25">
      <c r="M5692" s="21"/>
    </row>
    <row r="5693" spans="13:13" x14ac:dyDescent="0.25">
      <c r="M5693" s="21"/>
    </row>
    <row r="5694" spans="13:13" x14ac:dyDescent="0.25">
      <c r="M5694" s="21"/>
    </row>
    <row r="5695" spans="13:13" x14ac:dyDescent="0.25">
      <c r="M5695" s="21"/>
    </row>
    <row r="5696" spans="13:13" x14ac:dyDescent="0.25">
      <c r="M5696" s="21"/>
    </row>
    <row r="5697" spans="13:13" x14ac:dyDescent="0.25">
      <c r="M5697" s="21"/>
    </row>
    <row r="5698" spans="13:13" x14ac:dyDescent="0.25">
      <c r="M5698" s="21"/>
    </row>
    <row r="5699" spans="13:13" x14ac:dyDescent="0.25">
      <c r="M5699" s="21"/>
    </row>
    <row r="5700" spans="13:13" x14ac:dyDescent="0.25">
      <c r="M5700" s="21"/>
    </row>
    <row r="5701" spans="13:13" x14ac:dyDescent="0.25">
      <c r="M5701" s="21"/>
    </row>
    <row r="5702" spans="13:13" x14ac:dyDescent="0.25">
      <c r="M5702" s="21"/>
    </row>
    <row r="5703" spans="13:13" x14ac:dyDescent="0.25">
      <c r="M5703" s="21"/>
    </row>
    <row r="5704" spans="13:13" x14ac:dyDescent="0.25">
      <c r="M5704" s="21"/>
    </row>
    <row r="5705" spans="13:13" x14ac:dyDescent="0.25">
      <c r="M5705" s="21"/>
    </row>
    <row r="5706" spans="13:13" x14ac:dyDescent="0.25">
      <c r="M5706" s="21"/>
    </row>
    <row r="5707" spans="13:13" x14ac:dyDescent="0.25">
      <c r="M5707" s="21"/>
    </row>
    <row r="5708" spans="13:13" x14ac:dyDescent="0.25">
      <c r="M5708" s="21"/>
    </row>
    <row r="5709" spans="13:13" x14ac:dyDescent="0.25">
      <c r="M5709" s="21"/>
    </row>
    <row r="5710" spans="13:13" x14ac:dyDescent="0.25">
      <c r="M5710" s="21"/>
    </row>
    <row r="5711" spans="13:13" x14ac:dyDescent="0.25">
      <c r="M5711" s="21"/>
    </row>
    <row r="5712" spans="13:13" x14ac:dyDescent="0.25">
      <c r="M5712" s="21"/>
    </row>
    <row r="5713" spans="13:13" x14ac:dyDescent="0.25">
      <c r="M5713" s="21"/>
    </row>
    <row r="5714" spans="13:13" x14ac:dyDescent="0.25">
      <c r="M5714" s="21"/>
    </row>
    <row r="5715" spans="13:13" x14ac:dyDescent="0.25">
      <c r="M5715" s="21"/>
    </row>
    <row r="5716" spans="13:13" x14ac:dyDescent="0.25">
      <c r="M5716" s="21"/>
    </row>
    <row r="5717" spans="13:13" x14ac:dyDescent="0.25">
      <c r="M5717" s="21"/>
    </row>
    <row r="5718" spans="13:13" x14ac:dyDescent="0.25">
      <c r="M5718" s="21"/>
    </row>
    <row r="5719" spans="13:13" x14ac:dyDescent="0.25">
      <c r="M5719" s="21"/>
    </row>
    <row r="5720" spans="13:13" x14ac:dyDescent="0.25">
      <c r="M5720" s="21"/>
    </row>
    <row r="5721" spans="13:13" x14ac:dyDescent="0.25">
      <c r="M5721" s="21"/>
    </row>
    <row r="5722" spans="13:13" x14ac:dyDescent="0.25">
      <c r="M5722" s="21"/>
    </row>
    <row r="5723" spans="13:13" x14ac:dyDescent="0.25">
      <c r="M5723" s="21"/>
    </row>
    <row r="5724" spans="13:13" x14ac:dyDescent="0.25">
      <c r="M5724" s="21"/>
    </row>
    <row r="5725" spans="13:13" x14ac:dyDescent="0.25">
      <c r="M5725" s="21"/>
    </row>
    <row r="5726" spans="13:13" x14ac:dyDescent="0.25">
      <c r="M5726" s="21"/>
    </row>
    <row r="5727" spans="13:13" x14ac:dyDescent="0.25">
      <c r="M5727" s="21"/>
    </row>
    <row r="5728" spans="13:13" x14ac:dyDescent="0.25">
      <c r="M5728" s="21"/>
    </row>
    <row r="5729" spans="13:13" x14ac:dyDescent="0.25">
      <c r="M5729" s="21"/>
    </row>
    <row r="5730" spans="13:13" x14ac:dyDescent="0.25">
      <c r="M5730" s="21"/>
    </row>
    <row r="5731" spans="13:13" x14ac:dyDescent="0.25">
      <c r="M5731" s="21"/>
    </row>
    <row r="5732" spans="13:13" x14ac:dyDescent="0.25">
      <c r="M5732" s="21"/>
    </row>
    <row r="5733" spans="13:13" x14ac:dyDescent="0.25">
      <c r="M5733" s="21"/>
    </row>
    <row r="5734" spans="13:13" x14ac:dyDescent="0.25">
      <c r="M5734" s="21"/>
    </row>
    <row r="5735" spans="13:13" x14ac:dyDescent="0.25">
      <c r="M5735" s="21"/>
    </row>
    <row r="5736" spans="13:13" x14ac:dyDescent="0.25">
      <c r="M5736" s="21"/>
    </row>
    <row r="5737" spans="13:13" x14ac:dyDescent="0.25">
      <c r="M5737" s="21"/>
    </row>
    <row r="5738" spans="13:13" x14ac:dyDescent="0.25">
      <c r="M5738" s="21"/>
    </row>
    <row r="5739" spans="13:13" x14ac:dyDescent="0.25">
      <c r="M5739" s="21"/>
    </row>
    <row r="5740" spans="13:13" x14ac:dyDescent="0.25">
      <c r="M5740" s="21"/>
    </row>
    <row r="5741" spans="13:13" x14ac:dyDescent="0.25">
      <c r="M5741" s="21"/>
    </row>
    <row r="5742" spans="13:13" x14ac:dyDescent="0.25">
      <c r="M5742" s="21"/>
    </row>
    <row r="5743" spans="13:13" x14ac:dyDescent="0.25">
      <c r="M5743" s="21"/>
    </row>
    <row r="5744" spans="13:13" x14ac:dyDescent="0.25">
      <c r="M5744" s="21"/>
    </row>
    <row r="5745" spans="13:13" x14ac:dyDescent="0.25">
      <c r="M5745" s="21"/>
    </row>
    <row r="5746" spans="13:13" x14ac:dyDescent="0.25">
      <c r="M5746" s="21"/>
    </row>
    <row r="5747" spans="13:13" x14ac:dyDescent="0.25">
      <c r="M5747" s="21"/>
    </row>
    <row r="5748" spans="13:13" x14ac:dyDescent="0.25">
      <c r="M5748" s="21"/>
    </row>
    <row r="5749" spans="13:13" x14ac:dyDescent="0.25">
      <c r="M5749" s="21"/>
    </row>
    <row r="5750" spans="13:13" x14ac:dyDescent="0.25">
      <c r="M5750" s="21"/>
    </row>
    <row r="5751" spans="13:13" x14ac:dyDescent="0.25">
      <c r="M5751" s="21"/>
    </row>
    <row r="5752" spans="13:13" x14ac:dyDescent="0.25">
      <c r="M5752" s="21"/>
    </row>
    <row r="5753" spans="13:13" x14ac:dyDescent="0.25">
      <c r="M5753" s="21"/>
    </row>
    <row r="5754" spans="13:13" x14ac:dyDescent="0.25">
      <c r="M5754" s="21"/>
    </row>
    <row r="5755" spans="13:13" x14ac:dyDescent="0.25">
      <c r="M5755" s="21"/>
    </row>
    <row r="5756" spans="13:13" x14ac:dyDescent="0.25">
      <c r="M5756" s="21"/>
    </row>
    <row r="5757" spans="13:13" x14ac:dyDescent="0.25">
      <c r="M5757" s="21"/>
    </row>
    <row r="5758" spans="13:13" x14ac:dyDescent="0.25">
      <c r="M5758" s="21"/>
    </row>
    <row r="5759" spans="13:13" x14ac:dyDescent="0.25">
      <c r="M5759" s="21"/>
    </row>
    <row r="5760" spans="13:13" x14ac:dyDescent="0.25">
      <c r="M5760" s="21"/>
    </row>
    <row r="5761" spans="13:13" x14ac:dyDescent="0.25">
      <c r="M5761" s="21"/>
    </row>
    <row r="5762" spans="13:13" x14ac:dyDescent="0.25">
      <c r="M5762" s="21"/>
    </row>
    <row r="5763" spans="13:13" x14ac:dyDescent="0.25">
      <c r="M5763" s="21"/>
    </row>
    <row r="5764" spans="13:13" x14ac:dyDescent="0.25">
      <c r="M5764" s="21"/>
    </row>
    <row r="5765" spans="13:13" x14ac:dyDescent="0.25">
      <c r="M5765" s="21"/>
    </row>
    <row r="5766" spans="13:13" x14ac:dyDescent="0.25">
      <c r="M5766" s="21"/>
    </row>
    <row r="5767" spans="13:13" x14ac:dyDescent="0.25">
      <c r="M5767" s="21"/>
    </row>
    <row r="5768" spans="13:13" x14ac:dyDescent="0.25">
      <c r="M5768" s="21"/>
    </row>
    <row r="5769" spans="13:13" x14ac:dyDescent="0.25">
      <c r="M5769" s="21"/>
    </row>
    <row r="5770" spans="13:13" x14ac:dyDescent="0.25">
      <c r="M5770" s="21"/>
    </row>
    <row r="5771" spans="13:13" x14ac:dyDescent="0.25">
      <c r="M5771" s="21"/>
    </row>
    <row r="5772" spans="13:13" x14ac:dyDescent="0.25">
      <c r="M5772" s="21"/>
    </row>
    <row r="5773" spans="13:13" x14ac:dyDescent="0.25">
      <c r="M5773" s="21"/>
    </row>
    <row r="5774" spans="13:13" x14ac:dyDescent="0.25">
      <c r="M5774" s="21"/>
    </row>
    <row r="5775" spans="13:13" x14ac:dyDescent="0.25">
      <c r="M5775" s="21"/>
    </row>
    <row r="5776" spans="13:13" x14ac:dyDescent="0.25">
      <c r="M5776" s="21"/>
    </row>
    <row r="5777" spans="13:13" x14ac:dyDescent="0.25">
      <c r="M5777" s="21"/>
    </row>
    <row r="5778" spans="13:13" x14ac:dyDescent="0.25">
      <c r="M5778" s="21"/>
    </row>
    <row r="5779" spans="13:13" x14ac:dyDescent="0.25">
      <c r="M5779" s="21"/>
    </row>
    <row r="5780" spans="13:13" x14ac:dyDescent="0.25">
      <c r="M5780" s="21"/>
    </row>
    <row r="5781" spans="13:13" x14ac:dyDescent="0.25">
      <c r="M5781" s="21"/>
    </row>
    <row r="5782" spans="13:13" x14ac:dyDescent="0.25">
      <c r="M5782" s="21"/>
    </row>
    <row r="5783" spans="13:13" x14ac:dyDescent="0.25">
      <c r="M5783" s="21"/>
    </row>
    <row r="5784" spans="13:13" x14ac:dyDescent="0.25">
      <c r="M5784" s="21"/>
    </row>
    <row r="5785" spans="13:13" x14ac:dyDescent="0.25">
      <c r="M5785" s="21"/>
    </row>
    <row r="5786" spans="13:13" x14ac:dyDescent="0.25">
      <c r="M5786" s="21"/>
    </row>
    <row r="5787" spans="13:13" x14ac:dyDescent="0.25">
      <c r="M5787" s="21"/>
    </row>
    <row r="5788" spans="13:13" x14ac:dyDescent="0.25">
      <c r="M5788" s="21"/>
    </row>
    <row r="5789" spans="13:13" x14ac:dyDescent="0.25">
      <c r="M5789" s="21"/>
    </row>
    <row r="5790" spans="13:13" x14ac:dyDescent="0.25">
      <c r="M5790" s="21"/>
    </row>
    <row r="5791" spans="13:13" x14ac:dyDescent="0.25">
      <c r="M5791" s="21"/>
    </row>
    <row r="5792" spans="13:13" x14ac:dyDescent="0.25">
      <c r="M5792" s="21"/>
    </row>
    <row r="5793" spans="13:13" x14ac:dyDescent="0.25">
      <c r="M5793" s="21"/>
    </row>
    <row r="5794" spans="13:13" x14ac:dyDescent="0.25">
      <c r="M5794" s="21"/>
    </row>
    <row r="5795" spans="13:13" x14ac:dyDescent="0.25">
      <c r="M5795" s="21"/>
    </row>
    <row r="5796" spans="13:13" x14ac:dyDescent="0.25">
      <c r="M5796" s="21"/>
    </row>
    <row r="5797" spans="13:13" x14ac:dyDescent="0.25">
      <c r="M5797" s="21"/>
    </row>
    <row r="5798" spans="13:13" x14ac:dyDescent="0.25">
      <c r="M5798" s="21"/>
    </row>
    <row r="5799" spans="13:13" x14ac:dyDescent="0.25">
      <c r="M5799" s="21"/>
    </row>
    <row r="5800" spans="13:13" x14ac:dyDescent="0.25">
      <c r="M5800" s="21"/>
    </row>
    <row r="5801" spans="13:13" x14ac:dyDescent="0.25">
      <c r="M5801" s="21"/>
    </row>
    <row r="5802" spans="13:13" x14ac:dyDescent="0.25">
      <c r="M5802" s="21"/>
    </row>
    <row r="5803" spans="13:13" x14ac:dyDescent="0.25">
      <c r="M5803" s="21"/>
    </row>
    <row r="5804" spans="13:13" x14ac:dyDescent="0.25">
      <c r="M5804" s="21"/>
    </row>
    <row r="5805" spans="13:13" x14ac:dyDescent="0.25">
      <c r="M5805" s="21"/>
    </row>
    <row r="5806" spans="13:13" x14ac:dyDescent="0.25">
      <c r="M5806" s="21"/>
    </row>
    <row r="5807" spans="13:13" x14ac:dyDescent="0.25">
      <c r="M5807" s="21"/>
    </row>
    <row r="5808" spans="13:13" x14ac:dyDescent="0.25">
      <c r="M5808" s="21"/>
    </row>
    <row r="5809" spans="13:13" x14ac:dyDescent="0.25">
      <c r="M5809" s="21"/>
    </row>
    <row r="5810" spans="13:13" x14ac:dyDescent="0.25">
      <c r="M5810" s="21"/>
    </row>
    <row r="5811" spans="13:13" x14ac:dyDescent="0.25">
      <c r="M5811" s="21"/>
    </row>
    <row r="5812" spans="13:13" x14ac:dyDescent="0.25">
      <c r="M5812" s="21"/>
    </row>
    <row r="5813" spans="13:13" x14ac:dyDescent="0.25">
      <c r="M5813" s="21"/>
    </row>
    <row r="5814" spans="13:13" x14ac:dyDescent="0.25">
      <c r="M5814" s="21"/>
    </row>
    <row r="5815" spans="13:13" x14ac:dyDescent="0.25">
      <c r="M5815" s="21"/>
    </row>
    <row r="5816" spans="13:13" x14ac:dyDescent="0.25">
      <c r="M5816" s="21"/>
    </row>
    <row r="5817" spans="13:13" x14ac:dyDescent="0.25">
      <c r="M5817" s="21"/>
    </row>
    <row r="5818" spans="13:13" x14ac:dyDescent="0.25">
      <c r="M5818" s="21"/>
    </row>
    <row r="5819" spans="13:13" x14ac:dyDescent="0.25">
      <c r="M5819" s="21"/>
    </row>
    <row r="5820" spans="13:13" x14ac:dyDescent="0.25">
      <c r="M5820" s="21"/>
    </row>
    <row r="5821" spans="13:13" x14ac:dyDescent="0.25">
      <c r="M5821" s="21"/>
    </row>
    <row r="5822" spans="13:13" x14ac:dyDescent="0.25">
      <c r="M5822" s="21"/>
    </row>
    <row r="5823" spans="13:13" x14ac:dyDescent="0.25">
      <c r="M5823" s="21"/>
    </row>
    <row r="5824" spans="13:13" x14ac:dyDescent="0.25">
      <c r="M5824" s="21"/>
    </row>
    <row r="5825" spans="13:13" x14ac:dyDescent="0.25">
      <c r="M5825" s="21"/>
    </row>
    <row r="5826" spans="13:13" x14ac:dyDescent="0.25">
      <c r="M5826" s="21"/>
    </row>
    <row r="5827" spans="13:13" x14ac:dyDescent="0.25">
      <c r="M5827" s="21"/>
    </row>
    <row r="5828" spans="13:13" x14ac:dyDescent="0.25">
      <c r="M5828" s="21"/>
    </row>
    <row r="5829" spans="13:13" x14ac:dyDescent="0.25">
      <c r="M5829" s="21"/>
    </row>
    <row r="5830" spans="13:13" x14ac:dyDescent="0.25">
      <c r="M5830" s="21"/>
    </row>
    <row r="5831" spans="13:13" x14ac:dyDescent="0.25">
      <c r="M5831" s="21"/>
    </row>
    <row r="5832" spans="13:13" x14ac:dyDescent="0.25">
      <c r="M5832" s="21"/>
    </row>
    <row r="5833" spans="13:13" x14ac:dyDescent="0.25">
      <c r="M5833" s="21"/>
    </row>
    <row r="5834" spans="13:13" x14ac:dyDescent="0.25">
      <c r="M5834" s="21"/>
    </row>
    <row r="5835" spans="13:13" x14ac:dyDescent="0.25">
      <c r="M5835" s="21"/>
    </row>
    <row r="5836" spans="13:13" x14ac:dyDescent="0.25">
      <c r="M5836" s="21"/>
    </row>
    <row r="5837" spans="13:13" x14ac:dyDescent="0.25">
      <c r="M5837" s="21"/>
    </row>
    <row r="5838" spans="13:13" x14ac:dyDescent="0.25">
      <c r="M5838" s="21"/>
    </row>
    <row r="5839" spans="13:13" x14ac:dyDescent="0.25">
      <c r="M5839" s="21"/>
    </row>
    <row r="5840" spans="13:13" x14ac:dyDescent="0.25">
      <c r="M5840" s="21"/>
    </row>
    <row r="5841" spans="13:13" x14ac:dyDescent="0.25">
      <c r="M5841" s="21"/>
    </row>
    <row r="5842" spans="13:13" x14ac:dyDescent="0.25">
      <c r="M5842" s="21"/>
    </row>
    <row r="5843" spans="13:13" x14ac:dyDescent="0.25">
      <c r="M5843" s="21"/>
    </row>
    <row r="5844" spans="13:13" x14ac:dyDescent="0.25">
      <c r="M5844" s="21"/>
    </row>
    <row r="5845" spans="13:13" x14ac:dyDescent="0.25">
      <c r="M5845" s="21"/>
    </row>
    <row r="5846" spans="13:13" x14ac:dyDescent="0.25">
      <c r="M5846" s="21"/>
    </row>
    <row r="5847" spans="13:13" x14ac:dyDescent="0.25">
      <c r="M5847" s="21"/>
    </row>
    <row r="5848" spans="13:13" x14ac:dyDescent="0.25">
      <c r="M5848" s="21"/>
    </row>
    <row r="5849" spans="13:13" x14ac:dyDescent="0.25">
      <c r="M5849" s="21"/>
    </row>
    <row r="5850" spans="13:13" x14ac:dyDescent="0.25">
      <c r="M5850" s="21"/>
    </row>
    <row r="5851" spans="13:13" x14ac:dyDescent="0.25">
      <c r="M5851" s="21"/>
    </row>
    <row r="5852" spans="13:13" x14ac:dyDescent="0.25">
      <c r="M5852" s="21"/>
    </row>
    <row r="5853" spans="13:13" x14ac:dyDescent="0.25">
      <c r="M5853" s="21"/>
    </row>
    <row r="5854" spans="13:13" x14ac:dyDescent="0.25">
      <c r="M5854" s="21"/>
    </row>
    <row r="5855" spans="13:13" x14ac:dyDescent="0.25">
      <c r="M5855" s="21"/>
    </row>
    <row r="5856" spans="13:13" x14ac:dyDescent="0.25">
      <c r="M5856" s="21"/>
    </row>
    <row r="5857" spans="13:13" x14ac:dyDescent="0.25">
      <c r="M5857" s="21"/>
    </row>
    <row r="5858" spans="13:13" x14ac:dyDescent="0.25">
      <c r="M5858" s="21"/>
    </row>
    <row r="5859" spans="13:13" x14ac:dyDescent="0.25">
      <c r="M5859" s="21"/>
    </row>
    <row r="5860" spans="13:13" x14ac:dyDescent="0.25">
      <c r="M5860" s="21"/>
    </row>
    <row r="5861" spans="13:13" x14ac:dyDescent="0.25">
      <c r="M5861" s="21"/>
    </row>
    <row r="5862" spans="13:13" x14ac:dyDescent="0.25">
      <c r="M5862" s="21"/>
    </row>
    <row r="5863" spans="13:13" x14ac:dyDescent="0.25">
      <c r="M5863" s="21"/>
    </row>
    <row r="5864" spans="13:13" x14ac:dyDescent="0.25">
      <c r="M5864" s="21"/>
    </row>
    <row r="5865" spans="13:13" x14ac:dyDescent="0.25">
      <c r="M5865" s="21"/>
    </row>
    <row r="5866" spans="13:13" x14ac:dyDescent="0.25">
      <c r="M5866" s="21"/>
    </row>
    <row r="5867" spans="13:13" x14ac:dyDescent="0.25">
      <c r="M5867" s="21"/>
    </row>
    <row r="5868" spans="13:13" x14ac:dyDescent="0.25">
      <c r="M5868" s="21"/>
    </row>
    <row r="5869" spans="13:13" x14ac:dyDescent="0.25">
      <c r="M5869" s="21"/>
    </row>
    <row r="5870" spans="13:13" x14ac:dyDescent="0.25">
      <c r="M5870" s="21"/>
    </row>
    <row r="5871" spans="13:13" x14ac:dyDescent="0.25">
      <c r="M5871" s="21"/>
    </row>
    <row r="5872" spans="13:13" x14ac:dyDescent="0.25">
      <c r="M5872" s="21"/>
    </row>
    <row r="5873" spans="13:13" x14ac:dyDescent="0.25">
      <c r="M5873" s="21"/>
    </row>
    <row r="5874" spans="13:13" x14ac:dyDescent="0.25">
      <c r="M5874" s="21"/>
    </row>
    <row r="5875" spans="13:13" x14ac:dyDescent="0.25">
      <c r="M5875" s="21"/>
    </row>
    <row r="5876" spans="13:13" x14ac:dyDescent="0.25">
      <c r="M5876" s="21"/>
    </row>
    <row r="5877" spans="13:13" x14ac:dyDescent="0.25">
      <c r="M5877" s="21"/>
    </row>
    <row r="5878" spans="13:13" x14ac:dyDescent="0.25">
      <c r="M5878" s="21"/>
    </row>
    <row r="5879" spans="13:13" x14ac:dyDescent="0.25">
      <c r="M5879" s="21"/>
    </row>
    <row r="5880" spans="13:13" x14ac:dyDescent="0.25">
      <c r="M5880" s="21"/>
    </row>
    <row r="5881" spans="13:13" x14ac:dyDescent="0.25">
      <c r="M5881" s="21"/>
    </row>
    <row r="5882" spans="13:13" x14ac:dyDescent="0.25">
      <c r="M5882" s="21"/>
    </row>
    <row r="5883" spans="13:13" x14ac:dyDescent="0.25">
      <c r="M5883" s="21"/>
    </row>
    <row r="5884" spans="13:13" x14ac:dyDescent="0.25">
      <c r="M5884" s="21"/>
    </row>
    <row r="5885" spans="13:13" x14ac:dyDescent="0.25">
      <c r="M5885" s="21"/>
    </row>
    <row r="5886" spans="13:13" x14ac:dyDescent="0.25">
      <c r="M5886" s="21"/>
    </row>
    <row r="5887" spans="13:13" x14ac:dyDescent="0.25">
      <c r="M5887" s="21"/>
    </row>
    <row r="5888" spans="13:13" x14ac:dyDescent="0.25">
      <c r="M5888" s="21"/>
    </row>
    <row r="5889" spans="13:13" x14ac:dyDescent="0.25">
      <c r="M5889" s="21"/>
    </row>
    <row r="5890" spans="13:13" x14ac:dyDescent="0.25">
      <c r="M5890" s="21"/>
    </row>
    <row r="5891" spans="13:13" x14ac:dyDescent="0.25">
      <c r="M5891" s="21"/>
    </row>
    <row r="5892" spans="13:13" x14ac:dyDescent="0.25">
      <c r="M5892" s="21"/>
    </row>
    <row r="5893" spans="13:13" x14ac:dyDescent="0.25">
      <c r="M5893" s="21"/>
    </row>
    <row r="5894" spans="13:13" x14ac:dyDescent="0.25">
      <c r="M5894" s="21"/>
    </row>
    <row r="5895" spans="13:13" x14ac:dyDescent="0.25">
      <c r="M5895" s="21"/>
    </row>
    <row r="5896" spans="13:13" x14ac:dyDescent="0.25">
      <c r="M5896" s="21"/>
    </row>
    <row r="5897" spans="13:13" x14ac:dyDescent="0.25">
      <c r="M5897" s="21"/>
    </row>
    <row r="5898" spans="13:13" x14ac:dyDescent="0.25">
      <c r="M5898" s="21"/>
    </row>
    <row r="5899" spans="13:13" x14ac:dyDescent="0.25">
      <c r="M5899" s="21"/>
    </row>
    <row r="5900" spans="13:13" x14ac:dyDescent="0.25">
      <c r="M5900" s="21"/>
    </row>
    <row r="5901" spans="13:13" x14ac:dyDescent="0.25">
      <c r="M5901" s="21"/>
    </row>
    <row r="5902" spans="13:13" x14ac:dyDescent="0.25">
      <c r="M5902" s="21"/>
    </row>
    <row r="5903" spans="13:13" x14ac:dyDescent="0.25">
      <c r="M5903" s="21"/>
    </row>
    <row r="5904" spans="13:13" x14ac:dyDescent="0.25">
      <c r="M5904" s="21"/>
    </row>
    <row r="5905" spans="13:13" x14ac:dyDescent="0.25">
      <c r="M5905" s="21"/>
    </row>
    <row r="5906" spans="13:13" x14ac:dyDescent="0.25">
      <c r="M5906" s="21"/>
    </row>
    <row r="5907" spans="13:13" x14ac:dyDescent="0.25">
      <c r="M5907" s="21"/>
    </row>
    <row r="5908" spans="13:13" x14ac:dyDescent="0.25">
      <c r="M5908" s="21"/>
    </row>
    <row r="5909" spans="13:13" x14ac:dyDescent="0.25">
      <c r="M5909" s="21"/>
    </row>
    <row r="5910" spans="13:13" x14ac:dyDescent="0.25">
      <c r="M5910" s="21"/>
    </row>
    <row r="5911" spans="13:13" x14ac:dyDescent="0.25">
      <c r="M5911" s="21"/>
    </row>
    <row r="5912" spans="13:13" x14ac:dyDescent="0.25">
      <c r="M5912" s="21"/>
    </row>
    <row r="5913" spans="13:13" x14ac:dyDescent="0.25">
      <c r="M5913" s="21"/>
    </row>
    <row r="5914" spans="13:13" x14ac:dyDescent="0.25">
      <c r="M5914" s="21"/>
    </row>
    <row r="5915" spans="13:13" x14ac:dyDescent="0.25">
      <c r="M5915" s="21"/>
    </row>
    <row r="5916" spans="13:13" x14ac:dyDescent="0.25">
      <c r="M5916" s="21"/>
    </row>
    <row r="5917" spans="13:13" x14ac:dyDescent="0.25">
      <c r="M5917" s="21"/>
    </row>
    <row r="5918" spans="13:13" x14ac:dyDescent="0.25">
      <c r="M5918" s="21"/>
    </row>
    <row r="5919" spans="13:13" x14ac:dyDescent="0.25">
      <c r="M5919" s="21"/>
    </row>
    <row r="5920" spans="13:13" x14ac:dyDescent="0.25">
      <c r="M5920" s="21"/>
    </row>
    <row r="5921" spans="13:13" x14ac:dyDescent="0.25">
      <c r="M5921" s="21"/>
    </row>
    <row r="5922" spans="13:13" x14ac:dyDescent="0.25">
      <c r="M5922" s="21"/>
    </row>
    <row r="5923" spans="13:13" x14ac:dyDescent="0.25">
      <c r="M5923" s="21"/>
    </row>
    <row r="5924" spans="13:13" x14ac:dyDescent="0.25">
      <c r="M5924" s="21"/>
    </row>
    <row r="5925" spans="13:13" x14ac:dyDescent="0.25">
      <c r="M5925" s="21"/>
    </row>
    <row r="5926" spans="13:13" x14ac:dyDescent="0.25">
      <c r="M5926" s="21"/>
    </row>
    <row r="5927" spans="13:13" x14ac:dyDescent="0.25">
      <c r="M5927" s="21"/>
    </row>
    <row r="5928" spans="13:13" x14ac:dyDescent="0.25">
      <c r="M5928" s="21"/>
    </row>
    <row r="5929" spans="13:13" x14ac:dyDescent="0.25">
      <c r="M5929" s="21"/>
    </row>
    <row r="5930" spans="13:13" x14ac:dyDescent="0.25">
      <c r="M5930" s="21"/>
    </row>
    <row r="5931" spans="13:13" x14ac:dyDescent="0.25">
      <c r="M5931" s="21"/>
    </row>
    <row r="5932" spans="13:13" x14ac:dyDescent="0.25">
      <c r="M5932" s="21"/>
    </row>
    <row r="5933" spans="13:13" x14ac:dyDescent="0.25">
      <c r="M5933" s="21"/>
    </row>
    <row r="5934" spans="13:13" x14ac:dyDescent="0.25">
      <c r="M5934" s="21"/>
    </row>
    <row r="5935" spans="13:13" x14ac:dyDescent="0.25">
      <c r="M5935" s="21"/>
    </row>
    <row r="5936" spans="13:13" x14ac:dyDescent="0.25">
      <c r="M5936" s="21"/>
    </row>
    <row r="5937" spans="13:13" x14ac:dyDescent="0.25">
      <c r="M5937" s="21"/>
    </row>
    <row r="5938" spans="13:13" x14ac:dyDescent="0.25">
      <c r="M5938" s="21"/>
    </row>
    <row r="5939" spans="13:13" x14ac:dyDescent="0.25">
      <c r="M5939" s="21"/>
    </row>
    <row r="5940" spans="13:13" x14ac:dyDescent="0.25">
      <c r="M5940" s="21"/>
    </row>
    <row r="5941" spans="13:13" x14ac:dyDescent="0.25">
      <c r="M5941" s="21"/>
    </row>
    <row r="5942" spans="13:13" x14ac:dyDescent="0.25">
      <c r="M5942" s="21"/>
    </row>
    <row r="5943" spans="13:13" x14ac:dyDescent="0.25">
      <c r="M5943" s="21"/>
    </row>
    <row r="5944" spans="13:13" x14ac:dyDescent="0.25">
      <c r="M5944" s="21"/>
    </row>
    <row r="5945" spans="13:13" x14ac:dyDescent="0.25">
      <c r="M5945" s="21"/>
    </row>
    <row r="5946" spans="13:13" x14ac:dyDescent="0.25">
      <c r="M5946" s="21"/>
    </row>
    <row r="5947" spans="13:13" x14ac:dyDescent="0.25">
      <c r="M5947" s="21"/>
    </row>
    <row r="5948" spans="13:13" x14ac:dyDescent="0.25">
      <c r="M5948" s="21"/>
    </row>
    <row r="5949" spans="13:13" x14ac:dyDescent="0.25">
      <c r="M5949" s="21"/>
    </row>
    <row r="5950" spans="13:13" x14ac:dyDescent="0.25">
      <c r="M5950" s="21"/>
    </row>
    <row r="5951" spans="13:13" x14ac:dyDescent="0.25">
      <c r="M5951" s="21"/>
    </row>
    <row r="5952" spans="13:13" x14ac:dyDescent="0.25">
      <c r="M5952" s="21"/>
    </row>
    <row r="5953" spans="13:13" x14ac:dyDescent="0.25">
      <c r="M5953" s="21"/>
    </row>
    <row r="5954" spans="13:13" x14ac:dyDescent="0.25">
      <c r="M5954" s="21"/>
    </row>
    <row r="5955" spans="13:13" x14ac:dyDescent="0.25">
      <c r="M5955" s="21"/>
    </row>
    <row r="5956" spans="13:13" x14ac:dyDescent="0.25">
      <c r="M5956" s="21"/>
    </row>
    <row r="5957" spans="13:13" x14ac:dyDescent="0.25">
      <c r="M5957" s="21"/>
    </row>
    <row r="5958" spans="13:13" x14ac:dyDescent="0.25">
      <c r="M5958" s="21"/>
    </row>
    <row r="5959" spans="13:13" x14ac:dyDescent="0.25">
      <c r="M5959" s="21"/>
    </row>
    <row r="5960" spans="13:13" x14ac:dyDescent="0.25">
      <c r="M5960" s="21"/>
    </row>
    <row r="5961" spans="13:13" x14ac:dyDescent="0.25">
      <c r="M5961" s="21"/>
    </row>
    <row r="5962" spans="13:13" x14ac:dyDescent="0.25">
      <c r="M5962" s="21"/>
    </row>
    <row r="5963" spans="13:13" x14ac:dyDescent="0.25">
      <c r="M5963" s="21"/>
    </row>
    <row r="5964" spans="13:13" x14ac:dyDescent="0.25">
      <c r="M5964" s="21"/>
    </row>
    <row r="5965" spans="13:13" x14ac:dyDescent="0.25">
      <c r="M5965" s="21"/>
    </row>
    <row r="5966" spans="13:13" x14ac:dyDescent="0.25">
      <c r="M5966" s="21"/>
    </row>
    <row r="5967" spans="13:13" x14ac:dyDescent="0.25">
      <c r="M5967" s="21"/>
    </row>
    <row r="5968" spans="13:13" x14ac:dyDescent="0.25">
      <c r="M5968" s="21"/>
    </row>
    <row r="5969" spans="13:13" x14ac:dyDescent="0.25">
      <c r="M5969" s="21"/>
    </row>
    <row r="5970" spans="13:13" x14ac:dyDescent="0.25">
      <c r="M5970" s="21"/>
    </row>
    <row r="5971" spans="13:13" x14ac:dyDescent="0.25">
      <c r="M5971" s="21"/>
    </row>
    <row r="5972" spans="13:13" x14ac:dyDescent="0.25">
      <c r="M5972" s="21"/>
    </row>
    <row r="5973" spans="13:13" x14ac:dyDescent="0.25">
      <c r="M5973" s="21"/>
    </row>
    <row r="5974" spans="13:13" x14ac:dyDescent="0.25">
      <c r="M5974" s="21"/>
    </row>
    <row r="5975" spans="13:13" x14ac:dyDescent="0.25">
      <c r="M5975" s="21"/>
    </row>
    <row r="5976" spans="13:13" x14ac:dyDescent="0.25">
      <c r="M5976" s="21"/>
    </row>
    <row r="5977" spans="13:13" x14ac:dyDescent="0.25">
      <c r="M5977" s="21"/>
    </row>
    <row r="5978" spans="13:13" x14ac:dyDescent="0.25">
      <c r="M5978" s="21"/>
    </row>
    <row r="5979" spans="13:13" x14ac:dyDescent="0.25">
      <c r="M5979" s="21"/>
    </row>
    <row r="5980" spans="13:13" x14ac:dyDescent="0.25">
      <c r="M5980" s="21"/>
    </row>
    <row r="5981" spans="13:13" x14ac:dyDescent="0.25">
      <c r="M5981" s="21"/>
    </row>
    <row r="5982" spans="13:13" x14ac:dyDescent="0.25">
      <c r="M5982" s="21"/>
    </row>
    <row r="5983" spans="13:13" x14ac:dyDescent="0.25">
      <c r="M5983" s="21"/>
    </row>
    <row r="5984" spans="13:13" x14ac:dyDescent="0.25">
      <c r="M5984" s="21"/>
    </row>
    <row r="5985" spans="13:13" x14ac:dyDescent="0.25">
      <c r="M5985" s="21"/>
    </row>
    <row r="5986" spans="13:13" x14ac:dyDescent="0.25">
      <c r="M5986" s="21"/>
    </row>
    <row r="5987" spans="13:13" x14ac:dyDescent="0.25">
      <c r="M5987" s="21"/>
    </row>
    <row r="5988" spans="13:13" x14ac:dyDescent="0.25">
      <c r="M5988" s="21"/>
    </row>
    <row r="5989" spans="13:13" x14ac:dyDescent="0.25">
      <c r="M5989" s="21"/>
    </row>
    <row r="5990" spans="13:13" x14ac:dyDescent="0.25">
      <c r="M5990" s="21"/>
    </row>
    <row r="5991" spans="13:13" x14ac:dyDescent="0.25">
      <c r="M5991" s="21"/>
    </row>
    <row r="5992" spans="13:13" x14ac:dyDescent="0.25">
      <c r="M5992" s="21"/>
    </row>
    <row r="5993" spans="13:13" x14ac:dyDescent="0.25">
      <c r="M5993" s="21"/>
    </row>
    <row r="5994" spans="13:13" x14ac:dyDescent="0.25">
      <c r="M5994" s="21"/>
    </row>
    <row r="5995" spans="13:13" x14ac:dyDescent="0.25">
      <c r="M5995" s="21"/>
    </row>
    <row r="5996" spans="13:13" x14ac:dyDescent="0.25">
      <c r="M5996" s="21"/>
    </row>
    <row r="5997" spans="13:13" x14ac:dyDescent="0.25">
      <c r="M5997" s="21"/>
    </row>
    <row r="5998" spans="13:13" x14ac:dyDescent="0.25">
      <c r="M5998" s="21"/>
    </row>
    <row r="5999" spans="13:13" x14ac:dyDescent="0.25">
      <c r="M5999" s="21"/>
    </row>
    <row r="6000" spans="13:13" x14ac:dyDescent="0.25">
      <c r="M6000" s="21"/>
    </row>
    <row r="6001" spans="13:13" x14ac:dyDescent="0.25">
      <c r="M6001" s="21"/>
    </row>
    <row r="6002" spans="13:13" x14ac:dyDescent="0.25">
      <c r="M6002" s="21"/>
    </row>
    <row r="6003" spans="13:13" x14ac:dyDescent="0.25">
      <c r="M6003" s="21"/>
    </row>
    <row r="6004" spans="13:13" x14ac:dyDescent="0.25">
      <c r="M6004" s="21"/>
    </row>
    <row r="6005" spans="13:13" x14ac:dyDescent="0.25">
      <c r="M6005" s="21"/>
    </row>
    <row r="6006" spans="13:13" x14ac:dyDescent="0.25">
      <c r="M6006" s="21"/>
    </row>
    <row r="6007" spans="13:13" x14ac:dyDescent="0.25">
      <c r="M6007" s="21"/>
    </row>
    <row r="6008" spans="13:13" x14ac:dyDescent="0.25">
      <c r="M6008" s="21"/>
    </row>
    <row r="6009" spans="13:13" x14ac:dyDescent="0.25">
      <c r="M6009" s="21"/>
    </row>
    <row r="6010" spans="13:13" x14ac:dyDescent="0.25">
      <c r="M6010" s="21"/>
    </row>
    <row r="6011" spans="13:13" x14ac:dyDescent="0.25">
      <c r="M6011" s="21"/>
    </row>
    <row r="6012" spans="13:13" x14ac:dyDescent="0.25">
      <c r="M6012" s="21"/>
    </row>
    <row r="6013" spans="13:13" x14ac:dyDescent="0.25">
      <c r="M6013" s="21"/>
    </row>
    <row r="6014" spans="13:13" x14ac:dyDescent="0.25">
      <c r="M6014" s="21"/>
    </row>
    <row r="6015" spans="13:13" x14ac:dyDescent="0.25">
      <c r="M6015" s="21"/>
    </row>
    <row r="6016" spans="13:13" x14ac:dyDescent="0.25">
      <c r="M6016" s="21"/>
    </row>
    <row r="6017" spans="13:13" x14ac:dyDescent="0.25">
      <c r="M6017" s="21"/>
    </row>
    <row r="6018" spans="13:13" x14ac:dyDescent="0.25">
      <c r="M6018" s="21"/>
    </row>
    <row r="6019" spans="13:13" x14ac:dyDescent="0.25">
      <c r="M6019" s="21"/>
    </row>
    <row r="6020" spans="13:13" x14ac:dyDescent="0.25">
      <c r="M6020" s="21"/>
    </row>
    <row r="6021" spans="13:13" x14ac:dyDescent="0.25">
      <c r="M6021" s="21"/>
    </row>
    <row r="6022" spans="13:13" x14ac:dyDescent="0.25">
      <c r="M6022" s="21"/>
    </row>
    <row r="6023" spans="13:13" x14ac:dyDescent="0.25">
      <c r="M6023" s="21"/>
    </row>
    <row r="6024" spans="13:13" x14ac:dyDescent="0.25">
      <c r="M6024" s="21"/>
    </row>
    <row r="6025" spans="13:13" x14ac:dyDescent="0.25">
      <c r="M6025" s="21"/>
    </row>
    <row r="6026" spans="13:13" x14ac:dyDescent="0.25">
      <c r="M6026" s="21"/>
    </row>
    <row r="6027" spans="13:13" x14ac:dyDescent="0.25">
      <c r="M6027" s="21"/>
    </row>
    <row r="6028" spans="13:13" x14ac:dyDescent="0.25">
      <c r="M6028" s="21"/>
    </row>
    <row r="6029" spans="13:13" x14ac:dyDescent="0.25">
      <c r="M6029" s="21"/>
    </row>
    <row r="6030" spans="13:13" x14ac:dyDescent="0.25">
      <c r="M6030" s="21"/>
    </row>
    <row r="6031" spans="13:13" x14ac:dyDescent="0.25">
      <c r="M6031" s="21"/>
    </row>
    <row r="6032" spans="13:13" x14ac:dyDescent="0.25">
      <c r="M6032" s="21"/>
    </row>
    <row r="6033" spans="13:13" x14ac:dyDescent="0.25">
      <c r="M6033" s="21"/>
    </row>
    <row r="6034" spans="13:13" x14ac:dyDescent="0.25">
      <c r="M6034" s="21"/>
    </row>
    <row r="6035" spans="13:13" x14ac:dyDescent="0.25">
      <c r="M6035" s="21"/>
    </row>
    <row r="6036" spans="13:13" x14ac:dyDescent="0.25">
      <c r="M6036" s="21"/>
    </row>
    <row r="6037" spans="13:13" x14ac:dyDescent="0.25">
      <c r="M6037" s="21"/>
    </row>
    <row r="6038" spans="13:13" x14ac:dyDescent="0.25">
      <c r="M6038" s="21"/>
    </row>
    <row r="6039" spans="13:13" x14ac:dyDescent="0.25">
      <c r="M6039" s="21"/>
    </row>
    <row r="6040" spans="13:13" x14ac:dyDescent="0.25">
      <c r="M6040" s="21"/>
    </row>
    <row r="6041" spans="13:13" x14ac:dyDescent="0.25">
      <c r="M6041" s="21"/>
    </row>
    <row r="6042" spans="13:13" x14ac:dyDescent="0.25">
      <c r="M6042" s="21"/>
    </row>
    <row r="6043" spans="13:13" x14ac:dyDescent="0.25">
      <c r="M6043" s="21"/>
    </row>
    <row r="6044" spans="13:13" x14ac:dyDescent="0.25">
      <c r="M6044" s="21"/>
    </row>
    <row r="6045" spans="13:13" x14ac:dyDescent="0.25">
      <c r="M6045" s="21"/>
    </row>
    <row r="6046" spans="13:13" x14ac:dyDescent="0.25">
      <c r="M6046" s="21"/>
    </row>
    <row r="6047" spans="13:13" x14ac:dyDescent="0.25">
      <c r="M6047" s="21"/>
    </row>
    <row r="6048" spans="13:13" x14ac:dyDescent="0.25">
      <c r="M6048" s="21"/>
    </row>
    <row r="6049" spans="13:13" x14ac:dyDescent="0.25">
      <c r="M6049" s="21"/>
    </row>
    <row r="6050" spans="13:13" x14ac:dyDescent="0.25">
      <c r="M6050" s="21"/>
    </row>
    <row r="6051" spans="13:13" x14ac:dyDescent="0.25">
      <c r="M6051" s="21"/>
    </row>
    <row r="6052" spans="13:13" x14ac:dyDescent="0.25">
      <c r="M6052" s="21"/>
    </row>
    <row r="6053" spans="13:13" x14ac:dyDescent="0.25">
      <c r="M6053" s="21"/>
    </row>
    <row r="6054" spans="13:13" x14ac:dyDescent="0.25">
      <c r="M6054" s="21"/>
    </row>
    <row r="6055" spans="13:13" x14ac:dyDescent="0.25">
      <c r="M6055" s="21"/>
    </row>
    <row r="6056" spans="13:13" x14ac:dyDescent="0.25">
      <c r="M6056" s="21"/>
    </row>
    <row r="6057" spans="13:13" x14ac:dyDescent="0.25">
      <c r="M6057" s="21"/>
    </row>
    <row r="6058" spans="13:13" x14ac:dyDescent="0.25">
      <c r="M6058" s="21"/>
    </row>
    <row r="6059" spans="13:13" x14ac:dyDescent="0.25">
      <c r="M6059" s="21"/>
    </row>
    <row r="6060" spans="13:13" x14ac:dyDescent="0.25">
      <c r="M6060" s="21"/>
    </row>
    <row r="6061" spans="13:13" x14ac:dyDescent="0.25">
      <c r="M6061" s="21"/>
    </row>
    <row r="6062" spans="13:13" x14ac:dyDescent="0.25">
      <c r="M6062" s="21"/>
    </row>
    <row r="6063" spans="13:13" x14ac:dyDescent="0.25">
      <c r="M6063" s="21"/>
    </row>
    <row r="6064" spans="13:13" x14ac:dyDescent="0.25">
      <c r="M6064" s="21"/>
    </row>
    <row r="6065" spans="13:13" x14ac:dyDescent="0.25">
      <c r="M6065" s="21"/>
    </row>
    <row r="6066" spans="13:13" x14ac:dyDescent="0.25">
      <c r="M6066" s="21"/>
    </row>
    <row r="6067" spans="13:13" x14ac:dyDescent="0.25">
      <c r="M6067" s="21"/>
    </row>
    <row r="6068" spans="13:13" x14ac:dyDescent="0.25">
      <c r="M6068" s="21"/>
    </row>
    <row r="6069" spans="13:13" x14ac:dyDescent="0.25">
      <c r="M6069" s="21"/>
    </row>
    <row r="6070" spans="13:13" x14ac:dyDescent="0.25">
      <c r="M6070" s="21"/>
    </row>
    <row r="6071" spans="13:13" x14ac:dyDescent="0.25">
      <c r="M6071" s="21"/>
    </row>
    <row r="6072" spans="13:13" x14ac:dyDescent="0.25">
      <c r="M6072" s="21"/>
    </row>
    <row r="6073" spans="13:13" x14ac:dyDescent="0.25">
      <c r="M6073" s="21"/>
    </row>
    <row r="6074" spans="13:13" x14ac:dyDescent="0.25">
      <c r="M6074" s="21"/>
    </row>
    <row r="6075" spans="13:13" x14ac:dyDescent="0.25">
      <c r="M6075" s="21"/>
    </row>
    <row r="6076" spans="13:13" x14ac:dyDescent="0.25">
      <c r="M6076" s="21"/>
    </row>
    <row r="6077" spans="13:13" x14ac:dyDescent="0.25">
      <c r="M6077" s="21"/>
    </row>
    <row r="6078" spans="13:13" x14ac:dyDescent="0.25">
      <c r="M6078" s="21"/>
    </row>
    <row r="6079" spans="13:13" x14ac:dyDescent="0.25">
      <c r="M6079" s="21"/>
    </row>
    <row r="6080" spans="13:13" x14ac:dyDescent="0.25">
      <c r="M6080" s="21"/>
    </row>
    <row r="6081" spans="13:13" x14ac:dyDescent="0.25">
      <c r="M6081" s="21"/>
    </row>
    <row r="6082" spans="13:13" x14ac:dyDescent="0.25">
      <c r="M6082" s="21"/>
    </row>
    <row r="6083" spans="13:13" x14ac:dyDescent="0.25">
      <c r="M6083" s="21"/>
    </row>
    <row r="6084" spans="13:13" x14ac:dyDescent="0.25">
      <c r="M6084" s="21"/>
    </row>
    <row r="6085" spans="13:13" x14ac:dyDescent="0.25">
      <c r="M6085" s="21"/>
    </row>
    <row r="6086" spans="13:13" x14ac:dyDescent="0.25">
      <c r="M6086" s="21"/>
    </row>
    <row r="6087" spans="13:13" x14ac:dyDescent="0.25">
      <c r="M6087" s="21"/>
    </row>
    <row r="6088" spans="13:13" x14ac:dyDescent="0.25">
      <c r="M6088" s="21"/>
    </row>
    <row r="6089" spans="13:13" x14ac:dyDescent="0.25">
      <c r="M6089" s="21"/>
    </row>
    <row r="6090" spans="13:13" x14ac:dyDescent="0.25">
      <c r="M6090" s="21"/>
    </row>
    <row r="6091" spans="13:13" x14ac:dyDescent="0.25">
      <c r="M6091" s="21"/>
    </row>
    <row r="6092" spans="13:13" x14ac:dyDescent="0.25">
      <c r="M6092" s="21"/>
    </row>
    <row r="6093" spans="13:13" x14ac:dyDescent="0.25">
      <c r="M6093" s="21"/>
    </row>
    <row r="6094" spans="13:13" x14ac:dyDescent="0.25">
      <c r="M6094" s="21"/>
    </row>
    <row r="6095" spans="13:13" x14ac:dyDescent="0.25">
      <c r="M6095" s="21"/>
    </row>
    <row r="6096" spans="13:13" x14ac:dyDescent="0.25">
      <c r="M6096" s="21"/>
    </row>
    <row r="6097" spans="13:13" x14ac:dyDescent="0.25">
      <c r="M6097" s="21"/>
    </row>
    <row r="6098" spans="13:13" x14ac:dyDescent="0.25">
      <c r="M6098" s="21"/>
    </row>
    <row r="6099" spans="13:13" x14ac:dyDescent="0.25">
      <c r="M6099" s="21"/>
    </row>
    <row r="6100" spans="13:13" x14ac:dyDescent="0.25">
      <c r="M6100" s="21"/>
    </row>
    <row r="6101" spans="13:13" x14ac:dyDescent="0.25">
      <c r="M6101" s="21"/>
    </row>
    <row r="6102" spans="13:13" x14ac:dyDescent="0.25">
      <c r="M6102" s="21"/>
    </row>
    <row r="6103" spans="13:13" x14ac:dyDescent="0.25">
      <c r="M6103" s="21"/>
    </row>
    <row r="6104" spans="13:13" x14ac:dyDescent="0.25">
      <c r="M6104" s="21"/>
    </row>
    <row r="6105" spans="13:13" x14ac:dyDescent="0.25">
      <c r="M6105" s="21"/>
    </row>
    <row r="6106" spans="13:13" x14ac:dyDescent="0.25">
      <c r="M6106" s="21"/>
    </row>
    <row r="6107" spans="13:13" x14ac:dyDescent="0.25">
      <c r="M6107" s="21"/>
    </row>
    <row r="6108" spans="13:13" x14ac:dyDescent="0.25">
      <c r="M6108" s="21"/>
    </row>
    <row r="6109" spans="13:13" x14ac:dyDescent="0.25">
      <c r="M6109" s="21"/>
    </row>
    <row r="6110" spans="13:13" x14ac:dyDescent="0.25">
      <c r="M6110" s="21"/>
    </row>
    <row r="6111" spans="13:13" x14ac:dyDescent="0.25">
      <c r="M6111" s="21"/>
    </row>
    <row r="6112" spans="13:13" x14ac:dyDescent="0.25">
      <c r="M6112" s="21"/>
    </row>
    <row r="6113" spans="13:13" x14ac:dyDescent="0.25">
      <c r="M6113" s="21"/>
    </row>
    <row r="6114" spans="13:13" x14ac:dyDescent="0.25">
      <c r="M6114" s="21"/>
    </row>
    <row r="6115" spans="13:13" x14ac:dyDescent="0.25">
      <c r="M6115" s="21"/>
    </row>
    <row r="6116" spans="13:13" x14ac:dyDescent="0.25">
      <c r="M6116" s="21"/>
    </row>
    <row r="6117" spans="13:13" x14ac:dyDescent="0.25">
      <c r="M6117" s="21"/>
    </row>
    <row r="6118" spans="13:13" x14ac:dyDescent="0.25">
      <c r="M6118" s="21"/>
    </row>
    <row r="6119" spans="13:13" x14ac:dyDescent="0.25">
      <c r="M6119" s="21"/>
    </row>
    <row r="6120" spans="13:13" x14ac:dyDescent="0.25">
      <c r="M6120" s="21"/>
    </row>
    <row r="6121" spans="13:13" x14ac:dyDescent="0.25">
      <c r="M6121" s="21"/>
    </row>
    <row r="6122" spans="13:13" x14ac:dyDescent="0.25">
      <c r="M6122" s="21"/>
    </row>
    <row r="6123" spans="13:13" x14ac:dyDescent="0.25">
      <c r="M6123" s="21"/>
    </row>
    <row r="6124" spans="13:13" x14ac:dyDescent="0.25">
      <c r="M6124" s="21"/>
    </row>
    <row r="6125" spans="13:13" x14ac:dyDescent="0.25">
      <c r="M6125" s="21"/>
    </row>
    <row r="6126" spans="13:13" x14ac:dyDescent="0.25">
      <c r="M6126" s="21"/>
    </row>
    <row r="6127" spans="13:13" x14ac:dyDescent="0.25">
      <c r="M6127" s="21"/>
    </row>
    <row r="6128" spans="13:13" x14ac:dyDescent="0.25">
      <c r="M6128" s="21"/>
    </row>
    <row r="6129" spans="13:13" x14ac:dyDescent="0.25">
      <c r="M6129" s="21"/>
    </row>
    <row r="6130" spans="13:13" x14ac:dyDescent="0.25">
      <c r="M6130" s="21"/>
    </row>
    <row r="6131" spans="13:13" x14ac:dyDescent="0.25">
      <c r="M6131" s="21"/>
    </row>
    <row r="6132" spans="13:13" x14ac:dyDescent="0.25">
      <c r="M6132" s="21"/>
    </row>
    <row r="6133" spans="13:13" x14ac:dyDescent="0.25">
      <c r="M6133" s="21"/>
    </row>
    <row r="6134" spans="13:13" x14ac:dyDescent="0.25">
      <c r="M6134" s="21"/>
    </row>
    <row r="6135" spans="13:13" x14ac:dyDescent="0.25">
      <c r="M6135" s="21"/>
    </row>
    <row r="6136" spans="13:13" x14ac:dyDescent="0.25">
      <c r="M6136" s="21"/>
    </row>
    <row r="6137" spans="13:13" x14ac:dyDescent="0.25">
      <c r="M6137" s="21"/>
    </row>
    <row r="6138" spans="13:13" x14ac:dyDescent="0.25">
      <c r="M6138" s="21"/>
    </row>
    <row r="6139" spans="13:13" x14ac:dyDescent="0.25">
      <c r="M6139" s="21"/>
    </row>
    <row r="6140" spans="13:13" x14ac:dyDescent="0.25">
      <c r="M6140" s="21"/>
    </row>
    <row r="6141" spans="13:13" x14ac:dyDescent="0.25">
      <c r="M6141" s="21"/>
    </row>
    <row r="6142" spans="13:13" x14ac:dyDescent="0.25">
      <c r="M6142" s="21"/>
    </row>
    <row r="6143" spans="13:13" x14ac:dyDescent="0.25">
      <c r="M6143" s="21"/>
    </row>
    <row r="6144" spans="13:13" x14ac:dyDescent="0.25">
      <c r="M6144" s="21"/>
    </row>
    <row r="6145" spans="13:13" x14ac:dyDescent="0.25">
      <c r="M6145" s="21"/>
    </row>
    <row r="6146" spans="13:13" x14ac:dyDescent="0.25">
      <c r="M6146" s="21"/>
    </row>
    <row r="6147" spans="13:13" x14ac:dyDescent="0.25">
      <c r="M6147" s="21"/>
    </row>
    <row r="6148" spans="13:13" x14ac:dyDescent="0.25">
      <c r="M6148" s="21"/>
    </row>
    <row r="6149" spans="13:13" x14ac:dyDescent="0.25">
      <c r="M6149" s="21"/>
    </row>
    <row r="6150" spans="13:13" x14ac:dyDescent="0.25">
      <c r="M6150" s="21"/>
    </row>
    <row r="6151" spans="13:13" x14ac:dyDescent="0.25">
      <c r="M6151" s="21"/>
    </row>
    <row r="6152" spans="13:13" x14ac:dyDescent="0.25">
      <c r="M6152" s="21"/>
    </row>
    <row r="6153" spans="13:13" x14ac:dyDescent="0.25">
      <c r="M6153" s="21"/>
    </row>
    <row r="6154" spans="13:13" x14ac:dyDescent="0.25">
      <c r="M6154" s="21"/>
    </row>
    <row r="6155" spans="13:13" x14ac:dyDescent="0.25">
      <c r="M6155" s="21"/>
    </row>
    <row r="6156" spans="13:13" x14ac:dyDescent="0.25">
      <c r="M6156" s="21"/>
    </row>
    <row r="6157" spans="13:13" x14ac:dyDescent="0.25">
      <c r="M6157" s="21"/>
    </row>
    <row r="6158" spans="13:13" x14ac:dyDescent="0.25">
      <c r="M6158" s="21"/>
    </row>
    <row r="6159" spans="13:13" x14ac:dyDescent="0.25">
      <c r="M6159" s="21"/>
    </row>
    <row r="6160" spans="13:13" x14ac:dyDescent="0.25">
      <c r="M6160" s="21"/>
    </row>
    <row r="6161" spans="13:13" x14ac:dyDescent="0.25">
      <c r="M6161" s="21"/>
    </row>
    <row r="6162" spans="13:13" x14ac:dyDescent="0.25">
      <c r="M6162" s="21"/>
    </row>
    <row r="6163" spans="13:13" x14ac:dyDescent="0.25">
      <c r="M6163" s="21"/>
    </row>
    <row r="6164" spans="13:13" x14ac:dyDescent="0.25">
      <c r="M6164" s="21"/>
    </row>
    <row r="6165" spans="13:13" x14ac:dyDescent="0.25">
      <c r="M6165" s="21"/>
    </row>
    <row r="6166" spans="13:13" x14ac:dyDescent="0.25">
      <c r="M6166" s="21"/>
    </row>
    <row r="6167" spans="13:13" x14ac:dyDescent="0.25">
      <c r="M6167" s="21"/>
    </row>
    <row r="6168" spans="13:13" x14ac:dyDescent="0.25">
      <c r="M6168" s="21"/>
    </row>
    <row r="6169" spans="13:13" x14ac:dyDescent="0.25">
      <c r="M6169" s="21"/>
    </row>
    <row r="6170" spans="13:13" x14ac:dyDescent="0.25">
      <c r="M6170" s="21"/>
    </row>
    <row r="6171" spans="13:13" x14ac:dyDescent="0.25">
      <c r="M6171" s="21"/>
    </row>
    <row r="6172" spans="13:13" x14ac:dyDescent="0.25">
      <c r="M6172" s="21"/>
    </row>
    <row r="6173" spans="13:13" x14ac:dyDescent="0.25">
      <c r="M6173" s="21"/>
    </row>
    <row r="6174" spans="13:13" x14ac:dyDescent="0.25">
      <c r="M6174" s="21"/>
    </row>
    <row r="6175" spans="13:13" x14ac:dyDescent="0.25">
      <c r="M6175" s="21"/>
    </row>
    <row r="6176" spans="13:13" x14ac:dyDescent="0.25">
      <c r="M6176" s="21"/>
    </row>
    <row r="6177" spans="13:13" x14ac:dyDescent="0.25">
      <c r="M6177" s="21"/>
    </row>
    <row r="6178" spans="13:13" x14ac:dyDescent="0.25">
      <c r="M6178" s="21"/>
    </row>
    <row r="6179" spans="13:13" x14ac:dyDescent="0.25">
      <c r="M6179" s="21"/>
    </row>
    <row r="6180" spans="13:13" x14ac:dyDescent="0.25">
      <c r="M6180" s="21"/>
    </row>
    <row r="6181" spans="13:13" x14ac:dyDescent="0.25">
      <c r="M6181" s="21"/>
    </row>
    <row r="6182" spans="13:13" x14ac:dyDescent="0.25">
      <c r="M6182" s="21"/>
    </row>
    <row r="6183" spans="13:13" x14ac:dyDescent="0.25">
      <c r="M6183" s="21"/>
    </row>
    <row r="6184" spans="13:13" x14ac:dyDescent="0.25">
      <c r="M6184" s="21"/>
    </row>
    <row r="6185" spans="13:13" x14ac:dyDescent="0.25">
      <c r="M6185" s="21"/>
    </row>
    <row r="6186" spans="13:13" x14ac:dyDescent="0.25">
      <c r="M6186" s="21"/>
    </row>
    <row r="6187" spans="13:13" x14ac:dyDescent="0.25">
      <c r="M6187" s="21"/>
    </row>
    <row r="6188" spans="13:13" x14ac:dyDescent="0.25">
      <c r="M6188" s="21"/>
    </row>
    <row r="6189" spans="13:13" x14ac:dyDescent="0.25">
      <c r="M6189" s="21"/>
    </row>
    <row r="6190" spans="13:13" x14ac:dyDescent="0.25">
      <c r="M6190" s="21"/>
    </row>
    <row r="6191" spans="13:13" x14ac:dyDescent="0.25">
      <c r="M6191" s="21"/>
    </row>
    <row r="6192" spans="13:13" x14ac:dyDescent="0.25">
      <c r="M6192" s="21"/>
    </row>
    <row r="6193" spans="13:13" x14ac:dyDescent="0.25">
      <c r="M6193" s="21"/>
    </row>
    <row r="6194" spans="13:13" x14ac:dyDescent="0.25">
      <c r="M6194" s="21"/>
    </row>
    <row r="6195" spans="13:13" x14ac:dyDescent="0.25">
      <c r="M6195" s="21"/>
    </row>
    <row r="6196" spans="13:13" x14ac:dyDescent="0.25">
      <c r="M6196" s="21"/>
    </row>
    <row r="6197" spans="13:13" x14ac:dyDescent="0.25">
      <c r="M6197" s="21"/>
    </row>
    <row r="6198" spans="13:13" x14ac:dyDescent="0.25">
      <c r="M6198" s="21"/>
    </row>
    <row r="6199" spans="13:13" x14ac:dyDescent="0.25">
      <c r="M6199" s="21"/>
    </row>
    <row r="6200" spans="13:13" x14ac:dyDescent="0.25">
      <c r="M6200" s="21"/>
    </row>
    <row r="6201" spans="13:13" x14ac:dyDescent="0.25">
      <c r="M6201" s="21"/>
    </row>
    <row r="6202" spans="13:13" x14ac:dyDescent="0.25">
      <c r="M6202" s="21"/>
    </row>
    <row r="6203" spans="13:13" x14ac:dyDescent="0.25">
      <c r="M6203" s="21"/>
    </row>
    <row r="6204" spans="13:13" x14ac:dyDescent="0.25">
      <c r="M6204" s="21"/>
    </row>
    <row r="6205" spans="13:13" x14ac:dyDescent="0.25">
      <c r="M6205" s="21"/>
    </row>
    <row r="6206" spans="13:13" x14ac:dyDescent="0.25">
      <c r="M6206" s="21"/>
    </row>
    <row r="6207" spans="13:13" x14ac:dyDescent="0.25">
      <c r="M6207" s="21"/>
    </row>
    <row r="6208" spans="13:13" x14ac:dyDescent="0.25">
      <c r="M6208" s="21"/>
    </row>
    <row r="6209" spans="13:13" x14ac:dyDescent="0.25">
      <c r="M6209" s="21"/>
    </row>
    <row r="6210" spans="13:13" x14ac:dyDescent="0.25">
      <c r="M6210" s="21"/>
    </row>
    <row r="6211" spans="13:13" x14ac:dyDescent="0.25">
      <c r="M6211" s="21"/>
    </row>
    <row r="6212" spans="13:13" x14ac:dyDescent="0.25">
      <c r="M6212" s="21"/>
    </row>
    <row r="6213" spans="13:13" x14ac:dyDescent="0.25">
      <c r="M6213" s="21"/>
    </row>
    <row r="6214" spans="13:13" x14ac:dyDescent="0.25">
      <c r="M6214" s="21"/>
    </row>
    <row r="6215" spans="13:13" x14ac:dyDescent="0.25">
      <c r="M6215" s="21"/>
    </row>
    <row r="6216" spans="13:13" x14ac:dyDescent="0.25">
      <c r="M6216" s="21"/>
    </row>
    <row r="6217" spans="13:13" x14ac:dyDescent="0.25">
      <c r="M6217" s="21"/>
    </row>
    <row r="6218" spans="13:13" x14ac:dyDescent="0.25">
      <c r="M6218" s="21"/>
    </row>
    <row r="6219" spans="13:13" x14ac:dyDescent="0.25">
      <c r="M6219" s="21"/>
    </row>
    <row r="6220" spans="13:13" x14ac:dyDescent="0.25">
      <c r="M6220" s="21"/>
    </row>
    <row r="6221" spans="13:13" x14ac:dyDescent="0.25">
      <c r="M6221" s="21"/>
    </row>
    <row r="6222" spans="13:13" x14ac:dyDescent="0.25">
      <c r="M6222" s="21"/>
    </row>
    <row r="6223" spans="13:13" x14ac:dyDescent="0.25">
      <c r="M6223" s="21"/>
    </row>
    <row r="6224" spans="13:13" x14ac:dyDescent="0.25">
      <c r="M6224" s="21"/>
    </row>
    <row r="6225" spans="13:13" x14ac:dyDescent="0.25">
      <c r="M6225" s="21"/>
    </row>
    <row r="6226" spans="13:13" x14ac:dyDescent="0.25">
      <c r="M6226" s="21"/>
    </row>
    <row r="6227" spans="13:13" x14ac:dyDescent="0.25">
      <c r="M6227" s="21"/>
    </row>
    <row r="6228" spans="13:13" x14ac:dyDescent="0.25">
      <c r="M6228" s="21"/>
    </row>
    <row r="6229" spans="13:13" x14ac:dyDescent="0.25">
      <c r="M6229" s="21"/>
    </row>
    <row r="6230" spans="13:13" x14ac:dyDescent="0.25">
      <c r="M6230" s="21"/>
    </row>
    <row r="6231" spans="13:13" x14ac:dyDescent="0.25">
      <c r="M6231" s="21"/>
    </row>
    <row r="6232" spans="13:13" x14ac:dyDescent="0.25">
      <c r="M6232" s="21"/>
    </row>
    <row r="6233" spans="13:13" x14ac:dyDescent="0.25">
      <c r="M6233" s="21"/>
    </row>
    <row r="6234" spans="13:13" x14ac:dyDescent="0.25">
      <c r="M6234" s="21"/>
    </row>
    <row r="6235" spans="13:13" x14ac:dyDescent="0.25">
      <c r="M6235" s="21"/>
    </row>
    <row r="6236" spans="13:13" x14ac:dyDescent="0.25">
      <c r="M6236" s="21"/>
    </row>
    <row r="6237" spans="13:13" x14ac:dyDescent="0.25">
      <c r="M6237" s="21"/>
    </row>
    <row r="6238" spans="13:13" x14ac:dyDescent="0.25">
      <c r="M6238" s="21"/>
    </row>
    <row r="6239" spans="13:13" x14ac:dyDescent="0.25">
      <c r="M6239" s="21"/>
    </row>
    <row r="6240" spans="13:13" x14ac:dyDescent="0.25">
      <c r="M6240" s="21"/>
    </row>
    <row r="6241" spans="13:13" x14ac:dyDescent="0.25">
      <c r="M6241" s="21"/>
    </row>
    <row r="6242" spans="13:13" x14ac:dyDescent="0.25">
      <c r="M6242" s="21"/>
    </row>
    <row r="6243" spans="13:13" x14ac:dyDescent="0.25">
      <c r="M6243" s="21"/>
    </row>
    <row r="6244" spans="13:13" x14ac:dyDescent="0.25">
      <c r="M6244" s="21"/>
    </row>
    <row r="6245" spans="13:13" x14ac:dyDescent="0.25">
      <c r="M6245" s="21"/>
    </row>
    <row r="6246" spans="13:13" x14ac:dyDescent="0.25">
      <c r="M6246" s="21"/>
    </row>
    <row r="6247" spans="13:13" x14ac:dyDescent="0.25">
      <c r="M6247" s="21"/>
    </row>
    <row r="6248" spans="13:13" x14ac:dyDescent="0.25">
      <c r="M6248" s="21"/>
    </row>
    <row r="6249" spans="13:13" x14ac:dyDescent="0.25">
      <c r="M6249" s="21"/>
    </row>
    <row r="6250" spans="13:13" x14ac:dyDescent="0.25">
      <c r="M6250" s="21"/>
    </row>
    <row r="6251" spans="13:13" x14ac:dyDescent="0.25">
      <c r="M6251" s="21"/>
    </row>
    <row r="6252" spans="13:13" x14ac:dyDescent="0.25">
      <c r="M6252" s="21"/>
    </row>
    <row r="6253" spans="13:13" x14ac:dyDescent="0.25">
      <c r="M6253" s="21"/>
    </row>
    <row r="6254" spans="13:13" x14ac:dyDescent="0.25">
      <c r="M6254" s="21"/>
    </row>
    <row r="6255" spans="13:13" x14ac:dyDescent="0.25">
      <c r="M6255" s="21"/>
    </row>
    <row r="6256" spans="13:13" x14ac:dyDescent="0.25">
      <c r="M6256" s="21"/>
    </row>
    <row r="6257" spans="13:13" x14ac:dyDescent="0.25">
      <c r="M6257" s="21"/>
    </row>
    <row r="6258" spans="13:13" x14ac:dyDescent="0.25">
      <c r="M6258" s="21"/>
    </row>
    <row r="6259" spans="13:13" x14ac:dyDescent="0.25">
      <c r="M6259" s="21"/>
    </row>
    <row r="6260" spans="13:13" x14ac:dyDescent="0.25">
      <c r="M6260" s="21"/>
    </row>
    <row r="6261" spans="13:13" x14ac:dyDescent="0.25">
      <c r="M6261" s="21"/>
    </row>
    <row r="6262" spans="13:13" x14ac:dyDescent="0.25">
      <c r="M6262" s="21"/>
    </row>
    <row r="6263" spans="13:13" x14ac:dyDescent="0.25">
      <c r="M6263" s="21"/>
    </row>
    <row r="6264" spans="13:13" x14ac:dyDescent="0.25">
      <c r="M6264" s="21"/>
    </row>
    <row r="6265" spans="13:13" x14ac:dyDescent="0.25">
      <c r="M6265" s="21"/>
    </row>
    <row r="6266" spans="13:13" x14ac:dyDescent="0.25">
      <c r="M6266" s="21"/>
    </row>
    <row r="6267" spans="13:13" x14ac:dyDescent="0.25">
      <c r="M6267" s="21"/>
    </row>
    <row r="6268" spans="13:13" x14ac:dyDescent="0.25">
      <c r="M6268" s="21"/>
    </row>
    <row r="6269" spans="13:13" x14ac:dyDescent="0.25">
      <c r="M6269" s="21"/>
    </row>
    <row r="6270" spans="13:13" x14ac:dyDescent="0.25">
      <c r="M6270" s="21"/>
    </row>
    <row r="6271" spans="13:13" x14ac:dyDescent="0.25">
      <c r="M6271" s="21"/>
    </row>
    <row r="6272" spans="13:13" x14ac:dyDescent="0.25">
      <c r="M6272" s="21"/>
    </row>
    <row r="6273" spans="13:13" x14ac:dyDescent="0.25">
      <c r="M6273" s="21"/>
    </row>
    <row r="6274" spans="13:13" x14ac:dyDescent="0.25">
      <c r="M6274" s="21"/>
    </row>
    <row r="6275" spans="13:13" x14ac:dyDescent="0.25">
      <c r="M6275" s="21"/>
    </row>
    <row r="6276" spans="13:13" x14ac:dyDescent="0.25">
      <c r="M6276" s="21"/>
    </row>
    <row r="6277" spans="13:13" x14ac:dyDescent="0.25">
      <c r="M6277" s="21"/>
    </row>
    <row r="6278" spans="13:13" x14ac:dyDescent="0.25">
      <c r="M6278" s="21"/>
    </row>
    <row r="6279" spans="13:13" x14ac:dyDescent="0.25">
      <c r="M6279" s="21"/>
    </row>
    <row r="6280" spans="13:13" x14ac:dyDescent="0.25">
      <c r="M6280" s="21"/>
    </row>
    <row r="6281" spans="13:13" x14ac:dyDescent="0.25">
      <c r="M6281" s="21"/>
    </row>
    <row r="6282" spans="13:13" x14ac:dyDescent="0.25">
      <c r="M6282" s="21"/>
    </row>
    <row r="6283" spans="13:13" x14ac:dyDescent="0.25">
      <c r="M6283" s="21"/>
    </row>
    <row r="6284" spans="13:13" x14ac:dyDescent="0.25">
      <c r="M6284" s="21"/>
    </row>
    <row r="6285" spans="13:13" x14ac:dyDescent="0.25">
      <c r="M6285" s="21"/>
    </row>
    <row r="6286" spans="13:13" x14ac:dyDescent="0.25">
      <c r="M6286" s="21"/>
    </row>
    <row r="6287" spans="13:13" x14ac:dyDescent="0.25">
      <c r="M6287" s="21"/>
    </row>
    <row r="6288" spans="13:13" x14ac:dyDescent="0.25">
      <c r="M6288" s="21"/>
    </row>
    <row r="6289" spans="13:13" x14ac:dyDescent="0.25">
      <c r="M6289" s="21"/>
    </row>
    <row r="6290" spans="13:13" x14ac:dyDescent="0.25">
      <c r="M6290" s="21"/>
    </row>
    <row r="6291" spans="13:13" x14ac:dyDescent="0.25">
      <c r="M6291" s="21"/>
    </row>
    <row r="6292" spans="13:13" x14ac:dyDescent="0.25">
      <c r="M6292" s="21"/>
    </row>
    <row r="6293" spans="13:13" x14ac:dyDescent="0.25">
      <c r="M6293" s="21"/>
    </row>
    <row r="6294" spans="13:13" x14ac:dyDescent="0.25">
      <c r="M6294" s="21"/>
    </row>
    <row r="6295" spans="13:13" x14ac:dyDescent="0.25">
      <c r="M6295" s="21"/>
    </row>
    <row r="6296" spans="13:13" x14ac:dyDescent="0.25">
      <c r="M6296" s="21"/>
    </row>
    <row r="6297" spans="13:13" x14ac:dyDescent="0.25">
      <c r="M6297" s="21"/>
    </row>
    <row r="6298" spans="13:13" x14ac:dyDescent="0.25">
      <c r="M6298" s="21"/>
    </row>
    <row r="6299" spans="13:13" x14ac:dyDescent="0.25">
      <c r="M6299" s="21"/>
    </row>
    <row r="6300" spans="13:13" x14ac:dyDescent="0.25">
      <c r="M6300" s="21"/>
    </row>
    <row r="6301" spans="13:13" x14ac:dyDescent="0.25">
      <c r="M6301" s="21"/>
    </row>
    <row r="6302" spans="13:13" x14ac:dyDescent="0.25">
      <c r="M6302" s="21"/>
    </row>
    <row r="6303" spans="13:13" x14ac:dyDescent="0.25">
      <c r="M6303" s="21"/>
    </row>
    <row r="6304" spans="13:13" x14ac:dyDescent="0.25">
      <c r="M6304" s="21"/>
    </row>
    <row r="6305" spans="13:13" x14ac:dyDescent="0.25">
      <c r="M6305" s="21"/>
    </row>
    <row r="6306" spans="13:13" x14ac:dyDescent="0.25">
      <c r="M6306" s="21"/>
    </row>
    <row r="6307" spans="13:13" x14ac:dyDescent="0.25">
      <c r="M6307" s="21"/>
    </row>
    <row r="6308" spans="13:13" x14ac:dyDescent="0.25">
      <c r="M6308" s="21"/>
    </row>
    <row r="6309" spans="13:13" x14ac:dyDescent="0.25">
      <c r="M6309" s="21"/>
    </row>
    <row r="6310" spans="13:13" x14ac:dyDescent="0.25">
      <c r="M6310" s="21"/>
    </row>
    <row r="6311" spans="13:13" x14ac:dyDescent="0.25">
      <c r="M6311" s="21"/>
    </row>
    <row r="6312" spans="13:13" x14ac:dyDescent="0.25">
      <c r="M6312" s="21"/>
    </row>
    <row r="6313" spans="13:13" x14ac:dyDescent="0.25">
      <c r="M6313" s="21"/>
    </row>
    <row r="6314" spans="13:13" x14ac:dyDescent="0.25">
      <c r="M6314" s="21"/>
    </row>
    <row r="6315" spans="13:13" x14ac:dyDescent="0.25">
      <c r="M6315" s="21"/>
    </row>
    <row r="6316" spans="13:13" x14ac:dyDescent="0.25">
      <c r="M6316" s="21"/>
    </row>
    <row r="6317" spans="13:13" x14ac:dyDescent="0.25">
      <c r="M6317" s="21"/>
    </row>
    <row r="6318" spans="13:13" x14ac:dyDescent="0.25">
      <c r="M6318" s="21"/>
    </row>
    <row r="6319" spans="13:13" x14ac:dyDescent="0.25">
      <c r="M6319" s="21"/>
    </row>
    <row r="6320" spans="13:13" x14ac:dyDescent="0.25">
      <c r="M6320" s="21"/>
    </row>
    <row r="6321" spans="13:13" x14ac:dyDescent="0.25">
      <c r="M6321" s="21"/>
    </row>
    <row r="6322" spans="13:13" x14ac:dyDescent="0.25">
      <c r="M6322" s="21"/>
    </row>
    <row r="6323" spans="13:13" x14ac:dyDescent="0.25">
      <c r="M6323" s="21"/>
    </row>
    <row r="6324" spans="13:13" x14ac:dyDescent="0.25">
      <c r="M6324" s="21"/>
    </row>
    <row r="6325" spans="13:13" x14ac:dyDescent="0.25">
      <c r="M6325" s="21"/>
    </row>
    <row r="6326" spans="13:13" x14ac:dyDescent="0.25">
      <c r="M6326" s="21"/>
    </row>
    <row r="6327" spans="13:13" x14ac:dyDescent="0.25">
      <c r="M6327" s="21"/>
    </row>
    <row r="6328" spans="13:13" x14ac:dyDescent="0.25">
      <c r="M6328" s="21"/>
    </row>
    <row r="6329" spans="13:13" x14ac:dyDescent="0.25">
      <c r="M6329" s="21"/>
    </row>
    <row r="6330" spans="13:13" x14ac:dyDescent="0.25">
      <c r="M6330" s="21"/>
    </row>
    <row r="6331" spans="13:13" x14ac:dyDescent="0.25">
      <c r="M6331" s="21"/>
    </row>
    <row r="6332" spans="13:13" x14ac:dyDescent="0.25">
      <c r="M6332" s="21"/>
    </row>
    <row r="6333" spans="13:13" x14ac:dyDescent="0.25">
      <c r="M6333" s="21"/>
    </row>
    <row r="6334" spans="13:13" x14ac:dyDescent="0.25">
      <c r="M6334" s="21"/>
    </row>
    <row r="6335" spans="13:13" x14ac:dyDescent="0.25">
      <c r="M6335" s="21"/>
    </row>
    <row r="6336" spans="13:13" x14ac:dyDescent="0.25">
      <c r="M6336" s="21"/>
    </row>
    <row r="6337" spans="13:13" x14ac:dyDescent="0.25">
      <c r="M6337" s="21"/>
    </row>
    <row r="6338" spans="13:13" x14ac:dyDescent="0.25">
      <c r="M6338" s="21"/>
    </row>
    <row r="6339" spans="13:13" x14ac:dyDescent="0.25">
      <c r="M6339" s="21"/>
    </row>
    <row r="6340" spans="13:13" x14ac:dyDescent="0.25">
      <c r="M6340" s="21"/>
    </row>
    <row r="6341" spans="13:13" x14ac:dyDescent="0.25">
      <c r="M6341" s="21"/>
    </row>
    <row r="6342" spans="13:13" x14ac:dyDescent="0.25">
      <c r="M6342" s="21"/>
    </row>
    <row r="6343" spans="13:13" x14ac:dyDescent="0.25">
      <c r="M6343" s="21"/>
    </row>
    <row r="6344" spans="13:13" x14ac:dyDescent="0.25">
      <c r="M6344" s="21"/>
    </row>
    <row r="6345" spans="13:13" x14ac:dyDescent="0.25">
      <c r="M6345" s="21"/>
    </row>
    <row r="6346" spans="13:13" x14ac:dyDescent="0.25">
      <c r="M6346" s="21"/>
    </row>
    <row r="6347" spans="13:13" x14ac:dyDescent="0.25">
      <c r="M6347" s="21"/>
    </row>
    <row r="6348" spans="13:13" x14ac:dyDescent="0.25">
      <c r="M6348" s="21"/>
    </row>
    <row r="6349" spans="13:13" x14ac:dyDescent="0.25">
      <c r="M6349" s="21"/>
    </row>
    <row r="6350" spans="13:13" x14ac:dyDescent="0.25">
      <c r="M6350" s="21"/>
    </row>
    <row r="6351" spans="13:13" x14ac:dyDescent="0.25">
      <c r="M6351" s="21"/>
    </row>
    <row r="6352" spans="13:13" x14ac:dyDescent="0.25">
      <c r="M6352" s="21"/>
    </row>
    <row r="6353" spans="13:13" x14ac:dyDescent="0.25">
      <c r="M6353" s="21"/>
    </row>
    <row r="6354" spans="13:13" x14ac:dyDescent="0.25">
      <c r="M6354" s="21"/>
    </row>
    <row r="6355" spans="13:13" x14ac:dyDescent="0.25">
      <c r="M6355" s="21"/>
    </row>
    <row r="6356" spans="13:13" x14ac:dyDescent="0.25">
      <c r="M6356" s="21"/>
    </row>
    <row r="6357" spans="13:13" x14ac:dyDescent="0.25">
      <c r="M6357" s="21"/>
    </row>
    <row r="6358" spans="13:13" x14ac:dyDescent="0.25">
      <c r="M6358" s="21"/>
    </row>
    <row r="6359" spans="13:13" x14ac:dyDescent="0.25">
      <c r="M6359" s="21"/>
    </row>
    <row r="6360" spans="13:13" x14ac:dyDescent="0.25">
      <c r="M6360" s="21"/>
    </row>
    <row r="6361" spans="13:13" x14ac:dyDescent="0.25">
      <c r="M6361" s="21"/>
    </row>
    <row r="6362" spans="13:13" x14ac:dyDescent="0.25">
      <c r="M6362" s="21"/>
    </row>
    <row r="6363" spans="13:13" x14ac:dyDescent="0.25">
      <c r="M6363" s="21"/>
    </row>
    <row r="6364" spans="13:13" x14ac:dyDescent="0.25">
      <c r="M6364" s="21"/>
    </row>
    <row r="6365" spans="13:13" x14ac:dyDescent="0.25">
      <c r="M6365" s="21"/>
    </row>
    <row r="6366" spans="13:13" x14ac:dyDescent="0.25">
      <c r="M6366" s="21"/>
    </row>
    <row r="6367" spans="13:13" x14ac:dyDescent="0.25">
      <c r="M6367" s="21"/>
    </row>
    <row r="6368" spans="13:13" x14ac:dyDescent="0.25">
      <c r="M6368" s="21"/>
    </row>
    <row r="6369" spans="13:13" x14ac:dyDescent="0.25">
      <c r="M6369" s="21"/>
    </row>
    <row r="6370" spans="13:13" x14ac:dyDescent="0.25">
      <c r="M6370" s="21"/>
    </row>
    <row r="6371" spans="13:13" x14ac:dyDescent="0.25">
      <c r="M6371" s="21"/>
    </row>
    <row r="6372" spans="13:13" x14ac:dyDescent="0.25">
      <c r="M6372" s="21"/>
    </row>
    <row r="6373" spans="13:13" x14ac:dyDescent="0.25">
      <c r="M6373" s="21"/>
    </row>
    <row r="6374" spans="13:13" x14ac:dyDescent="0.25">
      <c r="M6374" s="21"/>
    </row>
    <row r="6375" spans="13:13" x14ac:dyDescent="0.25">
      <c r="M6375" s="21"/>
    </row>
    <row r="6376" spans="13:13" x14ac:dyDescent="0.25">
      <c r="M6376" s="21"/>
    </row>
    <row r="6377" spans="13:13" x14ac:dyDescent="0.25">
      <c r="M6377" s="21"/>
    </row>
    <row r="6378" spans="13:13" x14ac:dyDescent="0.25">
      <c r="M6378" s="21"/>
    </row>
    <row r="6379" spans="13:13" x14ac:dyDescent="0.25">
      <c r="M6379" s="21"/>
    </row>
    <row r="6380" spans="13:13" x14ac:dyDescent="0.25">
      <c r="M6380" s="21"/>
    </row>
    <row r="6381" spans="13:13" x14ac:dyDescent="0.25">
      <c r="M6381" s="21"/>
    </row>
    <row r="6382" spans="13:13" x14ac:dyDescent="0.25">
      <c r="M6382" s="21"/>
    </row>
    <row r="6383" spans="13:13" x14ac:dyDescent="0.25">
      <c r="M6383" s="21"/>
    </row>
    <row r="6384" spans="13:13" x14ac:dyDescent="0.25">
      <c r="M6384" s="21"/>
    </row>
    <row r="6385" spans="13:13" x14ac:dyDescent="0.25">
      <c r="M6385" s="21"/>
    </row>
    <row r="6386" spans="13:13" x14ac:dyDescent="0.25">
      <c r="M6386" s="21"/>
    </row>
    <row r="6387" spans="13:13" x14ac:dyDescent="0.25">
      <c r="M6387" s="21"/>
    </row>
    <row r="6388" spans="13:13" x14ac:dyDescent="0.25">
      <c r="M6388" s="21"/>
    </row>
    <row r="6389" spans="13:13" x14ac:dyDescent="0.25">
      <c r="M6389" s="21"/>
    </row>
    <row r="6390" spans="13:13" x14ac:dyDescent="0.25">
      <c r="M6390" s="21"/>
    </row>
    <row r="6391" spans="13:13" x14ac:dyDescent="0.25">
      <c r="M6391" s="21"/>
    </row>
    <row r="6392" spans="13:13" x14ac:dyDescent="0.25">
      <c r="M6392" s="21"/>
    </row>
    <row r="6393" spans="13:13" x14ac:dyDescent="0.25">
      <c r="M6393" s="21"/>
    </row>
    <row r="6394" spans="13:13" x14ac:dyDescent="0.25">
      <c r="M6394" s="21"/>
    </row>
    <row r="6395" spans="13:13" x14ac:dyDescent="0.25">
      <c r="M6395" s="21"/>
    </row>
    <row r="6396" spans="13:13" x14ac:dyDescent="0.25">
      <c r="M6396" s="21"/>
    </row>
    <row r="6397" spans="13:13" x14ac:dyDescent="0.25">
      <c r="M6397" s="21"/>
    </row>
    <row r="6398" spans="13:13" x14ac:dyDescent="0.25">
      <c r="M6398" s="21"/>
    </row>
    <row r="6399" spans="13:13" x14ac:dyDescent="0.25">
      <c r="M6399" s="21"/>
    </row>
    <row r="6400" spans="13:13" x14ac:dyDescent="0.25">
      <c r="M6400" s="21"/>
    </row>
    <row r="6401" spans="13:13" x14ac:dyDescent="0.25">
      <c r="M6401" s="21"/>
    </row>
    <row r="6402" spans="13:13" x14ac:dyDescent="0.25">
      <c r="M6402" s="21"/>
    </row>
    <row r="6403" spans="13:13" x14ac:dyDescent="0.25">
      <c r="M6403" s="21"/>
    </row>
    <row r="6404" spans="13:13" x14ac:dyDescent="0.25">
      <c r="M6404" s="21"/>
    </row>
    <row r="6405" spans="13:13" x14ac:dyDescent="0.25">
      <c r="M6405" s="21"/>
    </row>
    <row r="6406" spans="13:13" x14ac:dyDescent="0.25">
      <c r="M6406" s="21"/>
    </row>
    <row r="6407" spans="13:13" x14ac:dyDescent="0.25">
      <c r="M6407" s="21"/>
    </row>
    <row r="6408" spans="13:13" x14ac:dyDescent="0.25">
      <c r="M6408" s="21"/>
    </row>
    <row r="6409" spans="13:13" x14ac:dyDescent="0.25">
      <c r="M6409" s="21"/>
    </row>
    <row r="6410" spans="13:13" x14ac:dyDescent="0.25">
      <c r="M6410" s="21"/>
    </row>
    <row r="6411" spans="13:13" x14ac:dyDescent="0.25">
      <c r="M6411" s="21"/>
    </row>
    <row r="6412" spans="13:13" x14ac:dyDescent="0.25">
      <c r="M6412" s="21"/>
    </row>
    <row r="6413" spans="13:13" x14ac:dyDescent="0.25">
      <c r="M6413" s="21"/>
    </row>
    <row r="6414" spans="13:13" x14ac:dyDescent="0.25">
      <c r="M6414" s="21"/>
    </row>
    <row r="6415" spans="13:13" x14ac:dyDescent="0.25">
      <c r="M6415" s="21"/>
    </row>
    <row r="6416" spans="13:13" x14ac:dyDescent="0.25">
      <c r="M6416" s="21"/>
    </row>
    <row r="6417" spans="13:13" x14ac:dyDescent="0.25">
      <c r="M6417" s="21"/>
    </row>
    <row r="6418" spans="13:13" x14ac:dyDescent="0.25">
      <c r="M6418" s="21"/>
    </row>
    <row r="6419" spans="13:13" x14ac:dyDescent="0.25">
      <c r="M6419" s="21"/>
    </row>
    <row r="6420" spans="13:13" x14ac:dyDescent="0.25">
      <c r="M6420" s="21"/>
    </row>
    <row r="6421" spans="13:13" x14ac:dyDescent="0.25">
      <c r="M6421" s="21"/>
    </row>
    <row r="6422" spans="13:13" x14ac:dyDescent="0.25">
      <c r="M6422" s="21"/>
    </row>
    <row r="6423" spans="13:13" x14ac:dyDescent="0.25">
      <c r="M6423" s="21"/>
    </row>
    <row r="6424" spans="13:13" x14ac:dyDescent="0.25">
      <c r="M6424" s="21"/>
    </row>
    <row r="6425" spans="13:13" x14ac:dyDescent="0.25">
      <c r="M6425" s="21"/>
    </row>
    <row r="6426" spans="13:13" x14ac:dyDescent="0.25">
      <c r="M6426" s="21"/>
    </row>
    <row r="6427" spans="13:13" x14ac:dyDescent="0.25">
      <c r="M6427" s="21"/>
    </row>
    <row r="6428" spans="13:13" x14ac:dyDescent="0.25">
      <c r="M6428" s="21"/>
    </row>
    <row r="6429" spans="13:13" x14ac:dyDescent="0.25">
      <c r="M6429" s="21"/>
    </row>
    <row r="6430" spans="13:13" x14ac:dyDescent="0.25">
      <c r="M6430" s="21"/>
    </row>
    <row r="6431" spans="13:13" x14ac:dyDescent="0.25">
      <c r="M6431" s="21"/>
    </row>
    <row r="6432" spans="13:13" x14ac:dyDescent="0.25">
      <c r="M6432" s="21"/>
    </row>
    <row r="6433" spans="13:13" x14ac:dyDescent="0.25">
      <c r="M6433" s="21"/>
    </row>
    <row r="6434" spans="13:13" x14ac:dyDescent="0.25">
      <c r="M6434" s="21"/>
    </row>
    <row r="6435" spans="13:13" x14ac:dyDescent="0.25">
      <c r="M6435" s="21"/>
    </row>
    <row r="6436" spans="13:13" x14ac:dyDescent="0.25">
      <c r="M6436" s="21"/>
    </row>
    <row r="6437" spans="13:13" x14ac:dyDescent="0.25">
      <c r="M6437" s="21"/>
    </row>
    <row r="6438" spans="13:13" x14ac:dyDescent="0.25">
      <c r="M6438" s="21"/>
    </row>
    <row r="6439" spans="13:13" x14ac:dyDescent="0.25">
      <c r="M6439" s="21"/>
    </row>
    <row r="6440" spans="13:13" x14ac:dyDescent="0.25">
      <c r="M6440" s="21"/>
    </row>
    <row r="6441" spans="13:13" x14ac:dyDescent="0.25">
      <c r="M6441" s="21"/>
    </row>
    <row r="6442" spans="13:13" x14ac:dyDescent="0.25">
      <c r="M6442" s="21"/>
    </row>
    <row r="6443" spans="13:13" x14ac:dyDescent="0.25">
      <c r="M6443" s="21"/>
    </row>
    <row r="6444" spans="13:13" x14ac:dyDescent="0.25">
      <c r="M6444" s="21"/>
    </row>
    <row r="6445" spans="13:13" x14ac:dyDescent="0.25">
      <c r="M6445" s="21"/>
    </row>
    <row r="6446" spans="13:13" x14ac:dyDescent="0.25">
      <c r="M6446" s="21"/>
    </row>
    <row r="6447" spans="13:13" x14ac:dyDescent="0.25">
      <c r="M6447" s="21"/>
    </row>
    <row r="6448" spans="13:13" x14ac:dyDescent="0.25">
      <c r="M6448" s="21"/>
    </row>
    <row r="6449" spans="13:13" x14ac:dyDescent="0.25">
      <c r="M6449" s="21"/>
    </row>
    <row r="6450" spans="13:13" x14ac:dyDescent="0.25">
      <c r="M6450" s="21"/>
    </row>
    <row r="6451" spans="13:13" x14ac:dyDescent="0.25">
      <c r="M6451" s="21"/>
    </row>
    <row r="6452" spans="13:13" x14ac:dyDescent="0.25">
      <c r="M6452" s="21"/>
    </row>
    <row r="6453" spans="13:13" x14ac:dyDescent="0.25">
      <c r="M6453" s="21"/>
    </row>
    <row r="6454" spans="13:13" x14ac:dyDescent="0.25">
      <c r="M6454" s="21"/>
    </row>
    <row r="6455" spans="13:13" x14ac:dyDescent="0.25">
      <c r="M6455" s="21"/>
    </row>
    <row r="6456" spans="13:13" x14ac:dyDescent="0.25">
      <c r="M6456" s="21"/>
    </row>
    <row r="6457" spans="13:13" x14ac:dyDescent="0.25">
      <c r="M6457" s="21"/>
    </row>
    <row r="6458" spans="13:13" x14ac:dyDescent="0.25">
      <c r="M6458" s="21"/>
    </row>
    <row r="6459" spans="13:13" x14ac:dyDescent="0.25">
      <c r="M6459" s="21"/>
    </row>
    <row r="6460" spans="13:13" x14ac:dyDescent="0.25">
      <c r="M6460" s="21"/>
    </row>
    <row r="6461" spans="13:13" x14ac:dyDescent="0.25">
      <c r="M6461" s="21"/>
    </row>
    <row r="6462" spans="13:13" x14ac:dyDescent="0.25">
      <c r="M6462" s="21"/>
    </row>
    <row r="6463" spans="13:13" x14ac:dyDescent="0.25">
      <c r="M6463" s="21"/>
    </row>
    <row r="6464" spans="13:13" x14ac:dyDescent="0.25">
      <c r="M6464" s="21"/>
    </row>
    <row r="6465" spans="13:13" x14ac:dyDescent="0.25">
      <c r="M6465" s="21"/>
    </row>
    <row r="6466" spans="13:13" x14ac:dyDescent="0.25">
      <c r="M6466" s="21"/>
    </row>
    <row r="6467" spans="13:13" x14ac:dyDescent="0.25">
      <c r="M6467" s="21"/>
    </row>
    <row r="6468" spans="13:13" x14ac:dyDescent="0.25">
      <c r="M6468" s="21"/>
    </row>
    <row r="6469" spans="13:13" x14ac:dyDescent="0.25">
      <c r="M6469" s="21"/>
    </row>
    <row r="6470" spans="13:13" x14ac:dyDescent="0.25">
      <c r="M6470" s="21"/>
    </row>
    <row r="6471" spans="13:13" x14ac:dyDescent="0.25">
      <c r="M6471" s="21"/>
    </row>
    <row r="6472" spans="13:13" x14ac:dyDescent="0.25">
      <c r="M6472" s="21"/>
    </row>
    <row r="6473" spans="13:13" x14ac:dyDescent="0.25">
      <c r="M6473" s="21"/>
    </row>
    <row r="6474" spans="13:13" x14ac:dyDescent="0.25">
      <c r="M6474" s="21"/>
    </row>
    <row r="6475" spans="13:13" x14ac:dyDescent="0.25">
      <c r="M6475" s="21"/>
    </row>
    <row r="6476" spans="13:13" x14ac:dyDescent="0.25">
      <c r="M6476" s="21"/>
    </row>
    <row r="6477" spans="13:13" x14ac:dyDescent="0.25">
      <c r="M6477" s="21"/>
    </row>
    <row r="6478" spans="13:13" x14ac:dyDescent="0.25">
      <c r="M6478" s="21"/>
    </row>
    <row r="6479" spans="13:13" x14ac:dyDescent="0.25">
      <c r="M6479" s="21"/>
    </row>
    <row r="6480" spans="13:13" x14ac:dyDescent="0.25">
      <c r="M6480" s="21"/>
    </row>
    <row r="6481" spans="13:13" x14ac:dyDescent="0.25">
      <c r="M6481" s="21"/>
    </row>
    <row r="6482" spans="13:13" x14ac:dyDescent="0.25">
      <c r="M6482" s="21"/>
    </row>
    <row r="6483" spans="13:13" x14ac:dyDescent="0.25">
      <c r="M6483" s="21"/>
    </row>
    <row r="6484" spans="13:13" x14ac:dyDescent="0.25">
      <c r="M6484" s="21"/>
    </row>
    <row r="6485" spans="13:13" x14ac:dyDescent="0.25">
      <c r="M6485" s="21"/>
    </row>
    <row r="6486" spans="13:13" x14ac:dyDescent="0.25">
      <c r="M6486" s="21"/>
    </row>
    <row r="6487" spans="13:13" x14ac:dyDescent="0.25">
      <c r="M6487" s="21"/>
    </row>
    <row r="6488" spans="13:13" x14ac:dyDescent="0.25">
      <c r="M6488" s="21"/>
    </row>
    <row r="6489" spans="13:13" x14ac:dyDescent="0.25">
      <c r="M6489" s="21"/>
    </row>
    <row r="6490" spans="13:13" x14ac:dyDescent="0.25">
      <c r="M6490" s="21"/>
    </row>
    <row r="6491" spans="13:13" x14ac:dyDescent="0.25">
      <c r="M6491" s="21"/>
    </row>
    <row r="6492" spans="13:13" x14ac:dyDescent="0.25">
      <c r="M6492" s="21"/>
    </row>
    <row r="6493" spans="13:13" x14ac:dyDescent="0.25">
      <c r="M6493" s="21"/>
    </row>
    <row r="6494" spans="13:13" x14ac:dyDescent="0.25">
      <c r="M6494" s="21"/>
    </row>
    <row r="6495" spans="13:13" x14ac:dyDescent="0.25">
      <c r="M6495" s="21"/>
    </row>
    <row r="6496" spans="13:13" x14ac:dyDescent="0.25">
      <c r="M6496" s="21"/>
    </row>
    <row r="6497" spans="13:13" x14ac:dyDescent="0.25">
      <c r="M6497" s="21"/>
    </row>
    <row r="6498" spans="13:13" x14ac:dyDescent="0.25">
      <c r="M6498" s="21"/>
    </row>
    <row r="6499" spans="13:13" x14ac:dyDescent="0.25">
      <c r="M6499" s="21"/>
    </row>
    <row r="6500" spans="13:13" x14ac:dyDescent="0.25">
      <c r="M6500" s="21"/>
    </row>
    <row r="6501" spans="13:13" x14ac:dyDescent="0.25">
      <c r="M6501" s="21"/>
    </row>
    <row r="6502" spans="13:13" x14ac:dyDescent="0.25">
      <c r="M6502" s="21"/>
    </row>
    <row r="6503" spans="13:13" x14ac:dyDescent="0.25">
      <c r="M6503" s="21"/>
    </row>
    <row r="6504" spans="13:13" x14ac:dyDescent="0.25">
      <c r="M6504" s="21"/>
    </row>
    <row r="6505" spans="13:13" x14ac:dyDescent="0.25">
      <c r="M6505" s="21"/>
    </row>
    <row r="6506" spans="13:13" x14ac:dyDescent="0.25">
      <c r="M6506" s="21"/>
    </row>
    <row r="6507" spans="13:13" x14ac:dyDescent="0.25">
      <c r="M6507" s="21"/>
    </row>
    <row r="6508" spans="13:13" x14ac:dyDescent="0.25">
      <c r="M6508" s="21"/>
    </row>
    <row r="6509" spans="13:13" x14ac:dyDescent="0.25">
      <c r="M6509" s="21"/>
    </row>
    <row r="6510" spans="13:13" x14ac:dyDescent="0.25">
      <c r="M6510" s="21"/>
    </row>
    <row r="6511" spans="13:13" x14ac:dyDescent="0.25">
      <c r="M6511" s="21"/>
    </row>
    <row r="6512" spans="13:13" x14ac:dyDescent="0.25">
      <c r="M6512" s="21"/>
    </row>
    <row r="6513" spans="13:13" x14ac:dyDescent="0.25">
      <c r="M6513" s="21"/>
    </row>
    <row r="6514" spans="13:13" x14ac:dyDescent="0.25">
      <c r="M6514" s="21"/>
    </row>
    <row r="6515" spans="13:13" x14ac:dyDescent="0.25">
      <c r="M6515" s="21"/>
    </row>
    <row r="6516" spans="13:13" x14ac:dyDescent="0.25">
      <c r="M6516" s="21"/>
    </row>
    <row r="6517" spans="13:13" x14ac:dyDescent="0.25">
      <c r="M6517" s="21"/>
    </row>
    <row r="6518" spans="13:13" x14ac:dyDescent="0.25">
      <c r="M6518" s="21"/>
    </row>
    <row r="6519" spans="13:13" x14ac:dyDescent="0.25">
      <c r="M6519" s="21"/>
    </row>
    <row r="6520" spans="13:13" x14ac:dyDescent="0.25">
      <c r="M6520" s="21"/>
    </row>
    <row r="6521" spans="13:13" x14ac:dyDescent="0.25">
      <c r="M6521" s="21"/>
    </row>
    <row r="6522" spans="13:13" x14ac:dyDescent="0.25">
      <c r="M6522" s="21"/>
    </row>
    <row r="6523" spans="13:13" x14ac:dyDescent="0.25">
      <c r="M6523" s="21"/>
    </row>
    <row r="6524" spans="13:13" x14ac:dyDescent="0.25">
      <c r="M6524" s="21"/>
    </row>
    <row r="6525" spans="13:13" x14ac:dyDescent="0.25">
      <c r="M6525" s="21"/>
    </row>
    <row r="6526" spans="13:13" x14ac:dyDescent="0.25">
      <c r="M6526" s="21"/>
    </row>
    <row r="6527" spans="13:13" x14ac:dyDescent="0.25">
      <c r="M6527" s="21"/>
    </row>
    <row r="6528" spans="13:13" x14ac:dyDescent="0.25">
      <c r="M6528" s="21"/>
    </row>
    <row r="6529" spans="13:13" x14ac:dyDescent="0.25">
      <c r="M6529" s="21"/>
    </row>
    <row r="6530" spans="13:13" x14ac:dyDescent="0.25">
      <c r="M6530" s="21"/>
    </row>
    <row r="6531" spans="13:13" x14ac:dyDescent="0.25">
      <c r="M6531" s="21"/>
    </row>
    <row r="6532" spans="13:13" x14ac:dyDescent="0.25">
      <c r="M6532" s="21"/>
    </row>
    <row r="6533" spans="13:13" x14ac:dyDescent="0.25">
      <c r="M6533" s="21"/>
    </row>
    <row r="6534" spans="13:13" x14ac:dyDescent="0.25">
      <c r="M6534" s="21"/>
    </row>
    <row r="6535" spans="13:13" x14ac:dyDescent="0.25">
      <c r="M6535" s="21"/>
    </row>
    <row r="6536" spans="13:13" x14ac:dyDescent="0.25">
      <c r="M6536" s="21"/>
    </row>
    <row r="6537" spans="13:13" x14ac:dyDescent="0.25">
      <c r="M6537" s="21"/>
    </row>
    <row r="6538" spans="13:13" x14ac:dyDescent="0.25">
      <c r="M6538" s="21"/>
    </row>
    <row r="6539" spans="13:13" x14ac:dyDescent="0.25">
      <c r="M6539" s="21"/>
    </row>
    <row r="6540" spans="13:13" x14ac:dyDescent="0.25">
      <c r="M6540" s="21"/>
    </row>
    <row r="6541" spans="13:13" x14ac:dyDescent="0.25">
      <c r="M6541" s="21"/>
    </row>
    <row r="6542" spans="13:13" x14ac:dyDescent="0.25">
      <c r="M6542" s="21"/>
    </row>
    <row r="6543" spans="13:13" x14ac:dyDescent="0.25">
      <c r="M6543" s="21"/>
    </row>
    <row r="6544" spans="13:13" x14ac:dyDescent="0.25">
      <c r="M6544" s="21"/>
    </row>
    <row r="6545" spans="13:13" x14ac:dyDescent="0.25">
      <c r="M6545" s="21"/>
    </row>
    <row r="6546" spans="13:13" x14ac:dyDescent="0.25">
      <c r="M6546" s="21"/>
    </row>
    <row r="6547" spans="13:13" x14ac:dyDescent="0.25">
      <c r="M6547" s="21"/>
    </row>
    <row r="6548" spans="13:13" x14ac:dyDescent="0.25">
      <c r="M6548" s="21"/>
    </row>
    <row r="6549" spans="13:13" x14ac:dyDescent="0.25">
      <c r="M6549" s="21"/>
    </row>
    <row r="6550" spans="13:13" x14ac:dyDescent="0.25">
      <c r="M6550" s="21"/>
    </row>
    <row r="6551" spans="13:13" x14ac:dyDescent="0.25">
      <c r="M6551" s="21"/>
    </row>
    <row r="6552" spans="13:13" x14ac:dyDescent="0.25">
      <c r="M6552" s="21"/>
    </row>
    <row r="6553" spans="13:13" x14ac:dyDescent="0.25">
      <c r="M6553" s="21"/>
    </row>
    <row r="6554" spans="13:13" x14ac:dyDescent="0.25">
      <c r="M6554" s="21"/>
    </row>
    <row r="6555" spans="13:13" x14ac:dyDescent="0.25">
      <c r="M6555" s="21"/>
    </row>
    <row r="6556" spans="13:13" x14ac:dyDescent="0.25">
      <c r="M6556" s="21"/>
    </row>
    <row r="6557" spans="13:13" x14ac:dyDescent="0.25">
      <c r="M6557" s="21"/>
    </row>
    <row r="6558" spans="13:13" x14ac:dyDescent="0.25">
      <c r="M6558" s="21"/>
    </row>
    <row r="6559" spans="13:13" x14ac:dyDescent="0.25">
      <c r="M6559" s="21"/>
    </row>
    <row r="6560" spans="13:13" x14ac:dyDescent="0.25">
      <c r="M6560" s="21"/>
    </row>
    <row r="6561" spans="13:13" x14ac:dyDescent="0.25">
      <c r="M6561" s="21"/>
    </row>
    <row r="6562" spans="13:13" x14ac:dyDescent="0.25">
      <c r="M6562" s="21"/>
    </row>
    <row r="6563" spans="13:13" x14ac:dyDescent="0.25">
      <c r="M6563" s="21"/>
    </row>
    <row r="6564" spans="13:13" x14ac:dyDescent="0.25">
      <c r="M6564" s="21"/>
    </row>
    <row r="6565" spans="13:13" x14ac:dyDescent="0.25">
      <c r="M6565" s="21"/>
    </row>
    <row r="6566" spans="13:13" x14ac:dyDescent="0.25">
      <c r="M6566" s="21"/>
    </row>
    <row r="6567" spans="13:13" x14ac:dyDescent="0.25">
      <c r="M6567" s="21"/>
    </row>
    <row r="6568" spans="13:13" x14ac:dyDescent="0.25">
      <c r="M6568" s="21"/>
    </row>
    <row r="6569" spans="13:13" x14ac:dyDescent="0.25">
      <c r="M6569" s="21"/>
    </row>
    <row r="6570" spans="13:13" x14ac:dyDescent="0.25">
      <c r="M6570" s="21"/>
    </row>
    <row r="6571" spans="13:13" x14ac:dyDescent="0.25">
      <c r="M6571" s="21"/>
    </row>
    <row r="6572" spans="13:13" x14ac:dyDescent="0.25">
      <c r="M6572" s="21"/>
    </row>
    <row r="6573" spans="13:13" x14ac:dyDescent="0.25">
      <c r="M6573" s="21"/>
    </row>
    <row r="6574" spans="13:13" x14ac:dyDescent="0.25">
      <c r="M6574" s="21"/>
    </row>
    <row r="6575" spans="13:13" x14ac:dyDescent="0.25">
      <c r="M6575" s="21"/>
    </row>
    <row r="6576" spans="13:13" x14ac:dyDescent="0.25">
      <c r="M6576" s="21"/>
    </row>
    <row r="6577" spans="13:13" x14ac:dyDescent="0.25">
      <c r="M6577" s="21"/>
    </row>
    <row r="6578" spans="13:13" x14ac:dyDescent="0.25">
      <c r="M6578" s="21"/>
    </row>
    <row r="6579" spans="13:13" x14ac:dyDescent="0.25">
      <c r="M6579" s="21"/>
    </row>
    <row r="6580" spans="13:13" x14ac:dyDescent="0.25">
      <c r="M6580" s="21"/>
    </row>
    <row r="6581" spans="13:13" x14ac:dyDescent="0.25">
      <c r="M6581" s="21"/>
    </row>
    <row r="6582" spans="13:13" x14ac:dyDescent="0.25">
      <c r="M6582" s="21"/>
    </row>
    <row r="6583" spans="13:13" x14ac:dyDescent="0.25">
      <c r="M6583" s="21"/>
    </row>
    <row r="6584" spans="13:13" x14ac:dyDescent="0.25">
      <c r="M6584" s="21"/>
    </row>
    <row r="6585" spans="13:13" x14ac:dyDescent="0.25">
      <c r="M6585" s="21"/>
    </row>
    <row r="6586" spans="13:13" x14ac:dyDescent="0.25">
      <c r="M6586" s="21"/>
    </row>
    <row r="6587" spans="13:13" x14ac:dyDescent="0.25">
      <c r="M6587" s="21"/>
    </row>
    <row r="6588" spans="13:13" x14ac:dyDescent="0.25">
      <c r="M6588" s="21"/>
    </row>
    <row r="6589" spans="13:13" x14ac:dyDescent="0.25">
      <c r="M6589" s="21"/>
    </row>
    <row r="6590" spans="13:13" x14ac:dyDescent="0.25">
      <c r="M6590" s="21"/>
    </row>
    <row r="6591" spans="13:13" x14ac:dyDescent="0.25">
      <c r="M6591" s="21"/>
    </row>
    <row r="6592" spans="13:13" x14ac:dyDescent="0.25">
      <c r="M6592" s="21"/>
    </row>
    <row r="6593" spans="13:13" x14ac:dyDescent="0.25">
      <c r="M6593" s="21"/>
    </row>
    <row r="6594" spans="13:13" x14ac:dyDescent="0.25">
      <c r="M6594" s="21"/>
    </row>
    <row r="6595" spans="13:13" x14ac:dyDescent="0.25">
      <c r="M6595" s="21"/>
    </row>
    <row r="6596" spans="13:13" x14ac:dyDescent="0.25">
      <c r="M6596" s="21"/>
    </row>
    <row r="6597" spans="13:13" x14ac:dyDescent="0.25">
      <c r="M6597" s="21"/>
    </row>
    <row r="6598" spans="13:13" x14ac:dyDescent="0.25">
      <c r="M6598" s="21"/>
    </row>
    <row r="6599" spans="13:13" x14ac:dyDescent="0.25">
      <c r="M6599" s="21"/>
    </row>
    <row r="6600" spans="13:13" x14ac:dyDescent="0.25">
      <c r="M6600" s="21"/>
    </row>
    <row r="6601" spans="13:13" x14ac:dyDescent="0.25">
      <c r="M6601" s="21"/>
    </row>
    <row r="6602" spans="13:13" x14ac:dyDescent="0.25">
      <c r="M6602" s="21"/>
    </row>
    <row r="6603" spans="13:13" x14ac:dyDescent="0.25">
      <c r="M6603" s="21"/>
    </row>
    <row r="6604" spans="13:13" x14ac:dyDescent="0.25">
      <c r="M6604" s="21"/>
    </row>
    <row r="6605" spans="13:13" x14ac:dyDescent="0.25">
      <c r="M6605" s="21"/>
    </row>
    <row r="6606" spans="13:13" x14ac:dyDescent="0.25">
      <c r="M6606" s="21"/>
    </row>
    <row r="6607" spans="13:13" x14ac:dyDescent="0.25">
      <c r="M6607" s="21"/>
    </row>
    <row r="6608" spans="13:13" x14ac:dyDescent="0.25">
      <c r="M6608" s="21"/>
    </row>
    <row r="6609" spans="13:13" x14ac:dyDescent="0.25">
      <c r="M6609" s="21"/>
    </row>
    <row r="6610" spans="13:13" x14ac:dyDescent="0.25">
      <c r="M6610" s="21"/>
    </row>
    <row r="6611" spans="13:13" x14ac:dyDescent="0.25">
      <c r="M6611" s="21"/>
    </row>
    <row r="6612" spans="13:13" x14ac:dyDescent="0.25">
      <c r="M6612" s="21"/>
    </row>
    <row r="6613" spans="13:13" x14ac:dyDescent="0.25">
      <c r="M6613" s="21"/>
    </row>
    <row r="6614" spans="13:13" x14ac:dyDescent="0.25">
      <c r="M6614" s="21"/>
    </row>
    <row r="6615" spans="13:13" x14ac:dyDescent="0.25">
      <c r="M6615" s="21"/>
    </row>
    <row r="6616" spans="13:13" x14ac:dyDescent="0.25">
      <c r="M6616" s="21"/>
    </row>
    <row r="6617" spans="13:13" x14ac:dyDescent="0.25">
      <c r="M6617" s="21"/>
    </row>
    <row r="6618" spans="13:13" x14ac:dyDescent="0.25">
      <c r="M6618" s="21"/>
    </row>
    <row r="6619" spans="13:13" x14ac:dyDescent="0.25">
      <c r="M6619" s="21"/>
    </row>
    <row r="6620" spans="13:13" x14ac:dyDescent="0.25">
      <c r="M6620" s="21"/>
    </row>
    <row r="6621" spans="13:13" x14ac:dyDescent="0.25">
      <c r="M6621" s="21"/>
    </row>
    <row r="6622" spans="13:13" x14ac:dyDescent="0.25">
      <c r="M6622" s="21"/>
    </row>
    <row r="6623" spans="13:13" x14ac:dyDescent="0.25">
      <c r="M6623" s="21"/>
    </row>
    <row r="6624" spans="13:13" x14ac:dyDescent="0.25">
      <c r="M6624" s="21"/>
    </row>
    <row r="6625" spans="13:13" x14ac:dyDescent="0.25">
      <c r="M6625" s="21"/>
    </row>
    <row r="6626" spans="13:13" x14ac:dyDescent="0.25">
      <c r="M6626" s="21"/>
    </row>
    <row r="6627" spans="13:13" x14ac:dyDescent="0.25">
      <c r="M6627" s="21"/>
    </row>
    <row r="6628" spans="13:13" x14ac:dyDescent="0.25">
      <c r="M6628" s="21"/>
    </row>
    <row r="6629" spans="13:13" x14ac:dyDescent="0.25">
      <c r="M6629" s="21"/>
    </row>
    <row r="6630" spans="13:13" x14ac:dyDescent="0.25">
      <c r="M6630" s="21"/>
    </row>
    <row r="6631" spans="13:13" x14ac:dyDescent="0.25">
      <c r="M6631" s="21"/>
    </row>
    <row r="6632" spans="13:13" x14ac:dyDescent="0.25">
      <c r="M6632" s="21"/>
    </row>
    <row r="6633" spans="13:13" x14ac:dyDescent="0.25">
      <c r="M6633" s="21"/>
    </row>
    <row r="6634" spans="13:13" x14ac:dyDescent="0.25">
      <c r="M6634" s="21"/>
    </row>
    <row r="6635" spans="13:13" x14ac:dyDescent="0.25">
      <c r="M6635" s="21"/>
    </row>
    <row r="6636" spans="13:13" x14ac:dyDescent="0.25">
      <c r="M6636" s="21"/>
    </row>
    <row r="6637" spans="13:13" x14ac:dyDescent="0.25">
      <c r="M6637" s="21"/>
    </row>
    <row r="6638" spans="13:13" x14ac:dyDescent="0.25">
      <c r="M6638" s="21"/>
    </row>
    <row r="6639" spans="13:13" x14ac:dyDescent="0.25">
      <c r="M6639" s="21"/>
    </row>
    <row r="6640" spans="13:13" x14ac:dyDescent="0.25">
      <c r="M6640" s="21"/>
    </row>
    <row r="6641" spans="13:13" x14ac:dyDescent="0.25">
      <c r="M6641" s="21"/>
    </row>
    <row r="6642" spans="13:13" x14ac:dyDescent="0.25">
      <c r="M6642" s="21"/>
    </row>
    <row r="6643" spans="13:13" x14ac:dyDescent="0.25">
      <c r="M6643" s="21"/>
    </row>
    <row r="6644" spans="13:13" x14ac:dyDescent="0.25">
      <c r="M6644" s="21"/>
    </row>
    <row r="6645" spans="13:13" x14ac:dyDescent="0.25">
      <c r="M6645" s="21"/>
    </row>
    <row r="6646" spans="13:13" x14ac:dyDescent="0.25">
      <c r="M6646" s="21"/>
    </row>
    <row r="6647" spans="13:13" x14ac:dyDescent="0.25">
      <c r="M6647" s="21"/>
    </row>
    <row r="6648" spans="13:13" x14ac:dyDescent="0.25">
      <c r="M6648" s="21"/>
    </row>
    <row r="6649" spans="13:13" x14ac:dyDescent="0.25">
      <c r="M6649" s="21"/>
    </row>
    <row r="6650" spans="13:13" x14ac:dyDescent="0.25">
      <c r="M6650" s="21"/>
    </row>
    <row r="6651" spans="13:13" x14ac:dyDescent="0.25">
      <c r="M6651" s="21"/>
    </row>
    <row r="6652" spans="13:13" x14ac:dyDescent="0.25">
      <c r="M6652" s="21"/>
    </row>
    <row r="6653" spans="13:13" x14ac:dyDescent="0.25">
      <c r="M6653" s="21"/>
    </row>
    <row r="6654" spans="13:13" x14ac:dyDescent="0.25">
      <c r="M6654" s="21"/>
    </row>
    <row r="6655" spans="13:13" x14ac:dyDescent="0.25">
      <c r="M6655" s="21"/>
    </row>
    <row r="6656" spans="13:13" x14ac:dyDescent="0.25">
      <c r="M6656" s="21"/>
    </row>
    <row r="6657" spans="13:13" x14ac:dyDescent="0.25">
      <c r="M6657" s="21"/>
    </row>
    <row r="6658" spans="13:13" x14ac:dyDescent="0.25">
      <c r="M6658" s="21"/>
    </row>
    <row r="6659" spans="13:13" x14ac:dyDescent="0.25">
      <c r="M6659" s="21"/>
    </row>
    <row r="6660" spans="13:13" x14ac:dyDescent="0.25">
      <c r="M6660" s="21"/>
    </row>
    <row r="6661" spans="13:13" x14ac:dyDescent="0.25">
      <c r="M6661" s="21"/>
    </row>
    <row r="6662" spans="13:13" x14ac:dyDescent="0.25">
      <c r="M6662" s="21"/>
    </row>
    <row r="6663" spans="13:13" x14ac:dyDescent="0.25">
      <c r="M6663" s="21"/>
    </row>
    <row r="6664" spans="13:13" x14ac:dyDescent="0.25">
      <c r="M6664" s="21"/>
    </row>
    <row r="6665" spans="13:13" x14ac:dyDescent="0.25">
      <c r="M6665" s="21"/>
    </row>
    <row r="6666" spans="13:13" x14ac:dyDescent="0.25">
      <c r="M6666" s="21"/>
    </row>
    <row r="6667" spans="13:13" x14ac:dyDescent="0.25">
      <c r="M6667" s="21"/>
    </row>
    <row r="6668" spans="13:13" x14ac:dyDescent="0.25">
      <c r="M6668" s="21"/>
    </row>
    <row r="6669" spans="13:13" x14ac:dyDescent="0.25">
      <c r="M6669" s="21"/>
    </row>
    <row r="6670" spans="13:13" x14ac:dyDescent="0.25">
      <c r="M6670" s="21"/>
    </row>
    <row r="6671" spans="13:13" x14ac:dyDescent="0.25">
      <c r="M6671" s="21"/>
    </row>
    <row r="6672" spans="13:13" x14ac:dyDescent="0.25">
      <c r="M6672" s="21"/>
    </row>
    <row r="6673" spans="13:13" x14ac:dyDescent="0.25">
      <c r="M6673" s="21"/>
    </row>
    <row r="6674" spans="13:13" x14ac:dyDescent="0.25">
      <c r="M6674" s="21"/>
    </row>
    <row r="6675" spans="13:13" x14ac:dyDescent="0.25">
      <c r="M6675" s="21"/>
    </row>
    <row r="6676" spans="13:13" x14ac:dyDescent="0.25">
      <c r="M6676" s="21"/>
    </row>
    <row r="6677" spans="13:13" x14ac:dyDescent="0.25">
      <c r="M6677" s="21"/>
    </row>
    <row r="6678" spans="13:13" x14ac:dyDescent="0.25">
      <c r="M6678" s="21"/>
    </row>
    <row r="6679" spans="13:13" x14ac:dyDescent="0.25">
      <c r="M6679" s="21"/>
    </row>
    <row r="6680" spans="13:13" x14ac:dyDescent="0.25">
      <c r="M6680" s="21"/>
    </row>
    <row r="6681" spans="13:13" x14ac:dyDescent="0.25">
      <c r="M6681" s="21"/>
    </row>
    <row r="6682" spans="13:13" x14ac:dyDescent="0.25">
      <c r="M6682" s="21"/>
    </row>
    <row r="6683" spans="13:13" x14ac:dyDescent="0.25">
      <c r="M6683" s="21"/>
    </row>
    <row r="6684" spans="13:13" x14ac:dyDescent="0.25">
      <c r="M6684" s="21"/>
    </row>
    <row r="6685" spans="13:13" x14ac:dyDescent="0.25">
      <c r="M6685" s="21"/>
    </row>
    <row r="6686" spans="13:13" x14ac:dyDescent="0.25">
      <c r="M6686" s="21"/>
    </row>
    <row r="6687" spans="13:13" x14ac:dyDescent="0.25">
      <c r="M6687" s="21"/>
    </row>
    <row r="6688" spans="13:13" x14ac:dyDescent="0.25">
      <c r="M6688" s="21"/>
    </row>
    <row r="6689" spans="13:13" x14ac:dyDescent="0.25">
      <c r="M6689" s="21"/>
    </row>
    <row r="6690" spans="13:13" x14ac:dyDescent="0.25">
      <c r="M6690" s="21"/>
    </row>
    <row r="6691" spans="13:13" x14ac:dyDescent="0.25">
      <c r="M6691" s="21"/>
    </row>
    <row r="6692" spans="13:13" x14ac:dyDescent="0.25">
      <c r="M6692" s="21"/>
    </row>
    <row r="6693" spans="13:13" x14ac:dyDescent="0.25">
      <c r="M6693" s="21"/>
    </row>
    <row r="6694" spans="13:13" x14ac:dyDescent="0.25">
      <c r="M6694" s="21"/>
    </row>
    <row r="6695" spans="13:13" x14ac:dyDescent="0.25">
      <c r="M6695" s="21"/>
    </row>
    <row r="6696" spans="13:13" x14ac:dyDescent="0.25">
      <c r="M6696" s="21"/>
    </row>
    <row r="6697" spans="13:13" x14ac:dyDescent="0.25">
      <c r="M6697" s="21"/>
    </row>
    <row r="6698" spans="13:13" x14ac:dyDescent="0.25">
      <c r="M6698" s="21"/>
    </row>
    <row r="6699" spans="13:13" x14ac:dyDescent="0.25">
      <c r="M6699" s="21"/>
    </row>
    <row r="6700" spans="13:13" x14ac:dyDescent="0.25">
      <c r="M6700" s="21"/>
    </row>
    <row r="6701" spans="13:13" x14ac:dyDescent="0.25">
      <c r="M6701" s="21"/>
    </row>
    <row r="6702" spans="13:13" x14ac:dyDescent="0.25">
      <c r="M6702" s="21"/>
    </row>
    <row r="6703" spans="13:13" x14ac:dyDescent="0.25">
      <c r="M6703" s="21"/>
    </row>
    <row r="6704" spans="13:13" x14ac:dyDescent="0.25">
      <c r="M6704" s="21"/>
    </row>
    <row r="6705" spans="13:13" x14ac:dyDescent="0.25">
      <c r="M6705" s="21"/>
    </row>
    <row r="6706" spans="13:13" x14ac:dyDescent="0.25">
      <c r="M6706" s="21"/>
    </row>
    <row r="6707" spans="13:13" x14ac:dyDescent="0.25">
      <c r="M6707" s="21"/>
    </row>
    <row r="6708" spans="13:13" x14ac:dyDescent="0.25">
      <c r="M6708" s="21"/>
    </row>
    <row r="6709" spans="13:13" x14ac:dyDescent="0.25">
      <c r="M6709" s="21"/>
    </row>
    <row r="6710" spans="13:13" x14ac:dyDescent="0.25">
      <c r="M6710" s="21"/>
    </row>
    <row r="6711" spans="13:13" x14ac:dyDescent="0.25">
      <c r="M6711" s="21"/>
    </row>
    <row r="6712" spans="13:13" x14ac:dyDescent="0.25">
      <c r="M6712" s="21"/>
    </row>
    <row r="6713" spans="13:13" x14ac:dyDescent="0.25">
      <c r="M6713" s="21"/>
    </row>
    <row r="6714" spans="13:13" x14ac:dyDescent="0.25">
      <c r="M6714" s="21"/>
    </row>
    <row r="6715" spans="13:13" x14ac:dyDescent="0.25">
      <c r="M6715" s="21"/>
    </row>
    <row r="6716" spans="13:13" x14ac:dyDescent="0.25">
      <c r="M6716" s="21"/>
    </row>
    <row r="6717" spans="13:13" x14ac:dyDescent="0.25">
      <c r="M6717" s="21"/>
    </row>
    <row r="6718" spans="13:13" x14ac:dyDescent="0.25">
      <c r="M6718" s="21"/>
    </row>
    <row r="6719" spans="13:13" x14ac:dyDescent="0.25">
      <c r="M6719" s="21"/>
    </row>
    <row r="6720" spans="13:13" x14ac:dyDescent="0.25">
      <c r="M6720" s="21"/>
    </row>
    <row r="6721" spans="13:13" x14ac:dyDescent="0.25">
      <c r="M6721" s="21"/>
    </row>
    <row r="6722" spans="13:13" x14ac:dyDescent="0.25">
      <c r="M6722" s="21"/>
    </row>
    <row r="6723" spans="13:13" x14ac:dyDescent="0.25">
      <c r="M6723" s="21"/>
    </row>
    <row r="6724" spans="13:13" x14ac:dyDescent="0.25">
      <c r="M6724" s="21"/>
    </row>
    <row r="6725" spans="13:13" x14ac:dyDescent="0.25">
      <c r="M6725" s="21"/>
    </row>
    <row r="6726" spans="13:13" x14ac:dyDescent="0.25">
      <c r="M6726" s="21"/>
    </row>
    <row r="6727" spans="13:13" x14ac:dyDescent="0.25">
      <c r="M6727" s="21"/>
    </row>
    <row r="6728" spans="13:13" x14ac:dyDescent="0.25">
      <c r="M6728" s="21"/>
    </row>
    <row r="6729" spans="13:13" x14ac:dyDescent="0.25">
      <c r="M6729" s="21"/>
    </row>
    <row r="6730" spans="13:13" x14ac:dyDescent="0.25">
      <c r="M6730" s="21"/>
    </row>
    <row r="6731" spans="13:13" x14ac:dyDescent="0.25">
      <c r="M6731" s="21"/>
    </row>
    <row r="6732" spans="13:13" x14ac:dyDescent="0.25">
      <c r="M6732" s="21"/>
    </row>
    <row r="6733" spans="13:13" x14ac:dyDescent="0.25">
      <c r="M6733" s="21"/>
    </row>
    <row r="6734" spans="13:13" x14ac:dyDescent="0.25">
      <c r="M6734" s="21"/>
    </row>
    <row r="6735" spans="13:13" x14ac:dyDescent="0.25">
      <c r="M6735" s="21"/>
    </row>
    <row r="6736" spans="13:13" x14ac:dyDescent="0.25">
      <c r="M6736" s="21"/>
    </row>
    <row r="6737" spans="13:13" x14ac:dyDescent="0.25">
      <c r="M6737" s="21"/>
    </row>
    <row r="6738" spans="13:13" x14ac:dyDescent="0.25">
      <c r="M6738" s="21"/>
    </row>
    <row r="6739" spans="13:13" x14ac:dyDescent="0.25">
      <c r="M6739" s="21"/>
    </row>
    <row r="6740" spans="13:13" x14ac:dyDescent="0.25">
      <c r="M6740" s="21"/>
    </row>
    <row r="6741" spans="13:13" x14ac:dyDescent="0.25">
      <c r="M6741" s="21"/>
    </row>
    <row r="6742" spans="13:13" x14ac:dyDescent="0.25">
      <c r="M6742" s="21"/>
    </row>
    <row r="6743" spans="13:13" x14ac:dyDescent="0.25">
      <c r="M6743" s="21"/>
    </row>
    <row r="6744" spans="13:13" x14ac:dyDescent="0.25">
      <c r="M6744" s="21"/>
    </row>
    <row r="6745" spans="13:13" x14ac:dyDescent="0.25">
      <c r="M6745" s="21"/>
    </row>
    <row r="6746" spans="13:13" x14ac:dyDescent="0.25">
      <c r="M6746" s="21"/>
    </row>
    <row r="6747" spans="13:13" x14ac:dyDescent="0.25">
      <c r="M6747" s="21"/>
    </row>
    <row r="6748" spans="13:13" x14ac:dyDescent="0.25">
      <c r="M6748" s="21"/>
    </row>
    <row r="6749" spans="13:13" x14ac:dyDescent="0.25">
      <c r="M6749" s="21"/>
    </row>
    <row r="6750" spans="13:13" x14ac:dyDescent="0.25">
      <c r="M6750" s="21"/>
    </row>
    <row r="6751" spans="13:13" x14ac:dyDescent="0.25">
      <c r="M6751" s="21"/>
    </row>
    <row r="6752" spans="13:13" x14ac:dyDescent="0.25">
      <c r="M6752" s="21"/>
    </row>
    <row r="6753" spans="13:13" x14ac:dyDescent="0.25">
      <c r="M6753" s="21"/>
    </row>
    <row r="6754" spans="13:13" x14ac:dyDescent="0.25">
      <c r="M6754" s="21"/>
    </row>
    <row r="6755" spans="13:13" x14ac:dyDescent="0.25">
      <c r="M6755" s="21"/>
    </row>
    <row r="6756" spans="13:13" x14ac:dyDescent="0.25">
      <c r="M6756" s="21"/>
    </row>
    <row r="6757" spans="13:13" x14ac:dyDescent="0.25">
      <c r="M6757" s="21"/>
    </row>
    <row r="6758" spans="13:13" x14ac:dyDescent="0.25">
      <c r="M6758" s="21"/>
    </row>
    <row r="6759" spans="13:13" x14ac:dyDescent="0.25">
      <c r="M6759" s="21"/>
    </row>
    <row r="6760" spans="13:13" x14ac:dyDescent="0.25">
      <c r="M6760" s="21"/>
    </row>
    <row r="6761" spans="13:13" x14ac:dyDescent="0.25">
      <c r="M6761" s="21"/>
    </row>
    <row r="6762" spans="13:13" x14ac:dyDescent="0.25">
      <c r="M6762" s="21"/>
    </row>
    <row r="6763" spans="13:13" x14ac:dyDescent="0.25">
      <c r="M6763" s="21"/>
    </row>
    <row r="6764" spans="13:13" x14ac:dyDescent="0.25">
      <c r="M6764" s="21"/>
    </row>
    <row r="6765" spans="13:13" x14ac:dyDescent="0.25">
      <c r="M6765" s="21"/>
    </row>
    <row r="6766" spans="13:13" x14ac:dyDescent="0.25">
      <c r="M6766" s="21"/>
    </row>
    <row r="6767" spans="13:13" x14ac:dyDescent="0.25">
      <c r="M6767" s="21"/>
    </row>
    <row r="6768" spans="13:13" x14ac:dyDescent="0.25">
      <c r="M6768" s="21"/>
    </row>
    <row r="6769" spans="13:13" x14ac:dyDescent="0.25">
      <c r="M6769" s="21"/>
    </row>
    <row r="6770" spans="13:13" x14ac:dyDescent="0.25">
      <c r="M6770" s="21"/>
    </row>
    <row r="6771" spans="13:13" x14ac:dyDescent="0.25">
      <c r="M6771" s="21"/>
    </row>
    <row r="6772" spans="13:13" x14ac:dyDescent="0.25">
      <c r="M6772" s="21"/>
    </row>
    <row r="6773" spans="13:13" x14ac:dyDescent="0.25">
      <c r="M6773" s="21"/>
    </row>
    <row r="6774" spans="13:13" x14ac:dyDescent="0.25">
      <c r="M6774" s="21"/>
    </row>
    <row r="6775" spans="13:13" x14ac:dyDescent="0.25">
      <c r="M6775" s="21"/>
    </row>
    <row r="6776" spans="13:13" x14ac:dyDescent="0.25">
      <c r="M6776" s="21"/>
    </row>
    <row r="6777" spans="13:13" x14ac:dyDescent="0.25">
      <c r="M6777" s="21"/>
    </row>
    <row r="6778" spans="13:13" x14ac:dyDescent="0.25">
      <c r="M6778" s="21"/>
    </row>
    <row r="6779" spans="13:13" x14ac:dyDescent="0.25">
      <c r="M6779" s="21"/>
    </row>
    <row r="6780" spans="13:13" x14ac:dyDescent="0.25">
      <c r="M6780" s="21"/>
    </row>
    <row r="6781" spans="13:13" x14ac:dyDescent="0.25">
      <c r="M6781" s="21"/>
    </row>
    <row r="6782" spans="13:13" x14ac:dyDescent="0.25">
      <c r="M6782" s="21"/>
    </row>
    <row r="6783" spans="13:13" x14ac:dyDescent="0.25">
      <c r="M6783" s="21"/>
    </row>
    <row r="6784" spans="13:13" x14ac:dyDescent="0.25">
      <c r="M6784" s="21"/>
    </row>
    <row r="6785" spans="13:13" x14ac:dyDescent="0.25">
      <c r="M6785" s="21"/>
    </row>
    <row r="6786" spans="13:13" x14ac:dyDescent="0.25">
      <c r="M6786" s="21"/>
    </row>
    <row r="6787" spans="13:13" x14ac:dyDescent="0.25">
      <c r="M6787" s="21"/>
    </row>
    <row r="6788" spans="13:13" x14ac:dyDescent="0.25">
      <c r="M6788" s="21"/>
    </row>
    <row r="6789" spans="13:13" x14ac:dyDescent="0.25">
      <c r="M6789" s="21"/>
    </row>
    <row r="6790" spans="13:13" x14ac:dyDescent="0.25">
      <c r="M6790" s="21"/>
    </row>
    <row r="6791" spans="13:13" x14ac:dyDescent="0.25">
      <c r="M6791" s="21"/>
    </row>
    <row r="6792" spans="13:13" x14ac:dyDescent="0.25">
      <c r="M6792" s="21"/>
    </row>
    <row r="6793" spans="13:13" x14ac:dyDescent="0.25">
      <c r="M6793" s="21"/>
    </row>
    <row r="6794" spans="13:13" x14ac:dyDescent="0.25">
      <c r="M6794" s="21"/>
    </row>
    <row r="6795" spans="13:13" x14ac:dyDescent="0.25">
      <c r="M6795" s="21"/>
    </row>
    <row r="6796" spans="13:13" x14ac:dyDescent="0.25">
      <c r="M6796" s="21"/>
    </row>
    <row r="6797" spans="13:13" x14ac:dyDescent="0.25">
      <c r="M6797" s="21"/>
    </row>
    <row r="6798" spans="13:13" x14ac:dyDescent="0.25">
      <c r="M6798" s="21"/>
    </row>
    <row r="6799" spans="13:13" x14ac:dyDescent="0.25">
      <c r="M6799" s="21"/>
    </row>
    <row r="6800" spans="13:13" x14ac:dyDescent="0.25">
      <c r="M6800" s="21"/>
    </row>
    <row r="6801" spans="13:13" x14ac:dyDescent="0.25">
      <c r="M6801" s="21"/>
    </row>
    <row r="6802" spans="13:13" x14ac:dyDescent="0.25">
      <c r="M6802" s="21"/>
    </row>
    <row r="6803" spans="13:13" x14ac:dyDescent="0.25">
      <c r="M6803" s="21"/>
    </row>
    <row r="6804" spans="13:13" x14ac:dyDescent="0.25">
      <c r="M6804" s="21"/>
    </row>
    <row r="6805" spans="13:13" x14ac:dyDescent="0.25">
      <c r="M6805" s="21"/>
    </row>
    <row r="6806" spans="13:13" x14ac:dyDescent="0.25">
      <c r="M6806" s="21"/>
    </row>
    <row r="6807" spans="13:13" x14ac:dyDescent="0.25">
      <c r="M6807" s="21"/>
    </row>
    <row r="6808" spans="13:13" x14ac:dyDescent="0.25">
      <c r="M6808" s="21"/>
    </row>
    <row r="6809" spans="13:13" x14ac:dyDescent="0.25">
      <c r="M6809" s="21"/>
    </row>
    <row r="6810" spans="13:13" x14ac:dyDescent="0.25">
      <c r="M6810" s="21"/>
    </row>
    <row r="6811" spans="13:13" x14ac:dyDescent="0.25">
      <c r="M6811" s="21"/>
    </row>
    <row r="6812" spans="13:13" x14ac:dyDescent="0.25">
      <c r="M6812" s="21"/>
    </row>
    <row r="6813" spans="13:13" x14ac:dyDescent="0.25">
      <c r="M6813" s="21"/>
    </row>
    <row r="6814" spans="13:13" x14ac:dyDescent="0.25">
      <c r="M6814" s="21"/>
    </row>
    <row r="6815" spans="13:13" x14ac:dyDescent="0.25">
      <c r="M6815" s="21"/>
    </row>
    <row r="6816" spans="13:13" x14ac:dyDescent="0.25">
      <c r="M6816" s="21"/>
    </row>
    <row r="6817" spans="13:13" x14ac:dyDescent="0.25">
      <c r="M6817" s="21"/>
    </row>
    <row r="6818" spans="13:13" x14ac:dyDescent="0.25">
      <c r="M6818" s="21"/>
    </row>
    <row r="6819" spans="13:13" x14ac:dyDescent="0.25">
      <c r="M6819" s="21"/>
    </row>
    <row r="6820" spans="13:13" x14ac:dyDescent="0.25">
      <c r="M6820" s="21"/>
    </row>
    <row r="6821" spans="13:13" x14ac:dyDescent="0.25">
      <c r="M6821" s="21"/>
    </row>
    <row r="6822" spans="13:13" x14ac:dyDescent="0.25">
      <c r="M6822" s="21"/>
    </row>
    <row r="6823" spans="13:13" x14ac:dyDescent="0.25">
      <c r="M6823" s="21"/>
    </row>
    <row r="6824" spans="13:13" x14ac:dyDescent="0.25">
      <c r="M6824" s="21"/>
    </row>
    <row r="6825" spans="13:13" x14ac:dyDescent="0.25">
      <c r="M6825" s="21"/>
    </row>
    <row r="6826" spans="13:13" x14ac:dyDescent="0.25">
      <c r="M6826" s="21"/>
    </row>
    <row r="6827" spans="13:13" x14ac:dyDescent="0.25">
      <c r="M6827" s="21"/>
    </row>
    <row r="6828" spans="13:13" x14ac:dyDescent="0.25">
      <c r="M6828" s="21"/>
    </row>
    <row r="6829" spans="13:13" x14ac:dyDescent="0.25">
      <c r="M6829" s="21"/>
    </row>
    <row r="6830" spans="13:13" x14ac:dyDescent="0.25">
      <c r="M6830" s="21"/>
    </row>
    <row r="6831" spans="13:13" x14ac:dyDescent="0.25">
      <c r="M6831" s="21"/>
    </row>
    <row r="6832" spans="13:13" x14ac:dyDescent="0.25">
      <c r="M6832" s="21"/>
    </row>
    <row r="6833" spans="13:13" x14ac:dyDescent="0.25">
      <c r="M6833" s="21"/>
    </row>
    <row r="6834" spans="13:13" x14ac:dyDescent="0.25">
      <c r="M6834" s="21"/>
    </row>
    <row r="6835" spans="13:13" x14ac:dyDescent="0.25">
      <c r="M6835" s="21"/>
    </row>
    <row r="6836" spans="13:13" x14ac:dyDescent="0.25">
      <c r="M6836" s="21"/>
    </row>
    <row r="6837" spans="13:13" x14ac:dyDescent="0.25">
      <c r="M6837" s="21"/>
    </row>
    <row r="6838" spans="13:13" x14ac:dyDescent="0.25">
      <c r="M6838" s="21"/>
    </row>
    <row r="6839" spans="13:13" x14ac:dyDescent="0.25">
      <c r="M6839" s="21"/>
    </row>
    <row r="6840" spans="13:13" x14ac:dyDescent="0.25">
      <c r="M6840" s="21"/>
    </row>
    <row r="6841" spans="13:13" x14ac:dyDescent="0.25">
      <c r="M6841" s="21"/>
    </row>
    <row r="6842" spans="13:13" x14ac:dyDescent="0.25">
      <c r="M6842" s="21"/>
    </row>
    <row r="6843" spans="13:13" x14ac:dyDescent="0.25">
      <c r="M6843" s="21"/>
    </row>
    <row r="6844" spans="13:13" x14ac:dyDescent="0.25">
      <c r="M6844" s="21"/>
    </row>
    <row r="6845" spans="13:13" x14ac:dyDescent="0.25">
      <c r="M6845" s="21"/>
    </row>
    <row r="6846" spans="13:13" x14ac:dyDescent="0.25">
      <c r="M6846" s="21"/>
    </row>
    <row r="6847" spans="13:13" x14ac:dyDescent="0.25">
      <c r="M6847" s="21"/>
    </row>
    <row r="6848" spans="13:13" x14ac:dyDescent="0.25">
      <c r="M6848" s="21"/>
    </row>
    <row r="6849" spans="13:13" x14ac:dyDescent="0.25">
      <c r="M6849" s="21"/>
    </row>
    <row r="6850" spans="13:13" x14ac:dyDescent="0.25">
      <c r="M6850" s="21"/>
    </row>
    <row r="6851" spans="13:13" x14ac:dyDescent="0.25">
      <c r="M6851" s="21"/>
    </row>
    <row r="6852" spans="13:13" x14ac:dyDescent="0.25">
      <c r="M6852" s="21"/>
    </row>
    <row r="6853" spans="13:13" x14ac:dyDescent="0.25">
      <c r="M6853" s="21"/>
    </row>
    <row r="6854" spans="13:13" x14ac:dyDescent="0.25">
      <c r="M6854" s="21"/>
    </row>
    <row r="6855" spans="13:13" x14ac:dyDescent="0.25">
      <c r="M6855" s="21"/>
    </row>
    <row r="6856" spans="13:13" x14ac:dyDescent="0.25">
      <c r="M6856" s="21"/>
    </row>
    <row r="6857" spans="13:13" x14ac:dyDescent="0.25">
      <c r="M6857" s="21"/>
    </row>
    <row r="6858" spans="13:13" x14ac:dyDescent="0.25">
      <c r="M6858" s="21"/>
    </row>
    <row r="6859" spans="13:13" x14ac:dyDescent="0.25">
      <c r="M6859" s="21"/>
    </row>
    <row r="6860" spans="13:13" x14ac:dyDescent="0.25">
      <c r="M6860" s="21"/>
    </row>
    <row r="6861" spans="13:13" x14ac:dyDescent="0.25">
      <c r="M6861" s="21"/>
    </row>
    <row r="6862" spans="13:13" x14ac:dyDescent="0.25">
      <c r="M6862" s="21"/>
    </row>
    <row r="6863" spans="13:13" x14ac:dyDescent="0.25">
      <c r="M6863" s="21"/>
    </row>
    <row r="6864" spans="13:13" x14ac:dyDescent="0.25">
      <c r="M6864" s="21"/>
    </row>
    <row r="6865" spans="13:13" x14ac:dyDescent="0.25">
      <c r="M6865" s="21"/>
    </row>
    <row r="6866" spans="13:13" x14ac:dyDescent="0.25">
      <c r="M6866" s="21"/>
    </row>
    <row r="6867" spans="13:13" x14ac:dyDescent="0.25">
      <c r="M6867" s="21"/>
    </row>
    <row r="6868" spans="13:13" x14ac:dyDescent="0.25">
      <c r="M6868" s="21"/>
    </row>
    <row r="6869" spans="13:13" x14ac:dyDescent="0.25">
      <c r="M6869" s="21"/>
    </row>
    <row r="6870" spans="13:13" x14ac:dyDescent="0.25">
      <c r="M6870" s="21"/>
    </row>
    <row r="6871" spans="13:13" x14ac:dyDescent="0.25">
      <c r="M6871" s="21"/>
    </row>
    <row r="6872" spans="13:13" x14ac:dyDescent="0.25">
      <c r="M6872" s="21"/>
    </row>
    <row r="6873" spans="13:13" x14ac:dyDescent="0.25">
      <c r="M6873" s="21"/>
    </row>
    <row r="6874" spans="13:13" x14ac:dyDescent="0.25">
      <c r="M6874" s="21"/>
    </row>
    <row r="6875" spans="13:13" x14ac:dyDescent="0.25">
      <c r="M6875" s="21"/>
    </row>
    <row r="6876" spans="13:13" x14ac:dyDescent="0.25">
      <c r="M6876" s="21"/>
    </row>
    <row r="6877" spans="13:13" x14ac:dyDescent="0.25">
      <c r="M6877" s="21"/>
    </row>
    <row r="6878" spans="13:13" x14ac:dyDescent="0.25">
      <c r="M6878" s="21"/>
    </row>
    <row r="6879" spans="13:13" x14ac:dyDescent="0.25">
      <c r="M6879" s="21"/>
    </row>
    <row r="6880" spans="13:13" x14ac:dyDescent="0.25">
      <c r="M6880" s="21"/>
    </row>
    <row r="6881" spans="13:13" x14ac:dyDescent="0.25">
      <c r="M6881" s="21"/>
    </row>
    <row r="6882" spans="13:13" x14ac:dyDescent="0.25">
      <c r="M6882" s="21"/>
    </row>
    <row r="6883" spans="13:13" x14ac:dyDescent="0.25">
      <c r="M6883" s="21"/>
    </row>
    <row r="6884" spans="13:13" x14ac:dyDescent="0.25">
      <c r="M6884" s="21"/>
    </row>
    <row r="6885" spans="13:13" x14ac:dyDescent="0.25">
      <c r="M6885" s="21"/>
    </row>
    <row r="6886" spans="13:13" x14ac:dyDescent="0.25">
      <c r="M6886" s="21"/>
    </row>
    <row r="6887" spans="13:13" x14ac:dyDescent="0.25">
      <c r="M6887" s="21"/>
    </row>
    <row r="6888" spans="13:13" x14ac:dyDescent="0.25">
      <c r="M6888" s="21"/>
    </row>
    <row r="6889" spans="13:13" x14ac:dyDescent="0.25">
      <c r="M6889" s="21"/>
    </row>
    <row r="6890" spans="13:13" x14ac:dyDescent="0.25">
      <c r="M6890" s="21"/>
    </row>
    <row r="6891" spans="13:13" x14ac:dyDescent="0.25">
      <c r="M6891" s="21"/>
    </row>
    <row r="6892" spans="13:13" x14ac:dyDescent="0.25">
      <c r="M6892" s="21"/>
    </row>
    <row r="6893" spans="13:13" x14ac:dyDescent="0.25">
      <c r="M6893" s="21"/>
    </row>
    <row r="6894" spans="13:13" x14ac:dyDescent="0.25">
      <c r="M6894" s="21"/>
    </row>
    <row r="6895" spans="13:13" x14ac:dyDescent="0.25">
      <c r="M6895" s="21"/>
    </row>
    <row r="6896" spans="13:13" x14ac:dyDescent="0.25">
      <c r="M6896" s="21"/>
    </row>
    <row r="6897" spans="13:13" x14ac:dyDescent="0.25">
      <c r="M6897" s="21"/>
    </row>
    <row r="6898" spans="13:13" x14ac:dyDescent="0.25">
      <c r="M6898" s="21"/>
    </row>
    <row r="6899" spans="13:13" x14ac:dyDescent="0.25">
      <c r="M6899" s="21"/>
    </row>
    <row r="6900" spans="13:13" x14ac:dyDescent="0.25">
      <c r="M6900" s="21"/>
    </row>
    <row r="6901" spans="13:13" x14ac:dyDescent="0.25">
      <c r="M6901" s="21"/>
    </row>
    <row r="6902" spans="13:13" x14ac:dyDescent="0.25">
      <c r="M6902" s="21"/>
    </row>
    <row r="6903" spans="13:13" x14ac:dyDescent="0.25">
      <c r="M6903" s="21"/>
    </row>
    <row r="6904" spans="13:13" x14ac:dyDescent="0.25">
      <c r="M6904" s="21"/>
    </row>
    <row r="6905" spans="13:13" x14ac:dyDescent="0.25">
      <c r="M6905" s="21"/>
    </row>
    <row r="6906" spans="13:13" x14ac:dyDescent="0.25">
      <c r="M6906" s="21"/>
    </row>
    <row r="6907" spans="13:13" x14ac:dyDescent="0.25">
      <c r="M6907" s="21"/>
    </row>
    <row r="6908" spans="13:13" x14ac:dyDescent="0.25">
      <c r="M6908" s="21"/>
    </row>
    <row r="6909" spans="13:13" x14ac:dyDescent="0.25">
      <c r="M6909" s="21"/>
    </row>
    <row r="6910" spans="13:13" x14ac:dyDescent="0.25">
      <c r="M6910" s="21"/>
    </row>
    <row r="6911" spans="13:13" x14ac:dyDescent="0.25">
      <c r="M6911" s="21"/>
    </row>
    <row r="6912" spans="13:13" x14ac:dyDescent="0.25">
      <c r="M6912" s="21"/>
    </row>
    <row r="6913" spans="13:13" x14ac:dyDescent="0.25">
      <c r="M6913" s="21"/>
    </row>
    <row r="6914" spans="13:13" x14ac:dyDescent="0.25">
      <c r="M6914" s="21"/>
    </row>
    <row r="6915" spans="13:13" x14ac:dyDescent="0.25">
      <c r="M6915" s="21"/>
    </row>
    <row r="6916" spans="13:13" x14ac:dyDescent="0.25">
      <c r="M6916" s="21"/>
    </row>
    <row r="6917" spans="13:13" x14ac:dyDescent="0.25">
      <c r="M6917" s="21"/>
    </row>
    <row r="6918" spans="13:13" x14ac:dyDescent="0.25">
      <c r="M6918" s="21"/>
    </row>
    <row r="6919" spans="13:13" x14ac:dyDescent="0.25">
      <c r="M6919" s="21"/>
    </row>
    <row r="6920" spans="13:13" x14ac:dyDescent="0.25">
      <c r="M6920" s="21"/>
    </row>
    <row r="6921" spans="13:13" x14ac:dyDescent="0.25">
      <c r="M6921" s="21"/>
    </row>
    <row r="6922" spans="13:13" x14ac:dyDescent="0.25">
      <c r="M6922" s="21"/>
    </row>
    <row r="6923" spans="13:13" x14ac:dyDescent="0.25">
      <c r="M6923" s="21"/>
    </row>
    <row r="6924" spans="13:13" x14ac:dyDescent="0.25">
      <c r="M6924" s="21"/>
    </row>
    <row r="6925" spans="13:13" x14ac:dyDescent="0.25">
      <c r="M6925" s="21"/>
    </row>
    <row r="6926" spans="13:13" x14ac:dyDescent="0.25">
      <c r="M6926" s="21"/>
    </row>
    <row r="6927" spans="13:13" x14ac:dyDescent="0.25">
      <c r="M6927" s="21"/>
    </row>
    <row r="6928" spans="13:13" x14ac:dyDescent="0.25">
      <c r="M6928" s="21"/>
    </row>
    <row r="6929" spans="13:13" x14ac:dyDescent="0.25">
      <c r="M6929" s="21"/>
    </row>
    <row r="6930" spans="13:13" x14ac:dyDescent="0.25">
      <c r="M6930" s="21"/>
    </row>
    <row r="6931" spans="13:13" x14ac:dyDescent="0.25">
      <c r="M6931" s="21"/>
    </row>
    <row r="6932" spans="13:13" x14ac:dyDescent="0.25">
      <c r="M6932" s="21"/>
    </row>
    <row r="6933" spans="13:13" x14ac:dyDescent="0.25">
      <c r="M6933" s="21"/>
    </row>
    <row r="6934" spans="13:13" x14ac:dyDescent="0.25">
      <c r="M6934" s="21"/>
    </row>
    <row r="6935" spans="13:13" x14ac:dyDescent="0.25">
      <c r="M6935" s="21"/>
    </row>
    <row r="6936" spans="13:13" x14ac:dyDescent="0.25">
      <c r="M6936" s="21"/>
    </row>
    <row r="6937" spans="13:13" x14ac:dyDescent="0.25">
      <c r="M6937" s="21"/>
    </row>
    <row r="6938" spans="13:13" x14ac:dyDescent="0.25">
      <c r="M6938" s="21"/>
    </row>
    <row r="6939" spans="13:13" x14ac:dyDescent="0.25">
      <c r="M6939" s="21"/>
    </row>
    <row r="6940" spans="13:13" x14ac:dyDescent="0.25">
      <c r="M6940" s="21"/>
    </row>
    <row r="6941" spans="13:13" x14ac:dyDescent="0.25">
      <c r="M6941" s="21"/>
    </row>
    <row r="6942" spans="13:13" x14ac:dyDescent="0.25">
      <c r="M6942" s="21"/>
    </row>
    <row r="6943" spans="13:13" x14ac:dyDescent="0.25">
      <c r="M6943" s="21"/>
    </row>
    <row r="6944" spans="13:13" x14ac:dyDescent="0.25">
      <c r="M6944" s="21"/>
    </row>
    <row r="6945" spans="13:13" x14ac:dyDescent="0.25">
      <c r="M6945" s="21"/>
    </row>
    <row r="6946" spans="13:13" x14ac:dyDescent="0.25">
      <c r="M6946" s="21"/>
    </row>
    <row r="6947" spans="13:13" x14ac:dyDescent="0.25">
      <c r="M6947" s="21"/>
    </row>
    <row r="6948" spans="13:13" x14ac:dyDescent="0.25">
      <c r="M6948" s="21"/>
    </row>
    <row r="6949" spans="13:13" x14ac:dyDescent="0.25">
      <c r="M6949" s="21"/>
    </row>
    <row r="6950" spans="13:13" x14ac:dyDescent="0.25">
      <c r="M6950" s="21"/>
    </row>
    <row r="6951" spans="13:13" x14ac:dyDescent="0.25">
      <c r="M6951" s="21"/>
    </row>
    <row r="6952" spans="13:13" x14ac:dyDescent="0.25">
      <c r="M6952" s="21"/>
    </row>
    <row r="6953" spans="13:13" x14ac:dyDescent="0.25">
      <c r="M6953" s="21"/>
    </row>
    <row r="6954" spans="13:13" x14ac:dyDescent="0.25">
      <c r="M6954" s="21"/>
    </row>
    <row r="6955" spans="13:13" x14ac:dyDescent="0.25">
      <c r="M6955" s="21"/>
    </row>
    <row r="6956" spans="13:13" x14ac:dyDescent="0.25">
      <c r="M6956" s="21"/>
    </row>
    <row r="6957" spans="13:13" x14ac:dyDescent="0.25">
      <c r="M6957" s="21"/>
    </row>
    <row r="6958" spans="13:13" x14ac:dyDescent="0.25">
      <c r="M6958" s="21"/>
    </row>
    <row r="6959" spans="13:13" x14ac:dyDescent="0.25">
      <c r="M6959" s="21"/>
    </row>
    <row r="6960" spans="13:13" x14ac:dyDescent="0.25">
      <c r="M6960" s="21"/>
    </row>
    <row r="6961" spans="13:13" x14ac:dyDescent="0.25">
      <c r="M6961" s="21"/>
    </row>
    <row r="6962" spans="13:13" x14ac:dyDescent="0.25">
      <c r="M6962" s="21"/>
    </row>
    <row r="6963" spans="13:13" x14ac:dyDescent="0.25">
      <c r="M6963" s="21"/>
    </row>
    <row r="6964" spans="13:13" x14ac:dyDescent="0.25">
      <c r="M6964" s="21"/>
    </row>
    <row r="6965" spans="13:13" x14ac:dyDescent="0.25">
      <c r="M6965" s="21"/>
    </row>
    <row r="6966" spans="13:13" x14ac:dyDescent="0.25">
      <c r="M6966" s="21"/>
    </row>
    <row r="6967" spans="13:13" x14ac:dyDescent="0.25">
      <c r="M6967" s="21"/>
    </row>
    <row r="6968" spans="13:13" x14ac:dyDescent="0.25">
      <c r="M6968" s="21"/>
    </row>
    <row r="6969" spans="13:13" x14ac:dyDescent="0.25">
      <c r="M6969" s="21"/>
    </row>
    <row r="6970" spans="13:13" x14ac:dyDescent="0.25">
      <c r="M6970" s="21"/>
    </row>
    <row r="6971" spans="13:13" x14ac:dyDescent="0.25">
      <c r="M6971" s="21"/>
    </row>
    <row r="6972" spans="13:13" x14ac:dyDescent="0.25">
      <c r="M6972" s="21"/>
    </row>
    <row r="6973" spans="13:13" x14ac:dyDescent="0.25">
      <c r="M6973" s="21"/>
    </row>
    <row r="6974" spans="13:13" x14ac:dyDescent="0.25">
      <c r="M6974" s="21"/>
    </row>
    <row r="6975" spans="13:13" x14ac:dyDescent="0.25">
      <c r="M6975" s="21"/>
    </row>
    <row r="6976" spans="13:13" x14ac:dyDescent="0.25">
      <c r="M6976" s="21"/>
    </row>
    <row r="6977" spans="13:13" x14ac:dyDescent="0.25">
      <c r="M6977" s="21"/>
    </row>
    <row r="6978" spans="13:13" x14ac:dyDescent="0.25">
      <c r="M6978" s="21"/>
    </row>
    <row r="6979" spans="13:13" x14ac:dyDescent="0.25">
      <c r="M6979" s="21"/>
    </row>
    <row r="6980" spans="13:13" x14ac:dyDescent="0.25">
      <c r="M6980" s="21"/>
    </row>
    <row r="6981" spans="13:13" x14ac:dyDescent="0.25">
      <c r="M6981" s="21"/>
    </row>
    <row r="6982" spans="13:13" x14ac:dyDescent="0.25">
      <c r="M6982" s="21"/>
    </row>
    <row r="6983" spans="13:13" x14ac:dyDescent="0.25">
      <c r="M6983" s="21"/>
    </row>
    <row r="6984" spans="13:13" x14ac:dyDescent="0.25">
      <c r="M6984" s="21"/>
    </row>
    <row r="6985" spans="13:13" x14ac:dyDescent="0.25">
      <c r="M6985" s="21"/>
    </row>
    <row r="6986" spans="13:13" x14ac:dyDescent="0.25">
      <c r="M6986" s="21"/>
    </row>
    <row r="6987" spans="13:13" x14ac:dyDescent="0.25">
      <c r="M6987" s="21"/>
    </row>
    <row r="6988" spans="13:13" x14ac:dyDescent="0.25">
      <c r="M6988" s="21"/>
    </row>
    <row r="6989" spans="13:13" x14ac:dyDescent="0.25">
      <c r="M6989" s="21"/>
    </row>
    <row r="6990" spans="13:13" x14ac:dyDescent="0.25">
      <c r="M6990" s="21"/>
    </row>
    <row r="6991" spans="13:13" x14ac:dyDescent="0.25">
      <c r="M6991" s="21"/>
    </row>
    <row r="6992" spans="13:13" x14ac:dyDescent="0.25">
      <c r="M6992" s="21"/>
    </row>
    <row r="6993" spans="13:13" x14ac:dyDescent="0.25">
      <c r="M6993" s="21"/>
    </row>
    <row r="6994" spans="13:13" x14ac:dyDescent="0.25">
      <c r="M6994" s="21"/>
    </row>
    <row r="6995" spans="13:13" x14ac:dyDescent="0.25">
      <c r="M6995" s="21"/>
    </row>
    <row r="6996" spans="13:13" x14ac:dyDescent="0.25">
      <c r="M6996" s="21"/>
    </row>
    <row r="6997" spans="13:13" x14ac:dyDescent="0.25">
      <c r="M6997" s="21"/>
    </row>
    <row r="6998" spans="13:13" x14ac:dyDescent="0.25">
      <c r="M6998" s="21"/>
    </row>
    <row r="6999" spans="13:13" x14ac:dyDescent="0.25">
      <c r="M6999" s="21"/>
    </row>
    <row r="7000" spans="13:13" x14ac:dyDescent="0.25">
      <c r="M7000" s="21"/>
    </row>
    <row r="7001" spans="13:13" x14ac:dyDescent="0.25">
      <c r="M7001" s="21"/>
    </row>
    <row r="7002" spans="13:13" x14ac:dyDescent="0.25">
      <c r="M7002" s="21"/>
    </row>
    <row r="7003" spans="13:13" x14ac:dyDescent="0.25">
      <c r="M7003" s="21"/>
    </row>
    <row r="7004" spans="13:13" x14ac:dyDescent="0.25">
      <c r="M7004" s="21"/>
    </row>
    <row r="7005" spans="13:13" x14ac:dyDescent="0.25">
      <c r="M7005" s="21"/>
    </row>
    <row r="7006" spans="13:13" x14ac:dyDescent="0.25">
      <c r="M7006" s="21"/>
    </row>
    <row r="7007" spans="13:13" x14ac:dyDescent="0.25">
      <c r="M7007" s="21"/>
    </row>
    <row r="7008" spans="13:13" x14ac:dyDescent="0.25">
      <c r="M7008" s="21"/>
    </row>
    <row r="7009" spans="13:13" x14ac:dyDescent="0.25">
      <c r="M7009" s="21"/>
    </row>
    <row r="7010" spans="13:13" x14ac:dyDescent="0.25">
      <c r="M7010" s="21"/>
    </row>
    <row r="7011" spans="13:13" x14ac:dyDescent="0.25">
      <c r="M7011" s="21"/>
    </row>
    <row r="7012" spans="13:13" x14ac:dyDescent="0.25">
      <c r="M7012" s="21"/>
    </row>
    <row r="7013" spans="13:13" x14ac:dyDescent="0.25">
      <c r="M7013" s="21"/>
    </row>
    <row r="7014" spans="13:13" x14ac:dyDescent="0.25">
      <c r="M7014" s="21"/>
    </row>
    <row r="7015" spans="13:13" x14ac:dyDescent="0.25">
      <c r="M7015" s="21"/>
    </row>
    <row r="7016" spans="13:13" x14ac:dyDescent="0.25">
      <c r="M7016" s="21"/>
    </row>
    <row r="7017" spans="13:13" x14ac:dyDescent="0.25">
      <c r="M7017" s="21"/>
    </row>
    <row r="7018" spans="13:13" x14ac:dyDescent="0.25">
      <c r="M7018" s="21"/>
    </row>
    <row r="7019" spans="13:13" x14ac:dyDescent="0.25">
      <c r="M7019" s="21"/>
    </row>
    <row r="7020" spans="13:13" x14ac:dyDescent="0.25">
      <c r="M7020" s="21"/>
    </row>
    <row r="7021" spans="13:13" x14ac:dyDescent="0.25">
      <c r="M7021" s="21"/>
    </row>
    <row r="7022" spans="13:13" x14ac:dyDescent="0.25">
      <c r="M7022" s="21"/>
    </row>
    <row r="7023" spans="13:13" x14ac:dyDescent="0.25">
      <c r="M7023" s="21"/>
    </row>
    <row r="7024" spans="13:13" x14ac:dyDescent="0.25">
      <c r="M7024" s="21"/>
    </row>
    <row r="7025" spans="13:13" x14ac:dyDescent="0.25">
      <c r="M7025" s="21"/>
    </row>
    <row r="7026" spans="13:13" x14ac:dyDescent="0.25">
      <c r="M7026" s="21"/>
    </row>
    <row r="7027" spans="13:13" x14ac:dyDescent="0.25">
      <c r="M7027" s="21"/>
    </row>
    <row r="7028" spans="13:13" x14ac:dyDescent="0.25">
      <c r="M7028" s="21"/>
    </row>
    <row r="7029" spans="13:13" x14ac:dyDescent="0.25">
      <c r="M7029" s="21"/>
    </row>
    <row r="7030" spans="13:13" x14ac:dyDescent="0.25">
      <c r="M7030" s="21"/>
    </row>
    <row r="7031" spans="13:13" x14ac:dyDescent="0.25">
      <c r="M7031" s="21"/>
    </row>
    <row r="7032" spans="13:13" x14ac:dyDescent="0.25">
      <c r="M7032" s="21"/>
    </row>
    <row r="7033" spans="13:13" x14ac:dyDescent="0.25">
      <c r="M7033" s="21"/>
    </row>
    <row r="7034" spans="13:13" x14ac:dyDescent="0.25">
      <c r="M7034" s="21"/>
    </row>
    <row r="7035" spans="13:13" x14ac:dyDescent="0.25">
      <c r="M7035" s="21"/>
    </row>
    <row r="7036" spans="13:13" x14ac:dyDescent="0.25">
      <c r="M7036" s="21"/>
    </row>
    <row r="7037" spans="13:13" x14ac:dyDescent="0.25">
      <c r="M7037" s="21"/>
    </row>
    <row r="7038" spans="13:13" x14ac:dyDescent="0.25">
      <c r="M7038" s="21"/>
    </row>
    <row r="7039" spans="13:13" x14ac:dyDescent="0.25">
      <c r="M7039" s="21"/>
    </row>
    <row r="7040" spans="13:13" x14ac:dyDescent="0.25">
      <c r="M7040" s="21"/>
    </row>
    <row r="7041" spans="13:13" x14ac:dyDescent="0.25">
      <c r="M7041" s="21"/>
    </row>
    <row r="7042" spans="13:13" x14ac:dyDescent="0.25">
      <c r="M7042" s="21"/>
    </row>
    <row r="7043" spans="13:13" x14ac:dyDescent="0.25">
      <c r="M7043" s="21"/>
    </row>
    <row r="7044" spans="13:13" x14ac:dyDescent="0.25">
      <c r="M7044" s="21"/>
    </row>
    <row r="7045" spans="13:13" x14ac:dyDescent="0.25">
      <c r="M7045" s="21"/>
    </row>
    <row r="7046" spans="13:13" x14ac:dyDescent="0.25">
      <c r="M7046" s="21"/>
    </row>
    <row r="7047" spans="13:13" x14ac:dyDescent="0.25">
      <c r="M7047" s="21"/>
    </row>
    <row r="7048" spans="13:13" x14ac:dyDescent="0.25">
      <c r="M7048" s="21"/>
    </row>
    <row r="7049" spans="13:13" x14ac:dyDescent="0.25">
      <c r="M7049" s="21"/>
    </row>
    <row r="7050" spans="13:13" x14ac:dyDescent="0.25">
      <c r="M7050" s="21"/>
    </row>
    <row r="7051" spans="13:13" x14ac:dyDescent="0.25">
      <c r="M7051" s="21"/>
    </row>
    <row r="7052" spans="13:13" x14ac:dyDescent="0.25">
      <c r="M7052" s="21"/>
    </row>
    <row r="7053" spans="13:13" x14ac:dyDescent="0.25">
      <c r="M7053" s="21"/>
    </row>
    <row r="7054" spans="13:13" x14ac:dyDescent="0.25">
      <c r="M7054" s="21"/>
    </row>
    <row r="7055" spans="13:13" x14ac:dyDescent="0.25">
      <c r="M7055" s="21"/>
    </row>
    <row r="7056" spans="13:13" x14ac:dyDescent="0.25">
      <c r="M7056" s="21"/>
    </row>
    <row r="7057" spans="13:13" x14ac:dyDescent="0.25">
      <c r="M7057" s="21"/>
    </row>
    <row r="7058" spans="13:13" x14ac:dyDescent="0.25">
      <c r="M7058" s="21"/>
    </row>
    <row r="7059" spans="13:13" x14ac:dyDescent="0.25">
      <c r="M7059" s="21"/>
    </row>
    <row r="7060" spans="13:13" x14ac:dyDescent="0.25">
      <c r="M7060" s="21"/>
    </row>
    <row r="7061" spans="13:13" x14ac:dyDescent="0.25">
      <c r="M7061" s="21"/>
    </row>
    <row r="7062" spans="13:13" x14ac:dyDescent="0.25">
      <c r="M7062" s="21"/>
    </row>
    <row r="7063" spans="13:13" x14ac:dyDescent="0.25">
      <c r="M7063" s="21"/>
    </row>
    <row r="7064" spans="13:13" x14ac:dyDescent="0.25">
      <c r="M7064" s="21"/>
    </row>
    <row r="7065" spans="13:13" x14ac:dyDescent="0.25">
      <c r="M7065" s="21"/>
    </row>
    <row r="7066" spans="13:13" x14ac:dyDescent="0.25">
      <c r="M7066" s="21"/>
    </row>
    <row r="7067" spans="13:13" x14ac:dyDescent="0.25">
      <c r="M7067" s="21"/>
    </row>
    <row r="7068" spans="13:13" x14ac:dyDescent="0.25">
      <c r="M7068" s="21"/>
    </row>
    <row r="7069" spans="13:13" x14ac:dyDescent="0.25">
      <c r="M7069" s="21"/>
    </row>
    <row r="7070" spans="13:13" x14ac:dyDescent="0.25">
      <c r="M7070" s="21"/>
    </row>
    <row r="7071" spans="13:13" x14ac:dyDescent="0.25">
      <c r="M7071" s="21"/>
    </row>
    <row r="7072" spans="13:13" x14ac:dyDescent="0.25">
      <c r="M7072" s="21"/>
    </row>
    <row r="7073" spans="13:13" x14ac:dyDescent="0.25">
      <c r="M7073" s="21"/>
    </row>
    <row r="7074" spans="13:13" x14ac:dyDescent="0.25">
      <c r="M7074" s="21"/>
    </row>
    <row r="7075" spans="13:13" x14ac:dyDescent="0.25">
      <c r="M7075" s="21"/>
    </row>
    <row r="7076" spans="13:13" x14ac:dyDescent="0.25">
      <c r="M7076" s="21"/>
    </row>
    <row r="7077" spans="13:13" x14ac:dyDescent="0.25">
      <c r="M7077" s="21"/>
    </row>
    <row r="7078" spans="13:13" x14ac:dyDescent="0.25">
      <c r="M7078" s="21"/>
    </row>
    <row r="7079" spans="13:13" x14ac:dyDescent="0.25">
      <c r="M7079" s="21"/>
    </row>
    <row r="7080" spans="13:13" x14ac:dyDescent="0.25">
      <c r="M7080" s="21"/>
    </row>
    <row r="7081" spans="13:13" x14ac:dyDescent="0.25">
      <c r="M7081" s="21"/>
    </row>
    <row r="7082" spans="13:13" x14ac:dyDescent="0.25">
      <c r="M7082" s="21"/>
    </row>
    <row r="7083" spans="13:13" x14ac:dyDescent="0.25">
      <c r="M7083" s="21"/>
    </row>
    <row r="7084" spans="13:13" x14ac:dyDescent="0.25">
      <c r="M7084" s="21"/>
    </row>
    <row r="7085" spans="13:13" x14ac:dyDescent="0.25">
      <c r="M7085" s="21"/>
    </row>
    <row r="7086" spans="13:13" x14ac:dyDescent="0.25">
      <c r="M7086" s="21"/>
    </row>
    <row r="7087" spans="13:13" x14ac:dyDescent="0.25">
      <c r="M7087" s="21"/>
    </row>
    <row r="7088" spans="13:13" x14ac:dyDescent="0.25">
      <c r="M7088" s="21"/>
    </row>
    <row r="7089" spans="13:13" x14ac:dyDescent="0.25">
      <c r="M7089" s="21"/>
    </row>
    <row r="7090" spans="13:13" x14ac:dyDescent="0.25">
      <c r="M7090" s="21"/>
    </row>
    <row r="7091" spans="13:13" x14ac:dyDescent="0.25">
      <c r="M7091" s="21"/>
    </row>
    <row r="7092" spans="13:13" x14ac:dyDescent="0.25">
      <c r="M7092" s="21"/>
    </row>
    <row r="7093" spans="13:13" x14ac:dyDescent="0.25">
      <c r="M7093" s="21"/>
    </row>
    <row r="7094" spans="13:13" x14ac:dyDescent="0.25">
      <c r="M7094" s="21"/>
    </row>
    <row r="7095" spans="13:13" x14ac:dyDescent="0.25">
      <c r="M7095" s="21"/>
    </row>
    <row r="7096" spans="13:13" x14ac:dyDescent="0.25">
      <c r="M7096" s="21"/>
    </row>
    <row r="7097" spans="13:13" x14ac:dyDescent="0.25">
      <c r="M7097" s="21"/>
    </row>
    <row r="7098" spans="13:13" x14ac:dyDescent="0.25">
      <c r="M7098" s="21"/>
    </row>
    <row r="7099" spans="13:13" x14ac:dyDescent="0.25">
      <c r="M7099" s="21"/>
    </row>
    <row r="7100" spans="13:13" x14ac:dyDescent="0.25">
      <c r="M7100" s="21"/>
    </row>
    <row r="7101" spans="13:13" x14ac:dyDescent="0.25">
      <c r="M7101" s="21"/>
    </row>
    <row r="7102" spans="13:13" x14ac:dyDescent="0.25">
      <c r="M7102" s="21"/>
    </row>
    <row r="7103" spans="13:13" x14ac:dyDescent="0.25">
      <c r="M7103" s="21"/>
    </row>
    <row r="7104" spans="13:13" x14ac:dyDescent="0.25">
      <c r="M7104" s="21"/>
    </row>
    <row r="7105" spans="13:13" x14ac:dyDescent="0.25">
      <c r="M7105" s="21"/>
    </row>
    <row r="7106" spans="13:13" x14ac:dyDescent="0.25">
      <c r="M7106" s="21"/>
    </row>
    <row r="7107" spans="13:13" x14ac:dyDescent="0.25">
      <c r="M7107" s="21"/>
    </row>
    <row r="7108" spans="13:13" x14ac:dyDescent="0.25">
      <c r="M7108" s="21"/>
    </row>
    <row r="7109" spans="13:13" x14ac:dyDescent="0.25">
      <c r="M7109" s="21"/>
    </row>
    <row r="7110" spans="13:13" x14ac:dyDescent="0.25">
      <c r="M7110" s="21"/>
    </row>
    <row r="7111" spans="13:13" x14ac:dyDescent="0.25">
      <c r="M7111" s="21"/>
    </row>
    <row r="7112" spans="13:13" x14ac:dyDescent="0.25">
      <c r="M7112" s="21"/>
    </row>
    <row r="7113" spans="13:13" x14ac:dyDescent="0.25">
      <c r="M7113" s="21"/>
    </row>
    <row r="7114" spans="13:13" x14ac:dyDescent="0.25">
      <c r="M7114" s="21"/>
    </row>
    <row r="7115" spans="13:13" x14ac:dyDescent="0.25">
      <c r="M7115" s="21"/>
    </row>
    <row r="7116" spans="13:13" x14ac:dyDescent="0.25">
      <c r="M7116" s="21"/>
    </row>
    <row r="7117" spans="13:13" x14ac:dyDescent="0.25">
      <c r="M7117" s="21"/>
    </row>
    <row r="7118" spans="13:13" x14ac:dyDescent="0.25">
      <c r="M7118" s="21"/>
    </row>
    <row r="7119" spans="13:13" x14ac:dyDescent="0.25">
      <c r="M7119" s="21"/>
    </row>
    <row r="7120" spans="13:13" x14ac:dyDescent="0.25">
      <c r="M7120" s="21"/>
    </row>
    <row r="7121" spans="13:13" x14ac:dyDescent="0.25">
      <c r="M7121" s="21"/>
    </row>
    <row r="7122" spans="13:13" x14ac:dyDescent="0.25">
      <c r="M7122" s="21"/>
    </row>
    <row r="7123" spans="13:13" x14ac:dyDescent="0.25">
      <c r="M7123" s="21"/>
    </row>
    <row r="7124" spans="13:13" x14ac:dyDescent="0.25">
      <c r="M7124" s="21"/>
    </row>
    <row r="7125" spans="13:13" x14ac:dyDescent="0.25">
      <c r="M7125" s="21"/>
    </row>
    <row r="7126" spans="13:13" x14ac:dyDescent="0.25">
      <c r="M7126" s="21"/>
    </row>
    <row r="7127" spans="13:13" x14ac:dyDescent="0.25">
      <c r="M7127" s="21"/>
    </row>
    <row r="7128" spans="13:13" x14ac:dyDescent="0.25">
      <c r="M7128" s="21"/>
    </row>
    <row r="7129" spans="13:13" x14ac:dyDescent="0.25">
      <c r="M7129" s="21"/>
    </row>
    <row r="7130" spans="13:13" x14ac:dyDescent="0.25">
      <c r="M7130" s="21"/>
    </row>
    <row r="7131" spans="13:13" x14ac:dyDescent="0.25">
      <c r="M7131" s="21"/>
    </row>
    <row r="7132" spans="13:13" x14ac:dyDescent="0.25">
      <c r="M7132" s="21"/>
    </row>
    <row r="7133" spans="13:13" x14ac:dyDescent="0.25">
      <c r="M7133" s="21"/>
    </row>
    <row r="7134" spans="13:13" x14ac:dyDescent="0.25">
      <c r="M7134" s="21"/>
    </row>
    <row r="7135" spans="13:13" x14ac:dyDescent="0.25">
      <c r="M7135" s="21"/>
    </row>
    <row r="7136" spans="13:13" x14ac:dyDescent="0.25">
      <c r="M7136" s="21"/>
    </row>
    <row r="7137" spans="13:13" x14ac:dyDescent="0.25">
      <c r="M7137" s="21"/>
    </row>
    <row r="7138" spans="13:13" x14ac:dyDescent="0.25">
      <c r="M7138" s="21"/>
    </row>
    <row r="7139" spans="13:13" x14ac:dyDescent="0.25">
      <c r="M7139" s="21"/>
    </row>
    <row r="7140" spans="13:13" x14ac:dyDescent="0.25">
      <c r="M7140" s="21"/>
    </row>
    <row r="7141" spans="13:13" x14ac:dyDescent="0.25">
      <c r="M7141" s="21"/>
    </row>
    <row r="7142" spans="13:13" x14ac:dyDescent="0.25">
      <c r="M7142" s="21"/>
    </row>
    <row r="7143" spans="13:13" x14ac:dyDescent="0.25">
      <c r="M7143" s="21"/>
    </row>
    <row r="7144" spans="13:13" x14ac:dyDescent="0.25">
      <c r="M7144" s="21"/>
    </row>
    <row r="7145" spans="13:13" x14ac:dyDescent="0.25">
      <c r="M7145" s="21"/>
    </row>
    <row r="7146" spans="13:13" x14ac:dyDescent="0.25">
      <c r="M7146" s="21"/>
    </row>
    <row r="7147" spans="13:13" x14ac:dyDescent="0.25">
      <c r="M7147" s="21"/>
    </row>
    <row r="7148" spans="13:13" x14ac:dyDescent="0.25">
      <c r="M7148" s="21"/>
    </row>
    <row r="7149" spans="13:13" x14ac:dyDescent="0.25">
      <c r="M7149" s="21"/>
    </row>
    <row r="7150" spans="13:13" x14ac:dyDescent="0.25">
      <c r="M7150" s="21"/>
    </row>
    <row r="7151" spans="13:13" x14ac:dyDescent="0.25">
      <c r="M7151" s="21"/>
    </row>
    <row r="7152" spans="13:13" x14ac:dyDescent="0.25">
      <c r="M7152" s="21"/>
    </row>
    <row r="7153" spans="13:13" x14ac:dyDescent="0.25">
      <c r="M7153" s="21"/>
    </row>
    <row r="7154" spans="13:13" x14ac:dyDescent="0.25">
      <c r="M7154" s="21"/>
    </row>
    <row r="7155" spans="13:13" x14ac:dyDescent="0.25">
      <c r="M7155" s="21"/>
    </row>
    <row r="7156" spans="13:13" x14ac:dyDescent="0.25">
      <c r="M7156" s="21"/>
    </row>
    <row r="7157" spans="13:13" x14ac:dyDescent="0.25">
      <c r="M7157" s="21"/>
    </row>
    <row r="7158" spans="13:13" x14ac:dyDescent="0.25">
      <c r="M7158" s="21"/>
    </row>
    <row r="7159" spans="13:13" x14ac:dyDescent="0.25">
      <c r="M7159" s="21"/>
    </row>
    <row r="7160" spans="13:13" x14ac:dyDescent="0.25">
      <c r="M7160" s="21"/>
    </row>
    <row r="7161" spans="13:13" x14ac:dyDescent="0.25">
      <c r="M7161" s="21"/>
    </row>
    <row r="7162" spans="13:13" x14ac:dyDescent="0.25">
      <c r="M7162" s="21"/>
    </row>
    <row r="7163" spans="13:13" x14ac:dyDescent="0.25">
      <c r="M7163" s="21"/>
    </row>
    <row r="7164" spans="13:13" x14ac:dyDescent="0.25">
      <c r="M7164" s="21"/>
    </row>
    <row r="7165" spans="13:13" x14ac:dyDescent="0.25">
      <c r="M7165" s="21"/>
    </row>
    <row r="7166" spans="13:13" x14ac:dyDescent="0.25">
      <c r="M7166" s="21"/>
    </row>
    <row r="7167" spans="13:13" x14ac:dyDescent="0.25">
      <c r="M7167" s="21"/>
    </row>
    <row r="7168" spans="13:13" x14ac:dyDescent="0.25">
      <c r="M7168" s="21"/>
    </row>
    <row r="7169" spans="13:13" x14ac:dyDescent="0.25">
      <c r="M7169" s="21"/>
    </row>
    <row r="7170" spans="13:13" x14ac:dyDescent="0.25">
      <c r="M7170" s="21"/>
    </row>
    <row r="7171" spans="13:13" x14ac:dyDescent="0.25">
      <c r="M7171" s="21"/>
    </row>
    <row r="7172" spans="13:13" x14ac:dyDescent="0.25">
      <c r="M7172" s="21"/>
    </row>
    <row r="7173" spans="13:13" x14ac:dyDescent="0.25">
      <c r="M7173" s="21"/>
    </row>
    <row r="7174" spans="13:13" x14ac:dyDescent="0.25">
      <c r="M7174" s="21"/>
    </row>
    <row r="7175" spans="13:13" x14ac:dyDescent="0.25">
      <c r="M7175" s="21"/>
    </row>
    <row r="7176" spans="13:13" x14ac:dyDescent="0.25">
      <c r="M7176" s="21"/>
    </row>
    <row r="7177" spans="13:13" x14ac:dyDescent="0.25">
      <c r="M7177" s="21"/>
    </row>
    <row r="7178" spans="13:13" x14ac:dyDescent="0.25">
      <c r="M7178" s="21"/>
    </row>
    <row r="7179" spans="13:13" x14ac:dyDescent="0.25">
      <c r="M7179" s="21"/>
    </row>
    <row r="7180" spans="13:13" x14ac:dyDescent="0.25">
      <c r="M7180" s="21"/>
    </row>
    <row r="7181" spans="13:13" x14ac:dyDescent="0.25">
      <c r="M7181" s="21"/>
    </row>
    <row r="7182" spans="13:13" x14ac:dyDescent="0.25">
      <c r="M7182" s="21"/>
    </row>
    <row r="7183" spans="13:13" x14ac:dyDescent="0.25">
      <c r="M7183" s="21"/>
    </row>
    <row r="7184" spans="13:13" x14ac:dyDescent="0.25">
      <c r="M7184" s="21"/>
    </row>
    <row r="7185" spans="13:13" x14ac:dyDescent="0.25">
      <c r="M7185" s="21"/>
    </row>
    <row r="7186" spans="13:13" x14ac:dyDescent="0.25">
      <c r="M7186" s="21"/>
    </row>
    <row r="7187" spans="13:13" x14ac:dyDescent="0.25">
      <c r="M7187" s="21"/>
    </row>
    <row r="7188" spans="13:13" x14ac:dyDescent="0.25">
      <c r="M7188" s="21"/>
    </row>
    <row r="7189" spans="13:13" x14ac:dyDescent="0.25">
      <c r="M7189" s="21"/>
    </row>
    <row r="7190" spans="13:13" x14ac:dyDescent="0.25">
      <c r="M7190" s="21"/>
    </row>
    <row r="7191" spans="13:13" x14ac:dyDescent="0.25">
      <c r="M7191" s="21"/>
    </row>
    <row r="7192" spans="13:13" x14ac:dyDescent="0.25">
      <c r="M7192" s="21"/>
    </row>
    <row r="7193" spans="13:13" x14ac:dyDescent="0.25">
      <c r="M7193" s="21"/>
    </row>
    <row r="7194" spans="13:13" x14ac:dyDescent="0.25">
      <c r="M7194" s="21"/>
    </row>
    <row r="7195" spans="13:13" x14ac:dyDescent="0.25">
      <c r="M7195" s="21"/>
    </row>
    <row r="7196" spans="13:13" x14ac:dyDescent="0.25">
      <c r="M7196" s="21"/>
    </row>
    <row r="7197" spans="13:13" x14ac:dyDescent="0.25">
      <c r="M7197" s="21"/>
    </row>
    <row r="7198" spans="13:13" x14ac:dyDescent="0.25">
      <c r="M7198" s="21"/>
    </row>
    <row r="7199" spans="13:13" x14ac:dyDescent="0.25">
      <c r="M7199" s="21"/>
    </row>
    <row r="7200" spans="13:13" x14ac:dyDescent="0.25">
      <c r="M7200" s="21"/>
    </row>
    <row r="7201" spans="13:13" x14ac:dyDescent="0.25">
      <c r="M7201" s="21"/>
    </row>
    <row r="7202" spans="13:13" x14ac:dyDescent="0.25">
      <c r="M7202" s="21"/>
    </row>
    <row r="7203" spans="13:13" x14ac:dyDescent="0.25">
      <c r="M7203" s="21"/>
    </row>
    <row r="7204" spans="13:13" x14ac:dyDescent="0.25">
      <c r="M7204" s="21"/>
    </row>
    <row r="7205" spans="13:13" x14ac:dyDescent="0.25">
      <c r="M7205" s="21"/>
    </row>
    <row r="7206" spans="13:13" x14ac:dyDescent="0.25">
      <c r="M7206" s="21"/>
    </row>
    <row r="7207" spans="13:13" x14ac:dyDescent="0.25">
      <c r="M7207" s="21"/>
    </row>
    <row r="7208" spans="13:13" x14ac:dyDescent="0.25">
      <c r="M7208" s="21"/>
    </row>
    <row r="7209" spans="13:13" x14ac:dyDescent="0.25">
      <c r="M7209" s="21"/>
    </row>
    <row r="7210" spans="13:13" x14ac:dyDescent="0.25">
      <c r="M7210" s="21"/>
    </row>
    <row r="7211" spans="13:13" x14ac:dyDescent="0.25">
      <c r="M7211" s="21"/>
    </row>
    <row r="7212" spans="13:13" x14ac:dyDescent="0.25">
      <c r="M7212" s="21"/>
    </row>
    <row r="7213" spans="13:13" x14ac:dyDescent="0.25">
      <c r="M7213" s="21"/>
    </row>
    <row r="7214" spans="13:13" x14ac:dyDescent="0.25">
      <c r="M7214" s="21"/>
    </row>
    <row r="7215" spans="13:13" x14ac:dyDescent="0.25">
      <c r="M7215" s="21"/>
    </row>
    <row r="7216" spans="13:13" x14ac:dyDescent="0.25">
      <c r="M7216" s="21"/>
    </row>
    <row r="7217" spans="13:13" x14ac:dyDescent="0.25">
      <c r="M7217" s="21"/>
    </row>
    <row r="7218" spans="13:13" x14ac:dyDescent="0.25">
      <c r="M7218" s="21"/>
    </row>
    <row r="7219" spans="13:13" x14ac:dyDescent="0.25">
      <c r="M7219" s="21"/>
    </row>
    <row r="7220" spans="13:13" x14ac:dyDescent="0.25">
      <c r="M7220" s="21"/>
    </row>
    <row r="7221" spans="13:13" x14ac:dyDescent="0.25">
      <c r="M7221" s="21"/>
    </row>
    <row r="7222" spans="13:13" x14ac:dyDescent="0.25">
      <c r="M7222" s="21"/>
    </row>
    <row r="7223" spans="13:13" x14ac:dyDescent="0.25">
      <c r="M7223" s="21"/>
    </row>
    <row r="7224" spans="13:13" x14ac:dyDescent="0.25">
      <c r="M7224" s="21"/>
    </row>
    <row r="7225" spans="13:13" x14ac:dyDescent="0.25">
      <c r="M7225" s="21"/>
    </row>
    <row r="7226" spans="13:13" x14ac:dyDescent="0.25">
      <c r="M7226" s="21"/>
    </row>
    <row r="7227" spans="13:13" x14ac:dyDescent="0.25">
      <c r="M7227" s="21"/>
    </row>
    <row r="7228" spans="13:13" x14ac:dyDescent="0.25">
      <c r="M7228" s="21"/>
    </row>
    <row r="7229" spans="13:13" x14ac:dyDescent="0.25">
      <c r="M7229" s="21"/>
    </row>
    <row r="7230" spans="13:13" x14ac:dyDescent="0.25">
      <c r="M7230" s="21"/>
    </row>
    <row r="7231" spans="13:13" x14ac:dyDescent="0.25">
      <c r="M7231" s="21"/>
    </row>
    <row r="7232" spans="13:13" x14ac:dyDescent="0.25">
      <c r="M7232" s="21"/>
    </row>
    <row r="7233" spans="13:13" x14ac:dyDescent="0.25">
      <c r="M7233" s="21"/>
    </row>
    <row r="7234" spans="13:13" x14ac:dyDescent="0.25">
      <c r="M7234" s="21"/>
    </row>
    <row r="7235" spans="13:13" x14ac:dyDescent="0.25">
      <c r="M7235" s="21"/>
    </row>
    <row r="7236" spans="13:13" x14ac:dyDescent="0.25">
      <c r="M7236" s="21"/>
    </row>
    <row r="7237" spans="13:13" x14ac:dyDescent="0.25">
      <c r="M7237" s="21"/>
    </row>
    <row r="7238" spans="13:13" x14ac:dyDescent="0.25">
      <c r="M7238" s="21"/>
    </row>
    <row r="7239" spans="13:13" x14ac:dyDescent="0.25">
      <c r="M7239" s="21"/>
    </row>
    <row r="7240" spans="13:13" x14ac:dyDescent="0.25">
      <c r="M7240" s="21"/>
    </row>
    <row r="7241" spans="13:13" x14ac:dyDescent="0.25">
      <c r="M7241" s="21"/>
    </row>
    <row r="7242" spans="13:13" x14ac:dyDescent="0.25">
      <c r="M7242" s="21"/>
    </row>
    <row r="7243" spans="13:13" x14ac:dyDescent="0.25">
      <c r="M7243" s="21"/>
    </row>
    <row r="7244" spans="13:13" x14ac:dyDescent="0.25">
      <c r="M7244" s="21"/>
    </row>
    <row r="7245" spans="13:13" x14ac:dyDescent="0.25">
      <c r="M7245" s="21"/>
    </row>
    <row r="7246" spans="13:13" x14ac:dyDescent="0.25">
      <c r="M7246" s="21"/>
    </row>
    <row r="7247" spans="13:13" x14ac:dyDescent="0.25">
      <c r="M7247" s="21"/>
    </row>
    <row r="7248" spans="13:13" x14ac:dyDescent="0.25">
      <c r="M7248" s="21"/>
    </row>
    <row r="7249" spans="13:13" x14ac:dyDescent="0.25">
      <c r="M7249" s="21"/>
    </row>
    <row r="7250" spans="13:13" x14ac:dyDescent="0.25">
      <c r="M7250" s="21"/>
    </row>
    <row r="7251" spans="13:13" x14ac:dyDescent="0.25">
      <c r="M7251" s="21"/>
    </row>
    <row r="7252" spans="13:13" x14ac:dyDescent="0.25">
      <c r="M7252" s="21"/>
    </row>
    <row r="7253" spans="13:13" x14ac:dyDescent="0.25">
      <c r="M7253" s="21"/>
    </row>
    <row r="7254" spans="13:13" x14ac:dyDescent="0.25">
      <c r="M7254" s="21"/>
    </row>
    <row r="7255" spans="13:13" x14ac:dyDescent="0.25">
      <c r="M7255" s="21"/>
    </row>
    <row r="7256" spans="13:13" x14ac:dyDescent="0.25">
      <c r="M7256" s="21"/>
    </row>
    <row r="7257" spans="13:13" x14ac:dyDescent="0.25">
      <c r="M7257" s="21"/>
    </row>
    <row r="7258" spans="13:13" x14ac:dyDescent="0.25">
      <c r="M7258" s="21"/>
    </row>
    <row r="7259" spans="13:13" x14ac:dyDescent="0.25">
      <c r="M7259" s="21"/>
    </row>
    <row r="7260" spans="13:13" x14ac:dyDescent="0.25">
      <c r="M7260" s="21"/>
    </row>
    <row r="7261" spans="13:13" x14ac:dyDescent="0.25">
      <c r="M7261" s="21"/>
    </row>
    <row r="7262" spans="13:13" x14ac:dyDescent="0.25">
      <c r="M7262" s="21"/>
    </row>
    <row r="7263" spans="13:13" x14ac:dyDescent="0.25">
      <c r="M7263" s="21"/>
    </row>
    <row r="7264" spans="13:13" x14ac:dyDescent="0.25">
      <c r="M7264" s="21"/>
    </row>
    <row r="7265" spans="13:13" x14ac:dyDescent="0.25">
      <c r="M7265" s="21"/>
    </row>
    <row r="7266" spans="13:13" x14ac:dyDescent="0.25">
      <c r="M7266" s="21"/>
    </row>
    <row r="7267" spans="13:13" x14ac:dyDescent="0.25">
      <c r="M7267" s="21"/>
    </row>
    <row r="7268" spans="13:13" x14ac:dyDescent="0.25">
      <c r="M7268" s="21"/>
    </row>
    <row r="7269" spans="13:13" x14ac:dyDescent="0.25">
      <c r="M7269" s="21"/>
    </row>
    <row r="7270" spans="13:13" x14ac:dyDescent="0.25">
      <c r="M7270" s="21"/>
    </row>
    <row r="7271" spans="13:13" x14ac:dyDescent="0.25">
      <c r="M7271" s="21"/>
    </row>
    <row r="7272" spans="13:13" x14ac:dyDescent="0.25">
      <c r="M7272" s="21"/>
    </row>
    <row r="7273" spans="13:13" x14ac:dyDescent="0.25">
      <c r="M7273" s="21"/>
    </row>
    <row r="7274" spans="13:13" x14ac:dyDescent="0.25">
      <c r="M7274" s="21"/>
    </row>
    <row r="7275" spans="13:13" x14ac:dyDescent="0.25">
      <c r="M7275" s="21"/>
    </row>
    <row r="7276" spans="13:13" x14ac:dyDescent="0.25">
      <c r="M7276" s="21"/>
    </row>
    <row r="7277" spans="13:13" x14ac:dyDescent="0.25">
      <c r="M7277" s="21"/>
    </row>
    <row r="7278" spans="13:13" x14ac:dyDescent="0.25">
      <c r="M7278" s="21"/>
    </row>
    <row r="7279" spans="13:13" x14ac:dyDescent="0.25">
      <c r="M7279" s="21"/>
    </row>
    <row r="7280" spans="13:13" x14ac:dyDescent="0.25">
      <c r="M7280" s="21"/>
    </row>
    <row r="7281" spans="13:13" x14ac:dyDescent="0.25">
      <c r="M7281" s="21"/>
    </row>
    <row r="7282" spans="13:13" x14ac:dyDescent="0.25">
      <c r="M7282" s="21"/>
    </row>
    <row r="7283" spans="13:13" x14ac:dyDescent="0.25">
      <c r="M7283" s="21"/>
    </row>
    <row r="7284" spans="13:13" x14ac:dyDescent="0.25">
      <c r="M7284" s="21"/>
    </row>
    <row r="7285" spans="13:13" x14ac:dyDescent="0.25">
      <c r="M7285" s="21"/>
    </row>
    <row r="7286" spans="13:13" x14ac:dyDescent="0.25">
      <c r="M7286" s="21"/>
    </row>
    <row r="7287" spans="13:13" x14ac:dyDescent="0.25">
      <c r="M7287" s="21"/>
    </row>
    <row r="7288" spans="13:13" x14ac:dyDescent="0.25">
      <c r="M7288" s="21"/>
    </row>
    <row r="7289" spans="13:13" x14ac:dyDescent="0.25">
      <c r="M7289" s="21"/>
    </row>
    <row r="7290" spans="13:13" x14ac:dyDescent="0.25">
      <c r="M7290" s="21"/>
    </row>
    <row r="7291" spans="13:13" x14ac:dyDescent="0.25">
      <c r="M7291" s="21"/>
    </row>
    <row r="7292" spans="13:13" x14ac:dyDescent="0.25">
      <c r="M7292" s="21"/>
    </row>
    <row r="7293" spans="13:13" x14ac:dyDescent="0.25">
      <c r="M7293" s="21"/>
    </row>
    <row r="7294" spans="13:13" x14ac:dyDescent="0.25">
      <c r="M7294" s="21"/>
    </row>
    <row r="7295" spans="13:13" x14ac:dyDescent="0.25">
      <c r="M7295" s="21"/>
    </row>
    <row r="7296" spans="13:13" x14ac:dyDescent="0.25">
      <c r="M7296" s="21"/>
    </row>
    <row r="7297" spans="13:13" x14ac:dyDescent="0.25">
      <c r="M7297" s="21"/>
    </row>
    <row r="7298" spans="13:13" x14ac:dyDescent="0.25">
      <c r="M7298" s="21"/>
    </row>
    <row r="7299" spans="13:13" x14ac:dyDescent="0.25">
      <c r="M7299" s="21"/>
    </row>
    <row r="7300" spans="13:13" x14ac:dyDescent="0.25">
      <c r="M7300" s="21"/>
    </row>
    <row r="7301" spans="13:13" x14ac:dyDescent="0.25">
      <c r="M7301" s="21"/>
    </row>
    <row r="7302" spans="13:13" x14ac:dyDescent="0.25">
      <c r="M7302" s="21"/>
    </row>
    <row r="7303" spans="13:13" x14ac:dyDescent="0.25">
      <c r="M7303" s="21"/>
    </row>
    <row r="7304" spans="13:13" x14ac:dyDescent="0.25">
      <c r="M7304" s="21"/>
    </row>
    <row r="7305" spans="13:13" x14ac:dyDescent="0.25">
      <c r="M7305" s="21"/>
    </row>
    <row r="7306" spans="13:13" x14ac:dyDescent="0.25">
      <c r="M7306" s="21"/>
    </row>
    <row r="7307" spans="13:13" x14ac:dyDescent="0.25">
      <c r="M7307" s="21"/>
    </row>
    <row r="7308" spans="13:13" x14ac:dyDescent="0.25">
      <c r="M7308" s="21"/>
    </row>
    <row r="7309" spans="13:13" x14ac:dyDescent="0.25">
      <c r="M7309" s="21"/>
    </row>
    <row r="7310" spans="13:13" x14ac:dyDescent="0.25">
      <c r="M7310" s="21"/>
    </row>
    <row r="7311" spans="13:13" x14ac:dyDescent="0.25">
      <c r="M7311" s="21"/>
    </row>
    <row r="7312" spans="13:13" x14ac:dyDescent="0.25">
      <c r="M7312" s="21"/>
    </row>
    <row r="7313" spans="13:13" x14ac:dyDescent="0.25">
      <c r="M7313" s="21"/>
    </row>
    <row r="7314" spans="13:13" x14ac:dyDescent="0.25">
      <c r="M7314" s="21"/>
    </row>
    <row r="7315" spans="13:13" x14ac:dyDescent="0.25">
      <c r="M7315" s="21"/>
    </row>
    <row r="7316" spans="13:13" x14ac:dyDescent="0.25">
      <c r="M7316" s="21"/>
    </row>
    <row r="7317" spans="13:13" x14ac:dyDescent="0.25">
      <c r="M7317" s="21"/>
    </row>
    <row r="7318" spans="13:13" x14ac:dyDescent="0.25">
      <c r="M7318" s="21"/>
    </row>
    <row r="7319" spans="13:13" x14ac:dyDescent="0.25">
      <c r="M7319" s="21"/>
    </row>
    <row r="7320" spans="13:13" x14ac:dyDescent="0.25">
      <c r="M7320" s="21"/>
    </row>
    <row r="7321" spans="13:13" x14ac:dyDescent="0.25">
      <c r="M7321" s="21"/>
    </row>
    <row r="7322" spans="13:13" x14ac:dyDescent="0.25">
      <c r="M7322" s="21"/>
    </row>
    <row r="7323" spans="13:13" x14ac:dyDescent="0.25">
      <c r="M7323" s="21"/>
    </row>
    <row r="7324" spans="13:13" x14ac:dyDescent="0.25">
      <c r="M7324" s="21"/>
    </row>
    <row r="7325" spans="13:13" x14ac:dyDescent="0.25">
      <c r="M7325" s="21"/>
    </row>
    <row r="7326" spans="13:13" x14ac:dyDescent="0.25">
      <c r="M7326" s="21"/>
    </row>
    <row r="7327" spans="13:13" x14ac:dyDescent="0.25">
      <c r="M7327" s="21"/>
    </row>
    <row r="7328" spans="13:13" x14ac:dyDescent="0.25">
      <c r="M7328" s="21"/>
    </row>
    <row r="7329" spans="13:13" x14ac:dyDescent="0.25">
      <c r="M7329" s="21"/>
    </row>
    <row r="7330" spans="13:13" x14ac:dyDescent="0.25">
      <c r="M7330" s="21"/>
    </row>
    <row r="7331" spans="13:13" x14ac:dyDescent="0.25">
      <c r="M7331" s="21"/>
    </row>
    <row r="7332" spans="13:13" x14ac:dyDescent="0.25">
      <c r="M7332" s="21"/>
    </row>
    <row r="7333" spans="13:13" x14ac:dyDescent="0.25">
      <c r="M7333" s="21"/>
    </row>
    <row r="7334" spans="13:13" x14ac:dyDescent="0.25">
      <c r="M7334" s="21"/>
    </row>
    <row r="7335" spans="13:13" x14ac:dyDescent="0.25">
      <c r="M7335" s="21"/>
    </row>
    <row r="7336" spans="13:13" x14ac:dyDescent="0.25">
      <c r="M7336" s="21"/>
    </row>
    <row r="7337" spans="13:13" x14ac:dyDescent="0.25">
      <c r="M7337" s="21"/>
    </row>
    <row r="7338" spans="13:13" x14ac:dyDescent="0.25">
      <c r="M7338" s="21"/>
    </row>
    <row r="7339" spans="13:13" x14ac:dyDescent="0.25">
      <c r="M7339" s="21"/>
    </row>
    <row r="7340" spans="13:13" x14ac:dyDescent="0.25">
      <c r="M7340" s="21"/>
    </row>
    <row r="7341" spans="13:13" x14ac:dyDescent="0.25">
      <c r="M7341" s="21"/>
    </row>
    <row r="7342" spans="13:13" x14ac:dyDescent="0.25">
      <c r="M7342" s="21"/>
    </row>
    <row r="7343" spans="13:13" x14ac:dyDescent="0.25">
      <c r="M7343" s="21"/>
    </row>
    <row r="7344" spans="13:13" x14ac:dyDescent="0.25">
      <c r="M7344" s="21"/>
    </row>
    <row r="7345" spans="13:13" x14ac:dyDescent="0.25">
      <c r="M7345" s="21"/>
    </row>
    <row r="7346" spans="13:13" x14ac:dyDescent="0.25">
      <c r="M7346" s="21"/>
    </row>
    <row r="7347" spans="13:13" x14ac:dyDescent="0.25">
      <c r="M7347" s="21"/>
    </row>
    <row r="7348" spans="13:13" x14ac:dyDescent="0.25">
      <c r="M7348" s="21"/>
    </row>
    <row r="7349" spans="13:13" x14ac:dyDescent="0.25">
      <c r="M7349" s="21"/>
    </row>
    <row r="7350" spans="13:13" x14ac:dyDescent="0.25">
      <c r="M7350" s="21"/>
    </row>
    <row r="7351" spans="13:13" x14ac:dyDescent="0.25">
      <c r="M7351" s="21"/>
    </row>
    <row r="7352" spans="13:13" x14ac:dyDescent="0.25">
      <c r="M7352" s="21"/>
    </row>
    <row r="7353" spans="13:13" x14ac:dyDescent="0.25">
      <c r="M7353" s="21"/>
    </row>
    <row r="7354" spans="13:13" x14ac:dyDescent="0.25">
      <c r="M7354" s="21"/>
    </row>
    <row r="7355" spans="13:13" x14ac:dyDescent="0.25">
      <c r="M7355" s="21"/>
    </row>
    <row r="7356" spans="13:13" x14ac:dyDescent="0.25">
      <c r="M7356" s="21"/>
    </row>
    <row r="7357" spans="13:13" x14ac:dyDescent="0.25">
      <c r="M7357" s="21"/>
    </row>
    <row r="7358" spans="13:13" x14ac:dyDescent="0.25">
      <c r="M7358" s="21"/>
    </row>
    <row r="7359" spans="13:13" x14ac:dyDescent="0.25">
      <c r="M7359" s="21"/>
    </row>
    <row r="7360" spans="13:13" x14ac:dyDescent="0.25">
      <c r="M7360" s="21"/>
    </row>
    <row r="7361" spans="13:13" x14ac:dyDescent="0.25">
      <c r="M7361" s="21"/>
    </row>
    <row r="7362" spans="13:13" x14ac:dyDescent="0.25">
      <c r="M7362" s="21"/>
    </row>
    <row r="7363" spans="13:13" x14ac:dyDescent="0.25">
      <c r="M7363" s="21"/>
    </row>
    <row r="7364" spans="13:13" x14ac:dyDescent="0.25">
      <c r="M7364" s="21"/>
    </row>
    <row r="7365" spans="13:13" x14ac:dyDescent="0.25">
      <c r="M7365" s="21"/>
    </row>
    <row r="7366" spans="13:13" x14ac:dyDescent="0.25">
      <c r="M7366" s="21"/>
    </row>
    <row r="7367" spans="13:13" x14ac:dyDescent="0.25">
      <c r="M7367" s="21"/>
    </row>
    <row r="7368" spans="13:13" x14ac:dyDescent="0.25">
      <c r="M7368" s="21"/>
    </row>
    <row r="7369" spans="13:13" x14ac:dyDescent="0.25">
      <c r="M7369" s="21"/>
    </row>
    <row r="7370" spans="13:13" x14ac:dyDescent="0.25">
      <c r="M7370" s="21"/>
    </row>
    <row r="7371" spans="13:13" x14ac:dyDescent="0.25">
      <c r="M7371" s="21"/>
    </row>
    <row r="7372" spans="13:13" x14ac:dyDescent="0.25">
      <c r="M7372" s="21"/>
    </row>
    <row r="7373" spans="13:13" x14ac:dyDescent="0.25">
      <c r="M7373" s="21"/>
    </row>
    <row r="7374" spans="13:13" x14ac:dyDescent="0.25">
      <c r="M7374" s="21"/>
    </row>
    <row r="7375" spans="13:13" x14ac:dyDescent="0.25">
      <c r="M7375" s="21"/>
    </row>
    <row r="7376" spans="13:13" x14ac:dyDescent="0.25">
      <c r="M7376" s="21"/>
    </row>
    <row r="7377" spans="13:13" x14ac:dyDescent="0.25">
      <c r="M7377" s="21"/>
    </row>
    <row r="7378" spans="13:13" x14ac:dyDescent="0.25">
      <c r="M7378" s="21"/>
    </row>
    <row r="7379" spans="13:13" x14ac:dyDescent="0.25">
      <c r="M7379" s="21"/>
    </row>
    <row r="7380" spans="13:13" x14ac:dyDescent="0.25">
      <c r="M7380" s="21"/>
    </row>
    <row r="7381" spans="13:13" x14ac:dyDescent="0.25">
      <c r="M7381" s="21"/>
    </row>
    <row r="7382" spans="13:13" x14ac:dyDescent="0.25">
      <c r="M7382" s="21"/>
    </row>
    <row r="7383" spans="13:13" x14ac:dyDescent="0.25">
      <c r="M7383" s="21"/>
    </row>
    <row r="7384" spans="13:13" x14ac:dyDescent="0.25">
      <c r="M7384" s="21"/>
    </row>
    <row r="7385" spans="13:13" x14ac:dyDescent="0.25">
      <c r="M7385" s="21"/>
    </row>
    <row r="7386" spans="13:13" x14ac:dyDescent="0.25">
      <c r="M7386" s="21"/>
    </row>
    <row r="7387" spans="13:13" x14ac:dyDescent="0.25">
      <c r="M7387" s="21"/>
    </row>
    <row r="7388" spans="13:13" x14ac:dyDescent="0.25">
      <c r="M7388" s="21"/>
    </row>
    <row r="7389" spans="13:13" x14ac:dyDescent="0.25">
      <c r="M7389" s="21"/>
    </row>
    <row r="7390" spans="13:13" x14ac:dyDescent="0.25">
      <c r="M7390" s="21"/>
    </row>
    <row r="7391" spans="13:13" x14ac:dyDescent="0.25">
      <c r="M7391" s="21"/>
    </row>
    <row r="7392" spans="13:13" x14ac:dyDescent="0.25">
      <c r="M7392" s="21"/>
    </row>
    <row r="7393" spans="13:13" x14ac:dyDescent="0.25">
      <c r="M7393" s="21"/>
    </row>
    <row r="7394" spans="13:13" x14ac:dyDescent="0.25">
      <c r="M7394" s="21"/>
    </row>
    <row r="7395" spans="13:13" x14ac:dyDescent="0.25">
      <c r="M7395" s="21"/>
    </row>
    <row r="7396" spans="13:13" x14ac:dyDescent="0.25">
      <c r="M7396" s="21"/>
    </row>
    <row r="7397" spans="13:13" x14ac:dyDescent="0.25">
      <c r="M7397" s="21"/>
    </row>
    <row r="7398" spans="13:13" x14ac:dyDescent="0.25">
      <c r="M7398" s="21"/>
    </row>
    <row r="7399" spans="13:13" x14ac:dyDescent="0.25">
      <c r="M7399" s="21"/>
    </row>
    <row r="7400" spans="13:13" x14ac:dyDescent="0.25">
      <c r="M7400" s="21"/>
    </row>
    <row r="7401" spans="13:13" x14ac:dyDescent="0.25">
      <c r="M7401" s="21"/>
    </row>
    <row r="7402" spans="13:13" x14ac:dyDescent="0.25">
      <c r="M7402" s="21"/>
    </row>
    <row r="7403" spans="13:13" x14ac:dyDescent="0.25">
      <c r="M7403" s="21"/>
    </row>
    <row r="7404" spans="13:13" x14ac:dyDescent="0.25">
      <c r="M7404" s="21"/>
    </row>
    <row r="7405" spans="13:13" x14ac:dyDescent="0.25">
      <c r="M7405" s="21"/>
    </row>
    <row r="7406" spans="13:13" x14ac:dyDescent="0.25">
      <c r="M7406" s="21"/>
    </row>
    <row r="7407" spans="13:13" x14ac:dyDescent="0.25">
      <c r="M7407" s="21"/>
    </row>
    <row r="7408" spans="13:13" x14ac:dyDescent="0.25">
      <c r="M7408" s="21"/>
    </row>
    <row r="7409" spans="13:13" x14ac:dyDescent="0.25">
      <c r="M7409" s="21"/>
    </row>
    <row r="7410" spans="13:13" x14ac:dyDescent="0.25">
      <c r="M7410" s="21"/>
    </row>
    <row r="7411" spans="13:13" x14ac:dyDescent="0.25">
      <c r="M7411" s="21"/>
    </row>
    <row r="7412" spans="13:13" x14ac:dyDescent="0.25">
      <c r="M7412" s="21"/>
    </row>
    <row r="7413" spans="13:13" x14ac:dyDescent="0.25">
      <c r="M7413" s="21"/>
    </row>
    <row r="7414" spans="13:13" x14ac:dyDescent="0.25">
      <c r="M7414" s="21"/>
    </row>
    <row r="7415" spans="13:13" x14ac:dyDescent="0.25">
      <c r="M7415" s="21"/>
    </row>
    <row r="7416" spans="13:13" x14ac:dyDescent="0.25">
      <c r="M7416" s="21"/>
    </row>
    <row r="7417" spans="13:13" x14ac:dyDescent="0.25">
      <c r="M7417" s="21"/>
    </row>
    <row r="7418" spans="13:13" x14ac:dyDescent="0.25">
      <c r="M7418" s="21"/>
    </row>
    <row r="7419" spans="13:13" x14ac:dyDescent="0.25">
      <c r="M7419" s="21"/>
    </row>
    <row r="7420" spans="13:13" x14ac:dyDescent="0.25">
      <c r="M7420" s="21"/>
    </row>
    <row r="7421" spans="13:13" x14ac:dyDescent="0.25">
      <c r="M7421" s="21"/>
    </row>
    <row r="7422" spans="13:13" x14ac:dyDescent="0.25">
      <c r="M7422" s="21"/>
    </row>
    <row r="7423" spans="13:13" x14ac:dyDescent="0.25">
      <c r="M7423" s="21"/>
    </row>
    <row r="7424" spans="13:13" x14ac:dyDescent="0.25">
      <c r="M7424" s="21"/>
    </row>
    <row r="7425" spans="13:13" x14ac:dyDescent="0.25">
      <c r="M7425" s="21"/>
    </row>
    <row r="7426" spans="13:13" x14ac:dyDescent="0.25">
      <c r="M7426" s="21"/>
    </row>
    <row r="7427" spans="13:13" x14ac:dyDescent="0.25">
      <c r="M7427" s="21"/>
    </row>
    <row r="7428" spans="13:13" x14ac:dyDescent="0.25">
      <c r="M7428" s="21"/>
    </row>
    <row r="7429" spans="13:13" x14ac:dyDescent="0.25">
      <c r="M7429" s="21"/>
    </row>
    <row r="7430" spans="13:13" x14ac:dyDescent="0.25">
      <c r="M7430" s="21"/>
    </row>
    <row r="7431" spans="13:13" x14ac:dyDescent="0.25">
      <c r="M7431" s="21"/>
    </row>
    <row r="7432" spans="13:13" x14ac:dyDescent="0.25">
      <c r="M7432" s="21"/>
    </row>
    <row r="7433" spans="13:13" x14ac:dyDescent="0.25">
      <c r="M7433" s="21"/>
    </row>
    <row r="7434" spans="13:13" x14ac:dyDescent="0.25">
      <c r="M7434" s="21"/>
    </row>
    <row r="7435" spans="13:13" x14ac:dyDescent="0.25">
      <c r="M7435" s="21"/>
    </row>
    <row r="7436" spans="13:13" x14ac:dyDescent="0.25">
      <c r="M7436" s="21"/>
    </row>
    <row r="7437" spans="13:13" x14ac:dyDescent="0.25">
      <c r="M7437" s="21"/>
    </row>
    <row r="7438" spans="13:13" x14ac:dyDescent="0.25">
      <c r="M7438" s="21"/>
    </row>
    <row r="7439" spans="13:13" x14ac:dyDescent="0.25">
      <c r="M7439" s="21"/>
    </row>
    <row r="7440" spans="13:13" x14ac:dyDescent="0.25">
      <c r="M7440" s="21"/>
    </row>
    <row r="7441" spans="13:13" x14ac:dyDescent="0.25">
      <c r="M7441" s="21"/>
    </row>
    <row r="7442" spans="13:13" x14ac:dyDescent="0.25">
      <c r="M7442" s="21"/>
    </row>
    <row r="7443" spans="13:13" x14ac:dyDescent="0.25">
      <c r="M7443" s="21"/>
    </row>
    <row r="7444" spans="13:13" x14ac:dyDescent="0.25">
      <c r="M7444" s="21"/>
    </row>
    <row r="7445" spans="13:13" x14ac:dyDescent="0.25">
      <c r="M7445" s="21"/>
    </row>
    <row r="7446" spans="13:13" x14ac:dyDescent="0.25">
      <c r="M7446" s="21"/>
    </row>
    <row r="7447" spans="13:13" x14ac:dyDescent="0.25">
      <c r="M7447" s="21"/>
    </row>
    <row r="7448" spans="13:13" x14ac:dyDescent="0.25">
      <c r="M7448" s="21"/>
    </row>
    <row r="7449" spans="13:13" x14ac:dyDescent="0.25">
      <c r="M7449" s="21"/>
    </row>
    <row r="7450" spans="13:13" x14ac:dyDescent="0.25">
      <c r="M7450" s="21"/>
    </row>
    <row r="7451" spans="13:13" x14ac:dyDescent="0.25">
      <c r="M7451" s="21"/>
    </row>
    <row r="7452" spans="13:13" x14ac:dyDescent="0.25">
      <c r="M7452" s="21"/>
    </row>
    <row r="7453" spans="13:13" x14ac:dyDescent="0.25">
      <c r="M7453" s="21"/>
    </row>
    <row r="7454" spans="13:13" x14ac:dyDescent="0.25">
      <c r="M7454" s="21"/>
    </row>
    <row r="7455" spans="13:13" x14ac:dyDescent="0.25">
      <c r="M7455" s="21"/>
    </row>
    <row r="7456" spans="13:13" x14ac:dyDescent="0.25">
      <c r="M7456" s="21"/>
    </row>
    <row r="7457" spans="13:13" x14ac:dyDescent="0.25">
      <c r="M7457" s="21"/>
    </row>
    <row r="7458" spans="13:13" x14ac:dyDescent="0.25">
      <c r="M7458" s="21"/>
    </row>
    <row r="7459" spans="13:13" x14ac:dyDescent="0.25">
      <c r="M7459" s="21"/>
    </row>
    <row r="7460" spans="13:13" x14ac:dyDescent="0.25">
      <c r="M7460" s="21"/>
    </row>
    <row r="7461" spans="13:13" x14ac:dyDescent="0.25">
      <c r="M7461" s="21"/>
    </row>
    <row r="7462" spans="13:13" x14ac:dyDescent="0.25">
      <c r="M7462" s="21"/>
    </row>
    <row r="7463" spans="13:13" x14ac:dyDescent="0.25">
      <c r="M7463" s="21"/>
    </row>
    <row r="7464" spans="13:13" x14ac:dyDescent="0.25">
      <c r="M7464" s="21"/>
    </row>
    <row r="7465" spans="13:13" x14ac:dyDescent="0.25">
      <c r="M7465" s="21"/>
    </row>
    <row r="7466" spans="13:13" x14ac:dyDescent="0.25">
      <c r="M7466" s="21"/>
    </row>
    <row r="7467" spans="13:13" x14ac:dyDescent="0.25">
      <c r="M7467" s="21"/>
    </row>
    <row r="7468" spans="13:13" x14ac:dyDescent="0.25">
      <c r="M7468" s="21"/>
    </row>
    <row r="7469" spans="13:13" x14ac:dyDescent="0.25">
      <c r="M7469" s="21"/>
    </row>
    <row r="7470" spans="13:13" x14ac:dyDescent="0.25">
      <c r="M7470" s="21"/>
    </row>
    <row r="7471" spans="13:13" x14ac:dyDescent="0.25">
      <c r="M7471" s="21"/>
    </row>
    <row r="7472" spans="13:13" x14ac:dyDescent="0.25">
      <c r="M7472" s="21"/>
    </row>
    <row r="7473" spans="13:13" x14ac:dyDescent="0.25">
      <c r="M7473" s="21"/>
    </row>
    <row r="7474" spans="13:13" x14ac:dyDescent="0.25">
      <c r="M7474" s="21"/>
    </row>
    <row r="7475" spans="13:13" x14ac:dyDescent="0.25">
      <c r="M7475" s="21"/>
    </row>
    <row r="7476" spans="13:13" x14ac:dyDescent="0.25">
      <c r="M7476" s="21"/>
    </row>
    <row r="7477" spans="13:13" x14ac:dyDescent="0.25">
      <c r="M7477" s="21"/>
    </row>
    <row r="7478" spans="13:13" x14ac:dyDescent="0.25">
      <c r="M7478" s="21"/>
    </row>
    <row r="7479" spans="13:13" x14ac:dyDescent="0.25">
      <c r="M7479" s="21"/>
    </row>
    <row r="7480" spans="13:13" x14ac:dyDescent="0.25">
      <c r="M7480" s="21"/>
    </row>
    <row r="7481" spans="13:13" x14ac:dyDescent="0.25">
      <c r="M7481" s="21"/>
    </row>
    <row r="7482" spans="13:13" x14ac:dyDescent="0.25">
      <c r="M7482" s="21"/>
    </row>
    <row r="7483" spans="13:13" x14ac:dyDescent="0.25">
      <c r="M7483" s="21"/>
    </row>
    <row r="7484" spans="13:13" x14ac:dyDescent="0.25">
      <c r="M7484" s="21"/>
    </row>
    <row r="7485" spans="13:13" x14ac:dyDescent="0.25">
      <c r="M7485" s="21"/>
    </row>
    <row r="7486" spans="13:13" x14ac:dyDescent="0.25">
      <c r="M7486" s="21"/>
    </row>
    <row r="7487" spans="13:13" x14ac:dyDescent="0.25">
      <c r="M7487" s="21"/>
    </row>
    <row r="7488" spans="13:13" x14ac:dyDescent="0.25">
      <c r="M7488" s="21"/>
    </row>
    <row r="7489" spans="13:13" x14ac:dyDescent="0.25">
      <c r="M7489" s="21"/>
    </row>
    <row r="7490" spans="13:13" x14ac:dyDescent="0.25">
      <c r="M7490" s="21"/>
    </row>
    <row r="7491" spans="13:13" x14ac:dyDescent="0.25">
      <c r="M7491" s="21"/>
    </row>
    <row r="7492" spans="13:13" x14ac:dyDescent="0.25">
      <c r="M7492" s="21"/>
    </row>
    <row r="7493" spans="13:13" x14ac:dyDescent="0.25">
      <c r="M7493" s="21"/>
    </row>
    <row r="7494" spans="13:13" x14ac:dyDescent="0.25">
      <c r="M7494" s="21"/>
    </row>
    <row r="7495" spans="13:13" x14ac:dyDescent="0.25">
      <c r="M7495" s="21"/>
    </row>
    <row r="7496" spans="13:13" x14ac:dyDescent="0.25">
      <c r="M7496" s="21"/>
    </row>
    <row r="7497" spans="13:13" x14ac:dyDescent="0.25">
      <c r="M7497" s="21"/>
    </row>
    <row r="7498" spans="13:13" x14ac:dyDescent="0.25">
      <c r="M7498" s="21"/>
    </row>
    <row r="7499" spans="13:13" x14ac:dyDescent="0.25">
      <c r="M7499" s="21"/>
    </row>
    <row r="7500" spans="13:13" x14ac:dyDescent="0.25">
      <c r="M7500" s="21"/>
    </row>
    <row r="7501" spans="13:13" x14ac:dyDescent="0.25">
      <c r="M7501" s="21"/>
    </row>
    <row r="7502" spans="13:13" x14ac:dyDescent="0.25">
      <c r="M7502" s="21"/>
    </row>
    <row r="7503" spans="13:13" x14ac:dyDescent="0.25">
      <c r="M7503" s="21"/>
    </row>
    <row r="7504" spans="13:13" x14ac:dyDescent="0.25">
      <c r="M7504" s="21"/>
    </row>
    <row r="7505" spans="13:13" x14ac:dyDescent="0.25">
      <c r="M7505" s="21"/>
    </row>
    <row r="7506" spans="13:13" x14ac:dyDescent="0.25">
      <c r="M7506" s="21"/>
    </row>
    <row r="7507" spans="13:13" x14ac:dyDescent="0.25">
      <c r="M7507" s="21"/>
    </row>
    <row r="7508" spans="13:13" x14ac:dyDescent="0.25">
      <c r="M7508" s="21"/>
    </row>
    <row r="7509" spans="13:13" x14ac:dyDescent="0.25">
      <c r="M7509" s="21"/>
    </row>
    <row r="7510" spans="13:13" x14ac:dyDescent="0.25">
      <c r="M7510" s="21"/>
    </row>
    <row r="7511" spans="13:13" x14ac:dyDescent="0.25">
      <c r="M7511" s="21"/>
    </row>
    <row r="7512" spans="13:13" x14ac:dyDescent="0.25">
      <c r="M7512" s="21"/>
    </row>
    <row r="7513" spans="13:13" x14ac:dyDescent="0.25">
      <c r="M7513" s="21"/>
    </row>
    <row r="7514" spans="13:13" x14ac:dyDescent="0.25">
      <c r="M7514" s="21"/>
    </row>
    <row r="7515" spans="13:13" x14ac:dyDescent="0.25">
      <c r="M7515" s="21"/>
    </row>
    <row r="7516" spans="13:13" x14ac:dyDescent="0.25">
      <c r="M7516" s="21"/>
    </row>
    <row r="7517" spans="13:13" x14ac:dyDescent="0.25">
      <c r="M7517" s="21"/>
    </row>
    <row r="7518" spans="13:13" x14ac:dyDescent="0.25">
      <c r="M7518" s="21"/>
    </row>
    <row r="7519" spans="13:13" x14ac:dyDescent="0.25">
      <c r="M7519" s="21"/>
    </row>
    <row r="7520" spans="13:13" x14ac:dyDescent="0.25">
      <c r="M7520" s="21"/>
    </row>
    <row r="7521" spans="13:13" x14ac:dyDescent="0.25">
      <c r="M7521" s="21"/>
    </row>
    <row r="7522" spans="13:13" x14ac:dyDescent="0.25">
      <c r="M7522" s="21"/>
    </row>
    <row r="7523" spans="13:13" x14ac:dyDescent="0.25">
      <c r="M7523" s="21"/>
    </row>
    <row r="7524" spans="13:13" x14ac:dyDescent="0.25">
      <c r="M7524" s="21"/>
    </row>
    <row r="7525" spans="13:13" x14ac:dyDescent="0.25">
      <c r="M7525" s="21"/>
    </row>
    <row r="7526" spans="13:13" x14ac:dyDescent="0.25">
      <c r="M7526" s="21"/>
    </row>
    <row r="7527" spans="13:13" x14ac:dyDescent="0.25">
      <c r="M7527" s="21"/>
    </row>
    <row r="7528" spans="13:13" x14ac:dyDescent="0.25">
      <c r="M7528" s="21"/>
    </row>
    <row r="7529" spans="13:13" x14ac:dyDescent="0.25">
      <c r="M7529" s="21"/>
    </row>
    <row r="7530" spans="13:13" x14ac:dyDescent="0.25">
      <c r="M7530" s="21"/>
    </row>
    <row r="7531" spans="13:13" x14ac:dyDescent="0.25">
      <c r="M7531" s="21"/>
    </row>
    <row r="7532" spans="13:13" x14ac:dyDescent="0.25">
      <c r="M7532" s="21"/>
    </row>
    <row r="7533" spans="13:13" x14ac:dyDescent="0.25">
      <c r="M7533" s="21"/>
    </row>
    <row r="7534" spans="13:13" x14ac:dyDescent="0.25">
      <c r="M7534" s="21"/>
    </row>
    <row r="7535" spans="13:13" x14ac:dyDescent="0.25">
      <c r="M7535" s="21"/>
    </row>
    <row r="7536" spans="13:13" x14ac:dyDescent="0.25">
      <c r="M7536" s="21"/>
    </row>
    <row r="7537" spans="13:13" x14ac:dyDescent="0.25">
      <c r="M7537" s="21"/>
    </row>
    <row r="7538" spans="13:13" x14ac:dyDescent="0.25">
      <c r="M7538" s="21"/>
    </row>
    <row r="7539" spans="13:13" x14ac:dyDescent="0.25">
      <c r="M7539" s="21"/>
    </row>
    <row r="7540" spans="13:13" x14ac:dyDescent="0.25">
      <c r="M7540" s="21"/>
    </row>
    <row r="7541" spans="13:13" x14ac:dyDescent="0.25">
      <c r="M7541" s="21"/>
    </row>
    <row r="7542" spans="13:13" x14ac:dyDescent="0.25">
      <c r="M7542" s="21"/>
    </row>
    <row r="7543" spans="13:13" x14ac:dyDescent="0.25">
      <c r="M7543" s="21"/>
    </row>
    <row r="7544" spans="13:13" x14ac:dyDescent="0.25">
      <c r="M7544" s="21"/>
    </row>
    <row r="7545" spans="13:13" x14ac:dyDescent="0.25">
      <c r="M7545" s="21"/>
    </row>
    <row r="7546" spans="13:13" x14ac:dyDescent="0.25">
      <c r="M7546" s="21"/>
    </row>
    <row r="7547" spans="13:13" x14ac:dyDescent="0.25">
      <c r="M7547" s="21"/>
    </row>
    <row r="7548" spans="13:13" x14ac:dyDescent="0.25">
      <c r="M7548" s="21"/>
    </row>
    <row r="7549" spans="13:13" x14ac:dyDescent="0.25">
      <c r="M7549" s="21"/>
    </row>
    <row r="7550" spans="13:13" x14ac:dyDescent="0.25">
      <c r="M7550" s="21"/>
    </row>
    <row r="7551" spans="13:13" x14ac:dyDescent="0.25">
      <c r="M7551" s="21"/>
    </row>
    <row r="7552" spans="13:13" x14ac:dyDescent="0.25">
      <c r="M7552" s="21"/>
    </row>
    <row r="7553" spans="13:13" x14ac:dyDescent="0.25">
      <c r="M7553" s="21"/>
    </row>
    <row r="7554" spans="13:13" x14ac:dyDescent="0.25">
      <c r="M7554" s="21"/>
    </row>
    <row r="7555" spans="13:13" x14ac:dyDescent="0.25">
      <c r="M7555" s="21"/>
    </row>
    <row r="7556" spans="13:13" x14ac:dyDescent="0.25">
      <c r="M7556" s="21"/>
    </row>
    <row r="7557" spans="13:13" x14ac:dyDescent="0.25">
      <c r="M7557" s="21"/>
    </row>
    <row r="7558" spans="13:13" x14ac:dyDescent="0.25">
      <c r="M7558" s="21"/>
    </row>
    <row r="7559" spans="13:13" x14ac:dyDescent="0.25">
      <c r="M7559" s="21"/>
    </row>
    <row r="7560" spans="13:13" x14ac:dyDescent="0.25">
      <c r="M7560" s="21"/>
    </row>
    <row r="7561" spans="13:13" x14ac:dyDescent="0.25">
      <c r="M7561" s="21"/>
    </row>
    <row r="7562" spans="13:13" x14ac:dyDescent="0.25">
      <c r="M7562" s="21"/>
    </row>
    <row r="7563" spans="13:13" x14ac:dyDescent="0.25">
      <c r="M7563" s="21"/>
    </row>
    <row r="7564" spans="13:13" x14ac:dyDescent="0.25">
      <c r="M7564" s="21"/>
    </row>
    <row r="7565" spans="13:13" x14ac:dyDescent="0.25">
      <c r="M7565" s="21"/>
    </row>
    <row r="7566" spans="13:13" x14ac:dyDescent="0.25">
      <c r="M7566" s="21"/>
    </row>
    <row r="7567" spans="13:13" x14ac:dyDescent="0.25">
      <c r="M7567" s="21"/>
    </row>
    <row r="7568" spans="13:13" x14ac:dyDescent="0.25">
      <c r="M7568" s="21"/>
    </row>
    <row r="7569" spans="13:13" x14ac:dyDescent="0.25">
      <c r="M7569" s="21"/>
    </row>
    <row r="7570" spans="13:13" x14ac:dyDescent="0.25">
      <c r="M7570" s="21"/>
    </row>
    <row r="7571" spans="13:13" x14ac:dyDescent="0.25">
      <c r="M7571" s="21"/>
    </row>
    <row r="7572" spans="13:13" x14ac:dyDescent="0.25">
      <c r="M7572" s="21"/>
    </row>
    <row r="7573" spans="13:13" x14ac:dyDescent="0.25">
      <c r="M7573" s="21"/>
    </row>
    <row r="7574" spans="13:13" x14ac:dyDescent="0.25">
      <c r="M7574" s="21"/>
    </row>
    <row r="7575" spans="13:13" x14ac:dyDescent="0.25">
      <c r="M7575" s="21"/>
    </row>
    <row r="7576" spans="13:13" x14ac:dyDescent="0.25">
      <c r="M7576" s="21"/>
    </row>
    <row r="7577" spans="13:13" x14ac:dyDescent="0.25">
      <c r="M7577" s="21"/>
    </row>
    <row r="7578" spans="13:13" x14ac:dyDescent="0.25">
      <c r="M7578" s="21"/>
    </row>
    <row r="7579" spans="13:13" x14ac:dyDescent="0.25">
      <c r="M7579" s="21"/>
    </row>
    <row r="7580" spans="13:13" x14ac:dyDescent="0.25">
      <c r="M7580" s="21"/>
    </row>
    <row r="7581" spans="13:13" x14ac:dyDescent="0.25">
      <c r="M7581" s="21"/>
    </row>
    <row r="7582" spans="13:13" x14ac:dyDescent="0.25">
      <c r="M7582" s="21"/>
    </row>
    <row r="7583" spans="13:13" x14ac:dyDescent="0.25">
      <c r="M7583" s="21"/>
    </row>
    <row r="7584" spans="13:13" x14ac:dyDescent="0.25">
      <c r="M7584" s="21"/>
    </row>
    <row r="7585" spans="13:13" x14ac:dyDescent="0.25">
      <c r="M7585" s="21"/>
    </row>
    <row r="7586" spans="13:13" x14ac:dyDescent="0.25">
      <c r="M7586" s="21"/>
    </row>
    <row r="7587" spans="13:13" x14ac:dyDescent="0.25">
      <c r="M7587" s="21"/>
    </row>
    <row r="7588" spans="13:13" x14ac:dyDescent="0.25">
      <c r="M7588" s="21"/>
    </row>
    <row r="7589" spans="13:13" x14ac:dyDescent="0.25">
      <c r="M7589" s="21"/>
    </row>
    <row r="7590" spans="13:13" x14ac:dyDescent="0.25">
      <c r="M7590" s="21"/>
    </row>
    <row r="7591" spans="13:13" x14ac:dyDescent="0.25">
      <c r="M7591" s="21"/>
    </row>
    <row r="7592" spans="13:13" x14ac:dyDescent="0.25">
      <c r="M7592" s="21"/>
    </row>
    <row r="7593" spans="13:13" x14ac:dyDescent="0.25">
      <c r="M7593" s="21"/>
    </row>
    <row r="7594" spans="13:13" x14ac:dyDescent="0.25">
      <c r="M7594" s="21"/>
    </row>
    <row r="7595" spans="13:13" x14ac:dyDescent="0.25">
      <c r="M7595" s="21"/>
    </row>
    <row r="7596" spans="13:13" x14ac:dyDescent="0.25">
      <c r="M7596" s="21"/>
    </row>
    <row r="7597" spans="13:13" x14ac:dyDescent="0.25">
      <c r="M7597" s="21"/>
    </row>
    <row r="7598" spans="13:13" x14ac:dyDescent="0.25">
      <c r="M7598" s="21"/>
    </row>
    <row r="7599" spans="13:13" x14ac:dyDescent="0.25">
      <c r="M7599" s="21"/>
    </row>
    <row r="7600" spans="13:13" x14ac:dyDescent="0.25">
      <c r="M7600" s="21"/>
    </row>
    <row r="7601" spans="13:13" x14ac:dyDescent="0.25">
      <c r="M7601" s="21"/>
    </row>
    <row r="7602" spans="13:13" x14ac:dyDescent="0.25">
      <c r="M7602" s="21"/>
    </row>
    <row r="7603" spans="13:13" x14ac:dyDescent="0.25">
      <c r="M7603" s="21"/>
    </row>
    <row r="7604" spans="13:13" x14ac:dyDescent="0.25">
      <c r="M7604" s="21"/>
    </row>
    <row r="7605" spans="13:13" x14ac:dyDescent="0.25">
      <c r="M7605" s="21"/>
    </row>
    <row r="7606" spans="13:13" x14ac:dyDescent="0.25">
      <c r="M7606" s="21"/>
    </row>
    <row r="7607" spans="13:13" x14ac:dyDescent="0.25">
      <c r="M7607" s="21"/>
    </row>
    <row r="7608" spans="13:13" x14ac:dyDescent="0.25">
      <c r="M7608" s="21"/>
    </row>
    <row r="7609" spans="13:13" x14ac:dyDescent="0.25">
      <c r="M7609" s="21"/>
    </row>
    <row r="7610" spans="13:13" x14ac:dyDescent="0.25">
      <c r="M7610" s="21"/>
    </row>
    <row r="7611" spans="13:13" x14ac:dyDescent="0.25">
      <c r="M7611" s="21"/>
    </row>
    <row r="7612" spans="13:13" x14ac:dyDescent="0.25">
      <c r="M7612" s="21"/>
    </row>
    <row r="7613" spans="13:13" x14ac:dyDescent="0.25">
      <c r="M7613" s="21"/>
    </row>
    <row r="7614" spans="13:13" x14ac:dyDescent="0.25">
      <c r="M7614" s="21"/>
    </row>
    <row r="7615" spans="13:13" x14ac:dyDescent="0.25">
      <c r="M7615" s="21"/>
    </row>
    <row r="7616" spans="13:13" x14ac:dyDescent="0.25">
      <c r="M7616" s="21"/>
    </row>
    <row r="7617" spans="13:13" x14ac:dyDescent="0.25">
      <c r="M7617" s="21"/>
    </row>
    <row r="7618" spans="13:13" x14ac:dyDescent="0.25">
      <c r="M7618" s="21"/>
    </row>
    <row r="7619" spans="13:13" x14ac:dyDescent="0.25">
      <c r="M7619" s="21"/>
    </row>
    <row r="7620" spans="13:13" x14ac:dyDescent="0.25">
      <c r="M7620" s="21"/>
    </row>
    <row r="7621" spans="13:13" x14ac:dyDescent="0.25">
      <c r="M7621" s="21"/>
    </row>
    <row r="7622" spans="13:13" x14ac:dyDescent="0.25">
      <c r="M7622" s="21"/>
    </row>
    <row r="7623" spans="13:13" x14ac:dyDescent="0.25">
      <c r="M7623" s="21"/>
    </row>
    <row r="7624" spans="13:13" x14ac:dyDescent="0.25">
      <c r="M7624" s="21"/>
    </row>
    <row r="7625" spans="13:13" x14ac:dyDescent="0.25">
      <c r="M7625" s="21"/>
    </row>
    <row r="7626" spans="13:13" x14ac:dyDescent="0.25">
      <c r="M7626" s="21"/>
    </row>
    <row r="7627" spans="13:13" x14ac:dyDescent="0.25">
      <c r="M7627" s="21"/>
    </row>
    <row r="7628" spans="13:13" x14ac:dyDescent="0.25">
      <c r="M7628" s="21"/>
    </row>
    <row r="7629" spans="13:13" x14ac:dyDescent="0.25">
      <c r="M7629" s="21"/>
    </row>
    <row r="7630" spans="13:13" x14ac:dyDescent="0.25">
      <c r="M7630" s="21"/>
    </row>
    <row r="7631" spans="13:13" x14ac:dyDescent="0.25">
      <c r="M7631" s="21"/>
    </row>
    <row r="7632" spans="13:13" x14ac:dyDescent="0.25">
      <c r="M7632" s="21"/>
    </row>
    <row r="7633" spans="13:13" x14ac:dyDescent="0.25">
      <c r="M7633" s="21"/>
    </row>
    <row r="7634" spans="13:13" x14ac:dyDescent="0.25">
      <c r="M7634" s="21"/>
    </row>
    <row r="7635" spans="13:13" x14ac:dyDescent="0.25">
      <c r="M7635" s="21"/>
    </row>
    <row r="7636" spans="13:13" x14ac:dyDescent="0.25">
      <c r="M7636" s="21"/>
    </row>
    <row r="7637" spans="13:13" x14ac:dyDescent="0.25">
      <c r="M7637" s="21"/>
    </row>
    <row r="7638" spans="13:13" x14ac:dyDescent="0.25">
      <c r="M7638" s="21"/>
    </row>
    <row r="7639" spans="13:13" x14ac:dyDescent="0.25">
      <c r="M7639" s="21"/>
    </row>
    <row r="7640" spans="13:13" x14ac:dyDescent="0.25">
      <c r="M7640" s="21"/>
    </row>
    <row r="7641" spans="13:13" x14ac:dyDescent="0.25">
      <c r="M7641" s="21"/>
    </row>
    <row r="7642" spans="13:13" x14ac:dyDescent="0.25">
      <c r="M7642" s="21"/>
    </row>
    <row r="7643" spans="13:13" x14ac:dyDescent="0.25">
      <c r="M7643" s="21"/>
    </row>
    <row r="7644" spans="13:13" x14ac:dyDescent="0.25">
      <c r="M7644" s="21"/>
    </row>
    <row r="7645" spans="13:13" x14ac:dyDescent="0.25">
      <c r="M7645" s="21"/>
    </row>
    <row r="7646" spans="13:13" x14ac:dyDescent="0.25">
      <c r="M7646" s="21"/>
    </row>
    <row r="7647" spans="13:13" x14ac:dyDescent="0.25">
      <c r="M7647" s="21"/>
    </row>
    <row r="7648" spans="13:13" x14ac:dyDescent="0.25">
      <c r="M7648" s="21"/>
    </row>
    <row r="7649" spans="13:13" x14ac:dyDescent="0.25">
      <c r="M7649" s="21"/>
    </row>
    <row r="7650" spans="13:13" x14ac:dyDescent="0.25">
      <c r="M7650" s="21"/>
    </row>
    <row r="7651" spans="13:13" x14ac:dyDescent="0.25">
      <c r="M7651" s="21"/>
    </row>
    <row r="7652" spans="13:13" x14ac:dyDescent="0.25">
      <c r="M7652" s="21"/>
    </row>
    <row r="7653" spans="13:13" x14ac:dyDescent="0.25">
      <c r="M7653" s="21"/>
    </row>
    <row r="7654" spans="13:13" x14ac:dyDescent="0.25">
      <c r="M7654" s="21"/>
    </row>
    <row r="7655" spans="13:13" x14ac:dyDescent="0.25">
      <c r="M7655" s="21"/>
    </row>
    <row r="7656" spans="13:13" x14ac:dyDescent="0.25">
      <c r="M7656" s="21"/>
    </row>
    <row r="7657" spans="13:13" x14ac:dyDescent="0.25">
      <c r="M7657" s="21"/>
    </row>
    <row r="7658" spans="13:13" x14ac:dyDescent="0.25">
      <c r="M7658" s="21"/>
    </row>
    <row r="7659" spans="13:13" x14ac:dyDescent="0.25">
      <c r="M7659" s="21"/>
    </row>
    <row r="7660" spans="13:13" x14ac:dyDescent="0.25">
      <c r="M7660" s="21"/>
    </row>
    <row r="7661" spans="13:13" x14ac:dyDescent="0.25">
      <c r="M7661" s="21"/>
    </row>
    <row r="7662" spans="13:13" x14ac:dyDescent="0.25">
      <c r="M7662" s="21"/>
    </row>
    <row r="7663" spans="13:13" x14ac:dyDescent="0.25">
      <c r="M7663" s="21"/>
    </row>
    <row r="7664" spans="13:13" x14ac:dyDescent="0.25">
      <c r="M7664" s="21"/>
    </row>
    <row r="7665" spans="13:13" x14ac:dyDescent="0.25">
      <c r="M7665" s="21"/>
    </row>
    <row r="7666" spans="13:13" x14ac:dyDescent="0.25">
      <c r="M7666" s="21"/>
    </row>
    <row r="7667" spans="13:13" x14ac:dyDescent="0.25">
      <c r="M7667" s="21"/>
    </row>
    <row r="7668" spans="13:13" x14ac:dyDescent="0.25">
      <c r="M7668" s="21"/>
    </row>
    <row r="7669" spans="13:13" x14ac:dyDescent="0.25">
      <c r="M7669" s="21"/>
    </row>
    <row r="7670" spans="13:13" x14ac:dyDescent="0.25">
      <c r="M7670" s="21"/>
    </row>
    <row r="7671" spans="13:13" x14ac:dyDescent="0.25">
      <c r="M7671" s="21"/>
    </row>
    <row r="7672" spans="13:13" x14ac:dyDescent="0.25">
      <c r="M7672" s="21"/>
    </row>
    <row r="7673" spans="13:13" x14ac:dyDescent="0.25">
      <c r="M7673" s="21"/>
    </row>
    <row r="7674" spans="13:13" x14ac:dyDescent="0.25">
      <c r="M7674" s="21"/>
    </row>
    <row r="7675" spans="13:13" x14ac:dyDescent="0.25">
      <c r="M7675" s="21"/>
    </row>
    <row r="7676" spans="13:13" x14ac:dyDescent="0.25">
      <c r="M7676" s="21"/>
    </row>
    <row r="7677" spans="13:13" x14ac:dyDescent="0.25">
      <c r="M7677" s="21"/>
    </row>
    <row r="7678" spans="13:13" x14ac:dyDescent="0.25">
      <c r="M7678" s="21"/>
    </row>
    <row r="7679" spans="13:13" x14ac:dyDescent="0.25">
      <c r="M7679" s="21"/>
    </row>
    <row r="7680" spans="13:13" x14ac:dyDescent="0.25">
      <c r="M7680" s="21"/>
    </row>
    <row r="7681" spans="13:13" x14ac:dyDescent="0.25">
      <c r="M7681" s="21"/>
    </row>
    <row r="7682" spans="13:13" x14ac:dyDescent="0.25">
      <c r="M7682" s="21"/>
    </row>
    <row r="7683" spans="13:13" x14ac:dyDescent="0.25">
      <c r="M7683" s="21"/>
    </row>
    <row r="7684" spans="13:13" x14ac:dyDescent="0.25">
      <c r="M7684" s="21"/>
    </row>
    <row r="7685" spans="13:13" x14ac:dyDescent="0.25">
      <c r="M7685" s="21"/>
    </row>
    <row r="7686" spans="13:13" x14ac:dyDescent="0.25">
      <c r="M7686" s="21"/>
    </row>
    <row r="7687" spans="13:13" x14ac:dyDescent="0.25">
      <c r="M7687" s="21"/>
    </row>
    <row r="7688" spans="13:13" x14ac:dyDescent="0.25">
      <c r="M7688" s="21"/>
    </row>
    <row r="7689" spans="13:13" x14ac:dyDescent="0.25">
      <c r="M7689" s="21"/>
    </row>
    <row r="7690" spans="13:13" x14ac:dyDescent="0.25">
      <c r="M7690" s="21"/>
    </row>
    <row r="7691" spans="13:13" x14ac:dyDescent="0.25">
      <c r="M7691" s="21"/>
    </row>
    <row r="7692" spans="13:13" x14ac:dyDescent="0.25">
      <c r="M7692" s="21"/>
    </row>
    <row r="7693" spans="13:13" x14ac:dyDescent="0.25">
      <c r="M7693" s="21"/>
    </row>
    <row r="7694" spans="13:13" x14ac:dyDescent="0.25">
      <c r="M7694" s="21"/>
    </row>
    <row r="7695" spans="13:13" x14ac:dyDescent="0.25">
      <c r="M7695" s="21"/>
    </row>
    <row r="7696" spans="13:13" x14ac:dyDescent="0.25">
      <c r="M7696" s="21"/>
    </row>
    <row r="7697" spans="13:13" x14ac:dyDescent="0.25">
      <c r="M7697" s="21"/>
    </row>
    <row r="7698" spans="13:13" x14ac:dyDescent="0.25">
      <c r="M7698" s="21"/>
    </row>
    <row r="7699" spans="13:13" x14ac:dyDescent="0.25">
      <c r="M7699" s="21"/>
    </row>
    <row r="7700" spans="13:13" x14ac:dyDescent="0.25">
      <c r="M7700" s="21"/>
    </row>
    <row r="7701" spans="13:13" x14ac:dyDescent="0.25">
      <c r="M7701" s="21"/>
    </row>
    <row r="7702" spans="13:13" x14ac:dyDescent="0.25">
      <c r="M7702" s="21"/>
    </row>
    <row r="7703" spans="13:13" x14ac:dyDescent="0.25">
      <c r="M7703" s="21"/>
    </row>
    <row r="7704" spans="13:13" x14ac:dyDescent="0.25">
      <c r="M7704" s="21"/>
    </row>
    <row r="7705" spans="13:13" x14ac:dyDescent="0.25">
      <c r="M7705" s="21"/>
    </row>
    <row r="7706" spans="13:13" x14ac:dyDescent="0.25">
      <c r="M7706" s="21"/>
    </row>
    <row r="7707" spans="13:13" x14ac:dyDescent="0.25">
      <c r="M7707" s="21"/>
    </row>
    <row r="7708" spans="13:13" x14ac:dyDescent="0.25">
      <c r="M7708" s="21"/>
    </row>
    <row r="7709" spans="13:13" x14ac:dyDescent="0.25">
      <c r="M7709" s="21"/>
    </row>
    <row r="7710" spans="13:13" x14ac:dyDescent="0.25">
      <c r="M7710" s="21"/>
    </row>
    <row r="7711" spans="13:13" x14ac:dyDescent="0.25">
      <c r="M7711" s="21"/>
    </row>
    <row r="7712" spans="13:13" x14ac:dyDescent="0.25">
      <c r="M7712" s="21"/>
    </row>
    <row r="7713" spans="13:13" x14ac:dyDescent="0.25">
      <c r="M7713" s="21"/>
    </row>
    <row r="7714" spans="13:13" x14ac:dyDescent="0.25">
      <c r="M7714" s="21"/>
    </row>
    <row r="7715" spans="13:13" x14ac:dyDescent="0.25">
      <c r="M7715" s="21"/>
    </row>
    <row r="7716" spans="13:13" x14ac:dyDescent="0.25">
      <c r="M7716" s="21"/>
    </row>
    <row r="7717" spans="13:13" x14ac:dyDescent="0.25">
      <c r="M7717" s="21"/>
    </row>
    <row r="7718" spans="13:13" x14ac:dyDescent="0.25">
      <c r="M7718" s="21"/>
    </row>
    <row r="7719" spans="13:13" x14ac:dyDescent="0.25">
      <c r="M7719" s="21"/>
    </row>
    <row r="7720" spans="13:13" x14ac:dyDescent="0.25">
      <c r="M7720" s="21"/>
    </row>
    <row r="7721" spans="13:13" x14ac:dyDescent="0.25">
      <c r="M7721" s="21"/>
    </row>
    <row r="7722" spans="13:13" x14ac:dyDescent="0.25">
      <c r="M7722" s="21"/>
    </row>
    <row r="7723" spans="13:13" x14ac:dyDescent="0.25">
      <c r="M7723" s="21"/>
    </row>
    <row r="7724" spans="13:13" x14ac:dyDescent="0.25">
      <c r="M7724" s="21"/>
    </row>
    <row r="7725" spans="13:13" x14ac:dyDescent="0.25">
      <c r="M7725" s="21"/>
    </row>
    <row r="7726" spans="13:13" x14ac:dyDescent="0.25">
      <c r="M7726" s="21"/>
    </row>
    <row r="7727" spans="13:13" x14ac:dyDescent="0.25">
      <c r="M7727" s="21"/>
    </row>
    <row r="7728" spans="13:13" x14ac:dyDescent="0.25">
      <c r="M7728" s="21"/>
    </row>
    <row r="7729" spans="13:13" x14ac:dyDescent="0.25">
      <c r="M7729" s="21"/>
    </row>
    <row r="7730" spans="13:13" x14ac:dyDescent="0.25">
      <c r="M7730" s="21"/>
    </row>
    <row r="7731" spans="13:13" x14ac:dyDescent="0.25">
      <c r="M7731" s="21"/>
    </row>
    <row r="7732" spans="13:13" x14ac:dyDescent="0.25">
      <c r="M7732" s="21"/>
    </row>
    <row r="7733" spans="13:13" x14ac:dyDescent="0.25">
      <c r="M7733" s="21"/>
    </row>
    <row r="7734" spans="13:13" x14ac:dyDescent="0.25">
      <c r="M7734" s="21"/>
    </row>
    <row r="7735" spans="13:13" x14ac:dyDescent="0.25">
      <c r="M7735" s="21"/>
    </row>
    <row r="7736" spans="13:13" x14ac:dyDescent="0.25">
      <c r="M7736" s="21"/>
    </row>
    <row r="7737" spans="13:13" x14ac:dyDescent="0.25">
      <c r="M7737" s="21"/>
    </row>
    <row r="7738" spans="13:13" x14ac:dyDescent="0.25">
      <c r="M7738" s="21"/>
    </row>
    <row r="7739" spans="13:13" x14ac:dyDescent="0.25">
      <c r="M7739" s="21"/>
    </row>
    <row r="7740" spans="13:13" x14ac:dyDescent="0.25">
      <c r="M7740" s="21"/>
    </row>
    <row r="7741" spans="13:13" x14ac:dyDescent="0.25">
      <c r="M7741" s="21"/>
    </row>
    <row r="7742" spans="13:13" x14ac:dyDescent="0.25">
      <c r="M7742" s="21"/>
    </row>
    <row r="7743" spans="13:13" x14ac:dyDescent="0.25">
      <c r="M7743" s="21"/>
    </row>
    <row r="7744" spans="13:13" x14ac:dyDescent="0.25">
      <c r="M7744" s="21"/>
    </row>
    <row r="7745" spans="13:13" x14ac:dyDescent="0.25">
      <c r="M7745" s="21"/>
    </row>
    <row r="7746" spans="13:13" x14ac:dyDescent="0.25">
      <c r="M7746" s="21"/>
    </row>
    <row r="7747" spans="13:13" x14ac:dyDescent="0.25">
      <c r="M7747" s="21"/>
    </row>
    <row r="7748" spans="13:13" x14ac:dyDescent="0.25">
      <c r="M7748" s="21"/>
    </row>
    <row r="7749" spans="13:13" x14ac:dyDescent="0.25">
      <c r="M7749" s="21"/>
    </row>
    <row r="7750" spans="13:13" x14ac:dyDescent="0.25">
      <c r="M7750" s="21"/>
    </row>
    <row r="7751" spans="13:13" x14ac:dyDescent="0.25">
      <c r="M7751" s="21"/>
    </row>
    <row r="7752" spans="13:13" x14ac:dyDescent="0.25">
      <c r="M7752" s="21"/>
    </row>
    <row r="7753" spans="13:13" x14ac:dyDescent="0.25">
      <c r="M7753" s="21"/>
    </row>
    <row r="7754" spans="13:13" x14ac:dyDescent="0.25">
      <c r="M7754" s="21"/>
    </row>
    <row r="7755" spans="13:13" x14ac:dyDescent="0.25">
      <c r="M7755" s="21"/>
    </row>
    <row r="7756" spans="13:13" x14ac:dyDescent="0.25">
      <c r="M7756" s="21"/>
    </row>
    <row r="7757" spans="13:13" x14ac:dyDescent="0.25">
      <c r="M7757" s="21"/>
    </row>
    <row r="7758" spans="13:13" x14ac:dyDescent="0.25">
      <c r="M7758" s="21"/>
    </row>
    <row r="7759" spans="13:13" x14ac:dyDescent="0.25">
      <c r="M7759" s="21"/>
    </row>
    <row r="7760" spans="13:13" x14ac:dyDescent="0.25">
      <c r="M7760" s="21"/>
    </row>
    <row r="7761" spans="13:13" x14ac:dyDescent="0.25">
      <c r="M7761" s="21"/>
    </row>
    <row r="7762" spans="13:13" x14ac:dyDescent="0.25">
      <c r="M7762" s="21"/>
    </row>
    <row r="7763" spans="13:13" x14ac:dyDescent="0.25">
      <c r="M7763" s="21"/>
    </row>
    <row r="7764" spans="13:13" x14ac:dyDescent="0.25">
      <c r="M7764" s="21"/>
    </row>
    <row r="7765" spans="13:13" x14ac:dyDescent="0.25">
      <c r="M7765" s="21"/>
    </row>
    <row r="7766" spans="13:13" x14ac:dyDescent="0.25">
      <c r="M7766" s="21"/>
    </row>
    <row r="7767" spans="13:13" x14ac:dyDescent="0.25">
      <c r="M7767" s="21"/>
    </row>
    <row r="7768" spans="13:13" x14ac:dyDescent="0.25">
      <c r="M7768" s="21"/>
    </row>
    <row r="7769" spans="13:13" x14ac:dyDescent="0.25">
      <c r="M7769" s="21"/>
    </row>
    <row r="7770" spans="13:13" x14ac:dyDescent="0.25">
      <c r="M7770" s="21"/>
    </row>
    <row r="7771" spans="13:13" x14ac:dyDescent="0.25">
      <c r="M7771" s="21"/>
    </row>
    <row r="7772" spans="13:13" x14ac:dyDescent="0.25">
      <c r="M7772" s="21"/>
    </row>
    <row r="7773" spans="13:13" x14ac:dyDescent="0.25">
      <c r="M7773" s="21"/>
    </row>
    <row r="7774" spans="13:13" x14ac:dyDescent="0.25">
      <c r="M7774" s="21"/>
    </row>
    <row r="7775" spans="13:13" x14ac:dyDescent="0.25">
      <c r="M7775" s="21"/>
    </row>
    <row r="7776" spans="13:13" x14ac:dyDescent="0.25">
      <c r="M7776" s="21"/>
    </row>
    <row r="7777" spans="13:13" x14ac:dyDescent="0.25">
      <c r="M7777" s="21"/>
    </row>
    <row r="7778" spans="13:13" x14ac:dyDescent="0.25">
      <c r="M7778" s="21"/>
    </row>
    <row r="7779" spans="13:13" x14ac:dyDescent="0.25">
      <c r="M7779" s="21"/>
    </row>
    <row r="7780" spans="13:13" x14ac:dyDescent="0.25">
      <c r="M7780" s="21"/>
    </row>
    <row r="7781" spans="13:13" x14ac:dyDescent="0.25">
      <c r="M7781" s="21"/>
    </row>
    <row r="7782" spans="13:13" x14ac:dyDescent="0.25">
      <c r="M7782" s="21"/>
    </row>
    <row r="7783" spans="13:13" x14ac:dyDescent="0.25">
      <c r="M7783" s="21"/>
    </row>
    <row r="7784" spans="13:13" x14ac:dyDescent="0.25">
      <c r="M7784" s="21"/>
    </row>
    <row r="7785" spans="13:13" x14ac:dyDescent="0.25">
      <c r="M7785" s="21"/>
    </row>
    <row r="7786" spans="13:13" x14ac:dyDescent="0.25">
      <c r="M7786" s="21"/>
    </row>
    <row r="7787" spans="13:13" x14ac:dyDescent="0.25">
      <c r="M7787" s="21"/>
    </row>
    <row r="7788" spans="13:13" x14ac:dyDescent="0.25">
      <c r="M7788" s="21"/>
    </row>
    <row r="7789" spans="13:13" x14ac:dyDescent="0.25">
      <c r="M7789" s="21"/>
    </row>
    <row r="7790" spans="13:13" x14ac:dyDescent="0.25">
      <c r="M7790" s="21"/>
    </row>
    <row r="7791" spans="13:13" x14ac:dyDescent="0.25">
      <c r="M7791" s="21"/>
    </row>
    <row r="7792" spans="13:13" x14ac:dyDescent="0.25">
      <c r="M7792" s="21"/>
    </row>
    <row r="7793" spans="13:13" x14ac:dyDescent="0.25">
      <c r="M7793" s="21"/>
    </row>
    <row r="7794" spans="13:13" x14ac:dyDescent="0.25">
      <c r="M7794" s="21"/>
    </row>
    <row r="7795" spans="13:13" x14ac:dyDescent="0.25">
      <c r="M7795" s="21"/>
    </row>
    <row r="7796" spans="13:13" x14ac:dyDescent="0.25">
      <c r="M7796" s="21"/>
    </row>
    <row r="7797" spans="13:13" x14ac:dyDescent="0.25">
      <c r="M7797" s="21"/>
    </row>
    <row r="7798" spans="13:13" x14ac:dyDescent="0.25">
      <c r="M7798" s="21"/>
    </row>
    <row r="7799" spans="13:13" x14ac:dyDescent="0.25">
      <c r="M7799" s="21"/>
    </row>
    <row r="7800" spans="13:13" x14ac:dyDescent="0.25">
      <c r="M7800" s="21"/>
    </row>
    <row r="7801" spans="13:13" x14ac:dyDescent="0.25">
      <c r="M7801" s="21"/>
    </row>
    <row r="7802" spans="13:13" x14ac:dyDescent="0.25">
      <c r="M7802" s="21"/>
    </row>
    <row r="7803" spans="13:13" x14ac:dyDescent="0.25">
      <c r="M7803" s="21"/>
    </row>
    <row r="7804" spans="13:13" x14ac:dyDescent="0.25">
      <c r="M7804" s="21"/>
    </row>
    <row r="7805" spans="13:13" x14ac:dyDescent="0.25">
      <c r="M7805" s="21"/>
    </row>
    <row r="7806" spans="13:13" x14ac:dyDescent="0.25">
      <c r="M7806" s="21"/>
    </row>
    <row r="7807" spans="13:13" x14ac:dyDescent="0.25">
      <c r="M7807" s="21"/>
    </row>
    <row r="7808" spans="13:13" x14ac:dyDescent="0.25">
      <c r="M7808" s="21"/>
    </row>
    <row r="7809" spans="13:13" x14ac:dyDescent="0.25">
      <c r="M7809" s="21"/>
    </row>
    <row r="7810" spans="13:13" x14ac:dyDescent="0.25">
      <c r="M7810" s="21"/>
    </row>
    <row r="7811" spans="13:13" x14ac:dyDescent="0.25">
      <c r="M7811" s="21"/>
    </row>
    <row r="7812" spans="13:13" x14ac:dyDescent="0.25">
      <c r="M7812" s="21"/>
    </row>
    <row r="7813" spans="13:13" x14ac:dyDescent="0.25">
      <c r="M7813" s="21"/>
    </row>
    <row r="7814" spans="13:13" x14ac:dyDescent="0.25">
      <c r="M7814" s="21"/>
    </row>
    <row r="7815" spans="13:13" x14ac:dyDescent="0.25">
      <c r="M7815" s="21"/>
    </row>
    <row r="7816" spans="13:13" x14ac:dyDescent="0.25">
      <c r="M7816" s="21"/>
    </row>
    <row r="7817" spans="13:13" x14ac:dyDescent="0.25">
      <c r="M7817" s="21"/>
    </row>
    <row r="7818" spans="13:13" x14ac:dyDescent="0.25">
      <c r="M7818" s="21"/>
    </row>
    <row r="7819" spans="13:13" x14ac:dyDescent="0.25">
      <c r="M7819" s="21"/>
    </row>
    <row r="7820" spans="13:13" x14ac:dyDescent="0.25">
      <c r="M7820" s="21"/>
    </row>
    <row r="7821" spans="13:13" x14ac:dyDescent="0.25">
      <c r="M7821" s="21"/>
    </row>
    <row r="7822" spans="13:13" x14ac:dyDescent="0.25">
      <c r="M7822" s="21"/>
    </row>
    <row r="7823" spans="13:13" x14ac:dyDescent="0.25">
      <c r="M7823" s="21"/>
    </row>
    <row r="7824" spans="13:13" x14ac:dyDescent="0.25">
      <c r="M7824" s="21"/>
    </row>
    <row r="7825" spans="13:13" x14ac:dyDescent="0.25">
      <c r="M7825" s="21"/>
    </row>
    <row r="7826" spans="13:13" x14ac:dyDescent="0.25">
      <c r="M7826" s="21"/>
    </row>
    <row r="7827" spans="13:13" x14ac:dyDescent="0.25">
      <c r="M7827" s="21"/>
    </row>
    <row r="7828" spans="13:13" x14ac:dyDescent="0.25">
      <c r="M7828" s="21"/>
    </row>
    <row r="7829" spans="13:13" x14ac:dyDescent="0.25">
      <c r="M7829" s="21"/>
    </row>
    <row r="7830" spans="13:13" x14ac:dyDescent="0.25">
      <c r="M7830" s="21"/>
    </row>
    <row r="7831" spans="13:13" x14ac:dyDescent="0.25">
      <c r="M7831" s="21"/>
    </row>
    <row r="7832" spans="13:13" x14ac:dyDescent="0.25">
      <c r="M7832" s="21"/>
    </row>
    <row r="7833" spans="13:13" x14ac:dyDescent="0.25">
      <c r="M7833" s="21"/>
    </row>
    <row r="7834" spans="13:13" x14ac:dyDescent="0.25">
      <c r="M7834" s="21"/>
    </row>
    <row r="7835" spans="13:13" x14ac:dyDescent="0.25">
      <c r="M7835" s="21"/>
    </row>
    <row r="7836" spans="13:13" x14ac:dyDescent="0.25">
      <c r="M7836" s="21"/>
    </row>
    <row r="7837" spans="13:13" x14ac:dyDescent="0.25">
      <c r="M7837" s="21"/>
    </row>
    <row r="7838" spans="13:13" x14ac:dyDescent="0.25">
      <c r="M7838" s="21"/>
    </row>
    <row r="7839" spans="13:13" x14ac:dyDescent="0.25">
      <c r="M7839" s="21"/>
    </row>
    <row r="7840" spans="13:13" x14ac:dyDescent="0.25">
      <c r="M7840" s="21"/>
    </row>
    <row r="7841" spans="13:13" x14ac:dyDescent="0.25">
      <c r="M7841" s="21"/>
    </row>
    <row r="7842" spans="13:13" x14ac:dyDescent="0.25">
      <c r="M7842" s="21"/>
    </row>
    <row r="7843" spans="13:13" x14ac:dyDescent="0.25">
      <c r="M7843" s="21"/>
    </row>
    <row r="7844" spans="13:13" x14ac:dyDescent="0.25">
      <c r="M7844" s="21"/>
    </row>
    <row r="7845" spans="13:13" x14ac:dyDescent="0.25">
      <c r="M7845" s="21"/>
    </row>
    <row r="7846" spans="13:13" x14ac:dyDescent="0.25">
      <c r="M7846" s="21"/>
    </row>
    <row r="7847" spans="13:13" x14ac:dyDescent="0.25">
      <c r="M7847" s="21"/>
    </row>
    <row r="7848" spans="13:13" x14ac:dyDescent="0.25">
      <c r="M7848" s="21"/>
    </row>
    <row r="7849" spans="13:13" x14ac:dyDescent="0.25">
      <c r="M7849" s="21"/>
    </row>
    <row r="7850" spans="13:13" x14ac:dyDescent="0.25">
      <c r="M7850" s="21"/>
    </row>
    <row r="7851" spans="13:13" x14ac:dyDescent="0.25">
      <c r="M7851" s="21"/>
    </row>
    <row r="7852" spans="13:13" x14ac:dyDescent="0.25">
      <c r="M7852" s="21"/>
    </row>
    <row r="7853" spans="13:13" x14ac:dyDescent="0.25">
      <c r="M7853" s="21"/>
    </row>
    <row r="7854" spans="13:13" x14ac:dyDescent="0.25">
      <c r="M7854" s="21"/>
    </row>
    <row r="7855" spans="13:13" x14ac:dyDescent="0.25">
      <c r="M7855" s="21"/>
    </row>
    <row r="7856" spans="13:13" x14ac:dyDescent="0.25">
      <c r="M7856" s="21"/>
    </row>
    <row r="7857" spans="13:13" x14ac:dyDescent="0.25">
      <c r="M7857" s="21"/>
    </row>
    <row r="7858" spans="13:13" x14ac:dyDescent="0.25">
      <c r="M7858" s="21"/>
    </row>
    <row r="7859" spans="13:13" x14ac:dyDescent="0.25">
      <c r="M7859" s="21"/>
    </row>
    <row r="7860" spans="13:13" x14ac:dyDescent="0.25">
      <c r="M7860" s="21"/>
    </row>
    <row r="7861" spans="13:13" x14ac:dyDescent="0.25">
      <c r="M7861" s="21"/>
    </row>
    <row r="7862" spans="13:13" x14ac:dyDescent="0.25">
      <c r="M7862" s="21"/>
    </row>
    <row r="7863" spans="13:13" x14ac:dyDescent="0.25">
      <c r="M7863" s="21"/>
    </row>
    <row r="7864" spans="13:13" x14ac:dyDescent="0.25">
      <c r="M7864" s="21"/>
    </row>
    <row r="7865" spans="13:13" x14ac:dyDescent="0.25">
      <c r="M7865" s="21"/>
    </row>
    <row r="7866" spans="13:13" x14ac:dyDescent="0.25">
      <c r="M7866" s="21"/>
    </row>
    <row r="7867" spans="13:13" x14ac:dyDescent="0.25">
      <c r="M7867" s="21"/>
    </row>
    <row r="7868" spans="13:13" x14ac:dyDescent="0.25">
      <c r="M7868" s="21"/>
    </row>
    <row r="7869" spans="13:13" x14ac:dyDescent="0.25">
      <c r="M7869" s="21"/>
    </row>
    <row r="7870" spans="13:13" x14ac:dyDescent="0.25">
      <c r="M7870" s="21"/>
    </row>
    <row r="7871" spans="13:13" x14ac:dyDescent="0.25">
      <c r="M7871" s="21"/>
    </row>
    <row r="7872" spans="13:13" x14ac:dyDescent="0.25">
      <c r="M7872" s="21"/>
    </row>
    <row r="7873" spans="13:13" x14ac:dyDescent="0.25">
      <c r="M7873" s="21"/>
    </row>
    <row r="7874" spans="13:13" x14ac:dyDescent="0.25">
      <c r="M7874" s="21"/>
    </row>
    <row r="7875" spans="13:13" x14ac:dyDescent="0.25">
      <c r="M7875" s="21"/>
    </row>
    <row r="7876" spans="13:13" x14ac:dyDescent="0.25">
      <c r="M7876" s="21"/>
    </row>
    <row r="7877" spans="13:13" x14ac:dyDescent="0.25">
      <c r="M7877" s="21"/>
    </row>
    <row r="7878" spans="13:13" x14ac:dyDescent="0.25">
      <c r="M7878" s="21"/>
    </row>
    <row r="7879" spans="13:13" x14ac:dyDescent="0.25">
      <c r="M7879" s="21"/>
    </row>
    <row r="7880" spans="13:13" x14ac:dyDescent="0.25">
      <c r="M7880" s="21"/>
    </row>
    <row r="7881" spans="13:13" x14ac:dyDescent="0.25">
      <c r="M7881" s="21"/>
    </row>
    <row r="7882" spans="13:13" x14ac:dyDescent="0.25">
      <c r="M7882" s="21"/>
    </row>
    <row r="7883" spans="13:13" x14ac:dyDescent="0.25">
      <c r="M7883" s="21"/>
    </row>
    <row r="7884" spans="13:13" x14ac:dyDescent="0.25">
      <c r="M7884" s="21"/>
    </row>
    <row r="7885" spans="13:13" x14ac:dyDescent="0.25">
      <c r="M7885" s="21"/>
    </row>
    <row r="7886" spans="13:13" x14ac:dyDescent="0.25">
      <c r="M7886" s="21"/>
    </row>
    <row r="7887" spans="13:13" x14ac:dyDescent="0.25">
      <c r="M7887" s="21"/>
    </row>
    <row r="7888" spans="13:13" x14ac:dyDescent="0.25">
      <c r="M7888" s="21"/>
    </row>
    <row r="7889" spans="13:13" x14ac:dyDescent="0.25">
      <c r="M7889" s="21"/>
    </row>
    <row r="7890" spans="13:13" x14ac:dyDescent="0.25">
      <c r="M7890" s="21"/>
    </row>
    <row r="7891" spans="13:13" x14ac:dyDescent="0.25">
      <c r="M7891" s="21"/>
    </row>
    <row r="7892" spans="13:13" x14ac:dyDescent="0.25">
      <c r="M7892" s="21"/>
    </row>
    <row r="7893" spans="13:13" x14ac:dyDescent="0.25">
      <c r="M7893" s="21"/>
    </row>
    <row r="7894" spans="13:13" x14ac:dyDescent="0.25">
      <c r="M7894" s="21"/>
    </row>
    <row r="7895" spans="13:13" x14ac:dyDescent="0.25">
      <c r="M7895" s="21"/>
    </row>
    <row r="7896" spans="13:13" x14ac:dyDescent="0.25">
      <c r="M7896" s="21"/>
    </row>
    <row r="7897" spans="13:13" x14ac:dyDescent="0.25">
      <c r="M7897" s="21"/>
    </row>
    <row r="7898" spans="13:13" x14ac:dyDescent="0.25">
      <c r="M7898" s="21"/>
    </row>
    <row r="7899" spans="13:13" x14ac:dyDescent="0.25">
      <c r="M7899" s="21"/>
    </row>
    <row r="7900" spans="13:13" x14ac:dyDescent="0.25">
      <c r="M7900" s="21"/>
    </row>
    <row r="7901" spans="13:13" x14ac:dyDescent="0.25">
      <c r="M7901" s="21"/>
    </row>
    <row r="7902" spans="13:13" x14ac:dyDescent="0.25">
      <c r="M7902" s="21"/>
    </row>
    <row r="7903" spans="13:13" x14ac:dyDescent="0.25">
      <c r="M7903" s="21"/>
    </row>
    <row r="7904" spans="13:13" x14ac:dyDescent="0.25">
      <c r="M7904" s="21"/>
    </row>
    <row r="7905" spans="13:13" x14ac:dyDescent="0.25">
      <c r="M7905" s="21"/>
    </row>
    <row r="7906" spans="13:13" x14ac:dyDescent="0.25">
      <c r="M7906" s="21"/>
    </row>
    <row r="7907" spans="13:13" x14ac:dyDescent="0.25">
      <c r="M7907" s="21"/>
    </row>
    <row r="7908" spans="13:13" x14ac:dyDescent="0.25">
      <c r="M7908" s="21"/>
    </row>
    <row r="7909" spans="13:13" x14ac:dyDescent="0.25">
      <c r="M7909" s="21"/>
    </row>
    <row r="7910" spans="13:13" x14ac:dyDescent="0.25">
      <c r="M7910" s="21"/>
    </row>
    <row r="7911" spans="13:13" x14ac:dyDescent="0.25">
      <c r="M7911" s="21"/>
    </row>
    <row r="7912" spans="13:13" x14ac:dyDescent="0.25">
      <c r="M7912" s="21"/>
    </row>
    <row r="7913" spans="13:13" x14ac:dyDescent="0.25">
      <c r="M7913" s="21"/>
    </row>
    <row r="7914" spans="13:13" x14ac:dyDescent="0.25">
      <c r="M7914" s="21"/>
    </row>
    <row r="7915" spans="13:13" x14ac:dyDescent="0.25">
      <c r="M7915" s="21"/>
    </row>
    <row r="7916" spans="13:13" x14ac:dyDescent="0.25">
      <c r="M7916" s="21"/>
    </row>
    <row r="7917" spans="13:13" x14ac:dyDescent="0.25">
      <c r="M7917" s="21"/>
    </row>
    <row r="7918" spans="13:13" x14ac:dyDescent="0.25">
      <c r="M7918" s="21"/>
    </row>
    <row r="7919" spans="13:13" x14ac:dyDescent="0.25">
      <c r="M7919" s="21"/>
    </row>
    <row r="7920" spans="13:13" x14ac:dyDescent="0.25">
      <c r="M7920" s="21"/>
    </row>
    <row r="7921" spans="13:13" x14ac:dyDescent="0.25">
      <c r="M7921" s="21"/>
    </row>
    <row r="7922" spans="13:13" x14ac:dyDescent="0.25">
      <c r="M7922" s="21"/>
    </row>
    <row r="7923" spans="13:13" x14ac:dyDescent="0.25">
      <c r="M7923" s="21"/>
    </row>
    <row r="7924" spans="13:13" x14ac:dyDescent="0.25">
      <c r="M7924" s="21"/>
    </row>
    <row r="7925" spans="13:13" x14ac:dyDescent="0.25">
      <c r="M7925" s="21"/>
    </row>
    <row r="7926" spans="13:13" x14ac:dyDescent="0.25">
      <c r="M7926" s="21"/>
    </row>
    <row r="7927" spans="13:13" x14ac:dyDescent="0.25">
      <c r="M7927" s="21"/>
    </row>
    <row r="7928" spans="13:13" x14ac:dyDescent="0.25">
      <c r="M7928" s="21"/>
    </row>
    <row r="7929" spans="13:13" x14ac:dyDescent="0.25">
      <c r="M7929" s="21"/>
    </row>
    <row r="7930" spans="13:13" x14ac:dyDescent="0.25">
      <c r="M7930" s="21"/>
    </row>
    <row r="7931" spans="13:13" x14ac:dyDescent="0.25">
      <c r="M7931" s="21"/>
    </row>
    <row r="7932" spans="13:13" x14ac:dyDescent="0.25">
      <c r="M7932" s="21"/>
    </row>
    <row r="7933" spans="13:13" x14ac:dyDescent="0.25">
      <c r="M7933" s="21"/>
    </row>
    <row r="7934" spans="13:13" x14ac:dyDescent="0.25">
      <c r="M7934" s="21"/>
    </row>
    <row r="7935" spans="13:13" x14ac:dyDescent="0.25">
      <c r="M7935" s="21"/>
    </row>
    <row r="7936" spans="13:13" x14ac:dyDescent="0.25">
      <c r="M7936" s="21"/>
    </row>
    <row r="7937" spans="13:13" x14ac:dyDescent="0.25">
      <c r="M7937" s="21"/>
    </row>
    <row r="7938" spans="13:13" x14ac:dyDescent="0.25">
      <c r="M7938" s="21"/>
    </row>
    <row r="7939" spans="13:13" x14ac:dyDescent="0.25">
      <c r="M7939" s="21"/>
    </row>
    <row r="7940" spans="13:13" x14ac:dyDescent="0.25">
      <c r="M7940" s="21"/>
    </row>
    <row r="7941" spans="13:13" x14ac:dyDescent="0.25">
      <c r="M7941" s="21"/>
    </row>
    <row r="7942" spans="13:13" x14ac:dyDescent="0.25">
      <c r="M7942" s="21"/>
    </row>
    <row r="7943" spans="13:13" x14ac:dyDescent="0.25">
      <c r="M7943" s="21"/>
    </row>
    <row r="7944" spans="13:13" x14ac:dyDescent="0.25">
      <c r="M7944" s="21"/>
    </row>
    <row r="7945" spans="13:13" x14ac:dyDescent="0.25">
      <c r="M7945" s="21"/>
    </row>
    <row r="7946" spans="13:13" x14ac:dyDescent="0.25">
      <c r="M7946" s="21"/>
    </row>
    <row r="7947" spans="13:13" x14ac:dyDescent="0.25">
      <c r="M7947" s="21"/>
    </row>
    <row r="7948" spans="13:13" x14ac:dyDescent="0.25">
      <c r="M7948" s="21"/>
    </row>
    <row r="7949" spans="13:13" x14ac:dyDescent="0.25">
      <c r="M7949" s="21"/>
    </row>
    <row r="7950" spans="13:13" x14ac:dyDescent="0.25">
      <c r="M7950" s="21"/>
    </row>
    <row r="7951" spans="13:13" x14ac:dyDescent="0.25">
      <c r="M7951" s="21"/>
    </row>
    <row r="7952" spans="13:13" x14ac:dyDescent="0.25">
      <c r="M7952" s="21"/>
    </row>
    <row r="7953" spans="13:13" x14ac:dyDescent="0.25">
      <c r="M7953" s="21"/>
    </row>
    <row r="7954" spans="13:13" x14ac:dyDescent="0.25">
      <c r="M7954" s="21"/>
    </row>
    <row r="7955" spans="13:13" x14ac:dyDescent="0.25">
      <c r="M7955" s="21"/>
    </row>
    <row r="7956" spans="13:13" x14ac:dyDescent="0.25">
      <c r="M7956" s="21"/>
    </row>
    <row r="7957" spans="13:13" x14ac:dyDescent="0.25">
      <c r="M7957" s="21"/>
    </row>
    <row r="7958" spans="13:13" x14ac:dyDescent="0.25">
      <c r="M7958" s="21"/>
    </row>
    <row r="7959" spans="13:13" x14ac:dyDescent="0.25">
      <c r="M7959" s="21"/>
    </row>
    <row r="7960" spans="13:13" x14ac:dyDescent="0.25">
      <c r="M7960" s="21"/>
    </row>
    <row r="7961" spans="13:13" x14ac:dyDescent="0.25">
      <c r="M7961" s="21"/>
    </row>
    <row r="7962" spans="13:13" x14ac:dyDescent="0.25">
      <c r="M7962" s="21"/>
    </row>
    <row r="7963" spans="13:13" x14ac:dyDescent="0.25">
      <c r="M7963" s="21"/>
    </row>
    <row r="7964" spans="13:13" x14ac:dyDescent="0.25">
      <c r="M7964" s="21"/>
    </row>
    <row r="7965" spans="13:13" x14ac:dyDescent="0.25">
      <c r="M7965" s="21"/>
    </row>
    <row r="7966" spans="13:13" x14ac:dyDescent="0.25">
      <c r="M7966" s="21"/>
    </row>
    <row r="7967" spans="13:13" x14ac:dyDescent="0.25">
      <c r="M7967" s="21"/>
    </row>
    <row r="7968" spans="13:13" x14ac:dyDescent="0.25">
      <c r="M7968" s="21"/>
    </row>
    <row r="7969" spans="13:13" x14ac:dyDescent="0.25">
      <c r="M7969" s="21"/>
    </row>
    <row r="7970" spans="13:13" x14ac:dyDescent="0.25">
      <c r="M7970" s="21"/>
    </row>
    <row r="7971" spans="13:13" x14ac:dyDescent="0.25">
      <c r="M7971" s="21"/>
    </row>
    <row r="7972" spans="13:13" x14ac:dyDescent="0.25">
      <c r="M7972" s="21"/>
    </row>
    <row r="7973" spans="13:13" x14ac:dyDescent="0.25">
      <c r="M7973" s="21"/>
    </row>
    <row r="7974" spans="13:13" x14ac:dyDescent="0.25">
      <c r="M7974" s="21"/>
    </row>
    <row r="7975" spans="13:13" x14ac:dyDescent="0.25">
      <c r="M7975" s="21"/>
    </row>
    <row r="7976" spans="13:13" x14ac:dyDescent="0.25">
      <c r="M7976" s="21"/>
    </row>
    <row r="7977" spans="13:13" x14ac:dyDescent="0.25">
      <c r="M7977" s="21"/>
    </row>
    <row r="7978" spans="13:13" x14ac:dyDescent="0.25">
      <c r="M7978" s="21"/>
    </row>
    <row r="7979" spans="13:13" x14ac:dyDescent="0.25">
      <c r="M7979" s="21"/>
    </row>
    <row r="7980" spans="13:13" x14ac:dyDescent="0.25">
      <c r="M7980" s="21"/>
    </row>
    <row r="7981" spans="13:13" x14ac:dyDescent="0.25">
      <c r="M7981" s="21"/>
    </row>
    <row r="7982" spans="13:13" x14ac:dyDescent="0.25">
      <c r="M7982" s="21"/>
    </row>
    <row r="7983" spans="13:13" x14ac:dyDescent="0.25">
      <c r="M7983" s="21"/>
    </row>
    <row r="7984" spans="13:13" x14ac:dyDescent="0.25">
      <c r="M7984" s="21"/>
    </row>
    <row r="7985" spans="13:13" x14ac:dyDescent="0.25">
      <c r="M7985" s="21"/>
    </row>
    <row r="7986" spans="13:13" x14ac:dyDescent="0.25">
      <c r="M7986" s="21"/>
    </row>
    <row r="7987" spans="13:13" x14ac:dyDescent="0.25">
      <c r="M7987" s="21"/>
    </row>
    <row r="7988" spans="13:13" x14ac:dyDescent="0.25">
      <c r="M7988" s="21"/>
    </row>
    <row r="7989" spans="13:13" x14ac:dyDescent="0.25">
      <c r="M7989" s="21"/>
    </row>
    <row r="7990" spans="13:13" x14ac:dyDescent="0.25">
      <c r="M7990" s="21"/>
    </row>
    <row r="7991" spans="13:13" x14ac:dyDescent="0.25">
      <c r="M7991" s="21"/>
    </row>
    <row r="7992" spans="13:13" x14ac:dyDescent="0.25">
      <c r="M7992" s="21"/>
    </row>
    <row r="7993" spans="13:13" x14ac:dyDescent="0.25">
      <c r="M7993" s="21"/>
    </row>
    <row r="7994" spans="13:13" x14ac:dyDescent="0.25">
      <c r="M7994" s="21"/>
    </row>
    <row r="7995" spans="13:13" x14ac:dyDescent="0.25">
      <c r="M7995" s="21"/>
    </row>
    <row r="7996" spans="13:13" x14ac:dyDescent="0.25">
      <c r="M7996" s="21"/>
    </row>
    <row r="7997" spans="13:13" x14ac:dyDescent="0.25">
      <c r="M7997" s="21"/>
    </row>
    <row r="7998" spans="13:13" x14ac:dyDescent="0.25">
      <c r="M7998" s="21"/>
    </row>
    <row r="7999" spans="13:13" x14ac:dyDescent="0.25">
      <c r="M7999" s="21"/>
    </row>
    <row r="8000" spans="13:13" x14ac:dyDescent="0.25">
      <c r="M8000" s="21"/>
    </row>
    <row r="8001" spans="13:13" x14ac:dyDescent="0.25">
      <c r="M8001" s="21"/>
    </row>
    <row r="8002" spans="13:13" x14ac:dyDescent="0.25">
      <c r="M8002" s="21"/>
    </row>
    <row r="8003" spans="13:13" x14ac:dyDescent="0.25">
      <c r="M8003" s="21"/>
    </row>
    <row r="8004" spans="13:13" x14ac:dyDescent="0.25">
      <c r="M8004" s="21"/>
    </row>
    <row r="8005" spans="13:13" x14ac:dyDescent="0.25">
      <c r="M8005" s="21"/>
    </row>
    <row r="8006" spans="13:13" x14ac:dyDescent="0.25">
      <c r="M8006" s="21"/>
    </row>
    <row r="8007" spans="13:13" x14ac:dyDescent="0.25">
      <c r="M8007" s="21"/>
    </row>
    <row r="8008" spans="13:13" x14ac:dyDescent="0.25">
      <c r="M8008" s="21"/>
    </row>
    <row r="8009" spans="13:13" x14ac:dyDescent="0.25">
      <c r="M8009" s="21"/>
    </row>
    <row r="8010" spans="13:13" x14ac:dyDescent="0.25">
      <c r="M8010" s="21"/>
    </row>
    <row r="8011" spans="13:13" x14ac:dyDescent="0.25">
      <c r="M8011" s="21"/>
    </row>
    <row r="8012" spans="13:13" x14ac:dyDescent="0.25">
      <c r="M8012" s="21"/>
    </row>
    <row r="8013" spans="13:13" x14ac:dyDescent="0.25">
      <c r="M8013" s="21"/>
    </row>
    <row r="8014" spans="13:13" x14ac:dyDescent="0.25">
      <c r="M8014" s="21"/>
    </row>
    <row r="8015" spans="13:13" x14ac:dyDescent="0.25">
      <c r="M8015" s="21"/>
    </row>
    <row r="8016" spans="13:13" x14ac:dyDescent="0.25">
      <c r="M8016" s="21"/>
    </row>
    <row r="8017" spans="13:13" x14ac:dyDescent="0.25">
      <c r="M8017" s="21"/>
    </row>
    <row r="8018" spans="13:13" x14ac:dyDescent="0.25">
      <c r="M8018" s="21"/>
    </row>
    <row r="8019" spans="13:13" x14ac:dyDescent="0.25">
      <c r="M8019" s="21"/>
    </row>
    <row r="8020" spans="13:13" x14ac:dyDescent="0.25">
      <c r="M8020" s="21"/>
    </row>
    <row r="8021" spans="13:13" x14ac:dyDescent="0.25">
      <c r="M8021" s="21"/>
    </row>
    <row r="8022" spans="13:13" x14ac:dyDescent="0.25">
      <c r="M8022" s="21"/>
    </row>
    <row r="8023" spans="13:13" x14ac:dyDescent="0.25">
      <c r="M8023" s="21"/>
    </row>
    <row r="8024" spans="13:13" x14ac:dyDescent="0.25">
      <c r="M8024" s="21"/>
    </row>
    <row r="8025" spans="13:13" x14ac:dyDescent="0.25">
      <c r="M8025" s="21"/>
    </row>
    <row r="8026" spans="13:13" x14ac:dyDescent="0.25">
      <c r="M8026" s="21"/>
    </row>
    <row r="8027" spans="13:13" x14ac:dyDescent="0.25">
      <c r="M8027" s="21"/>
    </row>
    <row r="8028" spans="13:13" x14ac:dyDescent="0.25">
      <c r="M8028" s="21"/>
    </row>
    <row r="8029" spans="13:13" x14ac:dyDescent="0.25">
      <c r="M8029" s="21"/>
    </row>
    <row r="8030" spans="13:13" x14ac:dyDescent="0.25">
      <c r="M8030" s="21"/>
    </row>
    <row r="8031" spans="13:13" x14ac:dyDescent="0.25">
      <c r="M8031" s="21"/>
    </row>
    <row r="8032" spans="13:13" x14ac:dyDescent="0.25">
      <c r="M8032" s="21"/>
    </row>
    <row r="8033" spans="13:13" x14ac:dyDescent="0.25">
      <c r="M8033" s="21"/>
    </row>
    <row r="8034" spans="13:13" x14ac:dyDescent="0.25">
      <c r="M8034" s="21"/>
    </row>
    <row r="8035" spans="13:13" x14ac:dyDescent="0.25">
      <c r="M8035" s="21"/>
    </row>
    <row r="8036" spans="13:13" x14ac:dyDescent="0.25">
      <c r="M8036" s="21"/>
    </row>
    <row r="8037" spans="13:13" x14ac:dyDescent="0.25">
      <c r="M8037" s="21"/>
    </row>
    <row r="8038" spans="13:13" x14ac:dyDescent="0.25">
      <c r="M8038" s="21"/>
    </row>
    <row r="8039" spans="13:13" x14ac:dyDescent="0.25">
      <c r="M8039" s="21"/>
    </row>
    <row r="8040" spans="13:13" x14ac:dyDescent="0.25">
      <c r="M8040" s="21"/>
    </row>
    <row r="8041" spans="13:13" x14ac:dyDescent="0.25">
      <c r="M8041" s="21"/>
    </row>
    <row r="8042" spans="13:13" x14ac:dyDescent="0.25">
      <c r="M8042" s="21"/>
    </row>
    <row r="8043" spans="13:13" x14ac:dyDescent="0.25">
      <c r="M8043" s="21"/>
    </row>
    <row r="8044" spans="13:13" x14ac:dyDescent="0.25">
      <c r="M8044" s="21"/>
    </row>
    <row r="8045" spans="13:13" x14ac:dyDescent="0.25">
      <c r="M8045" s="21"/>
    </row>
    <row r="8046" spans="13:13" x14ac:dyDescent="0.25">
      <c r="M8046" s="21"/>
    </row>
    <row r="8047" spans="13:13" x14ac:dyDescent="0.25">
      <c r="M8047" s="21"/>
    </row>
    <row r="8048" spans="13:13" x14ac:dyDescent="0.25">
      <c r="M8048" s="21"/>
    </row>
    <row r="8049" spans="13:13" x14ac:dyDescent="0.25">
      <c r="M8049" s="21"/>
    </row>
    <row r="8050" spans="13:13" x14ac:dyDescent="0.25">
      <c r="M8050" s="21"/>
    </row>
    <row r="8051" spans="13:13" x14ac:dyDescent="0.25">
      <c r="M8051" s="21"/>
    </row>
    <row r="8052" spans="13:13" x14ac:dyDescent="0.25">
      <c r="M8052" s="21"/>
    </row>
    <row r="8053" spans="13:13" x14ac:dyDescent="0.25">
      <c r="M8053" s="21"/>
    </row>
    <row r="8054" spans="13:13" x14ac:dyDescent="0.25">
      <c r="M8054" s="21"/>
    </row>
    <row r="8055" spans="13:13" x14ac:dyDescent="0.25">
      <c r="M8055" s="21"/>
    </row>
    <row r="8056" spans="13:13" x14ac:dyDescent="0.25">
      <c r="M8056" s="21"/>
    </row>
    <row r="8057" spans="13:13" x14ac:dyDescent="0.25">
      <c r="M8057" s="21"/>
    </row>
    <row r="8058" spans="13:13" x14ac:dyDescent="0.25">
      <c r="M8058" s="21"/>
    </row>
    <row r="8059" spans="13:13" x14ac:dyDescent="0.25">
      <c r="M8059" s="21"/>
    </row>
    <row r="8060" spans="13:13" x14ac:dyDescent="0.25">
      <c r="M8060" s="21"/>
    </row>
    <row r="8061" spans="13:13" x14ac:dyDescent="0.25">
      <c r="M8061" s="21"/>
    </row>
    <row r="8062" spans="13:13" x14ac:dyDescent="0.25">
      <c r="M8062" s="21"/>
    </row>
    <row r="8063" spans="13:13" x14ac:dyDescent="0.25">
      <c r="M8063" s="21"/>
    </row>
    <row r="8064" spans="13:13" x14ac:dyDescent="0.25">
      <c r="M8064" s="21"/>
    </row>
    <row r="8065" spans="13:13" x14ac:dyDescent="0.25">
      <c r="M8065" s="21"/>
    </row>
    <row r="8066" spans="13:13" x14ac:dyDescent="0.25">
      <c r="M8066" s="21"/>
    </row>
    <row r="8067" spans="13:13" x14ac:dyDescent="0.25">
      <c r="M8067" s="21"/>
    </row>
    <row r="8068" spans="13:13" x14ac:dyDescent="0.25">
      <c r="M8068" s="21"/>
    </row>
    <row r="8069" spans="13:13" x14ac:dyDescent="0.25">
      <c r="M8069" s="21"/>
    </row>
    <row r="8070" spans="13:13" x14ac:dyDescent="0.25">
      <c r="M8070" s="21"/>
    </row>
    <row r="8071" spans="13:13" x14ac:dyDescent="0.25">
      <c r="M8071" s="21"/>
    </row>
    <row r="8072" spans="13:13" x14ac:dyDescent="0.25">
      <c r="M8072" s="21"/>
    </row>
    <row r="8073" spans="13:13" x14ac:dyDescent="0.25">
      <c r="M8073" s="21"/>
    </row>
    <row r="8074" spans="13:13" x14ac:dyDescent="0.25">
      <c r="M8074" s="21"/>
    </row>
    <row r="8075" spans="13:13" x14ac:dyDescent="0.25">
      <c r="M8075" s="21"/>
    </row>
    <row r="8076" spans="13:13" x14ac:dyDescent="0.25">
      <c r="M8076" s="21"/>
    </row>
    <row r="8077" spans="13:13" x14ac:dyDescent="0.25">
      <c r="M8077" s="21"/>
    </row>
    <row r="8078" spans="13:13" x14ac:dyDescent="0.25">
      <c r="M8078" s="21"/>
    </row>
    <row r="8079" spans="13:13" x14ac:dyDescent="0.25">
      <c r="M8079" s="21"/>
    </row>
    <row r="8080" spans="13:13" x14ac:dyDescent="0.25">
      <c r="M8080" s="21"/>
    </row>
    <row r="8081" spans="13:13" x14ac:dyDescent="0.25">
      <c r="M8081" s="21"/>
    </row>
    <row r="8082" spans="13:13" x14ac:dyDescent="0.25">
      <c r="M8082" s="21"/>
    </row>
    <row r="8083" spans="13:13" x14ac:dyDescent="0.25">
      <c r="M8083" s="21"/>
    </row>
    <row r="8084" spans="13:13" x14ac:dyDescent="0.25">
      <c r="M8084" s="21"/>
    </row>
    <row r="8085" spans="13:13" x14ac:dyDescent="0.25">
      <c r="M8085" s="21"/>
    </row>
    <row r="8086" spans="13:13" x14ac:dyDescent="0.25">
      <c r="M8086" s="21"/>
    </row>
    <row r="8087" spans="13:13" x14ac:dyDescent="0.25">
      <c r="M8087" s="21"/>
    </row>
    <row r="8088" spans="13:13" x14ac:dyDescent="0.25">
      <c r="M8088" s="21"/>
    </row>
    <row r="8089" spans="13:13" x14ac:dyDescent="0.25">
      <c r="M8089" s="21"/>
    </row>
    <row r="8090" spans="13:13" x14ac:dyDescent="0.25">
      <c r="M8090" s="21"/>
    </row>
    <row r="8091" spans="13:13" x14ac:dyDescent="0.25">
      <c r="M8091" s="21"/>
    </row>
    <row r="8092" spans="13:13" x14ac:dyDescent="0.25">
      <c r="M8092" s="21"/>
    </row>
    <row r="8093" spans="13:13" x14ac:dyDescent="0.25">
      <c r="M8093" s="21"/>
    </row>
    <row r="8094" spans="13:13" x14ac:dyDescent="0.25">
      <c r="M8094" s="21"/>
    </row>
    <row r="8095" spans="13:13" x14ac:dyDescent="0.25">
      <c r="M8095" s="21"/>
    </row>
    <row r="8096" spans="13:13" x14ac:dyDescent="0.25">
      <c r="M8096" s="21"/>
    </row>
    <row r="8097" spans="13:13" x14ac:dyDescent="0.25">
      <c r="M8097" s="21"/>
    </row>
    <row r="8098" spans="13:13" x14ac:dyDescent="0.25">
      <c r="M8098" s="21"/>
    </row>
    <row r="8099" spans="13:13" x14ac:dyDescent="0.25">
      <c r="M8099" s="21"/>
    </row>
    <row r="8100" spans="13:13" x14ac:dyDescent="0.25">
      <c r="M8100" s="21"/>
    </row>
    <row r="8101" spans="13:13" x14ac:dyDescent="0.25">
      <c r="M8101" s="21"/>
    </row>
    <row r="8102" spans="13:13" x14ac:dyDescent="0.25">
      <c r="M8102" s="21"/>
    </row>
    <row r="8103" spans="13:13" x14ac:dyDescent="0.25">
      <c r="M8103" s="21"/>
    </row>
    <row r="8104" spans="13:13" x14ac:dyDescent="0.25">
      <c r="M8104" s="21"/>
    </row>
    <row r="8105" spans="13:13" x14ac:dyDescent="0.25">
      <c r="M8105" s="21"/>
    </row>
    <row r="8106" spans="13:13" x14ac:dyDescent="0.25">
      <c r="M8106" s="21"/>
    </row>
    <row r="8107" spans="13:13" x14ac:dyDescent="0.25">
      <c r="M8107" s="21"/>
    </row>
    <row r="8108" spans="13:13" x14ac:dyDescent="0.25">
      <c r="M8108" s="21"/>
    </row>
    <row r="8109" spans="13:13" x14ac:dyDescent="0.25">
      <c r="M8109" s="21"/>
    </row>
    <row r="8110" spans="13:13" x14ac:dyDescent="0.25">
      <c r="M8110" s="21"/>
    </row>
    <row r="8111" spans="13:13" x14ac:dyDescent="0.25">
      <c r="M8111" s="21"/>
    </row>
    <row r="8112" spans="13:13" x14ac:dyDescent="0.25">
      <c r="M8112" s="21"/>
    </row>
    <row r="8113" spans="13:13" x14ac:dyDescent="0.25">
      <c r="M8113" s="21"/>
    </row>
    <row r="8114" spans="13:13" x14ac:dyDescent="0.25">
      <c r="M8114" s="21"/>
    </row>
    <row r="8115" spans="13:13" x14ac:dyDescent="0.25">
      <c r="M8115" s="21"/>
    </row>
    <row r="8116" spans="13:13" x14ac:dyDescent="0.25">
      <c r="M8116" s="21"/>
    </row>
    <row r="8117" spans="13:13" x14ac:dyDescent="0.25">
      <c r="M8117" s="21"/>
    </row>
    <row r="8118" spans="13:13" x14ac:dyDescent="0.25">
      <c r="M8118" s="21"/>
    </row>
    <row r="8119" spans="13:13" x14ac:dyDescent="0.25">
      <c r="M8119" s="21"/>
    </row>
    <row r="8120" spans="13:13" x14ac:dyDescent="0.25">
      <c r="M8120" s="21"/>
    </row>
    <row r="8121" spans="13:13" x14ac:dyDescent="0.25">
      <c r="M8121" s="21"/>
    </row>
    <row r="8122" spans="13:13" x14ac:dyDescent="0.25">
      <c r="M8122" s="21"/>
    </row>
    <row r="8123" spans="13:13" x14ac:dyDescent="0.25">
      <c r="M8123" s="21"/>
    </row>
    <row r="8124" spans="13:13" x14ac:dyDescent="0.25">
      <c r="M8124" s="21"/>
    </row>
    <row r="8125" spans="13:13" x14ac:dyDescent="0.25">
      <c r="M8125" s="21"/>
    </row>
    <row r="8126" spans="13:13" x14ac:dyDescent="0.25">
      <c r="M8126" s="21"/>
    </row>
    <row r="8127" spans="13:13" x14ac:dyDescent="0.25">
      <c r="M8127" s="21"/>
    </row>
    <row r="8128" spans="13:13" x14ac:dyDescent="0.25">
      <c r="M8128" s="21"/>
    </row>
    <row r="8129" spans="13:13" x14ac:dyDescent="0.25">
      <c r="M8129" s="21"/>
    </row>
    <row r="8130" spans="13:13" x14ac:dyDescent="0.25">
      <c r="M8130" s="21"/>
    </row>
    <row r="8131" spans="13:13" x14ac:dyDescent="0.25">
      <c r="M8131" s="21"/>
    </row>
    <row r="8132" spans="13:13" x14ac:dyDescent="0.25">
      <c r="M8132" s="21"/>
    </row>
    <row r="8133" spans="13:13" x14ac:dyDescent="0.25">
      <c r="M8133" s="21"/>
    </row>
    <row r="8134" spans="13:13" x14ac:dyDescent="0.25">
      <c r="M8134" s="21"/>
    </row>
    <row r="8135" spans="13:13" x14ac:dyDescent="0.25">
      <c r="M8135" s="21"/>
    </row>
    <row r="8136" spans="13:13" x14ac:dyDescent="0.25">
      <c r="M8136" s="21"/>
    </row>
    <row r="8137" spans="13:13" x14ac:dyDescent="0.25">
      <c r="M8137" s="21"/>
    </row>
    <row r="8138" spans="13:13" x14ac:dyDescent="0.25">
      <c r="M8138" s="21"/>
    </row>
    <row r="8139" spans="13:13" x14ac:dyDescent="0.25">
      <c r="M8139" s="21"/>
    </row>
    <row r="8140" spans="13:13" x14ac:dyDescent="0.25">
      <c r="M8140" s="21"/>
    </row>
    <row r="8141" spans="13:13" x14ac:dyDescent="0.25">
      <c r="M8141" s="21"/>
    </row>
    <row r="8142" spans="13:13" x14ac:dyDescent="0.25">
      <c r="M8142" s="21"/>
    </row>
    <row r="8143" spans="13:13" x14ac:dyDescent="0.25">
      <c r="M8143" s="21"/>
    </row>
    <row r="8144" spans="13:13" x14ac:dyDescent="0.25">
      <c r="M8144" s="21"/>
    </row>
    <row r="8145" spans="13:13" x14ac:dyDescent="0.25">
      <c r="M8145" s="21"/>
    </row>
    <row r="8146" spans="13:13" x14ac:dyDescent="0.25">
      <c r="M8146" s="21"/>
    </row>
    <row r="8147" spans="13:13" x14ac:dyDescent="0.25">
      <c r="M8147" s="21"/>
    </row>
    <row r="8148" spans="13:13" x14ac:dyDescent="0.25">
      <c r="M8148" s="21"/>
    </row>
    <row r="8149" spans="13:13" x14ac:dyDescent="0.25">
      <c r="M8149" s="21"/>
    </row>
    <row r="8150" spans="13:13" x14ac:dyDescent="0.25">
      <c r="M8150" s="21"/>
    </row>
    <row r="8151" spans="13:13" x14ac:dyDescent="0.25">
      <c r="M8151" s="21"/>
    </row>
    <row r="8152" spans="13:13" x14ac:dyDescent="0.25">
      <c r="M8152" s="21"/>
    </row>
    <row r="8153" spans="13:13" x14ac:dyDescent="0.25">
      <c r="M8153" s="21"/>
    </row>
    <row r="8154" spans="13:13" x14ac:dyDescent="0.25">
      <c r="M8154" s="21"/>
    </row>
    <row r="8155" spans="13:13" x14ac:dyDescent="0.25">
      <c r="M8155" s="21"/>
    </row>
    <row r="8156" spans="13:13" x14ac:dyDescent="0.25">
      <c r="M8156" s="21"/>
    </row>
    <row r="8157" spans="13:13" x14ac:dyDescent="0.25">
      <c r="M8157" s="21"/>
    </row>
    <row r="8158" spans="13:13" x14ac:dyDescent="0.25">
      <c r="M8158" s="21"/>
    </row>
    <row r="8159" spans="13:13" x14ac:dyDescent="0.25">
      <c r="M8159" s="21"/>
    </row>
    <row r="8160" spans="13:13" x14ac:dyDescent="0.25">
      <c r="M8160" s="21"/>
    </row>
    <row r="8161" spans="13:13" x14ac:dyDescent="0.25">
      <c r="M8161" s="21"/>
    </row>
    <row r="8162" spans="13:13" x14ac:dyDescent="0.25">
      <c r="M8162" s="21"/>
    </row>
    <row r="8163" spans="13:13" x14ac:dyDescent="0.25">
      <c r="M8163" s="21"/>
    </row>
    <row r="8164" spans="13:13" x14ac:dyDescent="0.25">
      <c r="M8164" s="21"/>
    </row>
    <row r="8165" spans="13:13" x14ac:dyDescent="0.25">
      <c r="M8165" s="21"/>
    </row>
    <row r="8166" spans="13:13" x14ac:dyDescent="0.25">
      <c r="M8166" s="21"/>
    </row>
    <row r="8167" spans="13:13" x14ac:dyDescent="0.25">
      <c r="M8167" s="21"/>
    </row>
    <row r="8168" spans="13:13" x14ac:dyDescent="0.25">
      <c r="M8168" s="21"/>
    </row>
    <row r="8169" spans="13:13" x14ac:dyDescent="0.25">
      <c r="M8169" s="21"/>
    </row>
    <row r="8170" spans="13:13" x14ac:dyDescent="0.25">
      <c r="M8170" s="21"/>
    </row>
    <row r="8171" spans="13:13" x14ac:dyDescent="0.25">
      <c r="M8171" s="21"/>
    </row>
    <row r="8172" spans="13:13" x14ac:dyDescent="0.25">
      <c r="M8172" s="21"/>
    </row>
    <row r="8173" spans="13:13" x14ac:dyDescent="0.25">
      <c r="M8173" s="21"/>
    </row>
    <row r="8174" spans="13:13" x14ac:dyDescent="0.25">
      <c r="M8174" s="21"/>
    </row>
    <row r="8175" spans="13:13" x14ac:dyDescent="0.25">
      <c r="M8175" s="21"/>
    </row>
    <row r="8176" spans="13:13" x14ac:dyDescent="0.25">
      <c r="M8176" s="21"/>
    </row>
    <row r="8177" spans="13:13" x14ac:dyDescent="0.25">
      <c r="M8177" s="21"/>
    </row>
    <row r="8178" spans="13:13" x14ac:dyDescent="0.25">
      <c r="M8178" s="21"/>
    </row>
    <row r="8179" spans="13:13" x14ac:dyDescent="0.25">
      <c r="M8179" s="21"/>
    </row>
    <row r="8180" spans="13:13" x14ac:dyDescent="0.25">
      <c r="M8180" s="21"/>
    </row>
    <row r="8181" spans="13:13" x14ac:dyDescent="0.25">
      <c r="M8181" s="21"/>
    </row>
    <row r="8182" spans="13:13" x14ac:dyDescent="0.25">
      <c r="M8182" s="21"/>
    </row>
    <row r="8183" spans="13:13" x14ac:dyDescent="0.25">
      <c r="M8183" s="21"/>
    </row>
    <row r="8184" spans="13:13" x14ac:dyDescent="0.25">
      <c r="M8184" s="21"/>
    </row>
    <row r="8185" spans="13:13" x14ac:dyDescent="0.25">
      <c r="M8185" s="21"/>
    </row>
    <row r="8186" spans="13:13" x14ac:dyDescent="0.25">
      <c r="M8186" s="21"/>
    </row>
    <row r="8187" spans="13:13" x14ac:dyDescent="0.25">
      <c r="M8187" s="21"/>
    </row>
    <row r="8188" spans="13:13" x14ac:dyDescent="0.25">
      <c r="M8188" s="21"/>
    </row>
    <row r="8189" spans="13:13" x14ac:dyDescent="0.25">
      <c r="M8189" s="21"/>
    </row>
    <row r="8190" spans="13:13" x14ac:dyDescent="0.25">
      <c r="M8190" s="21"/>
    </row>
    <row r="8191" spans="13:13" x14ac:dyDescent="0.25">
      <c r="M8191" s="21"/>
    </row>
    <row r="8192" spans="13:13" x14ac:dyDescent="0.25">
      <c r="M8192" s="21"/>
    </row>
    <row r="8193" spans="13:13" x14ac:dyDescent="0.25">
      <c r="M8193" s="21"/>
    </row>
    <row r="8194" spans="13:13" x14ac:dyDescent="0.25">
      <c r="M8194" s="21"/>
    </row>
    <row r="8195" spans="13:13" x14ac:dyDescent="0.25">
      <c r="M8195" s="21"/>
    </row>
    <row r="8196" spans="13:13" x14ac:dyDescent="0.25">
      <c r="M8196" s="21"/>
    </row>
    <row r="8197" spans="13:13" x14ac:dyDescent="0.25">
      <c r="M8197" s="21"/>
    </row>
    <row r="8198" spans="13:13" x14ac:dyDescent="0.25">
      <c r="M8198" s="21"/>
    </row>
    <row r="8199" spans="13:13" x14ac:dyDescent="0.25">
      <c r="M8199" s="21"/>
    </row>
    <row r="8200" spans="13:13" x14ac:dyDescent="0.25">
      <c r="M8200" s="21"/>
    </row>
    <row r="8201" spans="13:13" x14ac:dyDescent="0.25">
      <c r="M8201" s="21"/>
    </row>
    <row r="8202" spans="13:13" x14ac:dyDescent="0.25">
      <c r="M8202" s="21"/>
    </row>
    <row r="8203" spans="13:13" x14ac:dyDescent="0.25">
      <c r="M8203" s="21"/>
    </row>
    <row r="8204" spans="13:13" x14ac:dyDescent="0.25">
      <c r="M8204" s="21"/>
    </row>
    <row r="8205" spans="13:13" x14ac:dyDescent="0.25">
      <c r="M8205" s="21"/>
    </row>
    <row r="8206" spans="13:13" x14ac:dyDescent="0.25">
      <c r="M8206" s="21"/>
    </row>
    <row r="8207" spans="13:13" x14ac:dyDescent="0.25">
      <c r="M8207" s="21"/>
    </row>
    <row r="8208" spans="13:13" x14ac:dyDescent="0.25">
      <c r="M8208" s="21"/>
    </row>
    <row r="8209" spans="13:13" x14ac:dyDescent="0.25">
      <c r="M8209" s="21"/>
    </row>
    <row r="8210" spans="13:13" x14ac:dyDescent="0.25">
      <c r="M8210" s="21"/>
    </row>
    <row r="8211" spans="13:13" x14ac:dyDescent="0.25">
      <c r="M8211" s="21"/>
    </row>
    <row r="8212" spans="13:13" x14ac:dyDescent="0.25">
      <c r="M8212" s="21"/>
    </row>
    <row r="8213" spans="13:13" x14ac:dyDescent="0.25">
      <c r="M8213" s="21"/>
    </row>
    <row r="8214" spans="13:13" x14ac:dyDescent="0.25">
      <c r="M8214" s="21"/>
    </row>
    <row r="8215" spans="13:13" x14ac:dyDescent="0.25">
      <c r="M8215" s="21"/>
    </row>
    <row r="8216" spans="13:13" x14ac:dyDescent="0.25">
      <c r="M8216" s="21"/>
    </row>
    <row r="8217" spans="13:13" x14ac:dyDescent="0.25">
      <c r="M8217" s="21"/>
    </row>
    <row r="8218" spans="13:13" x14ac:dyDescent="0.25">
      <c r="M8218" s="21"/>
    </row>
    <row r="8219" spans="13:13" x14ac:dyDescent="0.25">
      <c r="M8219" s="21"/>
    </row>
    <row r="8220" spans="13:13" x14ac:dyDescent="0.25">
      <c r="M8220" s="21"/>
    </row>
    <row r="8221" spans="13:13" x14ac:dyDescent="0.25">
      <c r="M8221" s="21"/>
    </row>
    <row r="8222" spans="13:13" x14ac:dyDescent="0.25">
      <c r="M8222" s="21"/>
    </row>
    <row r="8223" spans="13:13" x14ac:dyDescent="0.25">
      <c r="M8223" s="21"/>
    </row>
    <row r="8224" spans="13:13" x14ac:dyDescent="0.25">
      <c r="M8224" s="21"/>
    </row>
    <row r="8225" spans="13:13" x14ac:dyDescent="0.25">
      <c r="M8225" s="21"/>
    </row>
    <row r="8226" spans="13:13" x14ac:dyDescent="0.25">
      <c r="M8226" s="21"/>
    </row>
    <row r="8227" spans="13:13" x14ac:dyDescent="0.25">
      <c r="M8227" s="21"/>
    </row>
    <row r="8228" spans="13:13" x14ac:dyDescent="0.25">
      <c r="M8228" s="21"/>
    </row>
    <row r="8229" spans="13:13" x14ac:dyDescent="0.25">
      <c r="M8229" s="21"/>
    </row>
    <row r="8230" spans="13:13" x14ac:dyDescent="0.25">
      <c r="M8230" s="21"/>
    </row>
    <row r="8231" spans="13:13" x14ac:dyDescent="0.25">
      <c r="M8231" s="21"/>
    </row>
    <row r="8232" spans="13:13" x14ac:dyDescent="0.25">
      <c r="M8232" s="21"/>
    </row>
    <row r="8233" spans="13:13" x14ac:dyDescent="0.25">
      <c r="M8233" s="21"/>
    </row>
    <row r="8234" spans="13:13" x14ac:dyDescent="0.25">
      <c r="M8234" s="21"/>
    </row>
    <row r="8235" spans="13:13" x14ac:dyDescent="0.25">
      <c r="M8235" s="21"/>
    </row>
    <row r="8236" spans="13:13" x14ac:dyDescent="0.25">
      <c r="M8236" s="21"/>
    </row>
    <row r="8237" spans="13:13" x14ac:dyDescent="0.25">
      <c r="M8237" s="21"/>
    </row>
    <row r="8238" spans="13:13" x14ac:dyDescent="0.25">
      <c r="M8238" s="21"/>
    </row>
    <row r="8239" spans="13:13" x14ac:dyDescent="0.25">
      <c r="M8239" s="21"/>
    </row>
    <row r="8240" spans="13:13" x14ac:dyDescent="0.25">
      <c r="M8240" s="21"/>
    </row>
    <row r="8241" spans="13:13" x14ac:dyDescent="0.25">
      <c r="M8241" s="21"/>
    </row>
    <row r="8242" spans="13:13" x14ac:dyDescent="0.25">
      <c r="M8242" s="21"/>
    </row>
    <row r="8243" spans="13:13" x14ac:dyDescent="0.25">
      <c r="M8243" s="21"/>
    </row>
    <row r="8244" spans="13:13" x14ac:dyDescent="0.25">
      <c r="M8244" s="21"/>
    </row>
    <row r="8245" spans="13:13" x14ac:dyDescent="0.25">
      <c r="M8245" s="21"/>
    </row>
    <row r="8246" spans="13:13" x14ac:dyDescent="0.25">
      <c r="M8246" s="21"/>
    </row>
    <row r="8247" spans="13:13" x14ac:dyDescent="0.25">
      <c r="M8247" s="21"/>
    </row>
    <row r="8248" spans="13:13" x14ac:dyDescent="0.25">
      <c r="M8248" s="21"/>
    </row>
    <row r="8249" spans="13:13" x14ac:dyDescent="0.25">
      <c r="M8249" s="21"/>
    </row>
    <row r="8250" spans="13:13" x14ac:dyDescent="0.25">
      <c r="M8250" s="21"/>
    </row>
    <row r="8251" spans="13:13" x14ac:dyDescent="0.25">
      <c r="M8251" s="21"/>
    </row>
    <row r="8252" spans="13:13" x14ac:dyDescent="0.25">
      <c r="M8252" s="21"/>
    </row>
    <row r="8253" spans="13:13" x14ac:dyDescent="0.25">
      <c r="M8253" s="21"/>
    </row>
    <row r="8254" spans="13:13" x14ac:dyDescent="0.25">
      <c r="M8254" s="21"/>
    </row>
    <row r="8255" spans="13:13" x14ac:dyDescent="0.25">
      <c r="M8255" s="21"/>
    </row>
    <row r="8256" spans="13:13" x14ac:dyDescent="0.25">
      <c r="M8256" s="21"/>
    </row>
    <row r="8257" spans="13:13" x14ac:dyDescent="0.25">
      <c r="M8257" s="21"/>
    </row>
    <row r="8258" spans="13:13" x14ac:dyDescent="0.25">
      <c r="M8258" s="21"/>
    </row>
    <row r="8259" spans="13:13" x14ac:dyDescent="0.25">
      <c r="M8259" s="21"/>
    </row>
    <row r="8260" spans="13:13" x14ac:dyDescent="0.25">
      <c r="M8260" s="21"/>
    </row>
    <row r="8261" spans="13:13" x14ac:dyDescent="0.25">
      <c r="M8261" s="21"/>
    </row>
    <row r="8262" spans="13:13" x14ac:dyDescent="0.25">
      <c r="M8262" s="21"/>
    </row>
    <row r="8263" spans="13:13" x14ac:dyDescent="0.25">
      <c r="M8263" s="21"/>
    </row>
    <row r="8264" spans="13:13" x14ac:dyDescent="0.25">
      <c r="M8264" s="21"/>
    </row>
    <row r="8265" spans="13:13" x14ac:dyDescent="0.25">
      <c r="M8265" s="21"/>
    </row>
    <row r="8266" spans="13:13" x14ac:dyDescent="0.25">
      <c r="M8266" s="21"/>
    </row>
    <row r="8267" spans="13:13" x14ac:dyDescent="0.25">
      <c r="M8267" s="21"/>
    </row>
    <row r="8268" spans="13:13" x14ac:dyDescent="0.25">
      <c r="M8268" s="21"/>
    </row>
    <row r="8269" spans="13:13" x14ac:dyDescent="0.25">
      <c r="M8269" s="21"/>
    </row>
    <row r="8270" spans="13:13" x14ac:dyDescent="0.25">
      <c r="M8270" s="21"/>
    </row>
    <row r="8271" spans="13:13" x14ac:dyDescent="0.25">
      <c r="M8271" s="21"/>
    </row>
    <row r="8272" spans="13:13" x14ac:dyDescent="0.25">
      <c r="M8272" s="21"/>
    </row>
    <row r="8273" spans="13:13" x14ac:dyDescent="0.25">
      <c r="M8273" s="21"/>
    </row>
    <row r="8274" spans="13:13" x14ac:dyDescent="0.25">
      <c r="M8274" s="21"/>
    </row>
    <row r="8275" spans="13:13" x14ac:dyDescent="0.25">
      <c r="M8275" s="21"/>
    </row>
    <row r="8276" spans="13:13" x14ac:dyDescent="0.25">
      <c r="M8276" s="21"/>
    </row>
    <row r="8277" spans="13:13" x14ac:dyDescent="0.25">
      <c r="M8277" s="21"/>
    </row>
    <row r="8278" spans="13:13" x14ac:dyDescent="0.25">
      <c r="M8278" s="21"/>
    </row>
    <row r="8279" spans="13:13" x14ac:dyDescent="0.25">
      <c r="M8279" s="21"/>
    </row>
    <row r="8280" spans="13:13" x14ac:dyDescent="0.25">
      <c r="M8280" s="21"/>
    </row>
    <row r="8281" spans="13:13" x14ac:dyDescent="0.25">
      <c r="M8281" s="21"/>
    </row>
    <row r="8282" spans="13:13" x14ac:dyDescent="0.25">
      <c r="M8282" s="21"/>
    </row>
    <row r="8283" spans="13:13" x14ac:dyDescent="0.25">
      <c r="M8283" s="21"/>
    </row>
    <row r="8284" spans="13:13" x14ac:dyDescent="0.25">
      <c r="M8284" s="21"/>
    </row>
    <row r="8285" spans="13:13" x14ac:dyDescent="0.25">
      <c r="M8285" s="21"/>
    </row>
    <row r="8286" spans="13:13" x14ac:dyDescent="0.25">
      <c r="M8286" s="21"/>
    </row>
    <row r="8287" spans="13:13" x14ac:dyDescent="0.25">
      <c r="M8287" s="21"/>
    </row>
    <row r="8288" spans="13:13" x14ac:dyDescent="0.25">
      <c r="M8288" s="21"/>
    </row>
    <row r="8289" spans="13:13" x14ac:dyDescent="0.25">
      <c r="M8289" s="21"/>
    </row>
    <row r="8290" spans="13:13" x14ac:dyDescent="0.25">
      <c r="M8290" s="21"/>
    </row>
    <row r="8291" spans="13:13" x14ac:dyDescent="0.25">
      <c r="M8291" s="21"/>
    </row>
    <row r="8292" spans="13:13" x14ac:dyDescent="0.25">
      <c r="M8292" s="21"/>
    </row>
    <row r="8293" spans="13:13" x14ac:dyDescent="0.25">
      <c r="M8293" s="21"/>
    </row>
    <row r="8294" spans="13:13" x14ac:dyDescent="0.25">
      <c r="M8294" s="21"/>
    </row>
    <row r="8295" spans="13:13" x14ac:dyDescent="0.25">
      <c r="M8295" s="21"/>
    </row>
    <row r="8296" spans="13:13" x14ac:dyDescent="0.25">
      <c r="M8296" s="21"/>
    </row>
    <row r="8297" spans="13:13" x14ac:dyDescent="0.25">
      <c r="M8297" s="21"/>
    </row>
    <row r="8298" spans="13:13" x14ac:dyDescent="0.25">
      <c r="M8298" s="21"/>
    </row>
    <row r="8299" spans="13:13" x14ac:dyDescent="0.25">
      <c r="M8299" s="21"/>
    </row>
    <row r="8300" spans="13:13" x14ac:dyDescent="0.25">
      <c r="M8300" s="21"/>
    </row>
    <row r="8301" spans="13:13" x14ac:dyDescent="0.25">
      <c r="M8301" s="21"/>
    </row>
    <row r="8302" spans="13:13" x14ac:dyDescent="0.25">
      <c r="M8302" s="21"/>
    </row>
    <row r="8303" spans="13:13" x14ac:dyDescent="0.25">
      <c r="M8303" s="21"/>
    </row>
    <row r="8304" spans="13:13" x14ac:dyDescent="0.25">
      <c r="M8304" s="21"/>
    </row>
    <row r="8305" spans="13:13" x14ac:dyDescent="0.25">
      <c r="M8305" s="21"/>
    </row>
    <row r="8306" spans="13:13" x14ac:dyDescent="0.25">
      <c r="M8306" s="21"/>
    </row>
    <row r="8307" spans="13:13" x14ac:dyDescent="0.25">
      <c r="M8307" s="21"/>
    </row>
    <row r="8308" spans="13:13" x14ac:dyDescent="0.25">
      <c r="M8308" s="21"/>
    </row>
    <row r="8309" spans="13:13" x14ac:dyDescent="0.25">
      <c r="M8309" s="21"/>
    </row>
    <row r="8310" spans="13:13" x14ac:dyDescent="0.25">
      <c r="M8310" s="21"/>
    </row>
    <row r="8311" spans="13:13" x14ac:dyDescent="0.25">
      <c r="M8311" s="21"/>
    </row>
    <row r="8312" spans="13:13" x14ac:dyDescent="0.25">
      <c r="M8312" s="21"/>
    </row>
    <row r="8313" spans="13:13" x14ac:dyDescent="0.25">
      <c r="M8313" s="21"/>
    </row>
    <row r="8314" spans="13:13" x14ac:dyDescent="0.25">
      <c r="M8314" s="21"/>
    </row>
    <row r="8315" spans="13:13" x14ac:dyDescent="0.25">
      <c r="M8315" s="21"/>
    </row>
    <row r="8316" spans="13:13" x14ac:dyDescent="0.25">
      <c r="M8316" s="21"/>
    </row>
    <row r="8317" spans="13:13" x14ac:dyDescent="0.25">
      <c r="M8317" s="21"/>
    </row>
    <row r="8318" spans="13:13" x14ac:dyDescent="0.25">
      <c r="M8318" s="21"/>
    </row>
    <row r="8319" spans="13:13" x14ac:dyDescent="0.25">
      <c r="M8319" s="21"/>
    </row>
    <row r="8320" spans="13:13" x14ac:dyDescent="0.25">
      <c r="M8320" s="21"/>
    </row>
    <row r="8321" spans="13:13" x14ac:dyDescent="0.25">
      <c r="M8321" s="21"/>
    </row>
    <row r="8322" spans="13:13" x14ac:dyDescent="0.25">
      <c r="M8322" s="21"/>
    </row>
    <row r="8323" spans="13:13" x14ac:dyDescent="0.25">
      <c r="M8323" s="21"/>
    </row>
    <row r="8324" spans="13:13" x14ac:dyDescent="0.25">
      <c r="M8324" s="21"/>
    </row>
    <row r="8325" spans="13:13" x14ac:dyDescent="0.25">
      <c r="M8325" s="21"/>
    </row>
    <row r="8326" spans="13:13" x14ac:dyDescent="0.25">
      <c r="M8326" s="21"/>
    </row>
    <row r="8327" spans="13:13" x14ac:dyDescent="0.25">
      <c r="M8327" s="21"/>
    </row>
    <row r="8328" spans="13:13" x14ac:dyDescent="0.25">
      <c r="M8328" s="21"/>
    </row>
    <row r="8329" spans="13:13" x14ac:dyDescent="0.25">
      <c r="M8329" s="21"/>
    </row>
    <row r="8330" spans="13:13" x14ac:dyDescent="0.25">
      <c r="M8330" s="21"/>
    </row>
    <row r="8331" spans="13:13" x14ac:dyDescent="0.25">
      <c r="M8331" s="21"/>
    </row>
    <row r="8332" spans="13:13" x14ac:dyDescent="0.25">
      <c r="M8332" s="21"/>
    </row>
    <row r="8333" spans="13:13" x14ac:dyDescent="0.25">
      <c r="M8333" s="21"/>
    </row>
    <row r="8334" spans="13:13" x14ac:dyDescent="0.25">
      <c r="M8334" s="21"/>
    </row>
    <row r="8335" spans="13:13" x14ac:dyDescent="0.25">
      <c r="M8335" s="21"/>
    </row>
    <row r="8336" spans="13:13" x14ac:dyDescent="0.25">
      <c r="M8336" s="21"/>
    </row>
    <row r="8337" spans="13:13" x14ac:dyDescent="0.25">
      <c r="M8337" s="21"/>
    </row>
    <row r="8338" spans="13:13" x14ac:dyDescent="0.25">
      <c r="M8338" s="21"/>
    </row>
    <row r="8339" spans="13:13" x14ac:dyDescent="0.25">
      <c r="M8339" s="21"/>
    </row>
    <row r="8340" spans="13:13" x14ac:dyDescent="0.25">
      <c r="M8340" s="21"/>
    </row>
    <row r="8341" spans="13:13" x14ac:dyDescent="0.25">
      <c r="M8341" s="21"/>
    </row>
    <row r="8342" spans="13:13" x14ac:dyDescent="0.25">
      <c r="M8342" s="21"/>
    </row>
    <row r="8343" spans="13:13" x14ac:dyDescent="0.25">
      <c r="M8343" s="21"/>
    </row>
    <row r="8344" spans="13:13" x14ac:dyDescent="0.25">
      <c r="M8344" s="21"/>
    </row>
    <row r="8345" spans="13:13" x14ac:dyDescent="0.25">
      <c r="M8345" s="21"/>
    </row>
    <row r="8346" spans="13:13" x14ac:dyDescent="0.25">
      <c r="M8346" s="21"/>
    </row>
    <row r="8347" spans="13:13" x14ac:dyDescent="0.25">
      <c r="M8347" s="21"/>
    </row>
    <row r="8348" spans="13:13" x14ac:dyDescent="0.25">
      <c r="M8348" s="21"/>
    </row>
    <row r="8349" spans="13:13" x14ac:dyDescent="0.25">
      <c r="M8349" s="21"/>
    </row>
    <row r="8350" spans="13:13" x14ac:dyDescent="0.25">
      <c r="M8350" s="21"/>
    </row>
    <row r="8351" spans="13:13" x14ac:dyDescent="0.25">
      <c r="M8351" s="21"/>
    </row>
    <row r="8352" spans="13:13" x14ac:dyDescent="0.25">
      <c r="M8352" s="21"/>
    </row>
    <row r="8353" spans="13:13" x14ac:dyDescent="0.25">
      <c r="M8353" s="21"/>
    </row>
    <row r="8354" spans="13:13" x14ac:dyDescent="0.25">
      <c r="M8354" s="21"/>
    </row>
    <row r="8355" spans="13:13" x14ac:dyDescent="0.25">
      <c r="M8355" s="21"/>
    </row>
    <row r="8356" spans="13:13" x14ac:dyDescent="0.25">
      <c r="M8356" s="21"/>
    </row>
    <row r="8357" spans="13:13" x14ac:dyDescent="0.25">
      <c r="M8357" s="21"/>
    </row>
    <row r="8358" spans="13:13" x14ac:dyDescent="0.25">
      <c r="M8358" s="21"/>
    </row>
    <row r="8359" spans="13:13" x14ac:dyDescent="0.25">
      <c r="M8359" s="21"/>
    </row>
    <row r="8360" spans="13:13" x14ac:dyDescent="0.25">
      <c r="M8360" s="21"/>
    </row>
    <row r="8361" spans="13:13" x14ac:dyDescent="0.25">
      <c r="M8361" s="21"/>
    </row>
    <row r="8362" spans="13:13" x14ac:dyDescent="0.25">
      <c r="M8362" s="21"/>
    </row>
    <row r="8363" spans="13:13" x14ac:dyDescent="0.25">
      <c r="M8363" s="21"/>
    </row>
    <row r="8364" spans="13:13" x14ac:dyDescent="0.25">
      <c r="M8364" s="21"/>
    </row>
    <row r="8365" spans="13:13" x14ac:dyDescent="0.25">
      <c r="M8365" s="21"/>
    </row>
    <row r="8366" spans="13:13" x14ac:dyDescent="0.25">
      <c r="M8366" s="21"/>
    </row>
    <row r="8367" spans="13:13" x14ac:dyDescent="0.25">
      <c r="M8367" s="21"/>
    </row>
    <row r="8368" spans="13:13" x14ac:dyDescent="0.25">
      <c r="M8368" s="21"/>
    </row>
    <row r="8369" spans="13:13" x14ac:dyDescent="0.25">
      <c r="M8369" s="21"/>
    </row>
    <row r="8370" spans="13:13" x14ac:dyDescent="0.25">
      <c r="M8370" s="21"/>
    </row>
    <row r="8371" spans="13:13" x14ac:dyDescent="0.25">
      <c r="M8371" s="21"/>
    </row>
    <row r="8372" spans="13:13" x14ac:dyDescent="0.25">
      <c r="M8372" s="21"/>
    </row>
    <row r="8373" spans="13:13" x14ac:dyDescent="0.25">
      <c r="M8373" s="21"/>
    </row>
    <row r="8374" spans="13:13" x14ac:dyDescent="0.25">
      <c r="M8374" s="21"/>
    </row>
    <row r="8375" spans="13:13" x14ac:dyDescent="0.25">
      <c r="M8375" s="21"/>
    </row>
    <row r="8376" spans="13:13" x14ac:dyDescent="0.25">
      <c r="M8376" s="21"/>
    </row>
    <row r="8377" spans="13:13" x14ac:dyDescent="0.25">
      <c r="M8377" s="21"/>
    </row>
    <row r="8378" spans="13:13" x14ac:dyDescent="0.25">
      <c r="M8378" s="21"/>
    </row>
    <row r="8379" spans="13:13" x14ac:dyDescent="0.25">
      <c r="M8379" s="21"/>
    </row>
    <row r="8380" spans="13:13" x14ac:dyDescent="0.25">
      <c r="M8380" s="21"/>
    </row>
    <row r="8381" spans="13:13" x14ac:dyDescent="0.25">
      <c r="M8381" s="21"/>
    </row>
    <row r="8382" spans="13:13" x14ac:dyDescent="0.25">
      <c r="M8382" s="21"/>
    </row>
    <row r="8383" spans="13:13" x14ac:dyDescent="0.25">
      <c r="M8383" s="21"/>
    </row>
    <row r="8384" spans="13:13" x14ac:dyDescent="0.25">
      <c r="M8384" s="21"/>
    </row>
    <row r="8385" spans="13:13" x14ac:dyDescent="0.25">
      <c r="M8385" s="21"/>
    </row>
    <row r="8386" spans="13:13" x14ac:dyDescent="0.25">
      <c r="M8386" s="21"/>
    </row>
    <row r="8387" spans="13:13" x14ac:dyDescent="0.25">
      <c r="M8387" s="21"/>
    </row>
    <row r="8388" spans="13:13" x14ac:dyDescent="0.25">
      <c r="M8388" s="21"/>
    </row>
    <row r="8389" spans="13:13" x14ac:dyDescent="0.25">
      <c r="M8389" s="21"/>
    </row>
    <row r="8390" spans="13:13" x14ac:dyDescent="0.25">
      <c r="M8390" s="21"/>
    </row>
    <row r="8391" spans="13:13" x14ac:dyDescent="0.25">
      <c r="M8391" s="21"/>
    </row>
    <row r="8392" spans="13:13" x14ac:dyDescent="0.25">
      <c r="M8392" s="21"/>
    </row>
    <row r="8393" spans="13:13" x14ac:dyDescent="0.25">
      <c r="M8393" s="21"/>
    </row>
    <row r="8394" spans="13:13" x14ac:dyDescent="0.25">
      <c r="M8394" s="21"/>
    </row>
    <row r="8395" spans="13:13" x14ac:dyDescent="0.25">
      <c r="M8395" s="21"/>
    </row>
    <row r="8396" spans="13:13" x14ac:dyDescent="0.25">
      <c r="M8396" s="21"/>
    </row>
    <row r="8397" spans="13:13" x14ac:dyDescent="0.25">
      <c r="M8397" s="21"/>
    </row>
    <row r="8398" spans="13:13" x14ac:dyDescent="0.25">
      <c r="M8398" s="21"/>
    </row>
    <row r="8399" spans="13:13" x14ac:dyDescent="0.25">
      <c r="M8399" s="21"/>
    </row>
    <row r="8400" spans="13:13" x14ac:dyDescent="0.25">
      <c r="M8400" s="21"/>
    </row>
    <row r="8401" spans="13:13" x14ac:dyDescent="0.25">
      <c r="M8401" s="21"/>
    </row>
    <row r="8402" spans="13:13" x14ac:dyDescent="0.25">
      <c r="M8402" s="21"/>
    </row>
    <row r="8403" spans="13:13" x14ac:dyDescent="0.25">
      <c r="M8403" s="21"/>
    </row>
    <row r="8404" spans="13:13" x14ac:dyDescent="0.25">
      <c r="M8404" s="21"/>
    </row>
    <row r="8405" spans="13:13" x14ac:dyDescent="0.25">
      <c r="M8405" s="21"/>
    </row>
    <row r="8406" spans="13:13" x14ac:dyDescent="0.25">
      <c r="M8406" s="21"/>
    </row>
    <row r="8407" spans="13:13" x14ac:dyDescent="0.25">
      <c r="M8407" s="21"/>
    </row>
    <row r="8408" spans="13:13" x14ac:dyDescent="0.25">
      <c r="M8408" s="21"/>
    </row>
    <row r="8409" spans="13:13" x14ac:dyDescent="0.25">
      <c r="M8409" s="21"/>
    </row>
    <row r="8410" spans="13:13" x14ac:dyDescent="0.25">
      <c r="M8410" s="21"/>
    </row>
    <row r="8411" spans="13:13" x14ac:dyDescent="0.25">
      <c r="M8411" s="21"/>
    </row>
    <row r="8412" spans="13:13" x14ac:dyDescent="0.25">
      <c r="M8412" s="21"/>
    </row>
    <row r="8413" spans="13:13" x14ac:dyDescent="0.25">
      <c r="M8413" s="21"/>
    </row>
    <row r="8414" spans="13:13" x14ac:dyDescent="0.25">
      <c r="M8414" s="21"/>
    </row>
    <row r="8415" spans="13:13" x14ac:dyDescent="0.25">
      <c r="M8415" s="21"/>
    </row>
    <row r="8416" spans="13:13" x14ac:dyDescent="0.25">
      <c r="M8416" s="21"/>
    </row>
    <row r="8417" spans="13:13" x14ac:dyDescent="0.25">
      <c r="M8417" s="21"/>
    </row>
    <row r="8418" spans="13:13" x14ac:dyDescent="0.25">
      <c r="M8418" s="21"/>
    </row>
    <row r="8419" spans="13:13" x14ac:dyDescent="0.25">
      <c r="M8419" s="21"/>
    </row>
    <row r="8420" spans="13:13" x14ac:dyDescent="0.25">
      <c r="M8420" s="21"/>
    </row>
    <row r="8421" spans="13:13" x14ac:dyDescent="0.25">
      <c r="M8421" s="21"/>
    </row>
    <row r="8422" spans="13:13" x14ac:dyDescent="0.25">
      <c r="M8422" s="21"/>
    </row>
    <row r="8423" spans="13:13" x14ac:dyDescent="0.25">
      <c r="M8423" s="21"/>
    </row>
    <row r="8424" spans="13:13" x14ac:dyDescent="0.25">
      <c r="M8424" s="21"/>
    </row>
    <row r="8425" spans="13:13" x14ac:dyDescent="0.25">
      <c r="M8425" s="21"/>
    </row>
    <row r="8426" spans="13:13" x14ac:dyDescent="0.25">
      <c r="M8426" s="21"/>
    </row>
    <row r="8427" spans="13:13" x14ac:dyDescent="0.25">
      <c r="M8427" s="21"/>
    </row>
    <row r="8428" spans="13:13" x14ac:dyDescent="0.25">
      <c r="M8428" s="21"/>
    </row>
    <row r="8429" spans="13:13" x14ac:dyDescent="0.25">
      <c r="M8429" s="21"/>
    </row>
    <row r="8430" spans="13:13" x14ac:dyDescent="0.25">
      <c r="M8430" s="21"/>
    </row>
    <row r="8431" spans="13:13" x14ac:dyDescent="0.25">
      <c r="M8431" s="21"/>
    </row>
    <row r="8432" spans="13:13" x14ac:dyDescent="0.25">
      <c r="M8432" s="21"/>
    </row>
    <row r="8433" spans="13:13" x14ac:dyDescent="0.25">
      <c r="M8433" s="21"/>
    </row>
    <row r="8434" spans="13:13" x14ac:dyDescent="0.25">
      <c r="M8434" s="21"/>
    </row>
    <row r="8435" spans="13:13" x14ac:dyDescent="0.25">
      <c r="M8435" s="21"/>
    </row>
    <row r="8436" spans="13:13" x14ac:dyDescent="0.25">
      <c r="M8436" s="21"/>
    </row>
    <row r="8437" spans="13:13" x14ac:dyDescent="0.25">
      <c r="M8437" s="21"/>
    </row>
    <row r="8438" spans="13:13" x14ac:dyDescent="0.25">
      <c r="M8438" s="21"/>
    </row>
    <row r="8439" spans="13:13" x14ac:dyDescent="0.25">
      <c r="M8439" s="21"/>
    </row>
    <row r="8440" spans="13:13" x14ac:dyDescent="0.25">
      <c r="M8440" s="21"/>
    </row>
    <row r="8441" spans="13:13" x14ac:dyDescent="0.25">
      <c r="M8441" s="21"/>
    </row>
    <row r="8442" spans="13:13" x14ac:dyDescent="0.25">
      <c r="M8442" s="21"/>
    </row>
    <row r="8443" spans="13:13" x14ac:dyDescent="0.25">
      <c r="M8443" s="21"/>
    </row>
    <row r="8444" spans="13:13" x14ac:dyDescent="0.25">
      <c r="M8444" s="21"/>
    </row>
    <row r="8445" spans="13:13" x14ac:dyDescent="0.25">
      <c r="M8445" s="21"/>
    </row>
    <row r="8446" spans="13:13" x14ac:dyDescent="0.25">
      <c r="M8446" s="21"/>
    </row>
    <row r="8447" spans="13:13" x14ac:dyDescent="0.25">
      <c r="M8447" s="21"/>
    </row>
    <row r="8448" spans="13:13" x14ac:dyDescent="0.25">
      <c r="M8448" s="21"/>
    </row>
    <row r="8449" spans="13:13" x14ac:dyDescent="0.25">
      <c r="M8449" s="21"/>
    </row>
    <row r="8450" spans="13:13" x14ac:dyDescent="0.25">
      <c r="M8450" s="21"/>
    </row>
    <row r="8451" spans="13:13" x14ac:dyDescent="0.25">
      <c r="M8451" s="21"/>
    </row>
    <row r="8452" spans="13:13" x14ac:dyDescent="0.25">
      <c r="M8452" s="21"/>
    </row>
    <row r="8453" spans="13:13" x14ac:dyDescent="0.25">
      <c r="M8453" s="21"/>
    </row>
    <row r="8454" spans="13:13" x14ac:dyDescent="0.25">
      <c r="M8454" s="21"/>
    </row>
    <row r="8455" spans="13:13" x14ac:dyDescent="0.25">
      <c r="M8455" s="21"/>
    </row>
    <row r="8456" spans="13:13" x14ac:dyDescent="0.25">
      <c r="M8456" s="21"/>
    </row>
    <row r="8457" spans="13:13" x14ac:dyDescent="0.25">
      <c r="M8457" s="21"/>
    </row>
    <row r="8458" spans="13:13" x14ac:dyDescent="0.25">
      <c r="M8458" s="21"/>
    </row>
    <row r="8459" spans="13:13" x14ac:dyDescent="0.25">
      <c r="M8459" s="21"/>
    </row>
    <row r="8460" spans="13:13" x14ac:dyDescent="0.25">
      <c r="M8460" s="21"/>
    </row>
    <row r="8461" spans="13:13" x14ac:dyDescent="0.25">
      <c r="M8461" s="21"/>
    </row>
    <row r="8462" spans="13:13" x14ac:dyDescent="0.25">
      <c r="M8462" s="21"/>
    </row>
    <row r="8463" spans="13:13" x14ac:dyDescent="0.25">
      <c r="M8463" s="21"/>
    </row>
    <row r="8464" spans="13:13" x14ac:dyDescent="0.25">
      <c r="M8464" s="21"/>
    </row>
    <row r="8465" spans="13:13" x14ac:dyDescent="0.25">
      <c r="M8465" s="21"/>
    </row>
    <row r="8466" spans="13:13" x14ac:dyDescent="0.25">
      <c r="M8466" s="21"/>
    </row>
    <row r="8467" spans="13:13" x14ac:dyDescent="0.25">
      <c r="M8467" s="21"/>
    </row>
    <row r="8468" spans="13:13" x14ac:dyDescent="0.25">
      <c r="M8468" s="21"/>
    </row>
    <row r="8469" spans="13:13" x14ac:dyDescent="0.25">
      <c r="M8469" s="21"/>
    </row>
    <row r="8470" spans="13:13" x14ac:dyDescent="0.25">
      <c r="M8470" s="21"/>
    </row>
    <row r="8471" spans="13:13" x14ac:dyDescent="0.25">
      <c r="M8471" s="21"/>
    </row>
    <row r="8472" spans="13:13" x14ac:dyDescent="0.25">
      <c r="M8472" s="21"/>
    </row>
    <row r="8473" spans="13:13" x14ac:dyDescent="0.25">
      <c r="M8473" s="21"/>
    </row>
    <row r="8474" spans="13:13" x14ac:dyDescent="0.25">
      <c r="M8474" s="21"/>
    </row>
    <row r="8475" spans="13:13" x14ac:dyDescent="0.25">
      <c r="M8475" s="21"/>
    </row>
    <row r="8476" spans="13:13" x14ac:dyDescent="0.25">
      <c r="M8476" s="21"/>
    </row>
    <row r="8477" spans="13:13" x14ac:dyDescent="0.25">
      <c r="M8477" s="21"/>
    </row>
    <row r="8478" spans="13:13" x14ac:dyDescent="0.25">
      <c r="M8478" s="21"/>
    </row>
    <row r="8479" spans="13:13" x14ac:dyDescent="0.25">
      <c r="M8479" s="21"/>
    </row>
    <row r="8480" spans="13:13" x14ac:dyDescent="0.25">
      <c r="M8480" s="21"/>
    </row>
    <row r="8481" spans="13:13" x14ac:dyDescent="0.25">
      <c r="M8481" s="21"/>
    </row>
    <row r="8482" spans="13:13" x14ac:dyDescent="0.25">
      <c r="M8482" s="21"/>
    </row>
    <row r="8483" spans="13:13" x14ac:dyDescent="0.25">
      <c r="M8483" s="21"/>
    </row>
    <row r="8484" spans="13:13" x14ac:dyDescent="0.25">
      <c r="M8484" s="21"/>
    </row>
    <row r="8485" spans="13:13" x14ac:dyDescent="0.25">
      <c r="M8485" s="21"/>
    </row>
    <row r="8486" spans="13:13" x14ac:dyDescent="0.25">
      <c r="M8486" s="21"/>
    </row>
    <row r="8487" spans="13:13" x14ac:dyDescent="0.25">
      <c r="M8487" s="21"/>
    </row>
    <row r="8488" spans="13:13" x14ac:dyDescent="0.25">
      <c r="M8488" s="21"/>
    </row>
    <row r="8489" spans="13:13" x14ac:dyDescent="0.25">
      <c r="M8489" s="21"/>
    </row>
    <row r="8490" spans="13:13" x14ac:dyDescent="0.25">
      <c r="M8490" s="21"/>
    </row>
    <row r="8491" spans="13:13" x14ac:dyDescent="0.25">
      <c r="M8491" s="21"/>
    </row>
    <row r="8492" spans="13:13" x14ac:dyDescent="0.25">
      <c r="M8492" s="21"/>
    </row>
    <row r="8493" spans="13:13" x14ac:dyDescent="0.25">
      <c r="M8493" s="21"/>
    </row>
    <row r="8494" spans="13:13" x14ac:dyDescent="0.25">
      <c r="M8494" s="21"/>
    </row>
    <row r="8495" spans="13:13" x14ac:dyDescent="0.25">
      <c r="M8495" s="21"/>
    </row>
    <row r="8496" spans="13:13" x14ac:dyDescent="0.25">
      <c r="M8496" s="21"/>
    </row>
    <row r="8497" spans="13:13" x14ac:dyDescent="0.25">
      <c r="M8497" s="21"/>
    </row>
    <row r="8498" spans="13:13" x14ac:dyDescent="0.25">
      <c r="M8498" s="21"/>
    </row>
    <row r="8499" spans="13:13" x14ac:dyDescent="0.25">
      <c r="M8499" s="21"/>
    </row>
    <row r="8500" spans="13:13" x14ac:dyDescent="0.25">
      <c r="M8500" s="21"/>
    </row>
    <row r="8501" spans="13:13" x14ac:dyDescent="0.25">
      <c r="M8501" s="21"/>
    </row>
    <row r="8502" spans="13:13" x14ac:dyDescent="0.25">
      <c r="M8502" s="21"/>
    </row>
    <row r="8503" spans="13:13" x14ac:dyDescent="0.25">
      <c r="M8503" s="21"/>
    </row>
    <row r="8504" spans="13:13" x14ac:dyDescent="0.25">
      <c r="M8504" s="21"/>
    </row>
    <row r="8505" spans="13:13" x14ac:dyDescent="0.25">
      <c r="M8505" s="21"/>
    </row>
    <row r="8506" spans="13:13" x14ac:dyDescent="0.25">
      <c r="M8506" s="21"/>
    </row>
    <row r="8507" spans="13:13" x14ac:dyDescent="0.25">
      <c r="M8507" s="21"/>
    </row>
    <row r="8508" spans="13:13" x14ac:dyDescent="0.25">
      <c r="M8508" s="21"/>
    </row>
    <row r="8509" spans="13:13" x14ac:dyDescent="0.25">
      <c r="M8509" s="21"/>
    </row>
    <row r="8510" spans="13:13" x14ac:dyDescent="0.25">
      <c r="M8510" s="21"/>
    </row>
    <row r="8511" spans="13:13" x14ac:dyDescent="0.25">
      <c r="M8511" s="21"/>
    </row>
    <row r="8512" spans="13:13" x14ac:dyDescent="0.25">
      <c r="M8512" s="21"/>
    </row>
    <row r="8513" spans="13:13" x14ac:dyDescent="0.25">
      <c r="M8513" s="21"/>
    </row>
    <row r="8514" spans="13:13" x14ac:dyDescent="0.25">
      <c r="M8514" s="21"/>
    </row>
    <row r="8515" spans="13:13" x14ac:dyDescent="0.25">
      <c r="M8515" s="21"/>
    </row>
    <row r="8516" spans="13:13" x14ac:dyDescent="0.25">
      <c r="M8516" s="21"/>
    </row>
    <row r="8517" spans="13:13" x14ac:dyDescent="0.25">
      <c r="M8517" s="21"/>
    </row>
    <row r="8518" spans="13:13" x14ac:dyDescent="0.25">
      <c r="M8518" s="21"/>
    </row>
    <row r="8519" spans="13:13" x14ac:dyDescent="0.25">
      <c r="M8519" s="21"/>
    </row>
    <row r="8520" spans="13:13" x14ac:dyDescent="0.25">
      <c r="M8520" s="21"/>
    </row>
    <row r="8521" spans="13:13" x14ac:dyDescent="0.25">
      <c r="M8521" s="21"/>
    </row>
    <row r="8522" spans="13:13" x14ac:dyDescent="0.25">
      <c r="M8522" s="21"/>
    </row>
    <row r="8523" spans="13:13" x14ac:dyDescent="0.25">
      <c r="M8523" s="21"/>
    </row>
    <row r="8524" spans="13:13" x14ac:dyDescent="0.25">
      <c r="M8524" s="21"/>
    </row>
    <row r="8525" spans="13:13" x14ac:dyDescent="0.25">
      <c r="M8525" s="21"/>
    </row>
    <row r="8526" spans="13:13" x14ac:dyDescent="0.25">
      <c r="M8526" s="21"/>
    </row>
    <row r="8527" spans="13:13" x14ac:dyDescent="0.25">
      <c r="M8527" s="21"/>
    </row>
    <row r="8528" spans="13:13" x14ac:dyDescent="0.25">
      <c r="M8528" s="21"/>
    </row>
    <row r="8529" spans="13:13" x14ac:dyDescent="0.25">
      <c r="M8529" s="21"/>
    </row>
    <row r="8530" spans="13:13" x14ac:dyDescent="0.25">
      <c r="M8530" s="21"/>
    </row>
    <row r="8531" spans="13:13" x14ac:dyDescent="0.25">
      <c r="M8531" s="21"/>
    </row>
    <row r="8532" spans="13:13" x14ac:dyDescent="0.25">
      <c r="M8532" s="21"/>
    </row>
    <row r="8533" spans="13:13" x14ac:dyDescent="0.25">
      <c r="M8533" s="21"/>
    </row>
    <row r="8534" spans="13:13" x14ac:dyDescent="0.25">
      <c r="M8534" s="21"/>
    </row>
    <row r="8535" spans="13:13" x14ac:dyDescent="0.25">
      <c r="M8535" s="21"/>
    </row>
    <row r="8536" spans="13:13" x14ac:dyDescent="0.25">
      <c r="M8536" s="21"/>
    </row>
    <row r="8537" spans="13:13" x14ac:dyDescent="0.25">
      <c r="M8537" s="21"/>
    </row>
    <row r="8538" spans="13:13" x14ac:dyDescent="0.25">
      <c r="M8538" s="21"/>
    </row>
    <row r="8539" spans="13:13" x14ac:dyDescent="0.25">
      <c r="M8539" s="21"/>
    </row>
    <row r="8540" spans="13:13" x14ac:dyDescent="0.25">
      <c r="M8540" s="21"/>
    </row>
    <row r="8541" spans="13:13" x14ac:dyDescent="0.25">
      <c r="M8541" s="21"/>
    </row>
    <row r="8542" spans="13:13" x14ac:dyDescent="0.25">
      <c r="M8542" s="21"/>
    </row>
    <row r="8543" spans="13:13" x14ac:dyDescent="0.25">
      <c r="M8543" s="21"/>
    </row>
    <row r="8544" spans="13:13" x14ac:dyDescent="0.25">
      <c r="M8544" s="21"/>
    </row>
    <row r="8545" spans="13:13" x14ac:dyDescent="0.25">
      <c r="M8545" s="21"/>
    </row>
    <row r="8546" spans="13:13" x14ac:dyDescent="0.25">
      <c r="M8546" s="21"/>
    </row>
    <row r="8547" spans="13:13" x14ac:dyDescent="0.25">
      <c r="M8547" s="21"/>
    </row>
    <row r="8548" spans="13:13" x14ac:dyDescent="0.25">
      <c r="M8548" s="21"/>
    </row>
    <row r="8549" spans="13:13" x14ac:dyDescent="0.25">
      <c r="M8549" s="21"/>
    </row>
    <row r="8550" spans="13:13" x14ac:dyDescent="0.25">
      <c r="M8550" s="21"/>
    </row>
    <row r="8551" spans="13:13" x14ac:dyDescent="0.25">
      <c r="M8551" s="21"/>
    </row>
    <row r="8552" spans="13:13" x14ac:dyDescent="0.25">
      <c r="M8552" s="21"/>
    </row>
    <row r="8553" spans="13:13" x14ac:dyDescent="0.25">
      <c r="M8553" s="21"/>
    </row>
    <row r="8554" spans="13:13" x14ac:dyDescent="0.25">
      <c r="M8554" s="21"/>
    </row>
    <row r="8555" spans="13:13" x14ac:dyDescent="0.25">
      <c r="M8555" s="21"/>
    </row>
    <row r="8556" spans="13:13" x14ac:dyDescent="0.25">
      <c r="M8556" s="21"/>
    </row>
    <row r="8557" spans="13:13" x14ac:dyDescent="0.25">
      <c r="M8557" s="21"/>
    </row>
    <row r="8558" spans="13:13" x14ac:dyDescent="0.25">
      <c r="M8558" s="21"/>
    </row>
    <row r="8559" spans="13:13" x14ac:dyDescent="0.25">
      <c r="M8559" s="21"/>
    </row>
    <row r="8560" spans="13:13" x14ac:dyDescent="0.25">
      <c r="M8560" s="21"/>
    </row>
    <row r="8561" spans="13:13" x14ac:dyDescent="0.25">
      <c r="M8561" s="21"/>
    </row>
    <row r="8562" spans="13:13" x14ac:dyDescent="0.25">
      <c r="M8562" s="21"/>
    </row>
    <row r="8563" spans="13:13" x14ac:dyDescent="0.25">
      <c r="M8563" s="21"/>
    </row>
    <row r="8564" spans="13:13" x14ac:dyDescent="0.25">
      <c r="M8564" s="21"/>
    </row>
    <row r="8565" spans="13:13" x14ac:dyDescent="0.25">
      <c r="M8565" s="21"/>
    </row>
    <row r="8566" spans="13:13" x14ac:dyDescent="0.25">
      <c r="M8566" s="21"/>
    </row>
    <row r="8567" spans="13:13" x14ac:dyDescent="0.25">
      <c r="M8567" s="21"/>
    </row>
    <row r="8568" spans="13:13" x14ac:dyDescent="0.25">
      <c r="M8568" s="21"/>
    </row>
    <row r="8569" spans="13:13" x14ac:dyDescent="0.25">
      <c r="M8569" s="21"/>
    </row>
    <row r="8570" spans="13:13" x14ac:dyDescent="0.25">
      <c r="M8570" s="21"/>
    </row>
    <row r="8571" spans="13:13" x14ac:dyDescent="0.25">
      <c r="M8571" s="21"/>
    </row>
    <row r="8572" spans="13:13" x14ac:dyDescent="0.25">
      <c r="M8572" s="21"/>
    </row>
    <row r="8573" spans="13:13" x14ac:dyDescent="0.25">
      <c r="M8573" s="21"/>
    </row>
    <row r="8574" spans="13:13" x14ac:dyDescent="0.25">
      <c r="M8574" s="21"/>
    </row>
    <row r="8575" spans="13:13" x14ac:dyDescent="0.25">
      <c r="M8575" s="21"/>
    </row>
    <row r="8576" spans="13:13" x14ac:dyDescent="0.25">
      <c r="M8576" s="21"/>
    </row>
    <row r="8577" spans="13:13" x14ac:dyDescent="0.25">
      <c r="M8577" s="21"/>
    </row>
    <row r="8578" spans="13:13" x14ac:dyDescent="0.25">
      <c r="M8578" s="21"/>
    </row>
    <row r="8579" spans="13:13" x14ac:dyDescent="0.25">
      <c r="M8579" s="21"/>
    </row>
    <row r="8580" spans="13:13" x14ac:dyDescent="0.25">
      <c r="M8580" s="21"/>
    </row>
    <row r="8581" spans="13:13" x14ac:dyDescent="0.25">
      <c r="M8581" s="21"/>
    </row>
    <row r="8582" spans="13:13" x14ac:dyDescent="0.25">
      <c r="M8582" s="21"/>
    </row>
    <row r="8583" spans="13:13" x14ac:dyDescent="0.25">
      <c r="M8583" s="21"/>
    </row>
    <row r="8584" spans="13:13" x14ac:dyDescent="0.25">
      <c r="M8584" s="21"/>
    </row>
    <row r="8585" spans="13:13" x14ac:dyDescent="0.25">
      <c r="M8585" s="21"/>
    </row>
    <row r="8586" spans="13:13" x14ac:dyDescent="0.25">
      <c r="M8586" s="21"/>
    </row>
    <row r="8587" spans="13:13" x14ac:dyDescent="0.25">
      <c r="M8587" s="21"/>
    </row>
    <row r="8588" spans="13:13" x14ac:dyDescent="0.25">
      <c r="M8588" s="21"/>
    </row>
    <row r="8589" spans="13:13" x14ac:dyDescent="0.25">
      <c r="M8589" s="21"/>
    </row>
    <row r="8590" spans="13:13" x14ac:dyDescent="0.25">
      <c r="M8590" s="21"/>
    </row>
    <row r="8591" spans="13:13" x14ac:dyDescent="0.25">
      <c r="M8591" s="21"/>
    </row>
    <row r="8592" spans="13:13" x14ac:dyDescent="0.25">
      <c r="M8592" s="21"/>
    </row>
    <row r="8593" spans="13:13" x14ac:dyDescent="0.25">
      <c r="M8593" s="21"/>
    </row>
    <row r="8594" spans="13:13" x14ac:dyDescent="0.25">
      <c r="M8594" s="21"/>
    </row>
    <row r="8595" spans="13:13" x14ac:dyDescent="0.25">
      <c r="M8595" s="21"/>
    </row>
    <row r="8596" spans="13:13" x14ac:dyDescent="0.25">
      <c r="M8596" s="21"/>
    </row>
    <row r="8597" spans="13:13" x14ac:dyDescent="0.25">
      <c r="M8597" s="21"/>
    </row>
    <row r="8598" spans="13:13" x14ac:dyDescent="0.25">
      <c r="M8598" s="21"/>
    </row>
    <row r="8599" spans="13:13" x14ac:dyDescent="0.25">
      <c r="M8599" s="21"/>
    </row>
    <row r="8600" spans="13:13" x14ac:dyDescent="0.25">
      <c r="M8600" s="21"/>
    </row>
    <row r="8601" spans="13:13" x14ac:dyDescent="0.25">
      <c r="M8601" s="21"/>
    </row>
    <row r="8602" spans="13:13" x14ac:dyDescent="0.25">
      <c r="M8602" s="21"/>
    </row>
    <row r="8603" spans="13:13" x14ac:dyDescent="0.25">
      <c r="M8603" s="21"/>
    </row>
    <row r="8604" spans="13:13" x14ac:dyDescent="0.25">
      <c r="M8604" s="21"/>
    </row>
    <row r="8605" spans="13:13" x14ac:dyDescent="0.25">
      <c r="M8605" s="21"/>
    </row>
    <row r="8606" spans="13:13" x14ac:dyDescent="0.25">
      <c r="M8606" s="21"/>
    </row>
    <row r="8607" spans="13:13" x14ac:dyDescent="0.25">
      <c r="M8607" s="21"/>
    </row>
    <row r="8608" spans="13:13" x14ac:dyDescent="0.25">
      <c r="M8608" s="21"/>
    </row>
    <row r="8609" spans="13:13" x14ac:dyDescent="0.25">
      <c r="M8609" s="21"/>
    </row>
    <row r="8610" spans="13:13" x14ac:dyDescent="0.25">
      <c r="M8610" s="21"/>
    </row>
    <row r="8611" spans="13:13" x14ac:dyDescent="0.25">
      <c r="M8611" s="21"/>
    </row>
    <row r="8612" spans="13:13" x14ac:dyDescent="0.25">
      <c r="M8612" s="21"/>
    </row>
    <row r="8613" spans="13:13" x14ac:dyDescent="0.25">
      <c r="M8613" s="21"/>
    </row>
    <row r="8614" spans="13:13" x14ac:dyDescent="0.25">
      <c r="M8614" s="21"/>
    </row>
    <row r="8615" spans="13:13" x14ac:dyDescent="0.25">
      <c r="M8615" s="21"/>
    </row>
    <row r="8616" spans="13:13" x14ac:dyDescent="0.25">
      <c r="M8616" s="21"/>
    </row>
    <row r="8617" spans="13:13" x14ac:dyDescent="0.25">
      <c r="M8617" s="21"/>
    </row>
    <row r="8618" spans="13:13" x14ac:dyDescent="0.25">
      <c r="M8618" s="21"/>
    </row>
    <row r="8619" spans="13:13" x14ac:dyDescent="0.25">
      <c r="M8619" s="21"/>
    </row>
    <row r="8620" spans="13:13" x14ac:dyDescent="0.25">
      <c r="M8620" s="21"/>
    </row>
    <row r="8621" spans="13:13" x14ac:dyDescent="0.25">
      <c r="M8621" s="21"/>
    </row>
    <row r="8622" spans="13:13" x14ac:dyDescent="0.25">
      <c r="M8622" s="21"/>
    </row>
    <row r="8623" spans="13:13" x14ac:dyDescent="0.25">
      <c r="M8623" s="21"/>
    </row>
    <row r="8624" spans="13:13" x14ac:dyDescent="0.25">
      <c r="M8624" s="21"/>
    </row>
    <row r="8625" spans="13:13" x14ac:dyDescent="0.25">
      <c r="M8625" s="21"/>
    </row>
    <row r="8626" spans="13:13" x14ac:dyDescent="0.25">
      <c r="M8626" s="21"/>
    </row>
    <row r="8627" spans="13:13" x14ac:dyDescent="0.25">
      <c r="M8627" s="21"/>
    </row>
    <row r="8628" spans="13:13" x14ac:dyDescent="0.25">
      <c r="M8628" s="21"/>
    </row>
    <row r="8629" spans="13:13" x14ac:dyDescent="0.25">
      <c r="M8629" s="21"/>
    </row>
    <row r="8630" spans="13:13" x14ac:dyDescent="0.25">
      <c r="M8630" s="21"/>
    </row>
    <row r="8631" spans="13:13" x14ac:dyDescent="0.25">
      <c r="M8631" s="21"/>
    </row>
    <row r="8632" spans="13:13" x14ac:dyDescent="0.25">
      <c r="M8632" s="21"/>
    </row>
    <row r="8633" spans="13:13" x14ac:dyDescent="0.25">
      <c r="M8633" s="21"/>
    </row>
    <row r="8634" spans="13:13" x14ac:dyDescent="0.25">
      <c r="M8634" s="21"/>
    </row>
    <row r="8635" spans="13:13" x14ac:dyDescent="0.25">
      <c r="M8635" s="21"/>
    </row>
    <row r="8636" spans="13:13" x14ac:dyDescent="0.25">
      <c r="M8636" s="21"/>
    </row>
    <row r="8637" spans="13:13" x14ac:dyDescent="0.25">
      <c r="M8637" s="21"/>
    </row>
    <row r="8638" spans="13:13" x14ac:dyDescent="0.25">
      <c r="M8638" s="21"/>
    </row>
    <row r="8639" spans="13:13" x14ac:dyDescent="0.25">
      <c r="M8639" s="21"/>
    </row>
    <row r="8640" spans="13:13" x14ac:dyDescent="0.25">
      <c r="M8640" s="21"/>
    </row>
    <row r="8641" spans="13:13" x14ac:dyDescent="0.25">
      <c r="M8641" s="21"/>
    </row>
    <row r="8642" spans="13:13" x14ac:dyDescent="0.25">
      <c r="M8642" s="21"/>
    </row>
    <row r="8643" spans="13:13" x14ac:dyDescent="0.25">
      <c r="M8643" s="21"/>
    </row>
    <row r="8644" spans="13:13" x14ac:dyDescent="0.25">
      <c r="M8644" s="21"/>
    </row>
    <row r="8645" spans="13:13" x14ac:dyDescent="0.25">
      <c r="M8645" s="21"/>
    </row>
    <row r="8646" spans="13:13" x14ac:dyDescent="0.25">
      <c r="M8646" s="21"/>
    </row>
    <row r="8647" spans="13:13" x14ac:dyDescent="0.25">
      <c r="M8647" s="21"/>
    </row>
    <row r="8648" spans="13:13" x14ac:dyDescent="0.25">
      <c r="M8648" s="21"/>
    </row>
    <row r="8649" spans="13:13" x14ac:dyDescent="0.25">
      <c r="M8649" s="21"/>
    </row>
    <row r="8650" spans="13:13" x14ac:dyDescent="0.25">
      <c r="M8650" s="21"/>
    </row>
    <row r="8651" spans="13:13" x14ac:dyDescent="0.25">
      <c r="M8651" s="21"/>
    </row>
    <row r="8652" spans="13:13" x14ac:dyDescent="0.25">
      <c r="M8652" s="21"/>
    </row>
    <row r="8653" spans="13:13" x14ac:dyDescent="0.25">
      <c r="M8653" s="21"/>
    </row>
    <row r="8654" spans="13:13" x14ac:dyDescent="0.25">
      <c r="M8654" s="21"/>
    </row>
    <row r="8655" spans="13:13" x14ac:dyDescent="0.25">
      <c r="M8655" s="21"/>
    </row>
    <row r="8656" spans="13:13" x14ac:dyDescent="0.25">
      <c r="M8656" s="21"/>
    </row>
    <row r="8657" spans="13:13" x14ac:dyDescent="0.25">
      <c r="M8657" s="21"/>
    </row>
    <row r="8658" spans="13:13" x14ac:dyDescent="0.25">
      <c r="M8658" s="21"/>
    </row>
    <row r="8659" spans="13:13" x14ac:dyDescent="0.25">
      <c r="M8659" s="21"/>
    </row>
    <row r="8660" spans="13:13" x14ac:dyDescent="0.25">
      <c r="M8660" s="21"/>
    </row>
    <row r="8661" spans="13:13" x14ac:dyDescent="0.25">
      <c r="M8661" s="21"/>
    </row>
    <row r="8662" spans="13:13" x14ac:dyDescent="0.25">
      <c r="M8662" s="21"/>
    </row>
    <row r="8663" spans="13:13" x14ac:dyDescent="0.25">
      <c r="M8663" s="21"/>
    </row>
    <row r="8664" spans="13:13" x14ac:dyDescent="0.25">
      <c r="M8664" s="21"/>
    </row>
    <row r="8665" spans="13:13" x14ac:dyDescent="0.25">
      <c r="M8665" s="21"/>
    </row>
    <row r="8666" spans="13:13" x14ac:dyDescent="0.25">
      <c r="M8666" s="21"/>
    </row>
    <row r="8667" spans="13:13" x14ac:dyDescent="0.25">
      <c r="M8667" s="21"/>
    </row>
    <row r="8668" spans="13:13" x14ac:dyDescent="0.25">
      <c r="M8668" s="21"/>
    </row>
    <row r="8669" spans="13:13" x14ac:dyDescent="0.25">
      <c r="M8669" s="21"/>
    </row>
    <row r="8670" spans="13:13" x14ac:dyDescent="0.25">
      <c r="M8670" s="21"/>
    </row>
    <row r="8671" spans="13:13" x14ac:dyDescent="0.25">
      <c r="M8671" s="21"/>
    </row>
    <row r="8672" spans="13:13" x14ac:dyDescent="0.25">
      <c r="M8672" s="21"/>
    </row>
    <row r="8673" spans="13:13" x14ac:dyDescent="0.25">
      <c r="M8673" s="21"/>
    </row>
    <row r="8674" spans="13:13" x14ac:dyDescent="0.25">
      <c r="M8674" s="21"/>
    </row>
    <row r="8675" spans="13:13" x14ac:dyDescent="0.25">
      <c r="M8675" s="21"/>
    </row>
    <row r="8676" spans="13:13" x14ac:dyDescent="0.25">
      <c r="M8676" s="21"/>
    </row>
    <row r="8677" spans="13:13" x14ac:dyDescent="0.25">
      <c r="M8677" s="21"/>
    </row>
    <row r="8678" spans="13:13" x14ac:dyDescent="0.25">
      <c r="M8678" s="21"/>
    </row>
    <row r="8679" spans="13:13" x14ac:dyDescent="0.25">
      <c r="M8679" s="21"/>
    </row>
    <row r="8680" spans="13:13" x14ac:dyDescent="0.25">
      <c r="M8680" s="21"/>
    </row>
    <row r="8681" spans="13:13" x14ac:dyDescent="0.25">
      <c r="M8681" s="21"/>
    </row>
    <row r="8682" spans="13:13" x14ac:dyDescent="0.25">
      <c r="M8682" s="21"/>
    </row>
    <row r="8683" spans="13:13" x14ac:dyDescent="0.25">
      <c r="M8683" s="21"/>
    </row>
    <row r="8684" spans="13:13" x14ac:dyDescent="0.25">
      <c r="M8684" s="21"/>
    </row>
    <row r="8685" spans="13:13" x14ac:dyDescent="0.25">
      <c r="M8685" s="21"/>
    </row>
    <row r="8686" spans="13:13" x14ac:dyDescent="0.25">
      <c r="M8686" s="21"/>
    </row>
    <row r="8687" spans="13:13" x14ac:dyDescent="0.25">
      <c r="M8687" s="21"/>
    </row>
    <row r="8688" spans="13:13" x14ac:dyDescent="0.25">
      <c r="M8688" s="21"/>
    </row>
    <row r="8689" spans="13:13" x14ac:dyDescent="0.25">
      <c r="M8689" s="21"/>
    </row>
    <row r="8690" spans="13:13" x14ac:dyDescent="0.25">
      <c r="M8690" s="21"/>
    </row>
    <row r="8691" spans="13:13" x14ac:dyDescent="0.25">
      <c r="M8691" s="21"/>
    </row>
    <row r="8692" spans="13:13" x14ac:dyDescent="0.25">
      <c r="M8692" s="21"/>
    </row>
    <row r="8693" spans="13:13" x14ac:dyDescent="0.25">
      <c r="M8693" s="21"/>
    </row>
    <row r="8694" spans="13:13" x14ac:dyDescent="0.25">
      <c r="M8694" s="21"/>
    </row>
    <row r="8695" spans="13:13" x14ac:dyDescent="0.25">
      <c r="M8695" s="21"/>
    </row>
    <row r="8696" spans="13:13" x14ac:dyDescent="0.25">
      <c r="M8696" s="21"/>
    </row>
    <row r="8697" spans="13:13" x14ac:dyDescent="0.25">
      <c r="M8697" s="21"/>
    </row>
    <row r="8698" spans="13:13" x14ac:dyDescent="0.25">
      <c r="M8698" s="21"/>
    </row>
    <row r="8699" spans="13:13" x14ac:dyDescent="0.25">
      <c r="M8699" s="21"/>
    </row>
    <row r="8700" spans="13:13" x14ac:dyDescent="0.25">
      <c r="M8700" s="21"/>
    </row>
    <row r="8701" spans="13:13" x14ac:dyDescent="0.25">
      <c r="M8701" s="21"/>
    </row>
    <row r="8702" spans="13:13" x14ac:dyDescent="0.25">
      <c r="M8702" s="21"/>
    </row>
    <row r="8703" spans="13:13" x14ac:dyDescent="0.25">
      <c r="M8703" s="21"/>
    </row>
    <row r="8704" spans="13:13" x14ac:dyDescent="0.25">
      <c r="M8704" s="21"/>
    </row>
    <row r="8705" spans="13:13" x14ac:dyDescent="0.25">
      <c r="M8705" s="21"/>
    </row>
    <row r="8706" spans="13:13" x14ac:dyDescent="0.25">
      <c r="M8706" s="21"/>
    </row>
    <row r="8707" spans="13:13" x14ac:dyDescent="0.25">
      <c r="M8707" s="21"/>
    </row>
    <row r="8708" spans="13:13" x14ac:dyDescent="0.25">
      <c r="M8708" s="21"/>
    </row>
    <row r="8709" spans="13:13" x14ac:dyDescent="0.25">
      <c r="M8709" s="21"/>
    </row>
    <row r="8710" spans="13:13" x14ac:dyDescent="0.25">
      <c r="M8710" s="21"/>
    </row>
    <row r="8711" spans="13:13" x14ac:dyDescent="0.25">
      <c r="M8711" s="21"/>
    </row>
    <row r="8712" spans="13:13" x14ac:dyDescent="0.25">
      <c r="M8712" s="21"/>
    </row>
    <row r="8713" spans="13:13" x14ac:dyDescent="0.25">
      <c r="M8713" s="21"/>
    </row>
    <row r="8714" spans="13:13" x14ac:dyDescent="0.25">
      <c r="M8714" s="21"/>
    </row>
    <row r="8715" spans="13:13" x14ac:dyDescent="0.25">
      <c r="M8715" s="21"/>
    </row>
    <row r="8716" spans="13:13" x14ac:dyDescent="0.25">
      <c r="M8716" s="21"/>
    </row>
    <row r="8717" spans="13:13" x14ac:dyDescent="0.25">
      <c r="M8717" s="21"/>
    </row>
    <row r="8718" spans="13:13" x14ac:dyDescent="0.25">
      <c r="M8718" s="21"/>
    </row>
    <row r="8719" spans="13:13" x14ac:dyDescent="0.25">
      <c r="M8719" s="21"/>
    </row>
    <row r="8720" spans="13:13" x14ac:dyDescent="0.25">
      <c r="M8720" s="21"/>
    </row>
    <row r="8721" spans="13:13" x14ac:dyDescent="0.25">
      <c r="M8721" s="21"/>
    </row>
    <row r="8722" spans="13:13" x14ac:dyDescent="0.25">
      <c r="M8722" s="21"/>
    </row>
    <row r="8723" spans="13:13" x14ac:dyDescent="0.25">
      <c r="M8723" s="21"/>
    </row>
    <row r="8724" spans="13:13" x14ac:dyDescent="0.25">
      <c r="M8724" s="21"/>
    </row>
    <row r="8725" spans="13:13" x14ac:dyDescent="0.25">
      <c r="M8725" s="21"/>
    </row>
    <row r="8726" spans="13:13" x14ac:dyDescent="0.25">
      <c r="M8726" s="21"/>
    </row>
    <row r="8727" spans="13:13" x14ac:dyDescent="0.25">
      <c r="M8727" s="21"/>
    </row>
    <row r="8728" spans="13:13" x14ac:dyDescent="0.25">
      <c r="M8728" s="21"/>
    </row>
    <row r="8729" spans="13:13" x14ac:dyDescent="0.25">
      <c r="M8729" s="21"/>
    </row>
    <row r="8730" spans="13:13" x14ac:dyDescent="0.25">
      <c r="M8730" s="21"/>
    </row>
    <row r="8731" spans="13:13" x14ac:dyDescent="0.25">
      <c r="M8731" s="21"/>
    </row>
    <row r="8732" spans="13:13" x14ac:dyDescent="0.25">
      <c r="M8732" s="21"/>
    </row>
    <row r="8733" spans="13:13" x14ac:dyDescent="0.25">
      <c r="M8733" s="21"/>
    </row>
    <row r="8734" spans="13:13" x14ac:dyDescent="0.25">
      <c r="M8734" s="21"/>
    </row>
    <row r="8735" spans="13:13" x14ac:dyDescent="0.25">
      <c r="M8735" s="21"/>
    </row>
    <row r="8736" spans="13:13" x14ac:dyDescent="0.25">
      <c r="M8736" s="21"/>
    </row>
    <row r="8737" spans="13:13" x14ac:dyDescent="0.25">
      <c r="M8737" s="21"/>
    </row>
    <row r="8738" spans="13:13" x14ac:dyDescent="0.25">
      <c r="M8738" s="21"/>
    </row>
    <row r="8739" spans="13:13" x14ac:dyDescent="0.25">
      <c r="M8739" s="21"/>
    </row>
    <row r="8740" spans="13:13" x14ac:dyDescent="0.25">
      <c r="M8740" s="21"/>
    </row>
    <row r="8741" spans="13:13" x14ac:dyDescent="0.25">
      <c r="M8741" s="21"/>
    </row>
    <row r="8742" spans="13:13" x14ac:dyDescent="0.25">
      <c r="M8742" s="21"/>
    </row>
    <row r="8743" spans="13:13" x14ac:dyDescent="0.25">
      <c r="M8743" s="21"/>
    </row>
    <row r="8744" spans="13:13" x14ac:dyDescent="0.25">
      <c r="M8744" s="21"/>
    </row>
    <row r="8745" spans="13:13" x14ac:dyDescent="0.25">
      <c r="M8745" s="21"/>
    </row>
    <row r="8746" spans="13:13" x14ac:dyDescent="0.25">
      <c r="M8746" s="21"/>
    </row>
    <row r="8747" spans="13:13" x14ac:dyDescent="0.25">
      <c r="M8747" s="21"/>
    </row>
    <row r="8748" spans="13:13" x14ac:dyDescent="0.25">
      <c r="M8748" s="21"/>
    </row>
    <row r="8749" spans="13:13" x14ac:dyDescent="0.25">
      <c r="M8749" s="21"/>
    </row>
    <row r="8750" spans="13:13" x14ac:dyDescent="0.25">
      <c r="M8750" s="21"/>
    </row>
    <row r="8751" spans="13:13" x14ac:dyDescent="0.25">
      <c r="M8751" s="21"/>
    </row>
    <row r="8752" spans="13:13" x14ac:dyDescent="0.25">
      <c r="M8752" s="21"/>
    </row>
    <row r="8753" spans="13:13" x14ac:dyDescent="0.25">
      <c r="M8753" s="21"/>
    </row>
    <row r="8754" spans="13:13" x14ac:dyDescent="0.25">
      <c r="M8754" s="21"/>
    </row>
    <row r="8755" spans="13:13" x14ac:dyDescent="0.25">
      <c r="M8755" s="21"/>
    </row>
    <row r="8756" spans="13:13" x14ac:dyDescent="0.25">
      <c r="M8756" s="21"/>
    </row>
    <row r="8757" spans="13:13" x14ac:dyDescent="0.25">
      <c r="M8757" s="21"/>
    </row>
    <row r="8758" spans="13:13" x14ac:dyDescent="0.25">
      <c r="M8758" s="21"/>
    </row>
    <row r="8759" spans="13:13" x14ac:dyDescent="0.25">
      <c r="M8759" s="21"/>
    </row>
    <row r="8760" spans="13:13" x14ac:dyDescent="0.25">
      <c r="M8760" s="21"/>
    </row>
    <row r="8761" spans="13:13" x14ac:dyDescent="0.25">
      <c r="M8761" s="21"/>
    </row>
    <row r="8762" spans="13:13" x14ac:dyDescent="0.25">
      <c r="M8762" s="21"/>
    </row>
    <row r="8763" spans="13:13" x14ac:dyDescent="0.25">
      <c r="M8763" s="21"/>
    </row>
    <row r="8764" spans="13:13" x14ac:dyDescent="0.25">
      <c r="M8764" s="21"/>
    </row>
    <row r="8765" spans="13:13" x14ac:dyDescent="0.25">
      <c r="M8765" s="21"/>
    </row>
    <row r="8766" spans="13:13" x14ac:dyDescent="0.25">
      <c r="M8766" s="21"/>
    </row>
    <row r="8767" spans="13:13" x14ac:dyDescent="0.25">
      <c r="M8767" s="21"/>
    </row>
    <row r="8768" spans="13:13" x14ac:dyDescent="0.25">
      <c r="M8768" s="21"/>
    </row>
    <row r="8769" spans="13:13" x14ac:dyDescent="0.25">
      <c r="M8769" s="21"/>
    </row>
    <row r="8770" spans="13:13" x14ac:dyDescent="0.25">
      <c r="M8770" s="21"/>
    </row>
    <row r="8771" spans="13:13" x14ac:dyDescent="0.25">
      <c r="M8771" s="21"/>
    </row>
    <row r="8772" spans="13:13" x14ac:dyDescent="0.25">
      <c r="M8772" s="21"/>
    </row>
    <row r="8773" spans="13:13" x14ac:dyDescent="0.25">
      <c r="M8773" s="21"/>
    </row>
    <row r="8774" spans="13:13" x14ac:dyDescent="0.25">
      <c r="M8774" s="21"/>
    </row>
    <row r="8775" spans="13:13" x14ac:dyDescent="0.25">
      <c r="M8775" s="21"/>
    </row>
    <row r="8776" spans="13:13" x14ac:dyDescent="0.25">
      <c r="M8776" s="21"/>
    </row>
    <row r="8777" spans="13:13" x14ac:dyDescent="0.25">
      <c r="M8777" s="21"/>
    </row>
    <row r="8778" spans="13:13" x14ac:dyDescent="0.25">
      <c r="M8778" s="21"/>
    </row>
    <row r="8779" spans="13:13" x14ac:dyDescent="0.25">
      <c r="M8779" s="21"/>
    </row>
    <row r="8780" spans="13:13" x14ac:dyDescent="0.25">
      <c r="M8780" s="21"/>
    </row>
    <row r="8781" spans="13:13" x14ac:dyDescent="0.25">
      <c r="M8781" s="21"/>
    </row>
    <row r="8782" spans="13:13" x14ac:dyDescent="0.25">
      <c r="M8782" s="21"/>
    </row>
    <row r="8783" spans="13:13" x14ac:dyDescent="0.25">
      <c r="M8783" s="21"/>
    </row>
    <row r="8784" spans="13:13" x14ac:dyDescent="0.25">
      <c r="M8784" s="21"/>
    </row>
    <row r="8785" spans="13:13" x14ac:dyDescent="0.25">
      <c r="M8785" s="21"/>
    </row>
    <row r="8786" spans="13:13" x14ac:dyDescent="0.25">
      <c r="M8786" s="21"/>
    </row>
    <row r="8787" spans="13:13" x14ac:dyDescent="0.25">
      <c r="M8787" s="21"/>
    </row>
    <row r="8788" spans="13:13" x14ac:dyDescent="0.25">
      <c r="M8788" s="21"/>
    </row>
    <row r="8789" spans="13:13" x14ac:dyDescent="0.25">
      <c r="M8789" s="21"/>
    </row>
    <row r="8790" spans="13:13" x14ac:dyDescent="0.25">
      <c r="M8790" s="21"/>
    </row>
    <row r="8791" spans="13:13" x14ac:dyDescent="0.25">
      <c r="M8791" s="21"/>
    </row>
    <row r="8792" spans="13:13" x14ac:dyDescent="0.25">
      <c r="M8792" s="21"/>
    </row>
    <row r="8793" spans="13:13" x14ac:dyDescent="0.25">
      <c r="M8793" s="21"/>
    </row>
    <row r="8794" spans="13:13" x14ac:dyDescent="0.25">
      <c r="M8794" s="21"/>
    </row>
    <row r="8795" spans="13:13" x14ac:dyDescent="0.25">
      <c r="M8795" s="21"/>
    </row>
    <row r="8796" spans="13:13" x14ac:dyDescent="0.25">
      <c r="M8796" s="21"/>
    </row>
    <row r="8797" spans="13:13" x14ac:dyDescent="0.25">
      <c r="M8797" s="21"/>
    </row>
    <row r="8798" spans="13:13" x14ac:dyDescent="0.25">
      <c r="M8798" s="21"/>
    </row>
    <row r="8799" spans="13:13" x14ac:dyDescent="0.25">
      <c r="M8799" s="21"/>
    </row>
    <row r="8800" spans="13:13" x14ac:dyDescent="0.25">
      <c r="M8800" s="21"/>
    </row>
    <row r="8801" spans="13:13" x14ac:dyDescent="0.25">
      <c r="M8801" s="21"/>
    </row>
    <row r="8802" spans="13:13" x14ac:dyDescent="0.25">
      <c r="M8802" s="21"/>
    </row>
    <row r="8803" spans="13:13" x14ac:dyDescent="0.25">
      <c r="M8803" s="21"/>
    </row>
    <row r="8804" spans="13:13" x14ac:dyDescent="0.25">
      <c r="M8804" s="21"/>
    </row>
    <row r="8805" spans="13:13" x14ac:dyDescent="0.25">
      <c r="M8805" s="21"/>
    </row>
    <row r="8806" spans="13:13" x14ac:dyDescent="0.25">
      <c r="M8806" s="21"/>
    </row>
    <row r="8807" spans="13:13" x14ac:dyDescent="0.25">
      <c r="M8807" s="21"/>
    </row>
    <row r="8808" spans="13:13" x14ac:dyDescent="0.25">
      <c r="M8808" s="21"/>
    </row>
    <row r="8809" spans="13:13" x14ac:dyDescent="0.25">
      <c r="M8809" s="21"/>
    </row>
    <row r="8810" spans="13:13" x14ac:dyDescent="0.25">
      <c r="M8810" s="21"/>
    </row>
    <row r="8811" spans="13:13" x14ac:dyDescent="0.25">
      <c r="M8811" s="21"/>
    </row>
    <row r="8812" spans="13:13" x14ac:dyDescent="0.25">
      <c r="M8812" s="21"/>
    </row>
    <row r="8813" spans="13:13" x14ac:dyDescent="0.25">
      <c r="M8813" s="21"/>
    </row>
    <row r="8814" spans="13:13" x14ac:dyDescent="0.25">
      <c r="M8814" s="21"/>
    </row>
    <row r="8815" spans="13:13" x14ac:dyDescent="0.25">
      <c r="M8815" s="21"/>
    </row>
    <row r="8816" spans="13:13" x14ac:dyDescent="0.25">
      <c r="M8816" s="21"/>
    </row>
    <row r="8817" spans="13:13" x14ac:dyDescent="0.25">
      <c r="M8817" s="21"/>
    </row>
    <row r="8818" spans="13:13" x14ac:dyDescent="0.25">
      <c r="M8818" s="21"/>
    </row>
    <row r="8819" spans="13:13" x14ac:dyDescent="0.25">
      <c r="M8819" s="21"/>
    </row>
    <row r="8820" spans="13:13" x14ac:dyDescent="0.25">
      <c r="M8820" s="21"/>
    </row>
    <row r="8821" spans="13:13" x14ac:dyDescent="0.25">
      <c r="M8821" s="21"/>
    </row>
    <row r="8822" spans="13:13" x14ac:dyDescent="0.25">
      <c r="M8822" s="21"/>
    </row>
    <row r="8823" spans="13:13" x14ac:dyDescent="0.25">
      <c r="M8823" s="21"/>
    </row>
    <row r="8824" spans="13:13" x14ac:dyDescent="0.25">
      <c r="M8824" s="21"/>
    </row>
    <row r="8825" spans="13:13" x14ac:dyDescent="0.25">
      <c r="M8825" s="21"/>
    </row>
    <row r="8826" spans="13:13" x14ac:dyDescent="0.25">
      <c r="M8826" s="21"/>
    </row>
    <row r="8827" spans="13:13" x14ac:dyDescent="0.25">
      <c r="M8827" s="21"/>
    </row>
    <row r="8828" spans="13:13" x14ac:dyDescent="0.25">
      <c r="M8828" s="21"/>
    </row>
    <row r="8829" spans="13:13" x14ac:dyDescent="0.25">
      <c r="M8829" s="21"/>
    </row>
    <row r="8830" spans="13:13" x14ac:dyDescent="0.25">
      <c r="M8830" s="21"/>
    </row>
    <row r="8831" spans="13:13" x14ac:dyDescent="0.25">
      <c r="M8831" s="21"/>
    </row>
    <row r="8832" spans="13:13" x14ac:dyDescent="0.25">
      <c r="M8832" s="21"/>
    </row>
    <row r="8833" spans="13:13" x14ac:dyDescent="0.25">
      <c r="M8833" s="21"/>
    </row>
    <row r="8834" spans="13:13" x14ac:dyDescent="0.25">
      <c r="M8834" s="21"/>
    </row>
    <row r="8835" spans="13:13" x14ac:dyDescent="0.25">
      <c r="M8835" s="21"/>
    </row>
    <row r="8836" spans="13:13" x14ac:dyDescent="0.25">
      <c r="M8836" s="21"/>
    </row>
    <row r="8837" spans="13:13" x14ac:dyDescent="0.25">
      <c r="M8837" s="21"/>
    </row>
    <row r="8838" spans="13:13" x14ac:dyDescent="0.25">
      <c r="M8838" s="21"/>
    </row>
    <row r="8839" spans="13:13" x14ac:dyDescent="0.25">
      <c r="M8839" s="21"/>
    </row>
    <row r="8840" spans="13:13" x14ac:dyDescent="0.25">
      <c r="M8840" s="21"/>
    </row>
    <row r="8841" spans="13:13" x14ac:dyDescent="0.25">
      <c r="M8841" s="21"/>
    </row>
    <row r="8842" spans="13:13" x14ac:dyDescent="0.25">
      <c r="M8842" s="21"/>
    </row>
    <row r="8843" spans="13:13" x14ac:dyDescent="0.25">
      <c r="M8843" s="21"/>
    </row>
    <row r="8844" spans="13:13" x14ac:dyDescent="0.25">
      <c r="M8844" s="21"/>
    </row>
    <row r="8845" spans="13:13" x14ac:dyDescent="0.25">
      <c r="M8845" s="21"/>
    </row>
    <row r="8846" spans="13:13" x14ac:dyDescent="0.25">
      <c r="M8846" s="21"/>
    </row>
    <row r="8847" spans="13:13" x14ac:dyDescent="0.25">
      <c r="M8847" s="21"/>
    </row>
    <row r="8848" spans="13:13" x14ac:dyDescent="0.25">
      <c r="M8848" s="21"/>
    </row>
    <row r="8849" spans="13:13" x14ac:dyDescent="0.25">
      <c r="M8849" s="21"/>
    </row>
    <row r="8850" spans="13:13" x14ac:dyDescent="0.25">
      <c r="M8850" s="21"/>
    </row>
    <row r="8851" spans="13:13" x14ac:dyDescent="0.25">
      <c r="M8851" s="21"/>
    </row>
    <row r="8852" spans="13:13" x14ac:dyDescent="0.25">
      <c r="M8852" s="21"/>
    </row>
    <row r="8853" spans="13:13" x14ac:dyDescent="0.25">
      <c r="M8853" s="21"/>
    </row>
    <row r="8854" spans="13:13" x14ac:dyDescent="0.25">
      <c r="M8854" s="21"/>
    </row>
    <row r="8855" spans="13:13" x14ac:dyDescent="0.25">
      <c r="M8855" s="21"/>
    </row>
    <row r="8856" spans="13:13" x14ac:dyDescent="0.25">
      <c r="M8856" s="21"/>
    </row>
    <row r="8857" spans="13:13" x14ac:dyDescent="0.25">
      <c r="M8857" s="21"/>
    </row>
    <row r="8858" spans="13:13" x14ac:dyDescent="0.25">
      <c r="M8858" s="21"/>
    </row>
    <row r="8859" spans="13:13" x14ac:dyDescent="0.25">
      <c r="M8859" s="21"/>
    </row>
    <row r="8860" spans="13:13" x14ac:dyDescent="0.25">
      <c r="M8860" s="21"/>
    </row>
    <row r="8861" spans="13:13" x14ac:dyDescent="0.25">
      <c r="M8861" s="21"/>
    </row>
    <row r="8862" spans="13:13" x14ac:dyDescent="0.25">
      <c r="M8862" s="21"/>
    </row>
    <row r="8863" spans="13:13" x14ac:dyDescent="0.25">
      <c r="M8863" s="21"/>
    </row>
    <row r="8864" spans="13:13" x14ac:dyDescent="0.25">
      <c r="M8864" s="21"/>
    </row>
    <row r="8865" spans="13:13" x14ac:dyDescent="0.25">
      <c r="M8865" s="21"/>
    </row>
    <row r="8866" spans="13:13" x14ac:dyDescent="0.25">
      <c r="M8866" s="21"/>
    </row>
    <row r="8867" spans="13:13" x14ac:dyDescent="0.25">
      <c r="M8867" s="21"/>
    </row>
    <row r="8868" spans="13:13" x14ac:dyDescent="0.25">
      <c r="M8868" s="21"/>
    </row>
    <row r="8869" spans="13:13" x14ac:dyDescent="0.25">
      <c r="M8869" s="21"/>
    </row>
    <row r="8870" spans="13:13" x14ac:dyDescent="0.25">
      <c r="M8870" s="21"/>
    </row>
    <row r="8871" spans="13:13" x14ac:dyDescent="0.25">
      <c r="M8871" s="21"/>
    </row>
    <row r="8872" spans="13:13" x14ac:dyDescent="0.25">
      <c r="M8872" s="21"/>
    </row>
    <row r="8873" spans="13:13" x14ac:dyDescent="0.25">
      <c r="M8873" s="21"/>
    </row>
    <row r="8874" spans="13:13" x14ac:dyDescent="0.25">
      <c r="M8874" s="21"/>
    </row>
    <row r="8875" spans="13:13" x14ac:dyDescent="0.25">
      <c r="M8875" s="21"/>
    </row>
    <row r="8876" spans="13:13" x14ac:dyDescent="0.25">
      <c r="M8876" s="21"/>
    </row>
    <row r="8877" spans="13:13" x14ac:dyDescent="0.25">
      <c r="M8877" s="21"/>
    </row>
    <row r="8878" spans="13:13" x14ac:dyDescent="0.25">
      <c r="M8878" s="21"/>
    </row>
    <row r="8879" spans="13:13" x14ac:dyDescent="0.25">
      <c r="M8879" s="21"/>
    </row>
    <row r="8880" spans="13:13" x14ac:dyDescent="0.25">
      <c r="M8880" s="21"/>
    </row>
    <row r="8881" spans="13:13" x14ac:dyDescent="0.25">
      <c r="M8881" s="21"/>
    </row>
    <row r="8882" spans="13:13" x14ac:dyDescent="0.25">
      <c r="M8882" s="21"/>
    </row>
    <row r="8883" spans="13:13" x14ac:dyDescent="0.25">
      <c r="M8883" s="21"/>
    </row>
    <row r="8884" spans="13:13" x14ac:dyDescent="0.25">
      <c r="M8884" s="21"/>
    </row>
    <row r="8885" spans="13:13" x14ac:dyDescent="0.25">
      <c r="M8885" s="21"/>
    </row>
    <row r="8886" spans="13:13" x14ac:dyDescent="0.25">
      <c r="M8886" s="21"/>
    </row>
    <row r="8887" spans="13:13" x14ac:dyDescent="0.25">
      <c r="M8887" s="21"/>
    </row>
    <row r="8888" spans="13:13" x14ac:dyDescent="0.25">
      <c r="M8888" s="21"/>
    </row>
    <row r="8889" spans="13:13" x14ac:dyDescent="0.25">
      <c r="M8889" s="21"/>
    </row>
    <row r="8890" spans="13:13" x14ac:dyDescent="0.25">
      <c r="M8890" s="21"/>
    </row>
    <row r="8891" spans="13:13" x14ac:dyDescent="0.25">
      <c r="M8891" s="21"/>
    </row>
    <row r="8892" spans="13:13" x14ac:dyDescent="0.25">
      <c r="M8892" s="21"/>
    </row>
    <row r="8893" spans="13:13" x14ac:dyDescent="0.25">
      <c r="M8893" s="21"/>
    </row>
    <row r="8894" spans="13:13" x14ac:dyDescent="0.25">
      <c r="M8894" s="21"/>
    </row>
    <row r="8895" spans="13:13" x14ac:dyDescent="0.25">
      <c r="M8895" s="21"/>
    </row>
    <row r="8896" spans="13:13" x14ac:dyDescent="0.25">
      <c r="M8896" s="21"/>
    </row>
    <row r="8897" spans="13:13" x14ac:dyDescent="0.25">
      <c r="M8897" s="21"/>
    </row>
    <row r="8898" spans="13:13" x14ac:dyDescent="0.25">
      <c r="M8898" s="21"/>
    </row>
    <row r="8899" spans="13:13" x14ac:dyDescent="0.25">
      <c r="M8899" s="21"/>
    </row>
    <row r="8900" spans="13:13" x14ac:dyDescent="0.25">
      <c r="M8900" s="21"/>
    </row>
    <row r="8901" spans="13:13" x14ac:dyDescent="0.25">
      <c r="M8901" s="21"/>
    </row>
    <row r="8902" spans="13:13" x14ac:dyDescent="0.25">
      <c r="M8902" s="21"/>
    </row>
    <row r="8903" spans="13:13" x14ac:dyDescent="0.25">
      <c r="M8903" s="21"/>
    </row>
    <row r="8904" spans="13:13" x14ac:dyDescent="0.25">
      <c r="M8904" s="21"/>
    </row>
    <row r="8905" spans="13:13" x14ac:dyDescent="0.25">
      <c r="M8905" s="21"/>
    </row>
    <row r="8906" spans="13:13" x14ac:dyDescent="0.25">
      <c r="M8906" s="21"/>
    </row>
    <row r="8907" spans="13:13" x14ac:dyDescent="0.25">
      <c r="M8907" s="21"/>
    </row>
    <row r="8908" spans="13:13" x14ac:dyDescent="0.25">
      <c r="M8908" s="21"/>
    </row>
    <row r="8909" spans="13:13" x14ac:dyDescent="0.25">
      <c r="M8909" s="21"/>
    </row>
    <row r="8910" spans="13:13" x14ac:dyDescent="0.25">
      <c r="M8910" s="21"/>
    </row>
    <row r="8911" spans="13:13" x14ac:dyDescent="0.25">
      <c r="M8911" s="21"/>
    </row>
    <row r="8912" spans="13:13" x14ac:dyDescent="0.25">
      <c r="M8912" s="21"/>
    </row>
    <row r="8913" spans="13:13" x14ac:dyDescent="0.25">
      <c r="M8913" s="21"/>
    </row>
    <row r="8914" spans="13:13" x14ac:dyDescent="0.25">
      <c r="M8914" s="21"/>
    </row>
    <row r="8915" spans="13:13" x14ac:dyDescent="0.25">
      <c r="M8915" s="21"/>
    </row>
    <row r="8916" spans="13:13" x14ac:dyDescent="0.25">
      <c r="M8916" s="21"/>
    </row>
    <row r="8917" spans="13:13" x14ac:dyDescent="0.25">
      <c r="M8917" s="21"/>
    </row>
    <row r="8918" spans="13:13" x14ac:dyDescent="0.25">
      <c r="M8918" s="21"/>
    </row>
    <row r="8919" spans="13:13" x14ac:dyDescent="0.25">
      <c r="M8919" s="21"/>
    </row>
    <row r="8920" spans="13:13" x14ac:dyDescent="0.25">
      <c r="M8920" s="21"/>
    </row>
    <row r="8921" spans="13:13" x14ac:dyDescent="0.25">
      <c r="M8921" s="21"/>
    </row>
    <row r="8922" spans="13:13" x14ac:dyDescent="0.25">
      <c r="M8922" s="21"/>
    </row>
    <row r="8923" spans="13:13" x14ac:dyDescent="0.25">
      <c r="M8923" s="21"/>
    </row>
    <row r="8924" spans="13:13" x14ac:dyDescent="0.25">
      <c r="M8924" s="21"/>
    </row>
    <row r="8925" spans="13:13" x14ac:dyDescent="0.25">
      <c r="M8925" s="21"/>
    </row>
    <row r="8926" spans="13:13" x14ac:dyDescent="0.25">
      <c r="M8926" s="21"/>
    </row>
    <row r="8927" spans="13:13" x14ac:dyDescent="0.25">
      <c r="M8927" s="21"/>
    </row>
    <row r="8928" spans="13:13" x14ac:dyDescent="0.25">
      <c r="M8928" s="21"/>
    </row>
    <row r="8929" spans="13:13" x14ac:dyDescent="0.25">
      <c r="M8929" s="21"/>
    </row>
    <row r="8930" spans="13:13" x14ac:dyDescent="0.25">
      <c r="M8930" s="21"/>
    </row>
    <row r="8931" spans="13:13" x14ac:dyDescent="0.25">
      <c r="M8931" s="21"/>
    </row>
    <row r="8932" spans="13:13" x14ac:dyDescent="0.25">
      <c r="M8932" s="21"/>
    </row>
    <row r="8933" spans="13:13" x14ac:dyDescent="0.25">
      <c r="M8933" s="21"/>
    </row>
    <row r="8934" spans="13:13" x14ac:dyDescent="0.25">
      <c r="M8934" s="21"/>
    </row>
    <row r="8935" spans="13:13" x14ac:dyDescent="0.25">
      <c r="M8935" s="21"/>
    </row>
    <row r="8936" spans="13:13" x14ac:dyDescent="0.25">
      <c r="M8936" s="21"/>
    </row>
    <row r="8937" spans="13:13" x14ac:dyDescent="0.25">
      <c r="M8937" s="21"/>
    </row>
    <row r="8938" spans="13:13" x14ac:dyDescent="0.25">
      <c r="M8938" s="21"/>
    </row>
    <row r="8939" spans="13:13" x14ac:dyDescent="0.25">
      <c r="M8939" s="21"/>
    </row>
    <row r="8940" spans="13:13" x14ac:dyDescent="0.25">
      <c r="M8940" s="21"/>
    </row>
    <row r="8941" spans="13:13" x14ac:dyDescent="0.25">
      <c r="M8941" s="21"/>
    </row>
    <row r="8942" spans="13:13" x14ac:dyDescent="0.25">
      <c r="M8942" s="21"/>
    </row>
    <row r="8943" spans="13:13" x14ac:dyDescent="0.25">
      <c r="M8943" s="21"/>
    </row>
    <row r="8944" spans="13:13" x14ac:dyDescent="0.25">
      <c r="M8944" s="21"/>
    </row>
    <row r="8945" spans="13:13" x14ac:dyDescent="0.25">
      <c r="M8945" s="21"/>
    </row>
    <row r="8946" spans="13:13" x14ac:dyDescent="0.25">
      <c r="M8946" s="21"/>
    </row>
    <row r="8947" spans="13:13" x14ac:dyDescent="0.25">
      <c r="M8947" s="21"/>
    </row>
    <row r="8948" spans="13:13" x14ac:dyDescent="0.25">
      <c r="M8948" s="21"/>
    </row>
    <row r="8949" spans="13:13" x14ac:dyDescent="0.25">
      <c r="M8949" s="21"/>
    </row>
    <row r="8950" spans="13:13" x14ac:dyDescent="0.25">
      <c r="M8950" s="21"/>
    </row>
    <row r="8951" spans="13:13" x14ac:dyDescent="0.25">
      <c r="M8951" s="21"/>
    </row>
    <row r="8952" spans="13:13" x14ac:dyDescent="0.25">
      <c r="M8952" s="21"/>
    </row>
    <row r="8953" spans="13:13" x14ac:dyDescent="0.25">
      <c r="M8953" s="21"/>
    </row>
    <row r="8954" spans="13:13" x14ac:dyDescent="0.25">
      <c r="M8954" s="21"/>
    </row>
    <row r="8955" spans="13:13" x14ac:dyDescent="0.25">
      <c r="M8955" s="21"/>
    </row>
    <row r="8956" spans="13:13" x14ac:dyDescent="0.25">
      <c r="M8956" s="21"/>
    </row>
    <row r="8957" spans="13:13" x14ac:dyDescent="0.25">
      <c r="M8957" s="21"/>
    </row>
    <row r="8958" spans="13:13" x14ac:dyDescent="0.25">
      <c r="M8958" s="21"/>
    </row>
    <row r="8959" spans="13:13" x14ac:dyDescent="0.25">
      <c r="M8959" s="21"/>
    </row>
    <row r="8960" spans="13:13" x14ac:dyDescent="0.25">
      <c r="M8960" s="21"/>
    </row>
    <row r="8961" spans="13:13" x14ac:dyDescent="0.25">
      <c r="M8961" s="21"/>
    </row>
    <row r="8962" spans="13:13" x14ac:dyDescent="0.25">
      <c r="M8962" s="21"/>
    </row>
    <row r="8963" spans="13:13" x14ac:dyDescent="0.25">
      <c r="M8963" s="21"/>
    </row>
    <row r="8964" spans="13:13" x14ac:dyDescent="0.25">
      <c r="M8964" s="21"/>
    </row>
    <row r="8965" spans="13:13" x14ac:dyDescent="0.25">
      <c r="M8965" s="21"/>
    </row>
    <row r="8966" spans="13:13" x14ac:dyDescent="0.25">
      <c r="M8966" s="21"/>
    </row>
    <row r="8967" spans="13:13" x14ac:dyDescent="0.25">
      <c r="M8967" s="21"/>
    </row>
    <row r="8968" spans="13:13" x14ac:dyDescent="0.25">
      <c r="M8968" s="21"/>
    </row>
    <row r="8969" spans="13:13" x14ac:dyDescent="0.25">
      <c r="M8969" s="21"/>
    </row>
    <row r="8970" spans="13:13" x14ac:dyDescent="0.25">
      <c r="M8970" s="21"/>
    </row>
    <row r="8971" spans="13:13" x14ac:dyDescent="0.25">
      <c r="M8971" s="21"/>
    </row>
    <row r="8972" spans="13:13" x14ac:dyDescent="0.25">
      <c r="M8972" s="21"/>
    </row>
    <row r="8973" spans="13:13" x14ac:dyDescent="0.25">
      <c r="M8973" s="21"/>
    </row>
    <row r="8974" spans="13:13" x14ac:dyDescent="0.25">
      <c r="M8974" s="21"/>
    </row>
    <row r="8975" spans="13:13" x14ac:dyDescent="0.25">
      <c r="M8975" s="21"/>
    </row>
    <row r="8976" spans="13:13" x14ac:dyDescent="0.25">
      <c r="M8976" s="21"/>
    </row>
    <row r="8977" spans="13:13" x14ac:dyDescent="0.25">
      <c r="M8977" s="21"/>
    </row>
    <row r="8978" spans="13:13" x14ac:dyDescent="0.25">
      <c r="M8978" s="21"/>
    </row>
    <row r="8979" spans="13:13" x14ac:dyDescent="0.25">
      <c r="M8979" s="21"/>
    </row>
    <row r="8980" spans="13:13" x14ac:dyDescent="0.25">
      <c r="M8980" s="21"/>
    </row>
    <row r="8981" spans="13:13" x14ac:dyDescent="0.25">
      <c r="M8981" s="21"/>
    </row>
    <row r="8982" spans="13:13" x14ac:dyDescent="0.25">
      <c r="M8982" s="21"/>
    </row>
    <row r="8983" spans="13:13" x14ac:dyDescent="0.25">
      <c r="M8983" s="21"/>
    </row>
    <row r="8984" spans="13:13" x14ac:dyDescent="0.25">
      <c r="M8984" s="21"/>
    </row>
    <row r="8985" spans="13:13" x14ac:dyDescent="0.25">
      <c r="M8985" s="21"/>
    </row>
    <row r="8986" spans="13:13" x14ac:dyDescent="0.25">
      <c r="M8986" s="21"/>
    </row>
    <row r="8987" spans="13:13" x14ac:dyDescent="0.25">
      <c r="M8987" s="21"/>
    </row>
    <row r="8988" spans="13:13" x14ac:dyDescent="0.25">
      <c r="M8988" s="21"/>
    </row>
    <row r="8989" spans="13:13" x14ac:dyDescent="0.25">
      <c r="M8989" s="21"/>
    </row>
    <row r="8990" spans="13:13" x14ac:dyDescent="0.25">
      <c r="M8990" s="21"/>
    </row>
    <row r="8991" spans="13:13" x14ac:dyDescent="0.25">
      <c r="M8991" s="21"/>
    </row>
    <row r="8992" spans="13:13" x14ac:dyDescent="0.25">
      <c r="M8992" s="21"/>
    </row>
    <row r="8993" spans="13:13" x14ac:dyDescent="0.25">
      <c r="M8993" s="21"/>
    </row>
    <row r="8994" spans="13:13" x14ac:dyDescent="0.25">
      <c r="M8994" s="21"/>
    </row>
    <row r="8995" spans="13:13" x14ac:dyDescent="0.25">
      <c r="M8995" s="21"/>
    </row>
    <row r="8996" spans="13:13" x14ac:dyDescent="0.25">
      <c r="M8996" s="21"/>
    </row>
    <row r="8997" spans="13:13" x14ac:dyDescent="0.25">
      <c r="M8997" s="21"/>
    </row>
    <row r="8998" spans="13:13" x14ac:dyDescent="0.25">
      <c r="M8998" s="21"/>
    </row>
    <row r="8999" spans="13:13" x14ac:dyDescent="0.25">
      <c r="M8999" s="21"/>
    </row>
    <row r="9000" spans="13:13" x14ac:dyDescent="0.25">
      <c r="M9000" s="21"/>
    </row>
    <row r="9001" spans="13:13" x14ac:dyDescent="0.25">
      <c r="M9001" s="21"/>
    </row>
    <row r="9002" spans="13:13" x14ac:dyDescent="0.25">
      <c r="M9002" s="21"/>
    </row>
    <row r="9003" spans="13:13" x14ac:dyDescent="0.25">
      <c r="M9003" s="21"/>
    </row>
    <row r="9004" spans="13:13" x14ac:dyDescent="0.25">
      <c r="M9004" s="21"/>
    </row>
    <row r="9005" spans="13:13" x14ac:dyDescent="0.25">
      <c r="M9005" s="21"/>
    </row>
    <row r="9006" spans="13:13" x14ac:dyDescent="0.25">
      <c r="M9006" s="21"/>
    </row>
    <row r="9007" spans="13:13" x14ac:dyDescent="0.25">
      <c r="M9007" s="21"/>
    </row>
    <row r="9008" spans="13:13" x14ac:dyDescent="0.25">
      <c r="M9008" s="21"/>
    </row>
    <row r="9009" spans="13:13" x14ac:dyDescent="0.25">
      <c r="M9009" s="21"/>
    </row>
    <row r="9010" spans="13:13" x14ac:dyDescent="0.25">
      <c r="M9010" s="21"/>
    </row>
    <row r="9011" spans="13:13" x14ac:dyDescent="0.25">
      <c r="M9011" s="21"/>
    </row>
    <row r="9012" spans="13:13" x14ac:dyDescent="0.25">
      <c r="M9012" s="21"/>
    </row>
    <row r="9013" spans="13:13" x14ac:dyDescent="0.25">
      <c r="M9013" s="21"/>
    </row>
    <row r="9014" spans="13:13" x14ac:dyDescent="0.25">
      <c r="M9014" s="21"/>
    </row>
    <row r="9015" spans="13:13" x14ac:dyDescent="0.25">
      <c r="M9015" s="21"/>
    </row>
    <row r="9016" spans="13:13" x14ac:dyDescent="0.25">
      <c r="M9016" s="21"/>
    </row>
    <row r="9017" spans="13:13" x14ac:dyDescent="0.25">
      <c r="M9017" s="21"/>
    </row>
    <row r="9018" spans="13:13" x14ac:dyDescent="0.25">
      <c r="M9018" s="21"/>
    </row>
    <row r="9019" spans="13:13" x14ac:dyDescent="0.25">
      <c r="M9019" s="21"/>
    </row>
    <row r="9020" spans="13:13" x14ac:dyDescent="0.25">
      <c r="M9020" s="21"/>
    </row>
    <row r="9021" spans="13:13" x14ac:dyDescent="0.25">
      <c r="M9021" s="21"/>
    </row>
    <row r="9022" spans="13:13" x14ac:dyDescent="0.25">
      <c r="M9022" s="21"/>
    </row>
    <row r="9023" spans="13:13" x14ac:dyDescent="0.25">
      <c r="M9023" s="21"/>
    </row>
    <row r="9024" spans="13:13" x14ac:dyDescent="0.25">
      <c r="M9024" s="21"/>
    </row>
    <row r="9025" spans="13:13" x14ac:dyDescent="0.25">
      <c r="M9025" s="21"/>
    </row>
    <row r="9026" spans="13:13" x14ac:dyDescent="0.25">
      <c r="M9026" s="21"/>
    </row>
    <row r="9027" spans="13:13" x14ac:dyDescent="0.25">
      <c r="M9027" s="21"/>
    </row>
    <row r="9028" spans="13:13" x14ac:dyDescent="0.25">
      <c r="M9028" s="21"/>
    </row>
    <row r="9029" spans="13:13" x14ac:dyDescent="0.25">
      <c r="M9029" s="21"/>
    </row>
    <row r="9030" spans="13:13" x14ac:dyDescent="0.25">
      <c r="M9030" s="21"/>
    </row>
    <row r="9031" spans="13:13" x14ac:dyDescent="0.25">
      <c r="M9031" s="21"/>
    </row>
    <row r="9032" spans="13:13" x14ac:dyDescent="0.25">
      <c r="M9032" s="21"/>
    </row>
    <row r="9033" spans="13:13" x14ac:dyDescent="0.25">
      <c r="M9033" s="21"/>
    </row>
    <row r="9034" spans="13:13" x14ac:dyDescent="0.25">
      <c r="M9034" s="21"/>
    </row>
    <row r="9035" spans="13:13" x14ac:dyDescent="0.25">
      <c r="M9035" s="21"/>
    </row>
    <row r="9036" spans="13:13" x14ac:dyDescent="0.25">
      <c r="M9036" s="21"/>
    </row>
    <row r="9037" spans="13:13" x14ac:dyDescent="0.25">
      <c r="M9037" s="21"/>
    </row>
    <row r="9038" spans="13:13" x14ac:dyDescent="0.25">
      <c r="M9038" s="21"/>
    </row>
    <row r="9039" spans="13:13" x14ac:dyDescent="0.25">
      <c r="M9039" s="21"/>
    </row>
    <row r="9040" spans="13:13" x14ac:dyDescent="0.25">
      <c r="M9040" s="21"/>
    </row>
    <row r="9041" spans="13:13" x14ac:dyDescent="0.25">
      <c r="M9041" s="21"/>
    </row>
    <row r="9042" spans="13:13" x14ac:dyDescent="0.25">
      <c r="M9042" s="21"/>
    </row>
    <row r="9043" spans="13:13" x14ac:dyDescent="0.25">
      <c r="M9043" s="21"/>
    </row>
    <row r="9044" spans="13:13" x14ac:dyDescent="0.25">
      <c r="M9044" s="21"/>
    </row>
    <row r="9045" spans="13:13" x14ac:dyDescent="0.25">
      <c r="M9045" s="21"/>
    </row>
    <row r="9046" spans="13:13" x14ac:dyDescent="0.25">
      <c r="M9046" s="21"/>
    </row>
    <row r="9047" spans="13:13" x14ac:dyDescent="0.25">
      <c r="M9047" s="21"/>
    </row>
    <row r="9048" spans="13:13" x14ac:dyDescent="0.25">
      <c r="M9048" s="21"/>
    </row>
    <row r="9049" spans="13:13" x14ac:dyDescent="0.25">
      <c r="M9049" s="21"/>
    </row>
    <row r="9050" spans="13:13" x14ac:dyDescent="0.25">
      <c r="M9050" s="21"/>
    </row>
    <row r="9051" spans="13:13" x14ac:dyDescent="0.25">
      <c r="M9051" s="21"/>
    </row>
    <row r="9052" spans="13:13" x14ac:dyDescent="0.25">
      <c r="M9052" s="21"/>
    </row>
    <row r="9053" spans="13:13" x14ac:dyDescent="0.25">
      <c r="M9053" s="21"/>
    </row>
    <row r="9054" spans="13:13" x14ac:dyDescent="0.25">
      <c r="M9054" s="21"/>
    </row>
    <row r="9055" spans="13:13" x14ac:dyDescent="0.25">
      <c r="M9055" s="21"/>
    </row>
    <row r="9056" spans="13:13" x14ac:dyDescent="0.25">
      <c r="M9056" s="21"/>
    </row>
    <row r="9057" spans="13:13" x14ac:dyDescent="0.25">
      <c r="M9057" s="21"/>
    </row>
    <row r="9058" spans="13:13" x14ac:dyDescent="0.25">
      <c r="M9058" s="21"/>
    </row>
    <row r="9059" spans="13:13" x14ac:dyDescent="0.25">
      <c r="M9059" s="21"/>
    </row>
    <row r="9060" spans="13:13" x14ac:dyDescent="0.25">
      <c r="M9060" s="21"/>
    </row>
    <row r="9061" spans="13:13" x14ac:dyDescent="0.25">
      <c r="M9061" s="21"/>
    </row>
    <row r="9062" spans="13:13" x14ac:dyDescent="0.25">
      <c r="M9062" s="21"/>
    </row>
    <row r="9063" spans="13:13" x14ac:dyDescent="0.25">
      <c r="M9063" s="21"/>
    </row>
    <row r="9064" spans="13:13" x14ac:dyDescent="0.25">
      <c r="M9064" s="21"/>
    </row>
    <row r="9065" spans="13:13" x14ac:dyDescent="0.25">
      <c r="M9065" s="21"/>
    </row>
    <row r="9066" spans="13:13" x14ac:dyDescent="0.25">
      <c r="M9066" s="21"/>
    </row>
    <row r="9067" spans="13:13" x14ac:dyDescent="0.25">
      <c r="M9067" s="21"/>
    </row>
    <row r="9068" spans="13:13" x14ac:dyDescent="0.25">
      <c r="M9068" s="21"/>
    </row>
    <row r="9069" spans="13:13" x14ac:dyDescent="0.25">
      <c r="M9069" s="21"/>
    </row>
    <row r="9070" spans="13:13" x14ac:dyDescent="0.25">
      <c r="M9070" s="21"/>
    </row>
    <row r="9071" spans="13:13" x14ac:dyDescent="0.25">
      <c r="M9071" s="21"/>
    </row>
    <row r="9072" spans="13:13" x14ac:dyDescent="0.25">
      <c r="M9072" s="21"/>
    </row>
    <row r="9073" spans="13:13" x14ac:dyDescent="0.25">
      <c r="M9073" s="21"/>
    </row>
    <row r="9074" spans="13:13" x14ac:dyDescent="0.25">
      <c r="M9074" s="21"/>
    </row>
    <row r="9075" spans="13:13" x14ac:dyDescent="0.25">
      <c r="M9075" s="21"/>
    </row>
    <row r="9076" spans="13:13" x14ac:dyDescent="0.25">
      <c r="M9076" s="21"/>
    </row>
    <row r="9077" spans="13:13" x14ac:dyDescent="0.25">
      <c r="M9077" s="21"/>
    </row>
    <row r="9078" spans="13:13" x14ac:dyDescent="0.25">
      <c r="M9078" s="21"/>
    </row>
    <row r="9079" spans="13:13" x14ac:dyDescent="0.25">
      <c r="M9079" s="21"/>
    </row>
    <row r="9080" spans="13:13" x14ac:dyDescent="0.25">
      <c r="M9080" s="21"/>
    </row>
    <row r="9081" spans="13:13" x14ac:dyDescent="0.25">
      <c r="M9081" s="21"/>
    </row>
    <row r="9082" spans="13:13" x14ac:dyDescent="0.25">
      <c r="M9082" s="21"/>
    </row>
    <row r="9083" spans="13:13" x14ac:dyDescent="0.25">
      <c r="M9083" s="21"/>
    </row>
    <row r="9084" spans="13:13" x14ac:dyDescent="0.25">
      <c r="M9084" s="21"/>
    </row>
    <row r="9085" spans="13:13" x14ac:dyDescent="0.25">
      <c r="M9085" s="21"/>
    </row>
    <row r="9086" spans="13:13" x14ac:dyDescent="0.25">
      <c r="M9086" s="21"/>
    </row>
    <row r="9087" spans="13:13" x14ac:dyDescent="0.25">
      <c r="M9087" s="21"/>
    </row>
    <row r="9088" spans="13:13" x14ac:dyDescent="0.25">
      <c r="M9088" s="21"/>
    </row>
    <row r="9089" spans="13:13" x14ac:dyDescent="0.25">
      <c r="M9089" s="21"/>
    </row>
    <row r="9090" spans="13:13" x14ac:dyDescent="0.25">
      <c r="M9090" s="21"/>
    </row>
    <row r="9091" spans="13:13" x14ac:dyDescent="0.25">
      <c r="M9091" s="21"/>
    </row>
    <row r="9092" spans="13:13" x14ac:dyDescent="0.25">
      <c r="M9092" s="21"/>
    </row>
    <row r="9093" spans="13:13" x14ac:dyDescent="0.25">
      <c r="M9093" s="21"/>
    </row>
    <row r="9094" spans="13:13" x14ac:dyDescent="0.25">
      <c r="M9094" s="21"/>
    </row>
    <row r="9095" spans="13:13" x14ac:dyDescent="0.25">
      <c r="M9095" s="21"/>
    </row>
    <row r="9096" spans="13:13" x14ac:dyDescent="0.25">
      <c r="M9096" s="21"/>
    </row>
    <row r="9097" spans="13:13" x14ac:dyDescent="0.25">
      <c r="M9097" s="21"/>
    </row>
    <row r="9098" spans="13:13" x14ac:dyDescent="0.25">
      <c r="M9098" s="21"/>
    </row>
    <row r="9099" spans="13:13" x14ac:dyDescent="0.25">
      <c r="M9099" s="21"/>
    </row>
    <row r="9100" spans="13:13" x14ac:dyDescent="0.25">
      <c r="M9100" s="21"/>
    </row>
    <row r="9101" spans="13:13" x14ac:dyDescent="0.25">
      <c r="M9101" s="21"/>
    </row>
    <row r="9102" spans="13:13" x14ac:dyDescent="0.25">
      <c r="M9102" s="21"/>
    </row>
    <row r="9103" spans="13:13" x14ac:dyDescent="0.25">
      <c r="M9103" s="21"/>
    </row>
    <row r="9104" spans="13:13" x14ac:dyDescent="0.25">
      <c r="M9104" s="21"/>
    </row>
    <row r="9105" spans="13:13" x14ac:dyDescent="0.25">
      <c r="M9105" s="21"/>
    </row>
    <row r="9106" spans="13:13" x14ac:dyDescent="0.25">
      <c r="M9106" s="21"/>
    </row>
    <row r="9107" spans="13:13" x14ac:dyDescent="0.25">
      <c r="M9107" s="21"/>
    </row>
    <row r="9108" spans="13:13" x14ac:dyDescent="0.25">
      <c r="M9108" s="21"/>
    </row>
    <row r="9109" spans="13:13" x14ac:dyDescent="0.25">
      <c r="M9109" s="21"/>
    </row>
    <row r="9110" spans="13:13" x14ac:dyDescent="0.25">
      <c r="M9110" s="21"/>
    </row>
    <row r="9111" spans="13:13" x14ac:dyDescent="0.25">
      <c r="M9111" s="21"/>
    </row>
    <row r="9112" spans="13:13" x14ac:dyDescent="0.25">
      <c r="M9112" s="21"/>
    </row>
    <row r="9113" spans="13:13" x14ac:dyDescent="0.25">
      <c r="M9113" s="21"/>
    </row>
    <row r="9114" spans="13:13" x14ac:dyDescent="0.25">
      <c r="M9114" s="21"/>
    </row>
    <row r="9115" spans="13:13" x14ac:dyDescent="0.25">
      <c r="M9115" s="21"/>
    </row>
    <row r="9116" spans="13:13" x14ac:dyDescent="0.25">
      <c r="M9116" s="21"/>
    </row>
    <row r="9117" spans="13:13" x14ac:dyDescent="0.25">
      <c r="M9117" s="21"/>
    </row>
    <row r="9118" spans="13:13" x14ac:dyDescent="0.25">
      <c r="M9118" s="21"/>
    </row>
    <row r="9119" spans="13:13" x14ac:dyDescent="0.25">
      <c r="M9119" s="21"/>
    </row>
    <row r="9120" spans="13:13" x14ac:dyDescent="0.25">
      <c r="M9120" s="21"/>
    </row>
    <row r="9121" spans="13:13" x14ac:dyDescent="0.25">
      <c r="M9121" s="21"/>
    </row>
    <row r="9122" spans="13:13" x14ac:dyDescent="0.25">
      <c r="M9122" s="21"/>
    </row>
    <row r="9123" spans="13:13" x14ac:dyDescent="0.25">
      <c r="M9123" s="21"/>
    </row>
    <row r="9124" spans="13:13" x14ac:dyDescent="0.25">
      <c r="M9124" s="21"/>
    </row>
    <row r="9125" spans="13:13" x14ac:dyDescent="0.25">
      <c r="M9125" s="21"/>
    </row>
    <row r="9126" spans="13:13" x14ac:dyDescent="0.25">
      <c r="M9126" s="21"/>
    </row>
    <row r="9127" spans="13:13" x14ac:dyDescent="0.25">
      <c r="M9127" s="21"/>
    </row>
    <row r="9128" spans="13:13" x14ac:dyDescent="0.25">
      <c r="M9128" s="21"/>
    </row>
    <row r="9129" spans="13:13" x14ac:dyDescent="0.25">
      <c r="M9129" s="21"/>
    </row>
    <row r="9130" spans="13:13" x14ac:dyDescent="0.25">
      <c r="M9130" s="21"/>
    </row>
    <row r="9131" spans="13:13" x14ac:dyDescent="0.25">
      <c r="M9131" s="21"/>
    </row>
    <row r="9132" spans="13:13" x14ac:dyDescent="0.25">
      <c r="M9132" s="21"/>
    </row>
    <row r="9133" spans="13:13" x14ac:dyDescent="0.25">
      <c r="M9133" s="21"/>
    </row>
    <row r="9134" spans="13:13" x14ac:dyDescent="0.25">
      <c r="M9134" s="21"/>
    </row>
    <row r="9135" spans="13:13" x14ac:dyDescent="0.25">
      <c r="M9135" s="21"/>
    </row>
    <row r="9136" spans="13:13" x14ac:dyDescent="0.25">
      <c r="M9136" s="21"/>
    </row>
    <row r="9137" spans="13:13" x14ac:dyDescent="0.25">
      <c r="M9137" s="21"/>
    </row>
    <row r="9138" spans="13:13" x14ac:dyDescent="0.25">
      <c r="M9138" s="21"/>
    </row>
    <row r="9139" spans="13:13" x14ac:dyDescent="0.25">
      <c r="M9139" s="21"/>
    </row>
    <row r="9140" spans="13:13" x14ac:dyDescent="0.25">
      <c r="M9140" s="21"/>
    </row>
    <row r="9141" spans="13:13" x14ac:dyDescent="0.25">
      <c r="M9141" s="21"/>
    </row>
    <row r="9142" spans="13:13" x14ac:dyDescent="0.25">
      <c r="M9142" s="21"/>
    </row>
    <row r="9143" spans="13:13" x14ac:dyDescent="0.25">
      <c r="M9143" s="21"/>
    </row>
    <row r="9144" spans="13:13" x14ac:dyDescent="0.25">
      <c r="M9144" s="21"/>
    </row>
    <row r="9145" spans="13:13" x14ac:dyDescent="0.25">
      <c r="M9145" s="21"/>
    </row>
    <row r="9146" spans="13:13" x14ac:dyDescent="0.25">
      <c r="M9146" s="21"/>
    </row>
    <row r="9147" spans="13:13" x14ac:dyDescent="0.25">
      <c r="M9147" s="21"/>
    </row>
    <row r="9148" spans="13:13" x14ac:dyDescent="0.25">
      <c r="M9148" s="21"/>
    </row>
    <row r="9149" spans="13:13" x14ac:dyDescent="0.25">
      <c r="M9149" s="21"/>
    </row>
    <row r="9150" spans="13:13" x14ac:dyDescent="0.25">
      <c r="M9150" s="21"/>
    </row>
    <row r="9151" spans="13:13" x14ac:dyDescent="0.25">
      <c r="M9151" s="21"/>
    </row>
    <row r="9152" spans="13:13" x14ac:dyDescent="0.25">
      <c r="M9152" s="21"/>
    </row>
    <row r="9153" spans="13:13" x14ac:dyDescent="0.25">
      <c r="M9153" s="21"/>
    </row>
    <row r="9154" spans="13:13" x14ac:dyDescent="0.25">
      <c r="M9154" s="21"/>
    </row>
    <row r="9155" spans="13:13" x14ac:dyDescent="0.25">
      <c r="M9155" s="21"/>
    </row>
    <row r="9156" spans="13:13" x14ac:dyDescent="0.25">
      <c r="M9156" s="21"/>
    </row>
    <row r="9157" spans="13:13" x14ac:dyDescent="0.25">
      <c r="M9157" s="21"/>
    </row>
    <row r="9158" spans="13:13" x14ac:dyDescent="0.25">
      <c r="M9158" s="21"/>
    </row>
    <row r="9159" spans="13:13" x14ac:dyDescent="0.25">
      <c r="M9159" s="21"/>
    </row>
    <row r="9160" spans="13:13" x14ac:dyDescent="0.25">
      <c r="M9160" s="21"/>
    </row>
    <row r="9161" spans="13:13" x14ac:dyDescent="0.25">
      <c r="M9161" s="21"/>
    </row>
    <row r="9162" spans="13:13" x14ac:dyDescent="0.25">
      <c r="M9162" s="21"/>
    </row>
    <row r="9163" spans="13:13" x14ac:dyDescent="0.25">
      <c r="M9163" s="21"/>
    </row>
    <row r="9164" spans="13:13" x14ac:dyDescent="0.25">
      <c r="M9164" s="21"/>
    </row>
    <row r="9165" spans="13:13" x14ac:dyDescent="0.25">
      <c r="M9165" s="21"/>
    </row>
    <row r="9166" spans="13:13" x14ac:dyDescent="0.25">
      <c r="M9166" s="21"/>
    </row>
    <row r="9167" spans="13:13" x14ac:dyDescent="0.25">
      <c r="M9167" s="21"/>
    </row>
    <row r="9168" spans="13:13" x14ac:dyDescent="0.25">
      <c r="M9168" s="21"/>
    </row>
    <row r="9169" spans="13:13" x14ac:dyDescent="0.25">
      <c r="M9169" s="21"/>
    </row>
    <row r="9170" spans="13:13" x14ac:dyDescent="0.25">
      <c r="M9170" s="21"/>
    </row>
    <row r="9171" spans="13:13" x14ac:dyDescent="0.25">
      <c r="M9171" s="21"/>
    </row>
    <row r="9172" spans="13:13" x14ac:dyDescent="0.25">
      <c r="M9172" s="21"/>
    </row>
    <row r="9173" spans="13:13" x14ac:dyDescent="0.25">
      <c r="M9173" s="21"/>
    </row>
    <row r="9174" spans="13:13" x14ac:dyDescent="0.25">
      <c r="M9174" s="21"/>
    </row>
    <row r="9175" spans="13:13" x14ac:dyDescent="0.25">
      <c r="M9175" s="21"/>
    </row>
    <row r="9176" spans="13:13" x14ac:dyDescent="0.25">
      <c r="M9176" s="21"/>
    </row>
    <row r="9177" spans="13:13" x14ac:dyDescent="0.25">
      <c r="M9177" s="21"/>
    </row>
    <row r="9178" spans="13:13" x14ac:dyDescent="0.25">
      <c r="M9178" s="21"/>
    </row>
    <row r="9179" spans="13:13" x14ac:dyDescent="0.25">
      <c r="M9179" s="21"/>
    </row>
    <row r="9180" spans="13:13" x14ac:dyDescent="0.25">
      <c r="M9180" s="21"/>
    </row>
    <row r="9181" spans="13:13" x14ac:dyDescent="0.25">
      <c r="M9181" s="21"/>
    </row>
    <row r="9182" spans="13:13" x14ac:dyDescent="0.25">
      <c r="M9182" s="21"/>
    </row>
    <row r="9183" spans="13:13" x14ac:dyDescent="0.25">
      <c r="M9183" s="21"/>
    </row>
    <row r="9184" spans="13:13" x14ac:dyDescent="0.25">
      <c r="M9184" s="21"/>
    </row>
    <row r="9185" spans="13:13" x14ac:dyDescent="0.25">
      <c r="M9185" s="21"/>
    </row>
    <row r="9186" spans="13:13" x14ac:dyDescent="0.25">
      <c r="M9186" s="21"/>
    </row>
    <row r="9187" spans="13:13" x14ac:dyDescent="0.25">
      <c r="M9187" s="21"/>
    </row>
    <row r="9188" spans="13:13" x14ac:dyDescent="0.25">
      <c r="M9188" s="21"/>
    </row>
    <row r="9189" spans="13:13" x14ac:dyDescent="0.25">
      <c r="M9189" s="21"/>
    </row>
    <row r="9190" spans="13:13" x14ac:dyDescent="0.25">
      <c r="M9190" s="21"/>
    </row>
    <row r="9191" spans="13:13" x14ac:dyDescent="0.25">
      <c r="M9191" s="21"/>
    </row>
    <row r="9192" spans="13:13" x14ac:dyDescent="0.25">
      <c r="M9192" s="21"/>
    </row>
    <row r="9193" spans="13:13" x14ac:dyDescent="0.25">
      <c r="M9193" s="21"/>
    </row>
    <row r="9194" spans="13:13" x14ac:dyDescent="0.25">
      <c r="M9194" s="21"/>
    </row>
    <row r="9195" spans="13:13" x14ac:dyDescent="0.25">
      <c r="M9195" s="21"/>
    </row>
    <row r="9196" spans="13:13" x14ac:dyDescent="0.25">
      <c r="M9196" s="21"/>
    </row>
    <row r="9197" spans="13:13" x14ac:dyDescent="0.25">
      <c r="M9197" s="21"/>
    </row>
    <row r="9198" spans="13:13" x14ac:dyDescent="0.25">
      <c r="M9198" s="21"/>
    </row>
    <row r="9199" spans="13:13" x14ac:dyDescent="0.25">
      <c r="M9199" s="21"/>
    </row>
    <row r="9200" spans="13:13" x14ac:dyDescent="0.25">
      <c r="M9200" s="21"/>
    </row>
    <row r="9201" spans="13:13" x14ac:dyDescent="0.25">
      <c r="M9201" s="21"/>
    </row>
    <row r="9202" spans="13:13" x14ac:dyDescent="0.25">
      <c r="M9202" s="21"/>
    </row>
    <row r="9203" spans="13:13" x14ac:dyDescent="0.25">
      <c r="M9203" s="21"/>
    </row>
    <row r="9204" spans="13:13" x14ac:dyDescent="0.25">
      <c r="M9204" s="21"/>
    </row>
    <row r="9205" spans="13:13" x14ac:dyDescent="0.25">
      <c r="M9205" s="21"/>
    </row>
    <row r="9206" spans="13:13" x14ac:dyDescent="0.25">
      <c r="M9206" s="21"/>
    </row>
    <row r="9207" spans="13:13" x14ac:dyDescent="0.25">
      <c r="M9207" s="21"/>
    </row>
    <row r="9208" spans="13:13" x14ac:dyDescent="0.25">
      <c r="M9208" s="21"/>
    </row>
    <row r="9209" spans="13:13" x14ac:dyDescent="0.25">
      <c r="M9209" s="21"/>
    </row>
    <row r="9210" spans="13:13" x14ac:dyDescent="0.25">
      <c r="M9210" s="21"/>
    </row>
    <row r="9211" spans="13:13" x14ac:dyDescent="0.25">
      <c r="M9211" s="21"/>
    </row>
    <row r="9212" spans="13:13" x14ac:dyDescent="0.25">
      <c r="M9212" s="21"/>
    </row>
    <row r="9213" spans="13:13" x14ac:dyDescent="0.25">
      <c r="M9213" s="21"/>
    </row>
    <row r="9214" spans="13:13" x14ac:dyDescent="0.25">
      <c r="M9214" s="21"/>
    </row>
    <row r="9215" spans="13:13" x14ac:dyDescent="0.25">
      <c r="M9215" s="21"/>
    </row>
    <row r="9216" spans="13:13" x14ac:dyDescent="0.25">
      <c r="M9216" s="21"/>
    </row>
    <row r="9217" spans="13:13" x14ac:dyDescent="0.25">
      <c r="M9217" s="21"/>
    </row>
    <row r="9218" spans="13:13" x14ac:dyDescent="0.25">
      <c r="M9218" s="21"/>
    </row>
    <row r="9219" spans="13:13" x14ac:dyDescent="0.25">
      <c r="M9219" s="21"/>
    </row>
    <row r="9220" spans="13:13" x14ac:dyDescent="0.25">
      <c r="M9220" s="21"/>
    </row>
    <row r="9221" spans="13:13" x14ac:dyDescent="0.25">
      <c r="M9221" s="21"/>
    </row>
    <row r="9222" spans="13:13" x14ac:dyDescent="0.25">
      <c r="M9222" s="21"/>
    </row>
    <row r="9223" spans="13:13" x14ac:dyDescent="0.25">
      <c r="M9223" s="21"/>
    </row>
    <row r="9224" spans="13:13" x14ac:dyDescent="0.25">
      <c r="M9224" s="21"/>
    </row>
    <row r="9225" spans="13:13" x14ac:dyDescent="0.25">
      <c r="M9225" s="21"/>
    </row>
    <row r="9226" spans="13:13" x14ac:dyDescent="0.25">
      <c r="M9226" s="21"/>
    </row>
    <row r="9227" spans="13:13" x14ac:dyDescent="0.25">
      <c r="M9227" s="21"/>
    </row>
    <row r="9228" spans="13:13" x14ac:dyDescent="0.25">
      <c r="M9228" s="21"/>
    </row>
    <row r="9229" spans="13:13" x14ac:dyDescent="0.25">
      <c r="M9229" s="21"/>
    </row>
    <row r="9230" spans="13:13" x14ac:dyDescent="0.25">
      <c r="M9230" s="21"/>
    </row>
    <row r="9231" spans="13:13" x14ac:dyDescent="0.25">
      <c r="M9231" s="21"/>
    </row>
    <row r="9232" spans="13:13" x14ac:dyDescent="0.25">
      <c r="M9232" s="21"/>
    </row>
    <row r="9233" spans="13:13" x14ac:dyDescent="0.25">
      <c r="M9233" s="21"/>
    </row>
    <row r="9234" spans="13:13" x14ac:dyDescent="0.25">
      <c r="M9234" s="21"/>
    </row>
    <row r="9235" spans="13:13" x14ac:dyDescent="0.25">
      <c r="M9235" s="21"/>
    </row>
    <row r="9236" spans="13:13" x14ac:dyDescent="0.25">
      <c r="M9236" s="21"/>
    </row>
    <row r="9237" spans="13:13" x14ac:dyDescent="0.25">
      <c r="M9237" s="21"/>
    </row>
    <row r="9238" spans="13:13" x14ac:dyDescent="0.25">
      <c r="M9238" s="21"/>
    </row>
    <row r="9239" spans="13:13" x14ac:dyDescent="0.25">
      <c r="M9239" s="21"/>
    </row>
    <row r="9240" spans="13:13" x14ac:dyDescent="0.25">
      <c r="M9240" s="21"/>
    </row>
    <row r="9241" spans="13:13" x14ac:dyDescent="0.25">
      <c r="M9241" s="21"/>
    </row>
    <row r="9242" spans="13:13" x14ac:dyDescent="0.25">
      <c r="M9242" s="21"/>
    </row>
    <row r="9243" spans="13:13" x14ac:dyDescent="0.25">
      <c r="M9243" s="21"/>
    </row>
    <row r="9244" spans="13:13" x14ac:dyDescent="0.25">
      <c r="M9244" s="21"/>
    </row>
    <row r="9245" spans="13:13" x14ac:dyDescent="0.25">
      <c r="M9245" s="21"/>
    </row>
    <row r="9246" spans="13:13" x14ac:dyDescent="0.25">
      <c r="M9246" s="21"/>
    </row>
    <row r="9247" spans="13:13" x14ac:dyDescent="0.25">
      <c r="M9247" s="21"/>
    </row>
    <row r="9248" spans="13:13" x14ac:dyDescent="0.25">
      <c r="M9248" s="21"/>
    </row>
    <row r="9249" spans="13:13" x14ac:dyDescent="0.25">
      <c r="M9249" s="21"/>
    </row>
    <row r="9250" spans="13:13" x14ac:dyDescent="0.25">
      <c r="M9250" s="21"/>
    </row>
    <row r="9251" spans="13:13" x14ac:dyDescent="0.25">
      <c r="M9251" s="21"/>
    </row>
    <row r="9252" spans="13:13" x14ac:dyDescent="0.25">
      <c r="M9252" s="21"/>
    </row>
    <row r="9253" spans="13:13" x14ac:dyDescent="0.25">
      <c r="M9253" s="21"/>
    </row>
    <row r="9254" spans="13:13" x14ac:dyDescent="0.25">
      <c r="M9254" s="21"/>
    </row>
    <row r="9255" spans="13:13" x14ac:dyDescent="0.25">
      <c r="M9255" s="21"/>
    </row>
    <row r="9256" spans="13:13" x14ac:dyDescent="0.25">
      <c r="M9256" s="21"/>
    </row>
    <row r="9257" spans="13:13" x14ac:dyDescent="0.25">
      <c r="M9257" s="21"/>
    </row>
    <row r="9258" spans="13:13" x14ac:dyDescent="0.25">
      <c r="M9258" s="21"/>
    </row>
    <row r="9259" spans="13:13" x14ac:dyDescent="0.25">
      <c r="M9259" s="21"/>
    </row>
    <row r="9260" spans="13:13" x14ac:dyDescent="0.25">
      <c r="M9260" s="21"/>
    </row>
    <row r="9261" spans="13:13" x14ac:dyDescent="0.25">
      <c r="M9261" s="21"/>
    </row>
    <row r="9262" spans="13:13" x14ac:dyDescent="0.25">
      <c r="M9262" s="21"/>
    </row>
    <row r="9263" spans="13:13" x14ac:dyDescent="0.25">
      <c r="M9263" s="21"/>
    </row>
    <row r="9264" spans="13:13" x14ac:dyDescent="0.25">
      <c r="M9264" s="21"/>
    </row>
    <row r="9265" spans="13:13" x14ac:dyDescent="0.25">
      <c r="M9265" s="21"/>
    </row>
    <row r="9266" spans="13:13" x14ac:dyDescent="0.25">
      <c r="M9266" s="21"/>
    </row>
    <row r="9267" spans="13:13" x14ac:dyDescent="0.25">
      <c r="M9267" s="21"/>
    </row>
    <row r="9268" spans="13:13" x14ac:dyDescent="0.25">
      <c r="M9268" s="21"/>
    </row>
    <row r="9269" spans="13:13" x14ac:dyDescent="0.25">
      <c r="M9269" s="21"/>
    </row>
    <row r="9270" spans="13:13" x14ac:dyDescent="0.25">
      <c r="M9270" s="21"/>
    </row>
    <row r="9271" spans="13:13" x14ac:dyDescent="0.25">
      <c r="M9271" s="21"/>
    </row>
    <row r="9272" spans="13:13" x14ac:dyDescent="0.25">
      <c r="M9272" s="21"/>
    </row>
    <row r="9273" spans="13:13" x14ac:dyDescent="0.25">
      <c r="M9273" s="21"/>
    </row>
    <row r="9274" spans="13:13" x14ac:dyDescent="0.25">
      <c r="M9274" s="21"/>
    </row>
    <row r="9275" spans="13:13" x14ac:dyDescent="0.25">
      <c r="M9275" s="21"/>
    </row>
    <row r="9276" spans="13:13" x14ac:dyDescent="0.25">
      <c r="M9276" s="21"/>
    </row>
    <row r="9277" spans="13:13" x14ac:dyDescent="0.25">
      <c r="M9277" s="21"/>
    </row>
    <row r="9278" spans="13:13" x14ac:dyDescent="0.25">
      <c r="M9278" s="21"/>
    </row>
    <row r="9279" spans="13:13" x14ac:dyDescent="0.25">
      <c r="M9279" s="21"/>
    </row>
    <row r="9280" spans="13:13" x14ac:dyDescent="0.25">
      <c r="M9280" s="21"/>
    </row>
    <row r="9281" spans="13:13" x14ac:dyDescent="0.25">
      <c r="M9281" s="21"/>
    </row>
    <row r="9282" spans="13:13" x14ac:dyDescent="0.25">
      <c r="M9282" s="21"/>
    </row>
    <row r="9283" spans="13:13" x14ac:dyDescent="0.25">
      <c r="M9283" s="21"/>
    </row>
    <row r="9284" spans="13:13" x14ac:dyDescent="0.25">
      <c r="M9284" s="21"/>
    </row>
    <row r="9285" spans="13:13" x14ac:dyDescent="0.25">
      <c r="M9285" s="21"/>
    </row>
    <row r="9286" spans="13:13" x14ac:dyDescent="0.25">
      <c r="M9286" s="21"/>
    </row>
    <row r="9287" spans="13:13" x14ac:dyDescent="0.25">
      <c r="M9287" s="21"/>
    </row>
    <row r="9288" spans="13:13" x14ac:dyDescent="0.25">
      <c r="M9288" s="21"/>
    </row>
    <row r="9289" spans="13:13" x14ac:dyDescent="0.25">
      <c r="M9289" s="21"/>
    </row>
    <row r="9290" spans="13:13" x14ac:dyDescent="0.25">
      <c r="M9290" s="21"/>
    </row>
    <row r="9291" spans="13:13" x14ac:dyDescent="0.25">
      <c r="M9291" s="21"/>
    </row>
    <row r="9292" spans="13:13" x14ac:dyDescent="0.25">
      <c r="M9292" s="21"/>
    </row>
    <row r="9293" spans="13:13" x14ac:dyDescent="0.25">
      <c r="M9293" s="21"/>
    </row>
    <row r="9294" spans="13:13" x14ac:dyDescent="0.25">
      <c r="M9294" s="21"/>
    </row>
    <row r="9295" spans="13:13" x14ac:dyDescent="0.25">
      <c r="M9295" s="21"/>
    </row>
    <row r="9296" spans="13:13" x14ac:dyDescent="0.25">
      <c r="M9296" s="21"/>
    </row>
    <row r="9297" spans="13:13" x14ac:dyDescent="0.25">
      <c r="M9297" s="21"/>
    </row>
    <row r="9298" spans="13:13" x14ac:dyDescent="0.25">
      <c r="M9298" s="21"/>
    </row>
    <row r="9299" spans="13:13" x14ac:dyDescent="0.25">
      <c r="M9299" s="21"/>
    </row>
    <row r="9300" spans="13:13" x14ac:dyDescent="0.25">
      <c r="M9300" s="21"/>
    </row>
    <row r="9301" spans="13:13" x14ac:dyDescent="0.25">
      <c r="M9301" s="21"/>
    </row>
    <row r="9302" spans="13:13" x14ac:dyDescent="0.25">
      <c r="M9302" s="21"/>
    </row>
    <row r="9303" spans="13:13" x14ac:dyDescent="0.25">
      <c r="M9303" s="21"/>
    </row>
    <row r="9304" spans="13:13" x14ac:dyDescent="0.25">
      <c r="M9304" s="21"/>
    </row>
    <row r="9305" spans="13:13" x14ac:dyDescent="0.25">
      <c r="M9305" s="21"/>
    </row>
    <row r="9306" spans="13:13" x14ac:dyDescent="0.25">
      <c r="M9306" s="21"/>
    </row>
    <row r="9307" spans="13:13" x14ac:dyDescent="0.25">
      <c r="M9307" s="21"/>
    </row>
    <row r="9308" spans="13:13" x14ac:dyDescent="0.25">
      <c r="M9308" s="21"/>
    </row>
    <row r="9309" spans="13:13" x14ac:dyDescent="0.25">
      <c r="M9309" s="21"/>
    </row>
    <row r="9310" spans="13:13" x14ac:dyDescent="0.25">
      <c r="M9310" s="21"/>
    </row>
    <row r="9311" spans="13:13" x14ac:dyDescent="0.25">
      <c r="M9311" s="21"/>
    </row>
    <row r="9312" spans="13:13" x14ac:dyDescent="0.25">
      <c r="M9312" s="21"/>
    </row>
    <row r="9313" spans="13:13" x14ac:dyDescent="0.25">
      <c r="M9313" s="21"/>
    </row>
    <row r="9314" spans="13:13" x14ac:dyDescent="0.25">
      <c r="M9314" s="21"/>
    </row>
    <row r="9315" spans="13:13" x14ac:dyDescent="0.25">
      <c r="M9315" s="21"/>
    </row>
    <row r="9316" spans="13:13" x14ac:dyDescent="0.25">
      <c r="M9316" s="21"/>
    </row>
    <row r="9317" spans="13:13" x14ac:dyDescent="0.25">
      <c r="M9317" s="21"/>
    </row>
    <row r="9318" spans="13:13" x14ac:dyDescent="0.25">
      <c r="M9318" s="21"/>
    </row>
    <row r="9319" spans="13:13" x14ac:dyDescent="0.25">
      <c r="M9319" s="21"/>
    </row>
    <row r="9320" spans="13:13" x14ac:dyDescent="0.25">
      <c r="M9320" s="21"/>
    </row>
    <row r="9321" spans="13:13" x14ac:dyDescent="0.25">
      <c r="M9321" s="21"/>
    </row>
    <row r="9322" spans="13:13" x14ac:dyDescent="0.25">
      <c r="M9322" s="21"/>
    </row>
    <row r="9323" spans="13:13" x14ac:dyDescent="0.25">
      <c r="M9323" s="21"/>
    </row>
    <row r="9324" spans="13:13" x14ac:dyDescent="0.25">
      <c r="M9324" s="21"/>
    </row>
    <row r="9325" spans="13:13" x14ac:dyDescent="0.25">
      <c r="M9325" s="21"/>
    </row>
    <row r="9326" spans="13:13" x14ac:dyDescent="0.25">
      <c r="M9326" s="21"/>
    </row>
    <row r="9327" spans="13:13" x14ac:dyDescent="0.25">
      <c r="M9327" s="21"/>
    </row>
    <row r="9328" spans="13:13" x14ac:dyDescent="0.25">
      <c r="M9328" s="21"/>
    </row>
    <row r="9329" spans="13:13" x14ac:dyDescent="0.25">
      <c r="M9329" s="21"/>
    </row>
    <row r="9330" spans="13:13" x14ac:dyDescent="0.25">
      <c r="M9330" s="21"/>
    </row>
    <row r="9331" spans="13:13" x14ac:dyDescent="0.25">
      <c r="M9331" s="21"/>
    </row>
    <row r="9332" spans="13:13" x14ac:dyDescent="0.25">
      <c r="M9332" s="21"/>
    </row>
    <row r="9333" spans="13:13" x14ac:dyDescent="0.25">
      <c r="M9333" s="21"/>
    </row>
    <row r="9334" spans="13:13" x14ac:dyDescent="0.25">
      <c r="M9334" s="21"/>
    </row>
    <row r="9335" spans="13:13" x14ac:dyDescent="0.25">
      <c r="M9335" s="21"/>
    </row>
    <row r="9336" spans="13:13" x14ac:dyDescent="0.25">
      <c r="M9336" s="21"/>
    </row>
    <row r="9337" spans="13:13" x14ac:dyDescent="0.25">
      <c r="M9337" s="21"/>
    </row>
    <row r="9338" spans="13:13" x14ac:dyDescent="0.25">
      <c r="M9338" s="21"/>
    </row>
    <row r="9339" spans="13:13" x14ac:dyDescent="0.25">
      <c r="M9339" s="21"/>
    </row>
    <row r="9340" spans="13:13" x14ac:dyDescent="0.25">
      <c r="M9340" s="21"/>
    </row>
    <row r="9341" spans="13:13" x14ac:dyDescent="0.25">
      <c r="M9341" s="21"/>
    </row>
    <row r="9342" spans="13:13" x14ac:dyDescent="0.25">
      <c r="M9342" s="21"/>
    </row>
    <row r="9343" spans="13:13" x14ac:dyDescent="0.25">
      <c r="M9343" s="21"/>
    </row>
    <row r="9344" spans="13:13" x14ac:dyDescent="0.25">
      <c r="M9344" s="21"/>
    </row>
    <row r="9345" spans="13:13" x14ac:dyDescent="0.25">
      <c r="M9345" s="21"/>
    </row>
    <row r="9346" spans="13:13" x14ac:dyDescent="0.25">
      <c r="M9346" s="21"/>
    </row>
    <row r="9347" spans="13:13" x14ac:dyDescent="0.25">
      <c r="M9347" s="21"/>
    </row>
    <row r="9348" spans="13:13" x14ac:dyDescent="0.25">
      <c r="M9348" s="21"/>
    </row>
    <row r="9349" spans="13:13" x14ac:dyDescent="0.25">
      <c r="M9349" s="21"/>
    </row>
    <row r="9350" spans="13:13" x14ac:dyDescent="0.25">
      <c r="M9350" s="21"/>
    </row>
    <row r="9351" spans="13:13" x14ac:dyDescent="0.25">
      <c r="M9351" s="21"/>
    </row>
    <row r="9352" spans="13:13" x14ac:dyDescent="0.25">
      <c r="M9352" s="21"/>
    </row>
    <row r="9353" spans="13:13" x14ac:dyDescent="0.25">
      <c r="M9353" s="21"/>
    </row>
    <row r="9354" spans="13:13" x14ac:dyDescent="0.25">
      <c r="M9354" s="21"/>
    </row>
    <row r="9355" spans="13:13" x14ac:dyDescent="0.25">
      <c r="M9355" s="21"/>
    </row>
    <row r="9356" spans="13:13" x14ac:dyDescent="0.25">
      <c r="M9356" s="21"/>
    </row>
    <row r="9357" spans="13:13" x14ac:dyDescent="0.25">
      <c r="M9357" s="21"/>
    </row>
    <row r="9358" spans="13:13" x14ac:dyDescent="0.25">
      <c r="M9358" s="21"/>
    </row>
    <row r="9359" spans="13:13" x14ac:dyDescent="0.25">
      <c r="M9359" s="21"/>
    </row>
    <row r="9360" spans="13:13" x14ac:dyDescent="0.25">
      <c r="M9360" s="21"/>
    </row>
    <row r="9361" spans="13:13" x14ac:dyDescent="0.25">
      <c r="M9361" s="21"/>
    </row>
    <row r="9362" spans="13:13" x14ac:dyDescent="0.25">
      <c r="M9362" s="21"/>
    </row>
    <row r="9363" spans="13:13" x14ac:dyDescent="0.25">
      <c r="M9363" s="21"/>
    </row>
    <row r="9364" spans="13:13" x14ac:dyDescent="0.25">
      <c r="M9364" s="21"/>
    </row>
    <row r="9365" spans="13:13" x14ac:dyDescent="0.25">
      <c r="M9365" s="21"/>
    </row>
    <row r="9366" spans="13:13" x14ac:dyDescent="0.25">
      <c r="M9366" s="21"/>
    </row>
    <row r="9367" spans="13:13" x14ac:dyDescent="0.25">
      <c r="M9367" s="21"/>
    </row>
    <row r="9368" spans="13:13" x14ac:dyDescent="0.25">
      <c r="M9368" s="21"/>
    </row>
    <row r="9369" spans="13:13" x14ac:dyDescent="0.25">
      <c r="M9369" s="21"/>
    </row>
    <row r="9370" spans="13:13" x14ac:dyDescent="0.25">
      <c r="M9370" s="21"/>
    </row>
    <row r="9371" spans="13:13" x14ac:dyDescent="0.25">
      <c r="M9371" s="21"/>
    </row>
    <row r="9372" spans="13:13" x14ac:dyDescent="0.25">
      <c r="M9372" s="21"/>
    </row>
    <row r="9373" spans="13:13" x14ac:dyDescent="0.25">
      <c r="M9373" s="21"/>
    </row>
    <row r="9374" spans="13:13" x14ac:dyDescent="0.25">
      <c r="M9374" s="21"/>
    </row>
    <row r="9375" spans="13:13" x14ac:dyDescent="0.25">
      <c r="M9375" s="21"/>
    </row>
    <row r="9376" spans="13:13" x14ac:dyDescent="0.25">
      <c r="M9376" s="21"/>
    </row>
    <row r="9377" spans="13:13" x14ac:dyDescent="0.25">
      <c r="M9377" s="21"/>
    </row>
    <row r="9378" spans="13:13" x14ac:dyDescent="0.25">
      <c r="M9378" s="21"/>
    </row>
    <row r="9379" spans="13:13" x14ac:dyDescent="0.25">
      <c r="M9379" s="21"/>
    </row>
    <row r="9380" spans="13:13" x14ac:dyDescent="0.25">
      <c r="M9380" s="21"/>
    </row>
    <row r="9381" spans="13:13" x14ac:dyDescent="0.25">
      <c r="M9381" s="21"/>
    </row>
    <row r="9382" spans="13:13" x14ac:dyDescent="0.25">
      <c r="M9382" s="21"/>
    </row>
    <row r="9383" spans="13:13" x14ac:dyDescent="0.25">
      <c r="M9383" s="21"/>
    </row>
    <row r="9384" spans="13:13" x14ac:dyDescent="0.25">
      <c r="M9384" s="21"/>
    </row>
    <row r="9385" spans="13:13" x14ac:dyDescent="0.25">
      <c r="M9385" s="21"/>
    </row>
    <row r="9386" spans="13:13" x14ac:dyDescent="0.25">
      <c r="M9386" s="21"/>
    </row>
    <row r="9387" spans="13:13" x14ac:dyDescent="0.25">
      <c r="M9387" s="21"/>
    </row>
    <row r="9388" spans="13:13" x14ac:dyDescent="0.25">
      <c r="M9388" s="21"/>
    </row>
    <row r="9389" spans="13:13" x14ac:dyDescent="0.25">
      <c r="M9389" s="21"/>
    </row>
    <row r="9390" spans="13:13" x14ac:dyDescent="0.25">
      <c r="M9390" s="21"/>
    </row>
    <row r="9391" spans="13:13" x14ac:dyDescent="0.25">
      <c r="M9391" s="21"/>
    </row>
    <row r="9392" spans="13:13" x14ac:dyDescent="0.25">
      <c r="M9392" s="21"/>
    </row>
    <row r="9393" spans="13:13" x14ac:dyDescent="0.25">
      <c r="M9393" s="21"/>
    </row>
    <row r="9394" spans="13:13" x14ac:dyDescent="0.25">
      <c r="M9394" s="21"/>
    </row>
    <row r="9395" spans="13:13" x14ac:dyDescent="0.25">
      <c r="M9395" s="21"/>
    </row>
    <row r="9396" spans="13:13" x14ac:dyDescent="0.25">
      <c r="M9396" s="21"/>
    </row>
    <row r="9397" spans="13:13" x14ac:dyDescent="0.25">
      <c r="M9397" s="21"/>
    </row>
    <row r="9398" spans="13:13" x14ac:dyDescent="0.25">
      <c r="M9398" s="21"/>
    </row>
    <row r="9399" spans="13:13" x14ac:dyDescent="0.25">
      <c r="M9399" s="21"/>
    </row>
    <row r="9400" spans="13:13" x14ac:dyDescent="0.25">
      <c r="M9400" s="21"/>
    </row>
    <row r="9401" spans="13:13" x14ac:dyDescent="0.25">
      <c r="M9401" s="21"/>
    </row>
    <row r="9402" spans="13:13" x14ac:dyDescent="0.25">
      <c r="M9402" s="21"/>
    </row>
    <row r="9403" spans="13:13" x14ac:dyDescent="0.25">
      <c r="M9403" s="21"/>
    </row>
    <row r="9404" spans="13:13" x14ac:dyDescent="0.25">
      <c r="M9404" s="21"/>
    </row>
    <row r="9405" spans="13:13" x14ac:dyDescent="0.25">
      <c r="M9405" s="21"/>
    </row>
    <row r="9406" spans="13:13" x14ac:dyDescent="0.25">
      <c r="M9406" s="21"/>
    </row>
    <row r="9407" spans="13:13" x14ac:dyDescent="0.25">
      <c r="M9407" s="21"/>
    </row>
    <row r="9408" spans="13:13" x14ac:dyDescent="0.25">
      <c r="M9408" s="21"/>
    </row>
    <row r="9409" spans="13:13" x14ac:dyDescent="0.25">
      <c r="M9409" s="21"/>
    </row>
    <row r="9410" spans="13:13" x14ac:dyDescent="0.25">
      <c r="M9410" s="21"/>
    </row>
    <row r="9411" spans="13:13" x14ac:dyDescent="0.25">
      <c r="M9411" s="21"/>
    </row>
    <row r="9412" spans="13:13" x14ac:dyDescent="0.25">
      <c r="M9412" s="21"/>
    </row>
    <row r="9413" spans="13:13" x14ac:dyDescent="0.25">
      <c r="M9413" s="21"/>
    </row>
    <row r="9414" spans="13:13" x14ac:dyDescent="0.25">
      <c r="M9414" s="21"/>
    </row>
    <row r="9415" spans="13:13" x14ac:dyDescent="0.25">
      <c r="M9415" s="21"/>
    </row>
    <row r="9416" spans="13:13" x14ac:dyDescent="0.25">
      <c r="M9416" s="21"/>
    </row>
    <row r="9417" spans="13:13" x14ac:dyDescent="0.25">
      <c r="M9417" s="21"/>
    </row>
    <row r="9418" spans="13:13" x14ac:dyDescent="0.25">
      <c r="M9418" s="21"/>
    </row>
    <row r="9419" spans="13:13" x14ac:dyDescent="0.25">
      <c r="M9419" s="21"/>
    </row>
    <row r="9420" spans="13:13" x14ac:dyDescent="0.25">
      <c r="M9420" s="21"/>
    </row>
    <row r="9421" spans="13:13" x14ac:dyDescent="0.25">
      <c r="M9421" s="21"/>
    </row>
    <row r="9422" spans="13:13" x14ac:dyDescent="0.25">
      <c r="M9422" s="21"/>
    </row>
    <row r="9423" spans="13:13" x14ac:dyDescent="0.25">
      <c r="M9423" s="21"/>
    </row>
    <row r="9424" spans="13:13" x14ac:dyDescent="0.25">
      <c r="M9424" s="21"/>
    </row>
    <row r="9425" spans="13:13" x14ac:dyDescent="0.25">
      <c r="M9425" s="21"/>
    </row>
    <row r="9426" spans="13:13" x14ac:dyDescent="0.25">
      <c r="M9426" s="21"/>
    </row>
    <row r="9427" spans="13:13" x14ac:dyDescent="0.25">
      <c r="M9427" s="21"/>
    </row>
    <row r="9428" spans="13:13" x14ac:dyDescent="0.25">
      <c r="M9428" s="21"/>
    </row>
    <row r="9429" spans="13:13" x14ac:dyDescent="0.25">
      <c r="M9429" s="21"/>
    </row>
    <row r="9430" spans="13:13" x14ac:dyDescent="0.25">
      <c r="M9430" s="21"/>
    </row>
    <row r="9431" spans="13:13" x14ac:dyDescent="0.25">
      <c r="M9431" s="21"/>
    </row>
    <row r="9432" spans="13:13" x14ac:dyDescent="0.25">
      <c r="M9432" s="21"/>
    </row>
    <row r="9433" spans="13:13" x14ac:dyDescent="0.25">
      <c r="M9433" s="21"/>
    </row>
    <row r="9434" spans="13:13" x14ac:dyDescent="0.25">
      <c r="M9434" s="21"/>
    </row>
    <row r="9435" spans="13:13" x14ac:dyDescent="0.25">
      <c r="M9435" s="21"/>
    </row>
    <row r="9436" spans="13:13" x14ac:dyDescent="0.25">
      <c r="M9436" s="21"/>
    </row>
    <row r="9437" spans="13:13" x14ac:dyDescent="0.25">
      <c r="M9437" s="21"/>
    </row>
    <row r="9438" spans="13:13" x14ac:dyDescent="0.25">
      <c r="M9438" s="21"/>
    </row>
    <row r="9439" spans="13:13" x14ac:dyDescent="0.25">
      <c r="M9439" s="21"/>
    </row>
    <row r="9440" spans="13:13" x14ac:dyDescent="0.25">
      <c r="M9440" s="21"/>
    </row>
    <row r="9441" spans="13:13" x14ac:dyDescent="0.25">
      <c r="M9441" s="21"/>
    </row>
    <row r="9442" spans="13:13" x14ac:dyDescent="0.25">
      <c r="M9442" s="21"/>
    </row>
    <row r="9443" spans="13:13" x14ac:dyDescent="0.25">
      <c r="M9443" s="21"/>
    </row>
    <row r="9444" spans="13:13" x14ac:dyDescent="0.25">
      <c r="M9444" s="21"/>
    </row>
    <row r="9445" spans="13:13" x14ac:dyDescent="0.25">
      <c r="M9445" s="21"/>
    </row>
    <row r="9446" spans="13:13" x14ac:dyDescent="0.25">
      <c r="M9446" s="21"/>
    </row>
    <row r="9447" spans="13:13" x14ac:dyDescent="0.25">
      <c r="M9447" s="21"/>
    </row>
    <row r="9448" spans="13:13" x14ac:dyDescent="0.25">
      <c r="M9448" s="21"/>
    </row>
    <row r="9449" spans="13:13" x14ac:dyDescent="0.25">
      <c r="M9449" s="21"/>
    </row>
    <row r="9450" spans="13:13" x14ac:dyDescent="0.25">
      <c r="M9450" s="21"/>
    </row>
    <row r="9451" spans="13:13" x14ac:dyDescent="0.25">
      <c r="M9451" s="21"/>
    </row>
    <row r="9452" spans="13:13" x14ac:dyDescent="0.25">
      <c r="M9452" s="21"/>
    </row>
    <row r="9453" spans="13:13" x14ac:dyDescent="0.25">
      <c r="M9453" s="21"/>
    </row>
    <row r="9454" spans="13:13" x14ac:dyDescent="0.25">
      <c r="M9454" s="21"/>
    </row>
    <row r="9455" spans="13:13" x14ac:dyDescent="0.25">
      <c r="M9455" s="21"/>
    </row>
    <row r="9456" spans="13:13" x14ac:dyDescent="0.25">
      <c r="M9456" s="21"/>
    </row>
    <row r="9457" spans="13:13" x14ac:dyDescent="0.25">
      <c r="M9457" s="21"/>
    </row>
    <row r="9458" spans="13:13" x14ac:dyDescent="0.25">
      <c r="M9458" s="21"/>
    </row>
    <row r="9459" spans="13:13" x14ac:dyDescent="0.25">
      <c r="M9459" s="21"/>
    </row>
    <row r="9460" spans="13:13" x14ac:dyDescent="0.25">
      <c r="M9460" s="21"/>
    </row>
    <row r="9461" spans="13:13" x14ac:dyDescent="0.25">
      <c r="M9461" s="21"/>
    </row>
    <row r="9462" spans="13:13" x14ac:dyDescent="0.25">
      <c r="M9462" s="21"/>
    </row>
    <row r="9463" spans="13:13" x14ac:dyDescent="0.25">
      <c r="M9463" s="21"/>
    </row>
    <row r="9464" spans="13:13" x14ac:dyDescent="0.25">
      <c r="M9464" s="21"/>
    </row>
    <row r="9465" spans="13:13" x14ac:dyDescent="0.25">
      <c r="M9465" s="21"/>
    </row>
    <row r="9466" spans="13:13" x14ac:dyDescent="0.25">
      <c r="M9466" s="21"/>
    </row>
    <row r="9467" spans="13:13" x14ac:dyDescent="0.25">
      <c r="M9467" s="21"/>
    </row>
    <row r="9468" spans="13:13" x14ac:dyDescent="0.25">
      <c r="M9468" s="21"/>
    </row>
    <row r="9469" spans="13:13" x14ac:dyDescent="0.25">
      <c r="M9469" s="21"/>
    </row>
    <row r="9470" spans="13:13" x14ac:dyDescent="0.25">
      <c r="M9470" s="21"/>
    </row>
    <row r="9471" spans="13:13" x14ac:dyDescent="0.25">
      <c r="M9471" s="21"/>
    </row>
    <row r="9472" spans="13:13" x14ac:dyDescent="0.25">
      <c r="M9472" s="21"/>
    </row>
    <row r="9473" spans="13:13" x14ac:dyDescent="0.25">
      <c r="M9473" s="21"/>
    </row>
    <row r="9474" spans="13:13" x14ac:dyDescent="0.25">
      <c r="M9474" s="21"/>
    </row>
    <row r="9475" spans="13:13" x14ac:dyDescent="0.25">
      <c r="M9475" s="21"/>
    </row>
    <row r="9476" spans="13:13" x14ac:dyDescent="0.25">
      <c r="M9476" s="21"/>
    </row>
    <row r="9477" spans="13:13" x14ac:dyDescent="0.25">
      <c r="M9477" s="21"/>
    </row>
    <row r="9478" spans="13:13" x14ac:dyDescent="0.25">
      <c r="M9478" s="21"/>
    </row>
    <row r="9479" spans="13:13" x14ac:dyDescent="0.25">
      <c r="M9479" s="21"/>
    </row>
    <row r="9480" spans="13:13" x14ac:dyDescent="0.25">
      <c r="M9480" s="21"/>
    </row>
    <row r="9481" spans="13:13" x14ac:dyDescent="0.25">
      <c r="M9481" s="21"/>
    </row>
    <row r="9482" spans="13:13" x14ac:dyDescent="0.25">
      <c r="M9482" s="21"/>
    </row>
    <row r="9483" spans="13:13" x14ac:dyDescent="0.25">
      <c r="M9483" s="21"/>
    </row>
    <row r="9484" spans="13:13" x14ac:dyDescent="0.25">
      <c r="M9484" s="21"/>
    </row>
    <row r="9485" spans="13:13" x14ac:dyDescent="0.25">
      <c r="M9485" s="21"/>
    </row>
    <row r="9486" spans="13:13" x14ac:dyDescent="0.25">
      <c r="M9486" s="21"/>
    </row>
    <row r="9487" spans="13:13" x14ac:dyDescent="0.25">
      <c r="M9487" s="21"/>
    </row>
    <row r="9488" spans="13:13" x14ac:dyDescent="0.25">
      <c r="M9488" s="21"/>
    </row>
    <row r="9489" spans="13:13" x14ac:dyDescent="0.25">
      <c r="M9489" s="21"/>
    </row>
    <row r="9490" spans="13:13" x14ac:dyDescent="0.25">
      <c r="M9490" s="21"/>
    </row>
    <row r="9491" spans="13:13" x14ac:dyDescent="0.25">
      <c r="M9491" s="21"/>
    </row>
    <row r="9492" spans="13:13" x14ac:dyDescent="0.25">
      <c r="M9492" s="21"/>
    </row>
    <row r="9493" spans="13:13" x14ac:dyDescent="0.25">
      <c r="M9493" s="21"/>
    </row>
    <row r="9494" spans="13:13" x14ac:dyDescent="0.25">
      <c r="M9494" s="21"/>
    </row>
    <row r="9495" spans="13:13" x14ac:dyDescent="0.25">
      <c r="M9495" s="21"/>
    </row>
    <row r="9496" spans="13:13" x14ac:dyDescent="0.25">
      <c r="M9496" s="21"/>
    </row>
    <row r="9497" spans="13:13" x14ac:dyDescent="0.25">
      <c r="M9497" s="21"/>
    </row>
    <row r="9498" spans="13:13" x14ac:dyDescent="0.25">
      <c r="M9498" s="21"/>
    </row>
    <row r="9499" spans="13:13" x14ac:dyDescent="0.25">
      <c r="M9499" s="21"/>
    </row>
    <row r="9500" spans="13:13" x14ac:dyDescent="0.25">
      <c r="M9500" s="21"/>
    </row>
    <row r="9501" spans="13:13" x14ac:dyDescent="0.25">
      <c r="M9501" s="21"/>
    </row>
    <row r="9502" spans="13:13" x14ac:dyDescent="0.25">
      <c r="M9502" s="21"/>
    </row>
    <row r="9503" spans="13:13" x14ac:dyDescent="0.25">
      <c r="M9503" s="21"/>
    </row>
    <row r="9504" spans="13:13" x14ac:dyDescent="0.25">
      <c r="M9504" s="21"/>
    </row>
    <row r="9505" spans="13:13" x14ac:dyDescent="0.25">
      <c r="M9505" s="21"/>
    </row>
    <row r="9506" spans="13:13" x14ac:dyDescent="0.25">
      <c r="M9506" s="21"/>
    </row>
    <row r="9507" spans="13:13" x14ac:dyDescent="0.25">
      <c r="M9507" s="21"/>
    </row>
    <row r="9508" spans="13:13" x14ac:dyDescent="0.25">
      <c r="M9508" s="21"/>
    </row>
    <row r="9509" spans="13:13" x14ac:dyDescent="0.25">
      <c r="M9509" s="21"/>
    </row>
    <row r="9510" spans="13:13" x14ac:dyDescent="0.25">
      <c r="M9510" s="21"/>
    </row>
    <row r="9511" spans="13:13" x14ac:dyDescent="0.25">
      <c r="M9511" s="21"/>
    </row>
    <row r="9512" spans="13:13" x14ac:dyDescent="0.25">
      <c r="M9512" s="21"/>
    </row>
    <row r="9513" spans="13:13" x14ac:dyDescent="0.25">
      <c r="M9513" s="21"/>
    </row>
    <row r="9514" spans="13:13" x14ac:dyDescent="0.25">
      <c r="M9514" s="21"/>
    </row>
    <row r="9515" spans="13:13" x14ac:dyDescent="0.25">
      <c r="M9515" s="21"/>
    </row>
    <row r="9516" spans="13:13" x14ac:dyDescent="0.25">
      <c r="M9516" s="21"/>
    </row>
    <row r="9517" spans="13:13" x14ac:dyDescent="0.25">
      <c r="M9517" s="21"/>
    </row>
    <row r="9518" spans="13:13" x14ac:dyDescent="0.25">
      <c r="M9518" s="21"/>
    </row>
    <row r="9519" spans="13:13" x14ac:dyDescent="0.25">
      <c r="M9519" s="21"/>
    </row>
    <row r="9520" spans="13:13" x14ac:dyDescent="0.25">
      <c r="M9520" s="21"/>
    </row>
    <row r="9521" spans="13:13" x14ac:dyDescent="0.25">
      <c r="M9521" s="21"/>
    </row>
    <row r="9522" spans="13:13" x14ac:dyDescent="0.25">
      <c r="M9522" s="21"/>
    </row>
    <row r="9523" spans="13:13" x14ac:dyDescent="0.25">
      <c r="M9523" s="21"/>
    </row>
    <row r="9524" spans="13:13" x14ac:dyDescent="0.25">
      <c r="M9524" s="21"/>
    </row>
    <row r="9525" spans="13:13" x14ac:dyDescent="0.25">
      <c r="M9525" s="21"/>
    </row>
    <row r="9526" spans="13:13" x14ac:dyDescent="0.25">
      <c r="M9526" s="21"/>
    </row>
    <row r="9527" spans="13:13" x14ac:dyDescent="0.25">
      <c r="M9527" s="21"/>
    </row>
    <row r="9528" spans="13:13" x14ac:dyDescent="0.25">
      <c r="M9528" s="21"/>
    </row>
    <row r="9529" spans="13:13" x14ac:dyDescent="0.25">
      <c r="M9529" s="21"/>
    </row>
    <row r="9530" spans="13:13" x14ac:dyDescent="0.25">
      <c r="M9530" s="21"/>
    </row>
    <row r="9531" spans="13:13" x14ac:dyDescent="0.25">
      <c r="M9531" s="21"/>
    </row>
    <row r="9532" spans="13:13" x14ac:dyDescent="0.25">
      <c r="M9532" s="21"/>
    </row>
    <row r="9533" spans="13:13" x14ac:dyDescent="0.25">
      <c r="M9533" s="21"/>
    </row>
    <row r="9534" spans="13:13" x14ac:dyDescent="0.25">
      <c r="M9534" s="21"/>
    </row>
    <row r="9535" spans="13:13" x14ac:dyDescent="0.25">
      <c r="M9535" s="21"/>
    </row>
    <row r="9536" spans="13:13" x14ac:dyDescent="0.25">
      <c r="M9536" s="21"/>
    </row>
    <row r="9537" spans="13:13" x14ac:dyDescent="0.25">
      <c r="M9537" s="21"/>
    </row>
    <row r="9538" spans="13:13" x14ac:dyDescent="0.25">
      <c r="M9538" s="21"/>
    </row>
    <row r="9539" spans="13:13" x14ac:dyDescent="0.25">
      <c r="M9539" s="21"/>
    </row>
    <row r="9540" spans="13:13" x14ac:dyDescent="0.25">
      <c r="M9540" s="21"/>
    </row>
    <row r="9541" spans="13:13" x14ac:dyDescent="0.25">
      <c r="M9541" s="21"/>
    </row>
    <row r="9542" spans="13:13" x14ac:dyDescent="0.25">
      <c r="M9542" s="21"/>
    </row>
    <row r="9543" spans="13:13" x14ac:dyDescent="0.25">
      <c r="M9543" s="21"/>
    </row>
    <row r="9544" spans="13:13" x14ac:dyDescent="0.25">
      <c r="M9544" s="21"/>
    </row>
    <row r="9545" spans="13:13" x14ac:dyDescent="0.25">
      <c r="M9545" s="21"/>
    </row>
    <row r="9546" spans="13:13" x14ac:dyDescent="0.25">
      <c r="M9546" s="21"/>
    </row>
    <row r="9547" spans="13:13" x14ac:dyDescent="0.25">
      <c r="M9547" s="21"/>
    </row>
    <row r="9548" spans="13:13" x14ac:dyDescent="0.25">
      <c r="M9548" s="21"/>
    </row>
    <row r="9549" spans="13:13" x14ac:dyDescent="0.25">
      <c r="M9549" s="21"/>
    </row>
    <row r="9550" spans="13:13" x14ac:dyDescent="0.25">
      <c r="M9550" s="21"/>
    </row>
    <row r="9551" spans="13:13" x14ac:dyDescent="0.25">
      <c r="M9551" s="21"/>
    </row>
    <row r="9552" spans="13:13" x14ac:dyDescent="0.25">
      <c r="M9552" s="21"/>
    </row>
    <row r="9553" spans="13:13" x14ac:dyDescent="0.25">
      <c r="M9553" s="21"/>
    </row>
    <row r="9554" spans="13:13" x14ac:dyDescent="0.25">
      <c r="M9554" s="21"/>
    </row>
    <row r="9555" spans="13:13" x14ac:dyDescent="0.25">
      <c r="M9555" s="21"/>
    </row>
    <row r="9556" spans="13:13" x14ac:dyDescent="0.25">
      <c r="M9556" s="21"/>
    </row>
    <row r="9557" spans="13:13" x14ac:dyDescent="0.25">
      <c r="M9557" s="21"/>
    </row>
    <row r="9558" spans="13:13" x14ac:dyDescent="0.25">
      <c r="M9558" s="21"/>
    </row>
    <row r="9559" spans="13:13" x14ac:dyDescent="0.25">
      <c r="M9559" s="21"/>
    </row>
    <row r="9560" spans="13:13" x14ac:dyDescent="0.25">
      <c r="M9560" s="21"/>
    </row>
    <row r="9561" spans="13:13" x14ac:dyDescent="0.25">
      <c r="M9561" s="21"/>
    </row>
    <row r="9562" spans="13:13" x14ac:dyDescent="0.25">
      <c r="M9562" s="21"/>
    </row>
    <row r="9563" spans="13:13" x14ac:dyDescent="0.25">
      <c r="M9563" s="21"/>
    </row>
    <row r="9564" spans="13:13" x14ac:dyDescent="0.25">
      <c r="M9564" s="21"/>
    </row>
    <row r="9565" spans="13:13" x14ac:dyDescent="0.25">
      <c r="M9565" s="21"/>
    </row>
    <row r="9566" spans="13:13" x14ac:dyDescent="0.25">
      <c r="M9566" s="21"/>
    </row>
    <row r="9567" spans="13:13" x14ac:dyDescent="0.25">
      <c r="M9567" s="21"/>
    </row>
    <row r="9568" spans="13:13" x14ac:dyDescent="0.25">
      <c r="M9568" s="21"/>
    </row>
    <row r="9569" spans="13:13" x14ac:dyDescent="0.25">
      <c r="M9569" s="21"/>
    </row>
    <row r="9570" spans="13:13" x14ac:dyDescent="0.25">
      <c r="M9570" s="21"/>
    </row>
    <row r="9571" spans="13:13" x14ac:dyDescent="0.25">
      <c r="M9571" s="21"/>
    </row>
    <row r="9572" spans="13:13" x14ac:dyDescent="0.25">
      <c r="M9572" s="21"/>
    </row>
    <row r="9573" spans="13:13" x14ac:dyDescent="0.25">
      <c r="M9573" s="21"/>
    </row>
    <row r="9574" spans="13:13" x14ac:dyDescent="0.25">
      <c r="M9574" s="21"/>
    </row>
    <row r="9575" spans="13:13" x14ac:dyDescent="0.25">
      <c r="M9575" s="21"/>
    </row>
    <row r="9576" spans="13:13" x14ac:dyDescent="0.25">
      <c r="M9576" s="21"/>
    </row>
    <row r="9577" spans="13:13" x14ac:dyDescent="0.25">
      <c r="M9577" s="21"/>
    </row>
    <row r="9578" spans="13:13" x14ac:dyDescent="0.25">
      <c r="M9578" s="21"/>
    </row>
    <row r="9579" spans="13:13" x14ac:dyDescent="0.25">
      <c r="M9579" s="21"/>
    </row>
    <row r="9580" spans="13:13" x14ac:dyDescent="0.25">
      <c r="M9580" s="21"/>
    </row>
    <row r="9581" spans="13:13" x14ac:dyDescent="0.25">
      <c r="M9581" s="21"/>
    </row>
    <row r="9582" spans="13:13" x14ac:dyDescent="0.25">
      <c r="M9582" s="21"/>
    </row>
    <row r="9583" spans="13:13" x14ac:dyDescent="0.25">
      <c r="M9583" s="21"/>
    </row>
    <row r="9584" spans="13:13" x14ac:dyDescent="0.25">
      <c r="M9584" s="21"/>
    </row>
    <row r="9585" spans="13:13" x14ac:dyDescent="0.25">
      <c r="M9585" s="21"/>
    </row>
    <row r="9586" spans="13:13" x14ac:dyDescent="0.25">
      <c r="M9586" s="21"/>
    </row>
    <row r="9587" spans="13:13" x14ac:dyDescent="0.25">
      <c r="M9587" s="21"/>
    </row>
    <row r="9588" spans="13:13" x14ac:dyDescent="0.25">
      <c r="M9588" s="21"/>
    </row>
    <row r="9589" spans="13:13" x14ac:dyDescent="0.25">
      <c r="M9589" s="21"/>
    </row>
    <row r="9590" spans="13:13" x14ac:dyDescent="0.25">
      <c r="M9590" s="21"/>
    </row>
    <row r="9591" spans="13:13" x14ac:dyDescent="0.25">
      <c r="M9591" s="21"/>
    </row>
    <row r="9592" spans="13:13" x14ac:dyDescent="0.25">
      <c r="M9592" s="21"/>
    </row>
    <row r="9593" spans="13:13" x14ac:dyDescent="0.25">
      <c r="M9593" s="21"/>
    </row>
    <row r="9594" spans="13:13" x14ac:dyDescent="0.25">
      <c r="M9594" s="21"/>
    </row>
    <row r="9595" spans="13:13" x14ac:dyDescent="0.25">
      <c r="M9595" s="21"/>
    </row>
    <row r="9596" spans="13:13" x14ac:dyDescent="0.25">
      <c r="M9596" s="21"/>
    </row>
    <row r="9597" spans="13:13" x14ac:dyDescent="0.25">
      <c r="M9597" s="21"/>
    </row>
    <row r="9598" spans="13:13" x14ac:dyDescent="0.25">
      <c r="M9598" s="21"/>
    </row>
    <row r="9599" spans="13:13" x14ac:dyDescent="0.25">
      <c r="M9599" s="21"/>
    </row>
    <row r="9600" spans="13:13" x14ac:dyDescent="0.25">
      <c r="M9600" s="21"/>
    </row>
    <row r="9601" spans="13:13" x14ac:dyDescent="0.25">
      <c r="M9601" s="21"/>
    </row>
    <row r="9602" spans="13:13" x14ac:dyDescent="0.25">
      <c r="M9602" s="21"/>
    </row>
    <row r="9603" spans="13:13" x14ac:dyDescent="0.25">
      <c r="M9603" s="21"/>
    </row>
    <row r="9604" spans="13:13" x14ac:dyDescent="0.25">
      <c r="M9604" s="21"/>
    </row>
    <row r="9605" spans="13:13" x14ac:dyDescent="0.25">
      <c r="M9605" s="21"/>
    </row>
    <row r="9606" spans="13:13" x14ac:dyDescent="0.25">
      <c r="M9606" s="21"/>
    </row>
    <row r="9607" spans="13:13" x14ac:dyDescent="0.25">
      <c r="M9607" s="21"/>
    </row>
    <row r="9608" spans="13:13" x14ac:dyDescent="0.25">
      <c r="M9608" s="21"/>
    </row>
    <row r="9609" spans="13:13" x14ac:dyDescent="0.25">
      <c r="M9609" s="21"/>
    </row>
    <row r="9610" spans="13:13" x14ac:dyDescent="0.25">
      <c r="M9610" s="21"/>
    </row>
    <row r="9611" spans="13:13" x14ac:dyDescent="0.25">
      <c r="M9611" s="21"/>
    </row>
    <row r="9612" spans="13:13" x14ac:dyDescent="0.25">
      <c r="M9612" s="21"/>
    </row>
    <row r="9613" spans="13:13" x14ac:dyDescent="0.25">
      <c r="M9613" s="21"/>
    </row>
    <row r="9614" spans="13:13" x14ac:dyDescent="0.25">
      <c r="M9614" s="21"/>
    </row>
    <row r="9615" spans="13:13" x14ac:dyDescent="0.25">
      <c r="M9615" s="21"/>
    </row>
    <row r="9616" spans="13:13" x14ac:dyDescent="0.25">
      <c r="M9616" s="21"/>
    </row>
    <row r="9617" spans="13:13" x14ac:dyDescent="0.25">
      <c r="M9617" s="21"/>
    </row>
    <row r="9618" spans="13:13" x14ac:dyDescent="0.25">
      <c r="M9618" s="21"/>
    </row>
    <row r="9619" spans="13:13" x14ac:dyDescent="0.25">
      <c r="M9619" s="21"/>
    </row>
    <row r="9620" spans="13:13" x14ac:dyDescent="0.25">
      <c r="M9620" s="21"/>
    </row>
    <row r="9621" spans="13:13" x14ac:dyDescent="0.25">
      <c r="M9621" s="21"/>
    </row>
    <row r="9622" spans="13:13" x14ac:dyDescent="0.25">
      <c r="M9622" s="21"/>
    </row>
    <row r="9623" spans="13:13" x14ac:dyDescent="0.25">
      <c r="M9623" s="21"/>
    </row>
    <row r="9624" spans="13:13" x14ac:dyDescent="0.25">
      <c r="M9624" s="21"/>
    </row>
    <row r="9625" spans="13:13" x14ac:dyDescent="0.25">
      <c r="M9625" s="21"/>
    </row>
    <row r="9626" spans="13:13" x14ac:dyDescent="0.25">
      <c r="M9626" s="21"/>
    </row>
    <row r="9627" spans="13:13" x14ac:dyDescent="0.25">
      <c r="M9627" s="21"/>
    </row>
    <row r="9628" spans="13:13" x14ac:dyDescent="0.25">
      <c r="M9628" s="21"/>
    </row>
    <row r="9629" spans="13:13" x14ac:dyDescent="0.25">
      <c r="M9629" s="21"/>
    </row>
    <row r="9630" spans="13:13" x14ac:dyDescent="0.25">
      <c r="M9630" s="21"/>
    </row>
    <row r="9631" spans="13:13" x14ac:dyDescent="0.25">
      <c r="M9631" s="21"/>
    </row>
    <row r="9632" spans="13:13" x14ac:dyDescent="0.25">
      <c r="M9632" s="21"/>
    </row>
    <row r="9633" spans="13:13" x14ac:dyDescent="0.25">
      <c r="M9633" s="21"/>
    </row>
    <row r="9634" spans="13:13" x14ac:dyDescent="0.25">
      <c r="M9634" s="21"/>
    </row>
    <row r="9635" spans="13:13" x14ac:dyDescent="0.25">
      <c r="M9635" s="21"/>
    </row>
    <row r="9636" spans="13:13" x14ac:dyDescent="0.25">
      <c r="M9636" s="21"/>
    </row>
    <row r="9637" spans="13:13" x14ac:dyDescent="0.25">
      <c r="M9637" s="21"/>
    </row>
    <row r="9638" spans="13:13" x14ac:dyDescent="0.25">
      <c r="M9638" s="21"/>
    </row>
    <row r="9639" spans="13:13" x14ac:dyDescent="0.25">
      <c r="M9639" s="21"/>
    </row>
    <row r="9640" spans="13:13" x14ac:dyDescent="0.25">
      <c r="M9640" s="21"/>
    </row>
    <row r="9641" spans="13:13" x14ac:dyDescent="0.25">
      <c r="M9641" s="21"/>
    </row>
    <row r="9642" spans="13:13" x14ac:dyDescent="0.25">
      <c r="M9642" s="21"/>
    </row>
    <row r="9643" spans="13:13" x14ac:dyDescent="0.25">
      <c r="M9643" s="21"/>
    </row>
    <row r="9644" spans="13:13" x14ac:dyDescent="0.25">
      <c r="M9644" s="21"/>
    </row>
    <row r="9645" spans="13:13" x14ac:dyDescent="0.25">
      <c r="M9645" s="21"/>
    </row>
    <row r="9646" spans="13:13" x14ac:dyDescent="0.25">
      <c r="M9646" s="21"/>
    </row>
    <row r="9647" spans="13:13" x14ac:dyDescent="0.25">
      <c r="M9647" s="21"/>
    </row>
    <row r="9648" spans="13:13" x14ac:dyDescent="0.25">
      <c r="M9648" s="21"/>
    </row>
    <row r="9649" spans="13:13" x14ac:dyDescent="0.25">
      <c r="M9649" s="21"/>
    </row>
    <row r="9650" spans="13:13" x14ac:dyDescent="0.25">
      <c r="M9650" s="21"/>
    </row>
    <row r="9651" spans="13:13" x14ac:dyDescent="0.25">
      <c r="M9651" s="21"/>
    </row>
    <row r="9652" spans="13:13" x14ac:dyDescent="0.25">
      <c r="M9652" s="21"/>
    </row>
    <row r="9653" spans="13:13" x14ac:dyDescent="0.25">
      <c r="M9653" s="21"/>
    </row>
    <row r="9654" spans="13:13" x14ac:dyDescent="0.25">
      <c r="M9654" s="21"/>
    </row>
    <row r="9655" spans="13:13" x14ac:dyDescent="0.25">
      <c r="M9655" s="21"/>
    </row>
    <row r="9656" spans="13:13" x14ac:dyDescent="0.25">
      <c r="M9656" s="21"/>
    </row>
    <row r="9657" spans="13:13" x14ac:dyDescent="0.25">
      <c r="M9657" s="21"/>
    </row>
    <row r="9658" spans="13:13" x14ac:dyDescent="0.25">
      <c r="M9658" s="21"/>
    </row>
    <row r="9659" spans="13:13" x14ac:dyDescent="0.25">
      <c r="M9659" s="21"/>
    </row>
    <row r="9660" spans="13:13" x14ac:dyDescent="0.25">
      <c r="M9660" s="21"/>
    </row>
    <row r="9661" spans="13:13" x14ac:dyDescent="0.25">
      <c r="M9661" s="21"/>
    </row>
    <row r="9662" spans="13:13" x14ac:dyDescent="0.25">
      <c r="M9662" s="21"/>
    </row>
    <row r="9663" spans="13:13" x14ac:dyDescent="0.25">
      <c r="M9663" s="21"/>
    </row>
    <row r="9664" spans="13:13" x14ac:dyDescent="0.25">
      <c r="M9664" s="21"/>
    </row>
    <row r="9665" spans="13:13" x14ac:dyDescent="0.25">
      <c r="M9665" s="21"/>
    </row>
    <row r="9666" spans="13:13" x14ac:dyDescent="0.25">
      <c r="M9666" s="21"/>
    </row>
    <row r="9667" spans="13:13" x14ac:dyDescent="0.25">
      <c r="M9667" s="21"/>
    </row>
    <row r="9668" spans="13:13" x14ac:dyDescent="0.25">
      <c r="M9668" s="21"/>
    </row>
    <row r="9669" spans="13:13" x14ac:dyDescent="0.25">
      <c r="M9669" s="21"/>
    </row>
    <row r="9670" spans="13:13" x14ac:dyDescent="0.25">
      <c r="M9670" s="21"/>
    </row>
    <row r="9671" spans="13:13" x14ac:dyDescent="0.25">
      <c r="M9671" s="21"/>
    </row>
    <row r="9672" spans="13:13" x14ac:dyDescent="0.25">
      <c r="M9672" s="21"/>
    </row>
    <row r="9673" spans="13:13" x14ac:dyDescent="0.25">
      <c r="M9673" s="21"/>
    </row>
    <row r="9674" spans="13:13" x14ac:dyDescent="0.25">
      <c r="M9674" s="21"/>
    </row>
    <row r="9675" spans="13:13" x14ac:dyDescent="0.25">
      <c r="M9675" s="21"/>
    </row>
    <row r="9676" spans="13:13" x14ac:dyDescent="0.25">
      <c r="M9676" s="21"/>
    </row>
    <row r="9677" spans="13:13" x14ac:dyDescent="0.25">
      <c r="M9677" s="21"/>
    </row>
    <row r="9678" spans="13:13" x14ac:dyDescent="0.25">
      <c r="M9678" s="21"/>
    </row>
    <row r="9679" spans="13:13" x14ac:dyDescent="0.25">
      <c r="M9679" s="21"/>
    </row>
    <row r="9680" spans="13:13" x14ac:dyDescent="0.25">
      <c r="M9680" s="21"/>
    </row>
    <row r="9681" spans="13:13" x14ac:dyDescent="0.25">
      <c r="M9681" s="21"/>
    </row>
    <row r="9682" spans="13:13" x14ac:dyDescent="0.25">
      <c r="M9682" s="21"/>
    </row>
    <row r="9683" spans="13:13" x14ac:dyDescent="0.25">
      <c r="M9683" s="21"/>
    </row>
    <row r="9684" spans="13:13" x14ac:dyDescent="0.25">
      <c r="M9684" s="21"/>
    </row>
    <row r="9685" spans="13:13" x14ac:dyDescent="0.25">
      <c r="M9685" s="21"/>
    </row>
    <row r="9686" spans="13:13" x14ac:dyDescent="0.25">
      <c r="M9686" s="21"/>
    </row>
    <row r="9687" spans="13:13" x14ac:dyDescent="0.25">
      <c r="M9687" s="21"/>
    </row>
    <row r="9688" spans="13:13" x14ac:dyDescent="0.25">
      <c r="M9688" s="21"/>
    </row>
    <row r="9689" spans="13:13" x14ac:dyDescent="0.25">
      <c r="M9689" s="21"/>
    </row>
    <row r="9690" spans="13:13" x14ac:dyDescent="0.25">
      <c r="M9690" s="21"/>
    </row>
    <row r="9691" spans="13:13" x14ac:dyDescent="0.25">
      <c r="M9691" s="21"/>
    </row>
    <row r="9692" spans="13:13" x14ac:dyDescent="0.25">
      <c r="M9692" s="21"/>
    </row>
    <row r="9693" spans="13:13" x14ac:dyDescent="0.25">
      <c r="M9693" s="21"/>
    </row>
    <row r="9694" spans="13:13" x14ac:dyDescent="0.25">
      <c r="M9694" s="21"/>
    </row>
    <row r="9695" spans="13:13" x14ac:dyDescent="0.25">
      <c r="M9695" s="21"/>
    </row>
    <row r="9696" spans="13:13" x14ac:dyDescent="0.25">
      <c r="M9696" s="21"/>
    </row>
    <row r="9697" spans="13:13" x14ac:dyDescent="0.25">
      <c r="M9697" s="21"/>
    </row>
    <row r="9698" spans="13:13" x14ac:dyDescent="0.25">
      <c r="M9698" s="21"/>
    </row>
    <row r="9699" spans="13:13" x14ac:dyDescent="0.25">
      <c r="M9699" s="21"/>
    </row>
    <row r="9700" spans="13:13" x14ac:dyDescent="0.25">
      <c r="M9700" s="21"/>
    </row>
    <row r="9701" spans="13:13" x14ac:dyDescent="0.25">
      <c r="M9701" s="21"/>
    </row>
    <row r="9702" spans="13:13" x14ac:dyDescent="0.25">
      <c r="M9702" s="21"/>
    </row>
    <row r="9703" spans="13:13" x14ac:dyDescent="0.25">
      <c r="M9703" s="21"/>
    </row>
    <row r="9704" spans="13:13" x14ac:dyDescent="0.25">
      <c r="M9704" s="21"/>
    </row>
    <row r="9705" spans="13:13" x14ac:dyDescent="0.25">
      <c r="M9705" s="21"/>
    </row>
    <row r="9706" spans="13:13" x14ac:dyDescent="0.25">
      <c r="M9706" s="21"/>
    </row>
    <row r="9707" spans="13:13" x14ac:dyDescent="0.25">
      <c r="M9707" s="21"/>
    </row>
    <row r="9708" spans="13:13" x14ac:dyDescent="0.25">
      <c r="M9708" s="21"/>
    </row>
    <row r="9709" spans="13:13" x14ac:dyDescent="0.25">
      <c r="M9709" s="21"/>
    </row>
    <row r="9710" spans="13:13" x14ac:dyDescent="0.25">
      <c r="M9710" s="21"/>
    </row>
    <row r="9711" spans="13:13" x14ac:dyDescent="0.25">
      <c r="M9711" s="21"/>
    </row>
    <row r="9712" spans="13:13" x14ac:dyDescent="0.25">
      <c r="M9712" s="21"/>
    </row>
    <row r="9713" spans="13:13" x14ac:dyDescent="0.25">
      <c r="M9713" s="21"/>
    </row>
    <row r="9714" spans="13:13" x14ac:dyDescent="0.25">
      <c r="M9714" s="21"/>
    </row>
    <row r="9715" spans="13:13" x14ac:dyDescent="0.25">
      <c r="M9715" s="21"/>
    </row>
    <row r="9716" spans="13:13" x14ac:dyDescent="0.25">
      <c r="M9716" s="21"/>
    </row>
    <row r="9717" spans="13:13" x14ac:dyDescent="0.25">
      <c r="M9717" s="21"/>
    </row>
    <row r="9718" spans="13:13" x14ac:dyDescent="0.25">
      <c r="M9718" s="21"/>
    </row>
    <row r="9719" spans="13:13" x14ac:dyDescent="0.25">
      <c r="M9719" s="21"/>
    </row>
    <row r="9720" spans="13:13" x14ac:dyDescent="0.25">
      <c r="M9720" s="21"/>
    </row>
    <row r="9721" spans="13:13" x14ac:dyDescent="0.25">
      <c r="M9721" s="21"/>
    </row>
    <row r="9722" spans="13:13" x14ac:dyDescent="0.25">
      <c r="M9722" s="21"/>
    </row>
    <row r="9723" spans="13:13" x14ac:dyDescent="0.25">
      <c r="M9723" s="21"/>
    </row>
    <row r="9724" spans="13:13" x14ac:dyDescent="0.25">
      <c r="M9724" s="21"/>
    </row>
    <row r="9725" spans="13:13" x14ac:dyDescent="0.25">
      <c r="M9725" s="21"/>
    </row>
    <row r="9726" spans="13:13" x14ac:dyDescent="0.25">
      <c r="M9726" s="21"/>
    </row>
    <row r="9727" spans="13:13" x14ac:dyDescent="0.25">
      <c r="M9727" s="21"/>
    </row>
    <row r="9728" spans="13:13" x14ac:dyDescent="0.25">
      <c r="M9728" s="21"/>
    </row>
    <row r="9729" spans="13:13" x14ac:dyDescent="0.25">
      <c r="M9729" s="21"/>
    </row>
    <row r="9730" spans="13:13" x14ac:dyDescent="0.25">
      <c r="M9730" s="21"/>
    </row>
    <row r="9731" spans="13:13" x14ac:dyDescent="0.25">
      <c r="M9731" s="21"/>
    </row>
    <row r="9732" spans="13:13" x14ac:dyDescent="0.25">
      <c r="M9732" s="21"/>
    </row>
    <row r="9733" spans="13:13" x14ac:dyDescent="0.25">
      <c r="M9733" s="21"/>
    </row>
    <row r="9734" spans="13:13" x14ac:dyDescent="0.25">
      <c r="M9734" s="21"/>
    </row>
    <row r="9735" spans="13:13" x14ac:dyDescent="0.25">
      <c r="M9735" s="21"/>
    </row>
    <row r="9736" spans="13:13" x14ac:dyDescent="0.25">
      <c r="M9736" s="21"/>
    </row>
    <row r="9737" spans="13:13" x14ac:dyDescent="0.25">
      <c r="M9737" s="21"/>
    </row>
    <row r="9738" spans="13:13" x14ac:dyDescent="0.25">
      <c r="M9738" s="21"/>
    </row>
    <row r="9739" spans="13:13" x14ac:dyDescent="0.25">
      <c r="M9739" s="21"/>
    </row>
    <row r="9740" spans="13:13" x14ac:dyDescent="0.25">
      <c r="M9740" s="21"/>
    </row>
    <row r="9741" spans="13:13" x14ac:dyDescent="0.25">
      <c r="M9741" s="21"/>
    </row>
    <row r="9742" spans="13:13" x14ac:dyDescent="0.25">
      <c r="M9742" s="21"/>
    </row>
    <row r="9743" spans="13:13" x14ac:dyDescent="0.25">
      <c r="M9743" s="21"/>
    </row>
    <row r="9744" spans="13:13" x14ac:dyDescent="0.25">
      <c r="M9744" s="21"/>
    </row>
    <row r="9745" spans="13:13" x14ac:dyDescent="0.25">
      <c r="M9745" s="21"/>
    </row>
    <row r="9746" spans="13:13" x14ac:dyDescent="0.25">
      <c r="M9746" s="21"/>
    </row>
    <row r="9747" spans="13:13" x14ac:dyDescent="0.25">
      <c r="M9747" s="21"/>
    </row>
    <row r="9748" spans="13:13" x14ac:dyDescent="0.25">
      <c r="M9748" s="21"/>
    </row>
    <row r="9749" spans="13:13" x14ac:dyDescent="0.25">
      <c r="M9749" s="21"/>
    </row>
    <row r="9750" spans="13:13" x14ac:dyDescent="0.25">
      <c r="M9750" s="21"/>
    </row>
    <row r="9751" spans="13:13" x14ac:dyDescent="0.25">
      <c r="M9751" s="21"/>
    </row>
    <row r="9752" spans="13:13" x14ac:dyDescent="0.25">
      <c r="M9752" s="21"/>
    </row>
    <row r="9753" spans="13:13" x14ac:dyDescent="0.25">
      <c r="M9753" s="21"/>
    </row>
    <row r="9754" spans="13:13" x14ac:dyDescent="0.25">
      <c r="M9754" s="21"/>
    </row>
    <row r="9755" spans="13:13" x14ac:dyDescent="0.25">
      <c r="M9755" s="21"/>
    </row>
    <row r="9756" spans="13:13" x14ac:dyDescent="0.25">
      <c r="M9756" s="21"/>
    </row>
    <row r="9757" spans="13:13" x14ac:dyDescent="0.25">
      <c r="M9757" s="21"/>
    </row>
    <row r="9758" spans="13:13" x14ac:dyDescent="0.25">
      <c r="M9758" s="21"/>
    </row>
    <row r="9759" spans="13:13" x14ac:dyDescent="0.25">
      <c r="M9759" s="21"/>
    </row>
    <row r="9760" spans="13:13" x14ac:dyDescent="0.25">
      <c r="M9760" s="21"/>
    </row>
    <row r="9761" spans="13:13" x14ac:dyDescent="0.25">
      <c r="M9761" s="21"/>
    </row>
    <row r="9762" spans="13:13" x14ac:dyDescent="0.25">
      <c r="M9762" s="21"/>
    </row>
    <row r="9763" spans="13:13" x14ac:dyDescent="0.25">
      <c r="M9763" s="21"/>
    </row>
    <row r="9764" spans="13:13" x14ac:dyDescent="0.25">
      <c r="M9764" s="21"/>
    </row>
    <row r="9765" spans="13:13" x14ac:dyDescent="0.25">
      <c r="M9765" s="21"/>
    </row>
    <row r="9766" spans="13:13" x14ac:dyDescent="0.25">
      <c r="M9766" s="21"/>
    </row>
    <row r="9767" spans="13:13" x14ac:dyDescent="0.25">
      <c r="M9767" s="21"/>
    </row>
    <row r="9768" spans="13:13" x14ac:dyDescent="0.25">
      <c r="M9768" s="21"/>
    </row>
    <row r="9769" spans="13:13" x14ac:dyDescent="0.25">
      <c r="M9769" s="21"/>
    </row>
    <row r="9770" spans="13:13" x14ac:dyDescent="0.25">
      <c r="M9770" s="21"/>
    </row>
    <row r="9771" spans="13:13" x14ac:dyDescent="0.25">
      <c r="M9771" s="21"/>
    </row>
    <row r="9772" spans="13:13" x14ac:dyDescent="0.25">
      <c r="M9772" s="21"/>
    </row>
    <row r="9773" spans="13:13" x14ac:dyDescent="0.25">
      <c r="M9773" s="21"/>
    </row>
    <row r="9774" spans="13:13" x14ac:dyDescent="0.25">
      <c r="M9774" s="21"/>
    </row>
    <row r="9775" spans="13:13" x14ac:dyDescent="0.25">
      <c r="M9775" s="21"/>
    </row>
    <row r="9776" spans="13:13" x14ac:dyDescent="0.25">
      <c r="M9776" s="21"/>
    </row>
    <row r="9777" spans="13:13" x14ac:dyDescent="0.25">
      <c r="M9777" s="21"/>
    </row>
    <row r="9778" spans="13:13" x14ac:dyDescent="0.25">
      <c r="M9778" s="21"/>
    </row>
    <row r="9779" spans="13:13" x14ac:dyDescent="0.25">
      <c r="M9779" s="21"/>
    </row>
    <row r="9780" spans="13:13" x14ac:dyDescent="0.25">
      <c r="M9780" s="21"/>
    </row>
    <row r="9781" spans="13:13" x14ac:dyDescent="0.25">
      <c r="M9781" s="21"/>
    </row>
    <row r="9782" spans="13:13" x14ac:dyDescent="0.25">
      <c r="M9782" s="21"/>
    </row>
    <row r="9783" spans="13:13" x14ac:dyDescent="0.25">
      <c r="M9783" s="21"/>
    </row>
    <row r="9784" spans="13:13" x14ac:dyDescent="0.25">
      <c r="M9784" s="21"/>
    </row>
    <row r="9785" spans="13:13" x14ac:dyDescent="0.25">
      <c r="M9785" s="21"/>
    </row>
    <row r="9786" spans="13:13" x14ac:dyDescent="0.25">
      <c r="M9786" s="21"/>
    </row>
    <row r="9787" spans="13:13" x14ac:dyDescent="0.25">
      <c r="M9787" s="21"/>
    </row>
    <row r="9788" spans="13:13" x14ac:dyDescent="0.25">
      <c r="M9788" s="21"/>
    </row>
    <row r="9789" spans="13:13" x14ac:dyDescent="0.25">
      <c r="M9789" s="21"/>
    </row>
    <row r="9790" spans="13:13" x14ac:dyDescent="0.25">
      <c r="M9790" s="21"/>
    </row>
    <row r="9791" spans="13:13" x14ac:dyDescent="0.25">
      <c r="M9791" s="21"/>
    </row>
    <row r="9792" spans="13:13" x14ac:dyDescent="0.25">
      <c r="M9792" s="21"/>
    </row>
    <row r="9793" spans="13:13" x14ac:dyDescent="0.25">
      <c r="M9793" s="21"/>
    </row>
    <row r="9794" spans="13:13" x14ac:dyDescent="0.25">
      <c r="M9794" s="21"/>
    </row>
    <row r="9795" spans="13:13" x14ac:dyDescent="0.25">
      <c r="M9795" s="21"/>
    </row>
    <row r="9796" spans="13:13" x14ac:dyDescent="0.25">
      <c r="M9796" s="21"/>
    </row>
    <row r="9797" spans="13:13" x14ac:dyDescent="0.25">
      <c r="M9797" s="21"/>
    </row>
    <row r="9798" spans="13:13" x14ac:dyDescent="0.25">
      <c r="M9798" s="21"/>
    </row>
    <row r="9799" spans="13:13" x14ac:dyDescent="0.25">
      <c r="M9799" s="21"/>
    </row>
    <row r="9800" spans="13:13" x14ac:dyDescent="0.25">
      <c r="M9800" s="21"/>
    </row>
    <row r="9801" spans="13:13" x14ac:dyDescent="0.25">
      <c r="M9801" s="21"/>
    </row>
    <row r="9802" spans="13:13" x14ac:dyDescent="0.25">
      <c r="M9802" s="21"/>
    </row>
    <row r="9803" spans="13:13" x14ac:dyDescent="0.25">
      <c r="M9803" s="21"/>
    </row>
    <row r="9804" spans="13:13" x14ac:dyDescent="0.25">
      <c r="M9804" s="21"/>
    </row>
    <row r="9805" spans="13:13" x14ac:dyDescent="0.25">
      <c r="M9805" s="21"/>
    </row>
    <row r="9806" spans="13:13" x14ac:dyDescent="0.25">
      <c r="M9806" s="21"/>
    </row>
    <row r="9807" spans="13:13" x14ac:dyDescent="0.25">
      <c r="M9807" s="21"/>
    </row>
    <row r="9808" spans="13:13" x14ac:dyDescent="0.25">
      <c r="M9808" s="21"/>
    </row>
    <row r="9809" spans="13:13" x14ac:dyDescent="0.25">
      <c r="M9809" s="21"/>
    </row>
    <row r="9810" spans="13:13" x14ac:dyDescent="0.25">
      <c r="M9810" s="21"/>
    </row>
    <row r="9811" spans="13:13" x14ac:dyDescent="0.25">
      <c r="M9811" s="21"/>
    </row>
    <row r="9812" spans="13:13" x14ac:dyDescent="0.25">
      <c r="M9812" s="21"/>
    </row>
    <row r="9813" spans="13:13" x14ac:dyDescent="0.25">
      <c r="M9813" s="21"/>
    </row>
    <row r="9814" spans="13:13" x14ac:dyDescent="0.25">
      <c r="M9814" s="21"/>
    </row>
    <row r="9815" spans="13:13" x14ac:dyDescent="0.25">
      <c r="M9815" s="21"/>
    </row>
    <row r="9816" spans="13:13" x14ac:dyDescent="0.25">
      <c r="M9816" s="21"/>
    </row>
    <row r="9817" spans="13:13" x14ac:dyDescent="0.25">
      <c r="M9817" s="21"/>
    </row>
    <row r="9818" spans="13:13" x14ac:dyDescent="0.25">
      <c r="M9818" s="21"/>
    </row>
    <row r="9819" spans="13:13" x14ac:dyDescent="0.25">
      <c r="M9819" s="21"/>
    </row>
    <row r="9820" spans="13:13" x14ac:dyDescent="0.25">
      <c r="M9820" s="21"/>
    </row>
    <row r="9821" spans="13:13" x14ac:dyDescent="0.25">
      <c r="M9821" s="21"/>
    </row>
    <row r="9822" spans="13:13" x14ac:dyDescent="0.25">
      <c r="M9822" s="21"/>
    </row>
    <row r="9823" spans="13:13" x14ac:dyDescent="0.25">
      <c r="M9823" s="21"/>
    </row>
    <row r="9824" spans="13:13" x14ac:dyDescent="0.25">
      <c r="M9824" s="21"/>
    </row>
    <row r="9825" spans="13:13" x14ac:dyDescent="0.25">
      <c r="M9825" s="21"/>
    </row>
    <row r="9826" spans="13:13" x14ac:dyDescent="0.25">
      <c r="M9826" s="21"/>
    </row>
    <row r="9827" spans="13:13" x14ac:dyDescent="0.25">
      <c r="M9827" s="21"/>
    </row>
    <row r="9828" spans="13:13" x14ac:dyDescent="0.25">
      <c r="M9828" s="21"/>
    </row>
    <row r="9829" spans="13:13" x14ac:dyDescent="0.25">
      <c r="M9829" s="21"/>
    </row>
    <row r="9830" spans="13:13" x14ac:dyDescent="0.25">
      <c r="M9830" s="21"/>
    </row>
    <row r="9831" spans="13:13" x14ac:dyDescent="0.25">
      <c r="M9831" s="21"/>
    </row>
    <row r="9832" spans="13:13" x14ac:dyDescent="0.25">
      <c r="M9832" s="21"/>
    </row>
    <row r="9833" spans="13:13" x14ac:dyDescent="0.25">
      <c r="M9833" s="21"/>
    </row>
    <row r="9834" spans="13:13" x14ac:dyDescent="0.25">
      <c r="M9834" s="21"/>
    </row>
    <row r="9835" spans="13:13" x14ac:dyDescent="0.25">
      <c r="M9835" s="21"/>
    </row>
    <row r="9836" spans="13:13" x14ac:dyDescent="0.25">
      <c r="M9836" s="21"/>
    </row>
    <row r="9837" spans="13:13" x14ac:dyDescent="0.25">
      <c r="M9837" s="21"/>
    </row>
    <row r="9838" spans="13:13" x14ac:dyDescent="0.25">
      <c r="M9838" s="21"/>
    </row>
    <row r="9839" spans="13:13" x14ac:dyDescent="0.25">
      <c r="M9839" s="21"/>
    </row>
    <row r="9840" spans="13:13" x14ac:dyDescent="0.25">
      <c r="M9840" s="21"/>
    </row>
    <row r="9841" spans="13:13" x14ac:dyDescent="0.25">
      <c r="M9841" s="21"/>
    </row>
    <row r="9842" spans="13:13" x14ac:dyDescent="0.25">
      <c r="M9842" s="21"/>
    </row>
    <row r="9843" spans="13:13" x14ac:dyDescent="0.25">
      <c r="M9843" s="21"/>
    </row>
    <row r="9844" spans="13:13" x14ac:dyDescent="0.25">
      <c r="M9844" s="21"/>
    </row>
    <row r="9845" spans="13:13" x14ac:dyDescent="0.25">
      <c r="M9845" s="21"/>
    </row>
    <row r="9846" spans="13:13" x14ac:dyDescent="0.25">
      <c r="M9846" s="21"/>
    </row>
    <row r="9847" spans="13:13" x14ac:dyDescent="0.25">
      <c r="M9847" s="21"/>
    </row>
    <row r="9848" spans="13:13" x14ac:dyDescent="0.25">
      <c r="M9848" s="21"/>
    </row>
    <row r="9849" spans="13:13" x14ac:dyDescent="0.25">
      <c r="M9849" s="21"/>
    </row>
    <row r="9850" spans="13:13" x14ac:dyDescent="0.25">
      <c r="M9850" s="21"/>
    </row>
    <row r="9851" spans="13:13" x14ac:dyDescent="0.25">
      <c r="M9851" s="21"/>
    </row>
    <row r="9852" spans="13:13" x14ac:dyDescent="0.25">
      <c r="M9852" s="21"/>
    </row>
    <row r="9853" spans="13:13" x14ac:dyDescent="0.25">
      <c r="M9853" s="21"/>
    </row>
    <row r="9854" spans="13:13" x14ac:dyDescent="0.25">
      <c r="M9854" s="21"/>
    </row>
    <row r="9855" spans="13:13" x14ac:dyDescent="0.25">
      <c r="M9855" s="21"/>
    </row>
    <row r="9856" spans="13:13" x14ac:dyDescent="0.25">
      <c r="M9856" s="21"/>
    </row>
    <row r="9857" spans="13:13" x14ac:dyDescent="0.25">
      <c r="M9857" s="21"/>
    </row>
    <row r="9858" spans="13:13" x14ac:dyDescent="0.25">
      <c r="M9858" s="21"/>
    </row>
    <row r="9859" spans="13:13" x14ac:dyDescent="0.25">
      <c r="M9859" s="21"/>
    </row>
    <row r="9860" spans="13:13" x14ac:dyDescent="0.25">
      <c r="M9860" s="21"/>
    </row>
    <row r="9861" spans="13:13" x14ac:dyDescent="0.25">
      <c r="M9861" s="21"/>
    </row>
    <row r="9862" spans="13:13" x14ac:dyDescent="0.25">
      <c r="M9862" s="21"/>
    </row>
    <row r="9863" spans="13:13" x14ac:dyDescent="0.25">
      <c r="M9863" s="21"/>
    </row>
    <row r="9864" spans="13:13" x14ac:dyDescent="0.25">
      <c r="M9864" s="21"/>
    </row>
    <row r="9865" spans="13:13" x14ac:dyDescent="0.25">
      <c r="M9865" s="21"/>
    </row>
    <row r="9866" spans="13:13" x14ac:dyDescent="0.25">
      <c r="M9866" s="21"/>
    </row>
    <row r="9867" spans="13:13" x14ac:dyDescent="0.25">
      <c r="M9867" s="21"/>
    </row>
    <row r="9868" spans="13:13" x14ac:dyDescent="0.25">
      <c r="M9868" s="21"/>
    </row>
    <row r="9869" spans="13:13" x14ac:dyDescent="0.25">
      <c r="M9869" s="21"/>
    </row>
    <row r="9870" spans="13:13" x14ac:dyDescent="0.25">
      <c r="M9870" s="21"/>
    </row>
    <row r="9871" spans="13:13" x14ac:dyDescent="0.25">
      <c r="M9871" s="21"/>
    </row>
    <row r="9872" spans="13:13" x14ac:dyDescent="0.25">
      <c r="M9872" s="21"/>
    </row>
    <row r="9873" spans="13:13" x14ac:dyDescent="0.25">
      <c r="M9873" s="21"/>
    </row>
    <row r="9874" spans="13:13" x14ac:dyDescent="0.25">
      <c r="M9874" s="21"/>
    </row>
    <row r="9875" spans="13:13" x14ac:dyDescent="0.25">
      <c r="M9875" s="21"/>
    </row>
    <row r="9876" spans="13:13" x14ac:dyDescent="0.25">
      <c r="M9876" s="21"/>
    </row>
    <row r="9877" spans="13:13" x14ac:dyDescent="0.25">
      <c r="M9877" s="21"/>
    </row>
    <row r="9878" spans="13:13" x14ac:dyDescent="0.25">
      <c r="M9878" s="21"/>
    </row>
    <row r="9879" spans="13:13" x14ac:dyDescent="0.25">
      <c r="M9879" s="21"/>
    </row>
    <row r="9880" spans="13:13" x14ac:dyDescent="0.25">
      <c r="M9880" s="21"/>
    </row>
    <row r="9881" spans="13:13" x14ac:dyDescent="0.25">
      <c r="M9881" s="21"/>
    </row>
    <row r="9882" spans="13:13" x14ac:dyDescent="0.25">
      <c r="M9882" s="21"/>
    </row>
    <row r="9883" spans="13:13" x14ac:dyDescent="0.25">
      <c r="M9883" s="21"/>
    </row>
    <row r="9884" spans="13:13" x14ac:dyDescent="0.25">
      <c r="M9884" s="21"/>
    </row>
    <row r="9885" spans="13:13" x14ac:dyDescent="0.25">
      <c r="M9885" s="21"/>
    </row>
    <row r="9886" spans="13:13" x14ac:dyDescent="0.25">
      <c r="M9886" s="21"/>
    </row>
    <row r="9887" spans="13:13" x14ac:dyDescent="0.25">
      <c r="M9887" s="21"/>
    </row>
    <row r="9888" spans="13:13" x14ac:dyDescent="0.25">
      <c r="M9888" s="21"/>
    </row>
    <row r="9889" spans="13:13" x14ac:dyDescent="0.25">
      <c r="M9889" s="21"/>
    </row>
    <row r="9890" spans="13:13" x14ac:dyDescent="0.25">
      <c r="M9890" s="21"/>
    </row>
    <row r="9891" spans="13:13" x14ac:dyDescent="0.25">
      <c r="M9891" s="21"/>
    </row>
    <row r="9892" spans="13:13" x14ac:dyDescent="0.25">
      <c r="M9892" s="21"/>
    </row>
    <row r="9893" spans="13:13" x14ac:dyDescent="0.25">
      <c r="M9893" s="21"/>
    </row>
    <row r="9894" spans="13:13" x14ac:dyDescent="0.25">
      <c r="M9894" s="21"/>
    </row>
    <row r="9895" spans="13:13" x14ac:dyDescent="0.25">
      <c r="M9895" s="21"/>
    </row>
    <row r="9896" spans="13:13" x14ac:dyDescent="0.25">
      <c r="M9896" s="21"/>
    </row>
    <row r="9897" spans="13:13" x14ac:dyDescent="0.25">
      <c r="M9897" s="21"/>
    </row>
    <row r="9898" spans="13:13" x14ac:dyDescent="0.25">
      <c r="M9898" s="21"/>
    </row>
    <row r="9899" spans="13:13" x14ac:dyDescent="0.25">
      <c r="M9899" s="21"/>
    </row>
    <row r="9900" spans="13:13" x14ac:dyDescent="0.25">
      <c r="M9900" s="21"/>
    </row>
    <row r="9901" spans="13:13" x14ac:dyDescent="0.25">
      <c r="M9901" s="21"/>
    </row>
    <row r="9902" spans="13:13" x14ac:dyDescent="0.25">
      <c r="M9902" s="21"/>
    </row>
    <row r="9903" spans="13:13" x14ac:dyDescent="0.25">
      <c r="M9903" s="21"/>
    </row>
    <row r="9904" spans="13:13" x14ac:dyDescent="0.25">
      <c r="M9904" s="21"/>
    </row>
    <row r="9905" spans="13:13" x14ac:dyDescent="0.25">
      <c r="M9905" s="21"/>
    </row>
    <row r="9906" spans="13:13" x14ac:dyDescent="0.25">
      <c r="M9906" s="21"/>
    </row>
    <row r="9907" spans="13:13" x14ac:dyDescent="0.25">
      <c r="M9907" s="21"/>
    </row>
    <row r="9908" spans="13:13" x14ac:dyDescent="0.25">
      <c r="M9908" s="21"/>
    </row>
    <row r="9909" spans="13:13" x14ac:dyDescent="0.25">
      <c r="M9909" s="21"/>
    </row>
    <row r="9910" spans="13:13" x14ac:dyDescent="0.25">
      <c r="M9910" s="21"/>
    </row>
    <row r="9911" spans="13:13" x14ac:dyDescent="0.25">
      <c r="M9911" s="21"/>
    </row>
    <row r="9912" spans="13:13" x14ac:dyDescent="0.25">
      <c r="M9912" s="21"/>
    </row>
    <row r="9913" spans="13:13" x14ac:dyDescent="0.25">
      <c r="M9913" s="21"/>
    </row>
    <row r="9914" spans="13:13" x14ac:dyDescent="0.25">
      <c r="M9914" s="21"/>
    </row>
    <row r="9915" spans="13:13" x14ac:dyDescent="0.25">
      <c r="M9915" s="21"/>
    </row>
    <row r="9916" spans="13:13" x14ac:dyDescent="0.25">
      <c r="M9916" s="21"/>
    </row>
    <row r="9917" spans="13:13" x14ac:dyDescent="0.25">
      <c r="M9917" s="21"/>
    </row>
    <row r="9918" spans="13:13" x14ac:dyDescent="0.25">
      <c r="M9918" s="21"/>
    </row>
    <row r="9919" spans="13:13" x14ac:dyDescent="0.25">
      <c r="M9919" s="21"/>
    </row>
    <row r="9920" spans="13:13" x14ac:dyDescent="0.25">
      <c r="M9920" s="21"/>
    </row>
    <row r="9921" spans="13:13" x14ac:dyDescent="0.25">
      <c r="M9921" s="21"/>
    </row>
    <row r="9922" spans="13:13" x14ac:dyDescent="0.25">
      <c r="M9922" s="21"/>
    </row>
    <row r="9923" spans="13:13" x14ac:dyDescent="0.25">
      <c r="M9923" s="21"/>
    </row>
    <row r="9924" spans="13:13" x14ac:dyDescent="0.25">
      <c r="M9924" s="21"/>
    </row>
    <row r="9925" spans="13:13" x14ac:dyDescent="0.25">
      <c r="M9925" s="21"/>
    </row>
    <row r="9926" spans="13:13" x14ac:dyDescent="0.25">
      <c r="M9926" s="21"/>
    </row>
    <row r="9927" spans="13:13" x14ac:dyDescent="0.25">
      <c r="M9927" s="21"/>
    </row>
    <row r="9928" spans="13:13" x14ac:dyDescent="0.25">
      <c r="M9928" s="21"/>
    </row>
    <row r="9929" spans="13:13" x14ac:dyDescent="0.25">
      <c r="M9929" s="21"/>
    </row>
    <row r="9930" spans="13:13" x14ac:dyDescent="0.25">
      <c r="M9930" s="21"/>
    </row>
    <row r="9931" spans="13:13" x14ac:dyDescent="0.25">
      <c r="M9931" s="21"/>
    </row>
    <row r="9932" spans="13:13" x14ac:dyDescent="0.25">
      <c r="M9932" s="21"/>
    </row>
    <row r="9933" spans="13:13" x14ac:dyDescent="0.25">
      <c r="M9933" s="21"/>
    </row>
    <row r="9934" spans="13:13" x14ac:dyDescent="0.25">
      <c r="M9934" s="21"/>
    </row>
    <row r="9935" spans="13:13" x14ac:dyDescent="0.25">
      <c r="M9935" s="21"/>
    </row>
    <row r="9936" spans="13:13" x14ac:dyDescent="0.25">
      <c r="M9936" s="21"/>
    </row>
    <row r="9937" spans="13:13" x14ac:dyDescent="0.25">
      <c r="M9937" s="21"/>
    </row>
    <row r="9938" spans="13:13" x14ac:dyDescent="0.25">
      <c r="M9938" s="21"/>
    </row>
    <row r="9939" spans="13:13" x14ac:dyDescent="0.25">
      <c r="M9939" s="21"/>
    </row>
    <row r="9940" spans="13:13" x14ac:dyDescent="0.25">
      <c r="M9940" s="21"/>
    </row>
    <row r="9941" spans="13:13" x14ac:dyDescent="0.25">
      <c r="M9941" s="21"/>
    </row>
    <row r="9942" spans="13:13" x14ac:dyDescent="0.25">
      <c r="M9942" s="21"/>
    </row>
    <row r="9943" spans="13:13" x14ac:dyDescent="0.25">
      <c r="M9943" s="21"/>
    </row>
    <row r="9944" spans="13:13" x14ac:dyDescent="0.25">
      <c r="M9944" s="21"/>
    </row>
    <row r="9945" spans="13:13" x14ac:dyDescent="0.25">
      <c r="M9945" s="21"/>
    </row>
    <row r="9946" spans="13:13" x14ac:dyDescent="0.25">
      <c r="M9946" s="21"/>
    </row>
    <row r="9947" spans="13:13" x14ac:dyDescent="0.25">
      <c r="M9947" s="21"/>
    </row>
    <row r="9948" spans="13:13" x14ac:dyDescent="0.25">
      <c r="M9948" s="21"/>
    </row>
    <row r="9949" spans="13:13" x14ac:dyDescent="0.25">
      <c r="M9949" s="21"/>
    </row>
    <row r="9950" spans="13:13" x14ac:dyDescent="0.25">
      <c r="M9950" s="21"/>
    </row>
    <row r="9951" spans="13:13" x14ac:dyDescent="0.25">
      <c r="M9951" s="21"/>
    </row>
    <row r="9952" spans="13:13" x14ac:dyDescent="0.25">
      <c r="M9952" s="21"/>
    </row>
    <row r="9953" spans="13:13" x14ac:dyDescent="0.25">
      <c r="M9953" s="21"/>
    </row>
    <row r="9954" spans="13:13" x14ac:dyDescent="0.25">
      <c r="M9954" s="21"/>
    </row>
    <row r="9955" spans="13:13" x14ac:dyDescent="0.25">
      <c r="M9955" s="21"/>
    </row>
    <row r="9956" spans="13:13" x14ac:dyDescent="0.25">
      <c r="M9956" s="21"/>
    </row>
    <row r="9957" spans="13:13" x14ac:dyDescent="0.25">
      <c r="M9957" s="21"/>
    </row>
    <row r="9958" spans="13:13" x14ac:dyDescent="0.25">
      <c r="M9958" s="21"/>
    </row>
    <row r="9959" spans="13:13" x14ac:dyDescent="0.25">
      <c r="M9959" s="21"/>
    </row>
    <row r="9960" spans="13:13" x14ac:dyDescent="0.25">
      <c r="M9960" s="21"/>
    </row>
    <row r="9961" spans="13:13" x14ac:dyDescent="0.25">
      <c r="M9961" s="21"/>
    </row>
    <row r="9962" spans="13:13" x14ac:dyDescent="0.25">
      <c r="M9962" s="21"/>
    </row>
    <row r="9963" spans="13:13" x14ac:dyDescent="0.25">
      <c r="M9963" s="21"/>
    </row>
    <row r="9964" spans="13:13" x14ac:dyDescent="0.25">
      <c r="M9964" s="21"/>
    </row>
    <row r="9965" spans="13:13" x14ac:dyDescent="0.25">
      <c r="M9965" s="21"/>
    </row>
    <row r="9966" spans="13:13" x14ac:dyDescent="0.25">
      <c r="M9966" s="21"/>
    </row>
    <row r="9967" spans="13:13" x14ac:dyDescent="0.25">
      <c r="M9967" s="21"/>
    </row>
    <row r="9968" spans="13:13" x14ac:dyDescent="0.25">
      <c r="M9968" s="21"/>
    </row>
    <row r="9969" spans="13:13" x14ac:dyDescent="0.25">
      <c r="M9969" s="21"/>
    </row>
    <row r="9970" spans="13:13" x14ac:dyDescent="0.25">
      <c r="M9970" s="21"/>
    </row>
    <row r="9971" spans="13:13" x14ac:dyDescent="0.25">
      <c r="M9971" s="21"/>
    </row>
    <row r="9972" spans="13:13" x14ac:dyDescent="0.25">
      <c r="M9972" s="21"/>
    </row>
    <row r="9973" spans="13:13" x14ac:dyDescent="0.25">
      <c r="M9973" s="21"/>
    </row>
    <row r="9974" spans="13:13" x14ac:dyDescent="0.25">
      <c r="M9974" s="21"/>
    </row>
    <row r="9975" spans="13:13" x14ac:dyDescent="0.25">
      <c r="M9975" s="21"/>
    </row>
    <row r="9976" spans="13:13" x14ac:dyDescent="0.25">
      <c r="M9976" s="21"/>
    </row>
    <row r="9977" spans="13:13" x14ac:dyDescent="0.25">
      <c r="M9977" s="21"/>
    </row>
    <row r="9978" spans="13:13" x14ac:dyDescent="0.25">
      <c r="M9978" s="21"/>
    </row>
    <row r="9979" spans="13:13" x14ac:dyDescent="0.25">
      <c r="M9979" s="21"/>
    </row>
    <row r="9980" spans="13:13" x14ac:dyDescent="0.25">
      <c r="M9980" s="21"/>
    </row>
    <row r="9981" spans="13:13" x14ac:dyDescent="0.25">
      <c r="M9981" s="21"/>
    </row>
    <row r="9982" spans="13:13" x14ac:dyDescent="0.25">
      <c r="M9982" s="21"/>
    </row>
    <row r="9983" spans="13:13" x14ac:dyDescent="0.25">
      <c r="M9983" s="21"/>
    </row>
    <row r="9984" spans="13:13" x14ac:dyDescent="0.25">
      <c r="M9984" s="21"/>
    </row>
    <row r="9985" spans="13:13" x14ac:dyDescent="0.25">
      <c r="M9985" s="21"/>
    </row>
    <row r="9986" spans="13:13" x14ac:dyDescent="0.25">
      <c r="M9986" s="21"/>
    </row>
    <row r="9987" spans="13:13" x14ac:dyDescent="0.25">
      <c r="M9987" s="21"/>
    </row>
    <row r="9988" spans="13:13" x14ac:dyDescent="0.25">
      <c r="M9988" s="21"/>
    </row>
    <row r="9989" spans="13:13" x14ac:dyDescent="0.25">
      <c r="M9989" s="21"/>
    </row>
    <row r="9990" spans="13:13" x14ac:dyDescent="0.25">
      <c r="M9990" s="21"/>
    </row>
    <row r="9991" spans="13:13" x14ac:dyDescent="0.25">
      <c r="M9991" s="21"/>
    </row>
    <row r="9992" spans="13:13" x14ac:dyDescent="0.25">
      <c r="M9992" s="21"/>
    </row>
    <row r="9993" spans="13:13" x14ac:dyDescent="0.25">
      <c r="M9993" s="21"/>
    </row>
    <row r="9994" spans="13:13" x14ac:dyDescent="0.25">
      <c r="M9994" s="21"/>
    </row>
    <row r="9995" spans="13:13" x14ac:dyDescent="0.25">
      <c r="M9995" s="21"/>
    </row>
    <row r="9996" spans="13:13" x14ac:dyDescent="0.25">
      <c r="M9996" s="21"/>
    </row>
    <row r="9997" spans="13:13" x14ac:dyDescent="0.25">
      <c r="M9997" s="21"/>
    </row>
    <row r="9998" spans="13:13" x14ac:dyDescent="0.25">
      <c r="M9998" s="21"/>
    </row>
    <row r="9999" spans="13:13" x14ac:dyDescent="0.25">
      <c r="M9999" s="21"/>
    </row>
    <row r="10000" spans="13:13" x14ac:dyDescent="0.25">
      <c r="M10000" s="21"/>
    </row>
    <row r="10001" spans="13:13" x14ac:dyDescent="0.25">
      <c r="M10001" s="21"/>
    </row>
    <row r="10002" spans="13:13" x14ac:dyDescent="0.25">
      <c r="M10002" s="21"/>
    </row>
    <row r="10003" spans="13:13" x14ac:dyDescent="0.25">
      <c r="M10003" s="21"/>
    </row>
    <row r="10004" spans="13:13" x14ac:dyDescent="0.25">
      <c r="M10004" s="2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BFD45-75A1-4442-8E4A-4697AA6DC43F}">
  <sheetPr codeName="Sheet9"/>
  <dimension ref="B2:O10004"/>
  <sheetViews>
    <sheetView workbookViewId="0">
      <selection activeCell="G4" sqref="G4"/>
    </sheetView>
  </sheetViews>
  <sheetFormatPr defaultRowHeight="12.5" x14ac:dyDescent="0.25"/>
  <cols>
    <col min="3" max="3" width="9.81640625" customWidth="1"/>
    <col min="5" max="5" width="11.36328125" customWidth="1"/>
    <col min="13" max="13" width="29.453125" customWidth="1"/>
  </cols>
  <sheetData>
    <row r="2" spans="2:15" x14ac:dyDescent="0.25">
      <c r="B2" s="17" t="s">
        <v>28</v>
      </c>
      <c r="C2" s="17" t="s">
        <v>38</v>
      </c>
      <c r="D2" t="s">
        <v>0</v>
      </c>
      <c r="E2" t="s">
        <v>0</v>
      </c>
      <c r="F2" t="s">
        <v>1</v>
      </c>
      <c r="G2" t="s">
        <v>1</v>
      </c>
      <c r="H2" t="s">
        <v>2</v>
      </c>
      <c r="I2" t="s">
        <v>2</v>
      </c>
      <c r="J2" t="s">
        <v>3</v>
      </c>
      <c r="K2" t="s">
        <v>3</v>
      </c>
      <c r="M2" s="16" t="s">
        <v>32</v>
      </c>
    </row>
    <row r="3" spans="2:15" x14ac:dyDescent="0.25">
      <c r="M3" s="22">
        <f>AVERAGE(M5:M10004)</f>
        <v>2.0620899194561662</v>
      </c>
      <c r="N3" s="18" t="s">
        <v>34</v>
      </c>
      <c r="O3" s="19"/>
    </row>
    <row r="4" spans="2:15" x14ac:dyDescent="0.25">
      <c r="C4" t="s">
        <v>4</v>
      </c>
      <c r="D4">
        <f ca="1">RAND()</f>
        <v>0.4665294717826165</v>
      </c>
      <c r="E4" s="19">
        <f ca="1">IF(D4&gt;0.5,1,0)</f>
        <v>0</v>
      </c>
      <c r="F4">
        <f t="shared" ref="F4:J4" ca="1" si="0">RAND()</f>
        <v>0.62735184048286929</v>
      </c>
      <c r="G4" s="19">
        <f ca="1">1-E4</f>
        <v>1</v>
      </c>
      <c r="H4">
        <f ca="1">RAND()</f>
        <v>0.46257805656343143</v>
      </c>
      <c r="I4" s="1">
        <f t="shared" ref="I4:K19" ca="1" si="1">IF(H4&gt;0.5,1,0)</f>
        <v>0</v>
      </c>
      <c r="J4">
        <f t="shared" ca="1" si="0"/>
        <v>0.73883420734961758</v>
      </c>
      <c r="K4" s="1">
        <f ca="1">1-I4</f>
        <v>1</v>
      </c>
      <c r="M4" s="21">
        <v>1.2909944487358056</v>
      </c>
    </row>
    <row r="5" spans="2:15" x14ac:dyDescent="0.25">
      <c r="C5" t="s">
        <v>5</v>
      </c>
      <c r="D5">
        <f t="shared" ref="D5:J19" ca="1" si="2">RAND()</f>
        <v>0.84489345851321473</v>
      </c>
      <c r="E5" s="19">
        <f t="shared" ref="E5:G19" ca="1" si="3">IF(D5&gt;0.5,1,0)</f>
        <v>1</v>
      </c>
      <c r="F5">
        <f t="shared" ca="1" si="2"/>
        <v>0.9317354241418776</v>
      </c>
      <c r="G5" s="19">
        <f ca="1">1-E5</f>
        <v>0</v>
      </c>
      <c r="H5">
        <f t="shared" ca="1" si="2"/>
        <v>0.52034796057602639</v>
      </c>
      <c r="I5" s="1">
        <f t="shared" ca="1" si="1"/>
        <v>1</v>
      </c>
      <c r="J5">
        <f t="shared" ca="1" si="2"/>
        <v>0.92289547026605889</v>
      </c>
      <c r="K5" s="1">
        <f t="shared" ref="K5:K7" ca="1" si="4">1-I5</f>
        <v>0</v>
      </c>
      <c r="M5" s="21">
        <v>1</v>
      </c>
    </row>
    <row r="6" spans="2:15" x14ac:dyDescent="0.25">
      <c r="C6" t="s">
        <v>6</v>
      </c>
      <c r="D6">
        <f t="shared" ca="1" si="2"/>
        <v>0.13037644335749954</v>
      </c>
      <c r="E6" s="19">
        <f t="shared" ca="1" si="3"/>
        <v>0</v>
      </c>
      <c r="F6">
        <f t="shared" ca="1" si="2"/>
        <v>0.72496480189553025</v>
      </c>
      <c r="G6" s="19">
        <f t="shared" ref="G6:I8" ca="1" si="5">1-E6</f>
        <v>1</v>
      </c>
      <c r="H6">
        <f t="shared" ca="1" si="2"/>
        <v>0.15437343778805501</v>
      </c>
      <c r="I6" s="1">
        <f t="shared" ca="1" si="1"/>
        <v>0</v>
      </c>
      <c r="J6">
        <f t="shared" ca="1" si="2"/>
        <v>0.18757142622395895</v>
      </c>
      <c r="K6" s="1">
        <f t="shared" ca="1" si="4"/>
        <v>1</v>
      </c>
      <c r="M6" s="21">
        <v>1</v>
      </c>
    </row>
    <row r="7" spans="2:15" x14ac:dyDescent="0.25">
      <c r="C7" t="s">
        <v>7</v>
      </c>
      <c r="D7">
        <f t="shared" ca="1" si="2"/>
        <v>0.48976611105628853</v>
      </c>
      <c r="E7" s="19">
        <f t="shared" ca="1" si="3"/>
        <v>0</v>
      </c>
      <c r="F7">
        <f t="shared" ca="1" si="2"/>
        <v>0.68262286904086023</v>
      </c>
      <c r="G7" s="19">
        <f t="shared" ca="1" si="5"/>
        <v>1</v>
      </c>
      <c r="H7">
        <f t="shared" ca="1" si="2"/>
        <v>0.89368316631995437</v>
      </c>
      <c r="I7" s="1">
        <f t="shared" ca="1" si="1"/>
        <v>1</v>
      </c>
      <c r="J7">
        <f t="shared" ca="1" si="2"/>
        <v>0.35077192452772277</v>
      </c>
      <c r="K7" s="1">
        <f t="shared" ca="1" si="4"/>
        <v>0</v>
      </c>
      <c r="M7" s="21">
        <v>2.8722813232690143</v>
      </c>
    </row>
    <row r="8" spans="2:15" x14ac:dyDescent="0.25">
      <c r="C8" t="s">
        <v>8</v>
      </c>
      <c r="D8">
        <f t="shared" ca="1" si="2"/>
        <v>0.31614634426531218</v>
      </c>
      <c r="E8" s="19">
        <f t="shared" ca="1" si="3"/>
        <v>0</v>
      </c>
      <c r="F8">
        <f t="shared" ca="1" si="2"/>
        <v>0.65175350951233546</v>
      </c>
      <c r="G8" s="61">
        <f t="shared" ca="1" si="3"/>
        <v>1</v>
      </c>
      <c r="H8">
        <f t="shared" ca="1" si="2"/>
        <v>7.2098936584615858E-3</v>
      </c>
      <c r="I8" s="19">
        <f ca="1">1-E8</f>
        <v>1</v>
      </c>
      <c r="J8">
        <f t="shared" ca="1" si="2"/>
        <v>0.77021844122641814</v>
      </c>
      <c r="K8" s="61">
        <f ca="1">1-G8</f>
        <v>0</v>
      </c>
      <c r="M8" s="21">
        <v>1.5</v>
      </c>
    </row>
    <row r="9" spans="2:15" x14ac:dyDescent="0.25">
      <c r="C9" t="s">
        <v>9</v>
      </c>
      <c r="D9">
        <f t="shared" ca="1" si="2"/>
        <v>0.28452454168864438</v>
      </c>
      <c r="E9" s="19">
        <f t="shared" ca="1" si="3"/>
        <v>0</v>
      </c>
      <c r="F9">
        <f t="shared" ca="1" si="2"/>
        <v>6.8358745870816251E-2</v>
      </c>
      <c r="G9" s="61">
        <f t="shared" ca="1" si="3"/>
        <v>0</v>
      </c>
      <c r="H9">
        <f t="shared" ca="1" si="2"/>
        <v>0.85934981977971192</v>
      </c>
      <c r="I9" s="19">
        <f t="shared" ref="I9:K12" ca="1" si="6">1-E9</f>
        <v>1</v>
      </c>
      <c r="J9">
        <f t="shared" ca="1" si="2"/>
        <v>0.9108518706944444</v>
      </c>
      <c r="K9" s="61">
        <f t="shared" ref="K9:K11" ca="1" si="7">1-G9</f>
        <v>1</v>
      </c>
      <c r="M9" s="21">
        <v>0.9574271077563381</v>
      </c>
    </row>
    <row r="10" spans="2:15" x14ac:dyDescent="0.25">
      <c r="C10" t="s">
        <v>10</v>
      </c>
      <c r="D10">
        <f t="shared" ca="1" si="2"/>
        <v>0.84347681133447339</v>
      </c>
      <c r="E10" s="19">
        <f t="shared" ca="1" si="3"/>
        <v>1</v>
      </c>
      <c r="F10">
        <f t="shared" ca="1" si="2"/>
        <v>0.14472362363770797</v>
      </c>
      <c r="G10" s="61">
        <f t="shared" ca="1" si="3"/>
        <v>0</v>
      </c>
      <c r="H10">
        <f t="shared" ca="1" si="2"/>
        <v>0.6830793882843188</v>
      </c>
      <c r="I10" s="19">
        <f t="shared" ca="1" si="6"/>
        <v>0</v>
      </c>
      <c r="J10">
        <f t="shared" ca="1" si="2"/>
        <v>0.6197273923727592</v>
      </c>
      <c r="K10" s="61">
        <f t="shared" ca="1" si="7"/>
        <v>1</v>
      </c>
      <c r="M10" s="21">
        <v>1.7320508075688772</v>
      </c>
    </row>
    <row r="11" spans="2:15" x14ac:dyDescent="0.25">
      <c r="C11" t="s">
        <v>11</v>
      </c>
      <c r="D11">
        <f t="shared" ca="1" si="2"/>
        <v>0.36770289493638408</v>
      </c>
      <c r="E11" s="19">
        <f t="shared" ca="1" si="3"/>
        <v>0</v>
      </c>
      <c r="F11">
        <f t="shared" ca="1" si="2"/>
        <v>0.73745475767213164</v>
      </c>
      <c r="G11" s="61">
        <f t="shared" ca="1" si="3"/>
        <v>1</v>
      </c>
      <c r="H11">
        <f t="shared" ca="1" si="2"/>
        <v>0.23782895135066329</v>
      </c>
      <c r="I11" s="19">
        <f t="shared" ca="1" si="6"/>
        <v>1</v>
      </c>
      <c r="J11">
        <f t="shared" ca="1" si="2"/>
        <v>0.67287194886408808</v>
      </c>
      <c r="K11" s="61">
        <f t="shared" ca="1" si="7"/>
        <v>0</v>
      </c>
      <c r="M11" s="21">
        <v>0</v>
      </c>
    </row>
    <row r="12" spans="2:15" x14ac:dyDescent="0.25">
      <c r="C12" t="s">
        <v>12</v>
      </c>
      <c r="D12">
        <f t="shared" ca="1" si="2"/>
        <v>0.74806507259368915</v>
      </c>
      <c r="E12" s="19">
        <f t="shared" ca="1" si="3"/>
        <v>1</v>
      </c>
      <c r="F12">
        <f t="shared" ca="1" si="2"/>
        <v>0.77006558533509351</v>
      </c>
      <c r="G12" s="61">
        <f t="shared" ca="1" si="3"/>
        <v>1</v>
      </c>
      <c r="H12">
        <f t="shared" ca="1" si="2"/>
        <v>0.59128058967007602</v>
      </c>
      <c r="I12" s="61">
        <f ca="1">1-G12</f>
        <v>0</v>
      </c>
      <c r="J12">
        <f t="shared" ca="1" si="2"/>
        <v>0.57244935718219958</v>
      </c>
      <c r="K12" s="19">
        <f ca="1">1-E12</f>
        <v>0</v>
      </c>
      <c r="M12" s="21">
        <v>2.2173557826083452</v>
      </c>
    </row>
    <row r="13" spans="2:15" x14ac:dyDescent="0.25">
      <c r="C13" t="s">
        <v>13</v>
      </c>
      <c r="D13">
        <f t="shared" ca="1" si="2"/>
        <v>0.89434603517514766</v>
      </c>
      <c r="E13" s="19">
        <f t="shared" ca="1" si="3"/>
        <v>1</v>
      </c>
      <c r="F13">
        <f t="shared" ca="1" si="2"/>
        <v>0.41332219598077713</v>
      </c>
      <c r="G13" s="61">
        <f t="shared" ca="1" si="3"/>
        <v>0</v>
      </c>
      <c r="H13">
        <f t="shared" ca="1" si="2"/>
        <v>0.41634389269204353</v>
      </c>
      <c r="I13" s="61">
        <f t="shared" ref="I13:I15" ca="1" si="8">1-G13</f>
        <v>1</v>
      </c>
      <c r="J13">
        <f t="shared" ca="1" si="2"/>
        <v>7.3287002845055627E-2</v>
      </c>
      <c r="K13" s="19">
        <f t="shared" ref="K13:K15" ca="1" si="9">1-E13</f>
        <v>0</v>
      </c>
      <c r="M13" s="21">
        <v>1.9148542155126762</v>
      </c>
    </row>
    <row r="14" spans="2:15" x14ac:dyDescent="0.25">
      <c r="C14" t="s">
        <v>14</v>
      </c>
      <c r="D14">
        <f t="shared" ca="1" si="2"/>
        <v>0.20400318412540652</v>
      </c>
      <c r="E14" s="19">
        <f t="shared" ca="1" si="3"/>
        <v>0</v>
      </c>
      <c r="F14">
        <f t="shared" ca="1" si="2"/>
        <v>0.19316736820713265</v>
      </c>
      <c r="G14" s="61">
        <f t="shared" ca="1" si="3"/>
        <v>0</v>
      </c>
      <c r="H14">
        <f t="shared" ca="1" si="2"/>
        <v>0.50399168123566185</v>
      </c>
      <c r="I14" s="61">
        <f t="shared" ca="1" si="8"/>
        <v>1</v>
      </c>
      <c r="J14">
        <f t="shared" ca="1" si="2"/>
        <v>0.901662880873351</v>
      </c>
      <c r="K14" s="19">
        <f t="shared" ca="1" si="9"/>
        <v>1</v>
      </c>
      <c r="M14" s="21">
        <v>3.8622100754188224</v>
      </c>
    </row>
    <row r="15" spans="2:15" x14ac:dyDescent="0.25">
      <c r="C15" t="s">
        <v>15</v>
      </c>
      <c r="D15">
        <f t="shared" ca="1" si="2"/>
        <v>0.96018853377565305</v>
      </c>
      <c r="E15" s="19">
        <f t="shared" ca="1" si="3"/>
        <v>1</v>
      </c>
      <c r="F15">
        <f t="shared" ca="1" si="2"/>
        <v>0.8182278393891036</v>
      </c>
      <c r="G15" s="61">
        <f t="shared" ca="1" si="3"/>
        <v>1</v>
      </c>
      <c r="H15">
        <f t="shared" ca="1" si="2"/>
        <v>0.37557344439436247</v>
      </c>
      <c r="I15" s="61">
        <f t="shared" ca="1" si="8"/>
        <v>0</v>
      </c>
      <c r="J15">
        <f t="shared" ca="1" si="2"/>
        <v>0.21483820884864935</v>
      </c>
      <c r="K15" s="19">
        <f t="shared" ca="1" si="9"/>
        <v>0</v>
      </c>
      <c r="M15" s="21">
        <v>2.1602468994692869</v>
      </c>
    </row>
    <row r="16" spans="2:15" x14ac:dyDescent="0.25">
      <c r="C16" t="s">
        <v>16</v>
      </c>
      <c r="D16">
        <f t="shared" ca="1" si="2"/>
        <v>0.63628794666641963</v>
      </c>
      <c r="E16" s="67">
        <f t="shared" ca="1" si="3"/>
        <v>1</v>
      </c>
      <c r="F16">
        <f t="shared" ca="1" si="2"/>
        <v>0.61833206682692154</v>
      </c>
      <c r="G16">
        <f t="shared" ca="1" si="3"/>
        <v>1</v>
      </c>
      <c r="H16">
        <f t="shared" ca="1" si="2"/>
        <v>0.24658865124400375</v>
      </c>
      <c r="I16">
        <f t="shared" ca="1" si="1"/>
        <v>0</v>
      </c>
      <c r="J16">
        <f t="shared" ca="1" si="2"/>
        <v>0.99826554430626435</v>
      </c>
      <c r="K16">
        <f t="shared" ref="K4:K19" ca="1" si="10">IF(J16&gt;0.5,1,0)</f>
        <v>1</v>
      </c>
      <c r="M16" s="21">
        <v>2.2173557826083452</v>
      </c>
    </row>
    <row r="17" spans="2:13" x14ac:dyDescent="0.25">
      <c r="C17" t="s">
        <v>17</v>
      </c>
      <c r="D17">
        <f t="shared" ca="1" si="2"/>
        <v>0.49506414826504896</v>
      </c>
      <c r="E17" s="67">
        <f t="shared" ca="1" si="3"/>
        <v>0</v>
      </c>
      <c r="F17">
        <f t="shared" ca="1" si="2"/>
        <v>0.638278324643338</v>
      </c>
      <c r="G17">
        <f t="shared" ca="1" si="3"/>
        <v>1</v>
      </c>
      <c r="H17">
        <f t="shared" ca="1" si="2"/>
        <v>0.21171604853925652</v>
      </c>
      <c r="I17">
        <f t="shared" ca="1" si="1"/>
        <v>0</v>
      </c>
      <c r="J17">
        <f t="shared" ca="1" si="2"/>
        <v>0.46008379582439396</v>
      </c>
      <c r="K17">
        <f t="shared" ca="1" si="10"/>
        <v>0</v>
      </c>
      <c r="M17" s="21">
        <v>1.2583057392117916</v>
      </c>
    </row>
    <row r="18" spans="2:13" x14ac:dyDescent="0.25">
      <c r="C18" t="s">
        <v>18</v>
      </c>
      <c r="D18">
        <f t="shared" ca="1" si="2"/>
        <v>0.6958280163837206</v>
      </c>
      <c r="E18" s="67">
        <f t="shared" ca="1" si="3"/>
        <v>1</v>
      </c>
      <c r="F18">
        <f t="shared" ca="1" si="2"/>
        <v>0.70591482015928553</v>
      </c>
      <c r="G18">
        <f t="shared" ca="1" si="3"/>
        <v>1</v>
      </c>
      <c r="H18">
        <f t="shared" ca="1" si="2"/>
        <v>0.43460009697097013</v>
      </c>
      <c r="I18">
        <f t="shared" ca="1" si="1"/>
        <v>0</v>
      </c>
      <c r="J18">
        <f t="shared" ca="1" si="2"/>
        <v>7.4276472427266205E-2</v>
      </c>
      <c r="K18">
        <f t="shared" ca="1" si="10"/>
        <v>0</v>
      </c>
      <c r="M18" s="21">
        <v>3</v>
      </c>
    </row>
    <row r="19" spans="2:13" x14ac:dyDescent="0.25">
      <c r="C19" t="s">
        <v>19</v>
      </c>
      <c r="D19">
        <f t="shared" ca="1" si="2"/>
        <v>0.87092714356804646</v>
      </c>
      <c r="E19" s="67">
        <f t="shared" ca="1" si="3"/>
        <v>1</v>
      </c>
      <c r="F19">
        <f t="shared" ca="1" si="2"/>
        <v>0.12588706248359371</v>
      </c>
      <c r="G19">
        <f t="shared" ca="1" si="3"/>
        <v>0</v>
      </c>
      <c r="H19">
        <f t="shared" ca="1" si="2"/>
        <v>0.98531636583223203</v>
      </c>
      <c r="I19">
        <f t="shared" ca="1" si="1"/>
        <v>1</v>
      </c>
      <c r="J19">
        <f t="shared" ca="1" si="2"/>
        <v>0.83721765671969139</v>
      </c>
      <c r="K19">
        <f t="shared" ca="1" si="10"/>
        <v>1</v>
      </c>
      <c r="M19" s="21">
        <v>2.3804761428476167</v>
      </c>
    </row>
    <row r="20" spans="2:13" x14ac:dyDescent="0.25">
      <c r="L20" s="18" t="s">
        <v>33</v>
      </c>
      <c r="M20" s="21">
        <v>1.2583057392117916</v>
      </c>
    </row>
    <row r="21" spans="2:13" x14ac:dyDescent="0.25">
      <c r="D21" s="1"/>
      <c r="E21" s="1">
        <f ca="1">SUM(E4:E19)</f>
        <v>8</v>
      </c>
      <c r="F21" s="1"/>
      <c r="G21" s="1">
        <f ca="1">SUM(G4:G19)</f>
        <v>10</v>
      </c>
      <c r="H21" s="1"/>
      <c r="I21" s="1">
        <f ca="1">SUM(I4:I19)</f>
        <v>8</v>
      </c>
      <c r="J21" s="1"/>
      <c r="K21" s="1">
        <f ca="1">SUM(K4:K19)</f>
        <v>7</v>
      </c>
      <c r="L21" s="23">
        <f ca="1">STDEV(E21:K21)</f>
        <v>1.2583057392117916</v>
      </c>
      <c r="M21" s="21">
        <v>2.2173557826083452</v>
      </c>
    </row>
    <row r="22" spans="2:13" x14ac:dyDescent="0.25">
      <c r="K22" s="16" t="s">
        <v>37</v>
      </c>
      <c r="M22" s="21">
        <v>1.707825127659933</v>
      </c>
    </row>
    <row r="23" spans="2:13" ht="13" thickBot="1" x14ac:dyDescent="0.3">
      <c r="K23" s="16" t="s">
        <v>36</v>
      </c>
      <c r="M23" s="21">
        <v>3.5590260840104371</v>
      </c>
    </row>
    <row r="24" spans="2:13" x14ac:dyDescent="0.25">
      <c r="B24" s="17" t="s">
        <v>27</v>
      </c>
      <c r="C24" s="24" t="s">
        <v>20</v>
      </c>
      <c r="D24" s="2"/>
      <c r="E24" s="3"/>
      <c r="K24" s="16" t="s">
        <v>110</v>
      </c>
      <c r="M24" s="21">
        <v>3.7749172176353749</v>
      </c>
    </row>
    <row r="25" spans="2:13" x14ac:dyDescent="0.25">
      <c r="C25" s="4"/>
      <c r="D25" s="5" t="s">
        <v>158</v>
      </c>
      <c r="E25" s="6" t="s">
        <v>22</v>
      </c>
      <c r="F25" s="16" t="s">
        <v>35</v>
      </c>
      <c r="M25" s="21">
        <v>2.0615528128088303</v>
      </c>
    </row>
    <row r="26" spans="2:13" ht="13" thickBot="1" x14ac:dyDescent="0.3">
      <c r="C26" s="4" t="s">
        <v>157</v>
      </c>
      <c r="D26" s="14">
        <v>12</v>
      </c>
      <c r="E26" s="15">
        <v>8</v>
      </c>
      <c r="F26">
        <f>(D26-E26)^2</f>
        <v>16</v>
      </c>
      <c r="I26" s="16"/>
      <c r="M26" s="21">
        <v>2.2173557826083452</v>
      </c>
    </row>
    <row r="27" spans="2:13" ht="13" thickBot="1" x14ac:dyDescent="0.3">
      <c r="C27" s="4" t="s">
        <v>149</v>
      </c>
      <c r="D27" s="14">
        <v>11</v>
      </c>
      <c r="E27" s="15">
        <v>8</v>
      </c>
      <c r="F27">
        <f t="shared" ref="F27:F29" si="11">(D27-E27)^2</f>
        <v>9</v>
      </c>
      <c r="M27" s="21">
        <v>3.2015621187164243</v>
      </c>
    </row>
    <row r="28" spans="2:13" ht="13" thickBot="1" x14ac:dyDescent="0.3">
      <c r="C28" s="4" t="s">
        <v>150</v>
      </c>
      <c r="D28" s="14">
        <v>11</v>
      </c>
      <c r="E28" s="15">
        <v>8</v>
      </c>
      <c r="F28">
        <f t="shared" si="11"/>
        <v>9</v>
      </c>
      <c r="M28" s="21">
        <v>0.81649658092772603</v>
      </c>
    </row>
    <row r="29" spans="2:13" ht="13" thickBot="1" x14ac:dyDescent="0.3">
      <c r="C29" s="4" t="s">
        <v>151</v>
      </c>
      <c r="D29" s="14">
        <v>4</v>
      </c>
      <c r="E29" s="15">
        <v>8</v>
      </c>
      <c r="F29">
        <f t="shared" si="11"/>
        <v>16</v>
      </c>
      <c r="I29" s="25"/>
      <c r="M29" s="21">
        <v>0.5</v>
      </c>
    </row>
    <row r="30" spans="2:13" x14ac:dyDescent="0.25">
      <c r="C30" s="4"/>
      <c r="D30" s="5"/>
      <c r="E30" s="6"/>
      <c r="M30" s="21">
        <v>2.3629078131263039</v>
      </c>
    </row>
    <row r="31" spans="2:13" ht="13" thickBot="1" x14ac:dyDescent="0.3">
      <c r="C31" s="7"/>
      <c r="D31" s="8"/>
      <c r="E31" s="9"/>
      <c r="F31">
        <f>SUM(F26:F29)/8</f>
        <v>6.25</v>
      </c>
      <c r="M31" s="21">
        <v>1.6329931618554521</v>
      </c>
    </row>
    <row r="32" spans="2:13" x14ac:dyDescent="0.25">
      <c r="E32" s="18" t="s">
        <v>30</v>
      </c>
      <c r="F32" s="19">
        <f>CHIDIST(F31,3)</f>
        <v>0.10006083311939495</v>
      </c>
      <c r="G32" s="16" t="s">
        <v>31</v>
      </c>
      <c r="M32" s="21">
        <v>1.707825127659933</v>
      </c>
    </row>
    <row r="33" spans="5:13" x14ac:dyDescent="0.25">
      <c r="M33" s="21">
        <v>1.9148542155126762</v>
      </c>
    </row>
    <row r="34" spans="5:13" x14ac:dyDescent="0.25">
      <c r="E34" s="18" t="s">
        <v>29</v>
      </c>
      <c r="F34" s="19">
        <f>CHITEST(D26:D29,E26:E29)</f>
        <v>0.10006083311939495</v>
      </c>
      <c r="M34" s="21">
        <v>1.8929694486000912</v>
      </c>
    </row>
    <row r="35" spans="5:13" x14ac:dyDescent="0.25">
      <c r="M35" s="21">
        <v>3.3040379335998349</v>
      </c>
    </row>
    <row r="36" spans="5:13" x14ac:dyDescent="0.25">
      <c r="M36" s="21">
        <v>1.8257418583505538</v>
      </c>
    </row>
    <row r="37" spans="5:13" x14ac:dyDescent="0.25">
      <c r="M37" s="21">
        <v>2.2173557826083452</v>
      </c>
    </row>
    <row r="38" spans="5:13" x14ac:dyDescent="0.25">
      <c r="M38" s="21">
        <v>3.6968455021364721</v>
      </c>
    </row>
    <row r="39" spans="5:13" x14ac:dyDescent="0.25">
      <c r="M39" s="21">
        <v>1.7320508075688772</v>
      </c>
    </row>
    <row r="40" spans="5:13" x14ac:dyDescent="0.25">
      <c r="M40" s="21">
        <v>2.6299556396765835</v>
      </c>
    </row>
    <row r="41" spans="5:13" x14ac:dyDescent="0.25">
      <c r="M41" s="21">
        <v>1.5</v>
      </c>
    </row>
    <row r="42" spans="5:13" x14ac:dyDescent="0.25">
      <c r="M42" s="21">
        <v>2.6457513110645907</v>
      </c>
    </row>
    <row r="43" spans="5:13" x14ac:dyDescent="0.25">
      <c r="M43" s="21">
        <v>0.9574271077563381</v>
      </c>
    </row>
    <row r="44" spans="5:13" x14ac:dyDescent="0.25">
      <c r="M44" s="21">
        <v>2.1602468994692869</v>
      </c>
    </row>
    <row r="45" spans="5:13" x14ac:dyDescent="0.25">
      <c r="M45" s="21">
        <v>1.2583057392117916</v>
      </c>
    </row>
    <row r="46" spans="5:13" x14ac:dyDescent="0.25">
      <c r="M46" s="21">
        <v>2.5</v>
      </c>
    </row>
    <row r="47" spans="5:13" x14ac:dyDescent="0.25">
      <c r="M47" s="21">
        <v>2.2173557826083452</v>
      </c>
    </row>
    <row r="48" spans="5:13" x14ac:dyDescent="0.25">
      <c r="M48" s="21">
        <v>3.9157800414902435</v>
      </c>
    </row>
    <row r="49" spans="13:13" x14ac:dyDescent="0.25">
      <c r="M49" s="21">
        <v>2.0615528128088303</v>
      </c>
    </row>
    <row r="50" spans="13:13" x14ac:dyDescent="0.25">
      <c r="M50" s="21">
        <v>1</v>
      </c>
    </row>
    <row r="51" spans="13:13" x14ac:dyDescent="0.25">
      <c r="M51" s="21">
        <v>2.2173557826083452</v>
      </c>
    </row>
    <row r="52" spans="13:13" x14ac:dyDescent="0.25">
      <c r="M52" s="21">
        <v>2.0615528128088303</v>
      </c>
    </row>
    <row r="53" spans="13:13" x14ac:dyDescent="0.25">
      <c r="M53" s="21">
        <v>1</v>
      </c>
    </row>
    <row r="54" spans="13:13" x14ac:dyDescent="0.25">
      <c r="M54" s="21">
        <v>3.3040379335998349</v>
      </c>
    </row>
    <row r="55" spans="13:13" x14ac:dyDescent="0.25">
      <c r="M55" s="21">
        <v>4.0311288741492746</v>
      </c>
    </row>
    <row r="56" spans="13:13" x14ac:dyDescent="0.25">
      <c r="M56" s="21">
        <v>2.2173557826083452</v>
      </c>
    </row>
    <row r="57" spans="13:13" x14ac:dyDescent="0.25">
      <c r="M57" s="21">
        <v>0.57735026918962573</v>
      </c>
    </row>
    <row r="58" spans="13:13" x14ac:dyDescent="0.25">
      <c r="M58" s="21">
        <v>2.9860788111948193</v>
      </c>
    </row>
    <row r="59" spans="13:13" x14ac:dyDescent="0.25">
      <c r="M59" s="21">
        <v>0.57735026918962573</v>
      </c>
    </row>
    <row r="60" spans="13:13" x14ac:dyDescent="0.25">
      <c r="M60" s="21">
        <v>2.6457513110645907</v>
      </c>
    </row>
    <row r="61" spans="13:13" x14ac:dyDescent="0.25">
      <c r="M61" s="21">
        <v>2.8722813232690143</v>
      </c>
    </row>
    <row r="62" spans="13:13" x14ac:dyDescent="0.25">
      <c r="M62" s="21">
        <v>2.0615528128088303</v>
      </c>
    </row>
    <row r="63" spans="13:13" x14ac:dyDescent="0.25">
      <c r="M63" s="21">
        <v>1.7320508075688772</v>
      </c>
    </row>
    <row r="64" spans="13:13" x14ac:dyDescent="0.25">
      <c r="M64" s="21">
        <v>1.4142135623730951</v>
      </c>
    </row>
    <row r="65" spans="13:13" x14ac:dyDescent="0.25">
      <c r="M65" s="21">
        <v>2.5</v>
      </c>
    </row>
    <row r="66" spans="13:13" x14ac:dyDescent="0.25">
      <c r="M66" s="21">
        <v>1.8929694486000912</v>
      </c>
    </row>
    <row r="67" spans="13:13" x14ac:dyDescent="0.25">
      <c r="M67" s="21">
        <v>2.6457513110645907</v>
      </c>
    </row>
    <row r="68" spans="13:13" x14ac:dyDescent="0.25">
      <c r="M68" s="21">
        <v>2.5</v>
      </c>
    </row>
    <row r="69" spans="13:13" x14ac:dyDescent="0.25">
      <c r="M69" s="21">
        <v>3.5590260840104371</v>
      </c>
    </row>
    <row r="70" spans="13:13" x14ac:dyDescent="0.25">
      <c r="M70" s="21">
        <v>4.1633319989322652</v>
      </c>
    </row>
    <row r="71" spans="13:13" x14ac:dyDescent="0.25">
      <c r="M71" s="21">
        <v>1.2583057392117916</v>
      </c>
    </row>
    <row r="72" spans="13:13" x14ac:dyDescent="0.25">
      <c r="M72" s="21">
        <v>1</v>
      </c>
    </row>
    <row r="73" spans="13:13" x14ac:dyDescent="0.25">
      <c r="M73" s="21">
        <v>1.4142135623730951</v>
      </c>
    </row>
    <row r="74" spans="13:13" x14ac:dyDescent="0.25">
      <c r="M74" s="21">
        <v>1.4142135623730951</v>
      </c>
    </row>
    <row r="75" spans="13:13" x14ac:dyDescent="0.25">
      <c r="M75" s="21">
        <v>0.9574271077563381</v>
      </c>
    </row>
    <row r="76" spans="13:13" x14ac:dyDescent="0.25">
      <c r="M76" s="21">
        <v>2.3804761428476167</v>
      </c>
    </row>
    <row r="77" spans="13:13" x14ac:dyDescent="0.25">
      <c r="M77" s="21">
        <v>2.0615528128088303</v>
      </c>
    </row>
    <row r="78" spans="13:13" x14ac:dyDescent="0.25">
      <c r="M78" s="21">
        <v>3.5</v>
      </c>
    </row>
    <row r="79" spans="13:13" x14ac:dyDescent="0.25">
      <c r="M79" s="21">
        <v>1.4142135623730951</v>
      </c>
    </row>
    <row r="80" spans="13:13" x14ac:dyDescent="0.25">
      <c r="M80" s="21">
        <v>1.5</v>
      </c>
    </row>
    <row r="81" spans="13:13" x14ac:dyDescent="0.25">
      <c r="M81" s="21">
        <v>1.707825127659933</v>
      </c>
    </row>
    <row r="82" spans="13:13" x14ac:dyDescent="0.25">
      <c r="M82" s="21">
        <v>3.5939764421413041</v>
      </c>
    </row>
    <row r="83" spans="13:13" x14ac:dyDescent="0.25">
      <c r="M83" s="21">
        <v>1.6329931618554521</v>
      </c>
    </row>
    <row r="84" spans="13:13" x14ac:dyDescent="0.25">
      <c r="M84" s="21">
        <v>1.707825127659933</v>
      </c>
    </row>
    <row r="85" spans="13:13" x14ac:dyDescent="0.25">
      <c r="M85" s="21">
        <v>1.707825127659933</v>
      </c>
    </row>
    <row r="86" spans="13:13" x14ac:dyDescent="0.25">
      <c r="M86" s="21">
        <v>2.6299556396765835</v>
      </c>
    </row>
    <row r="87" spans="13:13" x14ac:dyDescent="0.25">
      <c r="M87" s="21">
        <v>1.8257418583505538</v>
      </c>
    </row>
    <row r="88" spans="13:13" x14ac:dyDescent="0.25">
      <c r="M88" s="21">
        <v>2.6299556396765835</v>
      </c>
    </row>
    <row r="89" spans="13:13" x14ac:dyDescent="0.25">
      <c r="M89" s="21">
        <v>3.2015621187164243</v>
      </c>
    </row>
    <row r="90" spans="13:13" x14ac:dyDescent="0.25">
      <c r="M90" s="21">
        <v>2.0615528128088303</v>
      </c>
    </row>
    <row r="91" spans="13:13" x14ac:dyDescent="0.25">
      <c r="M91" s="21">
        <v>2.6299556396765835</v>
      </c>
    </row>
    <row r="92" spans="13:13" x14ac:dyDescent="0.25">
      <c r="M92" s="21">
        <v>1.7320508075688772</v>
      </c>
    </row>
    <row r="93" spans="13:13" x14ac:dyDescent="0.25">
      <c r="M93" s="21">
        <v>1.707825127659933</v>
      </c>
    </row>
    <row r="94" spans="13:13" x14ac:dyDescent="0.25">
      <c r="M94" s="21">
        <v>2.9439202887759488</v>
      </c>
    </row>
    <row r="95" spans="13:13" x14ac:dyDescent="0.25">
      <c r="M95" s="21">
        <v>4.0311288741492746</v>
      </c>
    </row>
    <row r="96" spans="13:13" x14ac:dyDescent="0.25">
      <c r="M96" s="21">
        <v>2.6299556396765835</v>
      </c>
    </row>
    <row r="97" spans="13:13" x14ac:dyDescent="0.25">
      <c r="M97" s="21">
        <v>1.8257418583505538</v>
      </c>
    </row>
    <row r="98" spans="13:13" x14ac:dyDescent="0.25">
      <c r="M98" s="21">
        <v>2.5</v>
      </c>
    </row>
    <row r="99" spans="13:13" x14ac:dyDescent="0.25">
      <c r="M99" s="21">
        <v>1.7320508075688772</v>
      </c>
    </row>
    <row r="100" spans="13:13" x14ac:dyDescent="0.25">
      <c r="M100" s="21">
        <v>1.707825127659933</v>
      </c>
    </row>
    <row r="101" spans="13:13" x14ac:dyDescent="0.25">
      <c r="M101" s="21">
        <v>2.2173557826083452</v>
      </c>
    </row>
    <row r="102" spans="13:13" x14ac:dyDescent="0.25">
      <c r="M102" s="21">
        <v>3.0956959368344519</v>
      </c>
    </row>
    <row r="103" spans="13:13" x14ac:dyDescent="0.25">
      <c r="M103" s="21">
        <v>1.2583057392117916</v>
      </c>
    </row>
    <row r="104" spans="13:13" x14ac:dyDescent="0.25">
      <c r="M104" s="21">
        <v>2.8722813232690143</v>
      </c>
    </row>
    <row r="105" spans="13:13" x14ac:dyDescent="0.25">
      <c r="M105" s="21">
        <v>3</v>
      </c>
    </row>
    <row r="106" spans="13:13" x14ac:dyDescent="0.25">
      <c r="M106" s="21">
        <v>2.1602468994692869</v>
      </c>
    </row>
    <row r="107" spans="13:13" x14ac:dyDescent="0.25">
      <c r="M107" s="21">
        <v>1.7320508075688772</v>
      </c>
    </row>
    <row r="108" spans="13:13" x14ac:dyDescent="0.25">
      <c r="M108" s="21">
        <v>1.2583057392117916</v>
      </c>
    </row>
    <row r="109" spans="13:13" x14ac:dyDescent="0.25">
      <c r="M109" s="21">
        <v>2.4494897427831779</v>
      </c>
    </row>
    <row r="110" spans="13:13" x14ac:dyDescent="0.25">
      <c r="M110" s="21">
        <v>2.5</v>
      </c>
    </row>
    <row r="111" spans="13:13" x14ac:dyDescent="0.25">
      <c r="M111" s="21">
        <v>0.81649658092772603</v>
      </c>
    </row>
    <row r="112" spans="13:13" x14ac:dyDescent="0.25">
      <c r="M112" s="21">
        <v>2.5</v>
      </c>
    </row>
    <row r="113" spans="13:13" x14ac:dyDescent="0.25">
      <c r="M113" s="21">
        <v>0.9574271077563381</v>
      </c>
    </row>
    <row r="114" spans="13:13" x14ac:dyDescent="0.25">
      <c r="M114" s="21">
        <v>2.2173557826083452</v>
      </c>
    </row>
    <row r="115" spans="13:13" x14ac:dyDescent="0.25">
      <c r="M115" s="21">
        <v>2.0615528128088303</v>
      </c>
    </row>
    <row r="116" spans="13:13" x14ac:dyDescent="0.25">
      <c r="M116" s="21">
        <v>3.7749172176353749</v>
      </c>
    </row>
    <row r="117" spans="13:13" x14ac:dyDescent="0.25">
      <c r="M117" s="21">
        <v>2.3629078131263039</v>
      </c>
    </row>
    <row r="118" spans="13:13" x14ac:dyDescent="0.25">
      <c r="M118" s="21">
        <v>1.707825127659933</v>
      </c>
    </row>
    <row r="119" spans="13:13" x14ac:dyDescent="0.25">
      <c r="M119" s="21">
        <v>1.5</v>
      </c>
    </row>
    <row r="120" spans="13:13" x14ac:dyDescent="0.25">
      <c r="M120" s="21">
        <v>2.5166114784235831</v>
      </c>
    </row>
    <row r="121" spans="13:13" x14ac:dyDescent="0.25">
      <c r="M121" s="21">
        <v>2.6299556396765835</v>
      </c>
    </row>
    <row r="122" spans="13:13" x14ac:dyDescent="0.25">
      <c r="M122" s="21">
        <v>0.5</v>
      </c>
    </row>
    <row r="123" spans="13:13" x14ac:dyDescent="0.25">
      <c r="M123" s="21">
        <v>1.9148542155126762</v>
      </c>
    </row>
    <row r="124" spans="13:13" x14ac:dyDescent="0.25">
      <c r="M124" s="21">
        <v>1.707825127659933</v>
      </c>
    </row>
    <row r="125" spans="13:13" x14ac:dyDescent="0.25">
      <c r="M125" s="21">
        <v>3.2015621187164243</v>
      </c>
    </row>
    <row r="126" spans="13:13" x14ac:dyDescent="0.25">
      <c r="M126" s="21">
        <v>2.0816659994661326</v>
      </c>
    </row>
    <row r="127" spans="13:13" x14ac:dyDescent="0.25">
      <c r="M127" s="21">
        <v>2.0816659994661326</v>
      </c>
    </row>
    <row r="128" spans="13:13" x14ac:dyDescent="0.25">
      <c r="M128" s="21">
        <v>0.81649658092772603</v>
      </c>
    </row>
    <row r="129" spans="13:13" x14ac:dyDescent="0.25">
      <c r="M129" s="21">
        <v>1.1547005383792515</v>
      </c>
    </row>
    <row r="130" spans="13:13" x14ac:dyDescent="0.25">
      <c r="M130" s="21">
        <v>2.0816659994661326</v>
      </c>
    </row>
    <row r="131" spans="13:13" x14ac:dyDescent="0.25">
      <c r="M131" s="21">
        <v>2.2173557826083452</v>
      </c>
    </row>
    <row r="132" spans="13:13" x14ac:dyDescent="0.25">
      <c r="M132" s="21">
        <v>3.8622100754188224</v>
      </c>
    </row>
    <row r="133" spans="13:13" x14ac:dyDescent="0.25">
      <c r="M133" s="21">
        <v>2.2173557826083452</v>
      </c>
    </row>
    <row r="134" spans="13:13" x14ac:dyDescent="0.25">
      <c r="M134" s="21">
        <v>1</v>
      </c>
    </row>
    <row r="135" spans="13:13" x14ac:dyDescent="0.25">
      <c r="M135" s="21">
        <v>0.57735026918962573</v>
      </c>
    </row>
    <row r="136" spans="13:13" x14ac:dyDescent="0.25">
      <c r="M136" s="21">
        <v>3.415650255319866</v>
      </c>
    </row>
    <row r="137" spans="13:13" x14ac:dyDescent="0.25">
      <c r="M137" s="21">
        <v>0.57735026918962573</v>
      </c>
    </row>
    <row r="138" spans="13:13" x14ac:dyDescent="0.25">
      <c r="M138" s="21">
        <v>1</v>
      </c>
    </row>
    <row r="139" spans="13:13" x14ac:dyDescent="0.25">
      <c r="M139" s="21">
        <v>1.2583057392117916</v>
      </c>
    </row>
    <row r="140" spans="13:13" x14ac:dyDescent="0.25">
      <c r="M140" s="21">
        <v>2.4494897427831779</v>
      </c>
    </row>
    <row r="141" spans="13:13" x14ac:dyDescent="0.25">
      <c r="M141" s="21">
        <v>1.4142135623730951</v>
      </c>
    </row>
    <row r="142" spans="13:13" x14ac:dyDescent="0.25">
      <c r="M142" s="21">
        <v>1.5</v>
      </c>
    </row>
    <row r="143" spans="13:13" x14ac:dyDescent="0.25">
      <c r="M143" s="21">
        <v>0.57735026918962573</v>
      </c>
    </row>
    <row r="144" spans="13:13" x14ac:dyDescent="0.25">
      <c r="M144" s="21">
        <v>1.7320508075688772</v>
      </c>
    </row>
    <row r="145" spans="13:13" x14ac:dyDescent="0.25">
      <c r="M145" s="21">
        <v>2.2173557826083452</v>
      </c>
    </row>
    <row r="146" spans="13:13" x14ac:dyDescent="0.25">
      <c r="M146" s="21">
        <v>2.2173557826083452</v>
      </c>
    </row>
    <row r="147" spans="13:13" x14ac:dyDescent="0.25">
      <c r="M147" s="21">
        <v>1.2583057392117916</v>
      </c>
    </row>
    <row r="148" spans="13:13" x14ac:dyDescent="0.25">
      <c r="M148" s="21">
        <v>3.1622776601683795</v>
      </c>
    </row>
    <row r="149" spans="13:13" x14ac:dyDescent="0.25">
      <c r="M149" s="21">
        <v>1.2909944487358056</v>
      </c>
    </row>
    <row r="150" spans="13:13" x14ac:dyDescent="0.25">
      <c r="M150" s="21">
        <v>1.2583057392117916</v>
      </c>
    </row>
    <row r="151" spans="13:13" x14ac:dyDescent="0.25">
      <c r="M151" s="21">
        <v>2.1602468994692869</v>
      </c>
    </row>
    <row r="152" spans="13:13" x14ac:dyDescent="0.25">
      <c r="M152" s="21">
        <v>1.2583057392117916</v>
      </c>
    </row>
    <row r="153" spans="13:13" x14ac:dyDescent="0.25">
      <c r="M153" s="21">
        <v>1.8929694486000912</v>
      </c>
    </row>
    <row r="154" spans="13:13" x14ac:dyDescent="0.25">
      <c r="M154" s="21">
        <v>2.8284271247461903</v>
      </c>
    </row>
    <row r="155" spans="13:13" x14ac:dyDescent="0.25">
      <c r="M155" s="21">
        <v>1.2583057392117916</v>
      </c>
    </row>
    <row r="156" spans="13:13" x14ac:dyDescent="0.25">
      <c r="M156" s="21">
        <v>1.707825127659933</v>
      </c>
    </row>
    <row r="157" spans="13:13" x14ac:dyDescent="0.25">
      <c r="M157" s="21">
        <v>3.8297084310253524</v>
      </c>
    </row>
    <row r="158" spans="13:13" x14ac:dyDescent="0.25">
      <c r="M158" s="21">
        <v>1.7320508075688772</v>
      </c>
    </row>
    <row r="159" spans="13:13" x14ac:dyDescent="0.25">
      <c r="M159" s="21">
        <v>2.8867513459481291</v>
      </c>
    </row>
    <row r="160" spans="13:13" x14ac:dyDescent="0.25">
      <c r="M160" s="21">
        <v>1.7320508075688772</v>
      </c>
    </row>
    <row r="161" spans="13:13" x14ac:dyDescent="0.25">
      <c r="M161" s="21">
        <v>0.9574271077563381</v>
      </c>
    </row>
    <row r="162" spans="13:13" x14ac:dyDescent="0.25">
      <c r="M162" s="21">
        <v>0.81649658092772603</v>
      </c>
    </row>
    <row r="163" spans="13:13" x14ac:dyDescent="0.25">
      <c r="M163" s="21">
        <v>0.9574271077563381</v>
      </c>
    </row>
    <row r="164" spans="13:13" x14ac:dyDescent="0.25">
      <c r="M164" s="21">
        <v>0.81649658092772603</v>
      </c>
    </row>
    <row r="165" spans="13:13" x14ac:dyDescent="0.25">
      <c r="M165" s="21">
        <v>3.5118845842842465</v>
      </c>
    </row>
    <row r="166" spans="13:13" x14ac:dyDescent="0.25">
      <c r="M166" s="21">
        <v>1.4142135623730951</v>
      </c>
    </row>
    <row r="167" spans="13:13" x14ac:dyDescent="0.25">
      <c r="M167" s="21">
        <v>1.5</v>
      </c>
    </row>
    <row r="168" spans="13:13" x14ac:dyDescent="0.25">
      <c r="M168" s="21">
        <v>3.1091263510296048</v>
      </c>
    </row>
    <row r="169" spans="13:13" x14ac:dyDescent="0.25">
      <c r="M169" s="21">
        <v>1.9148542155126762</v>
      </c>
    </row>
    <row r="170" spans="13:13" x14ac:dyDescent="0.25">
      <c r="M170" s="21">
        <v>0.9574271077563381</v>
      </c>
    </row>
    <row r="171" spans="13:13" x14ac:dyDescent="0.25">
      <c r="M171" s="21">
        <v>1</v>
      </c>
    </row>
    <row r="172" spans="13:13" x14ac:dyDescent="0.25">
      <c r="M172" s="21">
        <v>1.4142135623730951</v>
      </c>
    </row>
    <row r="173" spans="13:13" x14ac:dyDescent="0.25">
      <c r="M173" s="21">
        <v>0.81649658092772603</v>
      </c>
    </row>
    <row r="174" spans="13:13" x14ac:dyDescent="0.25">
      <c r="M174" s="21">
        <v>2</v>
      </c>
    </row>
    <row r="175" spans="13:13" x14ac:dyDescent="0.25">
      <c r="M175" s="21">
        <v>2.9860788111948193</v>
      </c>
    </row>
    <row r="176" spans="13:13" x14ac:dyDescent="0.25">
      <c r="M176" s="21">
        <v>0.5</v>
      </c>
    </row>
    <row r="177" spans="13:13" x14ac:dyDescent="0.25">
      <c r="M177" s="21">
        <v>2.3629078131263039</v>
      </c>
    </row>
    <row r="178" spans="13:13" x14ac:dyDescent="0.25">
      <c r="M178" s="21">
        <v>2.6457513110645907</v>
      </c>
    </row>
    <row r="179" spans="13:13" x14ac:dyDescent="0.25">
      <c r="M179" s="21">
        <v>2.0615528128088303</v>
      </c>
    </row>
    <row r="180" spans="13:13" x14ac:dyDescent="0.25">
      <c r="M180" s="21">
        <v>1.5</v>
      </c>
    </row>
    <row r="181" spans="13:13" x14ac:dyDescent="0.25">
      <c r="M181" s="21">
        <v>1.8257418583505538</v>
      </c>
    </row>
    <row r="182" spans="13:13" x14ac:dyDescent="0.25">
      <c r="M182" s="21">
        <v>2.753785273643051</v>
      </c>
    </row>
    <row r="183" spans="13:13" x14ac:dyDescent="0.25">
      <c r="M183" s="21">
        <v>3.4641016151377544</v>
      </c>
    </row>
    <row r="184" spans="13:13" x14ac:dyDescent="0.25">
      <c r="M184" s="21">
        <v>0.81649658092772603</v>
      </c>
    </row>
    <row r="185" spans="13:13" x14ac:dyDescent="0.25">
      <c r="M185" s="21">
        <v>1.8929694486000912</v>
      </c>
    </row>
    <row r="186" spans="13:13" x14ac:dyDescent="0.25">
      <c r="M186" s="21">
        <v>1.2583057392117916</v>
      </c>
    </row>
    <row r="187" spans="13:13" x14ac:dyDescent="0.25">
      <c r="M187" s="21">
        <v>1.5</v>
      </c>
    </row>
    <row r="188" spans="13:13" x14ac:dyDescent="0.25">
      <c r="M188" s="21">
        <v>0.5</v>
      </c>
    </row>
    <row r="189" spans="13:13" x14ac:dyDescent="0.25">
      <c r="M189" s="21">
        <v>2.6299556396765835</v>
      </c>
    </row>
    <row r="190" spans="13:13" x14ac:dyDescent="0.25">
      <c r="M190" s="21">
        <v>3.3040379335998349</v>
      </c>
    </row>
    <row r="191" spans="13:13" x14ac:dyDescent="0.25">
      <c r="M191" s="21">
        <v>1</v>
      </c>
    </row>
    <row r="192" spans="13:13" x14ac:dyDescent="0.25">
      <c r="M192" s="21">
        <v>2.0615528128088303</v>
      </c>
    </row>
    <row r="193" spans="13:13" x14ac:dyDescent="0.25">
      <c r="M193" s="21">
        <v>1</v>
      </c>
    </row>
    <row r="194" spans="13:13" x14ac:dyDescent="0.25">
      <c r="M194" s="21">
        <v>0.81649658092772603</v>
      </c>
    </row>
    <row r="195" spans="13:13" x14ac:dyDescent="0.25">
      <c r="M195" s="21">
        <v>2.1602468994692869</v>
      </c>
    </row>
    <row r="196" spans="13:13" x14ac:dyDescent="0.25">
      <c r="M196" s="21">
        <v>1.5</v>
      </c>
    </row>
    <row r="197" spans="13:13" x14ac:dyDescent="0.25">
      <c r="M197" s="21">
        <v>3.3040379335998349</v>
      </c>
    </row>
    <row r="198" spans="13:13" x14ac:dyDescent="0.25">
      <c r="M198" s="21">
        <v>3.5939764421413041</v>
      </c>
    </row>
    <row r="199" spans="13:13" x14ac:dyDescent="0.25">
      <c r="M199" s="21">
        <v>2.9860788111948193</v>
      </c>
    </row>
    <row r="200" spans="13:13" x14ac:dyDescent="0.25">
      <c r="M200" s="21">
        <v>3.1622776601683795</v>
      </c>
    </row>
    <row r="201" spans="13:13" x14ac:dyDescent="0.25">
      <c r="M201" s="21">
        <v>3.8622100754188224</v>
      </c>
    </row>
    <row r="202" spans="13:13" x14ac:dyDescent="0.25">
      <c r="M202" s="21">
        <v>1.9148542155126762</v>
      </c>
    </row>
    <row r="203" spans="13:13" x14ac:dyDescent="0.25">
      <c r="M203" s="21">
        <v>0.5</v>
      </c>
    </row>
    <row r="204" spans="13:13" x14ac:dyDescent="0.25">
      <c r="M204" s="21">
        <v>2.9439202887759488</v>
      </c>
    </row>
    <row r="205" spans="13:13" x14ac:dyDescent="0.25">
      <c r="M205" s="21">
        <v>2.6299556396765835</v>
      </c>
    </row>
    <row r="206" spans="13:13" x14ac:dyDescent="0.25">
      <c r="M206" s="21">
        <v>3.2015621187164243</v>
      </c>
    </row>
    <row r="207" spans="13:13" x14ac:dyDescent="0.25">
      <c r="M207" s="21">
        <v>2.3629078131263039</v>
      </c>
    </row>
    <row r="208" spans="13:13" x14ac:dyDescent="0.25">
      <c r="M208" s="21">
        <v>1.8929694486000912</v>
      </c>
    </row>
    <row r="209" spans="13:13" x14ac:dyDescent="0.25">
      <c r="M209" s="21">
        <v>3.7416573867739413</v>
      </c>
    </row>
    <row r="210" spans="13:13" x14ac:dyDescent="0.25">
      <c r="M210" s="21">
        <v>3.872983346207417</v>
      </c>
    </row>
    <row r="211" spans="13:13" x14ac:dyDescent="0.25">
      <c r="M211" s="21">
        <v>0.5</v>
      </c>
    </row>
    <row r="212" spans="13:13" x14ac:dyDescent="0.25">
      <c r="M212" s="21">
        <v>2.9860788111948193</v>
      </c>
    </row>
    <row r="213" spans="13:13" x14ac:dyDescent="0.25">
      <c r="M213" s="21">
        <v>1.707825127659933</v>
      </c>
    </row>
    <row r="214" spans="13:13" x14ac:dyDescent="0.25">
      <c r="M214" s="21">
        <v>1.5</v>
      </c>
    </row>
    <row r="215" spans="13:13" x14ac:dyDescent="0.25">
      <c r="M215" s="21">
        <v>1.7320508075688772</v>
      </c>
    </row>
    <row r="216" spans="13:13" x14ac:dyDescent="0.25">
      <c r="M216" s="21">
        <v>2.753785273643051</v>
      </c>
    </row>
    <row r="217" spans="13:13" x14ac:dyDescent="0.25">
      <c r="M217" s="21">
        <v>2.4494897427831779</v>
      </c>
    </row>
    <row r="218" spans="13:13" x14ac:dyDescent="0.25">
      <c r="M218" s="21">
        <v>3.4034296427770228</v>
      </c>
    </row>
    <row r="219" spans="13:13" x14ac:dyDescent="0.25">
      <c r="M219" s="21">
        <v>2.8722813232690143</v>
      </c>
    </row>
    <row r="220" spans="13:13" x14ac:dyDescent="0.25">
      <c r="M220" s="21">
        <v>1.6329931618554521</v>
      </c>
    </row>
    <row r="221" spans="13:13" x14ac:dyDescent="0.25">
      <c r="M221" s="21">
        <v>1.7320508075688772</v>
      </c>
    </row>
    <row r="222" spans="13:13" x14ac:dyDescent="0.25">
      <c r="M222" s="21">
        <v>1.4142135623730951</v>
      </c>
    </row>
    <row r="223" spans="13:13" x14ac:dyDescent="0.25">
      <c r="M223" s="21">
        <v>1.707825127659933</v>
      </c>
    </row>
    <row r="224" spans="13:13" x14ac:dyDescent="0.25">
      <c r="M224" s="21">
        <v>1.4142135623730951</v>
      </c>
    </row>
    <row r="225" spans="13:13" x14ac:dyDescent="0.25">
      <c r="M225" s="21">
        <v>1.1547005383792515</v>
      </c>
    </row>
    <row r="226" spans="13:13" x14ac:dyDescent="0.25">
      <c r="M226" s="21">
        <v>2</v>
      </c>
    </row>
    <row r="227" spans="13:13" x14ac:dyDescent="0.25">
      <c r="M227" s="21">
        <v>3.3166247903553998</v>
      </c>
    </row>
    <row r="228" spans="13:13" x14ac:dyDescent="0.25">
      <c r="M228" s="21">
        <v>3.8622100754188224</v>
      </c>
    </row>
    <row r="229" spans="13:13" x14ac:dyDescent="0.25">
      <c r="M229" s="21">
        <v>2.0615528128088303</v>
      </c>
    </row>
    <row r="230" spans="13:13" x14ac:dyDescent="0.25">
      <c r="M230" s="21">
        <v>0.9574271077563381</v>
      </c>
    </row>
    <row r="231" spans="13:13" x14ac:dyDescent="0.25">
      <c r="M231" s="21">
        <v>2.5</v>
      </c>
    </row>
    <row r="232" spans="13:13" x14ac:dyDescent="0.25">
      <c r="M232" s="21">
        <v>1.707825127659933</v>
      </c>
    </row>
    <row r="233" spans="13:13" x14ac:dyDescent="0.25">
      <c r="M233" s="21">
        <v>2.753785273643051</v>
      </c>
    </row>
    <row r="234" spans="13:13" x14ac:dyDescent="0.25">
      <c r="M234" s="21">
        <v>3.5590260840104371</v>
      </c>
    </row>
    <row r="235" spans="13:13" x14ac:dyDescent="0.25">
      <c r="M235" s="21">
        <v>3.3040379335998349</v>
      </c>
    </row>
    <row r="236" spans="13:13" x14ac:dyDescent="0.25">
      <c r="M236" s="21">
        <v>1.6329931618554521</v>
      </c>
    </row>
    <row r="237" spans="13:13" x14ac:dyDescent="0.25">
      <c r="M237" s="21">
        <v>2.4494897427831779</v>
      </c>
    </row>
    <row r="238" spans="13:13" x14ac:dyDescent="0.25">
      <c r="M238" s="21">
        <v>1.8257418583505538</v>
      </c>
    </row>
    <row r="239" spans="13:13" x14ac:dyDescent="0.25">
      <c r="M239" s="21">
        <v>1.8929694486000912</v>
      </c>
    </row>
    <row r="240" spans="13:13" x14ac:dyDescent="0.25">
      <c r="M240" s="21">
        <v>1.2583057392117916</v>
      </c>
    </row>
    <row r="241" spans="13:13" x14ac:dyDescent="0.25">
      <c r="M241" s="21">
        <v>1.5</v>
      </c>
    </row>
    <row r="242" spans="13:13" x14ac:dyDescent="0.25">
      <c r="M242" s="21">
        <v>2.5</v>
      </c>
    </row>
    <row r="243" spans="13:13" x14ac:dyDescent="0.25">
      <c r="M243" s="21">
        <v>1.7320508075688772</v>
      </c>
    </row>
    <row r="244" spans="13:13" x14ac:dyDescent="0.25">
      <c r="M244" s="21">
        <v>1.5</v>
      </c>
    </row>
    <row r="245" spans="13:13" x14ac:dyDescent="0.25">
      <c r="M245" s="21">
        <v>1.1547005383792515</v>
      </c>
    </row>
    <row r="246" spans="13:13" x14ac:dyDescent="0.25">
      <c r="M246" s="21">
        <v>0.9574271077563381</v>
      </c>
    </row>
    <row r="247" spans="13:13" x14ac:dyDescent="0.25">
      <c r="M247" s="21">
        <v>2.1602468994692869</v>
      </c>
    </row>
    <row r="248" spans="13:13" x14ac:dyDescent="0.25">
      <c r="M248" s="21">
        <v>1.8257418583505538</v>
      </c>
    </row>
    <row r="249" spans="13:13" x14ac:dyDescent="0.25">
      <c r="M249" s="21">
        <v>2</v>
      </c>
    </row>
    <row r="250" spans="13:13" x14ac:dyDescent="0.25">
      <c r="M250" s="21">
        <v>2.2173557826083452</v>
      </c>
    </row>
    <row r="251" spans="13:13" x14ac:dyDescent="0.25">
      <c r="M251" s="21">
        <v>1.2909944487358056</v>
      </c>
    </row>
    <row r="252" spans="13:13" x14ac:dyDescent="0.25">
      <c r="M252" s="21">
        <v>1.707825127659933</v>
      </c>
    </row>
    <row r="253" spans="13:13" x14ac:dyDescent="0.25">
      <c r="M253" s="21">
        <v>2.9860788111948193</v>
      </c>
    </row>
    <row r="254" spans="13:13" x14ac:dyDescent="0.25">
      <c r="M254" s="21">
        <v>2.6299556396765835</v>
      </c>
    </row>
    <row r="255" spans="13:13" x14ac:dyDescent="0.25">
      <c r="M255" s="21">
        <v>2.6299556396765835</v>
      </c>
    </row>
    <row r="256" spans="13:13" x14ac:dyDescent="0.25">
      <c r="M256" s="21">
        <v>2.4494897427831779</v>
      </c>
    </row>
    <row r="257" spans="13:13" x14ac:dyDescent="0.25">
      <c r="M257" s="21">
        <v>2.3804761428476167</v>
      </c>
    </row>
    <row r="258" spans="13:13" x14ac:dyDescent="0.25">
      <c r="M258" s="21">
        <v>2.5819888974716112</v>
      </c>
    </row>
    <row r="259" spans="13:13" x14ac:dyDescent="0.25">
      <c r="M259" s="21">
        <v>1.8257418583505538</v>
      </c>
    </row>
    <row r="260" spans="13:13" x14ac:dyDescent="0.25">
      <c r="M260" s="21">
        <v>2.2173557826083452</v>
      </c>
    </row>
    <row r="261" spans="13:13" x14ac:dyDescent="0.25">
      <c r="M261" s="21">
        <v>3.3665016461206929</v>
      </c>
    </row>
    <row r="262" spans="13:13" x14ac:dyDescent="0.25">
      <c r="M262" s="21">
        <v>1.5</v>
      </c>
    </row>
    <row r="263" spans="13:13" x14ac:dyDescent="0.25">
      <c r="M263" s="21">
        <v>1.2583057392117916</v>
      </c>
    </row>
    <row r="264" spans="13:13" x14ac:dyDescent="0.25">
      <c r="M264" s="21">
        <v>4.1932485418030412</v>
      </c>
    </row>
    <row r="265" spans="13:13" x14ac:dyDescent="0.25">
      <c r="M265" s="21">
        <v>0.9574271077563381</v>
      </c>
    </row>
    <row r="266" spans="13:13" x14ac:dyDescent="0.25">
      <c r="M266" s="21">
        <v>1.2583057392117916</v>
      </c>
    </row>
    <row r="267" spans="13:13" x14ac:dyDescent="0.25">
      <c r="M267" s="21">
        <v>0.5</v>
      </c>
    </row>
    <row r="268" spans="13:13" x14ac:dyDescent="0.25">
      <c r="M268" s="21">
        <v>1.1547005383792515</v>
      </c>
    </row>
    <row r="269" spans="13:13" x14ac:dyDescent="0.25">
      <c r="M269" s="21">
        <v>3.872983346207417</v>
      </c>
    </row>
    <row r="270" spans="13:13" x14ac:dyDescent="0.25">
      <c r="M270" s="21">
        <v>0.9574271077563381</v>
      </c>
    </row>
    <row r="271" spans="13:13" x14ac:dyDescent="0.25">
      <c r="M271" s="21">
        <v>1.4142135623730951</v>
      </c>
    </row>
    <row r="272" spans="13:13" x14ac:dyDescent="0.25">
      <c r="M272" s="21">
        <v>1.8929694486000912</v>
      </c>
    </row>
    <row r="273" spans="13:13" x14ac:dyDescent="0.25">
      <c r="M273" s="21">
        <v>1.4142135623730951</v>
      </c>
    </row>
    <row r="274" spans="13:13" x14ac:dyDescent="0.25">
      <c r="M274" s="21">
        <v>2.6299556396765835</v>
      </c>
    </row>
    <row r="275" spans="13:13" x14ac:dyDescent="0.25">
      <c r="M275" s="21">
        <v>2.9439202887759488</v>
      </c>
    </row>
    <row r="276" spans="13:13" x14ac:dyDescent="0.25">
      <c r="M276" s="21">
        <v>0.9574271077563381</v>
      </c>
    </row>
    <row r="277" spans="13:13" x14ac:dyDescent="0.25">
      <c r="M277" s="21">
        <v>3</v>
      </c>
    </row>
    <row r="278" spans="13:13" x14ac:dyDescent="0.25">
      <c r="M278" s="21">
        <v>2.9860788111948193</v>
      </c>
    </row>
    <row r="279" spans="13:13" x14ac:dyDescent="0.25">
      <c r="M279" s="21">
        <v>1.7320508075688772</v>
      </c>
    </row>
    <row r="280" spans="13:13" x14ac:dyDescent="0.25">
      <c r="M280" s="21">
        <v>2.0615528128088303</v>
      </c>
    </row>
    <row r="281" spans="13:13" x14ac:dyDescent="0.25">
      <c r="M281" s="21">
        <v>1.707825127659933</v>
      </c>
    </row>
    <row r="282" spans="13:13" x14ac:dyDescent="0.25">
      <c r="M282" s="21">
        <v>2.5819888974716112</v>
      </c>
    </row>
    <row r="283" spans="13:13" x14ac:dyDescent="0.25">
      <c r="M283" s="21">
        <v>2.4494897427831779</v>
      </c>
    </row>
    <row r="284" spans="13:13" x14ac:dyDescent="0.25">
      <c r="M284" s="21">
        <v>0.57735026918962573</v>
      </c>
    </row>
    <row r="285" spans="13:13" x14ac:dyDescent="0.25">
      <c r="M285" s="21">
        <v>1.707825127659933</v>
      </c>
    </row>
    <row r="286" spans="13:13" x14ac:dyDescent="0.25">
      <c r="M286" s="21">
        <v>2.2173557826083452</v>
      </c>
    </row>
    <row r="287" spans="13:13" x14ac:dyDescent="0.25">
      <c r="M287" s="21">
        <v>2.5166114784235831</v>
      </c>
    </row>
    <row r="288" spans="13:13" x14ac:dyDescent="0.25">
      <c r="M288" s="21">
        <v>1.4142135623730951</v>
      </c>
    </row>
    <row r="289" spans="13:13" x14ac:dyDescent="0.25">
      <c r="M289" s="21">
        <v>1.2909944487358056</v>
      </c>
    </row>
    <row r="290" spans="13:13" x14ac:dyDescent="0.25">
      <c r="M290" s="21">
        <v>0.9574271077563381</v>
      </c>
    </row>
    <row r="291" spans="13:13" x14ac:dyDescent="0.25">
      <c r="M291" s="21">
        <v>1.707825127659933</v>
      </c>
    </row>
    <row r="292" spans="13:13" x14ac:dyDescent="0.25">
      <c r="M292" s="21">
        <v>2.0615528128088303</v>
      </c>
    </row>
    <row r="293" spans="13:13" x14ac:dyDescent="0.25">
      <c r="M293" s="21">
        <v>1.8257418583505538</v>
      </c>
    </row>
    <row r="294" spans="13:13" x14ac:dyDescent="0.25">
      <c r="M294" s="21">
        <v>2.1602468994692869</v>
      </c>
    </row>
    <row r="295" spans="13:13" x14ac:dyDescent="0.25">
      <c r="M295" s="21">
        <v>3.6968455021364721</v>
      </c>
    </row>
    <row r="296" spans="13:13" x14ac:dyDescent="0.25">
      <c r="M296" s="21">
        <v>1.8929694486000912</v>
      </c>
    </row>
    <row r="297" spans="13:13" x14ac:dyDescent="0.25">
      <c r="M297" s="21">
        <v>1.4142135623730951</v>
      </c>
    </row>
    <row r="298" spans="13:13" x14ac:dyDescent="0.25">
      <c r="M298" s="21">
        <v>1.6329931618554521</v>
      </c>
    </row>
    <row r="299" spans="13:13" x14ac:dyDescent="0.25">
      <c r="M299" s="21">
        <v>2.5166114784235831</v>
      </c>
    </row>
    <row r="300" spans="13:13" x14ac:dyDescent="0.25">
      <c r="M300" s="21">
        <v>1.2583057392117916</v>
      </c>
    </row>
    <row r="301" spans="13:13" x14ac:dyDescent="0.25">
      <c r="M301" s="21">
        <v>3.3040379335998349</v>
      </c>
    </row>
    <row r="302" spans="13:13" x14ac:dyDescent="0.25">
      <c r="M302" s="21">
        <v>2.4494897427831779</v>
      </c>
    </row>
    <row r="303" spans="13:13" x14ac:dyDescent="0.25">
      <c r="M303" s="21">
        <v>3.2015621187164243</v>
      </c>
    </row>
    <row r="304" spans="13:13" x14ac:dyDescent="0.25">
      <c r="M304" s="21">
        <v>2.1602468994692869</v>
      </c>
    </row>
    <row r="305" spans="13:13" x14ac:dyDescent="0.25">
      <c r="M305" s="21">
        <v>2.8722813232690143</v>
      </c>
    </row>
    <row r="306" spans="13:13" x14ac:dyDescent="0.25">
      <c r="M306" s="21">
        <v>0.81649658092772603</v>
      </c>
    </row>
    <row r="307" spans="13:13" x14ac:dyDescent="0.25">
      <c r="M307" s="21">
        <v>2.4494897427831779</v>
      </c>
    </row>
    <row r="308" spans="13:13" x14ac:dyDescent="0.25">
      <c r="M308" s="21">
        <v>2.2173557826083452</v>
      </c>
    </row>
    <row r="309" spans="13:13" x14ac:dyDescent="0.25">
      <c r="M309" s="21">
        <v>1.6329931618554521</v>
      </c>
    </row>
    <row r="310" spans="13:13" x14ac:dyDescent="0.25">
      <c r="M310" s="21">
        <v>2.3629078131263039</v>
      </c>
    </row>
    <row r="311" spans="13:13" x14ac:dyDescent="0.25">
      <c r="M311" s="21">
        <v>1.2909944487358056</v>
      </c>
    </row>
    <row r="312" spans="13:13" x14ac:dyDescent="0.25">
      <c r="M312" s="21">
        <v>1.7320508075688772</v>
      </c>
    </row>
    <row r="313" spans="13:13" x14ac:dyDescent="0.25">
      <c r="M313" s="21">
        <v>2.5</v>
      </c>
    </row>
    <row r="314" spans="13:13" x14ac:dyDescent="0.25">
      <c r="M314" s="21">
        <v>3</v>
      </c>
    </row>
    <row r="315" spans="13:13" x14ac:dyDescent="0.25">
      <c r="M315" s="21">
        <v>1.2909944487358056</v>
      </c>
    </row>
    <row r="316" spans="13:13" x14ac:dyDescent="0.25">
      <c r="M316" s="21">
        <v>3.3665016461206929</v>
      </c>
    </row>
    <row r="317" spans="13:13" x14ac:dyDescent="0.25">
      <c r="M317" s="21">
        <v>1.2909944487358056</v>
      </c>
    </row>
    <row r="318" spans="13:13" x14ac:dyDescent="0.25">
      <c r="M318" s="21">
        <v>1.9148542155126762</v>
      </c>
    </row>
    <row r="319" spans="13:13" x14ac:dyDescent="0.25">
      <c r="M319" s="21">
        <v>2.1602468994692869</v>
      </c>
    </row>
    <row r="320" spans="13:13" x14ac:dyDescent="0.25">
      <c r="M320" s="21">
        <v>0.9574271077563381</v>
      </c>
    </row>
    <row r="321" spans="13:13" x14ac:dyDescent="0.25">
      <c r="M321" s="21">
        <v>1.8929694486000912</v>
      </c>
    </row>
    <row r="322" spans="13:13" x14ac:dyDescent="0.25">
      <c r="M322" s="21">
        <v>2.6299556396765835</v>
      </c>
    </row>
    <row r="323" spans="13:13" x14ac:dyDescent="0.25">
      <c r="M323" s="21">
        <v>2.5</v>
      </c>
    </row>
    <row r="324" spans="13:13" x14ac:dyDescent="0.25">
      <c r="M324" s="21">
        <v>1.2909944487358056</v>
      </c>
    </row>
    <row r="325" spans="13:13" x14ac:dyDescent="0.25">
      <c r="M325" s="21">
        <v>2.3094010767585029</v>
      </c>
    </row>
    <row r="326" spans="13:13" x14ac:dyDescent="0.25">
      <c r="M326" s="21">
        <v>1.707825127659933</v>
      </c>
    </row>
    <row r="327" spans="13:13" x14ac:dyDescent="0.25">
      <c r="M327" s="21">
        <v>1.2583057392117916</v>
      </c>
    </row>
    <row r="328" spans="13:13" x14ac:dyDescent="0.25">
      <c r="M328" s="21">
        <v>1.1547005383792515</v>
      </c>
    </row>
    <row r="329" spans="13:13" x14ac:dyDescent="0.25">
      <c r="M329" s="21">
        <v>2.0816659994661326</v>
      </c>
    </row>
    <row r="330" spans="13:13" x14ac:dyDescent="0.25">
      <c r="M330" s="21">
        <v>2.9860788111948193</v>
      </c>
    </row>
    <row r="331" spans="13:13" x14ac:dyDescent="0.25">
      <c r="M331" s="21">
        <v>2.6299556396765835</v>
      </c>
    </row>
    <row r="332" spans="13:13" x14ac:dyDescent="0.25">
      <c r="M332" s="21">
        <v>3.3040379335998349</v>
      </c>
    </row>
    <row r="333" spans="13:13" x14ac:dyDescent="0.25">
      <c r="M333" s="21">
        <v>2.2173557826083452</v>
      </c>
    </row>
    <row r="334" spans="13:13" x14ac:dyDescent="0.25">
      <c r="M334" s="21">
        <v>2.8867513459481291</v>
      </c>
    </row>
    <row r="335" spans="13:13" x14ac:dyDescent="0.25">
      <c r="M335" s="21">
        <v>2.2173557826083452</v>
      </c>
    </row>
    <row r="336" spans="13:13" x14ac:dyDescent="0.25">
      <c r="M336" s="21">
        <v>1.8257418583505538</v>
      </c>
    </row>
    <row r="337" spans="13:13" x14ac:dyDescent="0.25">
      <c r="M337" s="21">
        <v>2.3804761428476167</v>
      </c>
    </row>
    <row r="338" spans="13:13" x14ac:dyDescent="0.25">
      <c r="M338" s="21">
        <v>1.5</v>
      </c>
    </row>
    <row r="339" spans="13:13" x14ac:dyDescent="0.25">
      <c r="M339" s="21">
        <v>0.81649658092772603</v>
      </c>
    </row>
    <row r="340" spans="13:13" x14ac:dyDescent="0.25">
      <c r="M340" s="21">
        <v>0.57735026918962573</v>
      </c>
    </row>
    <row r="341" spans="13:13" x14ac:dyDescent="0.25">
      <c r="M341" s="21">
        <v>2.2173557826083452</v>
      </c>
    </row>
    <row r="342" spans="13:13" x14ac:dyDescent="0.25">
      <c r="M342" s="21">
        <v>1.5</v>
      </c>
    </row>
    <row r="343" spans="13:13" x14ac:dyDescent="0.25">
      <c r="M343" s="21">
        <v>2.0816659994661326</v>
      </c>
    </row>
    <row r="344" spans="13:13" x14ac:dyDescent="0.25">
      <c r="M344" s="21">
        <v>2.5819888974716112</v>
      </c>
    </row>
    <row r="345" spans="13:13" x14ac:dyDescent="0.25">
      <c r="M345" s="21">
        <v>0.9574271077563381</v>
      </c>
    </row>
    <row r="346" spans="13:13" x14ac:dyDescent="0.25">
      <c r="M346" s="21">
        <v>2.6457513110645907</v>
      </c>
    </row>
    <row r="347" spans="13:13" x14ac:dyDescent="0.25">
      <c r="M347" s="21">
        <v>1.4142135623730951</v>
      </c>
    </row>
    <row r="348" spans="13:13" x14ac:dyDescent="0.25">
      <c r="M348" s="21">
        <v>2.2173557826083452</v>
      </c>
    </row>
    <row r="349" spans="13:13" x14ac:dyDescent="0.25">
      <c r="M349" s="21">
        <v>0.9574271077563381</v>
      </c>
    </row>
    <row r="350" spans="13:13" x14ac:dyDescent="0.25">
      <c r="M350" s="21">
        <v>1.6329931618554521</v>
      </c>
    </row>
    <row r="351" spans="13:13" x14ac:dyDescent="0.25">
      <c r="M351" s="21">
        <v>1.5</v>
      </c>
    </row>
    <row r="352" spans="13:13" x14ac:dyDescent="0.25">
      <c r="M352" s="21">
        <v>2.9860788111948193</v>
      </c>
    </row>
    <row r="353" spans="13:13" x14ac:dyDescent="0.25">
      <c r="M353" s="21">
        <v>1.9148542155126762</v>
      </c>
    </row>
    <row r="354" spans="13:13" x14ac:dyDescent="0.25">
      <c r="M354" s="21">
        <v>2.3804761428476167</v>
      </c>
    </row>
    <row r="355" spans="13:13" x14ac:dyDescent="0.25">
      <c r="M355" s="21">
        <v>2.9439202887759488</v>
      </c>
    </row>
    <row r="356" spans="13:13" x14ac:dyDescent="0.25">
      <c r="M356" s="21">
        <v>0.81649658092772603</v>
      </c>
    </row>
    <row r="357" spans="13:13" x14ac:dyDescent="0.25">
      <c r="M357" s="21">
        <v>1.7320508075688772</v>
      </c>
    </row>
    <row r="358" spans="13:13" x14ac:dyDescent="0.25">
      <c r="M358" s="21">
        <v>1.2909944487358056</v>
      </c>
    </row>
    <row r="359" spans="13:13" x14ac:dyDescent="0.25">
      <c r="M359" s="21">
        <v>1.4142135623730951</v>
      </c>
    </row>
    <row r="360" spans="13:13" x14ac:dyDescent="0.25">
      <c r="M360" s="21">
        <v>1.5</v>
      </c>
    </row>
    <row r="361" spans="13:13" x14ac:dyDescent="0.25">
      <c r="M361" s="21">
        <v>3.6855573979159968</v>
      </c>
    </row>
    <row r="362" spans="13:13" x14ac:dyDescent="0.25">
      <c r="M362" s="21">
        <v>2.1602468994692869</v>
      </c>
    </row>
    <row r="363" spans="13:13" x14ac:dyDescent="0.25">
      <c r="M363" s="21">
        <v>2.2173557826083452</v>
      </c>
    </row>
    <row r="364" spans="13:13" x14ac:dyDescent="0.25">
      <c r="M364" s="21">
        <v>3.5</v>
      </c>
    </row>
    <row r="365" spans="13:13" x14ac:dyDescent="0.25">
      <c r="M365" s="21">
        <v>2.8867513459481291</v>
      </c>
    </row>
    <row r="366" spans="13:13" x14ac:dyDescent="0.25">
      <c r="M366" s="21">
        <v>4.2031734043061642</v>
      </c>
    </row>
    <row r="367" spans="13:13" x14ac:dyDescent="0.25">
      <c r="M367" s="21">
        <v>1.5</v>
      </c>
    </row>
    <row r="368" spans="13:13" x14ac:dyDescent="0.25">
      <c r="M368" s="21">
        <v>2.753785273643051</v>
      </c>
    </row>
    <row r="369" spans="13:13" x14ac:dyDescent="0.25">
      <c r="M369" s="21">
        <v>3.9475730941090039</v>
      </c>
    </row>
    <row r="370" spans="13:13" x14ac:dyDescent="0.25">
      <c r="M370" s="21">
        <v>1.7320508075688772</v>
      </c>
    </row>
    <row r="371" spans="13:13" x14ac:dyDescent="0.25">
      <c r="M371" s="21">
        <v>1.8257418583505538</v>
      </c>
    </row>
    <row r="372" spans="13:13" x14ac:dyDescent="0.25">
      <c r="M372" s="21">
        <v>1</v>
      </c>
    </row>
    <row r="373" spans="13:13" x14ac:dyDescent="0.25">
      <c r="M373" s="21">
        <v>2.2173557826083452</v>
      </c>
    </row>
    <row r="374" spans="13:13" x14ac:dyDescent="0.25">
      <c r="M374" s="21">
        <v>1.4142135623730951</v>
      </c>
    </row>
    <row r="375" spans="13:13" x14ac:dyDescent="0.25">
      <c r="M375" s="21">
        <v>2.0615528128088303</v>
      </c>
    </row>
    <row r="376" spans="13:13" x14ac:dyDescent="0.25">
      <c r="M376" s="21">
        <v>2.9860788111948193</v>
      </c>
    </row>
    <row r="377" spans="13:13" x14ac:dyDescent="0.25">
      <c r="M377" s="21">
        <v>1.5</v>
      </c>
    </row>
    <row r="378" spans="13:13" x14ac:dyDescent="0.25">
      <c r="M378" s="21">
        <v>3.4034296427770228</v>
      </c>
    </row>
    <row r="379" spans="13:13" x14ac:dyDescent="0.25">
      <c r="M379" s="21">
        <v>3.2659863237109041</v>
      </c>
    </row>
    <row r="380" spans="13:13" x14ac:dyDescent="0.25">
      <c r="M380" s="21">
        <v>1.2583057392117916</v>
      </c>
    </row>
    <row r="381" spans="13:13" x14ac:dyDescent="0.25">
      <c r="M381" s="21">
        <v>1.8929694486000912</v>
      </c>
    </row>
    <row r="382" spans="13:13" x14ac:dyDescent="0.25">
      <c r="M382" s="21">
        <v>2.8867513459481291</v>
      </c>
    </row>
    <row r="383" spans="13:13" x14ac:dyDescent="0.25">
      <c r="M383" s="21">
        <v>1.7320508075688772</v>
      </c>
    </row>
    <row r="384" spans="13:13" x14ac:dyDescent="0.25">
      <c r="M384" s="21">
        <v>2.9439202887759488</v>
      </c>
    </row>
    <row r="385" spans="13:13" x14ac:dyDescent="0.25">
      <c r="M385" s="21">
        <v>2.8867513459481291</v>
      </c>
    </row>
    <row r="386" spans="13:13" x14ac:dyDescent="0.25">
      <c r="M386" s="21">
        <v>2.0615528128088303</v>
      </c>
    </row>
    <row r="387" spans="13:13" x14ac:dyDescent="0.25">
      <c r="M387" s="21">
        <v>1.707825127659933</v>
      </c>
    </row>
    <row r="388" spans="13:13" x14ac:dyDescent="0.25">
      <c r="M388" s="21">
        <v>2.9439202887759488</v>
      </c>
    </row>
    <row r="389" spans="13:13" x14ac:dyDescent="0.25">
      <c r="M389" s="21">
        <v>2.753785273643051</v>
      </c>
    </row>
    <row r="390" spans="13:13" x14ac:dyDescent="0.25">
      <c r="M390" s="21">
        <v>2.1602468994692869</v>
      </c>
    </row>
    <row r="391" spans="13:13" x14ac:dyDescent="0.25">
      <c r="M391" s="21">
        <v>1.8257418583505538</v>
      </c>
    </row>
    <row r="392" spans="13:13" x14ac:dyDescent="0.25">
      <c r="M392" s="21">
        <v>1.707825127659933</v>
      </c>
    </row>
    <row r="393" spans="13:13" x14ac:dyDescent="0.25">
      <c r="M393" s="21">
        <v>1.8257418583505538</v>
      </c>
    </row>
    <row r="394" spans="13:13" x14ac:dyDescent="0.25">
      <c r="M394" s="21">
        <v>1.8257418583505538</v>
      </c>
    </row>
    <row r="395" spans="13:13" x14ac:dyDescent="0.25">
      <c r="M395" s="21">
        <v>2.2173557826083452</v>
      </c>
    </row>
    <row r="396" spans="13:13" x14ac:dyDescent="0.25">
      <c r="M396" s="21">
        <v>1.5</v>
      </c>
    </row>
    <row r="397" spans="13:13" x14ac:dyDescent="0.25">
      <c r="M397" s="21">
        <v>2.5</v>
      </c>
    </row>
    <row r="398" spans="13:13" x14ac:dyDescent="0.25">
      <c r="M398" s="21">
        <v>1.4142135623730951</v>
      </c>
    </row>
    <row r="399" spans="13:13" x14ac:dyDescent="0.25">
      <c r="M399" s="21">
        <v>3.7749172176353749</v>
      </c>
    </row>
    <row r="400" spans="13:13" x14ac:dyDescent="0.25">
      <c r="M400" s="21">
        <v>1.1547005383792515</v>
      </c>
    </row>
    <row r="401" spans="13:13" x14ac:dyDescent="0.25">
      <c r="M401" s="21">
        <v>2.5819888974716112</v>
      </c>
    </row>
    <row r="402" spans="13:13" x14ac:dyDescent="0.25">
      <c r="M402" s="21">
        <v>4.1129875597510219</v>
      </c>
    </row>
    <row r="403" spans="13:13" x14ac:dyDescent="0.25">
      <c r="M403" s="21">
        <v>1</v>
      </c>
    </row>
    <row r="404" spans="13:13" x14ac:dyDescent="0.25">
      <c r="M404" s="21">
        <v>0.81649658092772603</v>
      </c>
    </row>
    <row r="405" spans="13:13" x14ac:dyDescent="0.25">
      <c r="M405" s="21">
        <v>1.707825127659933</v>
      </c>
    </row>
    <row r="406" spans="13:13" x14ac:dyDescent="0.25">
      <c r="M406" s="21">
        <v>1.5</v>
      </c>
    </row>
    <row r="407" spans="13:13" x14ac:dyDescent="0.25">
      <c r="M407" s="21">
        <v>4.5460605656619517</v>
      </c>
    </row>
    <row r="408" spans="13:13" x14ac:dyDescent="0.25">
      <c r="M408" s="21">
        <v>2.5</v>
      </c>
    </row>
    <row r="409" spans="13:13" x14ac:dyDescent="0.25">
      <c r="M409" s="21">
        <v>2</v>
      </c>
    </row>
    <row r="410" spans="13:13" x14ac:dyDescent="0.25">
      <c r="M410" s="21">
        <v>1.7320508075688772</v>
      </c>
    </row>
    <row r="411" spans="13:13" x14ac:dyDescent="0.25">
      <c r="M411" s="21">
        <v>0.81649658092772603</v>
      </c>
    </row>
    <row r="412" spans="13:13" x14ac:dyDescent="0.25">
      <c r="M412" s="21">
        <v>2.1602468994692869</v>
      </c>
    </row>
    <row r="413" spans="13:13" x14ac:dyDescent="0.25">
      <c r="M413" s="21">
        <v>1.7320508075688772</v>
      </c>
    </row>
    <row r="414" spans="13:13" x14ac:dyDescent="0.25">
      <c r="M414" s="21">
        <v>0.9574271077563381</v>
      </c>
    </row>
    <row r="415" spans="13:13" x14ac:dyDescent="0.25">
      <c r="M415" s="21">
        <v>4.2426406871192848</v>
      </c>
    </row>
    <row r="416" spans="13:13" x14ac:dyDescent="0.25">
      <c r="M416" s="21">
        <v>2.1602468994692869</v>
      </c>
    </row>
    <row r="417" spans="13:13" x14ac:dyDescent="0.25">
      <c r="M417" s="21">
        <v>2.0816659994661326</v>
      </c>
    </row>
    <row r="418" spans="13:13" x14ac:dyDescent="0.25">
      <c r="M418" s="21">
        <v>2.3094010767585029</v>
      </c>
    </row>
    <row r="419" spans="13:13" x14ac:dyDescent="0.25">
      <c r="M419" s="21">
        <v>1.2909944487358056</v>
      </c>
    </row>
    <row r="420" spans="13:13" x14ac:dyDescent="0.25">
      <c r="M420" s="21">
        <v>1.4142135623730951</v>
      </c>
    </row>
    <row r="421" spans="13:13" x14ac:dyDescent="0.25">
      <c r="M421" s="21">
        <v>1.707825127659933</v>
      </c>
    </row>
    <row r="422" spans="13:13" x14ac:dyDescent="0.25">
      <c r="M422" s="21">
        <v>2.5166114784235831</v>
      </c>
    </row>
    <row r="423" spans="13:13" x14ac:dyDescent="0.25">
      <c r="M423" s="21">
        <v>2.6299556396765835</v>
      </c>
    </row>
    <row r="424" spans="13:13" x14ac:dyDescent="0.25">
      <c r="M424" s="21">
        <v>2.5</v>
      </c>
    </row>
    <row r="425" spans="13:13" x14ac:dyDescent="0.25">
      <c r="M425" s="21">
        <v>3.1622776601683795</v>
      </c>
    </row>
    <row r="426" spans="13:13" x14ac:dyDescent="0.25">
      <c r="M426" s="21">
        <v>0.5</v>
      </c>
    </row>
    <row r="427" spans="13:13" x14ac:dyDescent="0.25">
      <c r="M427" s="21">
        <v>2.0615528128088303</v>
      </c>
    </row>
    <row r="428" spans="13:13" x14ac:dyDescent="0.25">
      <c r="M428" s="21">
        <v>1.4142135623730951</v>
      </c>
    </row>
    <row r="429" spans="13:13" x14ac:dyDescent="0.25">
      <c r="M429" s="21">
        <v>1.4142135623730951</v>
      </c>
    </row>
    <row r="430" spans="13:13" x14ac:dyDescent="0.25">
      <c r="M430" s="21">
        <v>1.7320508075688772</v>
      </c>
    </row>
    <row r="431" spans="13:13" x14ac:dyDescent="0.25">
      <c r="M431" s="21">
        <v>1.8257418583505538</v>
      </c>
    </row>
    <row r="432" spans="13:13" x14ac:dyDescent="0.25">
      <c r="M432" s="21">
        <v>2.2173557826083452</v>
      </c>
    </row>
    <row r="433" spans="13:13" x14ac:dyDescent="0.25">
      <c r="M433" s="21">
        <v>2.2173557826083452</v>
      </c>
    </row>
    <row r="434" spans="13:13" x14ac:dyDescent="0.25">
      <c r="M434" s="21">
        <v>2.6299556396765835</v>
      </c>
    </row>
    <row r="435" spans="13:13" x14ac:dyDescent="0.25">
      <c r="M435" s="21">
        <v>2.1602468994692869</v>
      </c>
    </row>
    <row r="436" spans="13:13" x14ac:dyDescent="0.25">
      <c r="M436" s="21">
        <v>1.8257418583505538</v>
      </c>
    </row>
    <row r="437" spans="13:13" x14ac:dyDescent="0.25">
      <c r="M437" s="21">
        <v>2.3629078131263039</v>
      </c>
    </row>
    <row r="438" spans="13:13" x14ac:dyDescent="0.25">
      <c r="M438" s="21">
        <v>2.1602468994692869</v>
      </c>
    </row>
    <row r="439" spans="13:13" x14ac:dyDescent="0.25">
      <c r="M439" s="21">
        <v>2.2173557826083452</v>
      </c>
    </row>
    <row r="440" spans="13:13" x14ac:dyDescent="0.25">
      <c r="M440" s="21">
        <v>1.8929694486000912</v>
      </c>
    </row>
    <row r="441" spans="13:13" x14ac:dyDescent="0.25">
      <c r="M441" s="21">
        <v>2.2173557826083452</v>
      </c>
    </row>
    <row r="442" spans="13:13" x14ac:dyDescent="0.25">
      <c r="M442" s="21">
        <v>2.1602468994692869</v>
      </c>
    </row>
    <row r="443" spans="13:13" x14ac:dyDescent="0.25">
      <c r="M443" s="21">
        <v>2.5</v>
      </c>
    </row>
    <row r="444" spans="13:13" x14ac:dyDescent="0.25">
      <c r="M444" s="21">
        <v>1.4142135623730951</v>
      </c>
    </row>
    <row r="445" spans="13:13" x14ac:dyDescent="0.25">
      <c r="M445" s="21">
        <v>2.5166114784235831</v>
      </c>
    </row>
    <row r="446" spans="13:13" x14ac:dyDescent="0.25">
      <c r="M446" s="21">
        <v>1.7320508075688772</v>
      </c>
    </row>
    <row r="447" spans="13:13" x14ac:dyDescent="0.25">
      <c r="M447" s="21">
        <v>2.8867513459481291</v>
      </c>
    </row>
    <row r="448" spans="13:13" x14ac:dyDescent="0.25">
      <c r="M448" s="21">
        <v>1</v>
      </c>
    </row>
    <row r="449" spans="13:13" x14ac:dyDescent="0.25">
      <c r="M449" s="21">
        <v>0.5</v>
      </c>
    </row>
    <row r="450" spans="13:13" x14ac:dyDescent="0.25">
      <c r="M450" s="21">
        <v>2.5</v>
      </c>
    </row>
    <row r="451" spans="13:13" x14ac:dyDescent="0.25">
      <c r="M451" s="21">
        <v>1.707825127659933</v>
      </c>
    </row>
    <row r="452" spans="13:13" x14ac:dyDescent="0.25">
      <c r="M452" s="21">
        <v>1.707825127659933</v>
      </c>
    </row>
    <row r="453" spans="13:13" x14ac:dyDescent="0.25">
      <c r="M453" s="21">
        <v>1.5</v>
      </c>
    </row>
    <row r="454" spans="13:13" x14ac:dyDescent="0.25">
      <c r="M454" s="21">
        <v>1.7320508075688772</v>
      </c>
    </row>
    <row r="455" spans="13:13" x14ac:dyDescent="0.25">
      <c r="M455" s="21">
        <v>0.9574271077563381</v>
      </c>
    </row>
    <row r="456" spans="13:13" x14ac:dyDescent="0.25">
      <c r="M456" s="21">
        <v>2.8722813232690143</v>
      </c>
    </row>
    <row r="457" spans="13:13" x14ac:dyDescent="0.25">
      <c r="M457" s="21">
        <v>1</v>
      </c>
    </row>
    <row r="458" spans="13:13" x14ac:dyDescent="0.25">
      <c r="M458" s="21">
        <v>2.0615528128088303</v>
      </c>
    </row>
    <row r="459" spans="13:13" x14ac:dyDescent="0.25">
      <c r="M459" s="21">
        <v>0.9574271077563381</v>
      </c>
    </row>
    <row r="460" spans="13:13" x14ac:dyDescent="0.25">
      <c r="M460" s="21">
        <v>4.1932485418030412</v>
      </c>
    </row>
    <row r="461" spans="13:13" x14ac:dyDescent="0.25">
      <c r="M461" s="21">
        <v>2.5819888974716112</v>
      </c>
    </row>
    <row r="462" spans="13:13" x14ac:dyDescent="0.25">
      <c r="M462" s="21">
        <v>1.1547005383792515</v>
      </c>
    </row>
    <row r="463" spans="13:13" x14ac:dyDescent="0.25">
      <c r="M463" s="21">
        <v>2.9860788111948193</v>
      </c>
    </row>
    <row r="464" spans="13:13" x14ac:dyDescent="0.25">
      <c r="M464" s="21">
        <v>2.1602468994692869</v>
      </c>
    </row>
    <row r="465" spans="13:13" x14ac:dyDescent="0.25">
      <c r="M465" s="21">
        <v>1.4142135623730951</v>
      </c>
    </row>
    <row r="466" spans="13:13" x14ac:dyDescent="0.25">
      <c r="M466" s="21">
        <v>2.3804761428476167</v>
      </c>
    </row>
    <row r="467" spans="13:13" x14ac:dyDescent="0.25">
      <c r="M467" s="21">
        <v>2.3804761428476167</v>
      </c>
    </row>
    <row r="468" spans="13:13" x14ac:dyDescent="0.25">
      <c r="M468" s="21">
        <v>2.6299556396765835</v>
      </c>
    </row>
    <row r="469" spans="13:13" x14ac:dyDescent="0.25">
      <c r="M469" s="21">
        <v>2.1602468994692869</v>
      </c>
    </row>
    <row r="470" spans="13:13" x14ac:dyDescent="0.25">
      <c r="M470" s="21">
        <v>2.2173557826083452</v>
      </c>
    </row>
    <row r="471" spans="13:13" x14ac:dyDescent="0.25">
      <c r="M471" s="21">
        <v>3.1091263510296048</v>
      </c>
    </row>
    <row r="472" spans="13:13" x14ac:dyDescent="0.25">
      <c r="M472" s="21">
        <v>2.8722813232690143</v>
      </c>
    </row>
    <row r="473" spans="13:13" x14ac:dyDescent="0.25">
      <c r="M473" s="21">
        <v>1.1547005383792515</v>
      </c>
    </row>
    <row r="474" spans="13:13" x14ac:dyDescent="0.25">
      <c r="M474" s="21">
        <v>3.4641016151377544</v>
      </c>
    </row>
    <row r="475" spans="13:13" x14ac:dyDescent="0.25">
      <c r="M475" s="21">
        <v>2.1602468994692869</v>
      </c>
    </row>
    <row r="476" spans="13:13" x14ac:dyDescent="0.25">
      <c r="M476" s="21">
        <v>2.6457513110645907</v>
      </c>
    </row>
    <row r="477" spans="13:13" x14ac:dyDescent="0.25">
      <c r="M477" s="21">
        <v>2.2173557826083452</v>
      </c>
    </row>
    <row r="478" spans="13:13" x14ac:dyDescent="0.25">
      <c r="M478" s="21">
        <v>2.9860788111948193</v>
      </c>
    </row>
    <row r="479" spans="13:13" x14ac:dyDescent="0.25">
      <c r="M479" s="21">
        <v>2.2173557826083452</v>
      </c>
    </row>
    <row r="480" spans="13:13" x14ac:dyDescent="0.25">
      <c r="M480" s="21">
        <v>1.707825127659933</v>
      </c>
    </row>
    <row r="481" spans="13:13" x14ac:dyDescent="0.25">
      <c r="M481" s="21">
        <v>2.70801280154532</v>
      </c>
    </row>
    <row r="482" spans="13:13" x14ac:dyDescent="0.25">
      <c r="M482" s="21">
        <v>1.9148542155126762</v>
      </c>
    </row>
    <row r="483" spans="13:13" x14ac:dyDescent="0.25">
      <c r="M483" s="21">
        <v>3.0956959368344519</v>
      </c>
    </row>
    <row r="484" spans="13:13" x14ac:dyDescent="0.25">
      <c r="M484" s="21">
        <v>2.5</v>
      </c>
    </row>
    <row r="485" spans="13:13" x14ac:dyDescent="0.25">
      <c r="M485" s="21">
        <v>1.707825127659933</v>
      </c>
    </row>
    <row r="486" spans="13:13" x14ac:dyDescent="0.25">
      <c r="M486" s="21">
        <v>1.2583057392117916</v>
      </c>
    </row>
    <row r="487" spans="13:13" x14ac:dyDescent="0.25">
      <c r="M487" s="21">
        <v>2.8722813232690143</v>
      </c>
    </row>
    <row r="488" spans="13:13" x14ac:dyDescent="0.25">
      <c r="M488" s="21">
        <v>2.6299556396765835</v>
      </c>
    </row>
    <row r="489" spans="13:13" x14ac:dyDescent="0.25">
      <c r="M489" s="21">
        <v>3.1091263510296048</v>
      </c>
    </row>
    <row r="490" spans="13:13" x14ac:dyDescent="0.25">
      <c r="M490" s="21">
        <v>1.8929694486000912</v>
      </c>
    </row>
    <row r="491" spans="13:13" x14ac:dyDescent="0.25">
      <c r="M491" s="21">
        <v>1.2909944487358056</v>
      </c>
    </row>
    <row r="492" spans="13:13" x14ac:dyDescent="0.25">
      <c r="M492" s="21">
        <v>2.2173557826083452</v>
      </c>
    </row>
    <row r="493" spans="13:13" x14ac:dyDescent="0.25">
      <c r="M493" s="21">
        <v>1.6329931618554521</v>
      </c>
    </row>
    <row r="494" spans="13:13" x14ac:dyDescent="0.25">
      <c r="M494" s="21">
        <v>2.5819888974716112</v>
      </c>
    </row>
    <row r="495" spans="13:13" x14ac:dyDescent="0.25">
      <c r="M495" s="21">
        <v>4.1129875597510219</v>
      </c>
    </row>
    <row r="496" spans="13:13" x14ac:dyDescent="0.25">
      <c r="M496" s="21">
        <v>1.2909944487358056</v>
      </c>
    </row>
    <row r="497" spans="13:13" x14ac:dyDescent="0.25">
      <c r="M497" s="21">
        <v>2.5</v>
      </c>
    </row>
    <row r="498" spans="13:13" x14ac:dyDescent="0.25">
      <c r="M498" s="21">
        <v>1.5</v>
      </c>
    </row>
    <row r="499" spans="13:13" x14ac:dyDescent="0.25">
      <c r="M499" s="21">
        <v>1.2583057392117916</v>
      </c>
    </row>
    <row r="500" spans="13:13" x14ac:dyDescent="0.25">
      <c r="M500" s="21">
        <v>3.1091263510296048</v>
      </c>
    </row>
    <row r="501" spans="13:13" x14ac:dyDescent="0.25">
      <c r="M501" s="21">
        <v>2.6299556396765835</v>
      </c>
    </row>
    <row r="502" spans="13:13" x14ac:dyDescent="0.25">
      <c r="M502" s="21">
        <v>1.7320508075688772</v>
      </c>
    </row>
    <row r="503" spans="13:13" x14ac:dyDescent="0.25">
      <c r="M503" s="21">
        <v>1.2583057392117916</v>
      </c>
    </row>
    <row r="504" spans="13:13" x14ac:dyDescent="0.25">
      <c r="M504" s="21">
        <v>4</v>
      </c>
    </row>
    <row r="505" spans="13:13" x14ac:dyDescent="0.25">
      <c r="M505" s="21">
        <v>3.5939764421413041</v>
      </c>
    </row>
    <row r="506" spans="13:13" x14ac:dyDescent="0.25">
      <c r="M506" s="21">
        <v>2.3804761428476167</v>
      </c>
    </row>
    <row r="507" spans="13:13" x14ac:dyDescent="0.25">
      <c r="M507" s="21">
        <v>3.6968455021364721</v>
      </c>
    </row>
    <row r="508" spans="13:13" x14ac:dyDescent="0.25">
      <c r="M508" s="21">
        <v>1.707825127659933</v>
      </c>
    </row>
    <row r="509" spans="13:13" x14ac:dyDescent="0.25">
      <c r="M509" s="21">
        <v>2.3629078131263039</v>
      </c>
    </row>
    <row r="510" spans="13:13" x14ac:dyDescent="0.25">
      <c r="M510" s="21">
        <v>1.4142135623730951</v>
      </c>
    </row>
    <row r="511" spans="13:13" x14ac:dyDescent="0.25">
      <c r="M511" s="21">
        <v>2.6457513110645907</v>
      </c>
    </row>
    <row r="512" spans="13:13" x14ac:dyDescent="0.25">
      <c r="M512" s="21">
        <v>1.8257418583505538</v>
      </c>
    </row>
    <row r="513" spans="13:13" x14ac:dyDescent="0.25">
      <c r="M513" s="21">
        <v>3.1091263510296048</v>
      </c>
    </row>
    <row r="514" spans="13:13" x14ac:dyDescent="0.25">
      <c r="M514" s="21">
        <v>1.4142135623730951</v>
      </c>
    </row>
    <row r="515" spans="13:13" x14ac:dyDescent="0.25">
      <c r="M515" s="21">
        <v>2.8284271247461903</v>
      </c>
    </row>
    <row r="516" spans="13:13" x14ac:dyDescent="0.25">
      <c r="M516" s="21">
        <v>1.8257418583505538</v>
      </c>
    </row>
    <row r="517" spans="13:13" x14ac:dyDescent="0.25">
      <c r="M517" s="21">
        <v>2.2173557826083452</v>
      </c>
    </row>
    <row r="518" spans="13:13" x14ac:dyDescent="0.25">
      <c r="M518" s="21">
        <v>1.7320508075688772</v>
      </c>
    </row>
    <row r="519" spans="13:13" x14ac:dyDescent="0.25">
      <c r="M519" s="21">
        <v>1.4142135623730951</v>
      </c>
    </row>
    <row r="520" spans="13:13" x14ac:dyDescent="0.25">
      <c r="M520" s="21">
        <v>1.707825127659933</v>
      </c>
    </row>
    <row r="521" spans="13:13" x14ac:dyDescent="0.25">
      <c r="M521" s="21">
        <v>2.6457513110645907</v>
      </c>
    </row>
    <row r="522" spans="13:13" x14ac:dyDescent="0.25">
      <c r="M522" s="21">
        <v>2.0615528128088303</v>
      </c>
    </row>
    <row r="523" spans="13:13" x14ac:dyDescent="0.25">
      <c r="M523" s="21">
        <v>2.0816659994661326</v>
      </c>
    </row>
    <row r="524" spans="13:13" x14ac:dyDescent="0.25">
      <c r="M524" s="21">
        <v>2.0816659994661326</v>
      </c>
    </row>
    <row r="525" spans="13:13" x14ac:dyDescent="0.25">
      <c r="M525" s="21">
        <v>2.2173557826083452</v>
      </c>
    </row>
    <row r="526" spans="13:13" x14ac:dyDescent="0.25">
      <c r="M526" s="21">
        <v>1.2909944487358056</v>
      </c>
    </row>
    <row r="527" spans="13:13" x14ac:dyDescent="0.25">
      <c r="M527" s="21">
        <v>1.2909944487358056</v>
      </c>
    </row>
    <row r="528" spans="13:13" x14ac:dyDescent="0.25">
      <c r="M528" s="21">
        <v>2.1602468994692869</v>
      </c>
    </row>
    <row r="529" spans="13:13" x14ac:dyDescent="0.25">
      <c r="M529" s="21">
        <v>2.2173557826083452</v>
      </c>
    </row>
    <row r="530" spans="13:13" x14ac:dyDescent="0.25">
      <c r="M530" s="21">
        <v>2.4494897427831779</v>
      </c>
    </row>
    <row r="531" spans="13:13" x14ac:dyDescent="0.25">
      <c r="M531" s="21">
        <v>2.3804761428476167</v>
      </c>
    </row>
    <row r="532" spans="13:13" x14ac:dyDescent="0.25">
      <c r="M532" s="21">
        <v>2.5</v>
      </c>
    </row>
    <row r="533" spans="13:13" x14ac:dyDescent="0.25">
      <c r="M533" s="21">
        <v>2.5819888974716112</v>
      </c>
    </row>
    <row r="534" spans="13:13" x14ac:dyDescent="0.25">
      <c r="M534" s="21">
        <v>2.4494897427831779</v>
      </c>
    </row>
    <row r="535" spans="13:13" x14ac:dyDescent="0.25">
      <c r="M535" s="21">
        <v>1.707825127659933</v>
      </c>
    </row>
    <row r="536" spans="13:13" x14ac:dyDescent="0.25">
      <c r="M536" s="21">
        <v>2.4494897427831779</v>
      </c>
    </row>
    <row r="537" spans="13:13" x14ac:dyDescent="0.25">
      <c r="M537" s="21">
        <v>2.9860788111948193</v>
      </c>
    </row>
    <row r="538" spans="13:13" x14ac:dyDescent="0.25">
      <c r="M538" s="21">
        <v>2.2173557826083452</v>
      </c>
    </row>
    <row r="539" spans="13:13" x14ac:dyDescent="0.25">
      <c r="M539" s="21">
        <v>2.753785273643051</v>
      </c>
    </row>
    <row r="540" spans="13:13" x14ac:dyDescent="0.25">
      <c r="M540" s="21">
        <v>3.5</v>
      </c>
    </row>
    <row r="541" spans="13:13" x14ac:dyDescent="0.25">
      <c r="M541" s="21">
        <v>3.8622100754188224</v>
      </c>
    </row>
    <row r="542" spans="13:13" x14ac:dyDescent="0.25">
      <c r="M542" s="21">
        <v>0.9574271077563381</v>
      </c>
    </row>
    <row r="543" spans="13:13" x14ac:dyDescent="0.25">
      <c r="M543" s="21">
        <v>1.5</v>
      </c>
    </row>
    <row r="544" spans="13:13" x14ac:dyDescent="0.25">
      <c r="M544" s="21">
        <v>0.57735026918962573</v>
      </c>
    </row>
    <row r="545" spans="13:13" x14ac:dyDescent="0.25">
      <c r="M545" s="21">
        <v>1.6329931618554521</v>
      </c>
    </row>
    <row r="546" spans="13:13" x14ac:dyDescent="0.25">
      <c r="M546" s="21">
        <v>2.0615528128088303</v>
      </c>
    </row>
    <row r="547" spans="13:13" x14ac:dyDescent="0.25">
      <c r="M547" s="21">
        <v>1.5</v>
      </c>
    </row>
    <row r="548" spans="13:13" x14ac:dyDescent="0.25">
      <c r="M548" s="21">
        <v>2.2173557826083452</v>
      </c>
    </row>
    <row r="549" spans="13:13" x14ac:dyDescent="0.25">
      <c r="M549" s="21">
        <v>1.707825127659933</v>
      </c>
    </row>
    <row r="550" spans="13:13" x14ac:dyDescent="0.25">
      <c r="M550" s="21">
        <v>2.6457513110645907</v>
      </c>
    </row>
    <row r="551" spans="13:13" x14ac:dyDescent="0.25">
      <c r="M551" s="21">
        <v>5.4390562906935731</v>
      </c>
    </row>
    <row r="552" spans="13:13" x14ac:dyDescent="0.25">
      <c r="M552" s="21">
        <v>2.2173557826083452</v>
      </c>
    </row>
    <row r="553" spans="13:13" x14ac:dyDescent="0.25">
      <c r="M553" s="21">
        <v>1.4142135623730951</v>
      </c>
    </row>
    <row r="554" spans="13:13" x14ac:dyDescent="0.25">
      <c r="M554" s="21">
        <v>2.2173557826083452</v>
      </c>
    </row>
    <row r="555" spans="13:13" x14ac:dyDescent="0.25">
      <c r="M555" s="21">
        <v>3.5</v>
      </c>
    </row>
    <row r="556" spans="13:13" x14ac:dyDescent="0.25">
      <c r="M556" s="21">
        <v>3.1091263510296048</v>
      </c>
    </row>
    <row r="557" spans="13:13" x14ac:dyDescent="0.25">
      <c r="M557" s="21">
        <v>2.9439202887759488</v>
      </c>
    </row>
    <row r="558" spans="13:13" x14ac:dyDescent="0.25">
      <c r="M558" s="21">
        <v>2.5</v>
      </c>
    </row>
    <row r="559" spans="13:13" x14ac:dyDescent="0.25">
      <c r="M559" s="21">
        <v>1.2583057392117916</v>
      </c>
    </row>
    <row r="560" spans="13:13" x14ac:dyDescent="0.25">
      <c r="M560" s="21">
        <v>3.5939764421413041</v>
      </c>
    </row>
    <row r="561" spans="13:13" x14ac:dyDescent="0.25">
      <c r="M561" s="21">
        <v>2.9439202887759488</v>
      </c>
    </row>
    <row r="562" spans="13:13" x14ac:dyDescent="0.25">
      <c r="M562" s="21">
        <v>1.4142135623730951</v>
      </c>
    </row>
    <row r="563" spans="13:13" x14ac:dyDescent="0.25">
      <c r="M563" s="21">
        <v>0.81649658092772603</v>
      </c>
    </row>
    <row r="564" spans="13:13" x14ac:dyDescent="0.25">
      <c r="M564" s="21">
        <v>1.707825127659933</v>
      </c>
    </row>
    <row r="565" spans="13:13" x14ac:dyDescent="0.25">
      <c r="M565" s="21">
        <v>1.1547005383792515</v>
      </c>
    </row>
    <row r="566" spans="13:13" x14ac:dyDescent="0.25">
      <c r="M566" s="21">
        <v>1</v>
      </c>
    </row>
    <row r="567" spans="13:13" x14ac:dyDescent="0.25">
      <c r="M567" s="21">
        <v>1.4142135623730951</v>
      </c>
    </row>
    <row r="568" spans="13:13" x14ac:dyDescent="0.25">
      <c r="M568" s="21">
        <v>1.4142135623730951</v>
      </c>
    </row>
    <row r="569" spans="13:13" x14ac:dyDescent="0.25">
      <c r="M569" s="21">
        <v>2.0615528128088303</v>
      </c>
    </row>
    <row r="570" spans="13:13" x14ac:dyDescent="0.25">
      <c r="M570" s="21">
        <v>1.4142135623730951</v>
      </c>
    </row>
    <row r="571" spans="13:13" x14ac:dyDescent="0.25">
      <c r="M571" s="21">
        <v>2.3804761428476167</v>
      </c>
    </row>
    <row r="572" spans="13:13" x14ac:dyDescent="0.25">
      <c r="M572" s="21">
        <v>1.2909944487358056</v>
      </c>
    </row>
    <row r="573" spans="13:13" x14ac:dyDescent="0.25">
      <c r="M573" s="21">
        <v>2.6457513110645907</v>
      </c>
    </row>
    <row r="574" spans="13:13" x14ac:dyDescent="0.25">
      <c r="M574" s="21">
        <v>0.9574271077563381</v>
      </c>
    </row>
    <row r="575" spans="13:13" x14ac:dyDescent="0.25">
      <c r="M575" s="21">
        <v>4.0311288741492746</v>
      </c>
    </row>
    <row r="576" spans="13:13" x14ac:dyDescent="0.25">
      <c r="M576" s="21">
        <v>0.9574271077563381</v>
      </c>
    </row>
    <row r="577" spans="13:13" x14ac:dyDescent="0.25">
      <c r="M577" s="21">
        <v>2.3804761428476167</v>
      </c>
    </row>
    <row r="578" spans="13:13" x14ac:dyDescent="0.25">
      <c r="M578" s="21">
        <v>2.9439202887759488</v>
      </c>
    </row>
    <row r="579" spans="13:13" x14ac:dyDescent="0.25">
      <c r="M579" s="21">
        <v>0.9574271077563381</v>
      </c>
    </row>
    <row r="580" spans="13:13" x14ac:dyDescent="0.25">
      <c r="M580" s="21">
        <v>2.753785273643051</v>
      </c>
    </row>
    <row r="581" spans="13:13" x14ac:dyDescent="0.25">
      <c r="M581" s="21">
        <v>1.9148542155126762</v>
      </c>
    </row>
    <row r="582" spans="13:13" x14ac:dyDescent="0.25">
      <c r="M582" s="21">
        <v>1.5</v>
      </c>
    </row>
    <row r="583" spans="13:13" x14ac:dyDescent="0.25">
      <c r="M583" s="21">
        <v>2.0816659994661326</v>
      </c>
    </row>
    <row r="584" spans="13:13" x14ac:dyDescent="0.25">
      <c r="M584" s="21">
        <v>1.2909944487358056</v>
      </c>
    </row>
    <row r="585" spans="13:13" x14ac:dyDescent="0.25">
      <c r="M585" s="21">
        <v>3.6968455021364721</v>
      </c>
    </row>
    <row r="586" spans="13:13" x14ac:dyDescent="0.25">
      <c r="M586" s="21">
        <v>1.7320508075688772</v>
      </c>
    </row>
    <row r="587" spans="13:13" x14ac:dyDescent="0.25">
      <c r="M587" s="21">
        <v>2.2173557826083452</v>
      </c>
    </row>
    <row r="588" spans="13:13" x14ac:dyDescent="0.25">
      <c r="M588" s="21">
        <v>1.707825127659933</v>
      </c>
    </row>
    <row r="589" spans="13:13" x14ac:dyDescent="0.25">
      <c r="M589" s="21">
        <v>2.5819888974716112</v>
      </c>
    </row>
    <row r="590" spans="13:13" x14ac:dyDescent="0.25">
      <c r="M590" s="21">
        <v>2.6457513110645907</v>
      </c>
    </row>
    <row r="591" spans="13:13" x14ac:dyDescent="0.25">
      <c r="M591" s="21">
        <v>1.4142135623730951</v>
      </c>
    </row>
    <row r="592" spans="13:13" x14ac:dyDescent="0.25">
      <c r="M592" s="21">
        <v>2</v>
      </c>
    </row>
    <row r="593" spans="13:13" x14ac:dyDescent="0.25">
      <c r="M593" s="21">
        <v>3.0956959368344519</v>
      </c>
    </row>
    <row r="594" spans="13:13" x14ac:dyDescent="0.25">
      <c r="M594" s="21">
        <v>1.2909944487358056</v>
      </c>
    </row>
    <row r="595" spans="13:13" x14ac:dyDescent="0.25">
      <c r="M595" s="21">
        <v>3.6968455021364721</v>
      </c>
    </row>
    <row r="596" spans="13:13" x14ac:dyDescent="0.25">
      <c r="M596" s="21">
        <v>2.4494897427831779</v>
      </c>
    </row>
    <row r="597" spans="13:13" x14ac:dyDescent="0.25">
      <c r="M597" s="21">
        <v>3.1091263510296048</v>
      </c>
    </row>
    <row r="598" spans="13:13" x14ac:dyDescent="0.25">
      <c r="M598" s="21">
        <v>2.0615528128088303</v>
      </c>
    </row>
    <row r="599" spans="13:13" x14ac:dyDescent="0.25">
      <c r="M599" s="21">
        <v>1.4142135623730951</v>
      </c>
    </row>
    <row r="600" spans="13:13" x14ac:dyDescent="0.25">
      <c r="M600" s="21">
        <v>2.0615528128088303</v>
      </c>
    </row>
    <row r="601" spans="13:13" x14ac:dyDescent="0.25">
      <c r="M601" s="21">
        <v>2.3804761428476167</v>
      </c>
    </row>
    <row r="602" spans="13:13" x14ac:dyDescent="0.25">
      <c r="M602" s="21">
        <v>0.5</v>
      </c>
    </row>
    <row r="603" spans="13:13" x14ac:dyDescent="0.25">
      <c r="M603" s="21">
        <v>2.6457513110645907</v>
      </c>
    </row>
    <row r="604" spans="13:13" x14ac:dyDescent="0.25">
      <c r="M604" s="21">
        <v>1</v>
      </c>
    </row>
    <row r="605" spans="13:13" x14ac:dyDescent="0.25">
      <c r="M605" s="21">
        <v>0.81649658092772603</v>
      </c>
    </row>
    <row r="606" spans="13:13" x14ac:dyDescent="0.25">
      <c r="M606" s="21">
        <v>3.1622776601683795</v>
      </c>
    </row>
    <row r="607" spans="13:13" x14ac:dyDescent="0.25">
      <c r="M607" s="21">
        <v>1.4142135623730951</v>
      </c>
    </row>
    <row r="608" spans="13:13" x14ac:dyDescent="0.25">
      <c r="M608" s="21">
        <v>0.81649658092772603</v>
      </c>
    </row>
    <row r="609" spans="13:13" x14ac:dyDescent="0.25">
      <c r="M609" s="21">
        <v>2.6299556396765835</v>
      </c>
    </row>
    <row r="610" spans="13:13" x14ac:dyDescent="0.25">
      <c r="M610" s="21">
        <v>2.0816659994661326</v>
      </c>
    </row>
    <row r="611" spans="13:13" x14ac:dyDescent="0.25">
      <c r="M611" s="21">
        <v>1.9148542155126762</v>
      </c>
    </row>
    <row r="612" spans="13:13" x14ac:dyDescent="0.25">
      <c r="M612" s="21">
        <v>1.707825127659933</v>
      </c>
    </row>
    <row r="613" spans="13:13" x14ac:dyDescent="0.25">
      <c r="M613" s="21">
        <v>1.707825127659933</v>
      </c>
    </row>
    <row r="614" spans="13:13" x14ac:dyDescent="0.25">
      <c r="M614" s="21">
        <v>2.3804761428476167</v>
      </c>
    </row>
    <row r="615" spans="13:13" x14ac:dyDescent="0.25">
      <c r="M615" s="21">
        <v>3.0956959368344519</v>
      </c>
    </row>
    <row r="616" spans="13:13" x14ac:dyDescent="0.25">
      <c r="M616" s="21">
        <v>2.8284271247461903</v>
      </c>
    </row>
    <row r="617" spans="13:13" x14ac:dyDescent="0.25">
      <c r="M617" s="21">
        <v>0.9574271077563381</v>
      </c>
    </row>
    <row r="618" spans="13:13" x14ac:dyDescent="0.25">
      <c r="M618" s="21">
        <v>2.2173557826083452</v>
      </c>
    </row>
    <row r="619" spans="13:13" x14ac:dyDescent="0.25">
      <c r="M619" s="21">
        <v>1.707825127659933</v>
      </c>
    </row>
    <row r="620" spans="13:13" x14ac:dyDescent="0.25">
      <c r="M620" s="21">
        <v>1.1547005383792515</v>
      </c>
    </row>
    <row r="621" spans="13:13" x14ac:dyDescent="0.25">
      <c r="M621" s="21">
        <v>1.707825127659933</v>
      </c>
    </row>
    <row r="622" spans="13:13" x14ac:dyDescent="0.25">
      <c r="M622" s="21">
        <v>1.4142135623730951</v>
      </c>
    </row>
    <row r="623" spans="13:13" x14ac:dyDescent="0.25">
      <c r="M623" s="21">
        <v>0.5</v>
      </c>
    </row>
    <row r="624" spans="13:13" x14ac:dyDescent="0.25">
      <c r="M624" s="21">
        <v>2.0615528128088303</v>
      </c>
    </row>
    <row r="625" spans="13:13" x14ac:dyDescent="0.25">
      <c r="M625" s="21">
        <v>3.5939764421413041</v>
      </c>
    </row>
    <row r="626" spans="13:13" x14ac:dyDescent="0.25">
      <c r="M626" s="21">
        <v>2.5819888974716112</v>
      </c>
    </row>
    <row r="627" spans="13:13" x14ac:dyDescent="0.25">
      <c r="M627" s="21">
        <v>2.8722813232690143</v>
      </c>
    </row>
    <row r="628" spans="13:13" x14ac:dyDescent="0.25">
      <c r="M628" s="21">
        <v>1.707825127659933</v>
      </c>
    </row>
    <row r="629" spans="13:13" x14ac:dyDescent="0.25">
      <c r="M629" s="21">
        <v>1</v>
      </c>
    </row>
    <row r="630" spans="13:13" x14ac:dyDescent="0.25">
      <c r="M630" s="21">
        <v>1.5</v>
      </c>
    </row>
    <row r="631" spans="13:13" x14ac:dyDescent="0.25">
      <c r="M631" s="21">
        <v>2.0615528128088303</v>
      </c>
    </row>
    <row r="632" spans="13:13" x14ac:dyDescent="0.25">
      <c r="M632" s="21">
        <v>1.5</v>
      </c>
    </row>
    <row r="633" spans="13:13" x14ac:dyDescent="0.25">
      <c r="M633" s="21">
        <v>1.2909944487358056</v>
      </c>
    </row>
    <row r="634" spans="13:13" x14ac:dyDescent="0.25">
      <c r="M634" s="21">
        <v>2.3629078131263039</v>
      </c>
    </row>
    <row r="635" spans="13:13" x14ac:dyDescent="0.25">
      <c r="M635" s="21">
        <v>0</v>
      </c>
    </row>
    <row r="636" spans="13:13" x14ac:dyDescent="0.25">
      <c r="M636" s="21">
        <v>2.753785273643051</v>
      </c>
    </row>
    <row r="637" spans="13:13" x14ac:dyDescent="0.25">
      <c r="M637" s="21">
        <v>1.4142135623730951</v>
      </c>
    </row>
    <row r="638" spans="13:13" x14ac:dyDescent="0.25">
      <c r="M638" s="21">
        <v>2.3804761428476167</v>
      </c>
    </row>
    <row r="639" spans="13:13" x14ac:dyDescent="0.25">
      <c r="M639" s="21">
        <v>2.2173557826083452</v>
      </c>
    </row>
    <row r="640" spans="13:13" x14ac:dyDescent="0.25">
      <c r="M640" s="21">
        <v>2.6299556396765835</v>
      </c>
    </row>
    <row r="641" spans="13:13" x14ac:dyDescent="0.25">
      <c r="M641" s="21">
        <v>2.2173557826083452</v>
      </c>
    </row>
    <row r="642" spans="13:13" x14ac:dyDescent="0.25">
      <c r="M642" s="21">
        <v>2.1602468994692869</v>
      </c>
    </row>
    <row r="643" spans="13:13" x14ac:dyDescent="0.25">
      <c r="M643" s="21">
        <v>2.70801280154532</v>
      </c>
    </row>
    <row r="644" spans="13:13" x14ac:dyDescent="0.25">
      <c r="M644" s="21">
        <v>3.3040379335998349</v>
      </c>
    </row>
    <row r="645" spans="13:13" x14ac:dyDescent="0.25">
      <c r="M645" s="21">
        <v>2.3629078131263039</v>
      </c>
    </row>
    <row r="646" spans="13:13" x14ac:dyDescent="0.25">
      <c r="M646" s="21">
        <v>2.9860788111948193</v>
      </c>
    </row>
    <row r="647" spans="13:13" x14ac:dyDescent="0.25">
      <c r="M647" s="21">
        <v>1.2583057392117916</v>
      </c>
    </row>
    <row r="648" spans="13:13" x14ac:dyDescent="0.25">
      <c r="M648" s="21">
        <v>2.2173557826083452</v>
      </c>
    </row>
    <row r="649" spans="13:13" x14ac:dyDescent="0.25">
      <c r="M649" s="21">
        <v>2.753785273643051</v>
      </c>
    </row>
    <row r="650" spans="13:13" x14ac:dyDescent="0.25">
      <c r="M650" s="21">
        <v>3.1091263510296048</v>
      </c>
    </row>
    <row r="651" spans="13:13" x14ac:dyDescent="0.25">
      <c r="M651" s="21">
        <v>2.0615528128088303</v>
      </c>
    </row>
    <row r="652" spans="13:13" x14ac:dyDescent="0.25">
      <c r="M652" s="21">
        <v>3.3166247903553998</v>
      </c>
    </row>
    <row r="653" spans="13:13" x14ac:dyDescent="0.25">
      <c r="M653" s="21">
        <v>3</v>
      </c>
    </row>
    <row r="654" spans="13:13" x14ac:dyDescent="0.25">
      <c r="M654" s="21">
        <v>2.0615528128088303</v>
      </c>
    </row>
    <row r="655" spans="13:13" x14ac:dyDescent="0.25">
      <c r="M655" s="21">
        <v>2.8722813232690143</v>
      </c>
    </row>
    <row r="656" spans="13:13" x14ac:dyDescent="0.25">
      <c r="M656" s="21">
        <v>3.4641016151377544</v>
      </c>
    </row>
    <row r="657" spans="13:13" x14ac:dyDescent="0.25">
      <c r="M657" s="21">
        <v>0.57735026918962573</v>
      </c>
    </row>
    <row r="658" spans="13:13" x14ac:dyDescent="0.25">
      <c r="M658" s="21">
        <v>1.8929694486000912</v>
      </c>
    </row>
    <row r="659" spans="13:13" x14ac:dyDescent="0.25">
      <c r="M659" s="21">
        <v>1.1547005383792515</v>
      </c>
    </row>
    <row r="660" spans="13:13" x14ac:dyDescent="0.25">
      <c r="M660" s="21">
        <v>2.5</v>
      </c>
    </row>
    <row r="661" spans="13:13" x14ac:dyDescent="0.25">
      <c r="M661" s="21">
        <v>1.1547005383792515</v>
      </c>
    </row>
    <row r="662" spans="13:13" x14ac:dyDescent="0.25">
      <c r="M662" s="21">
        <v>1.8257418583505538</v>
      </c>
    </row>
    <row r="663" spans="13:13" x14ac:dyDescent="0.25">
      <c r="M663" s="21">
        <v>2.6457513110645907</v>
      </c>
    </row>
    <row r="664" spans="13:13" x14ac:dyDescent="0.25">
      <c r="M664" s="21">
        <v>0.81649658092772603</v>
      </c>
    </row>
    <row r="665" spans="13:13" x14ac:dyDescent="0.25">
      <c r="M665" s="21">
        <v>1</v>
      </c>
    </row>
    <row r="666" spans="13:13" x14ac:dyDescent="0.25">
      <c r="M666" s="21">
        <v>1.4142135623730951</v>
      </c>
    </row>
    <row r="667" spans="13:13" x14ac:dyDescent="0.25">
      <c r="M667" s="21">
        <v>1.707825127659933</v>
      </c>
    </row>
    <row r="668" spans="13:13" x14ac:dyDescent="0.25">
      <c r="M668" s="21">
        <v>3.7416573867739413</v>
      </c>
    </row>
    <row r="669" spans="13:13" x14ac:dyDescent="0.25">
      <c r="M669" s="21">
        <v>1.4142135623730951</v>
      </c>
    </row>
    <row r="670" spans="13:13" x14ac:dyDescent="0.25">
      <c r="M670" s="21">
        <v>2.6299556396765835</v>
      </c>
    </row>
    <row r="671" spans="13:13" x14ac:dyDescent="0.25">
      <c r="M671" s="21">
        <v>2.8722813232690143</v>
      </c>
    </row>
    <row r="672" spans="13:13" x14ac:dyDescent="0.25">
      <c r="M672" s="21">
        <v>2.8284271247461903</v>
      </c>
    </row>
    <row r="673" spans="13:13" x14ac:dyDescent="0.25">
      <c r="M673" s="21">
        <v>1.8929694486000912</v>
      </c>
    </row>
    <row r="674" spans="13:13" x14ac:dyDescent="0.25">
      <c r="M674" s="21">
        <v>1.2583057392117916</v>
      </c>
    </row>
    <row r="675" spans="13:13" x14ac:dyDescent="0.25">
      <c r="M675" s="21">
        <v>3.8297084310253524</v>
      </c>
    </row>
    <row r="676" spans="13:13" x14ac:dyDescent="0.25">
      <c r="M676" s="21">
        <v>4.1932485418030412</v>
      </c>
    </row>
    <row r="677" spans="13:13" x14ac:dyDescent="0.25">
      <c r="M677" s="21">
        <v>0.9574271077563381</v>
      </c>
    </row>
    <row r="678" spans="13:13" x14ac:dyDescent="0.25">
      <c r="M678" s="21">
        <v>1.9148542155126762</v>
      </c>
    </row>
    <row r="679" spans="13:13" x14ac:dyDescent="0.25">
      <c r="M679" s="21">
        <v>3.1091263510296048</v>
      </c>
    </row>
    <row r="680" spans="13:13" x14ac:dyDescent="0.25">
      <c r="M680" s="21">
        <v>1.707825127659933</v>
      </c>
    </row>
    <row r="681" spans="13:13" x14ac:dyDescent="0.25">
      <c r="M681" s="21">
        <v>2.6457513110645907</v>
      </c>
    </row>
    <row r="682" spans="13:13" x14ac:dyDescent="0.25">
      <c r="M682" s="21">
        <v>1.7320508075688772</v>
      </c>
    </row>
    <row r="683" spans="13:13" x14ac:dyDescent="0.25">
      <c r="M683" s="21">
        <v>2.5166114784235831</v>
      </c>
    </row>
    <row r="684" spans="13:13" x14ac:dyDescent="0.25">
      <c r="M684" s="21">
        <v>2.1602468994692869</v>
      </c>
    </row>
    <row r="685" spans="13:13" x14ac:dyDescent="0.25">
      <c r="M685" s="21">
        <v>1.4142135623730951</v>
      </c>
    </row>
    <row r="686" spans="13:13" x14ac:dyDescent="0.25">
      <c r="M686" s="21">
        <v>1.8257418583505538</v>
      </c>
    </row>
    <row r="687" spans="13:13" x14ac:dyDescent="0.25">
      <c r="M687" s="21">
        <v>2.753785273643051</v>
      </c>
    </row>
    <row r="688" spans="13:13" x14ac:dyDescent="0.25">
      <c r="M688" s="21">
        <v>1.4142135623730951</v>
      </c>
    </row>
    <row r="689" spans="13:13" x14ac:dyDescent="0.25">
      <c r="M689" s="21">
        <v>1.2909944487358056</v>
      </c>
    </row>
    <row r="690" spans="13:13" x14ac:dyDescent="0.25">
      <c r="M690" s="21">
        <v>0.5</v>
      </c>
    </row>
    <row r="691" spans="13:13" x14ac:dyDescent="0.25">
      <c r="M691" s="21">
        <v>0.81649658092772603</v>
      </c>
    </row>
    <row r="692" spans="13:13" x14ac:dyDescent="0.25">
      <c r="M692" s="21">
        <v>2.8722813232690143</v>
      </c>
    </row>
    <row r="693" spans="13:13" x14ac:dyDescent="0.25">
      <c r="M693" s="21">
        <v>2.2173557826083452</v>
      </c>
    </row>
    <row r="694" spans="13:13" x14ac:dyDescent="0.25">
      <c r="M694" s="21">
        <v>2.8722813232690143</v>
      </c>
    </row>
    <row r="695" spans="13:13" x14ac:dyDescent="0.25">
      <c r="M695" s="21">
        <v>2.5</v>
      </c>
    </row>
    <row r="696" spans="13:13" x14ac:dyDescent="0.25">
      <c r="M696" s="21">
        <v>1.2909944487358056</v>
      </c>
    </row>
    <row r="697" spans="13:13" x14ac:dyDescent="0.25">
      <c r="M697" s="21">
        <v>1.1547005383792515</v>
      </c>
    </row>
    <row r="698" spans="13:13" x14ac:dyDescent="0.25">
      <c r="M698" s="21">
        <v>2.5819888974716112</v>
      </c>
    </row>
    <row r="699" spans="13:13" x14ac:dyDescent="0.25">
      <c r="M699" s="21">
        <v>2.0816659994661326</v>
      </c>
    </row>
    <row r="700" spans="13:13" x14ac:dyDescent="0.25">
      <c r="M700" s="21">
        <v>0.9574271077563381</v>
      </c>
    </row>
    <row r="701" spans="13:13" x14ac:dyDescent="0.25">
      <c r="M701" s="21">
        <v>2.2173557826083452</v>
      </c>
    </row>
    <row r="702" spans="13:13" x14ac:dyDescent="0.25">
      <c r="M702" s="21">
        <v>2.6457513110645907</v>
      </c>
    </row>
    <row r="703" spans="13:13" x14ac:dyDescent="0.25">
      <c r="M703" s="21">
        <v>1.6329931618554521</v>
      </c>
    </row>
    <row r="704" spans="13:13" x14ac:dyDescent="0.25">
      <c r="M704" s="21">
        <v>2.2173557826083452</v>
      </c>
    </row>
    <row r="705" spans="13:13" x14ac:dyDescent="0.25">
      <c r="M705" s="21">
        <v>1.9148542155126762</v>
      </c>
    </row>
    <row r="706" spans="13:13" x14ac:dyDescent="0.25">
      <c r="M706" s="21">
        <v>1.5</v>
      </c>
    </row>
    <row r="707" spans="13:13" x14ac:dyDescent="0.25">
      <c r="M707" s="21">
        <v>2.9860788111948193</v>
      </c>
    </row>
    <row r="708" spans="13:13" x14ac:dyDescent="0.25">
      <c r="M708" s="21">
        <v>2.0615528128088303</v>
      </c>
    </row>
    <row r="709" spans="13:13" x14ac:dyDescent="0.25">
      <c r="M709" s="21">
        <v>0.5</v>
      </c>
    </row>
    <row r="710" spans="13:13" x14ac:dyDescent="0.25">
      <c r="M710" s="21">
        <v>1.2583057392117916</v>
      </c>
    </row>
    <row r="711" spans="13:13" x14ac:dyDescent="0.25">
      <c r="M711" s="21">
        <v>1.5</v>
      </c>
    </row>
    <row r="712" spans="13:13" x14ac:dyDescent="0.25">
      <c r="M712" s="21">
        <v>1.2583057392117916</v>
      </c>
    </row>
    <row r="713" spans="13:13" x14ac:dyDescent="0.25">
      <c r="M713" s="21">
        <v>3.4641016151377544</v>
      </c>
    </row>
    <row r="714" spans="13:13" x14ac:dyDescent="0.25">
      <c r="M714" s="21">
        <v>2.6299556396765835</v>
      </c>
    </row>
    <row r="715" spans="13:13" x14ac:dyDescent="0.25">
      <c r="M715" s="21">
        <v>1.5</v>
      </c>
    </row>
    <row r="716" spans="13:13" x14ac:dyDescent="0.25">
      <c r="M716" s="21">
        <v>1.5</v>
      </c>
    </row>
    <row r="717" spans="13:13" x14ac:dyDescent="0.25">
      <c r="M717" s="21">
        <v>2.8722813232690143</v>
      </c>
    </row>
    <row r="718" spans="13:13" x14ac:dyDescent="0.25">
      <c r="M718" s="21">
        <v>2.753785273643051</v>
      </c>
    </row>
    <row r="719" spans="13:13" x14ac:dyDescent="0.25">
      <c r="M719" s="21">
        <v>1</v>
      </c>
    </row>
    <row r="720" spans="13:13" x14ac:dyDescent="0.25">
      <c r="M720" s="21">
        <v>0.9574271077563381</v>
      </c>
    </row>
    <row r="721" spans="13:13" x14ac:dyDescent="0.25">
      <c r="M721" s="21">
        <v>2.0816659994661326</v>
      </c>
    </row>
    <row r="722" spans="13:13" x14ac:dyDescent="0.25">
      <c r="M722" s="21">
        <v>1.5</v>
      </c>
    </row>
    <row r="723" spans="13:13" x14ac:dyDescent="0.25">
      <c r="M723" s="21">
        <v>2.9860788111948193</v>
      </c>
    </row>
    <row r="724" spans="13:13" x14ac:dyDescent="0.25">
      <c r="M724" s="21">
        <v>2.0816659994661326</v>
      </c>
    </row>
    <row r="725" spans="13:13" x14ac:dyDescent="0.25">
      <c r="M725" s="21">
        <v>1.7320508075688772</v>
      </c>
    </row>
    <row r="726" spans="13:13" x14ac:dyDescent="0.25">
      <c r="M726" s="21">
        <v>1.2583057392117916</v>
      </c>
    </row>
    <row r="727" spans="13:13" x14ac:dyDescent="0.25">
      <c r="M727" s="21">
        <v>3.7749172176353749</v>
      </c>
    </row>
    <row r="728" spans="13:13" x14ac:dyDescent="0.25">
      <c r="M728" s="21">
        <v>4.1932485418030412</v>
      </c>
    </row>
    <row r="729" spans="13:13" x14ac:dyDescent="0.25">
      <c r="M729" s="21">
        <v>1.7320508075688772</v>
      </c>
    </row>
    <row r="730" spans="13:13" x14ac:dyDescent="0.25">
      <c r="M730" s="21">
        <v>1.2583057392117916</v>
      </c>
    </row>
    <row r="731" spans="13:13" x14ac:dyDescent="0.25">
      <c r="M731" s="21">
        <v>3.7749172176353749</v>
      </c>
    </row>
    <row r="732" spans="13:13" x14ac:dyDescent="0.25">
      <c r="M732" s="21">
        <v>3.3665016461206929</v>
      </c>
    </row>
    <row r="733" spans="13:13" x14ac:dyDescent="0.25">
      <c r="M733" s="21">
        <v>2.9439202887759488</v>
      </c>
    </row>
    <row r="734" spans="13:13" x14ac:dyDescent="0.25">
      <c r="M734" s="21">
        <v>2.3629078131263039</v>
      </c>
    </row>
    <row r="735" spans="13:13" x14ac:dyDescent="0.25">
      <c r="M735" s="21">
        <v>1.707825127659933</v>
      </c>
    </row>
    <row r="736" spans="13:13" x14ac:dyDescent="0.25">
      <c r="M736" s="21">
        <v>1.2909944487358056</v>
      </c>
    </row>
    <row r="737" spans="13:13" x14ac:dyDescent="0.25">
      <c r="M737" s="21">
        <v>1.9148542155126762</v>
      </c>
    </row>
    <row r="738" spans="13:13" x14ac:dyDescent="0.25">
      <c r="M738" s="21">
        <v>1.4142135623730951</v>
      </c>
    </row>
    <row r="739" spans="13:13" x14ac:dyDescent="0.25">
      <c r="M739" s="21">
        <v>0.9574271077563381</v>
      </c>
    </row>
    <row r="740" spans="13:13" x14ac:dyDescent="0.25">
      <c r="M740" s="21">
        <v>2</v>
      </c>
    </row>
    <row r="741" spans="13:13" x14ac:dyDescent="0.25">
      <c r="M741" s="21">
        <v>1.4142135623730951</v>
      </c>
    </row>
    <row r="742" spans="13:13" x14ac:dyDescent="0.25">
      <c r="M742" s="21">
        <v>3.415650255319866</v>
      </c>
    </row>
    <row r="743" spans="13:13" x14ac:dyDescent="0.25">
      <c r="M743" s="21">
        <v>1.707825127659933</v>
      </c>
    </row>
    <row r="744" spans="13:13" x14ac:dyDescent="0.25">
      <c r="M744" s="21">
        <v>2.4494897427831779</v>
      </c>
    </row>
    <row r="745" spans="13:13" x14ac:dyDescent="0.25">
      <c r="M745" s="21">
        <v>1.707825127659933</v>
      </c>
    </row>
    <row r="746" spans="13:13" x14ac:dyDescent="0.25">
      <c r="M746" s="21">
        <v>1.5</v>
      </c>
    </row>
    <row r="747" spans="13:13" x14ac:dyDescent="0.25">
      <c r="M747" s="21">
        <v>1.707825127659933</v>
      </c>
    </row>
    <row r="748" spans="13:13" x14ac:dyDescent="0.25">
      <c r="M748" s="21">
        <v>1.2583057392117916</v>
      </c>
    </row>
    <row r="749" spans="13:13" x14ac:dyDescent="0.25">
      <c r="M749" s="21">
        <v>2.6299556396765835</v>
      </c>
    </row>
    <row r="750" spans="13:13" x14ac:dyDescent="0.25">
      <c r="M750" s="21">
        <v>2.8867513459481291</v>
      </c>
    </row>
    <row r="751" spans="13:13" x14ac:dyDescent="0.25">
      <c r="M751" s="21">
        <v>1.707825127659933</v>
      </c>
    </row>
    <row r="752" spans="13:13" x14ac:dyDescent="0.25">
      <c r="M752" s="21">
        <v>3.1091263510296048</v>
      </c>
    </row>
    <row r="753" spans="13:13" x14ac:dyDescent="0.25">
      <c r="M753" s="21">
        <v>2.0816659994661326</v>
      </c>
    </row>
    <row r="754" spans="13:13" x14ac:dyDescent="0.25">
      <c r="M754" s="21">
        <v>3.3665016461206929</v>
      </c>
    </row>
    <row r="755" spans="13:13" x14ac:dyDescent="0.25">
      <c r="M755" s="21">
        <v>2.1602468994692869</v>
      </c>
    </row>
    <row r="756" spans="13:13" x14ac:dyDescent="0.25">
      <c r="M756" s="21">
        <v>2.1602468994692869</v>
      </c>
    </row>
    <row r="757" spans="13:13" x14ac:dyDescent="0.25">
      <c r="M757" s="21">
        <v>2.1602468994692869</v>
      </c>
    </row>
    <row r="758" spans="13:13" x14ac:dyDescent="0.25">
      <c r="M758" s="21">
        <v>2.8722813232690143</v>
      </c>
    </row>
    <row r="759" spans="13:13" x14ac:dyDescent="0.25">
      <c r="M759" s="21">
        <v>1.707825127659933</v>
      </c>
    </row>
    <row r="760" spans="13:13" x14ac:dyDescent="0.25">
      <c r="M760" s="21">
        <v>1.8257418583505538</v>
      </c>
    </row>
    <row r="761" spans="13:13" x14ac:dyDescent="0.25">
      <c r="M761" s="21">
        <v>1.8929694486000912</v>
      </c>
    </row>
    <row r="762" spans="13:13" x14ac:dyDescent="0.25">
      <c r="M762" s="21">
        <v>1.2909944487358056</v>
      </c>
    </row>
    <row r="763" spans="13:13" x14ac:dyDescent="0.25">
      <c r="M763" s="21">
        <v>2.0615528128088303</v>
      </c>
    </row>
    <row r="764" spans="13:13" x14ac:dyDescent="0.25">
      <c r="M764" s="21">
        <v>3.1622776601683795</v>
      </c>
    </row>
    <row r="765" spans="13:13" x14ac:dyDescent="0.25">
      <c r="M765" s="21">
        <v>3</v>
      </c>
    </row>
    <row r="766" spans="13:13" x14ac:dyDescent="0.25">
      <c r="M766" s="21">
        <v>1.5</v>
      </c>
    </row>
    <row r="767" spans="13:13" x14ac:dyDescent="0.25">
      <c r="M767" s="21">
        <v>2.8722813232690143</v>
      </c>
    </row>
    <row r="768" spans="13:13" x14ac:dyDescent="0.25">
      <c r="M768" s="21">
        <v>1.8257418583505538</v>
      </c>
    </row>
    <row r="769" spans="13:13" x14ac:dyDescent="0.25">
      <c r="M769" s="21">
        <v>2.8284271247461903</v>
      </c>
    </row>
    <row r="770" spans="13:13" x14ac:dyDescent="0.25">
      <c r="M770" s="21">
        <v>2.0816659994661326</v>
      </c>
    </row>
    <row r="771" spans="13:13" x14ac:dyDescent="0.25">
      <c r="M771" s="21">
        <v>3.3665016461206929</v>
      </c>
    </row>
    <row r="772" spans="13:13" x14ac:dyDescent="0.25">
      <c r="M772" s="21">
        <v>1.1547005383792515</v>
      </c>
    </row>
    <row r="773" spans="13:13" x14ac:dyDescent="0.25">
      <c r="M773" s="21">
        <v>2.5</v>
      </c>
    </row>
    <row r="774" spans="13:13" x14ac:dyDescent="0.25">
      <c r="M774" s="21">
        <v>2.8722813232690143</v>
      </c>
    </row>
    <row r="775" spans="13:13" x14ac:dyDescent="0.25">
      <c r="M775" s="21">
        <v>0.5</v>
      </c>
    </row>
    <row r="776" spans="13:13" x14ac:dyDescent="0.25">
      <c r="M776" s="21">
        <v>3</v>
      </c>
    </row>
    <row r="777" spans="13:13" x14ac:dyDescent="0.25">
      <c r="M777" s="21">
        <v>1.5</v>
      </c>
    </row>
    <row r="778" spans="13:13" x14ac:dyDescent="0.25">
      <c r="M778" s="21">
        <v>2.6299556396765835</v>
      </c>
    </row>
    <row r="779" spans="13:13" x14ac:dyDescent="0.25">
      <c r="M779" s="21">
        <v>3.2015621187164243</v>
      </c>
    </row>
    <row r="780" spans="13:13" x14ac:dyDescent="0.25">
      <c r="M780" s="21">
        <v>2.3804761428476167</v>
      </c>
    </row>
    <row r="781" spans="13:13" x14ac:dyDescent="0.25">
      <c r="M781" s="21">
        <v>1.4142135623730951</v>
      </c>
    </row>
    <row r="782" spans="13:13" x14ac:dyDescent="0.25">
      <c r="M782" s="21">
        <v>2.0615528128088303</v>
      </c>
    </row>
    <row r="783" spans="13:13" x14ac:dyDescent="0.25">
      <c r="M783" s="21">
        <v>0.9574271077563381</v>
      </c>
    </row>
    <row r="784" spans="13:13" x14ac:dyDescent="0.25">
      <c r="M784" s="21">
        <v>0.9574271077563381</v>
      </c>
    </row>
    <row r="785" spans="13:13" x14ac:dyDescent="0.25">
      <c r="M785" s="21">
        <v>2.2173557826083452</v>
      </c>
    </row>
    <row r="786" spans="13:13" x14ac:dyDescent="0.25">
      <c r="M786" s="21">
        <v>2.6457513110645907</v>
      </c>
    </row>
    <row r="787" spans="13:13" x14ac:dyDescent="0.25">
      <c r="M787" s="21">
        <v>1.4142135623730951</v>
      </c>
    </row>
    <row r="788" spans="13:13" x14ac:dyDescent="0.25">
      <c r="M788" s="21">
        <v>0.57735026918962573</v>
      </c>
    </row>
    <row r="789" spans="13:13" x14ac:dyDescent="0.25">
      <c r="M789" s="21">
        <v>1.2909944487358056</v>
      </c>
    </row>
    <row r="790" spans="13:13" x14ac:dyDescent="0.25">
      <c r="M790" s="21">
        <v>2.3629078131263039</v>
      </c>
    </row>
    <row r="791" spans="13:13" x14ac:dyDescent="0.25">
      <c r="M791" s="21">
        <v>1.5</v>
      </c>
    </row>
    <row r="792" spans="13:13" x14ac:dyDescent="0.25">
      <c r="M792" s="21">
        <v>1.7320508075688772</v>
      </c>
    </row>
    <row r="793" spans="13:13" x14ac:dyDescent="0.25">
      <c r="M793" s="21">
        <v>1.2909944487358056</v>
      </c>
    </row>
    <row r="794" spans="13:13" x14ac:dyDescent="0.25">
      <c r="M794" s="21">
        <v>0.9574271077563381</v>
      </c>
    </row>
    <row r="795" spans="13:13" x14ac:dyDescent="0.25">
      <c r="M795" s="21">
        <v>3.3166247903553998</v>
      </c>
    </row>
    <row r="796" spans="13:13" x14ac:dyDescent="0.25">
      <c r="M796" s="21">
        <v>1.9148542155126762</v>
      </c>
    </row>
    <row r="797" spans="13:13" x14ac:dyDescent="0.25">
      <c r="M797" s="21">
        <v>1.707825127659933</v>
      </c>
    </row>
    <row r="798" spans="13:13" x14ac:dyDescent="0.25">
      <c r="M798" s="21">
        <v>1.5</v>
      </c>
    </row>
    <row r="799" spans="13:13" x14ac:dyDescent="0.25">
      <c r="M799" s="21">
        <v>1.2583057392117916</v>
      </c>
    </row>
    <row r="800" spans="13:13" x14ac:dyDescent="0.25">
      <c r="M800" s="21">
        <v>1.707825127659933</v>
      </c>
    </row>
    <row r="801" spans="13:13" x14ac:dyDescent="0.25">
      <c r="M801" s="21">
        <v>2.6299556396765835</v>
      </c>
    </row>
    <row r="802" spans="13:13" x14ac:dyDescent="0.25">
      <c r="M802" s="21">
        <v>1.2583057392117916</v>
      </c>
    </row>
    <row r="803" spans="13:13" x14ac:dyDescent="0.25">
      <c r="M803" s="21">
        <v>1.707825127659933</v>
      </c>
    </row>
    <row r="804" spans="13:13" x14ac:dyDescent="0.25">
      <c r="M804" s="21">
        <v>0.5</v>
      </c>
    </row>
    <row r="805" spans="13:13" x14ac:dyDescent="0.25">
      <c r="M805" s="21">
        <v>1.2583057392117916</v>
      </c>
    </row>
    <row r="806" spans="13:13" x14ac:dyDescent="0.25">
      <c r="M806" s="21">
        <v>2.3804761428476167</v>
      </c>
    </row>
    <row r="807" spans="13:13" x14ac:dyDescent="0.25">
      <c r="M807" s="21">
        <v>1.8257418583505538</v>
      </c>
    </row>
    <row r="808" spans="13:13" x14ac:dyDescent="0.25">
      <c r="M808" s="21">
        <v>0.9574271077563381</v>
      </c>
    </row>
    <row r="809" spans="13:13" x14ac:dyDescent="0.25">
      <c r="M809" s="21">
        <v>3.6855573979159968</v>
      </c>
    </row>
    <row r="810" spans="13:13" x14ac:dyDescent="0.25">
      <c r="M810" s="21">
        <v>1.5</v>
      </c>
    </row>
    <row r="811" spans="13:13" x14ac:dyDescent="0.25">
      <c r="M811" s="21">
        <v>2.0615528128088303</v>
      </c>
    </row>
    <row r="812" spans="13:13" x14ac:dyDescent="0.25">
      <c r="M812" s="21">
        <v>2.2173557826083452</v>
      </c>
    </row>
    <row r="813" spans="13:13" x14ac:dyDescent="0.25">
      <c r="M813" s="21">
        <v>1.7320508075688772</v>
      </c>
    </row>
    <row r="814" spans="13:13" x14ac:dyDescent="0.25">
      <c r="M814" s="21">
        <v>1.2909944487358056</v>
      </c>
    </row>
    <row r="815" spans="13:13" x14ac:dyDescent="0.25">
      <c r="M815" s="21">
        <v>2.6457513110645907</v>
      </c>
    </row>
    <row r="816" spans="13:13" x14ac:dyDescent="0.25">
      <c r="M816" s="21">
        <v>1.4142135623730951</v>
      </c>
    </row>
    <row r="817" spans="13:13" x14ac:dyDescent="0.25">
      <c r="M817" s="21">
        <v>2.5166114784235831</v>
      </c>
    </row>
    <row r="818" spans="13:13" x14ac:dyDescent="0.25">
      <c r="M818" s="21">
        <v>0.57735026918962573</v>
      </c>
    </row>
    <row r="819" spans="13:13" x14ac:dyDescent="0.25">
      <c r="M819" s="21">
        <v>2.1602468994692869</v>
      </c>
    </row>
    <row r="820" spans="13:13" x14ac:dyDescent="0.25">
      <c r="M820" s="21">
        <v>3.8622100754188224</v>
      </c>
    </row>
    <row r="821" spans="13:13" x14ac:dyDescent="0.25">
      <c r="M821" s="21">
        <v>1.8929694486000912</v>
      </c>
    </row>
    <row r="822" spans="13:13" x14ac:dyDescent="0.25">
      <c r="M822" s="21">
        <v>2.3094010767585029</v>
      </c>
    </row>
    <row r="823" spans="13:13" x14ac:dyDescent="0.25">
      <c r="M823" s="21">
        <v>0.81649658092772603</v>
      </c>
    </row>
    <row r="824" spans="13:13" x14ac:dyDescent="0.25">
      <c r="M824" s="21">
        <v>2.8722813232690143</v>
      </c>
    </row>
    <row r="825" spans="13:13" x14ac:dyDescent="0.25">
      <c r="M825" s="21">
        <v>0.9574271077563381</v>
      </c>
    </row>
    <row r="826" spans="13:13" x14ac:dyDescent="0.25">
      <c r="M826" s="21">
        <v>2.0615528128088303</v>
      </c>
    </row>
    <row r="827" spans="13:13" x14ac:dyDescent="0.25">
      <c r="M827" s="21">
        <v>2.0816659994661326</v>
      </c>
    </row>
    <row r="828" spans="13:13" x14ac:dyDescent="0.25">
      <c r="M828" s="21">
        <v>1</v>
      </c>
    </row>
    <row r="829" spans="13:13" x14ac:dyDescent="0.25">
      <c r="M829" s="21">
        <v>2.2173557826083452</v>
      </c>
    </row>
    <row r="830" spans="13:13" x14ac:dyDescent="0.25">
      <c r="M830" s="21">
        <v>2.6299556396765835</v>
      </c>
    </row>
    <row r="831" spans="13:13" x14ac:dyDescent="0.25">
      <c r="M831" s="21">
        <v>2.9860788111948193</v>
      </c>
    </row>
    <row r="832" spans="13:13" x14ac:dyDescent="0.25">
      <c r="M832" s="21">
        <v>0.5</v>
      </c>
    </row>
    <row r="833" spans="13:13" x14ac:dyDescent="0.25">
      <c r="M833" s="21">
        <v>2.0615528128088303</v>
      </c>
    </row>
    <row r="834" spans="13:13" x14ac:dyDescent="0.25">
      <c r="M834" s="21">
        <v>3.1091263510296048</v>
      </c>
    </row>
    <row r="835" spans="13:13" x14ac:dyDescent="0.25">
      <c r="M835" s="21">
        <v>1.9148542155126762</v>
      </c>
    </row>
    <row r="836" spans="13:13" x14ac:dyDescent="0.25">
      <c r="M836" s="21">
        <v>1.2583057392117916</v>
      </c>
    </row>
    <row r="837" spans="13:13" x14ac:dyDescent="0.25">
      <c r="M837" s="21">
        <v>2.4494897427831779</v>
      </c>
    </row>
    <row r="838" spans="13:13" x14ac:dyDescent="0.25">
      <c r="M838" s="21">
        <v>2.5166114784235831</v>
      </c>
    </row>
    <row r="839" spans="13:13" x14ac:dyDescent="0.25">
      <c r="M839" s="21">
        <v>2.1602468994692869</v>
      </c>
    </row>
    <row r="840" spans="13:13" x14ac:dyDescent="0.25">
      <c r="M840" s="21">
        <v>2.5166114784235831</v>
      </c>
    </row>
    <row r="841" spans="13:13" x14ac:dyDescent="0.25">
      <c r="M841" s="21">
        <v>2.753785273643051</v>
      </c>
    </row>
    <row r="842" spans="13:13" x14ac:dyDescent="0.25">
      <c r="M842" s="21">
        <v>1.8257418583505538</v>
      </c>
    </row>
    <row r="843" spans="13:13" x14ac:dyDescent="0.25">
      <c r="M843" s="21">
        <v>1.7320508075688772</v>
      </c>
    </row>
    <row r="844" spans="13:13" x14ac:dyDescent="0.25">
      <c r="M844" s="21">
        <v>1.8929694486000912</v>
      </c>
    </row>
    <row r="845" spans="13:13" x14ac:dyDescent="0.25">
      <c r="M845" s="21">
        <v>0.81649658092772603</v>
      </c>
    </row>
    <row r="846" spans="13:13" x14ac:dyDescent="0.25">
      <c r="M846" s="21">
        <v>1.7320508075688772</v>
      </c>
    </row>
    <row r="847" spans="13:13" x14ac:dyDescent="0.25">
      <c r="M847" s="21">
        <v>2.8867513459481291</v>
      </c>
    </row>
    <row r="848" spans="13:13" x14ac:dyDescent="0.25">
      <c r="M848" s="21">
        <v>2.5</v>
      </c>
    </row>
    <row r="849" spans="13:13" x14ac:dyDescent="0.25">
      <c r="M849" s="21">
        <v>1.2909944487358056</v>
      </c>
    </row>
    <row r="850" spans="13:13" x14ac:dyDescent="0.25">
      <c r="M850" s="21">
        <v>3.1091263510296048</v>
      </c>
    </row>
    <row r="851" spans="13:13" x14ac:dyDescent="0.25">
      <c r="M851" s="21">
        <v>2.2173557826083452</v>
      </c>
    </row>
    <row r="852" spans="13:13" x14ac:dyDescent="0.25">
      <c r="M852" s="21">
        <v>1.9148542155126762</v>
      </c>
    </row>
    <row r="853" spans="13:13" x14ac:dyDescent="0.25">
      <c r="M853" s="21">
        <v>0.9574271077563381</v>
      </c>
    </row>
    <row r="854" spans="13:13" x14ac:dyDescent="0.25">
      <c r="M854" s="21">
        <v>3.4641016151377544</v>
      </c>
    </row>
    <row r="855" spans="13:13" x14ac:dyDescent="0.25">
      <c r="M855" s="21">
        <v>1.8257418583505538</v>
      </c>
    </row>
    <row r="856" spans="13:13" x14ac:dyDescent="0.25">
      <c r="M856" s="21">
        <v>3.1091263510296048</v>
      </c>
    </row>
    <row r="857" spans="13:13" x14ac:dyDescent="0.25">
      <c r="M857" s="21">
        <v>1.707825127659933</v>
      </c>
    </row>
    <row r="858" spans="13:13" x14ac:dyDescent="0.25">
      <c r="M858" s="21">
        <v>2.2173557826083452</v>
      </c>
    </row>
    <row r="859" spans="13:13" x14ac:dyDescent="0.25">
      <c r="M859" s="21">
        <v>2.6299556396765835</v>
      </c>
    </row>
    <row r="860" spans="13:13" x14ac:dyDescent="0.25">
      <c r="M860" s="21">
        <v>0.81649658092772603</v>
      </c>
    </row>
    <row r="861" spans="13:13" x14ac:dyDescent="0.25">
      <c r="M861" s="21">
        <v>2.3804761428476167</v>
      </c>
    </row>
    <row r="862" spans="13:13" x14ac:dyDescent="0.25">
      <c r="M862" s="21">
        <v>1.9148542155126762</v>
      </c>
    </row>
    <row r="863" spans="13:13" x14ac:dyDescent="0.25">
      <c r="M863" s="21">
        <v>2.8722813232690143</v>
      </c>
    </row>
    <row r="864" spans="13:13" x14ac:dyDescent="0.25">
      <c r="M864" s="21">
        <v>2.4494897427831779</v>
      </c>
    </row>
    <row r="865" spans="13:13" x14ac:dyDescent="0.25">
      <c r="M865" s="21">
        <v>2.6457513110645907</v>
      </c>
    </row>
    <row r="866" spans="13:13" x14ac:dyDescent="0.25">
      <c r="M866" s="21">
        <v>0.5</v>
      </c>
    </row>
    <row r="867" spans="13:13" x14ac:dyDescent="0.25">
      <c r="M867" s="21">
        <v>3.415650255319866</v>
      </c>
    </row>
    <row r="868" spans="13:13" x14ac:dyDescent="0.25">
      <c r="M868" s="21">
        <v>2.1602468994692869</v>
      </c>
    </row>
    <row r="869" spans="13:13" x14ac:dyDescent="0.25">
      <c r="M869" s="21">
        <v>1.2909944487358056</v>
      </c>
    </row>
    <row r="870" spans="13:13" x14ac:dyDescent="0.25">
      <c r="M870" s="21">
        <v>2.6457513110645907</v>
      </c>
    </row>
    <row r="871" spans="13:13" x14ac:dyDescent="0.25">
      <c r="M871" s="21">
        <v>1.2909944487358056</v>
      </c>
    </row>
    <row r="872" spans="13:13" x14ac:dyDescent="0.25">
      <c r="M872" s="21">
        <v>2.5</v>
      </c>
    </row>
    <row r="873" spans="13:13" x14ac:dyDescent="0.25">
      <c r="M873" s="21">
        <v>1.7320508075688772</v>
      </c>
    </row>
    <row r="874" spans="13:13" x14ac:dyDescent="0.25">
      <c r="M874" s="21">
        <v>2.1602468994692869</v>
      </c>
    </row>
    <row r="875" spans="13:13" x14ac:dyDescent="0.25">
      <c r="M875" s="21">
        <v>4.2426406871192848</v>
      </c>
    </row>
    <row r="876" spans="13:13" x14ac:dyDescent="0.25">
      <c r="M876" s="21">
        <v>3.415650255319866</v>
      </c>
    </row>
    <row r="877" spans="13:13" x14ac:dyDescent="0.25">
      <c r="M877" s="21">
        <v>2.0615528128088303</v>
      </c>
    </row>
    <row r="878" spans="13:13" x14ac:dyDescent="0.25">
      <c r="M878" s="21">
        <v>3.2015621187164243</v>
      </c>
    </row>
    <row r="879" spans="13:13" x14ac:dyDescent="0.25">
      <c r="M879" s="21">
        <v>0.81649658092772603</v>
      </c>
    </row>
    <row r="880" spans="13:13" x14ac:dyDescent="0.25">
      <c r="M880" s="21">
        <v>2.0615528128088303</v>
      </c>
    </row>
    <row r="881" spans="13:13" x14ac:dyDescent="0.25">
      <c r="M881" s="21">
        <v>2.2173557826083452</v>
      </c>
    </row>
    <row r="882" spans="13:13" x14ac:dyDescent="0.25">
      <c r="M882" s="21">
        <v>2.5819888974716112</v>
      </c>
    </row>
    <row r="883" spans="13:13" x14ac:dyDescent="0.25">
      <c r="M883" s="21">
        <v>0.5</v>
      </c>
    </row>
    <row r="884" spans="13:13" x14ac:dyDescent="0.25">
      <c r="M884" s="21">
        <v>2.2173557826083452</v>
      </c>
    </row>
    <row r="885" spans="13:13" x14ac:dyDescent="0.25">
      <c r="M885" s="21">
        <v>2.2173557826083452</v>
      </c>
    </row>
    <row r="886" spans="13:13" x14ac:dyDescent="0.25">
      <c r="M886" s="21">
        <v>2.3629078131263039</v>
      </c>
    </row>
    <row r="887" spans="13:13" x14ac:dyDescent="0.25">
      <c r="M887" s="21">
        <v>1.7320508075688772</v>
      </c>
    </row>
    <row r="888" spans="13:13" x14ac:dyDescent="0.25">
      <c r="M888" s="21">
        <v>1.4142135623730951</v>
      </c>
    </row>
    <row r="889" spans="13:13" x14ac:dyDescent="0.25">
      <c r="M889" s="21">
        <v>2.1602468994692869</v>
      </c>
    </row>
    <row r="890" spans="13:13" x14ac:dyDescent="0.25">
      <c r="M890" s="21">
        <v>3.6968455021364721</v>
      </c>
    </row>
    <row r="891" spans="13:13" x14ac:dyDescent="0.25">
      <c r="M891" s="21">
        <v>2.0615528128088303</v>
      </c>
    </row>
    <row r="892" spans="13:13" x14ac:dyDescent="0.25">
      <c r="M892" s="21">
        <v>2.9439202887759488</v>
      </c>
    </row>
    <row r="893" spans="13:13" x14ac:dyDescent="0.25">
      <c r="M893" s="21">
        <v>1.5</v>
      </c>
    </row>
    <row r="894" spans="13:13" x14ac:dyDescent="0.25">
      <c r="M894" s="21">
        <v>0.9574271077563381</v>
      </c>
    </row>
    <row r="895" spans="13:13" x14ac:dyDescent="0.25">
      <c r="M895" s="21">
        <v>1.6329931618554521</v>
      </c>
    </row>
    <row r="896" spans="13:13" x14ac:dyDescent="0.25">
      <c r="M896" s="21">
        <v>1.5</v>
      </c>
    </row>
    <row r="897" spans="13:13" x14ac:dyDescent="0.25">
      <c r="M897" s="21">
        <v>2.2173557826083452</v>
      </c>
    </row>
    <row r="898" spans="13:13" x14ac:dyDescent="0.25">
      <c r="M898" s="21">
        <v>1.7320508075688772</v>
      </c>
    </row>
    <row r="899" spans="13:13" x14ac:dyDescent="0.25">
      <c r="M899" s="21">
        <v>2.3094010767585029</v>
      </c>
    </row>
    <row r="900" spans="13:13" x14ac:dyDescent="0.25">
      <c r="M900" s="21">
        <v>2.3804761428476167</v>
      </c>
    </row>
    <row r="901" spans="13:13" x14ac:dyDescent="0.25">
      <c r="M901" s="21">
        <v>2.0615528128088303</v>
      </c>
    </row>
    <row r="902" spans="13:13" x14ac:dyDescent="0.25">
      <c r="M902" s="21">
        <v>1.9148542155126762</v>
      </c>
    </row>
    <row r="903" spans="13:13" x14ac:dyDescent="0.25">
      <c r="M903" s="21">
        <v>1.9148542155126762</v>
      </c>
    </row>
    <row r="904" spans="13:13" x14ac:dyDescent="0.25">
      <c r="M904" s="21">
        <v>0.57735026918962573</v>
      </c>
    </row>
    <row r="905" spans="13:13" x14ac:dyDescent="0.25">
      <c r="M905" s="21">
        <v>1.5</v>
      </c>
    </row>
    <row r="906" spans="13:13" x14ac:dyDescent="0.25">
      <c r="M906" s="21">
        <v>2.1602468994692869</v>
      </c>
    </row>
    <row r="907" spans="13:13" x14ac:dyDescent="0.25">
      <c r="M907" s="21">
        <v>1.2583057392117916</v>
      </c>
    </row>
    <row r="908" spans="13:13" x14ac:dyDescent="0.25">
      <c r="M908" s="21">
        <v>1.1547005383792515</v>
      </c>
    </row>
    <row r="909" spans="13:13" x14ac:dyDescent="0.25">
      <c r="M909" s="21">
        <v>1.2583057392117916</v>
      </c>
    </row>
    <row r="910" spans="13:13" x14ac:dyDescent="0.25">
      <c r="M910" s="21">
        <v>1.5</v>
      </c>
    </row>
    <row r="911" spans="13:13" x14ac:dyDescent="0.25">
      <c r="M911" s="21">
        <v>2.2173557826083452</v>
      </c>
    </row>
    <row r="912" spans="13:13" x14ac:dyDescent="0.25">
      <c r="M912" s="21">
        <v>0.9574271077563381</v>
      </c>
    </row>
    <row r="913" spans="13:13" x14ac:dyDescent="0.25">
      <c r="M913" s="21">
        <v>1.2583057392117916</v>
      </c>
    </row>
    <row r="914" spans="13:13" x14ac:dyDescent="0.25">
      <c r="M914" s="21">
        <v>1.7320508075688772</v>
      </c>
    </row>
    <row r="915" spans="13:13" x14ac:dyDescent="0.25">
      <c r="M915" s="21">
        <v>1.6329931618554521</v>
      </c>
    </row>
    <row r="916" spans="13:13" x14ac:dyDescent="0.25">
      <c r="M916" s="21">
        <v>2.4494897427831779</v>
      </c>
    </row>
    <row r="917" spans="13:13" x14ac:dyDescent="0.25">
      <c r="M917" s="21">
        <v>1.707825127659933</v>
      </c>
    </row>
    <row r="918" spans="13:13" x14ac:dyDescent="0.25">
      <c r="M918" s="21">
        <v>2.6299556396765835</v>
      </c>
    </row>
    <row r="919" spans="13:13" x14ac:dyDescent="0.25">
      <c r="M919" s="21">
        <v>3.1091263510296048</v>
      </c>
    </row>
    <row r="920" spans="13:13" x14ac:dyDescent="0.25">
      <c r="M920" s="21">
        <v>2.0816659994661326</v>
      </c>
    </row>
    <row r="921" spans="13:13" x14ac:dyDescent="0.25">
      <c r="M921" s="21">
        <v>2.0615528128088303</v>
      </c>
    </row>
    <row r="922" spans="13:13" x14ac:dyDescent="0.25">
      <c r="M922" s="21">
        <v>0</v>
      </c>
    </row>
    <row r="923" spans="13:13" x14ac:dyDescent="0.25">
      <c r="M923" s="21">
        <v>1.707825127659933</v>
      </c>
    </row>
    <row r="924" spans="13:13" x14ac:dyDescent="0.25">
      <c r="M924" s="21">
        <v>0.81649658092772603</v>
      </c>
    </row>
    <row r="925" spans="13:13" x14ac:dyDescent="0.25">
      <c r="M925" s="21">
        <v>1.5</v>
      </c>
    </row>
    <row r="926" spans="13:13" x14ac:dyDescent="0.25">
      <c r="M926" s="21">
        <v>2.0615528128088303</v>
      </c>
    </row>
    <row r="927" spans="13:13" x14ac:dyDescent="0.25">
      <c r="M927" s="21">
        <v>2.753785273643051</v>
      </c>
    </row>
    <row r="928" spans="13:13" x14ac:dyDescent="0.25">
      <c r="M928" s="21">
        <v>2.1602468994692869</v>
      </c>
    </row>
    <row r="929" spans="13:13" x14ac:dyDescent="0.25">
      <c r="M929" s="21">
        <v>1.9148542155126762</v>
      </c>
    </row>
    <row r="930" spans="13:13" x14ac:dyDescent="0.25">
      <c r="M930" s="21">
        <v>2.9860788111948193</v>
      </c>
    </row>
    <row r="931" spans="13:13" x14ac:dyDescent="0.25">
      <c r="M931" s="21">
        <v>1.5</v>
      </c>
    </row>
    <row r="932" spans="13:13" x14ac:dyDescent="0.25">
      <c r="M932" s="21">
        <v>2.0615528128088303</v>
      </c>
    </row>
    <row r="933" spans="13:13" x14ac:dyDescent="0.25">
      <c r="M933" s="21">
        <v>2.2173557826083452</v>
      </c>
    </row>
    <row r="934" spans="13:13" x14ac:dyDescent="0.25">
      <c r="M934" s="21">
        <v>1.2583057392117916</v>
      </c>
    </row>
    <row r="935" spans="13:13" x14ac:dyDescent="0.25">
      <c r="M935" s="21">
        <v>2.0615528128088303</v>
      </c>
    </row>
    <row r="936" spans="13:13" x14ac:dyDescent="0.25">
      <c r="M936" s="21">
        <v>0.57735026918962573</v>
      </c>
    </row>
    <row r="937" spans="13:13" x14ac:dyDescent="0.25">
      <c r="M937" s="21">
        <v>1.2583057392117916</v>
      </c>
    </row>
    <row r="938" spans="13:13" x14ac:dyDescent="0.25">
      <c r="M938" s="21">
        <v>3.6855573979159968</v>
      </c>
    </row>
    <row r="939" spans="13:13" x14ac:dyDescent="0.25">
      <c r="M939" s="21">
        <v>1.2909944487358056</v>
      </c>
    </row>
    <row r="940" spans="13:13" x14ac:dyDescent="0.25">
      <c r="M940" s="21">
        <v>2.8722813232690143</v>
      </c>
    </row>
    <row r="941" spans="13:13" x14ac:dyDescent="0.25">
      <c r="M941" s="21">
        <v>2.70801280154532</v>
      </c>
    </row>
    <row r="942" spans="13:13" x14ac:dyDescent="0.25">
      <c r="M942" s="21">
        <v>2.9439202887759488</v>
      </c>
    </row>
    <row r="943" spans="13:13" x14ac:dyDescent="0.25">
      <c r="M943" s="21">
        <v>1.9148542155126762</v>
      </c>
    </row>
    <row r="944" spans="13:13" x14ac:dyDescent="0.25">
      <c r="M944" s="21">
        <v>1.8929694486000912</v>
      </c>
    </row>
    <row r="945" spans="13:13" x14ac:dyDescent="0.25">
      <c r="M945" s="21">
        <v>1.4142135623730951</v>
      </c>
    </row>
    <row r="946" spans="13:13" x14ac:dyDescent="0.25">
      <c r="M946" s="21">
        <v>2.2173557826083452</v>
      </c>
    </row>
    <row r="947" spans="13:13" x14ac:dyDescent="0.25">
      <c r="M947" s="21">
        <v>3.4034296427770228</v>
      </c>
    </row>
    <row r="948" spans="13:13" x14ac:dyDescent="0.25">
      <c r="M948" s="21">
        <v>2.2173557826083452</v>
      </c>
    </row>
    <row r="949" spans="13:13" x14ac:dyDescent="0.25">
      <c r="M949" s="21">
        <v>3</v>
      </c>
    </row>
    <row r="950" spans="13:13" x14ac:dyDescent="0.25">
      <c r="M950" s="21">
        <v>1.4142135623730951</v>
      </c>
    </row>
    <row r="951" spans="13:13" x14ac:dyDescent="0.25">
      <c r="M951" s="21">
        <v>0.9574271077563381</v>
      </c>
    </row>
    <row r="952" spans="13:13" x14ac:dyDescent="0.25">
      <c r="M952" s="21">
        <v>1.9148542155126762</v>
      </c>
    </row>
    <row r="953" spans="13:13" x14ac:dyDescent="0.25">
      <c r="M953" s="21">
        <v>1.2909944487358056</v>
      </c>
    </row>
    <row r="954" spans="13:13" x14ac:dyDescent="0.25">
      <c r="M954" s="21">
        <v>2.3629078131263039</v>
      </c>
    </row>
    <row r="955" spans="13:13" x14ac:dyDescent="0.25">
      <c r="M955" s="21">
        <v>0.81649658092772603</v>
      </c>
    </row>
    <row r="956" spans="13:13" x14ac:dyDescent="0.25">
      <c r="M956" s="21">
        <v>2.5819888974716112</v>
      </c>
    </row>
    <row r="957" spans="13:13" x14ac:dyDescent="0.25">
      <c r="M957" s="21">
        <v>1.707825127659933</v>
      </c>
    </row>
    <row r="958" spans="13:13" x14ac:dyDescent="0.25">
      <c r="M958" s="21">
        <v>2.0816659994661326</v>
      </c>
    </row>
    <row r="959" spans="13:13" x14ac:dyDescent="0.25">
      <c r="M959" s="21">
        <v>0.9574271077563381</v>
      </c>
    </row>
    <row r="960" spans="13:13" x14ac:dyDescent="0.25">
      <c r="M960" s="21">
        <v>2.753785273643051</v>
      </c>
    </row>
    <row r="961" spans="13:13" x14ac:dyDescent="0.25">
      <c r="M961" s="21">
        <v>2.6299556396765835</v>
      </c>
    </row>
    <row r="962" spans="13:13" x14ac:dyDescent="0.25">
      <c r="M962" s="21">
        <v>1.7320508075688772</v>
      </c>
    </row>
    <row r="963" spans="13:13" x14ac:dyDescent="0.25">
      <c r="M963" s="21">
        <v>2.5</v>
      </c>
    </row>
    <row r="964" spans="13:13" x14ac:dyDescent="0.25">
      <c r="M964" s="21">
        <v>1.5</v>
      </c>
    </row>
    <row r="965" spans="13:13" x14ac:dyDescent="0.25">
      <c r="M965" s="21">
        <v>3.4034296427770228</v>
      </c>
    </row>
    <row r="966" spans="13:13" x14ac:dyDescent="0.25">
      <c r="M966" s="21">
        <v>2.3629078131263039</v>
      </c>
    </row>
    <row r="967" spans="13:13" x14ac:dyDescent="0.25">
      <c r="M967" s="21">
        <v>1.707825127659933</v>
      </c>
    </row>
    <row r="968" spans="13:13" x14ac:dyDescent="0.25">
      <c r="M968" s="21">
        <v>1.8929694486000912</v>
      </c>
    </row>
    <row r="969" spans="13:13" x14ac:dyDescent="0.25">
      <c r="M969" s="21">
        <v>0.81649658092772603</v>
      </c>
    </row>
    <row r="970" spans="13:13" x14ac:dyDescent="0.25">
      <c r="M970" s="21">
        <v>1.4142135623730951</v>
      </c>
    </row>
    <row r="971" spans="13:13" x14ac:dyDescent="0.25">
      <c r="M971" s="21">
        <v>1.4142135623730951</v>
      </c>
    </row>
    <row r="972" spans="13:13" x14ac:dyDescent="0.25">
      <c r="M972" s="21">
        <v>2.3804761428476167</v>
      </c>
    </row>
    <row r="973" spans="13:13" x14ac:dyDescent="0.25">
      <c r="M973" s="21">
        <v>0.5</v>
      </c>
    </row>
    <row r="974" spans="13:13" x14ac:dyDescent="0.25">
      <c r="M974" s="21">
        <v>1.8929694486000912</v>
      </c>
    </row>
    <row r="975" spans="13:13" x14ac:dyDescent="0.25">
      <c r="M975" s="21">
        <v>1.2909944487358056</v>
      </c>
    </row>
    <row r="976" spans="13:13" x14ac:dyDescent="0.25">
      <c r="M976" s="21">
        <v>2.3804761428476167</v>
      </c>
    </row>
    <row r="977" spans="13:13" x14ac:dyDescent="0.25">
      <c r="M977" s="21">
        <v>1.7320508075688772</v>
      </c>
    </row>
    <row r="978" spans="13:13" x14ac:dyDescent="0.25">
      <c r="M978" s="21">
        <v>2.3804761428476167</v>
      </c>
    </row>
    <row r="979" spans="13:13" x14ac:dyDescent="0.25">
      <c r="M979" s="21">
        <v>1.8257418583505538</v>
      </c>
    </row>
    <row r="980" spans="13:13" x14ac:dyDescent="0.25">
      <c r="M980" s="21">
        <v>2.8867513459481291</v>
      </c>
    </row>
    <row r="981" spans="13:13" x14ac:dyDescent="0.25">
      <c r="M981" s="21">
        <v>2.3804761428476167</v>
      </c>
    </row>
    <row r="982" spans="13:13" x14ac:dyDescent="0.25">
      <c r="M982" s="21">
        <v>0.9574271077563381</v>
      </c>
    </row>
    <row r="983" spans="13:13" x14ac:dyDescent="0.25">
      <c r="M983" s="21">
        <v>2.3804761428476167</v>
      </c>
    </row>
    <row r="984" spans="13:13" x14ac:dyDescent="0.25">
      <c r="M984" s="21">
        <v>1.9148542155126762</v>
      </c>
    </row>
    <row r="985" spans="13:13" x14ac:dyDescent="0.25">
      <c r="M985" s="21">
        <v>2.6457513110645907</v>
      </c>
    </row>
    <row r="986" spans="13:13" x14ac:dyDescent="0.25">
      <c r="M986" s="21">
        <v>1.2909944487358056</v>
      </c>
    </row>
    <row r="987" spans="13:13" x14ac:dyDescent="0.25">
      <c r="M987" s="21">
        <v>2.2173557826083452</v>
      </c>
    </row>
    <row r="988" spans="13:13" x14ac:dyDescent="0.25">
      <c r="M988" s="21">
        <v>2.5</v>
      </c>
    </row>
    <row r="989" spans="13:13" x14ac:dyDescent="0.25">
      <c r="M989" s="21">
        <v>2.9860788111948193</v>
      </c>
    </row>
    <row r="990" spans="13:13" x14ac:dyDescent="0.25">
      <c r="M990" s="21">
        <v>1.4142135623730951</v>
      </c>
    </row>
    <row r="991" spans="13:13" x14ac:dyDescent="0.25">
      <c r="M991" s="21">
        <v>3.9475730941090039</v>
      </c>
    </row>
    <row r="992" spans="13:13" x14ac:dyDescent="0.25">
      <c r="M992" s="21">
        <v>2.2173557826083452</v>
      </c>
    </row>
    <row r="993" spans="13:13" x14ac:dyDescent="0.25">
      <c r="M993" s="21">
        <v>2.2173557826083452</v>
      </c>
    </row>
    <row r="994" spans="13:13" x14ac:dyDescent="0.25">
      <c r="M994" s="21">
        <v>1.707825127659933</v>
      </c>
    </row>
    <row r="995" spans="13:13" x14ac:dyDescent="0.25">
      <c r="M995" s="21">
        <v>1.707825127659933</v>
      </c>
    </row>
    <row r="996" spans="13:13" x14ac:dyDescent="0.25">
      <c r="M996" s="21">
        <v>1.4142135623730951</v>
      </c>
    </row>
    <row r="997" spans="13:13" x14ac:dyDescent="0.25">
      <c r="M997" s="21">
        <v>2.6299556396765835</v>
      </c>
    </row>
    <row r="998" spans="13:13" x14ac:dyDescent="0.25">
      <c r="M998" s="21">
        <v>0.81649658092772603</v>
      </c>
    </row>
    <row r="999" spans="13:13" x14ac:dyDescent="0.25">
      <c r="M999" s="21">
        <v>1.707825127659933</v>
      </c>
    </row>
    <row r="1000" spans="13:13" x14ac:dyDescent="0.25">
      <c r="M1000" s="21">
        <v>0.5</v>
      </c>
    </row>
    <row r="1001" spans="13:13" x14ac:dyDescent="0.25">
      <c r="M1001" s="21">
        <v>1.4142135623730951</v>
      </c>
    </row>
    <row r="1002" spans="13:13" x14ac:dyDescent="0.25">
      <c r="M1002" s="21">
        <v>1.5</v>
      </c>
    </row>
    <row r="1003" spans="13:13" x14ac:dyDescent="0.25">
      <c r="M1003" s="21">
        <v>3</v>
      </c>
    </row>
    <row r="1004" spans="13:13" x14ac:dyDescent="0.25">
      <c r="M1004" s="21">
        <v>1</v>
      </c>
    </row>
    <row r="1005" spans="13:13" x14ac:dyDescent="0.25">
      <c r="M1005" s="21"/>
    </row>
    <row r="1006" spans="13:13" x14ac:dyDescent="0.25">
      <c r="M1006" s="21"/>
    </row>
    <row r="1007" spans="13:13" x14ac:dyDescent="0.25">
      <c r="M1007" s="21"/>
    </row>
    <row r="1008" spans="13:13" x14ac:dyDescent="0.25">
      <c r="M1008" s="21"/>
    </row>
    <row r="1009" spans="13:13" x14ac:dyDescent="0.25">
      <c r="M1009" s="21"/>
    </row>
    <row r="1010" spans="13:13" x14ac:dyDescent="0.25">
      <c r="M1010" s="21"/>
    </row>
    <row r="1011" spans="13:13" x14ac:dyDescent="0.25">
      <c r="M1011" s="21"/>
    </row>
    <row r="1012" spans="13:13" x14ac:dyDescent="0.25">
      <c r="M1012" s="21"/>
    </row>
    <row r="1013" spans="13:13" x14ac:dyDescent="0.25">
      <c r="M1013" s="21"/>
    </row>
    <row r="1014" spans="13:13" x14ac:dyDescent="0.25">
      <c r="M1014" s="21"/>
    </row>
    <row r="1015" spans="13:13" x14ac:dyDescent="0.25">
      <c r="M1015" s="21"/>
    </row>
    <row r="1016" spans="13:13" x14ac:dyDescent="0.25">
      <c r="M1016" s="21"/>
    </row>
    <row r="1017" spans="13:13" x14ac:dyDescent="0.25">
      <c r="M1017" s="21"/>
    </row>
    <row r="1018" spans="13:13" x14ac:dyDescent="0.25">
      <c r="M1018" s="21"/>
    </row>
    <row r="1019" spans="13:13" x14ac:dyDescent="0.25">
      <c r="M1019" s="21"/>
    </row>
    <row r="1020" spans="13:13" x14ac:dyDescent="0.25">
      <c r="M1020" s="21"/>
    </row>
    <row r="1021" spans="13:13" x14ac:dyDescent="0.25">
      <c r="M1021" s="21"/>
    </row>
    <row r="1022" spans="13:13" x14ac:dyDescent="0.25">
      <c r="M1022" s="21"/>
    </row>
    <row r="1023" spans="13:13" x14ac:dyDescent="0.25">
      <c r="M1023" s="21"/>
    </row>
    <row r="1024" spans="13:13" x14ac:dyDescent="0.25">
      <c r="M1024" s="21"/>
    </row>
    <row r="1025" spans="13:13" x14ac:dyDescent="0.25">
      <c r="M1025" s="21"/>
    </row>
    <row r="1026" spans="13:13" x14ac:dyDescent="0.25">
      <c r="M1026" s="21"/>
    </row>
    <row r="1027" spans="13:13" x14ac:dyDescent="0.25">
      <c r="M1027" s="21"/>
    </row>
    <row r="1028" spans="13:13" x14ac:dyDescent="0.25">
      <c r="M1028" s="21"/>
    </row>
    <row r="1029" spans="13:13" x14ac:dyDescent="0.25">
      <c r="M1029" s="21"/>
    </row>
    <row r="1030" spans="13:13" x14ac:dyDescent="0.25">
      <c r="M1030" s="21"/>
    </row>
    <row r="1031" spans="13:13" x14ac:dyDescent="0.25">
      <c r="M1031" s="21"/>
    </row>
    <row r="1032" spans="13:13" x14ac:dyDescent="0.25">
      <c r="M1032" s="21"/>
    </row>
    <row r="1033" spans="13:13" x14ac:dyDescent="0.25">
      <c r="M1033" s="21"/>
    </row>
    <row r="1034" spans="13:13" x14ac:dyDescent="0.25">
      <c r="M1034" s="21"/>
    </row>
    <row r="1035" spans="13:13" x14ac:dyDescent="0.25">
      <c r="M1035" s="21"/>
    </row>
    <row r="1036" spans="13:13" x14ac:dyDescent="0.25">
      <c r="M1036" s="21"/>
    </row>
    <row r="1037" spans="13:13" x14ac:dyDescent="0.25">
      <c r="M1037" s="21"/>
    </row>
    <row r="1038" spans="13:13" x14ac:dyDescent="0.25">
      <c r="M1038" s="21"/>
    </row>
    <row r="1039" spans="13:13" x14ac:dyDescent="0.25">
      <c r="M1039" s="21"/>
    </row>
    <row r="1040" spans="13:13" x14ac:dyDescent="0.25">
      <c r="M1040" s="21"/>
    </row>
    <row r="1041" spans="13:13" x14ac:dyDescent="0.25">
      <c r="M1041" s="21"/>
    </row>
    <row r="1042" spans="13:13" x14ac:dyDescent="0.25">
      <c r="M1042" s="21"/>
    </row>
    <row r="1043" spans="13:13" x14ac:dyDescent="0.25">
      <c r="M1043" s="21"/>
    </row>
    <row r="1044" spans="13:13" x14ac:dyDescent="0.25">
      <c r="M1044" s="21"/>
    </row>
    <row r="1045" spans="13:13" x14ac:dyDescent="0.25">
      <c r="M1045" s="21"/>
    </row>
    <row r="1046" spans="13:13" x14ac:dyDescent="0.25">
      <c r="M1046" s="21"/>
    </row>
    <row r="1047" spans="13:13" x14ac:dyDescent="0.25">
      <c r="M1047" s="21"/>
    </row>
    <row r="1048" spans="13:13" x14ac:dyDescent="0.25">
      <c r="M1048" s="21"/>
    </row>
    <row r="1049" spans="13:13" x14ac:dyDescent="0.25">
      <c r="M1049" s="21"/>
    </row>
    <row r="1050" spans="13:13" x14ac:dyDescent="0.25">
      <c r="M1050" s="21"/>
    </row>
    <row r="1051" spans="13:13" x14ac:dyDescent="0.25">
      <c r="M1051" s="21"/>
    </row>
    <row r="1052" spans="13:13" x14ac:dyDescent="0.25">
      <c r="M1052" s="21"/>
    </row>
    <row r="1053" spans="13:13" x14ac:dyDescent="0.25">
      <c r="M1053" s="21"/>
    </row>
    <row r="1054" spans="13:13" x14ac:dyDescent="0.25">
      <c r="M1054" s="21"/>
    </row>
    <row r="1055" spans="13:13" x14ac:dyDescent="0.25">
      <c r="M1055" s="21"/>
    </row>
    <row r="1056" spans="13:13" x14ac:dyDescent="0.25">
      <c r="M1056" s="21"/>
    </row>
    <row r="1057" spans="13:13" x14ac:dyDescent="0.25">
      <c r="M1057" s="21"/>
    </row>
    <row r="1058" spans="13:13" x14ac:dyDescent="0.25">
      <c r="M1058" s="21"/>
    </row>
    <row r="1059" spans="13:13" x14ac:dyDescent="0.25">
      <c r="M1059" s="21"/>
    </row>
    <row r="1060" spans="13:13" x14ac:dyDescent="0.25">
      <c r="M1060" s="21"/>
    </row>
    <row r="1061" spans="13:13" x14ac:dyDescent="0.25">
      <c r="M1061" s="21"/>
    </row>
    <row r="1062" spans="13:13" x14ac:dyDescent="0.25">
      <c r="M1062" s="21"/>
    </row>
    <row r="1063" spans="13:13" x14ac:dyDescent="0.25">
      <c r="M1063" s="21"/>
    </row>
    <row r="1064" spans="13:13" x14ac:dyDescent="0.25">
      <c r="M1064" s="21"/>
    </row>
    <row r="1065" spans="13:13" x14ac:dyDescent="0.25">
      <c r="M1065" s="21"/>
    </row>
    <row r="1066" spans="13:13" x14ac:dyDescent="0.25">
      <c r="M1066" s="21"/>
    </row>
    <row r="1067" spans="13:13" x14ac:dyDescent="0.25">
      <c r="M1067" s="21"/>
    </row>
    <row r="1068" spans="13:13" x14ac:dyDescent="0.25">
      <c r="M1068" s="21"/>
    </row>
    <row r="1069" spans="13:13" x14ac:dyDescent="0.25">
      <c r="M1069" s="21"/>
    </row>
    <row r="1070" spans="13:13" x14ac:dyDescent="0.25">
      <c r="M1070" s="21"/>
    </row>
    <row r="1071" spans="13:13" x14ac:dyDescent="0.25">
      <c r="M1071" s="21"/>
    </row>
    <row r="1072" spans="13:13" x14ac:dyDescent="0.25">
      <c r="M1072" s="21"/>
    </row>
    <row r="1073" spans="13:13" x14ac:dyDescent="0.25">
      <c r="M1073" s="21"/>
    </row>
    <row r="1074" spans="13:13" x14ac:dyDescent="0.25">
      <c r="M1074" s="21"/>
    </row>
    <row r="1075" spans="13:13" x14ac:dyDescent="0.25">
      <c r="M1075" s="21"/>
    </row>
    <row r="1076" spans="13:13" x14ac:dyDescent="0.25">
      <c r="M1076" s="21"/>
    </row>
    <row r="1077" spans="13:13" x14ac:dyDescent="0.25">
      <c r="M1077" s="21"/>
    </row>
    <row r="1078" spans="13:13" x14ac:dyDescent="0.25">
      <c r="M1078" s="21"/>
    </row>
    <row r="1079" spans="13:13" x14ac:dyDescent="0.25">
      <c r="M1079" s="21"/>
    </row>
    <row r="1080" spans="13:13" x14ac:dyDescent="0.25">
      <c r="M1080" s="21"/>
    </row>
    <row r="1081" spans="13:13" x14ac:dyDescent="0.25">
      <c r="M1081" s="21"/>
    </row>
    <row r="1082" spans="13:13" x14ac:dyDescent="0.25">
      <c r="M1082" s="21"/>
    </row>
    <row r="1083" spans="13:13" x14ac:dyDescent="0.25">
      <c r="M1083" s="21"/>
    </row>
    <row r="1084" spans="13:13" x14ac:dyDescent="0.25">
      <c r="M1084" s="21"/>
    </row>
    <row r="1085" spans="13:13" x14ac:dyDescent="0.25">
      <c r="M1085" s="21"/>
    </row>
    <row r="1086" spans="13:13" x14ac:dyDescent="0.25">
      <c r="M1086" s="21"/>
    </row>
    <row r="1087" spans="13:13" x14ac:dyDescent="0.25">
      <c r="M1087" s="21"/>
    </row>
    <row r="1088" spans="13:13" x14ac:dyDescent="0.25">
      <c r="M1088" s="21"/>
    </row>
    <row r="1089" spans="13:13" x14ac:dyDescent="0.25">
      <c r="M1089" s="21"/>
    </row>
    <row r="1090" spans="13:13" x14ac:dyDescent="0.25">
      <c r="M1090" s="21"/>
    </row>
    <row r="1091" spans="13:13" x14ac:dyDescent="0.25">
      <c r="M1091" s="21"/>
    </row>
    <row r="1092" spans="13:13" x14ac:dyDescent="0.25">
      <c r="M1092" s="21"/>
    </row>
    <row r="1093" spans="13:13" x14ac:dyDescent="0.25">
      <c r="M1093" s="21"/>
    </row>
    <row r="1094" spans="13:13" x14ac:dyDescent="0.25">
      <c r="M1094" s="21"/>
    </row>
    <row r="1095" spans="13:13" x14ac:dyDescent="0.25">
      <c r="M1095" s="21"/>
    </row>
    <row r="1096" spans="13:13" x14ac:dyDescent="0.25">
      <c r="M1096" s="21"/>
    </row>
    <row r="1097" spans="13:13" x14ac:dyDescent="0.25">
      <c r="M1097" s="21"/>
    </row>
    <row r="1098" spans="13:13" x14ac:dyDescent="0.25">
      <c r="M1098" s="21"/>
    </row>
    <row r="1099" spans="13:13" x14ac:dyDescent="0.25">
      <c r="M1099" s="21"/>
    </row>
    <row r="1100" spans="13:13" x14ac:dyDescent="0.25">
      <c r="M1100" s="21"/>
    </row>
    <row r="1101" spans="13:13" x14ac:dyDescent="0.25">
      <c r="M1101" s="21"/>
    </row>
    <row r="1102" spans="13:13" x14ac:dyDescent="0.25">
      <c r="M1102" s="21"/>
    </row>
    <row r="1103" spans="13:13" x14ac:dyDescent="0.25">
      <c r="M1103" s="21"/>
    </row>
    <row r="1104" spans="13:13" x14ac:dyDescent="0.25">
      <c r="M1104" s="21"/>
    </row>
    <row r="1105" spans="13:13" x14ac:dyDescent="0.25">
      <c r="M1105" s="21"/>
    </row>
    <row r="1106" spans="13:13" x14ac:dyDescent="0.25">
      <c r="M1106" s="21"/>
    </row>
    <row r="1107" spans="13:13" x14ac:dyDescent="0.25">
      <c r="M1107" s="21"/>
    </row>
    <row r="1108" spans="13:13" x14ac:dyDescent="0.25">
      <c r="M1108" s="21"/>
    </row>
    <row r="1109" spans="13:13" x14ac:dyDescent="0.25">
      <c r="M1109" s="21"/>
    </row>
    <row r="1110" spans="13:13" x14ac:dyDescent="0.25">
      <c r="M1110" s="21"/>
    </row>
    <row r="1111" spans="13:13" x14ac:dyDescent="0.25">
      <c r="M1111" s="21"/>
    </row>
    <row r="1112" spans="13:13" x14ac:dyDescent="0.25">
      <c r="M1112" s="21"/>
    </row>
    <row r="1113" spans="13:13" x14ac:dyDescent="0.25">
      <c r="M1113" s="21"/>
    </row>
    <row r="1114" spans="13:13" x14ac:dyDescent="0.25">
      <c r="M1114" s="21"/>
    </row>
    <row r="1115" spans="13:13" x14ac:dyDescent="0.25">
      <c r="M1115" s="21"/>
    </row>
    <row r="1116" spans="13:13" x14ac:dyDescent="0.25">
      <c r="M1116" s="21"/>
    </row>
    <row r="1117" spans="13:13" x14ac:dyDescent="0.25">
      <c r="M1117" s="21"/>
    </row>
    <row r="1118" spans="13:13" x14ac:dyDescent="0.25">
      <c r="M1118" s="21"/>
    </row>
    <row r="1119" spans="13:13" x14ac:dyDescent="0.25">
      <c r="M1119" s="21"/>
    </row>
    <row r="1120" spans="13:13" x14ac:dyDescent="0.25">
      <c r="M1120" s="21"/>
    </row>
    <row r="1121" spans="13:13" x14ac:dyDescent="0.25">
      <c r="M1121" s="21"/>
    </row>
    <row r="1122" spans="13:13" x14ac:dyDescent="0.25">
      <c r="M1122" s="21"/>
    </row>
    <row r="1123" spans="13:13" x14ac:dyDescent="0.25">
      <c r="M1123" s="21"/>
    </row>
    <row r="1124" spans="13:13" x14ac:dyDescent="0.25">
      <c r="M1124" s="21"/>
    </row>
    <row r="1125" spans="13:13" x14ac:dyDescent="0.25">
      <c r="M1125" s="21"/>
    </row>
    <row r="1126" spans="13:13" x14ac:dyDescent="0.25">
      <c r="M1126" s="21"/>
    </row>
    <row r="1127" spans="13:13" x14ac:dyDescent="0.25">
      <c r="M1127" s="21"/>
    </row>
    <row r="1128" spans="13:13" x14ac:dyDescent="0.25">
      <c r="M1128" s="21"/>
    </row>
    <row r="1129" spans="13:13" x14ac:dyDescent="0.25">
      <c r="M1129" s="21"/>
    </row>
    <row r="1130" spans="13:13" x14ac:dyDescent="0.25">
      <c r="M1130" s="21"/>
    </row>
    <row r="1131" spans="13:13" x14ac:dyDescent="0.25">
      <c r="M1131" s="21"/>
    </row>
    <row r="1132" spans="13:13" x14ac:dyDescent="0.25">
      <c r="M1132" s="21"/>
    </row>
    <row r="1133" spans="13:13" x14ac:dyDescent="0.25">
      <c r="M1133" s="21"/>
    </row>
    <row r="1134" spans="13:13" x14ac:dyDescent="0.25">
      <c r="M1134" s="21"/>
    </row>
    <row r="1135" spans="13:13" x14ac:dyDescent="0.25">
      <c r="M1135" s="21"/>
    </row>
    <row r="1136" spans="13:13" x14ac:dyDescent="0.25">
      <c r="M1136" s="21"/>
    </row>
    <row r="1137" spans="13:13" x14ac:dyDescent="0.25">
      <c r="M1137" s="21"/>
    </row>
    <row r="1138" spans="13:13" x14ac:dyDescent="0.25">
      <c r="M1138" s="21"/>
    </row>
    <row r="1139" spans="13:13" x14ac:dyDescent="0.25">
      <c r="M1139" s="21"/>
    </row>
    <row r="1140" spans="13:13" x14ac:dyDescent="0.25">
      <c r="M1140" s="21"/>
    </row>
    <row r="1141" spans="13:13" x14ac:dyDescent="0.25">
      <c r="M1141" s="21"/>
    </row>
    <row r="1142" spans="13:13" x14ac:dyDescent="0.25">
      <c r="M1142" s="21"/>
    </row>
    <row r="1143" spans="13:13" x14ac:dyDescent="0.25">
      <c r="M1143" s="21"/>
    </row>
    <row r="1144" spans="13:13" x14ac:dyDescent="0.25">
      <c r="M1144" s="21"/>
    </row>
    <row r="1145" spans="13:13" x14ac:dyDescent="0.25">
      <c r="M1145" s="21"/>
    </row>
    <row r="1146" spans="13:13" x14ac:dyDescent="0.25">
      <c r="M1146" s="21"/>
    </row>
    <row r="1147" spans="13:13" x14ac:dyDescent="0.25">
      <c r="M1147" s="21"/>
    </row>
    <row r="1148" spans="13:13" x14ac:dyDescent="0.25">
      <c r="M1148" s="21"/>
    </row>
    <row r="1149" spans="13:13" x14ac:dyDescent="0.25">
      <c r="M1149" s="21"/>
    </row>
    <row r="1150" spans="13:13" x14ac:dyDescent="0.25">
      <c r="M1150" s="21"/>
    </row>
    <row r="1151" spans="13:13" x14ac:dyDescent="0.25">
      <c r="M1151" s="21"/>
    </row>
    <row r="1152" spans="13:13" x14ac:dyDescent="0.25">
      <c r="M1152" s="21"/>
    </row>
    <row r="1153" spans="13:13" x14ac:dyDescent="0.25">
      <c r="M1153" s="21"/>
    </row>
    <row r="1154" spans="13:13" x14ac:dyDescent="0.25">
      <c r="M1154" s="21"/>
    </row>
    <row r="1155" spans="13:13" x14ac:dyDescent="0.25">
      <c r="M1155" s="21"/>
    </row>
    <row r="1156" spans="13:13" x14ac:dyDescent="0.25">
      <c r="M1156" s="21"/>
    </row>
    <row r="1157" spans="13:13" x14ac:dyDescent="0.25">
      <c r="M1157" s="21"/>
    </row>
    <row r="1158" spans="13:13" x14ac:dyDescent="0.25">
      <c r="M1158" s="21"/>
    </row>
    <row r="1159" spans="13:13" x14ac:dyDescent="0.25">
      <c r="M1159" s="21"/>
    </row>
    <row r="1160" spans="13:13" x14ac:dyDescent="0.25">
      <c r="M1160" s="21"/>
    </row>
    <row r="1161" spans="13:13" x14ac:dyDescent="0.25">
      <c r="M1161" s="21"/>
    </row>
    <row r="1162" spans="13:13" x14ac:dyDescent="0.25">
      <c r="M1162" s="21"/>
    </row>
    <row r="1163" spans="13:13" x14ac:dyDescent="0.25">
      <c r="M1163" s="21"/>
    </row>
    <row r="1164" spans="13:13" x14ac:dyDescent="0.25">
      <c r="M1164" s="21"/>
    </row>
    <row r="1165" spans="13:13" x14ac:dyDescent="0.25">
      <c r="M1165" s="21"/>
    </row>
    <row r="1166" spans="13:13" x14ac:dyDescent="0.25">
      <c r="M1166" s="21"/>
    </row>
    <row r="1167" spans="13:13" x14ac:dyDescent="0.25">
      <c r="M1167" s="21"/>
    </row>
    <row r="1168" spans="13:13" x14ac:dyDescent="0.25">
      <c r="M1168" s="21"/>
    </row>
    <row r="1169" spans="13:13" x14ac:dyDescent="0.25">
      <c r="M1169" s="21"/>
    </row>
    <row r="1170" spans="13:13" x14ac:dyDescent="0.25">
      <c r="M1170" s="21"/>
    </row>
    <row r="1171" spans="13:13" x14ac:dyDescent="0.25">
      <c r="M1171" s="21"/>
    </row>
    <row r="1172" spans="13:13" x14ac:dyDescent="0.25">
      <c r="M1172" s="21"/>
    </row>
    <row r="1173" spans="13:13" x14ac:dyDescent="0.25">
      <c r="M1173" s="21"/>
    </row>
    <row r="1174" spans="13:13" x14ac:dyDescent="0.25">
      <c r="M1174" s="21"/>
    </row>
    <row r="1175" spans="13:13" x14ac:dyDescent="0.25">
      <c r="M1175" s="21"/>
    </row>
    <row r="1176" spans="13:13" x14ac:dyDescent="0.25">
      <c r="M1176" s="21"/>
    </row>
    <row r="1177" spans="13:13" x14ac:dyDescent="0.25">
      <c r="M1177" s="21"/>
    </row>
    <row r="1178" spans="13:13" x14ac:dyDescent="0.25">
      <c r="M1178" s="21"/>
    </row>
    <row r="1179" spans="13:13" x14ac:dyDescent="0.25">
      <c r="M1179" s="21"/>
    </row>
    <row r="1180" spans="13:13" x14ac:dyDescent="0.25">
      <c r="M1180" s="21"/>
    </row>
    <row r="1181" spans="13:13" x14ac:dyDescent="0.25">
      <c r="M1181" s="21"/>
    </row>
    <row r="1182" spans="13:13" x14ac:dyDescent="0.25">
      <c r="M1182" s="21"/>
    </row>
    <row r="1183" spans="13:13" x14ac:dyDescent="0.25">
      <c r="M1183" s="21"/>
    </row>
    <row r="1184" spans="13:13" x14ac:dyDescent="0.25">
      <c r="M1184" s="21"/>
    </row>
    <row r="1185" spans="13:13" x14ac:dyDescent="0.25">
      <c r="M1185" s="21"/>
    </row>
    <row r="1186" spans="13:13" x14ac:dyDescent="0.25">
      <c r="M1186" s="21"/>
    </row>
    <row r="1187" spans="13:13" x14ac:dyDescent="0.25">
      <c r="M1187" s="21"/>
    </row>
    <row r="1188" spans="13:13" x14ac:dyDescent="0.25">
      <c r="M1188" s="21"/>
    </row>
    <row r="1189" spans="13:13" x14ac:dyDescent="0.25">
      <c r="M1189" s="21"/>
    </row>
    <row r="1190" spans="13:13" x14ac:dyDescent="0.25">
      <c r="M1190" s="21"/>
    </row>
    <row r="1191" spans="13:13" x14ac:dyDescent="0.25">
      <c r="M1191" s="21"/>
    </row>
    <row r="1192" spans="13:13" x14ac:dyDescent="0.25">
      <c r="M1192" s="21"/>
    </row>
    <row r="1193" spans="13:13" x14ac:dyDescent="0.25">
      <c r="M1193" s="21"/>
    </row>
    <row r="1194" spans="13:13" x14ac:dyDescent="0.25">
      <c r="M1194" s="21"/>
    </row>
    <row r="1195" spans="13:13" x14ac:dyDescent="0.25">
      <c r="M1195" s="21"/>
    </row>
    <row r="1196" spans="13:13" x14ac:dyDescent="0.25">
      <c r="M1196" s="21"/>
    </row>
    <row r="1197" spans="13:13" x14ac:dyDescent="0.25">
      <c r="M1197" s="21"/>
    </row>
    <row r="1198" spans="13:13" x14ac:dyDescent="0.25">
      <c r="M1198" s="21"/>
    </row>
    <row r="1199" spans="13:13" x14ac:dyDescent="0.25">
      <c r="M1199" s="21"/>
    </row>
    <row r="1200" spans="13:13" x14ac:dyDescent="0.25">
      <c r="M1200" s="21"/>
    </row>
    <row r="1201" spans="13:13" x14ac:dyDescent="0.25">
      <c r="M1201" s="21"/>
    </row>
    <row r="1202" spans="13:13" x14ac:dyDescent="0.25">
      <c r="M1202" s="21"/>
    </row>
    <row r="1203" spans="13:13" x14ac:dyDescent="0.25">
      <c r="M1203" s="21"/>
    </row>
    <row r="1204" spans="13:13" x14ac:dyDescent="0.25">
      <c r="M1204" s="21"/>
    </row>
    <row r="1205" spans="13:13" x14ac:dyDescent="0.25">
      <c r="M1205" s="21"/>
    </row>
    <row r="1206" spans="13:13" x14ac:dyDescent="0.25">
      <c r="M1206" s="21"/>
    </row>
    <row r="1207" spans="13:13" x14ac:dyDescent="0.25">
      <c r="M1207" s="21"/>
    </row>
    <row r="1208" spans="13:13" x14ac:dyDescent="0.25">
      <c r="M1208" s="21"/>
    </row>
    <row r="1209" spans="13:13" x14ac:dyDescent="0.25">
      <c r="M1209" s="21"/>
    </row>
    <row r="1210" spans="13:13" x14ac:dyDescent="0.25">
      <c r="M1210" s="21"/>
    </row>
    <row r="1211" spans="13:13" x14ac:dyDescent="0.25">
      <c r="M1211" s="21"/>
    </row>
    <row r="1212" spans="13:13" x14ac:dyDescent="0.25">
      <c r="M1212" s="21"/>
    </row>
    <row r="1213" spans="13:13" x14ac:dyDescent="0.25">
      <c r="M1213" s="21"/>
    </row>
    <row r="1214" spans="13:13" x14ac:dyDescent="0.25">
      <c r="M1214" s="21"/>
    </row>
    <row r="1215" spans="13:13" x14ac:dyDescent="0.25">
      <c r="M1215" s="21"/>
    </row>
    <row r="1216" spans="13:13" x14ac:dyDescent="0.25">
      <c r="M1216" s="21"/>
    </row>
    <row r="1217" spans="13:13" x14ac:dyDescent="0.25">
      <c r="M1217" s="21"/>
    </row>
    <row r="1218" spans="13:13" x14ac:dyDescent="0.25">
      <c r="M1218" s="21"/>
    </row>
    <row r="1219" spans="13:13" x14ac:dyDescent="0.25">
      <c r="M1219" s="21"/>
    </row>
    <row r="1220" spans="13:13" x14ac:dyDescent="0.25">
      <c r="M1220" s="21"/>
    </row>
    <row r="1221" spans="13:13" x14ac:dyDescent="0.25">
      <c r="M1221" s="21"/>
    </row>
    <row r="1222" spans="13:13" x14ac:dyDescent="0.25">
      <c r="M1222" s="21"/>
    </row>
    <row r="1223" spans="13:13" x14ac:dyDescent="0.25">
      <c r="M1223" s="21"/>
    </row>
    <row r="1224" spans="13:13" x14ac:dyDescent="0.25">
      <c r="M1224" s="21"/>
    </row>
    <row r="1225" spans="13:13" x14ac:dyDescent="0.25">
      <c r="M1225" s="21"/>
    </row>
    <row r="1226" spans="13:13" x14ac:dyDescent="0.25">
      <c r="M1226" s="21"/>
    </row>
    <row r="1227" spans="13:13" x14ac:dyDescent="0.25">
      <c r="M1227" s="21"/>
    </row>
    <row r="1228" spans="13:13" x14ac:dyDescent="0.25">
      <c r="M1228" s="21"/>
    </row>
    <row r="1229" spans="13:13" x14ac:dyDescent="0.25">
      <c r="M1229" s="21"/>
    </row>
    <row r="1230" spans="13:13" x14ac:dyDescent="0.25">
      <c r="M1230" s="21"/>
    </row>
    <row r="1231" spans="13:13" x14ac:dyDescent="0.25">
      <c r="M1231" s="21"/>
    </row>
    <row r="1232" spans="13:13" x14ac:dyDescent="0.25">
      <c r="M1232" s="21"/>
    </row>
    <row r="1233" spans="13:13" x14ac:dyDescent="0.25">
      <c r="M1233" s="21"/>
    </row>
    <row r="1234" spans="13:13" x14ac:dyDescent="0.25">
      <c r="M1234" s="21"/>
    </row>
    <row r="1235" spans="13:13" x14ac:dyDescent="0.25">
      <c r="M1235" s="21"/>
    </row>
    <row r="1236" spans="13:13" x14ac:dyDescent="0.25">
      <c r="M1236" s="21"/>
    </row>
    <row r="1237" spans="13:13" x14ac:dyDescent="0.25">
      <c r="M1237" s="21"/>
    </row>
    <row r="1238" spans="13:13" x14ac:dyDescent="0.25">
      <c r="M1238" s="21"/>
    </row>
    <row r="1239" spans="13:13" x14ac:dyDescent="0.25">
      <c r="M1239" s="21"/>
    </row>
    <row r="1240" spans="13:13" x14ac:dyDescent="0.25">
      <c r="M1240" s="21"/>
    </row>
    <row r="1241" spans="13:13" x14ac:dyDescent="0.25">
      <c r="M1241" s="21"/>
    </row>
    <row r="1242" spans="13:13" x14ac:dyDescent="0.25">
      <c r="M1242" s="21"/>
    </row>
    <row r="1243" spans="13:13" x14ac:dyDescent="0.25">
      <c r="M1243" s="21"/>
    </row>
    <row r="1244" spans="13:13" x14ac:dyDescent="0.25">
      <c r="M1244" s="21"/>
    </row>
    <row r="1245" spans="13:13" x14ac:dyDescent="0.25">
      <c r="M1245" s="21"/>
    </row>
    <row r="1246" spans="13:13" x14ac:dyDescent="0.25">
      <c r="M1246" s="21"/>
    </row>
    <row r="1247" spans="13:13" x14ac:dyDescent="0.25">
      <c r="M1247" s="21"/>
    </row>
    <row r="1248" spans="13:13" x14ac:dyDescent="0.25">
      <c r="M1248" s="21"/>
    </row>
    <row r="1249" spans="13:13" x14ac:dyDescent="0.25">
      <c r="M1249" s="21"/>
    </row>
    <row r="1250" spans="13:13" x14ac:dyDescent="0.25">
      <c r="M1250" s="21"/>
    </row>
    <row r="1251" spans="13:13" x14ac:dyDescent="0.25">
      <c r="M1251" s="21"/>
    </row>
    <row r="1252" spans="13:13" x14ac:dyDescent="0.25">
      <c r="M1252" s="21"/>
    </row>
    <row r="1253" spans="13:13" x14ac:dyDescent="0.25">
      <c r="M1253" s="21"/>
    </row>
    <row r="1254" spans="13:13" x14ac:dyDescent="0.25">
      <c r="M1254" s="21"/>
    </row>
    <row r="1255" spans="13:13" x14ac:dyDescent="0.25">
      <c r="M1255" s="21"/>
    </row>
    <row r="1256" spans="13:13" x14ac:dyDescent="0.25">
      <c r="M1256" s="21"/>
    </row>
    <row r="1257" spans="13:13" x14ac:dyDescent="0.25">
      <c r="M1257" s="21"/>
    </row>
    <row r="1258" spans="13:13" x14ac:dyDescent="0.25">
      <c r="M1258" s="21"/>
    </row>
    <row r="1259" spans="13:13" x14ac:dyDescent="0.25">
      <c r="M1259" s="21"/>
    </row>
    <row r="1260" spans="13:13" x14ac:dyDescent="0.25">
      <c r="M1260" s="21"/>
    </row>
    <row r="1261" spans="13:13" x14ac:dyDescent="0.25">
      <c r="M1261" s="21"/>
    </row>
    <row r="1262" spans="13:13" x14ac:dyDescent="0.25">
      <c r="M1262" s="21"/>
    </row>
    <row r="1263" spans="13:13" x14ac:dyDescent="0.25">
      <c r="M1263" s="21"/>
    </row>
    <row r="1264" spans="13:13" x14ac:dyDescent="0.25">
      <c r="M1264" s="21"/>
    </row>
    <row r="1265" spans="13:13" x14ac:dyDescent="0.25">
      <c r="M1265" s="21"/>
    </row>
    <row r="1266" spans="13:13" x14ac:dyDescent="0.25">
      <c r="M1266" s="21"/>
    </row>
    <row r="1267" spans="13:13" x14ac:dyDescent="0.25">
      <c r="M1267" s="21"/>
    </row>
    <row r="1268" spans="13:13" x14ac:dyDescent="0.25">
      <c r="M1268" s="21"/>
    </row>
    <row r="1269" spans="13:13" x14ac:dyDescent="0.25">
      <c r="M1269" s="21"/>
    </row>
    <row r="1270" spans="13:13" x14ac:dyDescent="0.25">
      <c r="M1270" s="21"/>
    </row>
    <row r="1271" spans="13:13" x14ac:dyDescent="0.25">
      <c r="M1271" s="21"/>
    </row>
    <row r="1272" spans="13:13" x14ac:dyDescent="0.25">
      <c r="M1272" s="21"/>
    </row>
    <row r="1273" spans="13:13" x14ac:dyDescent="0.25">
      <c r="M1273" s="21"/>
    </row>
    <row r="1274" spans="13:13" x14ac:dyDescent="0.25">
      <c r="M1274" s="21"/>
    </row>
    <row r="1275" spans="13:13" x14ac:dyDescent="0.25">
      <c r="M1275" s="21"/>
    </row>
    <row r="1276" spans="13:13" x14ac:dyDescent="0.25">
      <c r="M1276" s="21"/>
    </row>
    <row r="1277" spans="13:13" x14ac:dyDescent="0.25">
      <c r="M1277" s="21"/>
    </row>
    <row r="1278" spans="13:13" x14ac:dyDescent="0.25">
      <c r="M1278" s="21"/>
    </row>
    <row r="1279" spans="13:13" x14ac:dyDescent="0.25">
      <c r="M1279" s="21"/>
    </row>
    <row r="1280" spans="13:13" x14ac:dyDescent="0.25">
      <c r="M1280" s="21"/>
    </row>
    <row r="1281" spans="13:13" x14ac:dyDescent="0.25">
      <c r="M1281" s="21"/>
    </row>
    <row r="1282" spans="13:13" x14ac:dyDescent="0.25">
      <c r="M1282" s="21"/>
    </row>
    <row r="1283" spans="13:13" x14ac:dyDescent="0.25">
      <c r="M1283" s="21"/>
    </row>
    <row r="1284" spans="13:13" x14ac:dyDescent="0.25">
      <c r="M1284" s="21"/>
    </row>
    <row r="1285" spans="13:13" x14ac:dyDescent="0.25">
      <c r="M1285" s="21"/>
    </row>
    <row r="1286" spans="13:13" x14ac:dyDescent="0.25">
      <c r="M1286" s="21"/>
    </row>
    <row r="1287" spans="13:13" x14ac:dyDescent="0.25">
      <c r="M1287" s="21"/>
    </row>
    <row r="1288" spans="13:13" x14ac:dyDescent="0.25">
      <c r="M1288" s="21"/>
    </row>
    <row r="1289" spans="13:13" x14ac:dyDescent="0.25">
      <c r="M1289" s="21"/>
    </row>
    <row r="1290" spans="13:13" x14ac:dyDescent="0.25">
      <c r="M1290" s="21"/>
    </row>
    <row r="1291" spans="13:13" x14ac:dyDescent="0.25">
      <c r="M1291" s="21"/>
    </row>
    <row r="1292" spans="13:13" x14ac:dyDescent="0.25">
      <c r="M1292" s="21"/>
    </row>
    <row r="1293" spans="13:13" x14ac:dyDescent="0.25">
      <c r="M1293" s="21"/>
    </row>
    <row r="1294" spans="13:13" x14ac:dyDescent="0.25">
      <c r="M1294" s="21"/>
    </row>
    <row r="1295" spans="13:13" x14ac:dyDescent="0.25">
      <c r="M1295" s="21"/>
    </row>
    <row r="1296" spans="13:13" x14ac:dyDescent="0.25">
      <c r="M1296" s="21"/>
    </row>
    <row r="1297" spans="13:13" x14ac:dyDescent="0.25">
      <c r="M1297" s="21"/>
    </row>
    <row r="1298" spans="13:13" x14ac:dyDescent="0.25">
      <c r="M1298" s="21"/>
    </row>
    <row r="1299" spans="13:13" x14ac:dyDescent="0.25">
      <c r="M1299" s="21"/>
    </row>
    <row r="1300" spans="13:13" x14ac:dyDescent="0.25">
      <c r="M1300" s="21"/>
    </row>
    <row r="1301" spans="13:13" x14ac:dyDescent="0.25">
      <c r="M1301" s="21"/>
    </row>
    <row r="1302" spans="13:13" x14ac:dyDescent="0.25">
      <c r="M1302" s="21"/>
    </row>
    <row r="1303" spans="13:13" x14ac:dyDescent="0.25">
      <c r="M1303" s="21"/>
    </row>
    <row r="1304" spans="13:13" x14ac:dyDescent="0.25">
      <c r="M1304" s="21"/>
    </row>
    <row r="1305" spans="13:13" x14ac:dyDescent="0.25">
      <c r="M1305" s="21"/>
    </row>
    <row r="1306" spans="13:13" x14ac:dyDescent="0.25">
      <c r="M1306" s="21"/>
    </row>
    <row r="1307" spans="13:13" x14ac:dyDescent="0.25">
      <c r="M1307" s="21"/>
    </row>
    <row r="1308" spans="13:13" x14ac:dyDescent="0.25">
      <c r="M1308" s="21"/>
    </row>
    <row r="1309" spans="13:13" x14ac:dyDescent="0.25">
      <c r="M1309" s="21"/>
    </row>
    <row r="1310" spans="13:13" x14ac:dyDescent="0.25">
      <c r="M1310" s="21"/>
    </row>
    <row r="1311" spans="13:13" x14ac:dyDescent="0.25">
      <c r="M1311" s="21"/>
    </row>
    <row r="1312" spans="13:13" x14ac:dyDescent="0.25">
      <c r="M1312" s="21"/>
    </row>
    <row r="1313" spans="13:13" x14ac:dyDescent="0.25">
      <c r="M1313" s="21"/>
    </row>
    <row r="1314" spans="13:13" x14ac:dyDescent="0.25">
      <c r="M1314" s="21"/>
    </row>
    <row r="1315" spans="13:13" x14ac:dyDescent="0.25">
      <c r="M1315" s="21"/>
    </row>
    <row r="1316" spans="13:13" x14ac:dyDescent="0.25">
      <c r="M1316" s="21"/>
    </row>
    <row r="1317" spans="13:13" x14ac:dyDescent="0.25">
      <c r="M1317" s="21"/>
    </row>
    <row r="1318" spans="13:13" x14ac:dyDescent="0.25">
      <c r="M1318" s="21"/>
    </row>
    <row r="1319" spans="13:13" x14ac:dyDescent="0.25">
      <c r="M1319" s="21"/>
    </row>
    <row r="1320" spans="13:13" x14ac:dyDescent="0.25">
      <c r="M1320" s="21"/>
    </row>
    <row r="1321" spans="13:13" x14ac:dyDescent="0.25">
      <c r="M1321" s="21"/>
    </row>
    <row r="1322" spans="13:13" x14ac:dyDescent="0.25">
      <c r="M1322" s="21"/>
    </row>
    <row r="1323" spans="13:13" x14ac:dyDescent="0.25">
      <c r="M1323" s="21"/>
    </row>
    <row r="1324" spans="13:13" x14ac:dyDescent="0.25">
      <c r="M1324" s="21"/>
    </row>
    <row r="1325" spans="13:13" x14ac:dyDescent="0.25">
      <c r="M1325" s="21"/>
    </row>
    <row r="1326" spans="13:13" x14ac:dyDescent="0.25">
      <c r="M1326" s="21"/>
    </row>
    <row r="1327" spans="13:13" x14ac:dyDescent="0.25">
      <c r="M1327" s="21"/>
    </row>
    <row r="1328" spans="13:13" x14ac:dyDescent="0.25">
      <c r="M1328" s="21"/>
    </row>
    <row r="1329" spans="13:13" x14ac:dyDescent="0.25">
      <c r="M1329" s="21"/>
    </row>
    <row r="1330" spans="13:13" x14ac:dyDescent="0.25">
      <c r="M1330" s="21"/>
    </row>
    <row r="1331" spans="13:13" x14ac:dyDescent="0.25">
      <c r="M1331" s="21"/>
    </row>
    <row r="1332" spans="13:13" x14ac:dyDescent="0.25">
      <c r="M1332" s="21"/>
    </row>
    <row r="1333" spans="13:13" x14ac:dyDescent="0.25">
      <c r="M1333" s="21"/>
    </row>
    <row r="1334" spans="13:13" x14ac:dyDescent="0.25">
      <c r="M1334" s="21"/>
    </row>
    <row r="1335" spans="13:13" x14ac:dyDescent="0.25">
      <c r="M1335" s="21"/>
    </row>
    <row r="1336" spans="13:13" x14ac:dyDescent="0.25">
      <c r="M1336" s="21"/>
    </row>
    <row r="1337" spans="13:13" x14ac:dyDescent="0.25">
      <c r="M1337" s="21"/>
    </row>
    <row r="1338" spans="13:13" x14ac:dyDescent="0.25">
      <c r="M1338" s="21"/>
    </row>
    <row r="1339" spans="13:13" x14ac:dyDescent="0.25">
      <c r="M1339" s="21"/>
    </row>
    <row r="1340" spans="13:13" x14ac:dyDescent="0.25">
      <c r="M1340" s="21"/>
    </row>
    <row r="1341" spans="13:13" x14ac:dyDescent="0.25">
      <c r="M1341" s="21"/>
    </row>
    <row r="1342" spans="13:13" x14ac:dyDescent="0.25">
      <c r="M1342" s="21"/>
    </row>
    <row r="1343" spans="13:13" x14ac:dyDescent="0.25">
      <c r="M1343" s="21"/>
    </row>
    <row r="1344" spans="13:13" x14ac:dyDescent="0.25">
      <c r="M1344" s="21"/>
    </row>
    <row r="1345" spans="13:13" x14ac:dyDescent="0.25">
      <c r="M1345" s="21"/>
    </row>
    <row r="1346" spans="13:13" x14ac:dyDescent="0.25">
      <c r="M1346" s="21"/>
    </row>
    <row r="1347" spans="13:13" x14ac:dyDescent="0.25">
      <c r="M1347" s="21"/>
    </row>
    <row r="1348" spans="13:13" x14ac:dyDescent="0.25">
      <c r="M1348" s="21"/>
    </row>
    <row r="1349" spans="13:13" x14ac:dyDescent="0.25">
      <c r="M1349" s="21"/>
    </row>
    <row r="1350" spans="13:13" x14ac:dyDescent="0.25">
      <c r="M1350" s="21"/>
    </row>
    <row r="1351" spans="13:13" x14ac:dyDescent="0.25">
      <c r="M1351" s="21"/>
    </row>
    <row r="1352" spans="13:13" x14ac:dyDescent="0.25">
      <c r="M1352" s="21"/>
    </row>
    <row r="1353" spans="13:13" x14ac:dyDescent="0.25">
      <c r="M1353" s="21"/>
    </row>
    <row r="1354" spans="13:13" x14ac:dyDescent="0.25">
      <c r="M1354" s="21"/>
    </row>
    <row r="1355" spans="13:13" x14ac:dyDescent="0.25">
      <c r="M1355" s="21"/>
    </row>
    <row r="1356" spans="13:13" x14ac:dyDescent="0.25">
      <c r="M1356" s="21"/>
    </row>
    <row r="1357" spans="13:13" x14ac:dyDescent="0.25">
      <c r="M1357" s="21"/>
    </row>
    <row r="1358" spans="13:13" x14ac:dyDescent="0.25">
      <c r="M1358" s="21"/>
    </row>
    <row r="1359" spans="13:13" x14ac:dyDescent="0.25">
      <c r="M1359" s="21"/>
    </row>
    <row r="1360" spans="13:13" x14ac:dyDescent="0.25">
      <c r="M1360" s="21"/>
    </row>
    <row r="1361" spans="13:13" x14ac:dyDescent="0.25">
      <c r="M1361" s="21"/>
    </row>
    <row r="1362" spans="13:13" x14ac:dyDescent="0.25">
      <c r="M1362" s="21"/>
    </row>
    <row r="1363" spans="13:13" x14ac:dyDescent="0.25">
      <c r="M1363" s="21"/>
    </row>
    <row r="1364" spans="13:13" x14ac:dyDescent="0.25">
      <c r="M1364" s="21"/>
    </row>
    <row r="1365" spans="13:13" x14ac:dyDescent="0.25">
      <c r="M1365" s="21"/>
    </row>
    <row r="1366" spans="13:13" x14ac:dyDescent="0.25">
      <c r="M1366" s="21"/>
    </row>
    <row r="1367" spans="13:13" x14ac:dyDescent="0.25">
      <c r="M1367" s="21"/>
    </row>
    <row r="1368" spans="13:13" x14ac:dyDescent="0.25">
      <c r="M1368" s="21"/>
    </row>
    <row r="1369" spans="13:13" x14ac:dyDescent="0.25">
      <c r="M1369" s="21"/>
    </row>
    <row r="1370" spans="13:13" x14ac:dyDescent="0.25">
      <c r="M1370" s="21"/>
    </row>
    <row r="1371" spans="13:13" x14ac:dyDescent="0.25">
      <c r="M1371" s="21"/>
    </row>
    <row r="1372" spans="13:13" x14ac:dyDescent="0.25">
      <c r="M1372" s="21"/>
    </row>
    <row r="1373" spans="13:13" x14ac:dyDescent="0.25">
      <c r="M1373" s="21"/>
    </row>
    <row r="1374" spans="13:13" x14ac:dyDescent="0.25">
      <c r="M1374" s="21"/>
    </row>
    <row r="1375" spans="13:13" x14ac:dyDescent="0.25">
      <c r="M1375" s="21"/>
    </row>
    <row r="1376" spans="13:13" x14ac:dyDescent="0.25">
      <c r="M1376" s="21"/>
    </row>
    <row r="1377" spans="13:13" x14ac:dyDescent="0.25">
      <c r="M1377" s="21"/>
    </row>
    <row r="1378" spans="13:13" x14ac:dyDescent="0.25">
      <c r="M1378" s="21"/>
    </row>
    <row r="1379" spans="13:13" x14ac:dyDescent="0.25">
      <c r="M1379" s="21"/>
    </row>
    <row r="1380" spans="13:13" x14ac:dyDescent="0.25">
      <c r="M1380" s="21"/>
    </row>
    <row r="1381" spans="13:13" x14ac:dyDescent="0.25">
      <c r="M1381" s="21"/>
    </row>
    <row r="1382" spans="13:13" x14ac:dyDescent="0.25">
      <c r="M1382" s="21"/>
    </row>
    <row r="1383" spans="13:13" x14ac:dyDescent="0.25">
      <c r="M1383" s="21"/>
    </row>
    <row r="1384" spans="13:13" x14ac:dyDescent="0.25">
      <c r="M1384" s="21"/>
    </row>
    <row r="1385" spans="13:13" x14ac:dyDescent="0.25">
      <c r="M1385" s="21"/>
    </row>
    <row r="1386" spans="13:13" x14ac:dyDescent="0.25">
      <c r="M1386" s="21"/>
    </row>
    <row r="1387" spans="13:13" x14ac:dyDescent="0.25">
      <c r="M1387" s="21"/>
    </row>
    <row r="1388" spans="13:13" x14ac:dyDescent="0.25">
      <c r="M1388" s="21"/>
    </row>
    <row r="1389" spans="13:13" x14ac:dyDescent="0.25">
      <c r="M1389" s="21"/>
    </row>
    <row r="1390" spans="13:13" x14ac:dyDescent="0.25">
      <c r="M1390" s="21"/>
    </row>
    <row r="1391" spans="13:13" x14ac:dyDescent="0.25">
      <c r="M1391" s="21"/>
    </row>
    <row r="1392" spans="13:13" x14ac:dyDescent="0.25">
      <c r="M1392" s="21"/>
    </row>
    <row r="1393" spans="13:13" x14ac:dyDescent="0.25">
      <c r="M1393" s="21"/>
    </row>
    <row r="1394" spans="13:13" x14ac:dyDescent="0.25">
      <c r="M1394" s="21"/>
    </row>
    <row r="1395" spans="13:13" x14ac:dyDescent="0.25">
      <c r="M1395" s="21"/>
    </row>
    <row r="1396" spans="13:13" x14ac:dyDescent="0.25">
      <c r="M1396" s="21"/>
    </row>
    <row r="1397" spans="13:13" x14ac:dyDescent="0.25">
      <c r="M1397" s="21"/>
    </row>
    <row r="1398" spans="13:13" x14ac:dyDescent="0.25">
      <c r="M1398" s="21"/>
    </row>
    <row r="1399" spans="13:13" x14ac:dyDescent="0.25">
      <c r="M1399" s="21"/>
    </row>
    <row r="1400" spans="13:13" x14ac:dyDescent="0.25">
      <c r="M1400" s="21"/>
    </row>
    <row r="1401" spans="13:13" x14ac:dyDescent="0.25">
      <c r="M1401" s="21"/>
    </row>
    <row r="1402" spans="13:13" x14ac:dyDescent="0.25">
      <c r="M1402" s="21"/>
    </row>
    <row r="1403" spans="13:13" x14ac:dyDescent="0.25">
      <c r="M1403" s="21"/>
    </row>
    <row r="1404" spans="13:13" x14ac:dyDescent="0.25">
      <c r="M1404" s="21"/>
    </row>
    <row r="1405" spans="13:13" x14ac:dyDescent="0.25">
      <c r="M1405" s="21"/>
    </row>
    <row r="1406" spans="13:13" x14ac:dyDescent="0.25">
      <c r="M1406" s="21"/>
    </row>
    <row r="1407" spans="13:13" x14ac:dyDescent="0.25">
      <c r="M1407" s="21"/>
    </row>
    <row r="1408" spans="13:13" x14ac:dyDescent="0.25">
      <c r="M1408" s="21"/>
    </row>
    <row r="1409" spans="13:13" x14ac:dyDescent="0.25">
      <c r="M1409" s="21"/>
    </row>
    <row r="1410" spans="13:13" x14ac:dyDescent="0.25">
      <c r="M1410" s="21"/>
    </row>
    <row r="1411" spans="13:13" x14ac:dyDescent="0.25">
      <c r="M1411" s="21"/>
    </row>
    <row r="1412" spans="13:13" x14ac:dyDescent="0.25">
      <c r="M1412" s="21"/>
    </row>
    <row r="1413" spans="13:13" x14ac:dyDescent="0.25">
      <c r="M1413" s="21"/>
    </row>
    <row r="1414" spans="13:13" x14ac:dyDescent="0.25">
      <c r="M1414" s="21"/>
    </row>
    <row r="1415" spans="13:13" x14ac:dyDescent="0.25">
      <c r="M1415" s="21"/>
    </row>
    <row r="1416" spans="13:13" x14ac:dyDescent="0.25">
      <c r="M1416" s="21"/>
    </row>
    <row r="1417" spans="13:13" x14ac:dyDescent="0.25">
      <c r="M1417" s="21"/>
    </row>
    <row r="1418" spans="13:13" x14ac:dyDescent="0.25">
      <c r="M1418" s="21"/>
    </row>
    <row r="1419" spans="13:13" x14ac:dyDescent="0.25">
      <c r="M1419" s="21"/>
    </row>
    <row r="1420" spans="13:13" x14ac:dyDescent="0.25">
      <c r="M1420" s="21"/>
    </row>
    <row r="1421" spans="13:13" x14ac:dyDescent="0.25">
      <c r="M1421" s="21"/>
    </row>
    <row r="1422" spans="13:13" x14ac:dyDescent="0.25">
      <c r="M1422" s="21"/>
    </row>
    <row r="1423" spans="13:13" x14ac:dyDescent="0.25">
      <c r="M1423" s="21"/>
    </row>
    <row r="1424" spans="13:13" x14ac:dyDescent="0.25">
      <c r="M1424" s="21"/>
    </row>
    <row r="1425" spans="13:13" x14ac:dyDescent="0.25">
      <c r="M1425" s="21"/>
    </row>
    <row r="1426" spans="13:13" x14ac:dyDescent="0.25">
      <c r="M1426" s="21"/>
    </row>
    <row r="1427" spans="13:13" x14ac:dyDescent="0.25">
      <c r="M1427" s="21"/>
    </row>
    <row r="1428" spans="13:13" x14ac:dyDescent="0.25">
      <c r="M1428" s="21"/>
    </row>
    <row r="1429" spans="13:13" x14ac:dyDescent="0.25">
      <c r="M1429" s="21"/>
    </row>
    <row r="1430" spans="13:13" x14ac:dyDescent="0.25">
      <c r="M1430" s="21"/>
    </row>
    <row r="1431" spans="13:13" x14ac:dyDescent="0.25">
      <c r="M1431" s="21"/>
    </row>
    <row r="1432" spans="13:13" x14ac:dyDescent="0.25">
      <c r="M1432" s="21"/>
    </row>
    <row r="1433" spans="13:13" x14ac:dyDescent="0.25">
      <c r="M1433" s="21"/>
    </row>
    <row r="1434" spans="13:13" x14ac:dyDescent="0.25">
      <c r="M1434" s="21"/>
    </row>
    <row r="1435" spans="13:13" x14ac:dyDescent="0.25">
      <c r="M1435" s="21"/>
    </row>
    <row r="1436" spans="13:13" x14ac:dyDescent="0.25">
      <c r="M1436" s="21"/>
    </row>
    <row r="1437" spans="13:13" x14ac:dyDescent="0.25">
      <c r="M1437" s="21"/>
    </row>
    <row r="1438" spans="13:13" x14ac:dyDescent="0.25">
      <c r="M1438" s="21"/>
    </row>
    <row r="1439" spans="13:13" x14ac:dyDescent="0.25">
      <c r="M1439" s="21"/>
    </row>
    <row r="1440" spans="13:13" x14ac:dyDescent="0.25">
      <c r="M1440" s="21"/>
    </row>
    <row r="1441" spans="13:13" x14ac:dyDescent="0.25">
      <c r="M1441" s="21"/>
    </row>
    <row r="1442" spans="13:13" x14ac:dyDescent="0.25">
      <c r="M1442" s="21"/>
    </row>
    <row r="1443" spans="13:13" x14ac:dyDescent="0.25">
      <c r="M1443" s="21"/>
    </row>
    <row r="1444" spans="13:13" x14ac:dyDescent="0.25">
      <c r="M1444" s="21"/>
    </row>
    <row r="1445" spans="13:13" x14ac:dyDescent="0.25">
      <c r="M1445" s="21"/>
    </row>
    <row r="1446" spans="13:13" x14ac:dyDescent="0.25">
      <c r="M1446" s="21"/>
    </row>
    <row r="1447" spans="13:13" x14ac:dyDescent="0.25">
      <c r="M1447" s="21"/>
    </row>
    <row r="1448" spans="13:13" x14ac:dyDescent="0.25">
      <c r="M1448" s="21"/>
    </row>
    <row r="1449" spans="13:13" x14ac:dyDescent="0.25">
      <c r="M1449" s="21"/>
    </row>
    <row r="1450" spans="13:13" x14ac:dyDescent="0.25">
      <c r="M1450" s="21"/>
    </row>
    <row r="1451" spans="13:13" x14ac:dyDescent="0.25">
      <c r="M1451" s="21"/>
    </row>
    <row r="1452" spans="13:13" x14ac:dyDescent="0.25">
      <c r="M1452" s="21"/>
    </row>
    <row r="1453" spans="13:13" x14ac:dyDescent="0.25">
      <c r="M1453" s="21"/>
    </row>
    <row r="1454" spans="13:13" x14ac:dyDescent="0.25">
      <c r="M1454" s="21"/>
    </row>
    <row r="1455" spans="13:13" x14ac:dyDescent="0.25">
      <c r="M1455" s="21"/>
    </row>
    <row r="1456" spans="13:13" x14ac:dyDescent="0.25">
      <c r="M1456" s="21"/>
    </row>
    <row r="1457" spans="13:13" x14ac:dyDescent="0.25">
      <c r="M1457" s="21"/>
    </row>
    <row r="1458" spans="13:13" x14ac:dyDescent="0.25">
      <c r="M1458" s="21"/>
    </row>
    <row r="1459" spans="13:13" x14ac:dyDescent="0.25">
      <c r="M1459" s="21"/>
    </row>
    <row r="1460" spans="13:13" x14ac:dyDescent="0.25">
      <c r="M1460" s="21"/>
    </row>
    <row r="1461" spans="13:13" x14ac:dyDescent="0.25">
      <c r="M1461" s="21"/>
    </row>
    <row r="1462" spans="13:13" x14ac:dyDescent="0.25">
      <c r="M1462" s="21"/>
    </row>
    <row r="1463" spans="13:13" x14ac:dyDescent="0.25">
      <c r="M1463" s="21"/>
    </row>
    <row r="1464" spans="13:13" x14ac:dyDescent="0.25">
      <c r="M1464" s="21"/>
    </row>
    <row r="1465" spans="13:13" x14ac:dyDescent="0.25">
      <c r="M1465" s="21"/>
    </row>
    <row r="1466" spans="13:13" x14ac:dyDescent="0.25">
      <c r="M1466" s="21"/>
    </row>
    <row r="1467" spans="13:13" x14ac:dyDescent="0.25">
      <c r="M1467" s="21"/>
    </row>
    <row r="1468" spans="13:13" x14ac:dyDescent="0.25">
      <c r="M1468" s="21"/>
    </row>
    <row r="1469" spans="13:13" x14ac:dyDescent="0.25">
      <c r="M1469" s="21"/>
    </row>
    <row r="1470" spans="13:13" x14ac:dyDescent="0.25">
      <c r="M1470" s="21"/>
    </row>
    <row r="1471" spans="13:13" x14ac:dyDescent="0.25">
      <c r="M1471" s="21"/>
    </row>
    <row r="1472" spans="13:13" x14ac:dyDescent="0.25">
      <c r="M1472" s="21"/>
    </row>
    <row r="1473" spans="13:13" x14ac:dyDescent="0.25">
      <c r="M1473" s="21"/>
    </row>
    <row r="1474" spans="13:13" x14ac:dyDescent="0.25">
      <c r="M1474" s="21"/>
    </row>
    <row r="1475" spans="13:13" x14ac:dyDescent="0.25">
      <c r="M1475" s="21"/>
    </row>
    <row r="1476" spans="13:13" x14ac:dyDescent="0.25">
      <c r="M1476" s="21"/>
    </row>
    <row r="1477" spans="13:13" x14ac:dyDescent="0.25">
      <c r="M1477" s="21"/>
    </row>
    <row r="1478" spans="13:13" x14ac:dyDescent="0.25">
      <c r="M1478" s="21"/>
    </row>
    <row r="1479" spans="13:13" x14ac:dyDescent="0.25">
      <c r="M1479" s="21"/>
    </row>
    <row r="1480" spans="13:13" x14ac:dyDescent="0.25">
      <c r="M1480" s="21"/>
    </row>
    <row r="1481" spans="13:13" x14ac:dyDescent="0.25">
      <c r="M1481" s="21"/>
    </row>
    <row r="1482" spans="13:13" x14ac:dyDescent="0.25">
      <c r="M1482" s="21"/>
    </row>
    <row r="1483" spans="13:13" x14ac:dyDescent="0.25">
      <c r="M1483" s="21"/>
    </row>
    <row r="1484" spans="13:13" x14ac:dyDescent="0.25">
      <c r="M1484" s="21"/>
    </row>
    <row r="1485" spans="13:13" x14ac:dyDescent="0.25">
      <c r="M1485" s="21"/>
    </row>
    <row r="1486" spans="13:13" x14ac:dyDescent="0.25">
      <c r="M1486" s="21"/>
    </row>
    <row r="1487" spans="13:13" x14ac:dyDescent="0.25">
      <c r="M1487" s="21"/>
    </row>
    <row r="1488" spans="13:13" x14ac:dyDescent="0.25">
      <c r="M1488" s="21"/>
    </row>
    <row r="1489" spans="13:13" x14ac:dyDescent="0.25">
      <c r="M1489" s="21"/>
    </row>
    <row r="1490" spans="13:13" x14ac:dyDescent="0.25">
      <c r="M1490" s="21"/>
    </row>
    <row r="1491" spans="13:13" x14ac:dyDescent="0.25">
      <c r="M1491" s="21"/>
    </row>
    <row r="1492" spans="13:13" x14ac:dyDescent="0.25">
      <c r="M1492" s="21"/>
    </row>
    <row r="1493" spans="13:13" x14ac:dyDescent="0.25">
      <c r="M1493" s="21"/>
    </row>
    <row r="1494" spans="13:13" x14ac:dyDescent="0.25">
      <c r="M1494" s="21"/>
    </row>
    <row r="1495" spans="13:13" x14ac:dyDescent="0.25">
      <c r="M1495" s="21"/>
    </row>
    <row r="1496" spans="13:13" x14ac:dyDescent="0.25">
      <c r="M1496" s="21"/>
    </row>
    <row r="1497" spans="13:13" x14ac:dyDescent="0.25">
      <c r="M1497" s="21"/>
    </row>
    <row r="1498" spans="13:13" x14ac:dyDescent="0.25">
      <c r="M1498" s="21"/>
    </row>
    <row r="1499" spans="13:13" x14ac:dyDescent="0.25">
      <c r="M1499" s="21"/>
    </row>
    <row r="1500" spans="13:13" x14ac:dyDescent="0.25">
      <c r="M1500" s="21"/>
    </row>
    <row r="1501" spans="13:13" x14ac:dyDescent="0.25">
      <c r="M1501" s="21"/>
    </row>
    <row r="1502" spans="13:13" x14ac:dyDescent="0.25">
      <c r="M1502" s="21"/>
    </row>
    <row r="1503" spans="13:13" x14ac:dyDescent="0.25">
      <c r="M1503" s="21"/>
    </row>
    <row r="1504" spans="13:13" x14ac:dyDescent="0.25">
      <c r="M1504" s="21"/>
    </row>
    <row r="1505" spans="13:13" x14ac:dyDescent="0.25">
      <c r="M1505" s="21"/>
    </row>
    <row r="1506" spans="13:13" x14ac:dyDescent="0.25">
      <c r="M1506" s="21"/>
    </row>
    <row r="1507" spans="13:13" x14ac:dyDescent="0.25">
      <c r="M1507" s="21"/>
    </row>
    <row r="1508" spans="13:13" x14ac:dyDescent="0.25">
      <c r="M1508" s="21"/>
    </row>
    <row r="1509" spans="13:13" x14ac:dyDescent="0.25">
      <c r="M1509" s="21"/>
    </row>
    <row r="1510" spans="13:13" x14ac:dyDescent="0.25">
      <c r="M1510" s="21"/>
    </row>
    <row r="1511" spans="13:13" x14ac:dyDescent="0.25">
      <c r="M1511" s="21"/>
    </row>
    <row r="1512" spans="13:13" x14ac:dyDescent="0.25">
      <c r="M1512" s="21"/>
    </row>
    <row r="1513" spans="13:13" x14ac:dyDescent="0.25">
      <c r="M1513" s="21"/>
    </row>
    <row r="1514" spans="13:13" x14ac:dyDescent="0.25">
      <c r="M1514" s="21"/>
    </row>
    <row r="1515" spans="13:13" x14ac:dyDescent="0.25">
      <c r="M1515" s="21"/>
    </row>
    <row r="1516" spans="13:13" x14ac:dyDescent="0.25">
      <c r="M1516" s="21"/>
    </row>
    <row r="1517" spans="13:13" x14ac:dyDescent="0.25">
      <c r="M1517" s="21"/>
    </row>
    <row r="1518" spans="13:13" x14ac:dyDescent="0.25">
      <c r="M1518" s="21"/>
    </row>
    <row r="1519" spans="13:13" x14ac:dyDescent="0.25">
      <c r="M1519" s="21"/>
    </row>
    <row r="1520" spans="13:13" x14ac:dyDescent="0.25">
      <c r="M1520" s="21"/>
    </row>
    <row r="1521" spans="13:13" x14ac:dyDescent="0.25">
      <c r="M1521" s="21"/>
    </row>
    <row r="1522" spans="13:13" x14ac:dyDescent="0.25">
      <c r="M1522" s="21"/>
    </row>
    <row r="1523" spans="13:13" x14ac:dyDescent="0.25">
      <c r="M1523" s="21"/>
    </row>
    <row r="1524" spans="13:13" x14ac:dyDescent="0.25">
      <c r="M1524" s="21"/>
    </row>
    <row r="1525" spans="13:13" x14ac:dyDescent="0.25">
      <c r="M1525" s="21"/>
    </row>
    <row r="1526" spans="13:13" x14ac:dyDescent="0.25">
      <c r="M1526" s="21"/>
    </row>
    <row r="1527" spans="13:13" x14ac:dyDescent="0.25">
      <c r="M1527" s="21"/>
    </row>
    <row r="1528" spans="13:13" x14ac:dyDescent="0.25">
      <c r="M1528" s="21"/>
    </row>
    <row r="1529" spans="13:13" x14ac:dyDescent="0.25">
      <c r="M1529" s="21"/>
    </row>
    <row r="1530" spans="13:13" x14ac:dyDescent="0.25">
      <c r="M1530" s="21"/>
    </row>
    <row r="1531" spans="13:13" x14ac:dyDescent="0.25">
      <c r="M1531" s="21"/>
    </row>
    <row r="1532" spans="13:13" x14ac:dyDescent="0.25">
      <c r="M1532" s="21"/>
    </row>
    <row r="1533" spans="13:13" x14ac:dyDescent="0.25">
      <c r="M1533" s="21"/>
    </row>
    <row r="1534" spans="13:13" x14ac:dyDescent="0.25">
      <c r="M1534" s="21"/>
    </row>
    <row r="1535" spans="13:13" x14ac:dyDescent="0.25">
      <c r="M1535" s="21"/>
    </row>
    <row r="1536" spans="13:13" x14ac:dyDescent="0.25">
      <c r="M1536" s="21"/>
    </row>
    <row r="1537" spans="13:13" x14ac:dyDescent="0.25">
      <c r="M1537" s="21"/>
    </row>
    <row r="1538" spans="13:13" x14ac:dyDescent="0.25">
      <c r="M1538" s="21"/>
    </row>
    <row r="1539" spans="13:13" x14ac:dyDescent="0.25">
      <c r="M1539" s="21"/>
    </row>
    <row r="1540" spans="13:13" x14ac:dyDescent="0.25">
      <c r="M1540" s="21"/>
    </row>
    <row r="1541" spans="13:13" x14ac:dyDescent="0.25">
      <c r="M1541" s="21"/>
    </row>
    <row r="1542" spans="13:13" x14ac:dyDescent="0.25">
      <c r="M1542" s="21"/>
    </row>
    <row r="1543" spans="13:13" x14ac:dyDescent="0.25">
      <c r="M1543" s="21"/>
    </row>
    <row r="1544" spans="13:13" x14ac:dyDescent="0.25">
      <c r="M1544" s="21"/>
    </row>
    <row r="1545" spans="13:13" x14ac:dyDescent="0.25">
      <c r="M1545" s="21"/>
    </row>
    <row r="1546" spans="13:13" x14ac:dyDescent="0.25">
      <c r="M1546" s="21"/>
    </row>
    <row r="1547" spans="13:13" x14ac:dyDescent="0.25">
      <c r="M1547" s="21"/>
    </row>
    <row r="1548" spans="13:13" x14ac:dyDescent="0.25">
      <c r="M1548" s="21"/>
    </row>
    <row r="1549" spans="13:13" x14ac:dyDescent="0.25">
      <c r="M1549" s="21"/>
    </row>
    <row r="1550" spans="13:13" x14ac:dyDescent="0.25">
      <c r="M1550" s="21"/>
    </row>
    <row r="1551" spans="13:13" x14ac:dyDescent="0.25">
      <c r="M1551" s="21"/>
    </row>
    <row r="1552" spans="13:13" x14ac:dyDescent="0.25">
      <c r="M1552" s="21"/>
    </row>
    <row r="1553" spans="13:13" x14ac:dyDescent="0.25">
      <c r="M1553" s="21"/>
    </row>
    <row r="1554" spans="13:13" x14ac:dyDescent="0.25">
      <c r="M1554" s="21"/>
    </row>
    <row r="1555" spans="13:13" x14ac:dyDescent="0.25">
      <c r="M1555" s="21"/>
    </row>
    <row r="1556" spans="13:13" x14ac:dyDescent="0.25">
      <c r="M1556" s="21"/>
    </row>
    <row r="1557" spans="13:13" x14ac:dyDescent="0.25">
      <c r="M1557" s="21"/>
    </row>
    <row r="1558" spans="13:13" x14ac:dyDescent="0.25">
      <c r="M1558" s="21"/>
    </row>
    <row r="1559" spans="13:13" x14ac:dyDescent="0.25">
      <c r="M1559" s="21"/>
    </row>
    <row r="1560" spans="13:13" x14ac:dyDescent="0.25">
      <c r="M1560" s="21"/>
    </row>
    <row r="1561" spans="13:13" x14ac:dyDescent="0.25">
      <c r="M1561" s="21"/>
    </row>
    <row r="1562" spans="13:13" x14ac:dyDescent="0.25">
      <c r="M1562" s="21"/>
    </row>
    <row r="1563" spans="13:13" x14ac:dyDescent="0.25">
      <c r="M1563" s="21"/>
    </row>
    <row r="1564" spans="13:13" x14ac:dyDescent="0.25">
      <c r="M1564" s="21"/>
    </row>
    <row r="1565" spans="13:13" x14ac:dyDescent="0.25">
      <c r="M1565" s="21"/>
    </row>
    <row r="1566" spans="13:13" x14ac:dyDescent="0.25">
      <c r="M1566" s="21"/>
    </row>
    <row r="1567" spans="13:13" x14ac:dyDescent="0.25">
      <c r="M1567" s="21"/>
    </row>
    <row r="1568" spans="13:13" x14ac:dyDescent="0.25">
      <c r="M1568" s="21"/>
    </row>
    <row r="1569" spans="13:13" x14ac:dyDescent="0.25">
      <c r="M1569" s="21"/>
    </row>
    <row r="1570" spans="13:13" x14ac:dyDescent="0.25">
      <c r="M1570" s="21"/>
    </row>
    <row r="1571" spans="13:13" x14ac:dyDescent="0.25">
      <c r="M1571" s="21"/>
    </row>
    <row r="1572" spans="13:13" x14ac:dyDescent="0.25">
      <c r="M1572" s="21"/>
    </row>
    <row r="1573" spans="13:13" x14ac:dyDescent="0.25">
      <c r="M1573" s="21"/>
    </row>
    <row r="1574" spans="13:13" x14ac:dyDescent="0.25">
      <c r="M1574" s="21"/>
    </row>
    <row r="1575" spans="13:13" x14ac:dyDescent="0.25">
      <c r="M1575" s="21"/>
    </row>
    <row r="1576" spans="13:13" x14ac:dyDescent="0.25">
      <c r="M1576" s="21"/>
    </row>
    <row r="1577" spans="13:13" x14ac:dyDescent="0.25">
      <c r="M1577" s="21"/>
    </row>
    <row r="1578" spans="13:13" x14ac:dyDescent="0.25">
      <c r="M1578" s="21"/>
    </row>
    <row r="1579" spans="13:13" x14ac:dyDescent="0.25">
      <c r="M1579" s="21"/>
    </row>
    <row r="1580" spans="13:13" x14ac:dyDescent="0.25">
      <c r="M1580" s="21"/>
    </row>
    <row r="1581" spans="13:13" x14ac:dyDescent="0.25">
      <c r="M1581" s="21"/>
    </row>
    <row r="1582" spans="13:13" x14ac:dyDescent="0.25">
      <c r="M1582" s="21"/>
    </row>
    <row r="1583" spans="13:13" x14ac:dyDescent="0.25">
      <c r="M1583" s="21"/>
    </row>
    <row r="1584" spans="13:13" x14ac:dyDescent="0.25">
      <c r="M1584" s="21"/>
    </row>
    <row r="1585" spans="13:13" x14ac:dyDescent="0.25">
      <c r="M1585" s="21"/>
    </row>
    <row r="1586" spans="13:13" x14ac:dyDescent="0.25">
      <c r="M1586" s="21"/>
    </row>
    <row r="1587" spans="13:13" x14ac:dyDescent="0.25">
      <c r="M1587" s="21"/>
    </row>
    <row r="1588" spans="13:13" x14ac:dyDescent="0.25">
      <c r="M1588" s="21"/>
    </row>
    <row r="1589" spans="13:13" x14ac:dyDescent="0.25">
      <c r="M1589" s="21"/>
    </row>
    <row r="1590" spans="13:13" x14ac:dyDescent="0.25">
      <c r="M1590" s="21"/>
    </row>
    <row r="1591" spans="13:13" x14ac:dyDescent="0.25">
      <c r="M1591" s="21"/>
    </row>
    <row r="1592" spans="13:13" x14ac:dyDescent="0.25">
      <c r="M1592" s="21"/>
    </row>
    <row r="1593" spans="13:13" x14ac:dyDescent="0.25">
      <c r="M1593" s="21"/>
    </row>
    <row r="1594" spans="13:13" x14ac:dyDescent="0.25">
      <c r="M1594" s="21"/>
    </row>
    <row r="1595" spans="13:13" x14ac:dyDescent="0.25">
      <c r="M1595" s="21"/>
    </row>
    <row r="1596" spans="13:13" x14ac:dyDescent="0.25">
      <c r="M1596" s="21"/>
    </row>
    <row r="1597" spans="13:13" x14ac:dyDescent="0.25">
      <c r="M1597" s="21"/>
    </row>
    <row r="1598" spans="13:13" x14ac:dyDescent="0.25">
      <c r="M1598" s="21"/>
    </row>
    <row r="1599" spans="13:13" x14ac:dyDescent="0.25">
      <c r="M1599" s="21"/>
    </row>
    <row r="1600" spans="13:13" x14ac:dyDescent="0.25">
      <c r="M1600" s="21"/>
    </row>
    <row r="1601" spans="13:13" x14ac:dyDescent="0.25">
      <c r="M1601" s="21"/>
    </row>
    <row r="1602" spans="13:13" x14ac:dyDescent="0.25">
      <c r="M1602" s="21"/>
    </row>
    <row r="1603" spans="13:13" x14ac:dyDescent="0.25">
      <c r="M1603" s="21"/>
    </row>
    <row r="1604" spans="13:13" x14ac:dyDescent="0.25">
      <c r="M1604" s="21"/>
    </row>
    <row r="1605" spans="13:13" x14ac:dyDescent="0.25">
      <c r="M1605" s="21"/>
    </row>
    <row r="1606" spans="13:13" x14ac:dyDescent="0.25">
      <c r="M1606" s="21"/>
    </row>
    <row r="1607" spans="13:13" x14ac:dyDescent="0.25">
      <c r="M1607" s="21"/>
    </row>
    <row r="1608" spans="13:13" x14ac:dyDescent="0.25">
      <c r="M1608" s="21"/>
    </row>
    <row r="1609" spans="13:13" x14ac:dyDescent="0.25">
      <c r="M1609" s="21"/>
    </row>
    <row r="1610" spans="13:13" x14ac:dyDescent="0.25">
      <c r="M1610" s="21"/>
    </row>
    <row r="1611" spans="13:13" x14ac:dyDescent="0.25">
      <c r="M1611" s="21"/>
    </row>
    <row r="1612" spans="13:13" x14ac:dyDescent="0.25">
      <c r="M1612" s="21"/>
    </row>
    <row r="1613" spans="13:13" x14ac:dyDescent="0.25">
      <c r="M1613" s="21"/>
    </row>
    <row r="1614" spans="13:13" x14ac:dyDescent="0.25">
      <c r="M1614" s="21"/>
    </row>
    <row r="1615" spans="13:13" x14ac:dyDescent="0.25">
      <c r="M1615" s="21"/>
    </row>
    <row r="1616" spans="13:13" x14ac:dyDescent="0.25">
      <c r="M1616" s="21"/>
    </row>
    <row r="1617" spans="13:13" x14ac:dyDescent="0.25">
      <c r="M1617" s="21"/>
    </row>
    <row r="1618" spans="13:13" x14ac:dyDescent="0.25">
      <c r="M1618" s="21"/>
    </row>
    <row r="1619" spans="13:13" x14ac:dyDescent="0.25">
      <c r="M1619" s="21"/>
    </row>
    <row r="1620" spans="13:13" x14ac:dyDescent="0.25">
      <c r="M1620" s="21"/>
    </row>
    <row r="1621" spans="13:13" x14ac:dyDescent="0.25">
      <c r="M1621" s="21"/>
    </row>
    <row r="1622" spans="13:13" x14ac:dyDescent="0.25">
      <c r="M1622" s="21"/>
    </row>
    <row r="1623" spans="13:13" x14ac:dyDescent="0.25">
      <c r="M1623" s="21"/>
    </row>
    <row r="1624" spans="13:13" x14ac:dyDescent="0.25">
      <c r="M1624" s="21"/>
    </row>
    <row r="1625" spans="13:13" x14ac:dyDescent="0.25">
      <c r="M1625" s="21"/>
    </row>
    <row r="1626" spans="13:13" x14ac:dyDescent="0.25">
      <c r="M1626" s="21"/>
    </row>
    <row r="1627" spans="13:13" x14ac:dyDescent="0.25">
      <c r="M1627" s="21"/>
    </row>
    <row r="1628" spans="13:13" x14ac:dyDescent="0.25">
      <c r="M1628" s="21"/>
    </row>
    <row r="1629" spans="13:13" x14ac:dyDescent="0.25">
      <c r="M1629" s="21"/>
    </row>
    <row r="1630" spans="13:13" x14ac:dyDescent="0.25">
      <c r="M1630" s="21"/>
    </row>
    <row r="1631" spans="13:13" x14ac:dyDescent="0.25">
      <c r="M1631" s="21"/>
    </row>
    <row r="1632" spans="13:13" x14ac:dyDescent="0.25">
      <c r="M1632" s="21"/>
    </row>
    <row r="1633" spans="13:13" x14ac:dyDescent="0.25">
      <c r="M1633" s="21"/>
    </row>
    <row r="1634" spans="13:13" x14ac:dyDescent="0.25">
      <c r="M1634" s="21"/>
    </row>
    <row r="1635" spans="13:13" x14ac:dyDescent="0.25">
      <c r="M1635" s="21"/>
    </row>
    <row r="1636" spans="13:13" x14ac:dyDescent="0.25">
      <c r="M1636" s="21"/>
    </row>
    <row r="1637" spans="13:13" x14ac:dyDescent="0.25">
      <c r="M1637" s="21"/>
    </row>
    <row r="1638" spans="13:13" x14ac:dyDescent="0.25">
      <c r="M1638" s="21"/>
    </row>
    <row r="1639" spans="13:13" x14ac:dyDescent="0.25">
      <c r="M1639" s="21"/>
    </row>
    <row r="1640" spans="13:13" x14ac:dyDescent="0.25">
      <c r="M1640" s="21"/>
    </row>
    <row r="1641" spans="13:13" x14ac:dyDescent="0.25">
      <c r="M1641" s="21"/>
    </row>
    <row r="1642" spans="13:13" x14ac:dyDescent="0.25">
      <c r="M1642" s="21"/>
    </row>
    <row r="1643" spans="13:13" x14ac:dyDescent="0.25">
      <c r="M1643" s="21"/>
    </row>
    <row r="1644" spans="13:13" x14ac:dyDescent="0.25">
      <c r="M1644" s="21"/>
    </row>
    <row r="1645" spans="13:13" x14ac:dyDescent="0.25">
      <c r="M1645" s="21"/>
    </row>
    <row r="1646" spans="13:13" x14ac:dyDescent="0.25">
      <c r="M1646" s="21"/>
    </row>
    <row r="1647" spans="13:13" x14ac:dyDescent="0.25">
      <c r="M1647" s="21"/>
    </row>
    <row r="1648" spans="13:13" x14ac:dyDescent="0.25">
      <c r="M1648" s="21"/>
    </row>
    <row r="1649" spans="13:13" x14ac:dyDescent="0.25">
      <c r="M1649" s="21"/>
    </row>
    <row r="1650" spans="13:13" x14ac:dyDescent="0.25">
      <c r="M1650" s="21"/>
    </row>
    <row r="1651" spans="13:13" x14ac:dyDescent="0.25">
      <c r="M1651" s="21"/>
    </row>
    <row r="1652" spans="13:13" x14ac:dyDescent="0.25">
      <c r="M1652" s="21"/>
    </row>
    <row r="1653" spans="13:13" x14ac:dyDescent="0.25">
      <c r="M1653" s="21"/>
    </row>
    <row r="1654" spans="13:13" x14ac:dyDescent="0.25">
      <c r="M1654" s="21"/>
    </row>
    <row r="1655" spans="13:13" x14ac:dyDescent="0.25">
      <c r="M1655" s="21"/>
    </row>
    <row r="1656" spans="13:13" x14ac:dyDescent="0.25">
      <c r="M1656" s="21"/>
    </row>
    <row r="1657" spans="13:13" x14ac:dyDescent="0.25">
      <c r="M1657" s="21"/>
    </row>
    <row r="1658" spans="13:13" x14ac:dyDescent="0.25">
      <c r="M1658" s="21"/>
    </row>
    <row r="1659" spans="13:13" x14ac:dyDescent="0.25">
      <c r="M1659" s="21"/>
    </row>
    <row r="1660" spans="13:13" x14ac:dyDescent="0.25">
      <c r="M1660" s="21"/>
    </row>
    <row r="1661" spans="13:13" x14ac:dyDescent="0.25">
      <c r="M1661" s="21"/>
    </row>
    <row r="1662" spans="13:13" x14ac:dyDescent="0.25">
      <c r="M1662" s="21"/>
    </row>
    <row r="1663" spans="13:13" x14ac:dyDescent="0.25">
      <c r="M1663" s="21"/>
    </row>
    <row r="1664" spans="13:13" x14ac:dyDescent="0.25">
      <c r="M1664" s="21"/>
    </row>
    <row r="1665" spans="13:13" x14ac:dyDescent="0.25">
      <c r="M1665" s="21"/>
    </row>
    <row r="1666" spans="13:13" x14ac:dyDescent="0.25">
      <c r="M1666" s="21"/>
    </row>
    <row r="1667" spans="13:13" x14ac:dyDescent="0.25">
      <c r="M1667" s="21"/>
    </row>
    <row r="1668" spans="13:13" x14ac:dyDescent="0.25">
      <c r="M1668" s="21"/>
    </row>
    <row r="1669" spans="13:13" x14ac:dyDescent="0.25">
      <c r="M1669" s="21"/>
    </row>
    <row r="1670" spans="13:13" x14ac:dyDescent="0.25">
      <c r="M1670" s="21"/>
    </row>
    <row r="1671" spans="13:13" x14ac:dyDescent="0.25">
      <c r="M1671" s="21"/>
    </row>
    <row r="1672" spans="13:13" x14ac:dyDescent="0.25">
      <c r="M1672" s="21"/>
    </row>
    <row r="1673" spans="13:13" x14ac:dyDescent="0.25">
      <c r="M1673" s="21"/>
    </row>
    <row r="1674" spans="13:13" x14ac:dyDescent="0.25">
      <c r="M1674" s="21"/>
    </row>
    <row r="1675" spans="13:13" x14ac:dyDescent="0.25">
      <c r="M1675" s="21"/>
    </row>
    <row r="1676" spans="13:13" x14ac:dyDescent="0.25">
      <c r="M1676" s="21"/>
    </row>
    <row r="1677" spans="13:13" x14ac:dyDescent="0.25">
      <c r="M1677" s="21"/>
    </row>
    <row r="1678" spans="13:13" x14ac:dyDescent="0.25">
      <c r="M1678" s="21"/>
    </row>
    <row r="1679" spans="13:13" x14ac:dyDescent="0.25">
      <c r="M1679" s="21"/>
    </row>
    <row r="1680" spans="13:13" x14ac:dyDescent="0.25">
      <c r="M1680" s="21"/>
    </row>
    <row r="1681" spans="13:13" x14ac:dyDescent="0.25">
      <c r="M1681" s="21"/>
    </row>
    <row r="1682" spans="13:13" x14ac:dyDescent="0.25">
      <c r="M1682" s="21"/>
    </row>
    <row r="1683" spans="13:13" x14ac:dyDescent="0.25">
      <c r="M1683" s="21"/>
    </row>
    <row r="1684" spans="13:13" x14ac:dyDescent="0.25">
      <c r="M1684" s="21"/>
    </row>
    <row r="1685" spans="13:13" x14ac:dyDescent="0.25">
      <c r="M1685" s="21"/>
    </row>
    <row r="1686" spans="13:13" x14ac:dyDescent="0.25">
      <c r="M1686" s="21"/>
    </row>
    <row r="1687" spans="13:13" x14ac:dyDescent="0.25">
      <c r="M1687" s="21"/>
    </row>
    <row r="1688" spans="13:13" x14ac:dyDescent="0.25">
      <c r="M1688" s="21"/>
    </row>
    <row r="1689" spans="13:13" x14ac:dyDescent="0.25">
      <c r="M1689" s="21"/>
    </row>
    <row r="1690" spans="13:13" x14ac:dyDescent="0.25">
      <c r="M1690" s="21"/>
    </row>
    <row r="1691" spans="13:13" x14ac:dyDescent="0.25">
      <c r="M1691" s="21"/>
    </row>
    <row r="1692" spans="13:13" x14ac:dyDescent="0.25">
      <c r="M1692" s="21"/>
    </row>
    <row r="1693" spans="13:13" x14ac:dyDescent="0.25">
      <c r="M1693" s="21"/>
    </row>
    <row r="1694" spans="13:13" x14ac:dyDescent="0.25">
      <c r="M1694" s="21"/>
    </row>
    <row r="1695" spans="13:13" x14ac:dyDescent="0.25">
      <c r="M1695" s="21"/>
    </row>
    <row r="1696" spans="13:13" x14ac:dyDescent="0.25">
      <c r="M1696" s="21"/>
    </row>
    <row r="1697" spans="13:13" x14ac:dyDescent="0.25">
      <c r="M1697" s="21"/>
    </row>
    <row r="1698" spans="13:13" x14ac:dyDescent="0.25">
      <c r="M1698" s="21"/>
    </row>
    <row r="1699" spans="13:13" x14ac:dyDescent="0.25">
      <c r="M1699" s="21"/>
    </row>
    <row r="1700" spans="13:13" x14ac:dyDescent="0.25">
      <c r="M1700" s="21"/>
    </row>
    <row r="1701" spans="13:13" x14ac:dyDescent="0.25">
      <c r="M1701" s="21"/>
    </row>
    <row r="1702" spans="13:13" x14ac:dyDescent="0.25">
      <c r="M1702" s="21"/>
    </row>
    <row r="1703" spans="13:13" x14ac:dyDescent="0.25">
      <c r="M1703" s="21"/>
    </row>
    <row r="1704" spans="13:13" x14ac:dyDescent="0.25">
      <c r="M1704" s="21"/>
    </row>
    <row r="1705" spans="13:13" x14ac:dyDescent="0.25">
      <c r="M1705" s="21"/>
    </row>
    <row r="1706" spans="13:13" x14ac:dyDescent="0.25">
      <c r="M1706" s="21"/>
    </row>
    <row r="1707" spans="13:13" x14ac:dyDescent="0.25">
      <c r="M1707" s="21"/>
    </row>
    <row r="1708" spans="13:13" x14ac:dyDescent="0.25">
      <c r="M1708" s="21"/>
    </row>
    <row r="1709" spans="13:13" x14ac:dyDescent="0.25">
      <c r="M1709" s="21"/>
    </row>
    <row r="1710" spans="13:13" x14ac:dyDescent="0.25">
      <c r="M1710" s="21"/>
    </row>
    <row r="1711" spans="13:13" x14ac:dyDescent="0.25">
      <c r="M1711" s="21"/>
    </row>
    <row r="1712" spans="13:13" x14ac:dyDescent="0.25">
      <c r="M1712" s="21"/>
    </row>
    <row r="1713" spans="13:13" x14ac:dyDescent="0.25">
      <c r="M1713" s="21"/>
    </row>
    <row r="1714" spans="13:13" x14ac:dyDescent="0.25">
      <c r="M1714" s="21"/>
    </row>
    <row r="1715" spans="13:13" x14ac:dyDescent="0.25">
      <c r="M1715" s="21"/>
    </row>
    <row r="1716" spans="13:13" x14ac:dyDescent="0.25">
      <c r="M1716" s="21"/>
    </row>
    <row r="1717" spans="13:13" x14ac:dyDescent="0.25">
      <c r="M1717" s="21"/>
    </row>
    <row r="1718" spans="13:13" x14ac:dyDescent="0.25">
      <c r="M1718" s="21"/>
    </row>
    <row r="1719" spans="13:13" x14ac:dyDescent="0.25">
      <c r="M1719" s="21"/>
    </row>
    <row r="1720" spans="13:13" x14ac:dyDescent="0.25">
      <c r="M1720" s="21"/>
    </row>
    <row r="1721" spans="13:13" x14ac:dyDescent="0.25">
      <c r="M1721" s="21"/>
    </row>
    <row r="1722" spans="13:13" x14ac:dyDescent="0.25">
      <c r="M1722" s="21"/>
    </row>
    <row r="1723" spans="13:13" x14ac:dyDescent="0.25">
      <c r="M1723" s="21"/>
    </row>
    <row r="1724" spans="13:13" x14ac:dyDescent="0.25">
      <c r="M1724" s="21"/>
    </row>
    <row r="1725" spans="13:13" x14ac:dyDescent="0.25">
      <c r="M1725" s="21"/>
    </row>
    <row r="1726" spans="13:13" x14ac:dyDescent="0.25">
      <c r="M1726" s="21"/>
    </row>
    <row r="1727" spans="13:13" x14ac:dyDescent="0.25">
      <c r="M1727" s="21"/>
    </row>
    <row r="1728" spans="13:13" x14ac:dyDescent="0.25">
      <c r="M1728" s="21"/>
    </row>
    <row r="1729" spans="13:13" x14ac:dyDescent="0.25">
      <c r="M1729" s="21"/>
    </row>
    <row r="1730" spans="13:13" x14ac:dyDescent="0.25">
      <c r="M1730" s="21"/>
    </row>
    <row r="1731" spans="13:13" x14ac:dyDescent="0.25">
      <c r="M1731" s="21"/>
    </row>
    <row r="1732" spans="13:13" x14ac:dyDescent="0.25">
      <c r="M1732" s="21"/>
    </row>
    <row r="1733" spans="13:13" x14ac:dyDescent="0.25">
      <c r="M1733" s="21"/>
    </row>
    <row r="1734" spans="13:13" x14ac:dyDescent="0.25">
      <c r="M1734" s="21"/>
    </row>
    <row r="1735" spans="13:13" x14ac:dyDescent="0.25">
      <c r="M1735" s="21"/>
    </row>
    <row r="1736" spans="13:13" x14ac:dyDescent="0.25">
      <c r="M1736" s="21"/>
    </row>
    <row r="1737" spans="13:13" x14ac:dyDescent="0.25">
      <c r="M1737" s="21"/>
    </row>
    <row r="1738" spans="13:13" x14ac:dyDescent="0.25">
      <c r="M1738" s="21"/>
    </row>
    <row r="1739" spans="13:13" x14ac:dyDescent="0.25">
      <c r="M1739" s="21"/>
    </row>
    <row r="1740" spans="13:13" x14ac:dyDescent="0.25">
      <c r="M1740" s="21"/>
    </row>
    <row r="1741" spans="13:13" x14ac:dyDescent="0.25">
      <c r="M1741" s="21"/>
    </row>
    <row r="1742" spans="13:13" x14ac:dyDescent="0.25">
      <c r="M1742" s="21"/>
    </row>
    <row r="1743" spans="13:13" x14ac:dyDescent="0.25">
      <c r="M1743" s="21"/>
    </row>
    <row r="1744" spans="13:13" x14ac:dyDescent="0.25">
      <c r="M1744" s="21"/>
    </row>
    <row r="1745" spans="13:13" x14ac:dyDescent="0.25">
      <c r="M1745" s="21"/>
    </row>
    <row r="1746" spans="13:13" x14ac:dyDescent="0.25">
      <c r="M1746" s="21"/>
    </row>
    <row r="1747" spans="13:13" x14ac:dyDescent="0.25">
      <c r="M1747" s="21"/>
    </row>
    <row r="1748" spans="13:13" x14ac:dyDescent="0.25">
      <c r="M1748" s="21"/>
    </row>
    <row r="1749" spans="13:13" x14ac:dyDescent="0.25">
      <c r="M1749" s="21"/>
    </row>
    <row r="1750" spans="13:13" x14ac:dyDescent="0.25">
      <c r="M1750" s="21"/>
    </row>
    <row r="1751" spans="13:13" x14ac:dyDescent="0.25">
      <c r="M1751" s="21"/>
    </row>
    <row r="1752" spans="13:13" x14ac:dyDescent="0.25">
      <c r="M1752" s="21"/>
    </row>
    <row r="1753" spans="13:13" x14ac:dyDescent="0.25">
      <c r="M1753" s="21"/>
    </row>
    <row r="1754" spans="13:13" x14ac:dyDescent="0.25">
      <c r="M1754" s="21"/>
    </row>
    <row r="1755" spans="13:13" x14ac:dyDescent="0.25">
      <c r="M1755" s="21"/>
    </row>
    <row r="1756" spans="13:13" x14ac:dyDescent="0.25">
      <c r="M1756" s="21"/>
    </row>
    <row r="1757" spans="13:13" x14ac:dyDescent="0.25">
      <c r="M1757" s="21"/>
    </row>
    <row r="1758" spans="13:13" x14ac:dyDescent="0.25">
      <c r="M1758" s="21"/>
    </row>
    <row r="1759" spans="13:13" x14ac:dyDescent="0.25">
      <c r="M1759" s="21"/>
    </row>
    <row r="1760" spans="13:13" x14ac:dyDescent="0.25">
      <c r="M1760" s="21"/>
    </row>
    <row r="1761" spans="13:13" x14ac:dyDescent="0.25">
      <c r="M1761" s="21"/>
    </row>
    <row r="1762" spans="13:13" x14ac:dyDescent="0.25">
      <c r="M1762" s="21"/>
    </row>
    <row r="1763" spans="13:13" x14ac:dyDescent="0.25">
      <c r="M1763" s="21"/>
    </row>
    <row r="1764" spans="13:13" x14ac:dyDescent="0.25">
      <c r="M1764" s="21"/>
    </row>
    <row r="1765" spans="13:13" x14ac:dyDescent="0.25">
      <c r="M1765" s="21"/>
    </row>
    <row r="1766" spans="13:13" x14ac:dyDescent="0.25">
      <c r="M1766" s="21"/>
    </row>
    <row r="1767" spans="13:13" x14ac:dyDescent="0.25">
      <c r="M1767" s="21"/>
    </row>
    <row r="1768" spans="13:13" x14ac:dyDescent="0.25">
      <c r="M1768" s="21"/>
    </row>
    <row r="1769" spans="13:13" x14ac:dyDescent="0.25">
      <c r="M1769" s="21"/>
    </row>
    <row r="1770" spans="13:13" x14ac:dyDescent="0.25">
      <c r="M1770" s="21"/>
    </row>
    <row r="1771" spans="13:13" x14ac:dyDescent="0.25">
      <c r="M1771" s="21"/>
    </row>
    <row r="1772" spans="13:13" x14ac:dyDescent="0.25">
      <c r="M1772" s="21"/>
    </row>
    <row r="1773" spans="13:13" x14ac:dyDescent="0.25">
      <c r="M1773" s="21"/>
    </row>
    <row r="1774" spans="13:13" x14ac:dyDescent="0.25">
      <c r="M1774" s="21"/>
    </row>
    <row r="1775" spans="13:13" x14ac:dyDescent="0.25">
      <c r="M1775" s="21"/>
    </row>
    <row r="1776" spans="13:13" x14ac:dyDescent="0.25">
      <c r="M1776" s="21"/>
    </row>
    <row r="1777" spans="13:13" x14ac:dyDescent="0.25">
      <c r="M1777" s="21"/>
    </row>
    <row r="1778" spans="13:13" x14ac:dyDescent="0.25">
      <c r="M1778" s="21"/>
    </row>
    <row r="1779" spans="13:13" x14ac:dyDescent="0.25">
      <c r="M1779" s="21"/>
    </row>
    <row r="1780" spans="13:13" x14ac:dyDescent="0.25">
      <c r="M1780" s="21"/>
    </row>
    <row r="1781" spans="13:13" x14ac:dyDescent="0.25">
      <c r="M1781" s="21"/>
    </row>
    <row r="1782" spans="13:13" x14ac:dyDescent="0.25">
      <c r="M1782" s="21"/>
    </row>
    <row r="1783" spans="13:13" x14ac:dyDescent="0.25">
      <c r="M1783" s="21"/>
    </row>
    <row r="1784" spans="13:13" x14ac:dyDescent="0.25">
      <c r="M1784" s="21"/>
    </row>
    <row r="1785" spans="13:13" x14ac:dyDescent="0.25">
      <c r="M1785" s="21"/>
    </row>
    <row r="1786" spans="13:13" x14ac:dyDescent="0.25">
      <c r="M1786" s="21"/>
    </row>
    <row r="1787" spans="13:13" x14ac:dyDescent="0.25">
      <c r="M1787" s="21"/>
    </row>
    <row r="1788" spans="13:13" x14ac:dyDescent="0.25">
      <c r="M1788" s="21"/>
    </row>
    <row r="1789" spans="13:13" x14ac:dyDescent="0.25">
      <c r="M1789" s="21"/>
    </row>
    <row r="1790" spans="13:13" x14ac:dyDescent="0.25">
      <c r="M1790" s="21"/>
    </row>
    <row r="1791" spans="13:13" x14ac:dyDescent="0.25">
      <c r="M1791" s="21"/>
    </row>
    <row r="1792" spans="13:13" x14ac:dyDescent="0.25">
      <c r="M1792" s="21"/>
    </row>
    <row r="1793" spans="13:13" x14ac:dyDescent="0.25">
      <c r="M1793" s="21"/>
    </row>
    <row r="1794" spans="13:13" x14ac:dyDescent="0.25">
      <c r="M1794" s="21"/>
    </row>
    <row r="1795" spans="13:13" x14ac:dyDescent="0.25">
      <c r="M1795" s="21"/>
    </row>
    <row r="1796" spans="13:13" x14ac:dyDescent="0.25">
      <c r="M1796" s="21"/>
    </row>
    <row r="1797" spans="13:13" x14ac:dyDescent="0.25">
      <c r="M1797" s="21"/>
    </row>
    <row r="1798" spans="13:13" x14ac:dyDescent="0.25">
      <c r="M1798" s="21"/>
    </row>
    <row r="1799" spans="13:13" x14ac:dyDescent="0.25">
      <c r="M1799" s="21"/>
    </row>
    <row r="1800" spans="13:13" x14ac:dyDescent="0.25">
      <c r="M1800" s="21"/>
    </row>
    <row r="1801" spans="13:13" x14ac:dyDescent="0.25">
      <c r="M1801" s="21"/>
    </row>
    <row r="1802" spans="13:13" x14ac:dyDescent="0.25">
      <c r="M1802" s="21"/>
    </row>
    <row r="1803" spans="13:13" x14ac:dyDescent="0.25">
      <c r="M1803" s="21"/>
    </row>
    <row r="1804" spans="13:13" x14ac:dyDescent="0.25">
      <c r="M1804" s="21"/>
    </row>
    <row r="1805" spans="13:13" x14ac:dyDescent="0.25">
      <c r="M1805" s="21"/>
    </row>
    <row r="1806" spans="13:13" x14ac:dyDescent="0.25">
      <c r="M1806" s="21"/>
    </row>
    <row r="1807" spans="13:13" x14ac:dyDescent="0.25">
      <c r="M1807" s="21"/>
    </row>
    <row r="1808" spans="13:13" x14ac:dyDescent="0.25">
      <c r="M1808" s="21"/>
    </row>
    <row r="1809" spans="13:13" x14ac:dyDescent="0.25">
      <c r="M1809" s="21"/>
    </row>
    <row r="1810" spans="13:13" x14ac:dyDescent="0.25">
      <c r="M1810" s="21"/>
    </row>
    <row r="1811" spans="13:13" x14ac:dyDescent="0.25">
      <c r="M1811" s="21"/>
    </row>
    <row r="1812" spans="13:13" x14ac:dyDescent="0.25">
      <c r="M1812" s="21"/>
    </row>
    <row r="1813" spans="13:13" x14ac:dyDescent="0.25">
      <c r="M1813" s="21"/>
    </row>
    <row r="1814" spans="13:13" x14ac:dyDescent="0.25">
      <c r="M1814" s="21"/>
    </row>
    <row r="1815" spans="13:13" x14ac:dyDescent="0.25">
      <c r="M1815" s="21"/>
    </row>
    <row r="1816" spans="13:13" x14ac:dyDescent="0.25">
      <c r="M1816" s="21"/>
    </row>
    <row r="1817" spans="13:13" x14ac:dyDescent="0.25">
      <c r="M1817" s="21"/>
    </row>
    <row r="1818" spans="13:13" x14ac:dyDescent="0.25">
      <c r="M1818" s="21"/>
    </row>
    <row r="1819" spans="13:13" x14ac:dyDescent="0.25">
      <c r="M1819" s="21"/>
    </row>
    <row r="1820" spans="13:13" x14ac:dyDescent="0.25">
      <c r="M1820" s="21"/>
    </row>
    <row r="1821" spans="13:13" x14ac:dyDescent="0.25">
      <c r="M1821" s="21"/>
    </row>
    <row r="1822" spans="13:13" x14ac:dyDescent="0.25">
      <c r="M1822" s="21"/>
    </row>
    <row r="1823" spans="13:13" x14ac:dyDescent="0.25">
      <c r="M1823" s="21"/>
    </row>
    <row r="1824" spans="13:13" x14ac:dyDescent="0.25">
      <c r="M1824" s="21"/>
    </row>
    <row r="1825" spans="13:13" x14ac:dyDescent="0.25">
      <c r="M1825" s="21"/>
    </row>
    <row r="1826" spans="13:13" x14ac:dyDescent="0.25">
      <c r="M1826" s="21"/>
    </row>
    <row r="1827" spans="13:13" x14ac:dyDescent="0.25">
      <c r="M1827" s="21"/>
    </row>
    <row r="1828" spans="13:13" x14ac:dyDescent="0.25">
      <c r="M1828" s="21"/>
    </row>
    <row r="1829" spans="13:13" x14ac:dyDescent="0.25">
      <c r="M1829" s="21"/>
    </row>
    <row r="1830" spans="13:13" x14ac:dyDescent="0.25">
      <c r="M1830" s="21"/>
    </row>
    <row r="1831" spans="13:13" x14ac:dyDescent="0.25">
      <c r="M1831" s="21"/>
    </row>
    <row r="1832" spans="13:13" x14ac:dyDescent="0.25">
      <c r="M1832" s="21"/>
    </row>
    <row r="1833" spans="13:13" x14ac:dyDescent="0.25">
      <c r="M1833" s="21"/>
    </row>
    <row r="1834" spans="13:13" x14ac:dyDescent="0.25">
      <c r="M1834" s="21"/>
    </row>
    <row r="1835" spans="13:13" x14ac:dyDescent="0.25">
      <c r="M1835" s="21"/>
    </row>
    <row r="1836" spans="13:13" x14ac:dyDescent="0.25">
      <c r="M1836" s="21"/>
    </row>
    <row r="1837" spans="13:13" x14ac:dyDescent="0.25">
      <c r="M1837" s="21"/>
    </row>
    <row r="1838" spans="13:13" x14ac:dyDescent="0.25">
      <c r="M1838" s="21"/>
    </row>
    <row r="1839" spans="13:13" x14ac:dyDescent="0.25">
      <c r="M1839" s="21"/>
    </row>
    <row r="1840" spans="13:13" x14ac:dyDescent="0.25">
      <c r="M1840" s="21"/>
    </row>
    <row r="1841" spans="13:13" x14ac:dyDescent="0.25">
      <c r="M1841" s="21"/>
    </row>
    <row r="1842" spans="13:13" x14ac:dyDescent="0.25">
      <c r="M1842" s="21"/>
    </row>
    <row r="1843" spans="13:13" x14ac:dyDescent="0.25">
      <c r="M1843" s="21"/>
    </row>
    <row r="1844" spans="13:13" x14ac:dyDescent="0.25">
      <c r="M1844" s="21"/>
    </row>
    <row r="1845" spans="13:13" x14ac:dyDescent="0.25">
      <c r="M1845" s="21"/>
    </row>
    <row r="1846" spans="13:13" x14ac:dyDescent="0.25">
      <c r="M1846" s="21"/>
    </row>
    <row r="1847" spans="13:13" x14ac:dyDescent="0.25">
      <c r="M1847" s="21"/>
    </row>
    <row r="1848" spans="13:13" x14ac:dyDescent="0.25">
      <c r="M1848" s="21"/>
    </row>
    <row r="1849" spans="13:13" x14ac:dyDescent="0.25">
      <c r="M1849" s="21"/>
    </row>
    <row r="1850" spans="13:13" x14ac:dyDescent="0.25">
      <c r="M1850" s="21"/>
    </row>
    <row r="1851" spans="13:13" x14ac:dyDescent="0.25">
      <c r="M1851" s="21"/>
    </row>
    <row r="1852" spans="13:13" x14ac:dyDescent="0.25">
      <c r="M1852" s="21"/>
    </row>
    <row r="1853" spans="13:13" x14ac:dyDescent="0.25">
      <c r="M1853" s="21"/>
    </row>
    <row r="1854" spans="13:13" x14ac:dyDescent="0.25">
      <c r="M1854" s="21"/>
    </row>
    <row r="1855" spans="13:13" x14ac:dyDescent="0.25">
      <c r="M1855" s="21"/>
    </row>
    <row r="1856" spans="13:13" x14ac:dyDescent="0.25">
      <c r="M1856" s="21"/>
    </row>
    <row r="1857" spans="13:13" x14ac:dyDescent="0.25">
      <c r="M1857" s="21"/>
    </row>
    <row r="1858" spans="13:13" x14ac:dyDescent="0.25">
      <c r="M1858" s="21"/>
    </row>
    <row r="1859" spans="13:13" x14ac:dyDescent="0.25">
      <c r="M1859" s="21"/>
    </row>
    <row r="1860" spans="13:13" x14ac:dyDescent="0.25">
      <c r="M1860" s="21"/>
    </row>
    <row r="1861" spans="13:13" x14ac:dyDescent="0.25">
      <c r="M1861" s="21"/>
    </row>
    <row r="1862" spans="13:13" x14ac:dyDescent="0.25">
      <c r="M1862" s="21"/>
    </row>
    <row r="1863" spans="13:13" x14ac:dyDescent="0.25">
      <c r="M1863" s="21"/>
    </row>
    <row r="1864" spans="13:13" x14ac:dyDescent="0.25">
      <c r="M1864" s="21"/>
    </row>
    <row r="1865" spans="13:13" x14ac:dyDescent="0.25">
      <c r="M1865" s="21"/>
    </row>
    <row r="1866" spans="13:13" x14ac:dyDescent="0.25">
      <c r="M1866" s="21"/>
    </row>
    <row r="1867" spans="13:13" x14ac:dyDescent="0.25">
      <c r="M1867" s="21"/>
    </row>
    <row r="1868" spans="13:13" x14ac:dyDescent="0.25">
      <c r="M1868" s="21"/>
    </row>
    <row r="1869" spans="13:13" x14ac:dyDescent="0.25">
      <c r="M1869" s="21"/>
    </row>
    <row r="1870" spans="13:13" x14ac:dyDescent="0.25">
      <c r="M1870" s="21"/>
    </row>
    <row r="1871" spans="13:13" x14ac:dyDescent="0.25">
      <c r="M1871" s="21"/>
    </row>
    <row r="1872" spans="13:13" x14ac:dyDescent="0.25">
      <c r="M1872" s="21"/>
    </row>
    <row r="1873" spans="13:13" x14ac:dyDescent="0.25">
      <c r="M1873" s="21"/>
    </row>
    <row r="1874" spans="13:13" x14ac:dyDescent="0.25">
      <c r="M1874" s="21"/>
    </row>
    <row r="1875" spans="13:13" x14ac:dyDescent="0.25">
      <c r="M1875" s="21"/>
    </row>
    <row r="1876" spans="13:13" x14ac:dyDescent="0.25">
      <c r="M1876" s="21"/>
    </row>
    <row r="1877" spans="13:13" x14ac:dyDescent="0.25">
      <c r="M1877" s="21"/>
    </row>
    <row r="1878" spans="13:13" x14ac:dyDescent="0.25">
      <c r="M1878" s="21"/>
    </row>
    <row r="1879" spans="13:13" x14ac:dyDescent="0.25">
      <c r="M1879" s="21"/>
    </row>
    <row r="1880" spans="13:13" x14ac:dyDescent="0.25">
      <c r="M1880" s="21"/>
    </row>
    <row r="1881" spans="13:13" x14ac:dyDescent="0.25">
      <c r="M1881" s="21"/>
    </row>
    <row r="1882" spans="13:13" x14ac:dyDescent="0.25">
      <c r="M1882" s="21"/>
    </row>
    <row r="1883" spans="13:13" x14ac:dyDescent="0.25">
      <c r="M1883" s="21"/>
    </row>
    <row r="1884" spans="13:13" x14ac:dyDescent="0.25">
      <c r="M1884" s="21"/>
    </row>
    <row r="1885" spans="13:13" x14ac:dyDescent="0.25">
      <c r="M1885" s="21"/>
    </row>
    <row r="1886" spans="13:13" x14ac:dyDescent="0.25">
      <c r="M1886" s="21"/>
    </row>
    <row r="1887" spans="13:13" x14ac:dyDescent="0.25">
      <c r="M1887" s="21"/>
    </row>
    <row r="1888" spans="13:13" x14ac:dyDescent="0.25">
      <c r="M1888" s="21"/>
    </row>
    <row r="1889" spans="13:13" x14ac:dyDescent="0.25">
      <c r="M1889" s="21"/>
    </row>
    <row r="1890" spans="13:13" x14ac:dyDescent="0.25">
      <c r="M1890" s="21"/>
    </row>
    <row r="1891" spans="13:13" x14ac:dyDescent="0.25">
      <c r="M1891" s="21"/>
    </row>
    <row r="1892" spans="13:13" x14ac:dyDescent="0.25">
      <c r="M1892" s="21"/>
    </row>
    <row r="1893" spans="13:13" x14ac:dyDescent="0.25">
      <c r="M1893" s="21"/>
    </row>
    <row r="1894" spans="13:13" x14ac:dyDescent="0.25">
      <c r="M1894" s="21"/>
    </row>
    <row r="1895" spans="13:13" x14ac:dyDescent="0.25">
      <c r="M1895" s="21"/>
    </row>
    <row r="1896" spans="13:13" x14ac:dyDescent="0.25">
      <c r="M1896" s="21"/>
    </row>
    <row r="1897" spans="13:13" x14ac:dyDescent="0.25">
      <c r="M1897" s="21"/>
    </row>
    <row r="1898" spans="13:13" x14ac:dyDescent="0.25">
      <c r="M1898" s="21"/>
    </row>
    <row r="1899" spans="13:13" x14ac:dyDescent="0.25">
      <c r="M1899" s="21"/>
    </row>
    <row r="1900" spans="13:13" x14ac:dyDescent="0.25">
      <c r="M1900" s="21"/>
    </row>
    <row r="1901" spans="13:13" x14ac:dyDescent="0.25">
      <c r="M1901" s="21"/>
    </row>
    <row r="1902" spans="13:13" x14ac:dyDescent="0.25">
      <c r="M1902" s="21"/>
    </row>
    <row r="1903" spans="13:13" x14ac:dyDescent="0.25">
      <c r="M1903" s="21"/>
    </row>
    <row r="1904" spans="13:13" x14ac:dyDescent="0.25">
      <c r="M1904" s="21"/>
    </row>
    <row r="1905" spans="13:13" x14ac:dyDescent="0.25">
      <c r="M1905" s="21"/>
    </row>
    <row r="1906" spans="13:13" x14ac:dyDescent="0.25">
      <c r="M1906" s="21"/>
    </row>
    <row r="1907" spans="13:13" x14ac:dyDescent="0.25">
      <c r="M1907" s="21"/>
    </row>
    <row r="1908" spans="13:13" x14ac:dyDescent="0.25">
      <c r="M1908" s="21"/>
    </row>
    <row r="1909" spans="13:13" x14ac:dyDescent="0.25">
      <c r="M1909" s="21"/>
    </row>
    <row r="1910" spans="13:13" x14ac:dyDescent="0.25">
      <c r="M1910" s="21"/>
    </row>
    <row r="1911" spans="13:13" x14ac:dyDescent="0.25">
      <c r="M1911" s="21"/>
    </row>
    <row r="1912" spans="13:13" x14ac:dyDescent="0.25">
      <c r="M1912" s="21"/>
    </row>
    <row r="1913" spans="13:13" x14ac:dyDescent="0.25">
      <c r="M1913" s="21"/>
    </row>
    <row r="1914" spans="13:13" x14ac:dyDescent="0.25">
      <c r="M1914" s="21"/>
    </row>
    <row r="1915" spans="13:13" x14ac:dyDescent="0.25">
      <c r="M1915" s="21"/>
    </row>
    <row r="1916" spans="13:13" x14ac:dyDescent="0.25">
      <c r="M1916" s="21"/>
    </row>
    <row r="1917" spans="13:13" x14ac:dyDescent="0.25">
      <c r="M1917" s="21"/>
    </row>
    <row r="1918" spans="13:13" x14ac:dyDescent="0.25">
      <c r="M1918" s="21"/>
    </row>
    <row r="1919" spans="13:13" x14ac:dyDescent="0.25">
      <c r="M1919" s="21"/>
    </row>
    <row r="1920" spans="13:13" x14ac:dyDescent="0.25">
      <c r="M1920" s="21"/>
    </row>
    <row r="1921" spans="13:13" x14ac:dyDescent="0.25">
      <c r="M1921" s="21"/>
    </row>
    <row r="1922" spans="13:13" x14ac:dyDescent="0.25">
      <c r="M1922" s="21"/>
    </row>
    <row r="1923" spans="13:13" x14ac:dyDescent="0.25">
      <c r="M1923" s="21"/>
    </row>
    <row r="1924" spans="13:13" x14ac:dyDescent="0.25">
      <c r="M1924" s="21"/>
    </row>
    <row r="1925" spans="13:13" x14ac:dyDescent="0.25">
      <c r="M1925" s="21"/>
    </row>
    <row r="1926" spans="13:13" x14ac:dyDescent="0.25">
      <c r="M1926" s="21"/>
    </row>
    <row r="1927" spans="13:13" x14ac:dyDescent="0.25">
      <c r="M1927" s="21"/>
    </row>
    <row r="1928" spans="13:13" x14ac:dyDescent="0.25">
      <c r="M1928" s="21"/>
    </row>
    <row r="1929" spans="13:13" x14ac:dyDescent="0.25">
      <c r="M1929" s="21"/>
    </row>
    <row r="1930" spans="13:13" x14ac:dyDescent="0.25">
      <c r="M1930" s="21"/>
    </row>
    <row r="1931" spans="13:13" x14ac:dyDescent="0.25">
      <c r="M1931" s="21"/>
    </row>
    <row r="1932" spans="13:13" x14ac:dyDescent="0.25">
      <c r="M1932" s="21"/>
    </row>
    <row r="1933" spans="13:13" x14ac:dyDescent="0.25">
      <c r="M1933" s="21"/>
    </row>
    <row r="1934" spans="13:13" x14ac:dyDescent="0.25">
      <c r="M1934" s="21"/>
    </row>
    <row r="1935" spans="13:13" x14ac:dyDescent="0.25">
      <c r="M1935" s="21"/>
    </row>
    <row r="1936" spans="13:13" x14ac:dyDescent="0.25">
      <c r="M1936" s="21"/>
    </row>
    <row r="1937" spans="13:13" x14ac:dyDescent="0.25">
      <c r="M1937" s="21"/>
    </row>
    <row r="1938" spans="13:13" x14ac:dyDescent="0.25">
      <c r="M1938" s="21"/>
    </row>
    <row r="1939" spans="13:13" x14ac:dyDescent="0.25">
      <c r="M1939" s="21"/>
    </row>
    <row r="1940" spans="13:13" x14ac:dyDescent="0.25">
      <c r="M1940" s="21"/>
    </row>
    <row r="1941" spans="13:13" x14ac:dyDescent="0.25">
      <c r="M1941" s="21"/>
    </row>
    <row r="1942" spans="13:13" x14ac:dyDescent="0.25">
      <c r="M1942" s="21"/>
    </row>
    <row r="1943" spans="13:13" x14ac:dyDescent="0.25">
      <c r="M1943" s="21"/>
    </row>
    <row r="1944" spans="13:13" x14ac:dyDescent="0.25">
      <c r="M1944" s="21"/>
    </row>
    <row r="1945" spans="13:13" x14ac:dyDescent="0.25">
      <c r="M1945" s="21"/>
    </row>
    <row r="1946" spans="13:13" x14ac:dyDescent="0.25">
      <c r="M1946" s="21"/>
    </row>
    <row r="1947" spans="13:13" x14ac:dyDescent="0.25">
      <c r="M1947" s="21"/>
    </row>
    <row r="1948" spans="13:13" x14ac:dyDescent="0.25">
      <c r="M1948" s="21"/>
    </row>
    <row r="1949" spans="13:13" x14ac:dyDescent="0.25">
      <c r="M1949" s="21"/>
    </row>
    <row r="1950" spans="13:13" x14ac:dyDescent="0.25">
      <c r="M1950" s="21"/>
    </row>
    <row r="1951" spans="13:13" x14ac:dyDescent="0.25">
      <c r="M1951" s="21"/>
    </row>
    <row r="1952" spans="13:13" x14ac:dyDescent="0.25">
      <c r="M1952" s="21"/>
    </row>
    <row r="1953" spans="13:13" x14ac:dyDescent="0.25">
      <c r="M1953" s="21"/>
    </row>
    <row r="1954" spans="13:13" x14ac:dyDescent="0.25">
      <c r="M1954" s="21"/>
    </row>
    <row r="1955" spans="13:13" x14ac:dyDescent="0.25">
      <c r="M1955" s="21"/>
    </row>
    <row r="1956" spans="13:13" x14ac:dyDescent="0.25">
      <c r="M1956" s="21"/>
    </row>
    <row r="1957" spans="13:13" x14ac:dyDescent="0.25">
      <c r="M1957" s="21"/>
    </row>
    <row r="1958" spans="13:13" x14ac:dyDescent="0.25">
      <c r="M1958" s="21"/>
    </row>
    <row r="1959" spans="13:13" x14ac:dyDescent="0.25">
      <c r="M1959" s="21"/>
    </row>
    <row r="1960" spans="13:13" x14ac:dyDescent="0.25">
      <c r="M1960" s="21"/>
    </row>
    <row r="1961" spans="13:13" x14ac:dyDescent="0.25">
      <c r="M1961" s="21"/>
    </row>
    <row r="1962" spans="13:13" x14ac:dyDescent="0.25">
      <c r="M1962" s="21"/>
    </row>
    <row r="1963" spans="13:13" x14ac:dyDescent="0.25">
      <c r="M1963" s="21"/>
    </row>
    <row r="1964" spans="13:13" x14ac:dyDescent="0.25">
      <c r="M1964" s="21"/>
    </row>
    <row r="1965" spans="13:13" x14ac:dyDescent="0.25">
      <c r="M1965" s="21"/>
    </row>
    <row r="1966" spans="13:13" x14ac:dyDescent="0.25">
      <c r="M1966" s="21"/>
    </row>
    <row r="1967" spans="13:13" x14ac:dyDescent="0.25">
      <c r="M1967" s="21"/>
    </row>
    <row r="1968" spans="13:13" x14ac:dyDescent="0.25">
      <c r="M1968" s="21"/>
    </row>
    <row r="1969" spans="13:13" x14ac:dyDescent="0.25">
      <c r="M1969" s="21"/>
    </row>
    <row r="1970" spans="13:13" x14ac:dyDescent="0.25">
      <c r="M1970" s="21"/>
    </row>
    <row r="1971" spans="13:13" x14ac:dyDescent="0.25">
      <c r="M1971" s="21"/>
    </row>
    <row r="1972" spans="13:13" x14ac:dyDescent="0.25">
      <c r="M1972" s="21"/>
    </row>
    <row r="1973" spans="13:13" x14ac:dyDescent="0.25">
      <c r="M1973" s="21"/>
    </row>
    <row r="1974" spans="13:13" x14ac:dyDescent="0.25">
      <c r="M1974" s="21"/>
    </row>
    <row r="1975" spans="13:13" x14ac:dyDescent="0.25">
      <c r="M1975" s="21"/>
    </row>
    <row r="1976" spans="13:13" x14ac:dyDescent="0.25">
      <c r="M1976" s="21"/>
    </row>
    <row r="1977" spans="13:13" x14ac:dyDescent="0.25">
      <c r="M1977" s="21"/>
    </row>
    <row r="1978" spans="13:13" x14ac:dyDescent="0.25">
      <c r="M1978" s="21"/>
    </row>
    <row r="1979" spans="13:13" x14ac:dyDescent="0.25">
      <c r="M1979" s="21"/>
    </row>
    <row r="1980" spans="13:13" x14ac:dyDescent="0.25">
      <c r="M1980" s="21"/>
    </row>
    <row r="1981" spans="13:13" x14ac:dyDescent="0.25">
      <c r="M1981" s="21"/>
    </row>
    <row r="1982" spans="13:13" x14ac:dyDescent="0.25">
      <c r="M1982" s="21"/>
    </row>
    <row r="1983" spans="13:13" x14ac:dyDescent="0.25">
      <c r="M1983" s="21"/>
    </row>
    <row r="1984" spans="13:13" x14ac:dyDescent="0.25">
      <c r="M1984" s="21"/>
    </row>
    <row r="1985" spans="13:13" x14ac:dyDescent="0.25">
      <c r="M1985" s="21"/>
    </row>
    <row r="1986" spans="13:13" x14ac:dyDescent="0.25">
      <c r="M1986" s="21"/>
    </row>
    <row r="1987" spans="13:13" x14ac:dyDescent="0.25">
      <c r="M1987" s="21"/>
    </row>
    <row r="1988" spans="13:13" x14ac:dyDescent="0.25">
      <c r="M1988" s="21"/>
    </row>
    <row r="1989" spans="13:13" x14ac:dyDescent="0.25">
      <c r="M1989" s="21"/>
    </row>
    <row r="1990" spans="13:13" x14ac:dyDescent="0.25">
      <c r="M1990" s="21"/>
    </row>
    <row r="1991" spans="13:13" x14ac:dyDescent="0.25">
      <c r="M1991" s="21"/>
    </row>
    <row r="1992" spans="13:13" x14ac:dyDescent="0.25">
      <c r="M1992" s="21"/>
    </row>
    <row r="1993" spans="13:13" x14ac:dyDescent="0.25">
      <c r="M1993" s="21"/>
    </row>
    <row r="1994" spans="13:13" x14ac:dyDescent="0.25">
      <c r="M1994" s="21"/>
    </row>
    <row r="1995" spans="13:13" x14ac:dyDescent="0.25">
      <c r="M1995" s="21"/>
    </row>
    <row r="1996" spans="13:13" x14ac:dyDescent="0.25">
      <c r="M1996" s="21"/>
    </row>
    <row r="1997" spans="13:13" x14ac:dyDescent="0.25">
      <c r="M1997" s="21"/>
    </row>
    <row r="1998" spans="13:13" x14ac:dyDescent="0.25">
      <c r="M1998" s="21"/>
    </row>
    <row r="1999" spans="13:13" x14ac:dyDescent="0.25">
      <c r="M1999" s="21"/>
    </row>
    <row r="2000" spans="13:13" x14ac:dyDescent="0.25">
      <c r="M2000" s="21"/>
    </row>
    <row r="2001" spans="13:13" x14ac:dyDescent="0.25">
      <c r="M2001" s="21"/>
    </row>
    <row r="2002" spans="13:13" x14ac:dyDescent="0.25">
      <c r="M2002" s="21"/>
    </row>
    <row r="2003" spans="13:13" x14ac:dyDescent="0.25">
      <c r="M2003" s="21"/>
    </row>
    <row r="2004" spans="13:13" x14ac:dyDescent="0.25">
      <c r="M2004" s="21"/>
    </row>
    <row r="2005" spans="13:13" x14ac:dyDescent="0.25">
      <c r="M2005" s="21"/>
    </row>
    <row r="2006" spans="13:13" x14ac:dyDescent="0.25">
      <c r="M2006" s="21"/>
    </row>
    <row r="2007" spans="13:13" x14ac:dyDescent="0.25">
      <c r="M2007" s="21"/>
    </row>
    <row r="2008" spans="13:13" x14ac:dyDescent="0.25">
      <c r="M2008" s="21"/>
    </row>
    <row r="2009" spans="13:13" x14ac:dyDescent="0.25">
      <c r="M2009" s="21"/>
    </row>
    <row r="2010" spans="13:13" x14ac:dyDescent="0.25">
      <c r="M2010" s="21"/>
    </row>
    <row r="2011" spans="13:13" x14ac:dyDescent="0.25">
      <c r="M2011" s="21"/>
    </row>
    <row r="2012" spans="13:13" x14ac:dyDescent="0.25">
      <c r="M2012" s="21"/>
    </row>
    <row r="2013" spans="13:13" x14ac:dyDescent="0.25">
      <c r="M2013" s="21"/>
    </row>
    <row r="2014" spans="13:13" x14ac:dyDescent="0.25">
      <c r="M2014" s="21"/>
    </row>
    <row r="2015" spans="13:13" x14ac:dyDescent="0.25">
      <c r="M2015" s="21"/>
    </row>
    <row r="2016" spans="13:13" x14ac:dyDescent="0.25">
      <c r="M2016" s="21"/>
    </row>
    <row r="2017" spans="13:13" x14ac:dyDescent="0.25">
      <c r="M2017" s="21"/>
    </row>
    <row r="2018" spans="13:13" x14ac:dyDescent="0.25">
      <c r="M2018" s="21"/>
    </row>
    <row r="2019" spans="13:13" x14ac:dyDescent="0.25">
      <c r="M2019" s="21"/>
    </row>
    <row r="2020" spans="13:13" x14ac:dyDescent="0.25">
      <c r="M2020" s="21"/>
    </row>
    <row r="2021" spans="13:13" x14ac:dyDescent="0.25">
      <c r="M2021" s="21"/>
    </row>
    <row r="2022" spans="13:13" x14ac:dyDescent="0.25">
      <c r="M2022" s="21"/>
    </row>
    <row r="2023" spans="13:13" x14ac:dyDescent="0.25">
      <c r="M2023" s="21"/>
    </row>
    <row r="2024" spans="13:13" x14ac:dyDescent="0.25">
      <c r="M2024" s="21"/>
    </row>
    <row r="2025" spans="13:13" x14ac:dyDescent="0.25">
      <c r="M2025" s="21"/>
    </row>
    <row r="2026" spans="13:13" x14ac:dyDescent="0.25">
      <c r="M2026" s="21"/>
    </row>
    <row r="2027" spans="13:13" x14ac:dyDescent="0.25">
      <c r="M2027" s="21"/>
    </row>
    <row r="2028" spans="13:13" x14ac:dyDescent="0.25">
      <c r="M2028" s="21"/>
    </row>
    <row r="2029" spans="13:13" x14ac:dyDescent="0.25">
      <c r="M2029" s="21"/>
    </row>
    <row r="2030" spans="13:13" x14ac:dyDescent="0.25">
      <c r="M2030" s="21"/>
    </row>
    <row r="2031" spans="13:13" x14ac:dyDescent="0.25">
      <c r="M2031" s="21"/>
    </row>
    <row r="2032" spans="13:13" x14ac:dyDescent="0.25">
      <c r="M2032" s="21"/>
    </row>
    <row r="2033" spans="13:13" x14ac:dyDescent="0.25">
      <c r="M2033" s="21"/>
    </row>
    <row r="2034" spans="13:13" x14ac:dyDescent="0.25">
      <c r="M2034" s="21"/>
    </row>
    <row r="2035" spans="13:13" x14ac:dyDescent="0.25">
      <c r="M2035" s="21"/>
    </row>
    <row r="2036" spans="13:13" x14ac:dyDescent="0.25">
      <c r="M2036" s="21"/>
    </row>
    <row r="2037" spans="13:13" x14ac:dyDescent="0.25">
      <c r="M2037" s="21"/>
    </row>
    <row r="2038" spans="13:13" x14ac:dyDescent="0.25">
      <c r="M2038" s="21"/>
    </row>
    <row r="2039" spans="13:13" x14ac:dyDescent="0.25">
      <c r="M2039" s="21"/>
    </row>
    <row r="2040" spans="13:13" x14ac:dyDescent="0.25">
      <c r="M2040" s="21"/>
    </row>
    <row r="2041" spans="13:13" x14ac:dyDescent="0.25">
      <c r="M2041" s="21"/>
    </row>
    <row r="2042" spans="13:13" x14ac:dyDescent="0.25">
      <c r="M2042" s="21"/>
    </row>
    <row r="2043" spans="13:13" x14ac:dyDescent="0.25">
      <c r="M2043" s="21"/>
    </row>
    <row r="2044" spans="13:13" x14ac:dyDescent="0.25">
      <c r="M2044" s="21"/>
    </row>
    <row r="2045" spans="13:13" x14ac:dyDescent="0.25">
      <c r="M2045" s="21"/>
    </row>
    <row r="2046" spans="13:13" x14ac:dyDescent="0.25">
      <c r="M2046" s="21"/>
    </row>
    <row r="2047" spans="13:13" x14ac:dyDescent="0.25">
      <c r="M2047" s="21"/>
    </row>
    <row r="2048" spans="13:13" x14ac:dyDescent="0.25">
      <c r="M2048" s="21"/>
    </row>
    <row r="2049" spans="13:13" x14ac:dyDescent="0.25">
      <c r="M2049" s="21"/>
    </row>
    <row r="2050" spans="13:13" x14ac:dyDescent="0.25">
      <c r="M2050" s="21"/>
    </row>
    <row r="2051" spans="13:13" x14ac:dyDescent="0.25">
      <c r="M2051" s="21"/>
    </row>
    <row r="2052" spans="13:13" x14ac:dyDescent="0.25">
      <c r="M2052" s="21"/>
    </row>
    <row r="2053" spans="13:13" x14ac:dyDescent="0.25">
      <c r="M2053" s="21"/>
    </row>
    <row r="2054" spans="13:13" x14ac:dyDescent="0.25">
      <c r="M2054" s="21"/>
    </row>
    <row r="2055" spans="13:13" x14ac:dyDescent="0.25">
      <c r="M2055" s="21"/>
    </row>
    <row r="2056" spans="13:13" x14ac:dyDescent="0.25">
      <c r="M2056" s="21"/>
    </row>
    <row r="2057" spans="13:13" x14ac:dyDescent="0.25">
      <c r="M2057" s="21"/>
    </row>
    <row r="2058" spans="13:13" x14ac:dyDescent="0.25">
      <c r="M2058" s="21"/>
    </row>
    <row r="2059" spans="13:13" x14ac:dyDescent="0.25">
      <c r="M2059" s="21"/>
    </row>
    <row r="2060" spans="13:13" x14ac:dyDescent="0.25">
      <c r="M2060" s="21"/>
    </row>
    <row r="2061" spans="13:13" x14ac:dyDescent="0.25">
      <c r="M2061" s="21"/>
    </row>
    <row r="2062" spans="13:13" x14ac:dyDescent="0.25">
      <c r="M2062" s="21"/>
    </row>
    <row r="2063" spans="13:13" x14ac:dyDescent="0.25">
      <c r="M2063" s="21"/>
    </row>
    <row r="2064" spans="13:13" x14ac:dyDescent="0.25">
      <c r="M2064" s="21"/>
    </row>
    <row r="2065" spans="13:13" x14ac:dyDescent="0.25">
      <c r="M2065" s="21"/>
    </row>
    <row r="2066" spans="13:13" x14ac:dyDescent="0.25">
      <c r="M2066" s="21"/>
    </row>
    <row r="2067" spans="13:13" x14ac:dyDescent="0.25">
      <c r="M2067" s="21"/>
    </row>
    <row r="2068" spans="13:13" x14ac:dyDescent="0.25">
      <c r="M2068" s="21"/>
    </row>
    <row r="2069" spans="13:13" x14ac:dyDescent="0.25">
      <c r="M2069" s="21"/>
    </row>
    <row r="2070" spans="13:13" x14ac:dyDescent="0.25">
      <c r="M2070" s="21"/>
    </row>
    <row r="2071" spans="13:13" x14ac:dyDescent="0.25">
      <c r="M2071" s="21"/>
    </row>
    <row r="2072" spans="13:13" x14ac:dyDescent="0.25">
      <c r="M2072" s="21"/>
    </row>
    <row r="2073" spans="13:13" x14ac:dyDescent="0.25">
      <c r="M2073" s="21"/>
    </row>
    <row r="2074" spans="13:13" x14ac:dyDescent="0.25">
      <c r="M2074" s="21"/>
    </row>
    <row r="2075" spans="13:13" x14ac:dyDescent="0.25">
      <c r="M2075" s="21"/>
    </row>
    <row r="2076" spans="13:13" x14ac:dyDescent="0.25">
      <c r="M2076" s="21"/>
    </row>
    <row r="2077" spans="13:13" x14ac:dyDescent="0.25">
      <c r="M2077" s="21"/>
    </row>
    <row r="2078" spans="13:13" x14ac:dyDescent="0.25">
      <c r="M2078" s="21"/>
    </row>
    <row r="2079" spans="13:13" x14ac:dyDescent="0.25">
      <c r="M2079" s="21"/>
    </row>
    <row r="2080" spans="13:13" x14ac:dyDescent="0.25">
      <c r="M2080" s="21"/>
    </row>
    <row r="2081" spans="13:13" x14ac:dyDescent="0.25">
      <c r="M2081" s="21"/>
    </row>
    <row r="2082" spans="13:13" x14ac:dyDescent="0.25">
      <c r="M2082" s="21"/>
    </row>
    <row r="2083" spans="13:13" x14ac:dyDescent="0.25">
      <c r="M2083" s="21"/>
    </row>
    <row r="2084" spans="13:13" x14ac:dyDescent="0.25">
      <c r="M2084" s="21"/>
    </row>
    <row r="2085" spans="13:13" x14ac:dyDescent="0.25">
      <c r="M2085" s="21"/>
    </row>
    <row r="2086" spans="13:13" x14ac:dyDescent="0.25">
      <c r="M2086" s="21"/>
    </row>
    <row r="2087" spans="13:13" x14ac:dyDescent="0.25">
      <c r="M2087" s="21"/>
    </row>
    <row r="2088" spans="13:13" x14ac:dyDescent="0.25">
      <c r="M2088" s="21"/>
    </row>
    <row r="2089" spans="13:13" x14ac:dyDescent="0.25">
      <c r="M2089" s="21"/>
    </row>
    <row r="2090" spans="13:13" x14ac:dyDescent="0.25">
      <c r="M2090" s="21"/>
    </row>
    <row r="2091" spans="13:13" x14ac:dyDescent="0.25">
      <c r="M2091" s="21"/>
    </row>
    <row r="2092" spans="13:13" x14ac:dyDescent="0.25">
      <c r="M2092" s="21"/>
    </row>
    <row r="2093" spans="13:13" x14ac:dyDescent="0.25">
      <c r="M2093" s="21"/>
    </row>
    <row r="2094" spans="13:13" x14ac:dyDescent="0.25">
      <c r="M2094" s="21"/>
    </row>
    <row r="2095" spans="13:13" x14ac:dyDescent="0.25">
      <c r="M2095" s="21"/>
    </row>
    <row r="2096" spans="13:13" x14ac:dyDescent="0.25">
      <c r="M2096" s="21"/>
    </row>
    <row r="2097" spans="13:13" x14ac:dyDescent="0.25">
      <c r="M2097" s="21"/>
    </row>
    <row r="2098" spans="13:13" x14ac:dyDescent="0.25">
      <c r="M2098" s="21"/>
    </row>
    <row r="2099" spans="13:13" x14ac:dyDescent="0.25">
      <c r="M2099" s="21"/>
    </row>
    <row r="2100" spans="13:13" x14ac:dyDescent="0.25">
      <c r="M2100" s="21"/>
    </row>
    <row r="2101" spans="13:13" x14ac:dyDescent="0.25">
      <c r="M2101" s="21"/>
    </row>
    <row r="2102" spans="13:13" x14ac:dyDescent="0.25">
      <c r="M2102" s="21"/>
    </row>
    <row r="2103" spans="13:13" x14ac:dyDescent="0.25">
      <c r="M2103" s="21"/>
    </row>
    <row r="2104" spans="13:13" x14ac:dyDescent="0.25">
      <c r="M2104" s="21"/>
    </row>
    <row r="2105" spans="13:13" x14ac:dyDescent="0.25">
      <c r="M2105" s="21"/>
    </row>
    <row r="2106" spans="13:13" x14ac:dyDescent="0.25">
      <c r="M2106" s="21"/>
    </row>
    <row r="2107" spans="13:13" x14ac:dyDescent="0.25">
      <c r="M2107" s="21"/>
    </row>
    <row r="2108" spans="13:13" x14ac:dyDescent="0.25">
      <c r="M2108" s="21"/>
    </row>
    <row r="2109" spans="13:13" x14ac:dyDescent="0.25">
      <c r="M2109" s="21"/>
    </row>
    <row r="2110" spans="13:13" x14ac:dyDescent="0.25">
      <c r="M2110" s="21"/>
    </row>
    <row r="2111" spans="13:13" x14ac:dyDescent="0.25">
      <c r="M2111" s="21"/>
    </row>
    <row r="2112" spans="13:13" x14ac:dyDescent="0.25">
      <c r="M2112" s="21"/>
    </row>
    <row r="2113" spans="13:13" x14ac:dyDescent="0.25">
      <c r="M2113" s="21"/>
    </row>
    <row r="2114" spans="13:13" x14ac:dyDescent="0.25">
      <c r="M2114" s="21"/>
    </row>
    <row r="2115" spans="13:13" x14ac:dyDescent="0.25">
      <c r="M2115" s="21"/>
    </row>
    <row r="2116" spans="13:13" x14ac:dyDescent="0.25">
      <c r="M2116" s="21"/>
    </row>
    <row r="2117" spans="13:13" x14ac:dyDescent="0.25">
      <c r="M2117" s="21"/>
    </row>
    <row r="2118" spans="13:13" x14ac:dyDescent="0.25">
      <c r="M2118" s="21"/>
    </row>
    <row r="2119" spans="13:13" x14ac:dyDescent="0.25">
      <c r="M2119" s="21"/>
    </row>
    <row r="2120" spans="13:13" x14ac:dyDescent="0.25">
      <c r="M2120" s="21"/>
    </row>
    <row r="2121" spans="13:13" x14ac:dyDescent="0.25">
      <c r="M2121" s="21"/>
    </row>
    <row r="2122" spans="13:13" x14ac:dyDescent="0.25">
      <c r="M2122" s="21"/>
    </row>
    <row r="2123" spans="13:13" x14ac:dyDescent="0.25">
      <c r="M2123" s="21"/>
    </row>
    <row r="2124" spans="13:13" x14ac:dyDescent="0.25">
      <c r="M2124" s="21"/>
    </row>
    <row r="2125" spans="13:13" x14ac:dyDescent="0.25">
      <c r="M2125" s="21"/>
    </row>
    <row r="2126" spans="13:13" x14ac:dyDescent="0.25">
      <c r="M2126" s="21"/>
    </row>
    <row r="2127" spans="13:13" x14ac:dyDescent="0.25">
      <c r="M2127" s="21"/>
    </row>
    <row r="2128" spans="13:13" x14ac:dyDescent="0.25">
      <c r="M2128" s="21"/>
    </row>
    <row r="2129" spans="13:13" x14ac:dyDescent="0.25">
      <c r="M2129" s="21"/>
    </row>
    <row r="2130" spans="13:13" x14ac:dyDescent="0.25">
      <c r="M2130" s="21"/>
    </row>
    <row r="2131" spans="13:13" x14ac:dyDescent="0.25">
      <c r="M2131" s="21"/>
    </row>
    <row r="2132" spans="13:13" x14ac:dyDescent="0.25">
      <c r="M2132" s="21"/>
    </row>
    <row r="2133" spans="13:13" x14ac:dyDescent="0.25">
      <c r="M2133" s="21"/>
    </row>
    <row r="2134" spans="13:13" x14ac:dyDescent="0.25">
      <c r="M2134" s="21"/>
    </row>
    <row r="2135" spans="13:13" x14ac:dyDescent="0.25">
      <c r="M2135" s="21"/>
    </row>
    <row r="2136" spans="13:13" x14ac:dyDescent="0.25">
      <c r="M2136" s="21"/>
    </row>
    <row r="2137" spans="13:13" x14ac:dyDescent="0.25">
      <c r="M2137" s="21"/>
    </row>
    <row r="2138" spans="13:13" x14ac:dyDescent="0.25">
      <c r="M2138" s="21"/>
    </row>
    <row r="2139" spans="13:13" x14ac:dyDescent="0.25">
      <c r="M2139" s="21"/>
    </row>
    <row r="2140" spans="13:13" x14ac:dyDescent="0.25">
      <c r="M2140" s="21"/>
    </row>
    <row r="2141" spans="13:13" x14ac:dyDescent="0.25">
      <c r="M2141" s="21"/>
    </row>
    <row r="2142" spans="13:13" x14ac:dyDescent="0.25">
      <c r="M2142" s="21"/>
    </row>
    <row r="2143" spans="13:13" x14ac:dyDescent="0.25">
      <c r="M2143" s="21"/>
    </row>
    <row r="2144" spans="13:13" x14ac:dyDescent="0.25">
      <c r="M2144" s="21"/>
    </row>
    <row r="2145" spans="13:13" x14ac:dyDescent="0.25">
      <c r="M2145" s="21"/>
    </row>
    <row r="2146" spans="13:13" x14ac:dyDescent="0.25">
      <c r="M2146" s="21"/>
    </row>
    <row r="2147" spans="13:13" x14ac:dyDescent="0.25">
      <c r="M2147" s="21"/>
    </row>
    <row r="2148" spans="13:13" x14ac:dyDescent="0.25">
      <c r="M2148" s="21"/>
    </row>
    <row r="2149" spans="13:13" x14ac:dyDescent="0.25">
      <c r="M2149" s="21"/>
    </row>
    <row r="2150" spans="13:13" x14ac:dyDescent="0.25">
      <c r="M2150" s="21"/>
    </row>
    <row r="2151" spans="13:13" x14ac:dyDescent="0.25">
      <c r="M2151" s="21"/>
    </row>
    <row r="2152" spans="13:13" x14ac:dyDescent="0.25">
      <c r="M2152" s="21"/>
    </row>
    <row r="2153" spans="13:13" x14ac:dyDescent="0.25">
      <c r="M2153" s="21"/>
    </row>
    <row r="2154" spans="13:13" x14ac:dyDescent="0.25">
      <c r="M2154" s="21"/>
    </row>
    <row r="2155" spans="13:13" x14ac:dyDescent="0.25">
      <c r="M2155" s="21"/>
    </row>
    <row r="2156" spans="13:13" x14ac:dyDescent="0.25">
      <c r="M2156" s="21"/>
    </row>
    <row r="2157" spans="13:13" x14ac:dyDescent="0.25">
      <c r="M2157" s="21"/>
    </row>
    <row r="2158" spans="13:13" x14ac:dyDescent="0.25">
      <c r="M2158" s="21"/>
    </row>
    <row r="2159" spans="13:13" x14ac:dyDescent="0.25">
      <c r="M2159" s="21"/>
    </row>
    <row r="2160" spans="13:13" x14ac:dyDescent="0.25">
      <c r="M2160" s="21"/>
    </row>
    <row r="2161" spans="13:13" x14ac:dyDescent="0.25">
      <c r="M2161" s="21"/>
    </row>
    <row r="2162" spans="13:13" x14ac:dyDescent="0.25">
      <c r="M2162" s="21"/>
    </row>
    <row r="2163" spans="13:13" x14ac:dyDescent="0.25">
      <c r="M2163" s="21"/>
    </row>
    <row r="2164" spans="13:13" x14ac:dyDescent="0.25">
      <c r="M2164" s="21"/>
    </row>
    <row r="2165" spans="13:13" x14ac:dyDescent="0.25">
      <c r="M2165" s="21"/>
    </row>
    <row r="2166" spans="13:13" x14ac:dyDescent="0.25">
      <c r="M2166" s="21"/>
    </row>
    <row r="2167" spans="13:13" x14ac:dyDescent="0.25">
      <c r="M2167" s="21"/>
    </row>
    <row r="2168" spans="13:13" x14ac:dyDescent="0.25">
      <c r="M2168" s="21"/>
    </row>
    <row r="2169" spans="13:13" x14ac:dyDescent="0.25">
      <c r="M2169" s="21"/>
    </row>
    <row r="2170" spans="13:13" x14ac:dyDescent="0.25">
      <c r="M2170" s="21"/>
    </row>
    <row r="2171" spans="13:13" x14ac:dyDescent="0.25">
      <c r="M2171" s="21"/>
    </row>
    <row r="2172" spans="13:13" x14ac:dyDescent="0.25">
      <c r="M2172" s="21"/>
    </row>
    <row r="2173" spans="13:13" x14ac:dyDescent="0.25">
      <c r="M2173" s="21"/>
    </row>
    <row r="2174" spans="13:13" x14ac:dyDescent="0.25">
      <c r="M2174" s="21"/>
    </row>
    <row r="2175" spans="13:13" x14ac:dyDescent="0.25">
      <c r="M2175" s="21"/>
    </row>
    <row r="2176" spans="13:13" x14ac:dyDescent="0.25">
      <c r="M2176" s="21"/>
    </row>
    <row r="2177" spans="13:13" x14ac:dyDescent="0.25">
      <c r="M2177" s="21"/>
    </row>
    <row r="2178" spans="13:13" x14ac:dyDescent="0.25">
      <c r="M2178" s="21"/>
    </row>
    <row r="2179" spans="13:13" x14ac:dyDescent="0.25">
      <c r="M2179" s="21"/>
    </row>
    <row r="2180" spans="13:13" x14ac:dyDescent="0.25">
      <c r="M2180" s="21"/>
    </row>
    <row r="2181" spans="13:13" x14ac:dyDescent="0.25">
      <c r="M2181" s="21"/>
    </row>
    <row r="2182" spans="13:13" x14ac:dyDescent="0.25">
      <c r="M2182" s="21"/>
    </row>
    <row r="2183" spans="13:13" x14ac:dyDescent="0.25">
      <c r="M2183" s="21"/>
    </row>
    <row r="2184" spans="13:13" x14ac:dyDescent="0.25">
      <c r="M2184" s="21"/>
    </row>
    <row r="2185" spans="13:13" x14ac:dyDescent="0.25">
      <c r="M2185" s="21"/>
    </row>
    <row r="2186" spans="13:13" x14ac:dyDescent="0.25">
      <c r="M2186" s="21"/>
    </row>
    <row r="2187" spans="13:13" x14ac:dyDescent="0.25">
      <c r="M2187" s="21"/>
    </row>
    <row r="2188" spans="13:13" x14ac:dyDescent="0.25">
      <c r="M2188" s="21"/>
    </row>
    <row r="2189" spans="13:13" x14ac:dyDescent="0.25">
      <c r="M2189" s="21"/>
    </row>
    <row r="2190" spans="13:13" x14ac:dyDescent="0.25">
      <c r="M2190" s="21"/>
    </row>
    <row r="2191" spans="13:13" x14ac:dyDescent="0.25">
      <c r="M2191" s="21"/>
    </row>
    <row r="2192" spans="13:13" x14ac:dyDescent="0.25">
      <c r="M2192" s="21"/>
    </row>
    <row r="2193" spans="13:13" x14ac:dyDescent="0.25">
      <c r="M2193" s="21"/>
    </row>
    <row r="2194" spans="13:13" x14ac:dyDescent="0.25">
      <c r="M2194" s="21"/>
    </row>
    <row r="2195" spans="13:13" x14ac:dyDescent="0.25">
      <c r="M2195" s="21"/>
    </row>
    <row r="2196" spans="13:13" x14ac:dyDescent="0.25">
      <c r="M2196" s="21"/>
    </row>
    <row r="2197" spans="13:13" x14ac:dyDescent="0.25">
      <c r="M2197" s="21"/>
    </row>
    <row r="2198" spans="13:13" x14ac:dyDescent="0.25">
      <c r="M2198" s="21"/>
    </row>
    <row r="2199" spans="13:13" x14ac:dyDescent="0.25">
      <c r="M2199" s="21"/>
    </row>
    <row r="2200" spans="13:13" x14ac:dyDescent="0.25">
      <c r="M2200" s="21"/>
    </row>
    <row r="2201" spans="13:13" x14ac:dyDescent="0.25">
      <c r="M2201" s="21"/>
    </row>
    <row r="2202" spans="13:13" x14ac:dyDescent="0.25">
      <c r="M2202" s="21"/>
    </row>
    <row r="2203" spans="13:13" x14ac:dyDescent="0.25">
      <c r="M2203" s="21"/>
    </row>
    <row r="2204" spans="13:13" x14ac:dyDescent="0.25">
      <c r="M2204" s="21"/>
    </row>
    <row r="2205" spans="13:13" x14ac:dyDescent="0.25">
      <c r="M2205" s="21"/>
    </row>
    <row r="2206" spans="13:13" x14ac:dyDescent="0.25">
      <c r="M2206" s="21"/>
    </row>
    <row r="2207" spans="13:13" x14ac:dyDescent="0.25">
      <c r="M2207" s="21"/>
    </row>
    <row r="2208" spans="13:13" x14ac:dyDescent="0.25">
      <c r="M2208" s="21"/>
    </row>
    <row r="2209" spans="13:13" x14ac:dyDescent="0.25">
      <c r="M2209" s="21"/>
    </row>
    <row r="2210" spans="13:13" x14ac:dyDescent="0.25">
      <c r="M2210" s="21"/>
    </row>
    <row r="2211" spans="13:13" x14ac:dyDescent="0.25">
      <c r="M2211" s="21"/>
    </row>
    <row r="2212" spans="13:13" x14ac:dyDescent="0.25">
      <c r="M2212" s="21"/>
    </row>
    <row r="2213" spans="13:13" x14ac:dyDescent="0.25">
      <c r="M2213" s="21"/>
    </row>
    <row r="2214" spans="13:13" x14ac:dyDescent="0.25">
      <c r="M2214" s="21"/>
    </row>
    <row r="2215" spans="13:13" x14ac:dyDescent="0.25">
      <c r="M2215" s="21"/>
    </row>
    <row r="2216" spans="13:13" x14ac:dyDescent="0.25">
      <c r="M2216" s="21"/>
    </row>
    <row r="2217" spans="13:13" x14ac:dyDescent="0.25">
      <c r="M2217" s="21"/>
    </row>
    <row r="2218" spans="13:13" x14ac:dyDescent="0.25">
      <c r="M2218" s="21"/>
    </row>
    <row r="2219" spans="13:13" x14ac:dyDescent="0.25">
      <c r="M2219" s="21"/>
    </row>
    <row r="2220" spans="13:13" x14ac:dyDescent="0.25">
      <c r="M2220" s="21"/>
    </row>
    <row r="2221" spans="13:13" x14ac:dyDescent="0.25">
      <c r="M2221" s="21"/>
    </row>
    <row r="2222" spans="13:13" x14ac:dyDescent="0.25">
      <c r="M2222" s="21"/>
    </row>
    <row r="2223" spans="13:13" x14ac:dyDescent="0.25">
      <c r="M2223" s="21"/>
    </row>
    <row r="2224" spans="13:13" x14ac:dyDescent="0.25">
      <c r="M2224" s="21"/>
    </row>
    <row r="2225" spans="13:13" x14ac:dyDescent="0.25">
      <c r="M2225" s="21"/>
    </row>
    <row r="2226" spans="13:13" x14ac:dyDescent="0.25">
      <c r="M2226" s="21"/>
    </row>
    <row r="2227" spans="13:13" x14ac:dyDescent="0.25">
      <c r="M2227" s="21"/>
    </row>
    <row r="2228" spans="13:13" x14ac:dyDescent="0.25">
      <c r="M2228" s="21"/>
    </row>
    <row r="2229" spans="13:13" x14ac:dyDescent="0.25">
      <c r="M2229" s="21"/>
    </row>
    <row r="2230" spans="13:13" x14ac:dyDescent="0.25">
      <c r="M2230" s="21"/>
    </row>
    <row r="2231" spans="13:13" x14ac:dyDescent="0.25">
      <c r="M2231" s="21"/>
    </row>
    <row r="2232" spans="13:13" x14ac:dyDescent="0.25">
      <c r="M2232" s="21"/>
    </row>
    <row r="2233" spans="13:13" x14ac:dyDescent="0.25">
      <c r="M2233" s="21"/>
    </row>
    <row r="2234" spans="13:13" x14ac:dyDescent="0.25">
      <c r="M2234" s="21"/>
    </row>
    <row r="2235" spans="13:13" x14ac:dyDescent="0.25">
      <c r="M2235" s="21"/>
    </row>
    <row r="2236" spans="13:13" x14ac:dyDescent="0.25">
      <c r="M2236" s="21"/>
    </row>
    <row r="2237" spans="13:13" x14ac:dyDescent="0.25">
      <c r="M2237" s="21"/>
    </row>
    <row r="2238" spans="13:13" x14ac:dyDescent="0.25">
      <c r="M2238" s="21"/>
    </row>
    <row r="2239" spans="13:13" x14ac:dyDescent="0.25">
      <c r="M2239" s="21"/>
    </row>
    <row r="2240" spans="13:13" x14ac:dyDescent="0.25">
      <c r="M2240" s="21"/>
    </row>
    <row r="2241" spans="13:13" x14ac:dyDescent="0.25">
      <c r="M2241" s="21"/>
    </row>
    <row r="2242" spans="13:13" x14ac:dyDescent="0.25">
      <c r="M2242" s="21"/>
    </row>
    <row r="2243" spans="13:13" x14ac:dyDescent="0.25">
      <c r="M2243" s="21"/>
    </row>
    <row r="2244" spans="13:13" x14ac:dyDescent="0.25">
      <c r="M2244" s="21"/>
    </row>
    <row r="2245" spans="13:13" x14ac:dyDescent="0.25">
      <c r="M2245" s="21"/>
    </row>
    <row r="2246" spans="13:13" x14ac:dyDescent="0.25">
      <c r="M2246" s="21"/>
    </row>
    <row r="2247" spans="13:13" x14ac:dyDescent="0.25">
      <c r="M2247" s="21"/>
    </row>
    <row r="2248" spans="13:13" x14ac:dyDescent="0.25">
      <c r="M2248" s="21"/>
    </row>
    <row r="2249" spans="13:13" x14ac:dyDescent="0.25">
      <c r="M2249" s="21"/>
    </row>
    <row r="2250" spans="13:13" x14ac:dyDescent="0.25">
      <c r="M2250" s="21"/>
    </row>
    <row r="2251" spans="13:13" x14ac:dyDescent="0.25">
      <c r="M2251" s="21"/>
    </row>
    <row r="2252" spans="13:13" x14ac:dyDescent="0.25">
      <c r="M2252" s="21"/>
    </row>
    <row r="2253" spans="13:13" x14ac:dyDescent="0.25">
      <c r="M2253" s="21"/>
    </row>
    <row r="2254" spans="13:13" x14ac:dyDescent="0.25">
      <c r="M2254" s="21"/>
    </row>
    <row r="2255" spans="13:13" x14ac:dyDescent="0.25">
      <c r="M2255" s="21"/>
    </row>
    <row r="2256" spans="13:13" x14ac:dyDescent="0.25">
      <c r="M2256" s="21"/>
    </row>
    <row r="2257" spans="13:13" x14ac:dyDescent="0.25">
      <c r="M2257" s="21"/>
    </row>
    <row r="2258" spans="13:13" x14ac:dyDescent="0.25">
      <c r="M2258" s="21"/>
    </row>
    <row r="2259" spans="13:13" x14ac:dyDescent="0.25">
      <c r="M2259" s="21"/>
    </row>
    <row r="2260" spans="13:13" x14ac:dyDescent="0.25">
      <c r="M2260" s="21"/>
    </row>
    <row r="2261" spans="13:13" x14ac:dyDescent="0.25">
      <c r="M2261" s="21"/>
    </row>
    <row r="2262" spans="13:13" x14ac:dyDescent="0.25">
      <c r="M2262" s="21"/>
    </row>
    <row r="2263" spans="13:13" x14ac:dyDescent="0.25">
      <c r="M2263" s="21"/>
    </row>
    <row r="2264" spans="13:13" x14ac:dyDescent="0.25">
      <c r="M2264" s="21"/>
    </row>
    <row r="2265" spans="13:13" x14ac:dyDescent="0.25">
      <c r="M2265" s="21"/>
    </row>
    <row r="2266" spans="13:13" x14ac:dyDescent="0.25">
      <c r="M2266" s="21"/>
    </row>
    <row r="2267" spans="13:13" x14ac:dyDescent="0.25">
      <c r="M2267" s="21"/>
    </row>
    <row r="2268" spans="13:13" x14ac:dyDescent="0.25">
      <c r="M2268" s="21"/>
    </row>
    <row r="2269" spans="13:13" x14ac:dyDescent="0.25">
      <c r="M2269" s="21"/>
    </row>
    <row r="2270" spans="13:13" x14ac:dyDescent="0.25">
      <c r="M2270" s="21"/>
    </row>
    <row r="2271" spans="13:13" x14ac:dyDescent="0.25">
      <c r="M2271" s="21"/>
    </row>
    <row r="2272" spans="13:13" x14ac:dyDescent="0.25">
      <c r="M2272" s="21"/>
    </row>
    <row r="2273" spans="13:13" x14ac:dyDescent="0.25">
      <c r="M2273" s="21"/>
    </row>
    <row r="2274" spans="13:13" x14ac:dyDescent="0.25">
      <c r="M2274" s="21"/>
    </row>
    <row r="2275" spans="13:13" x14ac:dyDescent="0.25">
      <c r="M2275" s="21"/>
    </row>
    <row r="2276" spans="13:13" x14ac:dyDescent="0.25">
      <c r="M2276" s="21"/>
    </row>
    <row r="2277" spans="13:13" x14ac:dyDescent="0.25">
      <c r="M2277" s="21"/>
    </row>
    <row r="2278" spans="13:13" x14ac:dyDescent="0.25">
      <c r="M2278" s="21"/>
    </row>
    <row r="2279" spans="13:13" x14ac:dyDescent="0.25">
      <c r="M2279" s="21"/>
    </row>
    <row r="2280" spans="13:13" x14ac:dyDescent="0.25">
      <c r="M2280" s="21"/>
    </row>
    <row r="2281" spans="13:13" x14ac:dyDescent="0.25">
      <c r="M2281" s="21"/>
    </row>
    <row r="2282" spans="13:13" x14ac:dyDescent="0.25">
      <c r="M2282" s="21"/>
    </row>
    <row r="2283" spans="13:13" x14ac:dyDescent="0.25">
      <c r="M2283" s="21"/>
    </row>
    <row r="2284" spans="13:13" x14ac:dyDescent="0.25">
      <c r="M2284" s="21"/>
    </row>
    <row r="2285" spans="13:13" x14ac:dyDescent="0.25">
      <c r="M2285" s="21"/>
    </row>
    <row r="2286" spans="13:13" x14ac:dyDescent="0.25">
      <c r="M2286" s="21"/>
    </row>
    <row r="2287" spans="13:13" x14ac:dyDescent="0.25">
      <c r="M2287" s="21"/>
    </row>
    <row r="2288" spans="13:13" x14ac:dyDescent="0.25">
      <c r="M2288" s="21"/>
    </row>
    <row r="2289" spans="13:13" x14ac:dyDescent="0.25">
      <c r="M2289" s="21"/>
    </row>
    <row r="2290" spans="13:13" x14ac:dyDescent="0.25">
      <c r="M2290" s="21"/>
    </row>
    <row r="2291" spans="13:13" x14ac:dyDescent="0.25">
      <c r="M2291" s="21"/>
    </row>
    <row r="2292" spans="13:13" x14ac:dyDescent="0.25">
      <c r="M2292" s="21"/>
    </row>
    <row r="2293" spans="13:13" x14ac:dyDescent="0.25">
      <c r="M2293" s="21"/>
    </row>
    <row r="2294" spans="13:13" x14ac:dyDescent="0.25">
      <c r="M2294" s="21"/>
    </row>
    <row r="2295" spans="13:13" x14ac:dyDescent="0.25">
      <c r="M2295" s="21"/>
    </row>
    <row r="2296" spans="13:13" x14ac:dyDescent="0.25">
      <c r="M2296" s="21"/>
    </row>
    <row r="2297" spans="13:13" x14ac:dyDescent="0.25">
      <c r="M2297" s="21"/>
    </row>
    <row r="2298" spans="13:13" x14ac:dyDescent="0.25">
      <c r="M2298" s="21"/>
    </row>
    <row r="2299" spans="13:13" x14ac:dyDescent="0.25">
      <c r="M2299" s="21"/>
    </row>
    <row r="2300" spans="13:13" x14ac:dyDescent="0.25">
      <c r="M2300" s="21"/>
    </row>
    <row r="2301" spans="13:13" x14ac:dyDescent="0.25">
      <c r="M2301" s="21"/>
    </row>
    <row r="2302" spans="13:13" x14ac:dyDescent="0.25">
      <c r="M2302" s="21"/>
    </row>
    <row r="2303" spans="13:13" x14ac:dyDescent="0.25">
      <c r="M2303" s="21"/>
    </row>
    <row r="2304" spans="13:13" x14ac:dyDescent="0.25">
      <c r="M2304" s="21"/>
    </row>
    <row r="2305" spans="13:13" x14ac:dyDescent="0.25">
      <c r="M2305" s="21"/>
    </row>
    <row r="2306" spans="13:13" x14ac:dyDescent="0.25">
      <c r="M2306" s="21"/>
    </row>
    <row r="2307" spans="13:13" x14ac:dyDescent="0.25">
      <c r="M2307" s="21"/>
    </row>
    <row r="2308" spans="13:13" x14ac:dyDescent="0.25">
      <c r="M2308" s="21"/>
    </row>
    <row r="2309" spans="13:13" x14ac:dyDescent="0.25">
      <c r="M2309" s="21"/>
    </row>
    <row r="2310" spans="13:13" x14ac:dyDescent="0.25">
      <c r="M2310" s="21"/>
    </row>
    <row r="2311" spans="13:13" x14ac:dyDescent="0.25">
      <c r="M2311" s="21"/>
    </row>
    <row r="2312" spans="13:13" x14ac:dyDescent="0.25">
      <c r="M2312" s="21"/>
    </row>
    <row r="2313" spans="13:13" x14ac:dyDescent="0.25">
      <c r="M2313" s="21"/>
    </row>
    <row r="2314" spans="13:13" x14ac:dyDescent="0.25">
      <c r="M2314" s="21"/>
    </row>
    <row r="2315" spans="13:13" x14ac:dyDescent="0.25">
      <c r="M2315" s="21"/>
    </row>
    <row r="2316" spans="13:13" x14ac:dyDescent="0.25">
      <c r="M2316" s="21"/>
    </row>
    <row r="2317" spans="13:13" x14ac:dyDescent="0.25">
      <c r="M2317" s="21"/>
    </row>
    <row r="2318" spans="13:13" x14ac:dyDescent="0.25">
      <c r="M2318" s="21"/>
    </row>
    <row r="2319" spans="13:13" x14ac:dyDescent="0.25">
      <c r="M2319" s="21"/>
    </row>
    <row r="2320" spans="13:13" x14ac:dyDescent="0.25">
      <c r="M2320" s="21"/>
    </row>
    <row r="2321" spans="13:13" x14ac:dyDescent="0.25">
      <c r="M2321" s="21"/>
    </row>
    <row r="2322" spans="13:13" x14ac:dyDescent="0.25">
      <c r="M2322" s="21"/>
    </row>
    <row r="2323" spans="13:13" x14ac:dyDescent="0.25">
      <c r="M2323" s="21"/>
    </row>
    <row r="2324" spans="13:13" x14ac:dyDescent="0.25">
      <c r="M2324" s="21"/>
    </row>
    <row r="2325" spans="13:13" x14ac:dyDescent="0.25">
      <c r="M2325" s="21"/>
    </row>
    <row r="2326" spans="13:13" x14ac:dyDescent="0.25">
      <c r="M2326" s="21"/>
    </row>
    <row r="2327" spans="13:13" x14ac:dyDescent="0.25">
      <c r="M2327" s="21"/>
    </row>
    <row r="2328" spans="13:13" x14ac:dyDescent="0.25">
      <c r="M2328" s="21"/>
    </row>
    <row r="2329" spans="13:13" x14ac:dyDescent="0.25">
      <c r="M2329" s="21"/>
    </row>
    <row r="2330" spans="13:13" x14ac:dyDescent="0.25">
      <c r="M2330" s="21"/>
    </row>
    <row r="2331" spans="13:13" x14ac:dyDescent="0.25">
      <c r="M2331" s="21"/>
    </row>
    <row r="2332" spans="13:13" x14ac:dyDescent="0.25">
      <c r="M2332" s="21"/>
    </row>
    <row r="2333" spans="13:13" x14ac:dyDescent="0.25">
      <c r="M2333" s="21"/>
    </row>
    <row r="2334" spans="13:13" x14ac:dyDescent="0.25">
      <c r="M2334" s="21"/>
    </row>
    <row r="2335" spans="13:13" x14ac:dyDescent="0.25">
      <c r="M2335" s="21"/>
    </row>
    <row r="2336" spans="13:13" x14ac:dyDescent="0.25">
      <c r="M2336" s="21"/>
    </row>
    <row r="2337" spans="13:13" x14ac:dyDescent="0.25">
      <c r="M2337" s="21"/>
    </row>
    <row r="2338" spans="13:13" x14ac:dyDescent="0.25">
      <c r="M2338" s="21"/>
    </row>
    <row r="2339" spans="13:13" x14ac:dyDescent="0.25">
      <c r="M2339" s="21"/>
    </row>
    <row r="2340" spans="13:13" x14ac:dyDescent="0.25">
      <c r="M2340" s="21"/>
    </row>
    <row r="2341" spans="13:13" x14ac:dyDescent="0.25">
      <c r="M2341" s="21"/>
    </row>
    <row r="2342" spans="13:13" x14ac:dyDescent="0.25">
      <c r="M2342" s="21"/>
    </row>
    <row r="2343" spans="13:13" x14ac:dyDescent="0.25">
      <c r="M2343" s="21"/>
    </row>
    <row r="2344" spans="13:13" x14ac:dyDescent="0.25">
      <c r="M2344" s="21"/>
    </row>
    <row r="2345" spans="13:13" x14ac:dyDescent="0.25">
      <c r="M2345" s="21"/>
    </row>
    <row r="2346" spans="13:13" x14ac:dyDescent="0.25">
      <c r="M2346" s="21"/>
    </row>
    <row r="2347" spans="13:13" x14ac:dyDescent="0.25">
      <c r="M2347" s="21"/>
    </row>
    <row r="2348" spans="13:13" x14ac:dyDescent="0.25">
      <c r="M2348" s="21"/>
    </row>
    <row r="2349" spans="13:13" x14ac:dyDescent="0.25">
      <c r="M2349" s="21"/>
    </row>
    <row r="2350" spans="13:13" x14ac:dyDescent="0.25">
      <c r="M2350" s="21"/>
    </row>
    <row r="2351" spans="13:13" x14ac:dyDescent="0.25">
      <c r="M2351" s="21"/>
    </row>
    <row r="2352" spans="13:13" x14ac:dyDescent="0.25">
      <c r="M2352" s="21"/>
    </row>
    <row r="2353" spans="13:13" x14ac:dyDescent="0.25">
      <c r="M2353" s="21"/>
    </row>
    <row r="2354" spans="13:13" x14ac:dyDescent="0.25">
      <c r="M2354" s="21"/>
    </row>
    <row r="2355" spans="13:13" x14ac:dyDescent="0.25">
      <c r="M2355" s="21"/>
    </row>
    <row r="2356" spans="13:13" x14ac:dyDescent="0.25">
      <c r="M2356" s="21"/>
    </row>
    <row r="2357" spans="13:13" x14ac:dyDescent="0.25">
      <c r="M2357" s="21"/>
    </row>
    <row r="2358" spans="13:13" x14ac:dyDescent="0.25">
      <c r="M2358" s="21"/>
    </row>
    <row r="2359" spans="13:13" x14ac:dyDescent="0.25">
      <c r="M2359" s="21"/>
    </row>
    <row r="2360" spans="13:13" x14ac:dyDescent="0.25">
      <c r="M2360" s="21"/>
    </row>
    <row r="2361" spans="13:13" x14ac:dyDescent="0.25">
      <c r="M2361" s="21"/>
    </row>
    <row r="2362" spans="13:13" x14ac:dyDescent="0.25">
      <c r="M2362" s="21"/>
    </row>
    <row r="2363" spans="13:13" x14ac:dyDescent="0.25">
      <c r="M2363" s="21"/>
    </row>
    <row r="2364" spans="13:13" x14ac:dyDescent="0.25">
      <c r="M2364" s="21"/>
    </row>
    <row r="2365" spans="13:13" x14ac:dyDescent="0.25">
      <c r="M2365" s="21"/>
    </row>
    <row r="2366" spans="13:13" x14ac:dyDescent="0.25">
      <c r="M2366" s="21"/>
    </row>
    <row r="2367" spans="13:13" x14ac:dyDescent="0.25">
      <c r="M2367" s="21"/>
    </row>
    <row r="2368" spans="13:13" x14ac:dyDescent="0.25">
      <c r="M2368" s="21"/>
    </row>
    <row r="2369" spans="13:13" x14ac:dyDescent="0.25">
      <c r="M2369" s="21"/>
    </row>
    <row r="2370" spans="13:13" x14ac:dyDescent="0.25">
      <c r="M2370" s="21"/>
    </row>
    <row r="2371" spans="13:13" x14ac:dyDescent="0.25">
      <c r="M2371" s="21"/>
    </row>
    <row r="2372" spans="13:13" x14ac:dyDescent="0.25">
      <c r="M2372" s="21"/>
    </row>
    <row r="2373" spans="13:13" x14ac:dyDescent="0.25">
      <c r="M2373" s="21"/>
    </row>
    <row r="2374" spans="13:13" x14ac:dyDescent="0.25">
      <c r="M2374" s="21"/>
    </row>
    <row r="2375" spans="13:13" x14ac:dyDescent="0.25">
      <c r="M2375" s="21"/>
    </row>
    <row r="2376" spans="13:13" x14ac:dyDescent="0.25">
      <c r="M2376" s="21"/>
    </row>
    <row r="2377" spans="13:13" x14ac:dyDescent="0.25">
      <c r="M2377" s="21"/>
    </row>
    <row r="2378" spans="13:13" x14ac:dyDescent="0.25">
      <c r="M2378" s="21"/>
    </row>
    <row r="2379" spans="13:13" x14ac:dyDescent="0.25">
      <c r="M2379" s="21"/>
    </row>
    <row r="2380" spans="13:13" x14ac:dyDescent="0.25">
      <c r="M2380" s="21"/>
    </row>
    <row r="2381" spans="13:13" x14ac:dyDescent="0.25">
      <c r="M2381" s="21"/>
    </row>
    <row r="2382" spans="13:13" x14ac:dyDescent="0.25">
      <c r="M2382" s="21"/>
    </row>
    <row r="2383" spans="13:13" x14ac:dyDescent="0.25">
      <c r="M2383" s="21"/>
    </row>
    <row r="2384" spans="13:13" x14ac:dyDescent="0.25">
      <c r="M2384" s="21"/>
    </row>
    <row r="2385" spans="13:13" x14ac:dyDescent="0.25">
      <c r="M2385" s="21"/>
    </row>
    <row r="2386" spans="13:13" x14ac:dyDescent="0.25">
      <c r="M2386" s="21"/>
    </row>
    <row r="2387" spans="13:13" x14ac:dyDescent="0.25">
      <c r="M2387" s="21"/>
    </row>
    <row r="2388" spans="13:13" x14ac:dyDescent="0.25">
      <c r="M2388" s="21"/>
    </row>
    <row r="2389" spans="13:13" x14ac:dyDescent="0.25">
      <c r="M2389" s="21"/>
    </row>
    <row r="2390" spans="13:13" x14ac:dyDescent="0.25">
      <c r="M2390" s="21"/>
    </row>
    <row r="2391" spans="13:13" x14ac:dyDescent="0.25">
      <c r="M2391" s="21"/>
    </row>
    <row r="2392" spans="13:13" x14ac:dyDescent="0.25">
      <c r="M2392" s="21"/>
    </row>
    <row r="2393" spans="13:13" x14ac:dyDescent="0.25">
      <c r="M2393" s="21"/>
    </row>
    <row r="2394" spans="13:13" x14ac:dyDescent="0.25">
      <c r="M2394" s="21"/>
    </row>
    <row r="2395" spans="13:13" x14ac:dyDescent="0.25">
      <c r="M2395" s="21"/>
    </row>
    <row r="2396" spans="13:13" x14ac:dyDescent="0.25">
      <c r="M2396" s="21"/>
    </row>
    <row r="2397" spans="13:13" x14ac:dyDescent="0.25">
      <c r="M2397" s="21"/>
    </row>
    <row r="2398" spans="13:13" x14ac:dyDescent="0.25">
      <c r="M2398" s="21"/>
    </row>
    <row r="2399" spans="13:13" x14ac:dyDescent="0.25">
      <c r="M2399" s="21"/>
    </row>
    <row r="2400" spans="13:13" x14ac:dyDescent="0.25">
      <c r="M2400" s="21"/>
    </row>
    <row r="2401" spans="13:13" x14ac:dyDescent="0.25">
      <c r="M2401" s="21"/>
    </row>
    <row r="2402" spans="13:13" x14ac:dyDescent="0.25">
      <c r="M2402" s="21"/>
    </row>
    <row r="2403" spans="13:13" x14ac:dyDescent="0.25">
      <c r="M2403" s="21"/>
    </row>
    <row r="2404" spans="13:13" x14ac:dyDescent="0.25">
      <c r="M2404" s="21"/>
    </row>
    <row r="2405" spans="13:13" x14ac:dyDescent="0.25">
      <c r="M2405" s="21"/>
    </row>
    <row r="2406" spans="13:13" x14ac:dyDescent="0.25">
      <c r="M2406" s="21"/>
    </row>
    <row r="2407" spans="13:13" x14ac:dyDescent="0.25">
      <c r="M2407" s="21"/>
    </row>
    <row r="2408" spans="13:13" x14ac:dyDescent="0.25">
      <c r="M2408" s="21"/>
    </row>
    <row r="2409" spans="13:13" x14ac:dyDescent="0.25">
      <c r="M2409" s="21"/>
    </row>
    <row r="2410" spans="13:13" x14ac:dyDescent="0.25">
      <c r="M2410" s="21"/>
    </row>
    <row r="2411" spans="13:13" x14ac:dyDescent="0.25">
      <c r="M2411" s="21"/>
    </row>
    <row r="2412" spans="13:13" x14ac:dyDescent="0.25">
      <c r="M2412" s="21"/>
    </row>
    <row r="2413" spans="13:13" x14ac:dyDescent="0.25">
      <c r="M2413" s="21"/>
    </row>
    <row r="2414" spans="13:13" x14ac:dyDescent="0.25">
      <c r="M2414" s="21"/>
    </row>
    <row r="2415" spans="13:13" x14ac:dyDescent="0.25">
      <c r="M2415" s="21"/>
    </row>
    <row r="2416" spans="13:13" x14ac:dyDescent="0.25">
      <c r="M2416" s="21"/>
    </row>
    <row r="2417" spans="13:13" x14ac:dyDescent="0.25">
      <c r="M2417" s="21"/>
    </row>
    <row r="2418" spans="13:13" x14ac:dyDescent="0.25">
      <c r="M2418" s="21"/>
    </row>
    <row r="2419" spans="13:13" x14ac:dyDescent="0.25">
      <c r="M2419" s="21"/>
    </row>
    <row r="2420" spans="13:13" x14ac:dyDescent="0.25">
      <c r="M2420" s="21"/>
    </row>
    <row r="2421" spans="13:13" x14ac:dyDescent="0.25">
      <c r="M2421" s="21"/>
    </row>
    <row r="2422" spans="13:13" x14ac:dyDescent="0.25">
      <c r="M2422" s="21"/>
    </row>
    <row r="2423" spans="13:13" x14ac:dyDescent="0.25">
      <c r="M2423" s="21"/>
    </row>
    <row r="2424" spans="13:13" x14ac:dyDescent="0.25">
      <c r="M2424" s="21"/>
    </row>
    <row r="2425" spans="13:13" x14ac:dyDescent="0.25">
      <c r="M2425" s="21"/>
    </row>
    <row r="2426" spans="13:13" x14ac:dyDescent="0.25">
      <c r="M2426" s="21"/>
    </row>
    <row r="2427" spans="13:13" x14ac:dyDescent="0.25">
      <c r="M2427" s="21"/>
    </row>
    <row r="2428" spans="13:13" x14ac:dyDescent="0.25">
      <c r="M2428" s="21"/>
    </row>
    <row r="2429" spans="13:13" x14ac:dyDescent="0.25">
      <c r="M2429" s="21"/>
    </row>
    <row r="2430" spans="13:13" x14ac:dyDescent="0.25">
      <c r="M2430" s="21"/>
    </row>
    <row r="2431" spans="13:13" x14ac:dyDescent="0.25">
      <c r="M2431" s="21"/>
    </row>
    <row r="2432" spans="13:13" x14ac:dyDescent="0.25">
      <c r="M2432" s="21"/>
    </row>
    <row r="2433" spans="13:13" x14ac:dyDescent="0.25">
      <c r="M2433" s="21"/>
    </row>
    <row r="2434" spans="13:13" x14ac:dyDescent="0.25">
      <c r="M2434" s="21"/>
    </row>
    <row r="2435" spans="13:13" x14ac:dyDescent="0.25">
      <c r="M2435" s="21"/>
    </row>
    <row r="2436" spans="13:13" x14ac:dyDescent="0.25">
      <c r="M2436" s="21"/>
    </row>
    <row r="2437" spans="13:13" x14ac:dyDescent="0.25">
      <c r="M2437" s="21"/>
    </row>
    <row r="2438" spans="13:13" x14ac:dyDescent="0.25">
      <c r="M2438" s="21"/>
    </row>
    <row r="2439" spans="13:13" x14ac:dyDescent="0.25">
      <c r="M2439" s="21"/>
    </row>
    <row r="2440" spans="13:13" x14ac:dyDescent="0.25">
      <c r="M2440" s="21"/>
    </row>
    <row r="2441" spans="13:13" x14ac:dyDescent="0.25">
      <c r="M2441" s="21"/>
    </row>
    <row r="2442" spans="13:13" x14ac:dyDescent="0.25">
      <c r="M2442" s="21"/>
    </row>
    <row r="2443" spans="13:13" x14ac:dyDescent="0.25">
      <c r="M2443" s="21"/>
    </row>
    <row r="2444" spans="13:13" x14ac:dyDescent="0.25">
      <c r="M2444" s="21"/>
    </row>
    <row r="2445" spans="13:13" x14ac:dyDescent="0.25">
      <c r="M2445" s="21"/>
    </row>
    <row r="2446" spans="13:13" x14ac:dyDescent="0.25">
      <c r="M2446" s="21"/>
    </row>
    <row r="2447" spans="13:13" x14ac:dyDescent="0.25">
      <c r="M2447" s="21"/>
    </row>
    <row r="2448" spans="13:13" x14ac:dyDescent="0.25">
      <c r="M2448" s="21"/>
    </row>
    <row r="2449" spans="13:13" x14ac:dyDescent="0.25">
      <c r="M2449" s="21"/>
    </row>
    <row r="2450" spans="13:13" x14ac:dyDescent="0.25">
      <c r="M2450" s="21"/>
    </row>
    <row r="2451" spans="13:13" x14ac:dyDescent="0.25">
      <c r="M2451" s="21"/>
    </row>
    <row r="2452" spans="13:13" x14ac:dyDescent="0.25">
      <c r="M2452" s="21"/>
    </row>
    <row r="2453" spans="13:13" x14ac:dyDescent="0.25">
      <c r="M2453" s="21"/>
    </row>
    <row r="2454" spans="13:13" x14ac:dyDescent="0.25">
      <c r="M2454" s="21"/>
    </row>
    <row r="2455" spans="13:13" x14ac:dyDescent="0.25">
      <c r="M2455" s="21"/>
    </row>
    <row r="2456" spans="13:13" x14ac:dyDescent="0.25">
      <c r="M2456" s="21"/>
    </row>
    <row r="2457" spans="13:13" x14ac:dyDescent="0.25">
      <c r="M2457" s="21"/>
    </row>
    <row r="2458" spans="13:13" x14ac:dyDescent="0.25">
      <c r="M2458" s="21"/>
    </row>
    <row r="2459" spans="13:13" x14ac:dyDescent="0.25">
      <c r="M2459" s="21"/>
    </row>
    <row r="2460" spans="13:13" x14ac:dyDescent="0.25">
      <c r="M2460" s="21"/>
    </row>
    <row r="2461" spans="13:13" x14ac:dyDescent="0.25">
      <c r="M2461" s="21"/>
    </row>
    <row r="2462" spans="13:13" x14ac:dyDescent="0.25">
      <c r="M2462" s="21"/>
    </row>
    <row r="2463" spans="13:13" x14ac:dyDescent="0.25">
      <c r="M2463" s="21"/>
    </row>
    <row r="2464" spans="13:13" x14ac:dyDescent="0.25">
      <c r="M2464" s="21"/>
    </row>
    <row r="2465" spans="13:13" x14ac:dyDescent="0.25">
      <c r="M2465" s="21"/>
    </row>
    <row r="2466" spans="13:13" x14ac:dyDescent="0.25">
      <c r="M2466" s="21"/>
    </row>
    <row r="2467" spans="13:13" x14ac:dyDescent="0.25">
      <c r="M2467" s="21"/>
    </row>
    <row r="2468" spans="13:13" x14ac:dyDescent="0.25">
      <c r="M2468" s="21"/>
    </row>
    <row r="2469" spans="13:13" x14ac:dyDescent="0.25">
      <c r="M2469" s="21"/>
    </row>
    <row r="2470" spans="13:13" x14ac:dyDescent="0.25">
      <c r="M2470" s="21"/>
    </row>
    <row r="2471" spans="13:13" x14ac:dyDescent="0.25">
      <c r="M2471" s="21"/>
    </row>
    <row r="2472" spans="13:13" x14ac:dyDescent="0.25">
      <c r="M2472" s="21"/>
    </row>
    <row r="2473" spans="13:13" x14ac:dyDescent="0.25">
      <c r="M2473" s="21"/>
    </row>
    <row r="2474" spans="13:13" x14ac:dyDescent="0.25">
      <c r="M2474" s="21"/>
    </row>
    <row r="2475" spans="13:13" x14ac:dyDescent="0.25">
      <c r="M2475" s="21"/>
    </row>
    <row r="2476" spans="13:13" x14ac:dyDescent="0.25">
      <c r="M2476" s="21"/>
    </row>
    <row r="2477" spans="13:13" x14ac:dyDescent="0.25">
      <c r="M2477" s="21"/>
    </row>
    <row r="2478" spans="13:13" x14ac:dyDescent="0.25">
      <c r="M2478" s="21"/>
    </row>
    <row r="2479" spans="13:13" x14ac:dyDescent="0.25">
      <c r="M2479" s="21"/>
    </row>
    <row r="2480" spans="13:13" x14ac:dyDescent="0.25">
      <c r="M2480" s="21"/>
    </row>
    <row r="2481" spans="13:13" x14ac:dyDescent="0.25">
      <c r="M2481" s="21"/>
    </row>
    <row r="2482" spans="13:13" x14ac:dyDescent="0.25">
      <c r="M2482" s="21"/>
    </row>
    <row r="2483" spans="13:13" x14ac:dyDescent="0.25">
      <c r="M2483" s="21"/>
    </row>
    <row r="2484" spans="13:13" x14ac:dyDescent="0.25">
      <c r="M2484" s="21"/>
    </row>
    <row r="2485" spans="13:13" x14ac:dyDescent="0.25">
      <c r="M2485" s="21"/>
    </row>
    <row r="2486" spans="13:13" x14ac:dyDescent="0.25">
      <c r="M2486" s="21"/>
    </row>
    <row r="2487" spans="13:13" x14ac:dyDescent="0.25">
      <c r="M2487" s="21"/>
    </row>
    <row r="2488" spans="13:13" x14ac:dyDescent="0.25">
      <c r="M2488" s="21"/>
    </row>
    <row r="2489" spans="13:13" x14ac:dyDescent="0.25">
      <c r="M2489" s="21"/>
    </row>
    <row r="2490" spans="13:13" x14ac:dyDescent="0.25">
      <c r="M2490" s="21"/>
    </row>
    <row r="2491" spans="13:13" x14ac:dyDescent="0.25">
      <c r="M2491" s="21"/>
    </row>
    <row r="2492" spans="13:13" x14ac:dyDescent="0.25">
      <c r="M2492" s="21"/>
    </row>
    <row r="2493" spans="13:13" x14ac:dyDescent="0.25">
      <c r="M2493" s="21"/>
    </row>
    <row r="2494" spans="13:13" x14ac:dyDescent="0.25">
      <c r="M2494" s="21"/>
    </row>
    <row r="2495" spans="13:13" x14ac:dyDescent="0.25">
      <c r="M2495" s="21"/>
    </row>
    <row r="2496" spans="13:13" x14ac:dyDescent="0.25">
      <c r="M2496" s="21"/>
    </row>
    <row r="2497" spans="13:13" x14ac:dyDescent="0.25">
      <c r="M2497" s="21"/>
    </row>
    <row r="2498" spans="13:13" x14ac:dyDescent="0.25">
      <c r="M2498" s="21"/>
    </row>
    <row r="2499" spans="13:13" x14ac:dyDescent="0.25">
      <c r="M2499" s="21"/>
    </row>
    <row r="2500" spans="13:13" x14ac:dyDescent="0.25">
      <c r="M2500" s="21"/>
    </row>
    <row r="2501" spans="13:13" x14ac:dyDescent="0.25">
      <c r="M2501" s="21"/>
    </row>
    <row r="2502" spans="13:13" x14ac:dyDescent="0.25">
      <c r="M2502" s="21"/>
    </row>
    <row r="2503" spans="13:13" x14ac:dyDescent="0.25">
      <c r="M2503" s="21"/>
    </row>
    <row r="2504" spans="13:13" x14ac:dyDescent="0.25">
      <c r="M2504" s="21"/>
    </row>
    <row r="2505" spans="13:13" x14ac:dyDescent="0.25">
      <c r="M2505" s="21"/>
    </row>
    <row r="2506" spans="13:13" x14ac:dyDescent="0.25">
      <c r="M2506" s="21"/>
    </row>
    <row r="2507" spans="13:13" x14ac:dyDescent="0.25">
      <c r="M2507" s="21"/>
    </row>
    <row r="2508" spans="13:13" x14ac:dyDescent="0.25">
      <c r="M2508" s="21"/>
    </row>
    <row r="2509" spans="13:13" x14ac:dyDescent="0.25">
      <c r="M2509" s="21"/>
    </row>
    <row r="2510" spans="13:13" x14ac:dyDescent="0.25">
      <c r="M2510" s="21"/>
    </row>
    <row r="2511" spans="13:13" x14ac:dyDescent="0.25">
      <c r="M2511" s="21"/>
    </row>
    <row r="2512" spans="13:13" x14ac:dyDescent="0.25">
      <c r="M2512" s="21"/>
    </row>
    <row r="2513" spans="13:13" x14ac:dyDescent="0.25">
      <c r="M2513" s="21"/>
    </row>
    <row r="2514" spans="13:13" x14ac:dyDescent="0.25">
      <c r="M2514" s="21"/>
    </row>
    <row r="2515" spans="13:13" x14ac:dyDescent="0.25">
      <c r="M2515" s="21"/>
    </row>
    <row r="2516" spans="13:13" x14ac:dyDescent="0.25">
      <c r="M2516" s="21"/>
    </row>
    <row r="2517" spans="13:13" x14ac:dyDescent="0.25">
      <c r="M2517" s="21"/>
    </row>
    <row r="2518" spans="13:13" x14ac:dyDescent="0.25">
      <c r="M2518" s="21"/>
    </row>
    <row r="2519" spans="13:13" x14ac:dyDescent="0.25">
      <c r="M2519" s="21"/>
    </row>
    <row r="2520" spans="13:13" x14ac:dyDescent="0.25">
      <c r="M2520" s="21"/>
    </row>
    <row r="2521" spans="13:13" x14ac:dyDescent="0.25">
      <c r="M2521" s="21"/>
    </row>
    <row r="2522" spans="13:13" x14ac:dyDescent="0.25">
      <c r="M2522" s="21"/>
    </row>
    <row r="2523" spans="13:13" x14ac:dyDescent="0.25">
      <c r="M2523" s="21"/>
    </row>
    <row r="2524" spans="13:13" x14ac:dyDescent="0.25">
      <c r="M2524" s="21"/>
    </row>
    <row r="2525" spans="13:13" x14ac:dyDescent="0.25">
      <c r="M2525" s="21"/>
    </row>
    <row r="2526" spans="13:13" x14ac:dyDescent="0.25">
      <c r="M2526" s="21"/>
    </row>
    <row r="2527" spans="13:13" x14ac:dyDescent="0.25">
      <c r="M2527" s="21"/>
    </row>
    <row r="2528" spans="13:13" x14ac:dyDescent="0.25">
      <c r="M2528" s="21"/>
    </row>
    <row r="2529" spans="13:13" x14ac:dyDescent="0.25">
      <c r="M2529" s="21"/>
    </row>
    <row r="2530" spans="13:13" x14ac:dyDescent="0.25">
      <c r="M2530" s="21"/>
    </row>
    <row r="2531" spans="13:13" x14ac:dyDescent="0.25">
      <c r="M2531" s="21"/>
    </row>
    <row r="2532" spans="13:13" x14ac:dyDescent="0.25">
      <c r="M2532" s="21"/>
    </row>
    <row r="2533" spans="13:13" x14ac:dyDescent="0.25">
      <c r="M2533" s="21"/>
    </row>
    <row r="2534" spans="13:13" x14ac:dyDescent="0.25">
      <c r="M2534" s="21"/>
    </row>
    <row r="2535" spans="13:13" x14ac:dyDescent="0.25">
      <c r="M2535" s="21"/>
    </row>
    <row r="2536" spans="13:13" x14ac:dyDescent="0.25">
      <c r="M2536" s="21"/>
    </row>
    <row r="2537" spans="13:13" x14ac:dyDescent="0.25">
      <c r="M2537" s="21"/>
    </row>
    <row r="2538" spans="13:13" x14ac:dyDescent="0.25">
      <c r="M2538" s="21"/>
    </row>
    <row r="2539" spans="13:13" x14ac:dyDescent="0.25">
      <c r="M2539" s="21"/>
    </row>
    <row r="2540" spans="13:13" x14ac:dyDescent="0.25">
      <c r="M2540" s="21"/>
    </row>
    <row r="2541" spans="13:13" x14ac:dyDescent="0.25">
      <c r="M2541" s="21"/>
    </row>
    <row r="2542" spans="13:13" x14ac:dyDescent="0.25">
      <c r="M2542" s="21"/>
    </row>
    <row r="2543" spans="13:13" x14ac:dyDescent="0.25">
      <c r="M2543" s="21"/>
    </row>
    <row r="2544" spans="13:13" x14ac:dyDescent="0.25">
      <c r="M2544" s="21"/>
    </row>
    <row r="2545" spans="13:13" x14ac:dyDescent="0.25">
      <c r="M2545" s="21"/>
    </row>
    <row r="2546" spans="13:13" x14ac:dyDescent="0.25">
      <c r="M2546" s="21"/>
    </row>
    <row r="2547" spans="13:13" x14ac:dyDescent="0.25">
      <c r="M2547" s="21"/>
    </row>
    <row r="2548" spans="13:13" x14ac:dyDescent="0.25">
      <c r="M2548" s="21"/>
    </row>
    <row r="2549" spans="13:13" x14ac:dyDescent="0.25">
      <c r="M2549" s="21"/>
    </row>
    <row r="2550" spans="13:13" x14ac:dyDescent="0.25">
      <c r="M2550" s="21"/>
    </row>
    <row r="2551" spans="13:13" x14ac:dyDescent="0.25">
      <c r="M2551" s="21"/>
    </row>
    <row r="2552" spans="13:13" x14ac:dyDescent="0.25">
      <c r="M2552" s="21"/>
    </row>
    <row r="2553" spans="13:13" x14ac:dyDescent="0.25">
      <c r="M2553" s="21"/>
    </row>
    <row r="2554" spans="13:13" x14ac:dyDescent="0.25">
      <c r="M2554" s="21"/>
    </row>
    <row r="2555" spans="13:13" x14ac:dyDescent="0.25">
      <c r="M2555" s="21"/>
    </row>
    <row r="2556" spans="13:13" x14ac:dyDescent="0.25">
      <c r="M2556" s="21"/>
    </row>
    <row r="2557" spans="13:13" x14ac:dyDescent="0.25">
      <c r="M2557" s="21"/>
    </row>
    <row r="2558" spans="13:13" x14ac:dyDescent="0.25">
      <c r="M2558" s="21"/>
    </row>
    <row r="2559" spans="13:13" x14ac:dyDescent="0.25">
      <c r="M2559" s="21"/>
    </row>
    <row r="2560" spans="13:13" x14ac:dyDescent="0.25">
      <c r="M2560" s="21"/>
    </row>
    <row r="2561" spans="13:13" x14ac:dyDescent="0.25">
      <c r="M2561" s="21"/>
    </row>
    <row r="2562" spans="13:13" x14ac:dyDescent="0.25">
      <c r="M2562" s="21"/>
    </row>
    <row r="2563" spans="13:13" x14ac:dyDescent="0.25">
      <c r="M2563" s="21"/>
    </row>
    <row r="2564" spans="13:13" x14ac:dyDescent="0.25">
      <c r="M2564" s="21"/>
    </row>
    <row r="2565" spans="13:13" x14ac:dyDescent="0.25">
      <c r="M2565" s="21"/>
    </row>
    <row r="2566" spans="13:13" x14ac:dyDescent="0.25">
      <c r="M2566" s="21"/>
    </row>
    <row r="2567" spans="13:13" x14ac:dyDescent="0.25">
      <c r="M2567" s="21"/>
    </row>
    <row r="2568" spans="13:13" x14ac:dyDescent="0.25">
      <c r="M2568" s="21"/>
    </row>
    <row r="2569" spans="13:13" x14ac:dyDescent="0.25">
      <c r="M2569" s="21"/>
    </row>
    <row r="2570" spans="13:13" x14ac:dyDescent="0.25">
      <c r="M2570" s="21"/>
    </row>
    <row r="2571" spans="13:13" x14ac:dyDescent="0.25">
      <c r="M2571" s="21"/>
    </row>
    <row r="2572" spans="13:13" x14ac:dyDescent="0.25">
      <c r="M2572" s="21"/>
    </row>
    <row r="2573" spans="13:13" x14ac:dyDescent="0.25">
      <c r="M2573" s="21"/>
    </row>
    <row r="2574" spans="13:13" x14ac:dyDescent="0.25">
      <c r="M2574" s="21"/>
    </row>
    <row r="2575" spans="13:13" x14ac:dyDescent="0.25">
      <c r="M2575" s="21"/>
    </row>
    <row r="2576" spans="13:13" x14ac:dyDescent="0.25">
      <c r="M2576" s="21"/>
    </row>
    <row r="2577" spans="13:13" x14ac:dyDescent="0.25">
      <c r="M2577" s="21"/>
    </row>
    <row r="2578" spans="13:13" x14ac:dyDescent="0.25">
      <c r="M2578" s="21"/>
    </row>
    <row r="2579" spans="13:13" x14ac:dyDescent="0.25">
      <c r="M2579" s="21"/>
    </row>
    <row r="2580" spans="13:13" x14ac:dyDescent="0.25">
      <c r="M2580" s="21"/>
    </row>
    <row r="2581" spans="13:13" x14ac:dyDescent="0.25">
      <c r="M2581" s="21"/>
    </row>
    <row r="2582" spans="13:13" x14ac:dyDescent="0.25">
      <c r="M2582" s="21"/>
    </row>
    <row r="2583" spans="13:13" x14ac:dyDescent="0.25">
      <c r="M2583" s="21"/>
    </row>
    <row r="2584" spans="13:13" x14ac:dyDescent="0.25">
      <c r="M2584" s="21"/>
    </row>
    <row r="2585" spans="13:13" x14ac:dyDescent="0.25">
      <c r="M2585" s="21"/>
    </row>
    <row r="2586" spans="13:13" x14ac:dyDescent="0.25">
      <c r="M2586" s="21"/>
    </row>
    <row r="2587" spans="13:13" x14ac:dyDescent="0.25">
      <c r="M2587" s="21"/>
    </row>
    <row r="2588" spans="13:13" x14ac:dyDescent="0.25">
      <c r="M2588" s="21"/>
    </row>
    <row r="2589" spans="13:13" x14ac:dyDescent="0.25">
      <c r="M2589" s="21"/>
    </row>
    <row r="2590" spans="13:13" x14ac:dyDescent="0.25">
      <c r="M2590" s="21"/>
    </row>
    <row r="2591" spans="13:13" x14ac:dyDescent="0.25">
      <c r="M2591" s="21"/>
    </row>
    <row r="2592" spans="13:13" x14ac:dyDescent="0.25">
      <c r="M2592" s="21"/>
    </row>
    <row r="2593" spans="13:13" x14ac:dyDescent="0.25">
      <c r="M2593" s="21"/>
    </row>
    <row r="2594" spans="13:13" x14ac:dyDescent="0.25">
      <c r="M2594" s="21"/>
    </row>
    <row r="2595" spans="13:13" x14ac:dyDescent="0.25">
      <c r="M2595" s="21"/>
    </row>
    <row r="2596" spans="13:13" x14ac:dyDescent="0.25">
      <c r="M2596" s="21"/>
    </row>
    <row r="2597" spans="13:13" x14ac:dyDescent="0.25">
      <c r="M2597" s="21"/>
    </row>
    <row r="2598" spans="13:13" x14ac:dyDescent="0.25">
      <c r="M2598" s="21"/>
    </row>
    <row r="2599" spans="13:13" x14ac:dyDescent="0.25">
      <c r="M2599" s="21"/>
    </row>
    <row r="2600" spans="13:13" x14ac:dyDescent="0.25">
      <c r="M2600" s="21"/>
    </row>
    <row r="2601" spans="13:13" x14ac:dyDescent="0.25">
      <c r="M2601" s="21"/>
    </row>
    <row r="2602" spans="13:13" x14ac:dyDescent="0.25">
      <c r="M2602" s="21"/>
    </row>
    <row r="2603" spans="13:13" x14ac:dyDescent="0.25">
      <c r="M2603" s="21"/>
    </row>
    <row r="2604" spans="13:13" x14ac:dyDescent="0.25">
      <c r="M2604" s="21"/>
    </row>
    <row r="2605" spans="13:13" x14ac:dyDescent="0.25">
      <c r="M2605" s="21"/>
    </row>
    <row r="2606" spans="13:13" x14ac:dyDescent="0.25">
      <c r="M2606" s="21"/>
    </row>
    <row r="2607" spans="13:13" x14ac:dyDescent="0.25">
      <c r="M2607" s="21"/>
    </row>
    <row r="2608" spans="13:13" x14ac:dyDescent="0.25">
      <c r="M2608" s="21"/>
    </row>
    <row r="2609" spans="13:13" x14ac:dyDescent="0.25">
      <c r="M2609" s="21"/>
    </row>
    <row r="2610" spans="13:13" x14ac:dyDescent="0.25">
      <c r="M2610" s="21"/>
    </row>
    <row r="2611" spans="13:13" x14ac:dyDescent="0.25">
      <c r="M2611" s="21"/>
    </row>
    <row r="2612" spans="13:13" x14ac:dyDescent="0.25">
      <c r="M2612" s="21"/>
    </row>
    <row r="2613" spans="13:13" x14ac:dyDescent="0.25">
      <c r="M2613" s="21"/>
    </row>
    <row r="2614" spans="13:13" x14ac:dyDescent="0.25">
      <c r="M2614" s="21"/>
    </row>
    <row r="2615" spans="13:13" x14ac:dyDescent="0.25">
      <c r="M2615" s="21"/>
    </row>
    <row r="2616" spans="13:13" x14ac:dyDescent="0.25">
      <c r="M2616" s="21"/>
    </row>
    <row r="2617" spans="13:13" x14ac:dyDescent="0.25">
      <c r="M2617" s="21"/>
    </row>
    <row r="2618" spans="13:13" x14ac:dyDescent="0.25">
      <c r="M2618" s="21"/>
    </row>
    <row r="2619" spans="13:13" x14ac:dyDescent="0.25">
      <c r="M2619" s="21"/>
    </row>
    <row r="2620" spans="13:13" x14ac:dyDescent="0.25">
      <c r="M2620" s="21"/>
    </row>
    <row r="2621" spans="13:13" x14ac:dyDescent="0.25">
      <c r="M2621" s="21"/>
    </row>
    <row r="2622" spans="13:13" x14ac:dyDescent="0.25">
      <c r="M2622" s="21"/>
    </row>
    <row r="2623" spans="13:13" x14ac:dyDescent="0.25">
      <c r="M2623" s="21"/>
    </row>
    <row r="2624" spans="13:13" x14ac:dyDescent="0.25">
      <c r="M2624" s="21"/>
    </row>
    <row r="2625" spans="13:13" x14ac:dyDescent="0.25">
      <c r="M2625" s="21"/>
    </row>
    <row r="2626" spans="13:13" x14ac:dyDescent="0.25">
      <c r="M2626" s="21"/>
    </row>
    <row r="2627" spans="13:13" x14ac:dyDescent="0.25">
      <c r="M2627" s="21"/>
    </row>
    <row r="2628" spans="13:13" x14ac:dyDescent="0.25">
      <c r="M2628" s="21"/>
    </row>
    <row r="2629" spans="13:13" x14ac:dyDescent="0.25">
      <c r="M2629" s="21"/>
    </row>
    <row r="2630" spans="13:13" x14ac:dyDescent="0.25">
      <c r="M2630" s="21"/>
    </row>
    <row r="2631" spans="13:13" x14ac:dyDescent="0.25">
      <c r="M2631" s="21"/>
    </row>
    <row r="2632" spans="13:13" x14ac:dyDescent="0.25">
      <c r="M2632" s="21"/>
    </row>
    <row r="2633" spans="13:13" x14ac:dyDescent="0.25">
      <c r="M2633" s="21"/>
    </row>
    <row r="2634" spans="13:13" x14ac:dyDescent="0.25">
      <c r="M2634" s="21"/>
    </row>
    <row r="2635" spans="13:13" x14ac:dyDescent="0.25">
      <c r="M2635" s="21"/>
    </row>
    <row r="2636" spans="13:13" x14ac:dyDescent="0.25">
      <c r="M2636" s="21"/>
    </row>
    <row r="2637" spans="13:13" x14ac:dyDescent="0.25">
      <c r="M2637" s="21"/>
    </row>
    <row r="2638" spans="13:13" x14ac:dyDescent="0.25">
      <c r="M2638" s="21"/>
    </row>
    <row r="2639" spans="13:13" x14ac:dyDescent="0.25">
      <c r="M2639" s="21"/>
    </row>
    <row r="2640" spans="13:13" x14ac:dyDescent="0.25">
      <c r="M2640" s="21"/>
    </row>
    <row r="2641" spans="13:13" x14ac:dyDescent="0.25">
      <c r="M2641" s="21"/>
    </row>
    <row r="2642" spans="13:13" x14ac:dyDescent="0.25">
      <c r="M2642" s="21"/>
    </row>
    <row r="2643" spans="13:13" x14ac:dyDescent="0.25">
      <c r="M2643" s="21"/>
    </row>
    <row r="2644" spans="13:13" x14ac:dyDescent="0.25">
      <c r="M2644" s="21"/>
    </row>
    <row r="2645" spans="13:13" x14ac:dyDescent="0.25">
      <c r="M2645" s="21"/>
    </row>
    <row r="2646" spans="13:13" x14ac:dyDescent="0.25">
      <c r="M2646" s="21"/>
    </row>
    <row r="2647" spans="13:13" x14ac:dyDescent="0.25">
      <c r="M2647" s="21"/>
    </row>
    <row r="2648" spans="13:13" x14ac:dyDescent="0.25">
      <c r="M2648" s="21"/>
    </row>
    <row r="2649" spans="13:13" x14ac:dyDescent="0.25">
      <c r="M2649" s="21"/>
    </row>
    <row r="2650" spans="13:13" x14ac:dyDescent="0.25">
      <c r="M2650" s="21"/>
    </row>
    <row r="2651" spans="13:13" x14ac:dyDescent="0.25">
      <c r="M2651" s="21"/>
    </row>
    <row r="2652" spans="13:13" x14ac:dyDescent="0.25">
      <c r="M2652" s="21"/>
    </row>
    <row r="2653" spans="13:13" x14ac:dyDescent="0.25">
      <c r="M2653" s="21"/>
    </row>
    <row r="2654" spans="13:13" x14ac:dyDescent="0.25">
      <c r="M2654" s="21"/>
    </row>
    <row r="2655" spans="13:13" x14ac:dyDescent="0.25">
      <c r="M2655" s="21"/>
    </row>
    <row r="2656" spans="13:13" x14ac:dyDescent="0.25">
      <c r="M2656" s="21"/>
    </row>
    <row r="2657" spans="13:13" x14ac:dyDescent="0.25">
      <c r="M2657" s="21"/>
    </row>
    <row r="2658" spans="13:13" x14ac:dyDescent="0.25">
      <c r="M2658" s="21"/>
    </row>
    <row r="2659" spans="13:13" x14ac:dyDescent="0.25">
      <c r="M2659" s="21"/>
    </row>
    <row r="2660" spans="13:13" x14ac:dyDescent="0.25">
      <c r="M2660" s="21"/>
    </row>
    <row r="2661" spans="13:13" x14ac:dyDescent="0.25">
      <c r="M2661" s="21"/>
    </row>
    <row r="2662" spans="13:13" x14ac:dyDescent="0.25">
      <c r="M2662" s="21"/>
    </row>
    <row r="2663" spans="13:13" x14ac:dyDescent="0.25">
      <c r="M2663" s="21"/>
    </row>
    <row r="2664" spans="13:13" x14ac:dyDescent="0.25">
      <c r="M2664" s="21"/>
    </row>
    <row r="2665" spans="13:13" x14ac:dyDescent="0.25">
      <c r="M2665" s="21"/>
    </row>
    <row r="2666" spans="13:13" x14ac:dyDescent="0.25">
      <c r="M2666" s="21"/>
    </row>
    <row r="2667" spans="13:13" x14ac:dyDescent="0.25">
      <c r="M2667" s="21"/>
    </row>
    <row r="2668" spans="13:13" x14ac:dyDescent="0.25">
      <c r="M2668" s="21"/>
    </row>
    <row r="2669" spans="13:13" x14ac:dyDescent="0.25">
      <c r="M2669" s="21"/>
    </row>
    <row r="2670" spans="13:13" x14ac:dyDescent="0.25">
      <c r="M2670" s="21"/>
    </row>
    <row r="2671" spans="13:13" x14ac:dyDescent="0.25">
      <c r="M2671" s="21"/>
    </row>
    <row r="2672" spans="13:13" x14ac:dyDescent="0.25">
      <c r="M2672" s="21"/>
    </row>
    <row r="2673" spans="13:13" x14ac:dyDescent="0.25">
      <c r="M2673" s="21"/>
    </row>
    <row r="2674" spans="13:13" x14ac:dyDescent="0.25">
      <c r="M2674" s="21"/>
    </row>
    <row r="2675" spans="13:13" x14ac:dyDescent="0.25">
      <c r="M2675" s="21"/>
    </row>
    <row r="2676" spans="13:13" x14ac:dyDescent="0.25">
      <c r="M2676" s="21"/>
    </row>
    <row r="2677" spans="13:13" x14ac:dyDescent="0.25">
      <c r="M2677" s="21"/>
    </row>
    <row r="2678" spans="13:13" x14ac:dyDescent="0.25">
      <c r="M2678" s="21"/>
    </row>
    <row r="2679" spans="13:13" x14ac:dyDescent="0.25">
      <c r="M2679" s="21"/>
    </row>
    <row r="2680" spans="13:13" x14ac:dyDescent="0.25">
      <c r="M2680" s="21"/>
    </row>
    <row r="2681" spans="13:13" x14ac:dyDescent="0.25">
      <c r="M2681" s="21"/>
    </row>
    <row r="2682" spans="13:13" x14ac:dyDescent="0.25">
      <c r="M2682" s="21"/>
    </row>
    <row r="2683" spans="13:13" x14ac:dyDescent="0.25">
      <c r="M2683" s="21"/>
    </row>
    <row r="2684" spans="13:13" x14ac:dyDescent="0.25">
      <c r="M2684" s="21"/>
    </row>
    <row r="2685" spans="13:13" x14ac:dyDescent="0.25">
      <c r="M2685" s="21"/>
    </row>
    <row r="2686" spans="13:13" x14ac:dyDescent="0.25">
      <c r="M2686" s="21"/>
    </row>
    <row r="2687" spans="13:13" x14ac:dyDescent="0.25">
      <c r="M2687" s="21"/>
    </row>
    <row r="2688" spans="13:13" x14ac:dyDescent="0.25">
      <c r="M2688" s="21"/>
    </row>
    <row r="2689" spans="13:13" x14ac:dyDescent="0.25">
      <c r="M2689" s="21"/>
    </row>
    <row r="2690" spans="13:13" x14ac:dyDescent="0.25">
      <c r="M2690" s="21"/>
    </row>
    <row r="2691" spans="13:13" x14ac:dyDescent="0.25">
      <c r="M2691" s="21"/>
    </row>
    <row r="2692" spans="13:13" x14ac:dyDescent="0.25">
      <c r="M2692" s="21"/>
    </row>
    <row r="2693" spans="13:13" x14ac:dyDescent="0.25">
      <c r="M2693" s="21"/>
    </row>
    <row r="2694" spans="13:13" x14ac:dyDescent="0.25">
      <c r="M2694" s="21"/>
    </row>
    <row r="2695" spans="13:13" x14ac:dyDescent="0.25">
      <c r="M2695" s="21"/>
    </row>
    <row r="2696" spans="13:13" x14ac:dyDescent="0.25">
      <c r="M2696" s="21"/>
    </row>
    <row r="2697" spans="13:13" x14ac:dyDescent="0.25">
      <c r="M2697" s="21"/>
    </row>
    <row r="2698" spans="13:13" x14ac:dyDescent="0.25">
      <c r="M2698" s="21"/>
    </row>
    <row r="2699" spans="13:13" x14ac:dyDescent="0.25">
      <c r="M2699" s="21"/>
    </row>
    <row r="2700" spans="13:13" x14ac:dyDescent="0.25">
      <c r="M2700" s="21"/>
    </row>
    <row r="2701" spans="13:13" x14ac:dyDescent="0.25">
      <c r="M2701" s="21"/>
    </row>
    <row r="2702" spans="13:13" x14ac:dyDescent="0.25">
      <c r="M2702" s="21"/>
    </row>
    <row r="2703" spans="13:13" x14ac:dyDescent="0.25">
      <c r="M2703" s="21"/>
    </row>
    <row r="2704" spans="13:13" x14ac:dyDescent="0.25">
      <c r="M2704" s="21"/>
    </row>
    <row r="2705" spans="13:13" x14ac:dyDescent="0.25">
      <c r="M2705" s="21"/>
    </row>
    <row r="2706" spans="13:13" x14ac:dyDescent="0.25">
      <c r="M2706" s="21"/>
    </row>
    <row r="2707" spans="13:13" x14ac:dyDescent="0.25">
      <c r="M2707" s="21"/>
    </row>
    <row r="2708" spans="13:13" x14ac:dyDescent="0.25">
      <c r="M2708" s="21"/>
    </row>
    <row r="2709" spans="13:13" x14ac:dyDescent="0.25">
      <c r="M2709" s="21"/>
    </row>
    <row r="2710" spans="13:13" x14ac:dyDescent="0.25">
      <c r="M2710" s="21"/>
    </row>
    <row r="2711" spans="13:13" x14ac:dyDescent="0.25">
      <c r="M2711" s="21"/>
    </row>
    <row r="2712" spans="13:13" x14ac:dyDescent="0.25">
      <c r="M2712" s="21"/>
    </row>
    <row r="2713" spans="13:13" x14ac:dyDescent="0.25">
      <c r="M2713" s="21"/>
    </row>
    <row r="2714" spans="13:13" x14ac:dyDescent="0.25">
      <c r="M2714" s="21"/>
    </row>
    <row r="2715" spans="13:13" x14ac:dyDescent="0.25">
      <c r="M2715" s="21"/>
    </row>
    <row r="2716" spans="13:13" x14ac:dyDescent="0.25">
      <c r="M2716" s="21"/>
    </row>
    <row r="2717" spans="13:13" x14ac:dyDescent="0.25">
      <c r="M2717" s="21"/>
    </row>
    <row r="2718" spans="13:13" x14ac:dyDescent="0.25">
      <c r="M2718" s="21"/>
    </row>
    <row r="2719" spans="13:13" x14ac:dyDescent="0.25">
      <c r="M2719" s="21"/>
    </row>
    <row r="2720" spans="13:13" x14ac:dyDescent="0.25">
      <c r="M2720" s="21"/>
    </row>
    <row r="2721" spans="13:13" x14ac:dyDescent="0.25">
      <c r="M2721" s="21"/>
    </row>
    <row r="2722" spans="13:13" x14ac:dyDescent="0.25">
      <c r="M2722" s="21"/>
    </row>
    <row r="2723" spans="13:13" x14ac:dyDescent="0.25">
      <c r="M2723" s="21"/>
    </row>
    <row r="2724" spans="13:13" x14ac:dyDescent="0.25">
      <c r="M2724" s="21"/>
    </row>
    <row r="2725" spans="13:13" x14ac:dyDescent="0.25">
      <c r="M2725" s="21"/>
    </row>
    <row r="2726" spans="13:13" x14ac:dyDescent="0.25">
      <c r="M2726" s="21"/>
    </row>
    <row r="2727" spans="13:13" x14ac:dyDescent="0.25">
      <c r="M2727" s="21"/>
    </row>
    <row r="2728" spans="13:13" x14ac:dyDescent="0.25">
      <c r="M2728" s="21"/>
    </row>
    <row r="2729" spans="13:13" x14ac:dyDescent="0.25">
      <c r="M2729" s="21"/>
    </row>
    <row r="2730" spans="13:13" x14ac:dyDescent="0.25">
      <c r="M2730" s="21"/>
    </row>
    <row r="2731" spans="13:13" x14ac:dyDescent="0.25">
      <c r="M2731" s="21"/>
    </row>
    <row r="2732" spans="13:13" x14ac:dyDescent="0.25">
      <c r="M2732" s="21"/>
    </row>
    <row r="2733" spans="13:13" x14ac:dyDescent="0.25">
      <c r="M2733" s="21"/>
    </row>
    <row r="2734" spans="13:13" x14ac:dyDescent="0.25">
      <c r="M2734" s="21"/>
    </row>
    <row r="2735" spans="13:13" x14ac:dyDescent="0.25">
      <c r="M2735" s="21"/>
    </row>
    <row r="2736" spans="13:13" x14ac:dyDescent="0.25">
      <c r="M2736" s="21"/>
    </row>
    <row r="2737" spans="13:13" x14ac:dyDescent="0.25">
      <c r="M2737" s="21"/>
    </row>
    <row r="2738" spans="13:13" x14ac:dyDescent="0.25">
      <c r="M2738" s="21"/>
    </row>
    <row r="2739" spans="13:13" x14ac:dyDescent="0.25">
      <c r="M2739" s="21"/>
    </row>
    <row r="2740" spans="13:13" x14ac:dyDescent="0.25">
      <c r="M2740" s="21"/>
    </row>
    <row r="2741" spans="13:13" x14ac:dyDescent="0.25">
      <c r="M2741" s="21"/>
    </row>
    <row r="2742" spans="13:13" x14ac:dyDescent="0.25">
      <c r="M2742" s="21"/>
    </row>
    <row r="2743" spans="13:13" x14ac:dyDescent="0.25">
      <c r="M2743" s="21"/>
    </row>
    <row r="2744" spans="13:13" x14ac:dyDescent="0.25">
      <c r="M2744" s="21"/>
    </row>
    <row r="2745" spans="13:13" x14ac:dyDescent="0.25">
      <c r="M2745" s="21"/>
    </row>
    <row r="2746" spans="13:13" x14ac:dyDescent="0.25">
      <c r="M2746" s="21"/>
    </row>
    <row r="2747" spans="13:13" x14ac:dyDescent="0.25">
      <c r="M2747" s="21"/>
    </row>
    <row r="2748" spans="13:13" x14ac:dyDescent="0.25">
      <c r="M2748" s="21"/>
    </row>
    <row r="2749" spans="13:13" x14ac:dyDescent="0.25">
      <c r="M2749" s="21"/>
    </row>
    <row r="2750" spans="13:13" x14ac:dyDescent="0.25">
      <c r="M2750" s="21"/>
    </row>
    <row r="2751" spans="13:13" x14ac:dyDescent="0.25">
      <c r="M2751" s="21"/>
    </row>
    <row r="2752" spans="13:13" x14ac:dyDescent="0.25">
      <c r="M2752" s="21"/>
    </row>
    <row r="2753" spans="13:13" x14ac:dyDescent="0.25">
      <c r="M2753" s="21"/>
    </row>
    <row r="2754" spans="13:13" x14ac:dyDescent="0.25">
      <c r="M2754" s="21"/>
    </row>
    <row r="2755" spans="13:13" x14ac:dyDescent="0.25">
      <c r="M2755" s="21"/>
    </row>
    <row r="2756" spans="13:13" x14ac:dyDescent="0.25">
      <c r="M2756" s="21"/>
    </row>
    <row r="2757" spans="13:13" x14ac:dyDescent="0.25">
      <c r="M2757" s="21"/>
    </row>
    <row r="2758" spans="13:13" x14ac:dyDescent="0.25">
      <c r="M2758" s="21"/>
    </row>
    <row r="2759" spans="13:13" x14ac:dyDescent="0.25">
      <c r="M2759" s="21"/>
    </row>
    <row r="2760" spans="13:13" x14ac:dyDescent="0.25">
      <c r="M2760" s="21"/>
    </row>
    <row r="2761" spans="13:13" x14ac:dyDescent="0.25">
      <c r="M2761" s="21"/>
    </row>
    <row r="2762" spans="13:13" x14ac:dyDescent="0.25">
      <c r="M2762" s="21"/>
    </row>
    <row r="2763" spans="13:13" x14ac:dyDescent="0.25">
      <c r="M2763" s="21"/>
    </row>
    <row r="2764" spans="13:13" x14ac:dyDescent="0.25">
      <c r="M2764" s="21"/>
    </row>
    <row r="2765" spans="13:13" x14ac:dyDescent="0.25">
      <c r="M2765" s="21"/>
    </row>
    <row r="2766" spans="13:13" x14ac:dyDescent="0.25">
      <c r="M2766" s="21"/>
    </row>
    <row r="2767" spans="13:13" x14ac:dyDescent="0.25">
      <c r="M2767" s="21"/>
    </row>
    <row r="2768" spans="13:13" x14ac:dyDescent="0.25">
      <c r="M2768" s="21"/>
    </row>
    <row r="2769" spans="13:13" x14ac:dyDescent="0.25">
      <c r="M2769" s="21"/>
    </row>
    <row r="2770" spans="13:13" x14ac:dyDescent="0.25">
      <c r="M2770" s="21"/>
    </row>
    <row r="2771" spans="13:13" x14ac:dyDescent="0.25">
      <c r="M2771" s="21"/>
    </row>
    <row r="2772" spans="13:13" x14ac:dyDescent="0.25">
      <c r="M2772" s="21"/>
    </row>
    <row r="2773" spans="13:13" x14ac:dyDescent="0.25">
      <c r="M2773" s="21"/>
    </row>
    <row r="2774" spans="13:13" x14ac:dyDescent="0.25">
      <c r="M2774" s="21"/>
    </row>
    <row r="2775" spans="13:13" x14ac:dyDescent="0.25">
      <c r="M2775" s="21"/>
    </row>
    <row r="2776" spans="13:13" x14ac:dyDescent="0.25">
      <c r="M2776" s="21"/>
    </row>
    <row r="2777" spans="13:13" x14ac:dyDescent="0.25">
      <c r="M2777" s="21"/>
    </row>
    <row r="2778" spans="13:13" x14ac:dyDescent="0.25">
      <c r="M2778" s="21"/>
    </row>
    <row r="2779" spans="13:13" x14ac:dyDescent="0.25">
      <c r="M2779" s="21"/>
    </row>
    <row r="2780" spans="13:13" x14ac:dyDescent="0.25">
      <c r="M2780" s="21"/>
    </row>
    <row r="2781" spans="13:13" x14ac:dyDescent="0.25">
      <c r="M2781" s="21"/>
    </row>
    <row r="2782" spans="13:13" x14ac:dyDescent="0.25">
      <c r="M2782" s="21"/>
    </row>
    <row r="2783" spans="13:13" x14ac:dyDescent="0.25">
      <c r="M2783" s="21"/>
    </row>
    <row r="2784" spans="13:13" x14ac:dyDescent="0.25">
      <c r="M2784" s="21"/>
    </row>
    <row r="2785" spans="13:13" x14ac:dyDescent="0.25">
      <c r="M2785" s="21"/>
    </row>
    <row r="2786" spans="13:13" x14ac:dyDescent="0.25">
      <c r="M2786" s="21"/>
    </row>
    <row r="2787" spans="13:13" x14ac:dyDescent="0.25">
      <c r="M2787" s="21"/>
    </row>
    <row r="2788" spans="13:13" x14ac:dyDescent="0.25">
      <c r="M2788" s="21"/>
    </row>
    <row r="2789" spans="13:13" x14ac:dyDescent="0.25">
      <c r="M2789" s="21"/>
    </row>
    <row r="2790" spans="13:13" x14ac:dyDescent="0.25">
      <c r="M2790" s="21"/>
    </row>
    <row r="2791" spans="13:13" x14ac:dyDescent="0.25">
      <c r="M2791" s="21"/>
    </row>
    <row r="2792" spans="13:13" x14ac:dyDescent="0.25">
      <c r="M2792" s="21"/>
    </row>
    <row r="2793" spans="13:13" x14ac:dyDescent="0.25">
      <c r="M2793" s="21"/>
    </row>
    <row r="2794" spans="13:13" x14ac:dyDescent="0.25">
      <c r="M2794" s="21"/>
    </row>
    <row r="2795" spans="13:13" x14ac:dyDescent="0.25">
      <c r="M2795" s="21"/>
    </row>
    <row r="2796" spans="13:13" x14ac:dyDescent="0.25">
      <c r="M2796" s="21"/>
    </row>
    <row r="2797" spans="13:13" x14ac:dyDescent="0.25">
      <c r="M2797" s="21"/>
    </row>
    <row r="2798" spans="13:13" x14ac:dyDescent="0.25">
      <c r="M2798" s="21"/>
    </row>
    <row r="2799" spans="13:13" x14ac:dyDescent="0.25">
      <c r="M2799" s="21"/>
    </row>
    <row r="2800" spans="13:13" x14ac:dyDescent="0.25">
      <c r="M2800" s="21"/>
    </row>
    <row r="2801" spans="13:13" x14ac:dyDescent="0.25">
      <c r="M2801" s="21"/>
    </row>
    <row r="2802" spans="13:13" x14ac:dyDescent="0.25">
      <c r="M2802" s="21"/>
    </row>
    <row r="2803" spans="13:13" x14ac:dyDescent="0.25">
      <c r="M2803" s="21"/>
    </row>
    <row r="2804" spans="13:13" x14ac:dyDescent="0.25">
      <c r="M2804" s="21"/>
    </row>
    <row r="2805" spans="13:13" x14ac:dyDescent="0.25">
      <c r="M2805" s="21"/>
    </row>
    <row r="2806" spans="13:13" x14ac:dyDescent="0.25">
      <c r="M2806" s="21"/>
    </row>
    <row r="2807" spans="13:13" x14ac:dyDescent="0.25">
      <c r="M2807" s="21"/>
    </row>
    <row r="2808" spans="13:13" x14ac:dyDescent="0.25">
      <c r="M2808" s="21"/>
    </row>
    <row r="2809" spans="13:13" x14ac:dyDescent="0.25">
      <c r="M2809" s="21"/>
    </row>
    <row r="2810" spans="13:13" x14ac:dyDescent="0.25">
      <c r="M2810" s="21"/>
    </row>
    <row r="2811" spans="13:13" x14ac:dyDescent="0.25">
      <c r="M2811" s="21"/>
    </row>
    <row r="2812" spans="13:13" x14ac:dyDescent="0.25">
      <c r="M2812" s="21"/>
    </row>
    <row r="2813" spans="13:13" x14ac:dyDescent="0.25">
      <c r="M2813" s="21"/>
    </row>
    <row r="2814" spans="13:13" x14ac:dyDescent="0.25">
      <c r="M2814" s="21"/>
    </row>
    <row r="2815" spans="13:13" x14ac:dyDescent="0.25">
      <c r="M2815" s="21"/>
    </row>
    <row r="2816" spans="13:13" x14ac:dyDescent="0.25">
      <c r="M2816" s="21"/>
    </row>
    <row r="2817" spans="13:13" x14ac:dyDescent="0.25">
      <c r="M2817" s="21"/>
    </row>
    <row r="2818" spans="13:13" x14ac:dyDescent="0.25">
      <c r="M2818" s="21"/>
    </row>
    <row r="2819" spans="13:13" x14ac:dyDescent="0.25">
      <c r="M2819" s="21"/>
    </row>
    <row r="2820" spans="13:13" x14ac:dyDescent="0.25">
      <c r="M2820" s="21"/>
    </row>
    <row r="2821" spans="13:13" x14ac:dyDescent="0.25">
      <c r="M2821" s="21"/>
    </row>
    <row r="2822" spans="13:13" x14ac:dyDescent="0.25">
      <c r="M2822" s="21"/>
    </row>
    <row r="2823" spans="13:13" x14ac:dyDescent="0.25">
      <c r="M2823" s="21"/>
    </row>
    <row r="2824" spans="13:13" x14ac:dyDescent="0.25">
      <c r="M2824" s="21"/>
    </row>
    <row r="2825" spans="13:13" x14ac:dyDescent="0.25">
      <c r="M2825" s="21"/>
    </row>
    <row r="2826" spans="13:13" x14ac:dyDescent="0.25">
      <c r="M2826" s="21"/>
    </row>
    <row r="2827" spans="13:13" x14ac:dyDescent="0.25">
      <c r="M2827" s="21"/>
    </row>
    <row r="2828" spans="13:13" x14ac:dyDescent="0.25">
      <c r="M2828" s="21"/>
    </row>
    <row r="2829" spans="13:13" x14ac:dyDescent="0.25">
      <c r="M2829" s="21"/>
    </row>
    <row r="2830" spans="13:13" x14ac:dyDescent="0.25">
      <c r="M2830" s="21"/>
    </row>
    <row r="2831" spans="13:13" x14ac:dyDescent="0.25">
      <c r="M2831" s="21"/>
    </row>
    <row r="2832" spans="13:13" x14ac:dyDescent="0.25">
      <c r="M2832" s="21"/>
    </row>
    <row r="2833" spans="13:13" x14ac:dyDescent="0.25">
      <c r="M2833" s="21"/>
    </row>
    <row r="2834" spans="13:13" x14ac:dyDescent="0.25">
      <c r="M2834" s="21"/>
    </row>
    <row r="2835" spans="13:13" x14ac:dyDescent="0.25">
      <c r="M2835" s="21"/>
    </row>
    <row r="2836" spans="13:13" x14ac:dyDescent="0.25">
      <c r="M2836" s="21"/>
    </row>
    <row r="2837" spans="13:13" x14ac:dyDescent="0.25">
      <c r="M2837" s="21"/>
    </row>
    <row r="2838" spans="13:13" x14ac:dyDescent="0.25">
      <c r="M2838" s="21"/>
    </row>
    <row r="2839" spans="13:13" x14ac:dyDescent="0.25">
      <c r="M2839" s="21"/>
    </row>
    <row r="2840" spans="13:13" x14ac:dyDescent="0.25">
      <c r="M2840" s="21"/>
    </row>
    <row r="2841" spans="13:13" x14ac:dyDescent="0.25">
      <c r="M2841" s="21"/>
    </row>
    <row r="2842" spans="13:13" x14ac:dyDescent="0.25">
      <c r="M2842" s="21"/>
    </row>
    <row r="2843" spans="13:13" x14ac:dyDescent="0.25">
      <c r="M2843" s="21"/>
    </row>
    <row r="2844" spans="13:13" x14ac:dyDescent="0.25">
      <c r="M2844" s="21"/>
    </row>
    <row r="2845" spans="13:13" x14ac:dyDescent="0.25">
      <c r="M2845" s="21"/>
    </row>
    <row r="2846" spans="13:13" x14ac:dyDescent="0.25">
      <c r="M2846" s="21"/>
    </row>
    <row r="2847" spans="13:13" x14ac:dyDescent="0.25">
      <c r="M2847" s="21"/>
    </row>
    <row r="2848" spans="13:13" x14ac:dyDescent="0.25">
      <c r="M2848" s="21"/>
    </row>
    <row r="2849" spans="13:13" x14ac:dyDescent="0.25">
      <c r="M2849" s="21"/>
    </row>
    <row r="2850" spans="13:13" x14ac:dyDescent="0.25">
      <c r="M2850" s="21"/>
    </row>
    <row r="2851" spans="13:13" x14ac:dyDescent="0.25">
      <c r="M2851" s="21"/>
    </row>
    <row r="2852" spans="13:13" x14ac:dyDescent="0.25">
      <c r="M2852" s="21"/>
    </row>
    <row r="2853" spans="13:13" x14ac:dyDescent="0.25">
      <c r="M2853" s="21"/>
    </row>
    <row r="2854" spans="13:13" x14ac:dyDescent="0.25">
      <c r="M2854" s="21"/>
    </row>
    <row r="2855" spans="13:13" x14ac:dyDescent="0.25">
      <c r="M2855" s="21"/>
    </row>
    <row r="2856" spans="13:13" x14ac:dyDescent="0.25">
      <c r="M2856" s="21"/>
    </row>
    <row r="2857" spans="13:13" x14ac:dyDescent="0.25">
      <c r="M2857" s="21"/>
    </row>
    <row r="2858" spans="13:13" x14ac:dyDescent="0.25">
      <c r="M2858" s="21"/>
    </row>
    <row r="2859" spans="13:13" x14ac:dyDescent="0.25">
      <c r="M2859" s="21"/>
    </row>
    <row r="2860" spans="13:13" x14ac:dyDescent="0.25">
      <c r="M2860" s="21"/>
    </row>
    <row r="2861" spans="13:13" x14ac:dyDescent="0.25">
      <c r="M2861" s="21"/>
    </row>
    <row r="2862" spans="13:13" x14ac:dyDescent="0.25">
      <c r="M2862" s="21"/>
    </row>
    <row r="2863" spans="13:13" x14ac:dyDescent="0.25">
      <c r="M2863" s="21"/>
    </row>
    <row r="2864" spans="13:13" x14ac:dyDescent="0.25">
      <c r="M2864" s="21"/>
    </row>
    <row r="2865" spans="13:13" x14ac:dyDescent="0.25">
      <c r="M2865" s="21"/>
    </row>
    <row r="2866" spans="13:13" x14ac:dyDescent="0.25">
      <c r="M2866" s="21"/>
    </row>
    <row r="2867" spans="13:13" x14ac:dyDescent="0.25">
      <c r="M2867" s="21"/>
    </row>
    <row r="2868" spans="13:13" x14ac:dyDescent="0.25">
      <c r="M2868" s="21"/>
    </row>
    <row r="2869" spans="13:13" x14ac:dyDescent="0.25">
      <c r="M2869" s="21"/>
    </row>
    <row r="2870" spans="13:13" x14ac:dyDescent="0.25">
      <c r="M2870" s="21"/>
    </row>
    <row r="2871" spans="13:13" x14ac:dyDescent="0.25">
      <c r="M2871" s="21"/>
    </row>
    <row r="2872" spans="13:13" x14ac:dyDescent="0.25">
      <c r="M2872" s="21"/>
    </row>
    <row r="2873" spans="13:13" x14ac:dyDescent="0.25">
      <c r="M2873" s="21"/>
    </row>
    <row r="2874" spans="13:13" x14ac:dyDescent="0.25">
      <c r="M2874" s="21"/>
    </row>
    <row r="2875" spans="13:13" x14ac:dyDescent="0.25">
      <c r="M2875" s="21"/>
    </row>
    <row r="2876" spans="13:13" x14ac:dyDescent="0.25">
      <c r="M2876" s="21"/>
    </row>
    <row r="2877" spans="13:13" x14ac:dyDescent="0.25">
      <c r="M2877" s="21"/>
    </row>
    <row r="2878" spans="13:13" x14ac:dyDescent="0.25">
      <c r="M2878" s="21"/>
    </row>
    <row r="2879" spans="13:13" x14ac:dyDescent="0.25">
      <c r="M2879" s="21"/>
    </row>
    <row r="2880" spans="13:13" x14ac:dyDescent="0.25">
      <c r="M2880" s="21"/>
    </row>
    <row r="2881" spans="13:13" x14ac:dyDescent="0.25">
      <c r="M2881" s="21"/>
    </row>
    <row r="2882" spans="13:13" x14ac:dyDescent="0.25">
      <c r="M2882" s="21"/>
    </row>
    <row r="2883" spans="13:13" x14ac:dyDescent="0.25">
      <c r="M2883" s="21"/>
    </row>
    <row r="2884" spans="13:13" x14ac:dyDescent="0.25">
      <c r="M2884" s="21"/>
    </row>
    <row r="2885" spans="13:13" x14ac:dyDescent="0.25">
      <c r="M2885" s="21"/>
    </row>
    <row r="2886" spans="13:13" x14ac:dyDescent="0.25">
      <c r="M2886" s="21"/>
    </row>
    <row r="2887" spans="13:13" x14ac:dyDescent="0.25">
      <c r="M2887" s="21"/>
    </row>
    <row r="2888" spans="13:13" x14ac:dyDescent="0.25">
      <c r="M2888" s="21"/>
    </row>
    <row r="2889" spans="13:13" x14ac:dyDescent="0.25">
      <c r="M2889" s="21"/>
    </row>
    <row r="2890" spans="13:13" x14ac:dyDescent="0.25">
      <c r="M2890" s="21"/>
    </row>
    <row r="2891" spans="13:13" x14ac:dyDescent="0.25">
      <c r="M2891" s="21"/>
    </row>
    <row r="2892" spans="13:13" x14ac:dyDescent="0.25">
      <c r="M2892" s="21"/>
    </row>
    <row r="2893" spans="13:13" x14ac:dyDescent="0.25">
      <c r="M2893" s="21"/>
    </row>
    <row r="2894" spans="13:13" x14ac:dyDescent="0.25">
      <c r="M2894" s="21"/>
    </row>
    <row r="2895" spans="13:13" x14ac:dyDescent="0.25">
      <c r="M2895" s="21"/>
    </row>
    <row r="2896" spans="13:13" x14ac:dyDescent="0.25">
      <c r="M2896" s="21"/>
    </row>
    <row r="2897" spans="13:13" x14ac:dyDescent="0.25">
      <c r="M2897" s="21"/>
    </row>
    <row r="2898" spans="13:13" x14ac:dyDescent="0.25">
      <c r="M2898" s="21"/>
    </row>
    <row r="2899" spans="13:13" x14ac:dyDescent="0.25">
      <c r="M2899" s="21"/>
    </row>
    <row r="2900" spans="13:13" x14ac:dyDescent="0.25">
      <c r="M2900" s="21"/>
    </row>
    <row r="2901" spans="13:13" x14ac:dyDescent="0.25">
      <c r="M2901" s="21"/>
    </row>
    <row r="2902" spans="13:13" x14ac:dyDescent="0.25">
      <c r="M2902" s="21"/>
    </row>
    <row r="2903" spans="13:13" x14ac:dyDescent="0.25">
      <c r="M2903" s="21"/>
    </row>
    <row r="2904" spans="13:13" x14ac:dyDescent="0.25">
      <c r="M2904" s="21"/>
    </row>
    <row r="2905" spans="13:13" x14ac:dyDescent="0.25">
      <c r="M2905" s="21"/>
    </row>
    <row r="2906" spans="13:13" x14ac:dyDescent="0.25">
      <c r="M2906" s="21"/>
    </row>
    <row r="2907" spans="13:13" x14ac:dyDescent="0.25">
      <c r="M2907" s="21"/>
    </row>
    <row r="2908" spans="13:13" x14ac:dyDescent="0.25">
      <c r="M2908" s="21"/>
    </row>
    <row r="2909" spans="13:13" x14ac:dyDescent="0.25">
      <c r="M2909" s="21"/>
    </row>
    <row r="2910" spans="13:13" x14ac:dyDescent="0.25">
      <c r="M2910" s="21"/>
    </row>
    <row r="2911" spans="13:13" x14ac:dyDescent="0.25">
      <c r="M2911" s="21"/>
    </row>
    <row r="2912" spans="13:13" x14ac:dyDescent="0.25">
      <c r="M2912" s="21"/>
    </row>
    <row r="2913" spans="13:13" x14ac:dyDescent="0.25">
      <c r="M2913" s="21"/>
    </row>
    <row r="2914" spans="13:13" x14ac:dyDescent="0.25">
      <c r="M2914" s="21"/>
    </row>
    <row r="2915" spans="13:13" x14ac:dyDescent="0.25">
      <c r="M2915" s="21"/>
    </row>
    <row r="2916" spans="13:13" x14ac:dyDescent="0.25">
      <c r="M2916" s="21"/>
    </row>
    <row r="2917" spans="13:13" x14ac:dyDescent="0.25">
      <c r="M2917" s="21"/>
    </row>
    <row r="2918" spans="13:13" x14ac:dyDescent="0.25">
      <c r="M2918" s="21"/>
    </row>
    <row r="2919" spans="13:13" x14ac:dyDescent="0.25">
      <c r="M2919" s="21"/>
    </row>
    <row r="2920" spans="13:13" x14ac:dyDescent="0.25">
      <c r="M2920" s="21"/>
    </row>
    <row r="2921" spans="13:13" x14ac:dyDescent="0.25">
      <c r="M2921" s="21"/>
    </row>
    <row r="2922" spans="13:13" x14ac:dyDescent="0.25">
      <c r="M2922" s="21"/>
    </row>
    <row r="2923" spans="13:13" x14ac:dyDescent="0.25">
      <c r="M2923" s="21"/>
    </row>
    <row r="2924" spans="13:13" x14ac:dyDescent="0.25">
      <c r="M2924" s="21"/>
    </row>
    <row r="2925" spans="13:13" x14ac:dyDescent="0.25">
      <c r="M2925" s="21"/>
    </row>
    <row r="2926" spans="13:13" x14ac:dyDescent="0.25">
      <c r="M2926" s="21"/>
    </row>
    <row r="2927" spans="13:13" x14ac:dyDescent="0.25">
      <c r="M2927" s="21"/>
    </row>
    <row r="2928" spans="13:13" x14ac:dyDescent="0.25">
      <c r="M2928" s="21"/>
    </row>
    <row r="2929" spans="13:13" x14ac:dyDescent="0.25">
      <c r="M2929" s="21"/>
    </row>
    <row r="2930" spans="13:13" x14ac:dyDescent="0.25">
      <c r="M2930" s="21"/>
    </row>
    <row r="2931" spans="13:13" x14ac:dyDescent="0.25">
      <c r="M2931" s="21"/>
    </row>
    <row r="2932" spans="13:13" x14ac:dyDescent="0.25">
      <c r="M2932" s="21"/>
    </row>
    <row r="2933" spans="13:13" x14ac:dyDescent="0.25">
      <c r="M2933" s="21"/>
    </row>
    <row r="2934" spans="13:13" x14ac:dyDescent="0.25">
      <c r="M2934" s="21"/>
    </row>
    <row r="2935" spans="13:13" x14ac:dyDescent="0.25">
      <c r="M2935" s="21"/>
    </row>
    <row r="2936" spans="13:13" x14ac:dyDescent="0.25">
      <c r="M2936" s="21"/>
    </row>
    <row r="2937" spans="13:13" x14ac:dyDescent="0.25">
      <c r="M2937" s="21"/>
    </row>
    <row r="2938" spans="13:13" x14ac:dyDescent="0.25">
      <c r="M2938" s="21"/>
    </row>
    <row r="2939" spans="13:13" x14ac:dyDescent="0.25">
      <c r="M2939" s="21"/>
    </row>
    <row r="2940" spans="13:13" x14ac:dyDescent="0.25">
      <c r="M2940" s="21"/>
    </row>
    <row r="2941" spans="13:13" x14ac:dyDescent="0.25">
      <c r="M2941" s="21"/>
    </row>
    <row r="2942" spans="13:13" x14ac:dyDescent="0.25">
      <c r="M2942" s="21"/>
    </row>
    <row r="2943" spans="13:13" x14ac:dyDescent="0.25">
      <c r="M2943" s="21"/>
    </row>
    <row r="2944" spans="13:13" x14ac:dyDescent="0.25">
      <c r="M2944" s="21"/>
    </row>
    <row r="2945" spans="13:13" x14ac:dyDescent="0.25">
      <c r="M2945" s="21"/>
    </row>
    <row r="2946" spans="13:13" x14ac:dyDescent="0.25">
      <c r="M2946" s="21"/>
    </row>
    <row r="2947" spans="13:13" x14ac:dyDescent="0.25">
      <c r="M2947" s="21"/>
    </row>
    <row r="2948" spans="13:13" x14ac:dyDescent="0.25">
      <c r="M2948" s="21"/>
    </row>
    <row r="2949" spans="13:13" x14ac:dyDescent="0.25">
      <c r="M2949" s="21"/>
    </row>
    <row r="2950" spans="13:13" x14ac:dyDescent="0.25">
      <c r="M2950" s="21"/>
    </row>
    <row r="2951" spans="13:13" x14ac:dyDescent="0.25">
      <c r="M2951" s="21"/>
    </row>
    <row r="2952" spans="13:13" x14ac:dyDescent="0.25">
      <c r="M2952" s="21"/>
    </row>
    <row r="2953" spans="13:13" x14ac:dyDescent="0.25">
      <c r="M2953" s="21"/>
    </row>
    <row r="2954" spans="13:13" x14ac:dyDescent="0.25">
      <c r="M2954" s="21"/>
    </row>
    <row r="2955" spans="13:13" x14ac:dyDescent="0.25">
      <c r="M2955" s="21"/>
    </row>
    <row r="2956" spans="13:13" x14ac:dyDescent="0.25">
      <c r="M2956" s="21"/>
    </row>
    <row r="2957" spans="13:13" x14ac:dyDescent="0.25">
      <c r="M2957" s="21"/>
    </row>
    <row r="2958" spans="13:13" x14ac:dyDescent="0.25">
      <c r="M2958" s="21"/>
    </row>
    <row r="2959" spans="13:13" x14ac:dyDescent="0.25">
      <c r="M2959" s="21"/>
    </row>
    <row r="2960" spans="13:13" x14ac:dyDescent="0.25">
      <c r="M2960" s="21"/>
    </row>
    <row r="2961" spans="13:13" x14ac:dyDescent="0.25">
      <c r="M2961" s="21"/>
    </row>
    <row r="2962" spans="13:13" x14ac:dyDescent="0.25">
      <c r="M2962" s="21"/>
    </row>
    <row r="2963" spans="13:13" x14ac:dyDescent="0.25">
      <c r="M2963" s="21"/>
    </row>
    <row r="2964" spans="13:13" x14ac:dyDescent="0.25">
      <c r="M2964" s="21"/>
    </row>
    <row r="2965" spans="13:13" x14ac:dyDescent="0.25">
      <c r="M2965" s="21"/>
    </row>
    <row r="2966" spans="13:13" x14ac:dyDescent="0.25">
      <c r="M2966" s="21"/>
    </row>
    <row r="2967" spans="13:13" x14ac:dyDescent="0.25">
      <c r="M2967" s="21"/>
    </row>
    <row r="2968" spans="13:13" x14ac:dyDescent="0.25">
      <c r="M2968" s="21"/>
    </row>
    <row r="2969" spans="13:13" x14ac:dyDescent="0.25">
      <c r="M2969" s="21"/>
    </row>
    <row r="2970" spans="13:13" x14ac:dyDescent="0.25">
      <c r="M2970" s="21"/>
    </row>
    <row r="2971" spans="13:13" x14ac:dyDescent="0.25">
      <c r="M2971" s="21"/>
    </row>
    <row r="2972" spans="13:13" x14ac:dyDescent="0.25">
      <c r="M2972" s="21"/>
    </row>
    <row r="2973" spans="13:13" x14ac:dyDescent="0.25">
      <c r="M2973" s="21"/>
    </row>
    <row r="2974" spans="13:13" x14ac:dyDescent="0.25">
      <c r="M2974" s="21"/>
    </row>
    <row r="2975" spans="13:13" x14ac:dyDescent="0.25">
      <c r="M2975" s="21"/>
    </row>
    <row r="2976" spans="13:13" x14ac:dyDescent="0.25">
      <c r="M2976" s="21"/>
    </row>
    <row r="2977" spans="13:13" x14ac:dyDescent="0.25">
      <c r="M2977" s="21"/>
    </row>
    <row r="2978" spans="13:13" x14ac:dyDescent="0.25">
      <c r="M2978" s="21"/>
    </row>
    <row r="2979" spans="13:13" x14ac:dyDescent="0.25">
      <c r="M2979" s="21"/>
    </row>
    <row r="2980" spans="13:13" x14ac:dyDescent="0.25">
      <c r="M2980" s="21"/>
    </row>
    <row r="2981" spans="13:13" x14ac:dyDescent="0.25">
      <c r="M2981" s="21"/>
    </row>
    <row r="2982" spans="13:13" x14ac:dyDescent="0.25">
      <c r="M2982" s="21"/>
    </row>
    <row r="2983" spans="13:13" x14ac:dyDescent="0.25">
      <c r="M2983" s="21"/>
    </row>
    <row r="2984" spans="13:13" x14ac:dyDescent="0.25">
      <c r="M2984" s="21"/>
    </row>
    <row r="2985" spans="13:13" x14ac:dyDescent="0.25">
      <c r="M2985" s="21"/>
    </row>
    <row r="2986" spans="13:13" x14ac:dyDescent="0.25">
      <c r="M2986" s="21"/>
    </row>
    <row r="2987" spans="13:13" x14ac:dyDescent="0.25">
      <c r="M2987" s="21"/>
    </row>
    <row r="2988" spans="13:13" x14ac:dyDescent="0.25">
      <c r="M2988" s="21"/>
    </row>
    <row r="2989" spans="13:13" x14ac:dyDescent="0.25">
      <c r="M2989" s="21"/>
    </row>
    <row r="2990" spans="13:13" x14ac:dyDescent="0.25">
      <c r="M2990" s="21"/>
    </row>
    <row r="2991" spans="13:13" x14ac:dyDescent="0.25">
      <c r="M2991" s="21"/>
    </row>
    <row r="2992" spans="13:13" x14ac:dyDescent="0.25">
      <c r="M2992" s="21"/>
    </row>
    <row r="2993" spans="13:13" x14ac:dyDescent="0.25">
      <c r="M2993" s="21"/>
    </row>
    <row r="2994" spans="13:13" x14ac:dyDescent="0.25">
      <c r="M2994" s="21"/>
    </row>
    <row r="2995" spans="13:13" x14ac:dyDescent="0.25">
      <c r="M2995" s="21"/>
    </row>
    <row r="2996" spans="13:13" x14ac:dyDescent="0.25">
      <c r="M2996" s="21"/>
    </row>
    <row r="2997" spans="13:13" x14ac:dyDescent="0.25">
      <c r="M2997" s="21"/>
    </row>
    <row r="2998" spans="13:13" x14ac:dyDescent="0.25">
      <c r="M2998" s="21"/>
    </row>
    <row r="2999" spans="13:13" x14ac:dyDescent="0.25">
      <c r="M2999" s="21"/>
    </row>
    <row r="3000" spans="13:13" x14ac:dyDescent="0.25">
      <c r="M3000" s="21"/>
    </row>
    <row r="3001" spans="13:13" x14ac:dyDescent="0.25">
      <c r="M3001" s="21"/>
    </row>
    <row r="3002" spans="13:13" x14ac:dyDescent="0.25">
      <c r="M3002" s="21"/>
    </row>
    <row r="3003" spans="13:13" x14ac:dyDescent="0.25">
      <c r="M3003" s="21"/>
    </row>
    <row r="3004" spans="13:13" x14ac:dyDescent="0.25">
      <c r="M3004" s="21"/>
    </row>
    <row r="3005" spans="13:13" x14ac:dyDescent="0.25">
      <c r="M3005" s="21"/>
    </row>
    <row r="3006" spans="13:13" x14ac:dyDescent="0.25">
      <c r="M3006" s="21"/>
    </row>
    <row r="3007" spans="13:13" x14ac:dyDescent="0.25">
      <c r="M3007" s="21"/>
    </row>
    <row r="3008" spans="13:13" x14ac:dyDescent="0.25">
      <c r="M3008" s="21"/>
    </row>
    <row r="3009" spans="13:13" x14ac:dyDescent="0.25">
      <c r="M3009" s="21"/>
    </row>
    <row r="3010" spans="13:13" x14ac:dyDescent="0.25">
      <c r="M3010" s="21"/>
    </row>
    <row r="3011" spans="13:13" x14ac:dyDescent="0.25">
      <c r="M3011" s="21"/>
    </row>
    <row r="3012" spans="13:13" x14ac:dyDescent="0.25">
      <c r="M3012" s="21"/>
    </row>
    <row r="3013" spans="13:13" x14ac:dyDescent="0.25">
      <c r="M3013" s="21"/>
    </row>
    <row r="3014" spans="13:13" x14ac:dyDescent="0.25">
      <c r="M3014" s="21"/>
    </row>
    <row r="3015" spans="13:13" x14ac:dyDescent="0.25">
      <c r="M3015" s="21"/>
    </row>
    <row r="3016" spans="13:13" x14ac:dyDescent="0.25">
      <c r="M3016" s="21"/>
    </row>
    <row r="3017" spans="13:13" x14ac:dyDescent="0.25">
      <c r="M3017" s="21"/>
    </row>
    <row r="3018" spans="13:13" x14ac:dyDescent="0.25">
      <c r="M3018" s="21"/>
    </row>
    <row r="3019" spans="13:13" x14ac:dyDescent="0.25">
      <c r="M3019" s="21"/>
    </row>
    <row r="3020" spans="13:13" x14ac:dyDescent="0.25">
      <c r="M3020" s="21"/>
    </row>
    <row r="3021" spans="13:13" x14ac:dyDescent="0.25">
      <c r="M3021" s="21"/>
    </row>
    <row r="3022" spans="13:13" x14ac:dyDescent="0.25">
      <c r="M3022" s="21"/>
    </row>
    <row r="3023" spans="13:13" x14ac:dyDescent="0.25">
      <c r="M3023" s="21"/>
    </row>
    <row r="3024" spans="13:13" x14ac:dyDescent="0.25">
      <c r="M3024" s="21"/>
    </row>
    <row r="3025" spans="13:13" x14ac:dyDescent="0.25">
      <c r="M3025" s="21"/>
    </row>
    <row r="3026" spans="13:13" x14ac:dyDescent="0.25">
      <c r="M3026" s="21"/>
    </row>
    <row r="3027" spans="13:13" x14ac:dyDescent="0.25">
      <c r="M3027" s="21"/>
    </row>
    <row r="3028" spans="13:13" x14ac:dyDescent="0.25">
      <c r="M3028" s="21"/>
    </row>
    <row r="3029" spans="13:13" x14ac:dyDescent="0.25">
      <c r="M3029" s="21"/>
    </row>
    <row r="3030" spans="13:13" x14ac:dyDescent="0.25">
      <c r="M3030" s="21"/>
    </row>
    <row r="3031" spans="13:13" x14ac:dyDescent="0.25">
      <c r="M3031" s="21"/>
    </row>
    <row r="3032" spans="13:13" x14ac:dyDescent="0.25">
      <c r="M3032" s="21"/>
    </row>
    <row r="3033" spans="13:13" x14ac:dyDescent="0.25">
      <c r="M3033" s="21"/>
    </row>
    <row r="3034" spans="13:13" x14ac:dyDescent="0.25">
      <c r="M3034" s="21"/>
    </row>
    <row r="3035" spans="13:13" x14ac:dyDescent="0.25">
      <c r="M3035" s="21"/>
    </row>
    <row r="3036" spans="13:13" x14ac:dyDescent="0.25">
      <c r="M3036" s="21"/>
    </row>
    <row r="3037" spans="13:13" x14ac:dyDescent="0.25">
      <c r="M3037" s="21"/>
    </row>
    <row r="3038" spans="13:13" x14ac:dyDescent="0.25">
      <c r="M3038" s="21"/>
    </row>
    <row r="3039" spans="13:13" x14ac:dyDescent="0.25">
      <c r="M3039" s="21"/>
    </row>
    <row r="3040" spans="13:13" x14ac:dyDescent="0.25">
      <c r="M3040" s="21"/>
    </row>
    <row r="3041" spans="13:13" x14ac:dyDescent="0.25">
      <c r="M3041" s="21"/>
    </row>
    <row r="3042" spans="13:13" x14ac:dyDescent="0.25">
      <c r="M3042" s="21"/>
    </row>
    <row r="3043" spans="13:13" x14ac:dyDescent="0.25">
      <c r="M3043" s="21"/>
    </row>
    <row r="3044" spans="13:13" x14ac:dyDescent="0.25">
      <c r="M3044" s="21"/>
    </row>
    <row r="3045" spans="13:13" x14ac:dyDescent="0.25">
      <c r="M3045" s="21"/>
    </row>
    <row r="3046" spans="13:13" x14ac:dyDescent="0.25">
      <c r="M3046" s="21"/>
    </row>
    <row r="3047" spans="13:13" x14ac:dyDescent="0.25">
      <c r="M3047" s="21"/>
    </row>
    <row r="3048" spans="13:13" x14ac:dyDescent="0.25">
      <c r="M3048" s="21"/>
    </row>
    <row r="3049" spans="13:13" x14ac:dyDescent="0.25">
      <c r="M3049" s="21"/>
    </row>
    <row r="3050" spans="13:13" x14ac:dyDescent="0.25">
      <c r="M3050" s="21"/>
    </row>
    <row r="3051" spans="13:13" x14ac:dyDescent="0.25">
      <c r="M3051" s="21"/>
    </row>
    <row r="3052" spans="13:13" x14ac:dyDescent="0.25">
      <c r="M3052" s="21"/>
    </row>
    <row r="3053" spans="13:13" x14ac:dyDescent="0.25">
      <c r="M3053" s="21"/>
    </row>
    <row r="3054" spans="13:13" x14ac:dyDescent="0.25">
      <c r="M3054" s="21"/>
    </row>
    <row r="3055" spans="13:13" x14ac:dyDescent="0.25">
      <c r="M3055" s="21"/>
    </row>
    <row r="3056" spans="13:13" x14ac:dyDescent="0.25">
      <c r="M3056" s="21"/>
    </row>
    <row r="3057" spans="13:13" x14ac:dyDescent="0.25">
      <c r="M3057" s="21"/>
    </row>
    <row r="3058" spans="13:13" x14ac:dyDescent="0.25">
      <c r="M3058" s="21"/>
    </row>
    <row r="3059" spans="13:13" x14ac:dyDescent="0.25">
      <c r="M3059" s="21"/>
    </row>
    <row r="3060" spans="13:13" x14ac:dyDescent="0.25">
      <c r="M3060" s="21"/>
    </row>
    <row r="3061" spans="13:13" x14ac:dyDescent="0.25">
      <c r="M3061" s="21"/>
    </row>
    <row r="3062" spans="13:13" x14ac:dyDescent="0.25">
      <c r="M3062" s="21"/>
    </row>
    <row r="3063" spans="13:13" x14ac:dyDescent="0.25">
      <c r="M3063" s="21"/>
    </row>
    <row r="3064" spans="13:13" x14ac:dyDescent="0.25">
      <c r="M3064" s="21"/>
    </row>
    <row r="3065" spans="13:13" x14ac:dyDescent="0.25">
      <c r="M3065" s="21"/>
    </row>
    <row r="3066" spans="13:13" x14ac:dyDescent="0.25">
      <c r="M3066" s="21"/>
    </row>
    <row r="3067" spans="13:13" x14ac:dyDescent="0.25">
      <c r="M3067" s="21"/>
    </row>
    <row r="3068" spans="13:13" x14ac:dyDescent="0.25">
      <c r="M3068" s="21"/>
    </row>
    <row r="3069" spans="13:13" x14ac:dyDescent="0.25">
      <c r="M3069" s="21"/>
    </row>
    <row r="3070" spans="13:13" x14ac:dyDescent="0.25">
      <c r="M3070" s="21"/>
    </row>
    <row r="3071" spans="13:13" x14ac:dyDescent="0.25">
      <c r="M3071" s="21"/>
    </row>
    <row r="3072" spans="13:13" x14ac:dyDescent="0.25">
      <c r="M3072" s="21"/>
    </row>
    <row r="3073" spans="13:13" x14ac:dyDescent="0.25">
      <c r="M3073" s="21"/>
    </row>
    <row r="3074" spans="13:13" x14ac:dyDescent="0.25">
      <c r="M3074" s="21"/>
    </row>
    <row r="3075" spans="13:13" x14ac:dyDescent="0.25">
      <c r="M3075" s="21"/>
    </row>
    <row r="3076" spans="13:13" x14ac:dyDescent="0.25">
      <c r="M3076" s="21"/>
    </row>
    <row r="3077" spans="13:13" x14ac:dyDescent="0.25">
      <c r="M3077" s="21"/>
    </row>
    <row r="3078" spans="13:13" x14ac:dyDescent="0.25">
      <c r="M3078" s="21"/>
    </row>
    <row r="3079" spans="13:13" x14ac:dyDescent="0.25">
      <c r="M3079" s="21"/>
    </row>
    <row r="3080" spans="13:13" x14ac:dyDescent="0.25">
      <c r="M3080" s="21"/>
    </row>
    <row r="3081" spans="13:13" x14ac:dyDescent="0.25">
      <c r="M3081" s="21"/>
    </row>
    <row r="3082" spans="13:13" x14ac:dyDescent="0.25">
      <c r="M3082" s="21"/>
    </row>
    <row r="3083" spans="13:13" x14ac:dyDescent="0.25">
      <c r="M3083" s="21"/>
    </row>
    <row r="3084" spans="13:13" x14ac:dyDescent="0.25">
      <c r="M3084" s="21"/>
    </row>
    <row r="3085" spans="13:13" x14ac:dyDescent="0.25">
      <c r="M3085" s="21"/>
    </row>
    <row r="3086" spans="13:13" x14ac:dyDescent="0.25">
      <c r="M3086" s="21"/>
    </row>
    <row r="3087" spans="13:13" x14ac:dyDescent="0.25">
      <c r="M3087" s="21"/>
    </row>
    <row r="3088" spans="13:13" x14ac:dyDescent="0.25">
      <c r="M3088" s="21"/>
    </row>
    <row r="3089" spans="13:13" x14ac:dyDescent="0.25">
      <c r="M3089" s="21"/>
    </row>
    <row r="3090" spans="13:13" x14ac:dyDescent="0.25">
      <c r="M3090" s="21"/>
    </row>
    <row r="3091" spans="13:13" x14ac:dyDescent="0.25">
      <c r="M3091" s="21"/>
    </row>
    <row r="3092" spans="13:13" x14ac:dyDescent="0.25">
      <c r="M3092" s="21"/>
    </row>
    <row r="3093" spans="13:13" x14ac:dyDescent="0.25">
      <c r="M3093" s="21"/>
    </row>
    <row r="3094" spans="13:13" x14ac:dyDescent="0.25">
      <c r="M3094" s="21"/>
    </row>
    <row r="3095" spans="13:13" x14ac:dyDescent="0.25">
      <c r="M3095" s="21"/>
    </row>
    <row r="3096" spans="13:13" x14ac:dyDescent="0.25">
      <c r="M3096" s="21"/>
    </row>
    <row r="3097" spans="13:13" x14ac:dyDescent="0.25">
      <c r="M3097" s="21"/>
    </row>
    <row r="3098" spans="13:13" x14ac:dyDescent="0.25">
      <c r="M3098" s="21"/>
    </row>
    <row r="3099" spans="13:13" x14ac:dyDescent="0.25">
      <c r="M3099" s="21"/>
    </row>
    <row r="3100" spans="13:13" x14ac:dyDescent="0.25">
      <c r="M3100" s="21"/>
    </row>
    <row r="3101" spans="13:13" x14ac:dyDescent="0.25">
      <c r="M3101" s="21"/>
    </row>
    <row r="3102" spans="13:13" x14ac:dyDescent="0.25">
      <c r="M3102" s="21"/>
    </row>
    <row r="3103" spans="13:13" x14ac:dyDescent="0.25">
      <c r="M3103" s="21"/>
    </row>
    <row r="3104" spans="13:13" x14ac:dyDescent="0.25">
      <c r="M3104" s="21"/>
    </row>
    <row r="3105" spans="13:13" x14ac:dyDescent="0.25">
      <c r="M3105" s="21"/>
    </row>
    <row r="3106" spans="13:13" x14ac:dyDescent="0.25">
      <c r="M3106" s="21"/>
    </row>
    <row r="3107" spans="13:13" x14ac:dyDescent="0.25">
      <c r="M3107" s="21"/>
    </row>
    <row r="3108" spans="13:13" x14ac:dyDescent="0.25">
      <c r="M3108" s="21"/>
    </row>
    <row r="3109" spans="13:13" x14ac:dyDescent="0.25">
      <c r="M3109" s="21"/>
    </row>
    <row r="3110" spans="13:13" x14ac:dyDescent="0.25">
      <c r="M3110" s="21"/>
    </row>
    <row r="3111" spans="13:13" x14ac:dyDescent="0.25">
      <c r="M3111" s="21"/>
    </row>
    <row r="3112" spans="13:13" x14ac:dyDescent="0.25">
      <c r="M3112" s="21"/>
    </row>
    <row r="3113" spans="13:13" x14ac:dyDescent="0.25">
      <c r="M3113" s="21"/>
    </row>
    <row r="3114" spans="13:13" x14ac:dyDescent="0.25">
      <c r="M3114" s="21"/>
    </row>
    <row r="3115" spans="13:13" x14ac:dyDescent="0.25">
      <c r="M3115" s="21"/>
    </row>
    <row r="3116" spans="13:13" x14ac:dyDescent="0.25">
      <c r="M3116" s="21"/>
    </row>
    <row r="3117" spans="13:13" x14ac:dyDescent="0.25">
      <c r="M3117" s="21"/>
    </row>
    <row r="3118" spans="13:13" x14ac:dyDescent="0.25">
      <c r="M3118" s="21"/>
    </row>
    <row r="3119" spans="13:13" x14ac:dyDescent="0.25">
      <c r="M3119" s="21"/>
    </row>
    <row r="3120" spans="13:13" x14ac:dyDescent="0.25">
      <c r="M3120" s="21"/>
    </row>
    <row r="3121" spans="13:13" x14ac:dyDescent="0.25">
      <c r="M3121" s="21"/>
    </row>
    <row r="3122" spans="13:13" x14ac:dyDescent="0.25">
      <c r="M3122" s="21"/>
    </row>
    <row r="3123" spans="13:13" x14ac:dyDescent="0.25">
      <c r="M3123" s="21"/>
    </row>
    <row r="3124" spans="13:13" x14ac:dyDescent="0.25">
      <c r="M3124" s="21"/>
    </row>
    <row r="3125" spans="13:13" x14ac:dyDescent="0.25">
      <c r="M3125" s="21"/>
    </row>
    <row r="3126" spans="13:13" x14ac:dyDescent="0.25">
      <c r="M3126" s="21"/>
    </row>
    <row r="3127" spans="13:13" x14ac:dyDescent="0.25">
      <c r="M3127" s="21"/>
    </row>
    <row r="3128" spans="13:13" x14ac:dyDescent="0.25">
      <c r="M3128" s="21"/>
    </row>
    <row r="3129" spans="13:13" x14ac:dyDescent="0.25">
      <c r="M3129" s="21"/>
    </row>
    <row r="3130" spans="13:13" x14ac:dyDescent="0.25">
      <c r="M3130" s="21"/>
    </row>
    <row r="3131" spans="13:13" x14ac:dyDescent="0.25">
      <c r="M3131" s="21"/>
    </row>
    <row r="3132" spans="13:13" x14ac:dyDescent="0.25">
      <c r="M3132" s="21"/>
    </row>
    <row r="3133" spans="13:13" x14ac:dyDescent="0.25">
      <c r="M3133" s="21"/>
    </row>
    <row r="3134" spans="13:13" x14ac:dyDescent="0.25">
      <c r="M3134" s="21"/>
    </row>
    <row r="3135" spans="13:13" x14ac:dyDescent="0.25">
      <c r="M3135" s="21"/>
    </row>
    <row r="3136" spans="13:13" x14ac:dyDescent="0.25">
      <c r="M3136" s="21"/>
    </row>
    <row r="3137" spans="13:13" x14ac:dyDescent="0.25">
      <c r="M3137" s="21"/>
    </row>
    <row r="3138" spans="13:13" x14ac:dyDescent="0.25">
      <c r="M3138" s="21"/>
    </row>
    <row r="3139" spans="13:13" x14ac:dyDescent="0.25">
      <c r="M3139" s="21"/>
    </row>
    <row r="3140" spans="13:13" x14ac:dyDescent="0.25">
      <c r="M3140" s="21"/>
    </row>
    <row r="3141" spans="13:13" x14ac:dyDescent="0.25">
      <c r="M3141" s="21"/>
    </row>
    <row r="3142" spans="13:13" x14ac:dyDescent="0.25">
      <c r="M3142" s="21"/>
    </row>
    <row r="3143" spans="13:13" x14ac:dyDescent="0.25">
      <c r="M3143" s="21"/>
    </row>
    <row r="3144" spans="13:13" x14ac:dyDescent="0.25">
      <c r="M3144" s="21"/>
    </row>
    <row r="3145" spans="13:13" x14ac:dyDescent="0.25">
      <c r="M3145" s="21"/>
    </row>
    <row r="3146" spans="13:13" x14ac:dyDescent="0.25">
      <c r="M3146" s="21"/>
    </row>
    <row r="3147" spans="13:13" x14ac:dyDescent="0.25">
      <c r="M3147" s="21"/>
    </row>
    <row r="3148" spans="13:13" x14ac:dyDescent="0.25">
      <c r="M3148" s="21"/>
    </row>
    <row r="3149" spans="13:13" x14ac:dyDescent="0.25">
      <c r="M3149" s="21"/>
    </row>
    <row r="3150" spans="13:13" x14ac:dyDescent="0.25">
      <c r="M3150" s="21"/>
    </row>
    <row r="3151" spans="13:13" x14ac:dyDescent="0.25">
      <c r="M3151" s="21"/>
    </row>
    <row r="3152" spans="13:13" x14ac:dyDescent="0.25">
      <c r="M3152" s="21"/>
    </row>
    <row r="3153" spans="13:13" x14ac:dyDescent="0.25">
      <c r="M3153" s="21"/>
    </row>
    <row r="3154" spans="13:13" x14ac:dyDescent="0.25">
      <c r="M3154" s="21"/>
    </row>
    <row r="3155" spans="13:13" x14ac:dyDescent="0.25">
      <c r="M3155" s="21"/>
    </row>
    <row r="3156" spans="13:13" x14ac:dyDescent="0.25">
      <c r="M3156" s="21"/>
    </row>
    <row r="3157" spans="13:13" x14ac:dyDescent="0.25">
      <c r="M3157" s="21"/>
    </row>
    <row r="3158" spans="13:13" x14ac:dyDescent="0.25">
      <c r="M3158" s="21"/>
    </row>
    <row r="3159" spans="13:13" x14ac:dyDescent="0.25">
      <c r="M3159" s="21"/>
    </row>
    <row r="3160" spans="13:13" x14ac:dyDescent="0.25">
      <c r="M3160" s="21"/>
    </row>
    <row r="3161" spans="13:13" x14ac:dyDescent="0.25">
      <c r="M3161" s="21"/>
    </row>
    <row r="3162" spans="13:13" x14ac:dyDescent="0.25">
      <c r="M3162" s="21"/>
    </row>
    <row r="3163" spans="13:13" x14ac:dyDescent="0.25">
      <c r="M3163" s="21"/>
    </row>
    <row r="3164" spans="13:13" x14ac:dyDescent="0.25">
      <c r="M3164" s="21"/>
    </row>
    <row r="3165" spans="13:13" x14ac:dyDescent="0.25">
      <c r="M3165" s="21"/>
    </row>
    <row r="3166" spans="13:13" x14ac:dyDescent="0.25">
      <c r="M3166" s="21"/>
    </row>
    <row r="3167" spans="13:13" x14ac:dyDescent="0.25">
      <c r="M3167" s="21"/>
    </row>
    <row r="3168" spans="13:13" x14ac:dyDescent="0.25">
      <c r="M3168" s="21"/>
    </row>
    <row r="3169" spans="13:13" x14ac:dyDescent="0.25">
      <c r="M3169" s="21"/>
    </row>
    <row r="3170" spans="13:13" x14ac:dyDescent="0.25">
      <c r="M3170" s="21"/>
    </row>
    <row r="3171" spans="13:13" x14ac:dyDescent="0.25">
      <c r="M3171" s="21"/>
    </row>
    <row r="3172" spans="13:13" x14ac:dyDescent="0.25">
      <c r="M3172" s="21"/>
    </row>
    <row r="3173" spans="13:13" x14ac:dyDescent="0.25">
      <c r="M3173" s="21"/>
    </row>
    <row r="3174" spans="13:13" x14ac:dyDescent="0.25">
      <c r="M3174" s="21"/>
    </row>
    <row r="3175" spans="13:13" x14ac:dyDescent="0.25">
      <c r="M3175" s="21"/>
    </row>
    <row r="3176" spans="13:13" x14ac:dyDescent="0.25">
      <c r="M3176" s="21"/>
    </row>
    <row r="3177" spans="13:13" x14ac:dyDescent="0.25">
      <c r="M3177" s="21"/>
    </row>
    <row r="3178" spans="13:13" x14ac:dyDescent="0.25">
      <c r="M3178" s="21"/>
    </row>
    <row r="3179" spans="13:13" x14ac:dyDescent="0.25">
      <c r="M3179" s="21"/>
    </row>
    <row r="3180" spans="13:13" x14ac:dyDescent="0.25">
      <c r="M3180" s="21"/>
    </row>
    <row r="3181" spans="13:13" x14ac:dyDescent="0.25">
      <c r="M3181" s="21"/>
    </row>
    <row r="3182" spans="13:13" x14ac:dyDescent="0.25">
      <c r="M3182" s="21"/>
    </row>
    <row r="3183" spans="13:13" x14ac:dyDescent="0.25">
      <c r="M3183" s="21"/>
    </row>
    <row r="3184" spans="13:13" x14ac:dyDescent="0.25">
      <c r="M3184" s="21"/>
    </row>
    <row r="3185" spans="13:13" x14ac:dyDescent="0.25">
      <c r="M3185" s="21"/>
    </row>
    <row r="3186" spans="13:13" x14ac:dyDescent="0.25">
      <c r="M3186" s="21"/>
    </row>
    <row r="3187" spans="13:13" x14ac:dyDescent="0.25">
      <c r="M3187" s="21"/>
    </row>
    <row r="3188" spans="13:13" x14ac:dyDescent="0.25">
      <c r="M3188" s="21"/>
    </row>
    <row r="3189" spans="13:13" x14ac:dyDescent="0.25">
      <c r="M3189" s="21"/>
    </row>
    <row r="3190" spans="13:13" x14ac:dyDescent="0.25">
      <c r="M3190" s="21"/>
    </row>
    <row r="3191" spans="13:13" x14ac:dyDescent="0.25">
      <c r="M3191" s="21"/>
    </row>
    <row r="3192" spans="13:13" x14ac:dyDescent="0.25">
      <c r="M3192" s="21"/>
    </row>
    <row r="3193" spans="13:13" x14ac:dyDescent="0.25">
      <c r="M3193" s="21"/>
    </row>
    <row r="3194" spans="13:13" x14ac:dyDescent="0.25">
      <c r="M3194" s="21"/>
    </row>
    <row r="3195" spans="13:13" x14ac:dyDescent="0.25">
      <c r="M3195" s="21"/>
    </row>
    <row r="3196" spans="13:13" x14ac:dyDescent="0.25">
      <c r="M3196" s="21"/>
    </row>
    <row r="3197" spans="13:13" x14ac:dyDescent="0.25">
      <c r="M3197" s="21"/>
    </row>
    <row r="3198" spans="13:13" x14ac:dyDescent="0.25">
      <c r="M3198" s="21"/>
    </row>
    <row r="3199" spans="13:13" x14ac:dyDescent="0.25">
      <c r="M3199" s="21"/>
    </row>
    <row r="3200" spans="13:13" x14ac:dyDescent="0.25">
      <c r="M3200" s="21"/>
    </row>
    <row r="3201" spans="13:13" x14ac:dyDescent="0.25">
      <c r="M3201" s="21"/>
    </row>
    <row r="3202" spans="13:13" x14ac:dyDescent="0.25">
      <c r="M3202" s="21"/>
    </row>
    <row r="3203" spans="13:13" x14ac:dyDescent="0.25">
      <c r="M3203" s="21"/>
    </row>
    <row r="3204" spans="13:13" x14ac:dyDescent="0.25">
      <c r="M3204" s="21"/>
    </row>
    <row r="3205" spans="13:13" x14ac:dyDescent="0.25">
      <c r="M3205" s="21"/>
    </row>
    <row r="3206" spans="13:13" x14ac:dyDescent="0.25">
      <c r="M3206" s="21"/>
    </row>
    <row r="3207" spans="13:13" x14ac:dyDescent="0.25">
      <c r="M3207" s="21"/>
    </row>
    <row r="3208" spans="13:13" x14ac:dyDescent="0.25">
      <c r="M3208" s="21"/>
    </row>
    <row r="3209" spans="13:13" x14ac:dyDescent="0.25">
      <c r="M3209" s="21"/>
    </row>
    <row r="3210" spans="13:13" x14ac:dyDescent="0.25">
      <c r="M3210" s="21"/>
    </row>
    <row r="3211" spans="13:13" x14ac:dyDescent="0.25">
      <c r="M3211" s="21"/>
    </row>
    <row r="3212" spans="13:13" x14ac:dyDescent="0.25">
      <c r="M3212" s="21"/>
    </row>
    <row r="3213" spans="13:13" x14ac:dyDescent="0.25">
      <c r="M3213" s="21"/>
    </row>
    <row r="3214" spans="13:13" x14ac:dyDescent="0.25">
      <c r="M3214" s="21"/>
    </row>
    <row r="3215" spans="13:13" x14ac:dyDescent="0.25">
      <c r="M3215" s="21"/>
    </row>
    <row r="3216" spans="13:13" x14ac:dyDescent="0.25">
      <c r="M3216" s="21"/>
    </row>
    <row r="3217" spans="13:13" x14ac:dyDescent="0.25">
      <c r="M3217" s="21"/>
    </row>
    <row r="3218" spans="13:13" x14ac:dyDescent="0.25">
      <c r="M3218" s="21"/>
    </row>
    <row r="3219" spans="13:13" x14ac:dyDescent="0.25">
      <c r="M3219" s="21"/>
    </row>
    <row r="3220" spans="13:13" x14ac:dyDescent="0.25">
      <c r="M3220" s="21"/>
    </row>
    <row r="3221" spans="13:13" x14ac:dyDescent="0.25">
      <c r="M3221" s="21"/>
    </row>
    <row r="3222" spans="13:13" x14ac:dyDescent="0.25">
      <c r="M3222" s="21"/>
    </row>
    <row r="3223" spans="13:13" x14ac:dyDescent="0.25">
      <c r="M3223" s="21"/>
    </row>
    <row r="3224" spans="13:13" x14ac:dyDescent="0.25">
      <c r="M3224" s="21"/>
    </row>
    <row r="3225" spans="13:13" x14ac:dyDescent="0.25">
      <c r="M3225" s="21"/>
    </row>
    <row r="3226" spans="13:13" x14ac:dyDescent="0.25">
      <c r="M3226" s="21"/>
    </row>
    <row r="3227" spans="13:13" x14ac:dyDescent="0.25">
      <c r="M3227" s="21"/>
    </row>
    <row r="3228" spans="13:13" x14ac:dyDescent="0.25">
      <c r="M3228" s="21"/>
    </row>
    <row r="3229" spans="13:13" x14ac:dyDescent="0.25">
      <c r="M3229" s="21"/>
    </row>
    <row r="3230" spans="13:13" x14ac:dyDescent="0.25">
      <c r="M3230" s="21"/>
    </row>
    <row r="3231" spans="13:13" x14ac:dyDescent="0.25">
      <c r="M3231" s="21"/>
    </row>
    <row r="3232" spans="13:13" x14ac:dyDescent="0.25">
      <c r="M3232" s="21"/>
    </row>
    <row r="3233" spans="13:13" x14ac:dyDescent="0.25">
      <c r="M3233" s="21"/>
    </row>
    <row r="3234" spans="13:13" x14ac:dyDescent="0.25">
      <c r="M3234" s="21"/>
    </row>
    <row r="3235" spans="13:13" x14ac:dyDescent="0.25">
      <c r="M3235" s="21"/>
    </row>
    <row r="3236" spans="13:13" x14ac:dyDescent="0.25">
      <c r="M3236" s="21"/>
    </row>
    <row r="3237" spans="13:13" x14ac:dyDescent="0.25">
      <c r="M3237" s="21"/>
    </row>
    <row r="3238" spans="13:13" x14ac:dyDescent="0.25">
      <c r="M3238" s="21"/>
    </row>
    <row r="3239" spans="13:13" x14ac:dyDescent="0.25">
      <c r="M3239" s="21"/>
    </row>
    <row r="3240" spans="13:13" x14ac:dyDescent="0.25">
      <c r="M3240" s="21"/>
    </row>
    <row r="3241" spans="13:13" x14ac:dyDescent="0.25">
      <c r="M3241" s="21"/>
    </row>
    <row r="3242" spans="13:13" x14ac:dyDescent="0.25">
      <c r="M3242" s="21"/>
    </row>
    <row r="3243" spans="13:13" x14ac:dyDescent="0.25">
      <c r="M3243" s="21"/>
    </row>
    <row r="3244" spans="13:13" x14ac:dyDescent="0.25">
      <c r="M3244" s="21"/>
    </row>
    <row r="3245" spans="13:13" x14ac:dyDescent="0.25">
      <c r="M3245" s="21"/>
    </row>
    <row r="3246" spans="13:13" x14ac:dyDescent="0.25">
      <c r="M3246" s="21"/>
    </row>
    <row r="3247" spans="13:13" x14ac:dyDescent="0.25">
      <c r="M3247" s="21"/>
    </row>
    <row r="3248" spans="13:13" x14ac:dyDescent="0.25">
      <c r="M3248" s="21"/>
    </row>
    <row r="3249" spans="13:13" x14ac:dyDescent="0.25">
      <c r="M3249" s="21"/>
    </row>
    <row r="3250" spans="13:13" x14ac:dyDescent="0.25">
      <c r="M3250" s="21"/>
    </row>
    <row r="3251" spans="13:13" x14ac:dyDescent="0.25">
      <c r="M3251" s="21"/>
    </row>
    <row r="3252" spans="13:13" x14ac:dyDescent="0.25">
      <c r="M3252" s="21"/>
    </row>
    <row r="3253" spans="13:13" x14ac:dyDescent="0.25">
      <c r="M3253" s="21"/>
    </row>
    <row r="3254" spans="13:13" x14ac:dyDescent="0.25">
      <c r="M3254" s="21"/>
    </row>
    <row r="3255" spans="13:13" x14ac:dyDescent="0.25">
      <c r="M3255" s="21"/>
    </row>
    <row r="3256" spans="13:13" x14ac:dyDescent="0.25">
      <c r="M3256" s="21"/>
    </row>
    <row r="3257" spans="13:13" x14ac:dyDescent="0.25">
      <c r="M3257" s="21"/>
    </row>
    <row r="3258" spans="13:13" x14ac:dyDescent="0.25">
      <c r="M3258" s="21"/>
    </row>
    <row r="3259" spans="13:13" x14ac:dyDescent="0.25">
      <c r="M3259" s="21"/>
    </row>
    <row r="3260" spans="13:13" x14ac:dyDescent="0.25">
      <c r="M3260" s="21"/>
    </row>
    <row r="3261" spans="13:13" x14ac:dyDescent="0.25">
      <c r="M3261" s="21"/>
    </row>
    <row r="3262" spans="13:13" x14ac:dyDescent="0.25">
      <c r="M3262" s="21"/>
    </row>
    <row r="3263" spans="13:13" x14ac:dyDescent="0.25">
      <c r="M3263" s="21"/>
    </row>
    <row r="3264" spans="13:13" x14ac:dyDescent="0.25">
      <c r="M3264" s="21"/>
    </row>
    <row r="3265" spans="13:13" x14ac:dyDescent="0.25">
      <c r="M3265" s="21"/>
    </row>
    <row r="3266" spans="13:13" x14ac:dyDescent="0.25">
      <c r="M3266" s="21"/>
    </row>
    <row r="3267" spans="13:13" x14ac:dyDescent="0.25">
      <c r="M3267" s="21"/>
    </row>
    <row r="3268" spans="13:13" x14ac:dyDescent="0.25">
      <c r="M3268" s="21"/>
    </row>
    <row r="3269" spans="13:13" x14ac:dyDescent="0.25">
      <c r="M3269" s="21"/>
    </row>
    <row r="3270" spans="13:13" x14ac:dyDescent="0.25">
      <c r="M3270" s="21"/>
    </row>
    <row r="3271" spans="13:13" x14ac:dyDescent="0.25">
      <c r="M3271" s="21"/>
    </row>
    <row r="3272" spans="13:13" x14ac:dyDescent="0.25">
      <c r="M3272" s="21"/>
    </row>
    <row r="3273" spans="13:13" x14ac:dyDescent="0.25">
      <c r="M3273" s="21"/>
    </row>
    <row r="3274" spans="13:13" x14ac:dyDescent="0.25">
      <c r="M3274" s="21"/>
    </row>
    <row r="3275" spans="13:13" x14ac:dyDescent="0.25">
      <c r="M3275" s="21"/>
    </row>
    <row r="3276" spans="13:13" x14ac:dyDescent="0.25">
      <c r="M3276" s="21"/>
    </row>
    <row r="3277" spans="13:13" x14ac:dyDescent="0.25">
      <c r="M3277" s="21"/>
    </row>
    <row r="3278" spans="13:13" x14ac:dyDescent="0.25">
      <c r="M3278" s="21"/>
    </row>
    <row r="3279" spans="13:13" x14ac:dyDescent="0.25">
      <c r="M3279" s="21"/>
    </row>
    <row r="3280" spans="13:13" x14ac:dyDescent="0.25">
      <c r="M3280" s="21"/>
    </row>
    <row r="3281" spans="13:13" x14ac:dyDescent="0.25">
      <c r="M3281" s="21"/>
    </row>
    <row r="3282" spans="13:13" x14ac:dyDescent="0.25">
      <c r="M3282" s="21"/>
    </row>
    <row r="3283" spans="13:13" x14ac:dyDescent="0.25">
      <c r="M3283" s="21"/>
    </row>
    <row r="3284" spans="13:13" x14ac:dyDescent="0.25">
      <c r="M3284" s="21"/>
    </row>
    <row r="3285" spans="13:13" x14ac:dyDescent="0.25">
      <c r="M3285" s="21"/>
    </row>
    <row r="3286" spans="13:13" x14ac:dyDescent="0.25">
      <c r="M3286" s="21"/>
    </row>
    <row r="3287" spans="13:13" x14ac:dyDescent="0.25">
      <c r="M3287" s="21"/>
    </row>
    <row r="3288" spans="13:13" x14ac:dyDescent="0.25">
      <c r="M3288" s="21"/>
    </row>
    <row r="3289" spans="13:13" x14ac:dyDescent="0.25">
      <c r="M3289" s="21"/>
    </row>
    <row r="3290" spans="13:13" x14ac:dyDescent="0.25">
      <c r="M3290" s="21"/>
    </row>
    <row r="3291" spans="13:13" x14ac:dyDescent="0.25">
      <c r="M3291" s="21"/>
    </row>
    <row r="3292" spans="13:13" x14ac:dyDescent="0.25">
      <c r="M3292" s="21"/>
    </row>
    <row r="3293" spans="13:13" x14ac:dyDescent="0.25">
      <c r="M3293" s="21"/>
    </row>
    <row r="3294" spans="13:13" x14ac:dyDescent="0.25">
      <c r="M3294" s="21"/>
    </row>
    <row r="3295" spans="13:13" x14ac:dyDescent="0.25">
      <c r="M3295" s="21"/>
    </row>
    <row r="3296" spans="13:13" x14ac:dyDescent="0.25">
      <c r="M3296" s="21"/>
    </row>
    <row r="3297" spans="13:13" x14ac:dyDescent="0.25">
      <c r="M3297" s="21"/>
    </row>
    <row r="3298" spans="13:13" x14ac:dyDescent="0.25">
      <c r="M3298" s="21"/>
    </row>
    <row r="3299" spans="13:13" x14ac:dyDescent="0.25">
      <c r="M3299" s="21"/>
    </row>
    <row r="3300" spans="13:13" x14ac:dyDescent="0.25">
      <c r="M3300" s="21"/>
    </row>
    <row r="3301" spans="13:13" x14ac:dyDescent="0.25">
      <c r="M3301" s="21"/>
    </row>
    <row r="3302" spans="13:13" x14ac:dyDescent="0.25">
      <c r="M3302" s="21"/>
    </row>
    <row r="3303" spans="13:13" x14ac:dyDescent="0.25">
      <c r="M3303" s="21"/>
    </row>
    <row r="3304" spans="13:13" x14ac:dyDescent="0.25">
      <c r="M3304" s="21"/>
    </row>
    <row r="3305" spans="13:13" x14ac:dyDescent="0.25">
      <c r="M3305" s="21"/>
    </row>
    <row r="3306" spans="13:13" x14ac:dyDescent="0.25">
      <c r="M3306" s="21"/>
    </row>
    <row r="3307" spans="13:13" x14ac:dyDescent="0.25">
      <c r="M3307" s="21"/>
    </row>
    <row r="3308" spans="13:13" x14ac:dyDescent="0.25">
      <c r="M3308" s="21"/>
    </row>
    <row r="3309" spans="13:13" x14ac:dyDescent="0.25">
      <c r="M3309" s="21"/>
    </row>
    <row r="3310" spans="13:13" x14ac:dyDescent="0.25">
      <c r="M3310" s="21"/>
    </row>
    <row r="3311" spans="13:13" x14ac:dyDescent="0.25">
      <c r="M3311" s="21"/>
    </row>
    <row r="3312" spans="13:13" x14ac:dyDescent="0.25">
      <c r="M3312" s="21"/>
    </row>
    <row r="3313" spans="13:13" x14ac:dyDescent="0.25">
      <c r="M3313" s="21"/>
    </row>
    <row r="3314" spans="13:13" x14ac:dyDescent="0.25">
      <c r="M3314" s="21"/>
    </row>
    <row r="3315" spans="13:13" x14ac:dyDescent="0.25">
      <c r="M3315" s="21"/>
    </row>
    <row r="3316" spans="13:13" x14ac:dyDescent="0.25">
      <c r="M3316" s="21"/>
    </row>
    <row r="3317" spans="13:13" x14ac:dyDescent="0.25">
      <c r="M3317" s="21"/>
    </row>
    <row r="3318" spans="13:13" x14ac:dyDescent="0.25">
      <c r="M3318" s="21"/>
    </row>
    <row r="3319" spans="13:13" x14ac:dyDescent="0.25">
      <c r="M3319" s="21"/>
    </row>
    <row r="3320" spans="13:13" x14ac:dyDescent="0.25">
      <c r="M3320" s="21"/>
    </row>
    <row r="3321" spans="13:13" x14ac:dyDescent="0.25">
      <c r="M3321" s="21"/>
    </row>
    <row r="3322" spans="13:13" x14ac:dyDescent="0.25">
      <c r="M3322" s="21"/>
    </row>
    <row r="3323" spans="13:13" x14ac:dyDescent="0.25">
      <c r="M3323" s="21"/>
    </row>
    <row r="3324" spans="13:13" x14ac:dyDescent="0.25">
      <c r="M3324" s="21"/>
    </row>
    <row r="3325" spans="13:13" x14ac:dyDescent="0.25">
      <c r="M3325" s="21"/>
    </row>
    <row r="3326" spans="13:13" x14ac:dyDescent="0.25">
      <c r="M3326" s="21"/>
    </row>
    <row r="3327" spans="13:13" x14ac:dyDescent="0.25">
      <c r="M3327" s="21"/>
    </row>
    <row r="3328" spans="13:13" x14ac:dyDescent="0.25">
      <c r="M3328" s="21"/>
    </row>
    <row r="3329" spans="13:13" x14ac:dyDescent="0.25">
      <c r="M3329" s="21"/>
    </row>
    <row r="3330" spans="13:13" x14ac:dyDescent="0.25">
      <c r="M3330" s="21"/>
    </row>
    <row r="3331" spans="13:13" x14ac:dyDescent="0.25">
      <c r="M3331" s="21"/>
    </row>
    <row r="3332" spans="13:13" x14ac:dyDescent="0.25">
      <c r="M3332" s="21"/>
    </row>
    <row r="3333" spans="13:13" x14ac:dyDescent="0.25">
      <c r="M3333" s="21"/>
    </row>
    <row r="3334" spans="13:13" x14ac:dyDescent="0.25">
      <c r="M3334" s="21"/>
    </row>
    <row r="3335" spans="13:13" x14ac:dyDescent="0.25">
      <c r="M3335" s="21"/>
    </row>
    <row r="3336" spans="13:13" x14ac:dyDescent="0.25">
      <c r="M3336" s="21"/>
    </row>
    <row r="3337" spans="13:13" x14ac:dyDescent="0.25">
      <c r="M3337" s="21"/>
    </row>
    <row r="3338" spans="13:13" x14ac:dyDescent="0.25">
      <c r="M3338" s="21"/>
    </row>
    <row r="3339" spans="13:13" x14ac:dyDescent="0.25">
      <c r="M3339" s="21"/>
    </row>
    <row r="3340" spans="13:13" x14ac:dyDescent="0.25">
      <c r="M3340" s="21"/>
    </row>
    <row r="3341" spans="13:13" x14ac:dyDescent="0.25">
      <c r="M3341" s="21"/>
    </row>
    <row r="3342" spans="13:13" x14ac:dyDescent="0.25">
      <c r="M3342" s="21"/>
    </row>
    <row r="3343" spans="13:13" x14ac:dyDescent="0.25">
      <c r="M3343" s="21"/>
    </row>
    <row r="3344" spans="13:13" x14ac:dyDescent="0.25">
      <c r="M3344" s="21"/>
    </row>
    <row r="3345" spans="13:13" x14ac:dyDescent="0.25">
      <c r="M3345" s="21"/>
    </row>
    <row r="3346" spans="13:13" x14ac:dyDescent="0.25">
      <c r="M3346" s="21"/>
    </row>
    <row r="3347" spans="13:13" x14ac:dyDescent="0.25">
      <c r="M3347" s="21"/>
    </row>
    <row r="3348" spans="13:13" x14ac:dyDescent="0.25">
      <c r="M3348" s="21"/>
    </row>
    <row r="3349" spans="13:13" x14ac:dyDescent="0.25">
      <c r="M3349" s="21"/>
    </row>
    <row r="3350" spans="13:13" x14ac:dyDescent="0.25">
      <c r="M3350" s="21"/>
    </row>
    <row r="3351" spans="13:13" x14ac:dyDescent="0.25">
      <c r="M3351" s="21"/>
    </row>
    <row r="3352" spans="13:13" x14ac:dyDescent="0.25">
      <c r="M3352" s="21"/>
    </row>
    <row r="3353" spans="13:13" x14ac:dyDescent="0.25">
      <c r="M3353" s="21"/>
    </row>
    <row r="3354" spans="13:13" x14ac:dyDescent="0.25">
      <c r="M3354" s="21"/>
    </row>
    <row r="3355" spans="13:13" x14ac:dyDescent="0.25">
      <c r="M3355" s="21"/>
    </row>
    <row r="3356" spans="13:13" x14ac:dyDescent="0.25">
      <c r="M3356" s="21"/>
    </row>
    <row r="3357" spans="13:13" x14ac:dyDescent="0.25">
      <c r="M3357" s="21"/>
    </row>
    <row r="3358" spans="13:13" x14ac:dyDescent="0.25">
      <c r="M3358" s="21"/>
    </row>
    <row r="3359" spans="13:13" x14ac:dyDescent="0.25">
      <c r="M3359" s="21"/>
    </row>
    <row r="3360" spans="13:13" x14ac:dyDescent="0.25">
      <c r="M3360" s="21"/>
    </row>
    <row r="3361" spans="13:13" x14ac:dyDescent="0.25">
      <c r="M3361" s="21"/>
    </row>
    <row r="3362" spans="13:13" x14ac:dyDescent="0.25">
      <c r="M3362" s="21"/>
    </row>
    <row r="3363" spans="13:13" x14ac:dyDescent="0.25">
      <c r="M3363" s="21"/>
    </row>
    <row r="3364" spans="13:13" x14ac:dyDescent="0.25">
      <c r="M3364" s="21"/>
    </row>
    <row r="3365" spans="13:13" x14ac:dyDescent="0.25">
      <c r="M3365" s="21"/>
    </row>
    <row r="3366" spans="13:13" x14ac:dyDescent="0.25">
      <c r="M3366" s="21"/>
    </row>
    <row r="3367" spans="13:13" x14ac:dyDescent="0.25">
      <c r="M3367" s="21"/>
    </row>
    <row r="3368" spans="13:13" x14ac:dyDescent="0.25">
      <c r="M3368" s="21"/>
    </row>
    <row r="3369" spans="13:13" x14ac:dyDescent="0.25">
      <c r="M3369" s="21"/>
    </row>
    <row r="3370" spans="13:13" x14ac:dyDescent="0.25">
      <c r="M3370" s="21"/>
    </row>
    <row r="3371" spans="13:13" x14ac:dyDescent="0.25">
      <c r="M3371" s="21"/>
    </row>
    <row r="3372" spans="13:13" x14ac:dyDescent="0.25">
      <c r="M3372" s="21"/>
    </row>
    <row r="3373" spans="13:13" x14ac:dyDescent="0.25">
      <c r="M3373" s="21"/>
    </row>
    <row r="3374" spans="13:13" x14ac:dyDescent="0.25">
      <c r="M3374" s="21"/>
    </row>
    <row r="3375" spans="13:13" x14ac:dyDescent="0.25">
      <c r="M3375" s="21"/>
    </row>
    <row r="3376" spans="13:13" x14ac:dyDescent="0.25">
      <c r="M3376" s="21"/>
    </row>
    <row r="3377" spans="13:13" x14ac:dyDescent="0.25">
      <c r="M3377" s="21"/>
    </row>
    <row r="3378" spans="13:13" x14ac:dyDescent="0.25">
      <c r="M3378" s="21"/>
    </row>
    <row r="3379" spans="13:13" x14ac:dyDescent="0.25">
      <c r="M3379" s="21"/>
    </row>
    <row r="3380" spans="13:13" x14ac:dyDescent="0.25">
      <c r="M3380" s="21"/>
    </row>
    <row r="3381" spans="13:13" x14ac:dyDescent="0.25">
      <c r="M3381" s="21"/>
    </row>
    <row r="3382" spans="13:13" x14ac:dyDescent="0.25">
      <c r="M3382" s="21"/>
    </row>
    <row r="3383" spans="13:13" x14ac:dyDescent="0.25">
      <c r="M3383" s="21"/>
    </row>
    <row r="3384" spans="13:13" x14ac:dyDescent="0.25">
      <c r="M3384" s="21"/>
    </row>
    <row r="3385" spans="13:13" x14ac:dyDescent="0.25">
      <c r="M3385" s="21"/>
    </row>
    <row r="3386" spans="13:13" x14ac:dyDescent="0.25">
      <c r="M3386" s="21"/>
    </row>
    <row r="3387" spans="13:13" x14ac:dyDescent="0.25">
      <c r="M3387" s="21"/>
    </row>
    <row r="3388" spans="13:13" x14ac:dyDescent="0.25">
      <c r="M3388" s="21"/>
    </row>
    <row r="3389" spans="13:13" x14ac:dyDescent="0.25">
      <c r="M3389" s="21"/>
    </row>
    <row r="3390" spans="13:13" x14ac:dyDescent="0.25">
      <c r="M3390" s="21"/>
    </row>
    <row r="3391" spans="13:13" x14ac:dyDescent="0.25">
      <c r="M3391" s="21"/>
    </row>
    <row r="3392" spans="13:13" x14ac:dyDescent="0.25">
      <c r="M3392" s="21"/>
    </row>
    <row r="3393" spans="13:13" x14ac:dyDescent="0.25">
      <c r="M3393" s="21"/>
    </row>
    <row r="3394" spans="13:13" x14ac:dyDescent="0.25">
      <c r="M3394" s="21"/>
    </row>
    <row r="3395" spans="13:13" x14ac:dyDescent="0.25">
      <c r="M3395" s="21"/>
    </row>
    <row r="3396" spans="13:13" x14ac:dyDescent="0.25">
      <c r="M3396" s="21"/>
    </row>
    <row r="3397" spans="13:13" x14ac:dyDescent="0.25">
      <c r="M3397" s="21"/>
    </row>
    <row r="3398" spans="13:13" x14ac:dyDescent="0.25">
      <c r="M3398" s="21"/>
    </row>
    <row r="3399" spans="13:13" x14ac:dyDescent="0.25">
      <c r="M3399" s="21"/>
    </row>
    <row r="3400" spans="13:13" x14ac:dyDescent="0.25">
      <c r="M3400" s="21"/>
    </row>
    <row r="3401" spans="13:13" x14ac:dyDescent="0.25">
      <c r="M3401" s="21"/>
    </row>
    <row r="3402" spans="13:13" x14ac:dyDescent="0.25">
      <c r="M3402" s="21"/>
    </row>
    <row r="3403" spans="13:13" x14ac:dyDescent="0.25">
      <c r="M3403" s="21"/>
    </row>
    <row r="3404" spans="13:13" x14ac:dyDescent="0.25">
      <c r="M3404" s="21"/>
    </row>
    <row r="3405" spans="13:13" x14ac:dyDescent="0.25">
      <c r="M3405" s="21"/>
    </row>
    <row r="3406" spans="13:13" x14ac:dyDescent="0.25">
      <c r="M3406" s="21"/>
    </row>
    <row r="3407" spans="13:13" x14ac:dyDescent="0.25">
      <c r="M3407" s="21"/>
    </row>
    <row r="3408" spans="13:13" x14ac:dyDescent="0.25">
      <c r="M3408" s="21"/>
    </row>
    <row r="3409" spans="13:13" x14ac:dyDescent="0.25">
      <c r="M3409" s="21"/>
    </row>
    <row r="3410" spans="13:13" x14ac:dyDescent="0.25">
      <c r="M3410" s="21"/>
    </row>
    <row r="3411" spans="13:13" x14ac:dyDescent="0.25">
      <c r="M3411" s="21"/>
    </row>
    <row r="3412" spans="13:13" x14ac:dyDescent="0.25">
      <c r="M3412" s="21"/>
    </row>
    <row r="3413" spans="13:13" x14ac:dyDescent="0.25">
      <c r="M3413" s="21"/>
    </row>
    <row r="3414" spans="13:13" x14ac:dyDescent="0.25">
      <c r="M3414" s="21"/>
    </row>
    <row r="3415" spans="13:13" x14ac:dyDescent="0.25">
      <c r="M3415" s="21"/>
    </row>
    <row r="3416" spans="13:13" x14ac:dyDescent="0.25">
      <c r="M3416" s="21"/>
    </row>
    <row r="3417" spans="13:13" x14ac:dyDescent="0.25">
      <c r="M3417" s="21"/>
    </row>
    <row r="3418" spans="13:13" x14ac:dyDescent="0.25">
      <c r="M3418" s="21"/>
    </row>
    <row r="3419" spans="13:13" x14ac:dyDescent="0.25">
      <c r="M3419" s="21"/>
    </row>
    <row r="3420" spans="13:13" x14ac:dyDescent="0.25">
      <c r="M3420" s="21"/>
    </row>
    <row r="3421" spans="13:13" x14ac:dyDescent="0.25">
      <c r="M3421" s="21"/>
    </row>
    <row r="3422" spans="13:13" x14ac:dyDescent="0.25">
      <c r="M3422" s="21"/>
    </row>
    <row r="3423" spans="13:13" x14ac:dyDescent="0.25">
      <c r="M3423" s="21"/>
    </row>
    <row r="3424" spans="13:13" x14ac:dyDescent="0.25">
      <c r="M3424" s="21"/>
    </row>
    <row r="3425" spans="13:13" x14ac:dyDescent="0.25">
      <c r="M3425" s="21"/>
    </row>
    <row r="3426" spans="13:13" x14ac:dyDescent="0.25">
      <c r="M3426" s="21"/>
    </row>
    <row r="3427" spans="13:13" x14ac:dyDescent="0.25">
      <c r="M3427" s="21"/>
    </row>
    <row r="3428" spans="13:13" x14ac:dyDescent="0.25">
      <c r="M3428" s="21"/>
    </row>
    <row r="3429" spans="13:13" x14ac:dyDescent="0.25">
      <c r="M3429" s="21"/>
    </row>
    <row r="3430" spans="13:13" x14ac:dyDescent="0.25">
      <c r="M3430" s="21"/>
    </row>
    <row r="3431" spans="13:13" x14ac:dyDescent="0.25">
      <c r="M3431" s="21"/>
    </row>
    <row r="3432" spans="13:13" x14ac:dyDescent="0.25">
      <c r="M3432" s="21"/>
    </row>
    <row r="3433" spans="13:13" x14ac:dyDescent="0.25">
      <c r="M3433" s="21"/>
    </row>
    <row r="3434" spans="13:13" x14ac:dyDescent="0.25">
      <c r="M3434" s="21"/>
    </row>
    <row r="3435" spans="13:13" x14ac:dyDescent="0.25">
      <c r="M3435" s="21"/>
    </row>
    <row r="3436" spans="13:13" x14ac:dyDescent="0.25">
      <c r="M3436" s="21"/>
    </row>
    <row r="3437" spans="13:13" x14ac:dyDescent="0.25">
      <c r="M3437" s="21"/>
    </row>
    <row r="3438" spans="13:13" x14ac:dyDescent="0.25">
      <c r="M3438" s="21"/>
    </row>
    <row r="3439" spans="13:13" x14ac:dyDescent="0.25">
      <c r="M3439" s="21"/>
    </row>
    <row r="3440" spans="13:13" x14ac:dyDescent="0.25">
      <c r="M3440" s="21"/>
    </row>
    <row r="3441" spans="13:13" x14ac:dyDescent="0.25">
      <c r="M3441" s="21"/>
    </row>
    <row r="3442" spans="13:13" x14ac:dyDescent="0.25">
      <c r="M3442" s="21"/>
    </row>
    <row r="3443" spans="13:13" x14ac:dyDescent="0.25">
      <c r="M3443" s="21"/>
    </row>
    <row r="3444" spans="13:13" x14ac:dyDescent="0.25">
      <c r="M3444" s="21"/>
    </row>
    <row r="3445" spans="13:13" x14ac:dyDescent="0.25">
      <c r="M3445" s="21"/>
    </row>
    <row r="3446" spans="13:13" x14ac:dyDescent="0.25">
      <c r="M3446" s="21"/>
    </row>
    <row r="3447" spans="13:13" x14ac:dyDescent="0.25">
      <c r="M3447" s="21"/>
    </row>
    <row r="3448" spans="13:13" x14ac:dyDescent="0.25">
      <c r="M3448" s="21"/>
    </row>
    <row r="3449" spans="13:13" x14ac:dyDescent="0.25">
      <c r="M3449" s="21"/>
    </row>
    <row r="3450" spans="13:13" x14ac:dyDescent="0.25">
      <c r="M3450" s="21"/>
    </row>
    <row r="3451" spans="13:13" x14ac:dyDescent="0.25">
      <c r="M3451" s="21"/>
    </row>
    <row r="3452" spans="13:13" x14ac:dyDescent="0.25">
      <c r="M3452" s="21"/>
    </row>
    <row r="3453" spans="13:13" x14ac:dyDescent="0.25">
      <c r="M3453" s="21"/>
    </row>
    <row r="3454" spans="13:13" x14ac:dyDescent="0.25">
      <c r="M3454" s="21"/>
    </row>
    <row r="3455" spans="13:13" x14ac:dyDescent="0.25">
      <c r="M3455" s="21"/>
    </row>
    <row r="3456" spans="13:13" x14ac:dyDescent="0.25">
      <c r="M3456" s="21"/>
    </row>
    <row r="3457" spans="13:13" x14ac:dyDescent="0.25">
      <c r="M3457" s="21"/>
    </row>
    <row r="3458" spans="13:13" x14ac:dyDescent="0.25">
      <c r="M3458" s="21"/>
    </row>
    <row r="3459" spans="13:13" x14ac:dyDescent="0.25">
      <c r="M3459" s="21"/>
    </row>
    <row r="3460" spans="13:13" x14ac:dyDescent="0.25">
      <c r="M3460" s="21"/>
    </row>
    <row r="3461" spans="13:13" x14ac:dyDescent="0.25">
      <c r="M3461" s="21"/>
    </row>
    <row r="3462" spans="13:13" x14ac:dyDescent="0.25">
      <c r="M3462" s="21"/>
    </row>
    <row r="3463" spans="13:13" x14ac:dyDescent="0.25">
      <c r="M3463" s="21"/>
    </row>
    <row r="3464" spans="13:13" x14ac:dyDescent="0.25">
      <c r="M3464" s="21"/>
    </row>
    <row r="3465" spans="13:13" x14ac:dyDescent="0.25">
      <c r="M3465" s="21"/>
    </row>
    <row r="3466" spans="13:13" x14ac:dyDescent="0.25">
      <c r="M3466" s="21"/>
    </row>
    <row r="3467" spans="13:13" x14ac:dyDescent="0.25">
      <c r="M3467" s="21"/>
    </row>
    <row r="3468" spans="13:13" x14ac:dyDescent="0.25">
      <c r="M3468" s="21"/>
    </row>
    <row r="3469" spans="13:13" x14ac:dyDescent="0.25">
      <c r="M3469" s="21"/>
    </row>
    <row r="3470" spans="13:13" x14ac:dyDescent="0.25">
      <c r="M3470" s="21"/>
    </row>
    <row r="3471" spans="13:13" x14ac:dyDescent="0.25">
      <c r="M3471" s="21"/>
    </row>
    <row r="3472" spans="13:13" x14ac:dyDescent="0.25">
      <c r="M3472" s="21"/>
    </row>
    <row r="3473" spans="13:13" x14ac:dyDescent="0.25">
      <c r="M3473" s="21"/>
    </row>
    <row r="3474" spans="13:13" x14ac:dyDescent="0.25">
      <c r="M3474" s="21"/>
    </row>
    <row r="3475" spans="13:13" x14ac:dyDescent="0.25">
      <c r="M3475" s="21"/>
    </row>
    <row r="3476" spans="13:13" x14ac:dyDescent="0.25">
      <c r="M3476" s="21"/>
    </row>
    <row r="3477" spans="13:13" x14ac:dyDescent="0.25">
      <c r="M3477" s="21"/>
    </row>
    <row r="3478" spans="13:13" x14ac:dyDescent="0.25">
      <c r="M3478" s="21"/>
    </row>
    <row r="3479" spans="13:13" x14ac:dyDescent="0.25">
      <c r="M3479" s="21"/>
    </row>
    <row r="3480" spans="13:13" x14ac:dyDescent="0.25">
      <c r="M3480" s="21"/>
    </row>
    <row r="3481" spans="13:13" x14ac:dyDescent="0.25">
      <c r="M3481" s="21"/>
    </row>
    <row r="3482" spans="13:13" x14ac:dyDescent="0.25">
      <c r="M3482" s="21"/>
    </row>
    <row r="3483" spans="13:13" x14ac:dyDescent="0.25">
      <c r="M3483" s="21"/>
    </row>
    <row r="3484" spans="13:13" x14ac:dyDescent="0.25">
      <c r="M3484" s="21"/>
    </row>
    <row r="3485" spans="13:13" x14ac:dyDescent="0.25">
      <c r="M3485" s="21"/>
    </row>
    <row r="3486" spans="13:13" x14ac:dyDescent="0.25">
      <c r="M3486" s="21"/>
    </row>
    <row r="3487" spans="13:13" x14ac:dyDescent="0.25">
      <c r="M3487" s="21"/>
    </row>
    <row r="3488" spans="13:13" x14ac:dyDescent="0.25">
      <c r="M3488" s="21"/>
    </row>
    <row r="3489" spans="13:13" x14ac:dyDescent="0.25">
      <c r="M3489" s="21"/>
    </row>
    <row r="3490" spans="13:13" x14ac:dyDescent="0.25">
      <c r="M3490" s="21"/>
    </row>
    <row r="3491" spans="13:13" x14ac:dyDescent="0.25">
      <c r="M3491" s="21"/>
    </row>
    <row r="3492" spans="13:13" x14ac:dyDescent="0.25">
      <c r="M3492" s="21"/>
    </row>
    <row r="3493" spans="13:13" x14ac:dyDescent="0.25">
      <c r="M3493" s="21"/>
    </row>
    <row r="3494" spans="13:13" x14ac:dyDescent="0.25">
      <c r="M3494" s="21"/>
    </row>
    <row r="3495" spans="13:13" x14ac:dyDescent="0.25">
      <c r="M3495" s="21"/>
    </row>
    <row r="3496" spans="13:13" x14ac:dyDescent="0.25">
      <c r="M3496" s="21"/>
    </row>
    <row r="3497" spans="13:13" x14ac:dyDescent="0.25">
      <c r="M3497" s="21"/>
    </row>
    <row r="3498" spans="13:13" x14ac:dyDescent="0.25">
      <c r="M3498" s="21"/>
    </row>
    <row r="3499" spans="13:13" x14ac:dyDescent="0.25">
      <c r="M3499" s="21"/>
    </row>
    <row r="3500" spans="13:13" x14ac:dyDescent="0.25">
      <c r="M3500" s="21"/>
    </row>
    <row r="3501" spans="13:13" x14ac:dyDescent="0.25">
      <c r="M3501" s="21"/>
    </row>
    <row r="3502" spans="13:13" x14ac:dyDescent="0.25">
      <c r="M3502" s="21"/>
    </row>
    <row r="3503" spans="13:13" x14ac:dyDescent="0.25">
      <c r="M3503" s="21"/>
    </row>
    <row r="3504" spans="13:13" x14ac:dyDescent="0.25">
      <c r="M3504" s="21"/>
    </row>
    <row r="3505" spans="13:13" x14ac:dyDescent="0.25">
      <c r="M3505" s="21"/>
    </row>
    <row r="3506" spans="13:13" x14ac:dyDescent="0.25">
      <c r="M3506" s="21"/>
    </row>
    <row r="3507" spans="13:13" x14ac:dyDescent="0.25">
      <c r="M3507" s="21"/>
    </row>
    <row r="3508" spans="13:13" x14ac:dyDescent="0.25">
      <c r="M3508" s="21"/>
    </row>
    <row r="3509" spans="13:13" x14ac:dyDescent="0.25">
      <c r="M3509" s="21"/>
    </row>
    <row r="3510" spans="13:13" x14ac:dyDescent="0.25">
      <c r="M3510" s="21"/>
    </row>
    <row r="3511" spans="13:13" x14ac:dyDescent="0.25">
      <c r="M3511" s="21"/>
    </row>
    <row r="3512" spans="13:13" x14ac:dyDescent="0.25">
      <c r="M3512" s="21"/>
    </row>
    <row r="3513" spans="13:13" x14ac:dyDescent="0.25">
      <c r="M3513" s="21"/>
    </row>
    <row r="3514" spans="13:13" x14ac:dyDescent="0.25">
      <c r="M3514" s="21"/>
    </row>
    <row r="3515" spans="13:13" x14ac:dyDescent="0.25">
      <c r="M3515" s="21"/>
    </row>
    <row r="3516" spans="13:13" x14ac:dyDescent="0.25">
      <c r="M3516" s="21"/>
    </row>
    <row r="3517" spans="13:13" x14ac:dyDescent="0.25">
      <c r="M3517" s="21"/>
    </row>
    <row r="3518" spans="13:13" x14ac:dyDescent="0.25">
      <c r="M3518" s="21"/>
    </row>
    <row r="3519" spans="13:13" x14ac:dyDescent="0.25">
      <c r="M3519" s="21"/>
    </row>
    <row r="3520" spans="13:13" x14ac:dyDescent="0.25">
      <c r="M3520" s="21"/>
    </row>
    <row r="3521" spans="13:13" x14ac:dyDescent="0.25">
      <c r="M3521" s="21"/>
    </row>
    <row r="3522" spans="13:13" x14ac:dyDescent="0.25">
      <c r="M3522" s="21"/>
    </row>
    <row r="3523" spans="13:13" x14ac:dyDescent="0.25">
      <c r="M3523" s="21"/>
    </row>
    <row r="3524" spans="13:13" x14ac:dyDescent="0.25">
      <c r="M3524" s="21"/>
    </row>
    <row r="3525" spans="13:13" x14ac:dyDescent="0.25">
      <c r="M3525" s="21"/>
    </row>
    <row r="3526" spans="13:13" x14ac:dyDescent="0.25">
      <c r="M3526" s="21"/>
    </row>
    <row r="3527" spans="13:13" x14ac:dyDescent="0.25">
      <c r="M3527" s="21"/>
    </row>
    <row r="3528" spans="13:13" x14ac:dyDescent="0.25">
      <c r="M3528" s="21"/>
    </row>
    <row r="3529" spans="13:13" x14ac:dyDescent="0.25">
      <c r="M3529" s="21"/>
    </row>
    <row r="3530" spans="13:13" x14ac:dyDescent="0.25">
      <c r="M3530" s="21"/>
    </row>
    <row r="3531" spans="13:13" x14ac:dyDescent="0.25">
      <c r="M3531" s="21"/>
    </row>
    <row r="3532" spans="13:13" x14ac:dyDescent="0.25">
      <c r="M3532" s="21"/>
    </row>
    <row r="3533" spans="13:13" x14ac:dyDescent="0.25">
      <c r="M3533" s="21"/>
    </row>
    <row r="3534" spans="13:13" x14ac:dyDescent="0.25">
      <c r="M3534" s="21"/>
    </row>
    <row r="3535" spans="13:13" x14ac:dyDescent="0.25">
      <c r="M3535" s="21"/>
    </row>
    <row r="3536" spans="13:13" x14ac:dyDescent="0.25">
      <c r="M3536" s="21"/>
    </row>
    <row r="3537" spans="13:13" x14ac:dyDescent="0.25">
      <c r="M3537" s="21"/>
    </row>
    <row r="3538" spans="13:13" x14ac:dyDescent="0.25">
      <c r="M3538" s="21"/>
    </row>
    <row r="3539" spans="13:13" x14ac:dyDescent="0.25">
      <c r="M3539" s="21"/>
    </row>
    <row r="3540" spans="13:13" x14ac:dyDescent="0.25">
      <c r="M3540" s="21"/>
    </row>
    <row r="3541" spans="13:13" x14ac:dyDescent="0.25">
      <c r="M3541" s="21"/>
    </row>
    <row r="3542" spans="13:13" x14ac:dyDescent="0.25">
      <c r="M3542" s="21"/>
    </row>
    <row r="3543" spans="13:13" x14ac:dyDescent="0.25">
      <c r="M3543" s="21"/>
    </row>
    <row r="3544" spans="13:13" x14ac:dyDescent="0.25">
      <c r="M3544" s="21"/>
    </row>
    <row r="3545" spans="13:13" x14ac:dyDescent="0.25">
      <c r="M3545" s="21"/>
    </row>
    <row r="3546" spans="13:13" x14ac:dyDescent="0.25">
      <c r="M3546" s="21"/>
    </row>
    <row r="3547" spans="13:13" x14ac:dyDescent="0.25">
      <c r="M3547" s="21"/>
    </row>
    <row r="3548" spans="13:13" x14ac:dyDescent="0.25">
      <c r="M3548" s="21"/>
    </row>
    <row r="3549" spans="13:13" x14ac:dyDescent="0.25">
      <c r="M3549" s="21"/>
    </row>
    <row r="3550" spans="13:13" x14ac:dyDescent="0.25">
      <c r="M3550" s="21"/>
    </row>
    <row r="3551" spans="13:13" x14ac:dyDescent="0.25">
      <c r="M3551" s="21"/>
    </row>
    <row r="3552" spans="13:13" x14ac:dyDescent="0.25">
      <c r="M3552" s="21"/>
    </row>
    <row r="3553" spans="13:13" x14ac:dyDescent="0.25">
      <c r="M3553" s="21"/>
    </row>
    <row r="3554" spans="13:13" x14ac:dyDescent="0.25">
      <c r="M3554" s="21"/>
    </row>
    <row r="3555" spans="13:13" x14ac:dyDescent="0.25">
      <c r="M3555" s="21"/>
    </row>
    <row r="3556" spans="13:13" x14ac:dyDescent="0.25">
      <c r="M3556" s="21"/>
    </row>
    <row r="3557" spans="13:13" x14ac:dyDescent="0.25">
      <c r="M3557" s="21"/>
    </row>
    <row r="3558" spans="13:13" x14ac:dyDescent="0.25">
      <c r="M3558" s="21"/>
    </row>
    <row r="3559" spans="13:13" x14ac:dyDescent="0.25">
      <c r="M3559" s="21"/>
    </row>
    <row r="3560" spans="13:13" x14ac:dyDescent="0.25">
      <c r="M3560" s="21"/>
    </row>
    <row r="3561" spans="13:13" x14ac:dyDescent="0.25">
      <c r="M3561" s="21"/>
    </row>
    <row r="3562" spans="13:13" x14ac:dyDescent="0.25">
      <c r="M3562" s="21"/>
    </row>
    <row r="3563" spans="13:13" x14ac:dyDescent="0.25">
      <c r="M3563" s="21"/>
    </row>
    <row r="3564" spans="13:13" x14ac:dyDescent="0.25">
      <c r="M3564" s="21"/>
    </row>
    <row r="3565" spans="13:13" x14ac:dyDescent="0.25">
      <c r="M3565" s="21"/>
    </row>
    <row r="3566" spans="13:13" x14ac:dyDescent="0.25">
      <c r="M3566" s="21"/>
    </row>
    <row r="3567" spans="13:13" x14ac:dyDescent="0.25">
      <c r="M3567" s="21"/>
    </row>
    <row r="3568" spans="13:13" x14ac:dyDescent="0.25">
      <c r="M3568" s="21"/>
    </row>
    <row r="3569" spans="13:13" x14ac:dyDescent="0.25">
      <c r="M3569" s="21"/>
    </row>
    <row r="3570" spans="13:13" x14ac:dyDescent="0.25">
      <c r="M3570" s="21"/>
    </row>
    <row r="3571" spans="13:13" x14ac:dyDescent="0.25">
      <c r="M3571" s="21"/>
    </row>
    <row r="3572" spans="13:13" x14ac:dyDescent="0.25">
      <c r="M3572" s="21"/>
    </row>
    <row r="3573" spans="13:13" x14ac:dyDescent="0.25">
      <c r="M3573" s="21"/>
    </row>
    <row r="3574" spans="13:13" x14ac:dyDescent="0.25">
      <c r="M3574" s="21"/>
    </row>
    <row r="3575" spans="13:13" x14ac:dyDescent="0.25">
      <c r="M3575" s="21"/>
    </row>
    <row r="3576" spans="13:13" x14ac:dyDescent="0.25">
      <c r="M3576" s="21"/>
    </row>
    <row r="3577" spans="13:13" x14ac:dyDescent="0.25">
      <c r="M3577" s="21"/>
    </row>
    <row r="3578" spans="13:13" x14ac:dyDescent="0.25">
      <c r="M3578" s="21"/>
    </row>
    <row r="3579" spans="13:13" x14ac:dyDescent="0.25">
      <c r="M3579" s="21"/>
    </row>
    <row r="3580" spans="13:13" x14ac:dyDescent="0.25">
      <c r="M3580" s="21"/>
    </row>
    <row r="3581" spans="13:13" x14ac:dyDescent="0.25">
      <c r="M3581" s="21"/>
    </row>
    <row r="3582" spans="13:13" x14ac:dyDescent="0.25">
      <c r="M3582" s="21"/>
    </row>
    <row r="3583" spans="13:13" x14ac:dyDescent="0.25">
      <c r="M3583" s="21"/>
    </row>
    <row r="3584" spans="13:13" x14ac:dyDescent="0.25">
      <c r="M3584" s="21"/>
    </row>
    <row r="3585" spans="13:13" x14ac:dyDescent="0.25">
      <c r="M3585" s="21"/>
    </row>
    <row r="3586" spans="13:13" x14ac:dyDescent="0.25">
      <c r="M3586" s="21"/>
    </row>
    <row r="3587" spans="13:13" x14ac:dyDescent="0.25">
      <c r="M3587" s="21"/>
    </row>
    <row r="3588" spans="13:13" x14ac:dyDescent="0.25">
      <c r="M3588" s="21"/>
    </row>
    <row r="3589" spans="13:13" x14ac:dyDescent="0.25">
      <c r="M3589" s="21"/>
    </row>
    <row r="3590" spans="13:13" x14ac:dyDescent="0.25">
      <c r="M3590" s="21"/>
    </row>
    <row r="3591" spans="13:13" x14ac:dyDescent="0.25">
      <c r="M3591" s="21"/>
    </row>
    <row r="3592" spans="13:13" x14ac:dyDescent="0.25">
      <c r="M3592" s="21"/>
    </row>
    <row r="3593" spans="13:13" x14ac:dyDescent="0.25">
      <c r="M3593" s="21"/>
    </row>
    <row r="3594" spans="13:13" x14ac:dyDescent="0.25">
      <c r="M3594" s="21"/>
    </row>
    <row r="3595" spans="13:13" x14ac:dyDescent="0.25">
      <c r="M3595" s="21"/>
    </row>
    <row r="3596" spans="13:13" x14ac:dyDescent="0.25">
      <c r="M3596" s="21"/>
    </row>
    <row r="3597" spans="13:13" x14ac:dyDescent="0.25">
      <c r="M3597" s="21"/>
    </row>
    <row r="3598" spans="13:13" x14ac:dyDescent="0.25">
      <c r="M3598" s="21"/>
    </row>
    <row r="3599" spans="13:13" x14ac:dyDescent="0.25">
      <c r="M3599" s="21"/>
    </row>
    <row r="3600" spans="13:13" x14ac:dyDescent="0.25">
      <c r="M3600" s="21"/>
    </row>
    <row r="3601" spans="13:13" x14ac:dyDescent="0.25">
      <c r="M3601" s="21"/>
    </row>
    <row r="3602" spans="13:13" x14ac:dyDescent="0.25">
      <c r="M3602" s="21"/>
    </row>
    <row r="3603" spans="13:13" x14ac:dyDescent="0.25">
      <c r="M3603" s="21"/>
    </row>
    <row r="3604" spans="13:13" x14ac:dyDescent="0.25">
      <c r="M3604" s="21"/>
    </row>
    <row r="3605" spans="13:13" x14ac:dyDescent="0.25">
      <c r="M3605" s="21"/>
    </row>
    <row r="3606" spans="13:13" x14ac:dyDescent="0.25">
      <c r="M3606" s="21"/>
    </row>
    <row r="3607" spans="13:13" x14ac:dyDescent="0.25">
      <c r="M3607" s="21"/>
    </row>
    <row r="3608" spans="13:13" x14ac:dyDescent="0.25">
      <c r="M3608" s="21"/>
    </row>
    <row r="3609" spans="13:13" x14ac:dyDescent="0.25">
      <c r="M3609" s="21"/>
    </row>
    <row r="3610" spans="13:13" x14ac:dyDescent="0.25">
      <c r="M3610" s="21"/>
    </row>
    <row r="3611" spans="13:13" x14ac:dyDescent="0.25">
      <c r="M3611" s="21"/>
    </row>
    <row r="3612" spans="13:13" x14ac:dyDescent="0.25">
      <c r="M3612" s="21"/>
    </row>
    <row r="3613" spans="13:13" x14ac:dyDescent="0.25">
      <c r="M3613" s="21"/>
    </row>
    <row r="3614" spans="13:13" x14ac:dyDescent="0.25">
      <c r="M3614" s="21"/>
    </row>
    <row r="3615" spans="13:13" x14ac:dyDescent="0.25">
      <c r="M3615" s="21"/>
    </row>
    <row r="3616" spans="13:13" x14ac:dyDescent="0.25">
      <c r="M3616" s="21"/>
    </row>
    <row r="3617" spans="13:13" x14ac:dyDescent="0.25">
      <c r="M3617" s="21"/>
    </row>
    <row r="3618" spans="13:13" x14ac:dyDescent="0.25">
      <c r="M3618" s="21"/>
    </row>
    <row r="3619" spans="13:13" x14ac:dyDescent="0.25">
      <c r="M3619" s="21"/>
    </row>
    <row r="3620" spans="13:13" x14ac:dyDescent="0.25">
      <c r="M3620" s="21"/>
    </row>
    <row r="3621" spans="13:13" x14ac:dyDescent="0.25">
      <c r="M3621" s="21"/>
    </row>
    <row r="3622" spans="13:13" x14ac:dyDescent="0.25">
      <c r="M3622" s="21"/>
    </row>
    <row r="3623" spans="13:13" x14ac:dyDescent="0.25">
      <c r="M3623" s="21"/>
    </row>
    <row r="3624" spans="13:13" x14ac:dyDescent="0.25">
      <c r="M3624" s="21"/>
    </row>
    <row r="3625" spans="13:13" x14ac:dyDescent="0.25">
      <c r="M3625" s="21"/>
    </row>
    <row r="3626" spans="13:13" x14ac:dyDescent="0.25">
      <c r="M3626" s="21"/>
    </row>
    <row r="3627" spans="13:13" x14ac:dyDescent="0.25">
      <c r="M3627" s="21"/>
    </row>
    <row r="3628" spans="13:13" x14ac:dyDescent="0.25">
      <c r="M3628" s="21"/>
    </row>
    <row r="3629" spans="13:13" x14ac:dyDescent="0.25">
      <c r="M3629" s="21"/>
    </row>
    <row r="3630" spans="13:13" x14ac:dyDescent="0.25">
      <c r="M3630" s="21"/>
    </row>
    <row r="3631" spans="13:13" x14ac:dyDescent="0.25">
      <c r="M3631" s="21"/>
    </row>
    <row r="3632" spans="13:13" x14ac:dyDescent="0.25">
      <c r="M3632" s="21"/>
    </row>
    <row r="3633" spans="13:13" x14ac:dyDescent="0.25">
      <c r="M3633" s="21"/>
    </row>
    <row r="3634" spans="13:13" x14ac:dyDescent="0.25">
      <c r="M3634" s="21"/>
    </row>
    <row r="3635" spans="13:13" x14ac:dyDescent="0.25">
      <c r="M3635" s="21"/>
    </row>
    <row r="3636" spans="13:13" x14ac:dyDescent="0.25">
      <c r="M3636" s="21"/>
    </row>
    <row r="3637" spans="13:13" x14ac:dyDescent="0.25">
      <c r="M3637" s="21"/>
    </row>
    <row r="3638" spans="13:13" x14ac:dyDescent="0.25">
      <c r="M3638" s="21"/>
    </row>
    <row r="3639" spans="13:13" x14ac:dyDescent="0.25">
      <c r="M3639" s="21"/>
    </row>
    <row r="3640" spans="13:13" x14ac:dyDescent="0.25">
      <c r="M3640" s="21"/>
    </row>
    <row r="3641" spans="13:13" x14ac:dyDescent="0.25">
      <c r="M3641" s="21"/>
    </row>
    <row r="3642" spans="13:13" x14ac:dyDescent="0.25">
      <c r="M3642" s="21"/>
    </row>
    <row r="3643" spans="13:13" x14ac:dyDescent="0.25">
      <c r="M3643" s="21"/>
    </row>
    <row r="3644" spans="13:13" x14ac:dyDescent="0.25">
      <c r="M3644" s="21"/>
    </row>
    <row r="3645" spans="13:13" x14ac:dyDescent="0.25">
      <c r="M3645" s="21"/>
    </row>
    <row r="3646" spans="13:13" x14ac:dyDescent="0.25">
      <c r="M3646" s="21"/>
    </row>
    <row r="3647" spans="13:13" x14ac:dyDescent="0.25">
      <c r="M3647" s="21"/>
    </row>
    <row r="3648" spans="13:13" x14ac:dyDescent="0.25">
      <c r="M3648" s="21"/>
    </row>
    <row r="3649" spans="13:13" x14ac:dyDescent="0.25">
      <c r="M3649" s="21"/>
    </row>
    <row r="3650" spans="13:13" x14ac:dyDescent="0.25">
      <c r="M3650" s="21"/>
    </row>
    <row r="3651" spans="13:13" x14ac:dyDescent="0.25">
      <c r="M3651" s="21"/>
    </row>
    <row r="3652" spans="13:13" x14ac:dyDescent="0.25">
      <c r="M3652" s="21"/>
    </row>
    <row r="3653" spans="13:13" x14ac:dyDescent="0.25">
      <c r="M3653" s="21"/>
    </row>
    <row r="3654" spans="13:13" x14ac:dyDescent="0.25">
      <c r="M3654" s="21"/>
    </row>
    <row r="3655" spans="13:13" x14ac:dyDescent="0.25">
      <c r="M3655" s="21"/>
    </row>
    <row r="3656" spans="13:13" x14ac:dyDescent="0.25">
      <c r="M3656" s="21"/>
    </row>
    <row r="3657" spans="13:13" x14ac:dyDescent="0.25">
      <c r="M3657" s="21"/>
    </row>
    <row r="3658" spans="13:13" x14ac:dyDescent="0.25">
      <c r="M3658" s="21"/>
    </row>
    <row r="3659" spans="13:13" x14ac:dyDescent="0.25">
      <c r="M3659" s="21"/>
    </row>
    <row r="3660" spans="13:13" x14ac:dyDescent="0.25">
      <c r="M3660" s="21"/>
    </row>
    <row r="3661" spans="13:13" x14ac:dyDescent="0.25">
      <c r="M3661" s="21"/>
    </row>
    <row r="3662" spans="13:13" x14ac:dyDescent="0.25">
      <c r="M3662" s="21"/>
    </row>
    <row r="3663" spans="13:13" x14ac:dyDescent="0.25">
      <c r="M3663" s="21"/>
    </row>
    <row r="3664" spans="13:13" x14ac:dyDescent="0.25">
      <c r="M3664" s="21"/>
    </row>
    <row r="3665" spans="13:13" x14ac:dyDescent="0.25">
      <c r="M3665" s="21"/>
    </row>
    <row r="3666" spans="13:13" x14ac:dyDescent="0.25">
      <c r="M3666" s="21"/>
    </row>
    <row r="3667" spans="13:13" x14ac:dyDescent="0.25">
      <c r="M3667" s="21"/>
    </row>
    <row r="3668" spans="13:13" x14ac:dyDescent="0.25">
      <c r="M3668" s="21"/>
    </row>
    <row r="3669" spans="13:13" x14ac:dyDescent="0.25">
      <c r="M3669" s="21"/>
    </row>
    <row r="3670" spans="13:13" x14ac:dyDescent="0.25">
      <c r="M3670" s="21"/>
    </row>
    <row r="3671" spans="13:13" x14ac:dyDescent="0.25">
      <c r="M3671" s="21"/>
    </row>
    <row r="3672" spans="13:13" x14ac:dyDescent="0.25">
      <c r="M3672" s="21"/>
    </row>
    <row r="3673" spans="13:13" x14ac:dyDescent="0.25">
      <c r="M3673" s="21"/>
    </row>
    <row r="3674" spans="13:13" x14ac:dyDescent="0.25">
      <c r="M3674" s="21"/>
    </row>
    <row r="3675" spans="13:13" x14ac:dyDescent="0.25">
      <c r="M3675" s="21"/>
    </row>
    <row r="3676" spans="13:13" x14ac:dyDescent="0.25">
      <c r="M3676" s="21"/>
    </row>
    <row r="3677" spans="13:13" x14ac:dyDescent="0.25">
      <c r="M3677" s="21"/>
    </row>
    <row r="3678" spans="13:13" x14ac:dyDescent="0.25">
      <c r="M3678" s="21"/>
    </row>
    <row r="3679" spans="13:13" x14ac:dyDescent="0.25">
      <c r="M3679" s="21"/>
    </row>
    <row r="3680" spans="13:13" x14ac:dyDescent="0.25">
      <c r="M3680" s="21"/>
    </row>
    <row r="3681" spans="13:13" x14ac:dyDescent="0.25">
      <c r="M3681" s="21"/>
    </row>
    <row r="3682" spans="13:13" x14ac:dyDescent="0.25">
      <c r="M3682" s="21"/>
    </row>
    <row r="3683" spans="13:13" x14ac:dyDescent="0.25">
      <c r="M3683" s="21"/>
    </row>
    <row r="3684" spans="13:13" x14ac:dyDescent="0.25">
      <c r="M3684" s="21"/>
    </row>
    <row r="3685" spans="13:13" x14ac:dyDescent="0.25">
      <c r="M3685" s="21"/>
    </row>
    <row r="3686" spans="13:13" x14ac:dyDescent="0.25">
      <c r="M3686" s="21"/>
    </row>
    <row r="3687" spans="13:13" x14ac:dyDescent="0.25">
      <c r="M3687" s="21"/>
    </row>
    <row r="3688" spans="13:13" x14ac:dyDescent="0.25">
      <c r="M3688" s="21"/>
    </row>
    <row r="3689" spans="13:13" x14ac:dyDescent="0.25">
      <c r="M3689" s="21"/>
    </row>
    <row r="3690" spans="13:13" x14ac:dyDescent="0.25">
      <c r="M3690" s="21"/>
    </row>
    <row r="3691" spans="13:13" x14ac:dyDescent="0.25">
      <c r="M3691" s="21"/>
    </row>
    <row r="3692" spans="13:13" x14ac:dyDescent="0.25">
      <c r="M3692" s="21"/>
    </row>
    <row r="3693" spans="13:13" x14ac:dyDescent="0.25">
      <c r="M3693" s="21"/>
    </row>
    <row r="3694" spans="13:13" x14ac:dyDescent="0.25">
      <c r="M3694" s="21"/>
    </row>
    <row r="3695" spans="13:13" x14ac:dyDescent="0.25">
      <c r="M3695" s="21"/>
    </row>
    <row r="3696" spans="13:13" x14ac:dyDescent="0.25">
      <c r="M3696" s="21"/>
    </row>
    <row r="3697" spans="13:13" x14ac:dyDescent="0.25">
      <c r="M3697" s="21"/>
    </row>
    <row r="3698" spans="13:13" x14ac:dyDescent="0.25">
      <c r="M3698" s="21"/>
    </row>
    <row r="3699" spans="13:13" x14ac:dyDescent="0.25">
      <c r="M3699" s="21"/>
    </row>
    <row r="3700" spans="13:13" x14ac:dyDescent="0.25">
      <c r="M3700" s="21"/>
    </row>
    <row r="3701" spans="13:13" x14ac:dyDescent="0.25">
      <c r="M3701" s="21"/>
    </row>
    <row r="3702" spans="13:13" x14ac:dyDescent="0.25">
      <c r="M3702" s="21"/>
    </row>
    <row r="3703" spans="13:13" x14ac:dyDescent="0.25">
      <c r="M3703" s="21"/>
    </row>
    <row r="3704" spans="13:13" x14ac:dyDescent="0.25">
      <c r="M3704" s="21"/>
    </row>
    <row r="3705" spans="13:13" x14ac:dyDescent="0.25">
      <c r="M3705" s="21"/>
    </row>
    <row r="3706" spans="13:13" x14ac:dyDescent="0.25">
      <c r="M3706" s="21"/>
    </row>
    <row r="3707" spans="13:13" x14ac:dyDescent="0.25">
      <c r="M3707" s="21"/>
    </row>
    <row r="3708" spans="13:13" x14ac:dyDescent="0.25">
      <c r="M3708" s="21"/>
    </row>
    <row r="3709" spans="13:13" x14ac:dyDescent="0.25">
      <c r="M3709" s="21"/>
    </row>
    <row r="3710" spans="13:13" x14ac:dyDescent="0.25">
      <c r="M3710" s="21"/>
    </row>
    <row r="3711" spans="13:13" x14ac:dyDescent="0.25">
      <c r="M3711" s="21"/>
    </row>
    <row r="3712" spans="13:13" x14ac:dyDescent="0.25">
      <c r="M3712" s="21"/>
    </row>
    <row r="3713" spans="13:13" x14ac:dyDescent="0.25">
      <c r="M3713" s="21"/>
    </row>
    <row r="3714" spans="13:13" x14ac:dyDescent="0.25">
      <c r="M3714" s="21"/>
    </row>
    <row r="3715" spans="13:13" x14ac:dyDescent="0.25">
      <c r="M3715" s="21"/>
    </row>
    <row r="3716" spans="13:13" x14ac:dyDescent="0.25">
      <c r="M3716" s="21"/>
    </row>
    <row r="3717" spans="13:13" x14ac:dyDescent="0.25">
      <c r="M3717" s="21"/>
    </row>
    <row r="3718" spans="13:13" x14ac:dyDescent="0.25">
      <c r="M3718" s="21"/>
    </row>
    <row r="3719" spans="13:13" x14ac:dyDescent="0.25">
      <c r="M3719" s="21"/>
    </row>
    <row r="3720" spans="13:13" x14ac:dyDescent="0.25">
      <c r="M3720" s="21"/>
    </row>
    <row r="3721" spans="13:13" x14ac:dyDescent="0.25">
      <c r="M3721" s="21"/>
    </row>
    <row r="3722" spans="13:13" x14ac:dyDescent="0.25">
      <c r="M3722" s="21"/>
    </row>
    <row r="3723" spans="13:13" x14ac:dyDescent="0.25">
      <c r="M3723" s="21"/>
    </row>
    <row r="3724" spans="13:13" x14ac:dyDescent="0.25">
      <c r="M3724" s="21"/>
    </row>
    <row r="3725" spans="13:13" x14ac:dyDescent="0.25">
      <c r="M3725" s="21"/>
    </row>
    <row r="3726" spans="13:13" x14ac:dyDescent="0.25">
      <c r="M3726" s="21"/>
    </row>
    <row r="3727" spans="13:13" x14ac:dyDescent="0.25">
      <c r="M3727" s="21"/>
    </row>
    <row r="3728" spans="13:13" x14ac:dyDescent="0.25">
      <c r="M3728" s="21"/>
    </row>
    <row r="3729" spans="13:13" x14ac:dyDescent="0.25">
      <c r="M3729" s="21"/>
    </row>
    <row r="3730" spans="13:13" x14ac:dyDescent="0.25">
      <c r="M3730" s="21"/>
    </row>
    <row r="3731" spans="13:13" x14ac:dyDescent="0.25">
      <c r="M3731" s="21"/>
    </row>
    <row r="3732" spans="13:13" x14ac:dyDescent="0.25">
      <c r="M3732" s="21"/>
    </row>
    <row r="3733" spans="13:13" x14ac:dyDescent="0.25">
      <c r="M3733" s="21"/>
    </row>
    <row r="3734" spans="13:13" x14ac:dyDescent="0.25">
      <c r="M3734" s="21"/>
    </row>
    <row r="3735" spans="13:13" x14ac:dyDescent="0.25">
      <c r="M3735" s="21"/>
    </row>
    <row r="3736" spans="13:13" x14ac:dyDescent="0.25">
      <c r="M3736" s="21"/>
    </row>
    <row r="3737" spans="13:13" x14ac:dyDescent="0.25">
      <c r="M3737" s="21"/>
    </row>
    <row r="3738" spans="13:13" x14ac:dyDescent="0.25">
      <c r="M3738" s="21"/>
    </row>
    <row r="3739" spans="13:13" x14ac:dyDescent="0.25">
      <c r="M3739" s="21"/>
    </row>
    <row r="3740" spans="13:13" x14ac:dyDescent="0.25">
      <c r="M3740" s="21"/>
    </row>
    <row r="3741" spans="13:13" x14ac:dyDescent="0.25">
      <c r="M3741" s="21"/>
    </row>
    <row r="3742" spans="13:13" x14ac:dyDescent="0.25">
      <c r="M3742" s="21"/>
    </row>
    <row r="3743" spans="13:13" x14ac:dyDescent="0.25">
      <c r="M3743" s="21"/>
    </row>
    <row r="3744" spans="13:13" x14ac:dyDescent="0.25">
      <c r="M3744" s="21"/>
    </row>
    <row r="3745" spans="13:13" x14ac:dyDescent="0.25">
      <c r="M3745" s="21"/>
    </row>
    <row r="3746" spans="13:13" x14ac:dyDescent="0.25">
      <c r="M3746" s="21"/>
    </row>
    <row r="3747" spans="13:13" x14ac:dyDescent="0.25">
      <c r="M3747" s="21"/>
    </row>
    <row r="3748" spans="13:13" x14ac:dyDescent="0.25">
      <c r="M3748" s="21"/>
    </row>
    <row r="3749" spans="13:13" x14ac:dyDescent="0.25">
      <c r="M3749" s="21"/>
    </row>
    <row r="3750" spans="13:13" x14ac:dyDescent="0.25">
      <c r="M3750" s="21"/>
    </row>
    <row r="3751" spans="13:13" x14ac:dyDescent="0.25">
      <c r="M3751" s="21"/>
    </row>
    <row r="3752" spans="13:13" x14ac:dyDescent="0.25">
      <c r="M3752" s="21"/>
    </row>
    <row r="3753" spans="13:13" x14ac:dyDescent="0.25">
      <c r="M3753" s="21"/>
    </row>
    <row r="3754" spans="13:13" x14ac:dyDescent="0.25">
      <c r="M3754" s="21"/>
    </row>
    <row r="3755" spans="13:13" x14ac:dyDescent="0.25">
      <c r="M3755" s="21"/>
    </row>
    <row r="3756" spans="13:13" x14ac:dyDescent="0.25">
      <c r="M3756" s="21"/>
    </row>
    <row r="3757" spans="13:13" x14ac:dyDescent="0.25">
      <c r="M3757" s="21"/>
    </row>
    <row r="3758" spans="13:13" x14ac:dyDescent="0.25">
      <c r="M3758" s="21"/>
    </row>
    <row r="3759" spans="13:13" x14ac:dyDescent="0.25">
      <c r="M3759" s="21"/>
    </row>
    <row r="3760" spans="13:13" x14ac:dyDescent="0.25">
      <c r="M3760" s="21"/>
    </row>
    <row r="3761" spans="13:13" x14ac:dyDescent="0.25">
      <c r="M3761" s="21"/>
    </row>
    <row r="3762" spans="13:13" x14ac:dyDescent="0.25">
      <c r="M3762" s="21"/>
    </row>
    <row r="3763" spans="13:13" x14ac:dyDescent="0.25">
      <c r="M3763" s="21"/>
    </row>
    <row r="3764" spans="13:13" x14ac:dyDescent="0.25">
      <c r="M3764" s="21"/>
    </row>
    <row r="3765" spans="13:13" x14ac:dyDescent="0.25">
      <c r="M3765" s="21"/>
    </row>
    <row r="3766" spans="13:13" x14ac:dyDescent="0.25">
      <c r="M3766" s="21"/>
    </row>
    <row r="3767" spans="13:13" x14ac:dyDescent="0.25">
      <c r="M3767" s="21"/>
    </row>
    <row r="3768" spans="13:13" x14ac:dyDescent="0.25">
      <c r="M3768" s="21"/>
    </row>
    <row r="3769" spans="13:13" x14ac:dyDescent="0.25">
      <c r="M3769" s="21"/>
    </row>
    <row r="3770" spans="13:13" x14ac:dyDescent="0.25">
      <c r="M3770" s="21"/>
    </row>
    <row r="3771" spans="13:13" x14ac:dyDescent="0.25">
      <c r="M3771" s="21"/>
    </row>
    <row r="3772" spans="13:13" x14ac:dyDescent="0.25">
      <c r="M3772" s="21"/>
    </row>
    <row r="3773" spans="13:13" x14ac:dyDescent="0.25">
      <c r="M3773" s="21"/>
    </row>
    <row r="3774" spans="13:13" x14ac:dyDescent="0.25">
      <c r="M3774" s="21"/>
    </row>
    <row r="3775" spans="13:13" x14ac:dyDescent="0.25">
      <c r="M3775" s="21"/>
    </row>
    <row r="3776" spans="13:13" x14ac:dyDescent="0.25">
      <c r="M3776" s="21"/>
    </row>
    <row r="3777" spans="13:13" x14ac:dyDescent="0.25">
      <c r="M3777" s="21"/>
    </row>
    <row r="3778" spans="13:13" x14ac:dyDescent="0.25">
      <c r="M3778" s="21"/>
    </row>
    <row r="3779" spans="13:13" x14ac:dyDescent="0.25">
      <c r="M3779" s="21"/>
    </row>
    <row r="3780" spans="13:13" x14ac:dyDescent="0.25">
      <c r="M3780" s="21"/>
    </row>
    <row r="3781" spans="13:13" x14ac:dyDescent="0.25">
      <c r="M3781" s="21"/>
    </row>
    <row r="3782" spans="13:13" x14ac:dyDescent="0.25">
      <c r="M3782" s="21"/>
    </row>
    <row r="3783" spans="13:13" x14ac:dyDescent="0.25">
      <c r="M3783" s="21"/>
    </row>
    <row r="3784" spans="13:13" x14ac:dyDescent="0.25">
      <c r="M3784" s="21"/>
    </row>
    <row r="3785" spans="13:13" x14ac:dyDescent="0.25">
      <c r="M3785" s="21"/>
    </row>
    <row r="3786" spans="13:13" x14ac:dyDescent="0.25">
      <c r="M3786" s="21"/>
    </row>
    <row r="3787" spans="13:13" x14ac:dyDescent="0.25">
      <c r="M3787" s="21"/>
    </row>
    <row r="3788" spans="13:13" x14ac:dyDescent="0.25">
      <c r="M3788" s="21"/>
    </row>
    <row r="3789" spans="13:13" x14ac:dyDescent="0.25">
      <c r="M3789" s="21"/>
    </row>
    <row r="3790" spans="13:13" x14ac:dyDescent="0.25">
      <c r="M3790" s="21"/>
    </row>
    <row r="3791" spans="13:13" x14ac:dyDescent="0.25">
      <c r="M3791" s="21"/>
    </row>
    <row r="3792" spans="13:13" x14ac:dyDescent="0.25">
      <c r="M3792" s="21"/>
    </row>
    <row r="3793" spans="13:13" x14ac:dyDescent="0.25">
      <c r="M3793" s="21"/>
    </row>
    <row r="3794" spans="13:13" x14ac:dyDescent="0.25">
      <c r="M3794" s="21"/>
    </row>
    <row r="3795" spans="13:13" x14ac:dyDescent="0.25">
      <c r="M3795" s="21"/>
    </row>
    <row r="3796" spans="13:13" x14ac:dyDescent="0.25">
      <c r="M3796" s="21"/>
    </row>
    <row r="3797" spans="13:13" x14ac:dyDescent="0.25">
      <c r="M3797" s="21"/>
    </row>
    <row r="3798" spans="13:13" x14ac:dyDescent="0.25">
      <c r="M3798" s="21"/>
    </row>
    <row r="3799" spans="13:13" x14ac:dyDescent="0.25">
      <c r="M3799" s="21"/>
    </row>
    <row r="3800" spans="13:13" x14ac:dyDescent="0.25">
      <c r="M3800" s="21"/>
    </row>
    <row r="3801" spans="13:13" x14ac:dyDescent="0.25">
      <c r="M3801" s="21"/>
    </row>
    <row r="3802" spans="13:13" x14ac:dyDescent="0.25">
      <c r="M3802" s="21"/>
    </row>
    <row r="3803" spans="13:13" x14ac:dyDescent="0.25">
      <c r="M3803" s="21"/>
    </row>
    <row r="3804" spans="13:13" x14ac:dyDescent="0.25">
      <c r="M3804" s="21"/>
    </row>
    <row r="3805" spans="13:13" x14ac:dyDescent="0.25">
      <c r="M3805" s="21"/>
    </row>
    <row r="3806" spans="13:13" x14ac:dyDescent="0.25">
      <c r="M3806" s="21"/>
    </row>
    <row r="3807" spans="13:13" x14ac:dyDescent="0.25">
      <c r="M3807" s="21"/>
    </row>
    <row r="3808" spans="13:13" x14ac:dyDescent="0.25">
      <c r="M3808" s="21"/>
    </row>
    <row r="3809" spans="13:13" x14ac:dyDescent="0.25">
      <c r="M3809" s="21"/>
    </row>
    <row r="3810" spans="13:13" x14ac:dyDescent="0.25">
      <c r="M3810" s="21"/>
    </row>
    <row r="3811" spans="13:13" x14ac:dyDescent="0.25">
      <c r="M3811" s="21"/>
    </row>
    <row r="3812" spans="13:13" x14ac:dyDescent="0.25">
      <c r="M3812" s="21"/>
    </row>
    <row r="3813" spans="13:13" x14ac:dyDescent="0.25">
      <c r="M3813" s="21"/>
    </row>
    <row r="3814" spans="13:13" x14ac:dyDescent="0.25">
      <c r="M3814" s="21"/>
    </row>
    <row r="3815" spans="13:13" x14ac:dyDescent="0.25">
      <c r="M3815" s="21"/>
    </row>
    <row r="3816" spans="13:13" x14ac:dyDescent="0.25">
      <c r="M3816" s="21"/>
    </row>
    <row r="3817" spans="13:13" x14ac:dyDescent="0.25">
      <c r="M3817" s="21"/>
    </row>
    <row r="3818" spans="13:13" x14ac:dyDescent="0.25">
      <c r="M3818" s="21"/>
    </row>
    <row r="3819" spans="13:13" x14ac:dyDescent="0.25">
      <c r="M3819" s="21"/>
    </row>
    <row r="3820" spans="13:13" x14ac:dyDescent="0.25">
      <c r="M3820" s="21"/>
    </row>
    <row r="3821" spans="13:13" x14ac:dyDescent="0.25">
      <c r="M3821" s="21"/>
    </row>
    <row r="3822" spans="13:13" x14ac:dyDescent="0.25">
      <c r="M3822" s="21"/>
    </row>
    <row r="3823" spans="13:13" x14ac:dyDescent="0.25">
      <c r="M3823" s="21"/>
    </row>
    <row r="3824" spans="13:13" x14ac:dyDescent="0.25">
      <c r="M3824" s="21"/>
    </row>
    <row r="3825" spans="13:13" x14ac:dyDescent="0.25">
      <c r="M3825" s="21"/>
    </row>
    <row r="3826" spans="13:13" x14ac:dyDescent="0.25">
      <c r="M3826" s="21"/>
    </row>
    <row r="3827" spans="13:13" x14ac:dyDescent="0.25">
      <c r="M3827" s="21"/>
    </row>
    <row r="3828" spans="13:13" x14ac:dyDescent="0.25">
      <c r="M3828" s="21"/>
    </row>
    <row r="3829" spans="13:13" x14ac:dyDescent="0.25">
      <c r="M3829" s="21"/>
    </row>
    <row r="3830" spans="13:13" x14ac:dyDescent="0.25">
      <c r="M3830" s="21"/>
    </row>
    <row r="3831" spans="13:13" x14ac:dyDescent="0.25">
      <c r="M3831" s="21"/>
    </row>
    <row r="3832" spans="13:13" x14ac:dyDescent="0.25">
      <c r="M3832" s="21"/>
    </row>
    <row r="3833" spans="13:13" x14ac:dyDescent="0.25">
      <c r="M3833" s="21"/>
    </row>
    <row r="3834" spans="13:13" x14ac:dyDescent="0.25">
      <c r="M3834" s="21"/>
    </row>
    <row r="3835" spans="13:13" x14ac:dyDescent="0.25">
      <c r="M3835" s="21"/>
    </row>
    <row r="3836" spans="13:13" x14ac:dyDescent="0.25">
      <c r="M3836" s="21"/>
    </row>
    <row r="3837" spans="13:13" x14ac:dyDescent="0.25">
      <c r="M3837" s="21"/>
    </row>
    <row r="3838" spans="13:13" x14ac:dyDescent="0.25">
      <c r="M3838" s="21"/>
    </row>
    <row r="3839" spans="13:13" x14ac:dyDescent="0.25">
      <c r="M3839" s="21"/>
    </row>
    <row r="3840" spans="13:13" x14ac:dyDescent="0.25">
      <c r="M3840" s="21"/>
    </row>
    <row r="3841" spans="13:13" x14ac:dyDescent="0.25">
      <c r="M3841" s="21"/>
    </row>
    <row r="3842" spans="13:13" x14ac:dyDescent="0.25">
      <c r="M3842" s="21"/>
    </row>
    <row r="3843" spans="13:13" x14ac:dyDescent="0.25">
      <c r="M3843" s="21"/>
    </row>
    <row r="3844" spans="13:13" x14ac:dyDescent="0.25">
      <c r="M3844" s="21"/>
    </row>
    <row r="3845" spans="13:13" x14ac:dyDescent="0.25">
      <c r="M3845" s="21"/>
    </row>
    <row r="3846" spans="13:13" x14ac:dyDescent="0.25">
      <c r="M3846" s="21"/>
    </row>
    <row r="3847" spans="13:13" x14ac:dyDescent="0.25">
      <c r="M3847" s="21"/>
    </row>
    <row r="3848" spans="13:13" x14ac:dyDescent="0.25">
      <c r="M3848" s="21"/>
    </row>
    <row r="3849" spans="13:13" x14ac:dyDescent="0.25">
      <c r="M3849" s="21"/>
    </row>
    <row r="3850" spans="13:13" x14ac:dyDescent="0.25">
      <c r="M3850" s="21"/>
    </row>
    <row r="3851" spans="13:13" x14ac:dyDescent="0.25">
      <c r="M3851" s="21"/>
    </row>
    <row r="3852" spans="13:13" x14ac:dyDescent="0.25">
      <c r="M3852" s="21"/>
    </row>
    <row r="3853" spans="13:13" x14ac:dyDescent="0.25">
      <c r="M3853" s="21"/>
    </row>
    <row r="3854" spans="13:13" x14ac:dyDescent="0.25">
      <c r="M3854" s="21"/>
    </row>
    <row r="3855" spans="13:13" x14ac:dyDescent="0.25">
      <c r="M3855" s="21"/>
    </row>
    <row r="3856" spans="13:13" x14ac:dyDescent="0.25">
      <c r="M3856" s="21"/>
    </row>
    <row r="3857" spans="13:13" x14ac:dyDescent="0.25">
      <c r="M3857" s="21"/>
    </row>
    <row r="3858" spans="13:13" x14ac:dyDescent="0.25">
      <c r="M3858" s="21"/>
    </row>
    <row r="3859" spans="13:13" x14ac:dyDescent="0.25">
      <c r="M3859" s="21"/>
    </row>
    <row r="3860" spans="13:13" x14ac:dyDescent="0.25">
      <c r="M3860" s="21"/>
    </row>
    <row r="3861" spans="13:13" x14ac:dyDescent="0.25">
      <c r="M3861" s="21"/>
    </row>
    <row r="3862" spans="13:13" x14ac:dyDescent="0.25">
      <c r="M3862" s="21"/>
    </row>
    <row r="3863" spans="13:13" x14ac:dyDescent="0.25">
      <c r="M3863" s="21"/>
    </row>
    <row r="3864" spans="13:13" x14ac:dyDescent="0.25">
      <c r="M3864" s="21"/>
    </row>
    <row r="3865" spans="13:13" x14ac:dyDescent="0.25">
      <c r="M3865" s="21"/>
    </row>
    <row r="3866" spans="13:13" x14ac:dyDescent="0.25">
      <c r="M3866" s="21"/>
    </row>
    <row r="3867" spans="13:13" x14ac:dyDescent="0.25">
      <c r="M3867" s="21"/>
    </row>
    <row r="3868" spans="13:13" x14ac:dyDescent="0.25">
      <c r="M3868" s="21"/>
    </row>
    <row r="3869" spans="13:13" x14ac:dyDescent="0.25">
      <c r="M3869" s="21"/>
    </row>
    <row r="3870" spans="13:13" x14ac:dyDescent="0.25">
      <c r="M3870" s="21"/>
    </row>
    <row r="3871" spans="13:13" x14ac:dyDescent="0.25">
      <c r="M3871" s="21"/>
    </row>
    <row r="3872" spans="13:13" x14ac:dyDescent="0.25">
      <c r="M3872" s="21"/>
    </row>
    <row r="3873" spans="13:13" x14ac:dyDescent="0.25">
      <c r="M3873" s="21"/>
    </row>
    <row r="3874" spans="13:13" x14ac:dyDescent="0.25">
      <c r="M3874" s="21"/>
    </row>
    <row r="3875" spans="13:13" x14ac:dyDescent="0.25">
      <c r="M3875" s="21"/>
    </row>
    <row r="3876" spans="13:13" x14ac:dyDescent="0.25">
      <c r="M3876" s="21"/>
    </row>
    <row r="3877" spans="13:13" x14ac:dyDescent="0.25">
      <c r="M3877" s="21"/>
    </row>
    <row r="3878" spans="13:13" x14ac:dyDescent="0.25">
      <c r="M3878" s="21"/>
    </row>
    <row r="3879" spans="13:13" x14ac:dyDescent="0.25">
      <c r="M3879" s="21"/>
    </row>
    <row r="3880" spans="13:13" x14ac:dyDescent="0.25">
      <c r="M3880" s="21"/>
    </row>
    <row r="3881" spans="13:13" x14ac:dyDescent="0.25">
      <c r="M3881" s="21"/>
    </row>
    <row r="3882" spans="13:13" x14ac:dyDescent="0.25">
      <c r="M3882" s="21"/>
    </row>
    <row r="3883" spans="13:13" x14ac:dyDescent="0.25">
      <c r="M3883" s="21"/>
    </row>
    <row r="3884" spans="13:13" x14ac:dyDescent="0.25">
      <c r="M3884" s="21"/>
    </row>
    <row r="3885" spans="13:13" x14ac:dyDescent="0.25">
      <c r="M3885" s="21"/>
    </row>
    <row r="3886" spans="13:13" x14ac:dyDescent="0.25">
      <c r="M3886" s="21"/>
    </row>
    <row r="3887" spans="13:13" x14ac:dyDescent="0.25">
      <c r="M3887" s="21"/>
    </row>
    <row r="3888" spans="13:13" x14ac:dyDescent="0.25">
      <c r="M3888" s="21"/>
    </row>
    <row r="3889" spans="13:13" x14ac:dyDescent="0.25">
      <c r="M3889" s="21"/>
    </row>
    <row r="3890" spans="13:13" x14ac:dyDescent="0.25">
      <c r="M3890" s="21"/>
    </row>
    <row r="3891" spans="13:13" x14ac:dyDescent="0.25">
      <c r="M3891" s="21"/>
    </row>
    <row r="3892" spans="13:13" x14ac:dyDescent="0.25">
      <c r="M3892" s="21"/>
    </row>
    <row r="3893" spans="13:13" x14ac:dyDescent="0.25">
      <c r="M3893" s="21"/>
    </row>
    <row r="3894" spans="13:13" x14ac:dyDescent="0.25">
      <c r="M3894" s="21"/>
    </row>
    <row r="3895" spans="13:13" x14ac:dyDescent="0.25">
      <c r="M3895" s="21"/>
    </row>
    <row r="3896" spans="13:13" x14ac:dyDescent="0.25">
      <c r="M3896" s="21"/>
    </row>
    <row r="3897" spans="13:13" x14ac:dyDescent="0.25">
      <c r="M3897" s="21"/>
    </row>
    <row r="3898" spans="13:13" x14ac:dyDescent="0.25">
      <c r="M3898" s="21"/>
    </row>
    <row r="3899" spans="13:13" x14ac:dyDescent="0.25">
      <c r="M3899" s="21"/>
    </row>
    <row r="3900" spans="13:13" x14ac:dyDescent="0.25">
      <c r="M3900" s="21"/>
    </row>
    <row r="3901" spans="13:13" x14ac:dyDescent="0.25">
      <c r="M3901" s="21"/>
    </row>
    <row r="3902" spans="13:13" x14ac:dyDescent="0.25">
      <c r="M3902" s="21"/>
    </row>
    <row r="3903" spans="13:13" x14ac:dyDescent="0.25">
      <c r="M3903" s="21"/>
    </row>
    <row r="3904" spans="13:13" x14ac:dyDescent="0.25">
      <c r="M3904" s="21"/>
    </row>
    <row r="3905" spans="13:13" x14ac:dyDescent="0.25">
      <c r="M3905" s="21"/>
    </row>
    <row r="3906" spans="13:13" x14ac:dyDescent="0.25">
      <c r="M3906" s="21"/>
    </row>
    <row r="3907" spans="13:13" x14ac:dyDescent="0.25">
      <c r="M3907" s="21"/>
    </row>
    <row r="3908" spans="13:13" x14ac:dyDescent="0.25">
      <c r="M3908" s="21"/>
    </row>
    <row r="3909" spans="13:13" x14ac:dyDescent="0.25">
      <c r="M3909" s="21"/>
    </row>
    <row r="3910" spans="13:13" x14ac:dyDescent="0.25">
      <c r="M3910" s="21"/>
    </row>
    <row r="3911" spans="13:13" x14ac:dyDescent="0.25">
      <c r="M3911" s="21"/>
    </row>
    <row r="3912" spans="13:13" x14ac:dyDescent="0.25">
      <c r="M3912" s="21"/>
    </row>
    <row r="3913" spans="13:13" x14ac:dyDescent="0.25">
      <c r="M3913" s="21"/>
    </row>
    <row r="3914" spans="13:13" x14ac:dyDescent="0.25">
      <c r="M3914" s="21"/>
    </row>
    <row r="3915" spans="13:13" x14ac:dyDescent="0.25">
      <c r="M3915" s="21"/>
    </row>
    <row r="3916" spans="13:13" x14ac:dyDescent="0.25">
      <c r="M3916" s="21"/>
    </row>
    <row r="3917" spans="13:13" x14ac:dyDescent="0.25">
      <c r="M3917" s="21"/>
    </row>
    <row r="3918" spans="13:13" x14ac:dyDescent="0.25">
      <c r="M3918" s="21"/>
    </row>
    <row r="3919" spans="13:13" x14ac:dyDescent="0.25">
      <c r="M3919" s="21"/>
    </row>
    <row r="3920" spans="13:13" x14ac:dyDescent="0.25">
      <c r="M3920" s="21"/>
    </row>
    <row r="3921" spans="13:13" x14ac:dyDescent="0.25">
      <c r="M3921" s="21"/>
    </row>
    <row r="3922" spans="13:13" x14ac:dyDescent="0.25">
      <c r="M3922" s="21"/>
    </row>
    <row r="3923" spans="13:13" x14ac:dyDescent="0.25">
      <c r="M3923" s="21"/>
    </row>
    <row r="3924" spans="13:13" x14ac:dyDescent="0.25">
      <c r="M3924" s="21"/>
    </row>
    <row r="3925" spans="13:13" x14ac:dyDescent="0.25">
      <c r="M3925" s="21"/>
    </row>
    <row r="3926" spans="13:13" x14ac:dyDescent="0.25">
      <c r="M3926" s="21"/>
    </row>
    <row r="3927" spans="13:13" x14ac:dyDescent="0.25">
      <c r="M3927" s="21"/>
    </row>
    <row r="3928" spans="13:13" x14ac:dyDescent="0.25">
      <c r="M3928" s="21"/>
    </row>
    <row r="3929" spans="13:13" x14ac:dyDescent="0.25">
      <c r="M3929" s="21"/>
    </row>
    <row r="3930" spans="13:13" x14ac:dyDescent="0.25">
      <c r="M3930" s="21"/>
    </row>
    <row r="3931" spans="13:13" x14ac:dyDescent="0.25">
      <c r="M3931" s="21"/>
    </row>
    <row r="3932" spans="13:13" x14ac:dyDescent="0.25">
      <c r="M3932" s="21"/>
    </row>
    <row r="3933" spans="13:13" x14ac:dyDescent="0.25">
      <c r="M3933" s="21"/>
    </row>
    <row r="3934" spans="13:13" x14ac:dyDescent="0.25">
      <c r="M3934" s="21"/>
    </row>
    <row r="3935" spans="13:13" x14ac:dyDescent="0.25">
      <c r="M3935" s="21"/>
    </row>
    <row r="3936" spans="13:13" x14ac:dyDescent="0.25">
      <c r="M3936" s="21"/>
    </row>
    <row r="3937" spans="13:13" x14ac:dyDescent="0.25">
      <c r="M3937" s="21"/>
    </row>
    <row r="3938" spans="13:13" x14ac:dyDescent="0.25">
      <c r="M3938" s="21"/>
    </row>
    <row r="3939" spans="13:13" x14ac:dyDescent="0.25">
      <c r="M3939" s="21"/>
    </row>
    <row r="3940" spans="13:13" x14ac:dyDescent="0.25">
      <c r="M3940" s="21"/>
    </row>
    <row r="3941" spans="13:13" x14ac:dyDescent="0.25">
      <c r="M3941" s="21"/>
    </row>
    <row r="3942" spans="13:13" x14ac:dyDescent="0.25">
      <c r="M3942" s="21"/>
    </row>
    <row r="3943" spans="13:13" x14ac:dyDescent="0.25">
      <c r="M3943" s="21"/>
    </row>
    <row r="3944" spans="13:13" x14ac:dyDescent="0.25">
      <c r="M3944" s="21"/>
    </row>
    <row r="3945" spans="13:13" x14ac:dyDescent="0.25">
      <c r="M3945" s="21"/>
    </row>
    <row r="3946" spans="13:13" x14ac:dyDescent="0.25">
      <c r="M3946" s="21"/>
    </row>
    <row r="3947" spans="13:13" x14ac:dyDescent="0.25">
      <c r="M3947" s="21"/>
    </row>
    <row r="3948" spans="13:13" x14ac:dyDescent="0.25">
      <c r="M3948" s="21"/>
    </row>
    <row r="3949" spans="13:13" x14ac:dyDescent="0.25">
      <c r="M3949" s="21"/>
    </row>
    <row r="3950" spans="13:13" x14ac:dyDescent="0.25">
      <c r="M3950" s="21"/>
    </row>
    <row r="3951" spans="13:13" x14ac:dyDescent="0.25">
      <c r="M3951" s="21"/>
    </row>
    <row r="3952" spans="13:13" x14ac:dyDescent="0.25">
      <c r="M3952" s="21"/>
    </row>
    <row r="3953" spans="13:13" x14ac:dyDescent="0.25">
      <c r="M3953" s="21"/>
    </row>
    <row r="3954" spans="13:13" x14ac:dyDescent="0.25">
      <c r="M3954" s="21"/>
    </row>
    <row r="3955" spans="13:13" x14ac:dyDescent="0.25">
      <c r="M3955" s="21"/>
    </row>
    <row r="3956" spans="13:13" x14ac:dyDescent="0.25">
      <c r="M3956" s="21"/>
    </row>
    <row r="3957" spans="13:13" x14ac:dyDescent="0.25">
      <c r="M3957" s="21"/>
    </row>
    <row r="3958" spans="13:13" x14ac:dyDescent="0.25">
      <c r="M3958" s="21"/>
    </row>
    <row r="3959" spans="13:13" x14ac:dyDescent="0.25">
      <c r="M3959" s="21"/>
    </row>
    <row r="3960" spans="13:13" x14ac:dyDescent="0.25">
      <c r="M3960" s="21"/>
    </row>
    <row r="3961" spans="13:13" x14ac:dyDescent="0.25">
      <c r="M3961" s="21"/>
    </row>
    <row r="3962" spans="13:13" x14ac:dyDescent="0.25">
      <c r="M3962" s="21"/>
    </row>
    <row r="3963" spans="13:13" x14ac:dyDescent="0.25">
      <c r="M3963" s="21"/>
    </row>
    <row r="3964" spans="13:13" x14ac:dyDescent="0.25">
      <c r="M3964" s="21"/>
    </row>
    <row r="3965" spans="13:13" x14ac:dyDescent="0.25">
      <c r="M3965" s="21"/>
    </row>
    <row r="3966" spans="13:13" x14ac:dyDescent="0.25">
      <c r="M3966" s="21"/>
    </row>
    <row r="3967" spans="13:13" x14ac:dyDescent="0.25">
      <c r="M3967" s="21"/>
    </row>
    <row r="3968" spans="13:13" x14ac:dyDescent="0.25">
      <c r="M3968" s="21"/>
    </row>
    <row r="3969" spans="13:13" x14ac:dyDescent="0.25">
      <c r="M3969" s="21"/>
    </row>
    <row r="3970" spans="13:13" x14ac:dyDescent="0.25">
      <c r="M3970" s="21"/>
    </row>
    <row r="3971" spans="13:13" x14ac:dyDescent="0.25">
      <c r="M3971" s="21"/>
    </row>
    <row r="3972" spans="13:13" x14ac:dyDescent="0.25">
      <c r="M3972" s="21"/>
    </row>
    <row r="3973" spans="13:13" x14ac:dyDescent="0.25">
      <c r="M3973" s="21"/>
    </row>
    <row r="3974" spans="13:13" x14ac:dyDescent="0.25">
      <c r="M3974" s="21"/>
    </row>
    <row r="3975" spans="13:13" x14ac:dyDescent="0.25">
      <c r="M3975" s="21"/>
    </row>
    <row r="3976" spans="13:13" x14ac:dyDescent="0.25">
      <c r="M3976" s="21"/>
    </row>
    <row r="3977" spans="13:13" x14ac:dyDescent="0.25">
      <c r="M3977" s="21"/>
    </row>
    <row r="3978" spans="13:13" x14ac:dyDescent="0.25">
      <c r="M3978" s="21"/>
    </row>
    <row r="3979" spans="13:13" x14ac:dyDescent="0.25">
      <c r="M3979" s="21"/>
    </row>
    <row r="3980" spans="13:13" x14ac:dyDescent="0.25">
      <c r="M3980" s="21"/>
    </row>
    <row r="3981" spans="13:13" x14ac:dyDescent="0.25">
      <c r="M3981" s="21"/>
    </row>
    <row r="3982" spans="13:13" x14ac:dyDescent="0.25">
      <c r="M3982" s="21"/>
    </row>
    <row r="3983" spans="13:13" x14ac:dyDescent="0.25">
      <c r="M3983" s="21"/>
    </row>
    <row r="3984" spans="13:13" x14ac:dyDescent="0.25">
      <c r="M3984" s="21"/>
    </row>
    <row r="3985" spans="13:13" x14ac:dyDescent="0.25">
      <c r="M3985" s="21"/>
    </row>
    <row r="3986" spans="13:13" x14ac:dyDescent="0.25">
      <c r="M3986" s="21"/>
    </row>
    <row r="3987" spans="13:13" x14ac:dyDescent="0.25">
      <c r="M3987" s="21"/>
    </row>
    <row r="3988" spans="13:13" x14ac:dyDescent="0.25">
      <c r="M3988" s="21"/>
    </row>
    <row r="3989" spans="13:13" x14ac:dyDescent="0.25">
      <c r="M3989" s="21"/>
    </row>
    <row r="3990" spans="13:13" x14ac:dyDescent="0.25">
      <c r="M3990" s="21"/>
    </row>
    <row r="3991" spans="13:13" x14ac:dyDescent="0.25">
      <c r="M3991" s="21"/>
    </row>
    <row r="3992" spans="13:13" x14ac:dyDescent="0.25">
      <c r="M3992" s="21"/>
    </row>
    <row r="3993" spans="13:13" x14ac:dyDescent="0.25">
      <c r="M3993" s="21"/>
    </row>
    <row r="3994" spans="13:13" x14ac:dyDescent="0.25">
      <c r="M3994" s="21"/>
    </row>
    <row r="3995" spans="13:13" x14ac:dyDescent="0.25">
      <c r="M3995" s="21"/>
    </row>
    <row r="3996" spans="13:13" x14ac:dyDescent="0.25">
      <c r="M3996" s="21"/>
    </row>
    <row r="3997" spans="13:13" x14ac:dyDescent="0.25">
      <c r="M3997" s="21"/>
    </row>
    <row r="3998" spans="13:13" x14ac:dyDescent="0.25">
      <c r="M3998" s="21"/>
    </row>
    <row r="3999" spans="13:13" x14ac:dyDescent="0.25">
      <c r="M3999" s="21"/>
    </row>
    <row r="4000" spans="13:13" x14ac:dyDescent="0.25">
      <c r="M4000" s="21"/>
    </row>
    <row r="4001" spans="13:13" x14ac:dyDescent="0.25">
      <c r="M4001" s="21"/>
    </row>
    <row r="4002" spans="13:13" x14ac:dyDescent="0.25">
      <c r="M4002" s="21"/>
    </row>
    <row r="4003" spans="13:13" x14ac:dyDescent="0.25">
      <c r="M4003" s="21"/>
    </row>
    <row r="4004" spans="13:13" x14ac:dyDescent="0.25">
      <c r="M4004" s="21"/>
    </row>
    <row r="4005" spans="13:13" x14ac:dyDescent="0.25">
      <c r="M4005" s="21"/>
    </row>
    <row r="4006" spans="13:13" x14ac:dyDescent="0.25">
      <c r="M4006" s="21"/>
    </row>
    <row r="4007" spans="13:13" x14ac:dyDescent="0.25">
      <c r="M4007" s="21"/>
    </row>
    <row r="4008" spans="13:13" x14ac:dyDescent="0.25">
      <c r="M4008" s="21"/>
    </row>
    <row r="4009" spans="13:13" x14ac:dyDescent="0.25">
      <c r="M4009" s="21"/>
    </row>
    <row r="4010" spans="13:13" x14ac:dyDescent="0.25">
      <c r="M4010" s="21"/>
    </row>
    <row r="4011" spans="13:13" x14ac:dyDescent="0.25">
      <c r="M4011" s="21"/>
    </row>
    <row r="4012" spans="13:13" x14ac:dyDescent="0.25">
      <c r="M4012" s="21"/>
    </row>
    <row r="4013" spans="13:13" x14ac:dyDescent="0.25">
      <c r="M4013" s="21"/>
    </row>
    <row r="4014" spans="13:13" x14ac:dyDescent="0.25">
      <c r="M4014" s="21"/>
    </row>
    <row r="4015" spans="13:13" x14ac:dyDescent="0.25">
      <c r="M4015" s="21"/>
    </row>
    <row r="4016" spans="13:13" x14ac:dyDescent="0.25">
      <c r="M4016" s="21"/>
    </row>
    <row r="4017" spans="13:13" x14ac:dyDescent="0.25">
      <c r="M4017" s="21"/>
    </row>
    <row r="4018" spans="13:13" x14ac:dyDescent="0.25">
      <c r="M4018" s="21"/>
    </row>
    <row r="4019" spans="13:13" x14ac:dyDescent="0.25">
      <c r="M4019" s="21"/>
    </row>
    <row r="4020" spans="13:13" x14ac:dyDescent="0.25">
      <c r="M4020" s="21"/>
    </row>
    <row r="4021" spans="13:13" x14ac:dyDescent="0.25">
      <c r="M4021" s="21"/>
    </row>
    <row r="4022" spans="13:13" x14ac:dyDescent="0.25">
      <c r="M4022" s="21"/>
    </row>
    <row r="4023" spans="13:13" x14ac:dyDescent="0.25">
      <c r="M4023" s="21"/>
    </row>
    <row r="4024" spans="13:13" x14ac:dyDescent="0.25">
      <c r="M4024" s="21"/>
    </row>
    <row r="4025" spans="13:13" x14ac:dyDescent="0.25">
      <c r="M4025" s="21"/>
    </row>
    <row r="4026" spans="13:13" x14ac:dyDescent="0.25">
      <c r="M4026" s="21"/>
    </row>
    <row r="4027" spans="13:13" x14ac:dyDescent="0.25">
      <c r="M4027" s="21"/>
    </row>
    <row r="4028" spans="13:13" x14ac:dyDescent="0.25">
      <c r="M4028" s="21"/>
    </row>
    <row r="4029" spans="13:13" x14ac:dyDescent="0.25">
      <c r="M4029" s="21"/>
    </row>
    <row r="4030" spans="13:13" x14ac:dyDescent="0.25">
      <c r="M4030" s="21"/>
    </row>
    <row r="4031" spans="13:13" x14ac:dyDescent="0.25">
      <c r="M4031" s="21"/>
    </row>
    <row r="4032" spans="13:13" x14ac:dyDescent="0.25">
      <c r="M4032" s="21"/>
    </row>
    <row r="4033" spans="13:13" x14ac:dyDescent="0.25">
      <c r="M4033" s="21"/>
    </row>
    <row r="4034" spans="13:13" x14ac:dyDescent="0.25">
      <c r="M4034" s="21"/>
    </row>
    <row r="4035" spans="13:13" x14ac:dyDescent="0.25">
      <c r="M4035" s="21"/>
    </row>
    <row r="4036" spans="13:13" x14ac:dyDescent="0.25">
      <c r="M4036" s="21"/>
    </row>
    <row r="4037" spans="13:13" x14ac:dyDescent="0.25">
      <c r="M4037" s="21"/>
    </row>
    <row r="4038" spans="13:13" x14ac:dyDescent="0.25">
      <c r="M4038" s="21"/>
    </row>
    <row r="4039" spans="13:13" x14ac:dyDescent="0.25">
      <c r="M4039" s="21"/>
    </row>
    <row r="4040" spans="13:13" x14ac:dyDescent="0.25">
      <c r="M4040" s="21"/>
    </row>
    <row r="4041" spans="13:13" x14ac:dyDescent="0.25">
      <c r="M4041" s="21"/>
    </row>
    <row r="4042" spans="13:13" x14ac:dyDescent="0.25">
      <c r="M4042" s="21"/>
    </row>
    <row r="4043" spans="13:13" x14ac:dyDescent="0.25">
      <c r="M4043" s="21"/>
    </row>
    <row r="4044" spans="13:13" x14ac:dyDescent="0.25">
      <c r="M4044" s="21"/>
    </row>
    <row r="4045" spans="13:13" x14ac:dyDescent="0.25">
      <c r="M4045" s="21"/>
    </row>
    <row r="4046" spans="13:13" x14ac:dyDescent="0.25">
      <c r="M4046" s="21"/>
    </row>
    <row r="4047" spans="13:13" x14ac:dyDescent="0.25">
      <c r="M4047" s="21"/>
    </row>
    <row r="4048" spans="13:13" x14ac:dyDescent="0.25">
      <c r="M4048" s="21"/>
    </row>
    <row r="4049" spans="13:13" x14ac:dyDescent="0.25">
      <c r="M4049" s="21"/>
    </row>
    <row r="4050" spans="13:13" x14ac:dyDescent="0.25">
      <c r="M4050" s="21"/>
    </row>
    <row r="4051" spans="13:13" x14ac:dyDescent="0.25">
      <c r="M4051" s="21"/>
    </row>
    <row r="4052" spans="13:13" x14ac:dyDescent="0.25">
      <c r="M4052" s="21"/>
    </row>
    <row r="4053" spans="13:13" x14ac:dyDescent="0.25">
      <c r="M4053" s="21"/>
    </row>
    <row r="4054" spans="13:13" x14ac:dyDescent="0.25">
      <c r="M4054" s="21"/>
    </row>
    <row r="4055" spans="13:13" x14ac:dyDescent="0.25">
      <c r="M4055" s="21"/>
    </row>
    <row r="4056" spans="13:13" x14ac:dyDescent="0.25">
      <c r="M4056" s="21"/>
    </row>
    <row r="4057" spans="13:13" x14ac:dyDescent="0.25">
      <c r="M4057" s="21"/>
    </row>
    <row r="4058" spans="13:13" x14ac:dyDescent="0.25">
      <c r="M4058" s="21"/>
    </row>
    <row r="4059" spans="13:13" x14ac:dyDescent="0.25">
      <c r="M4059" s="21"/>
    </row>
    <row r="4060" spans="13:13" x14ac:dyDescent="0.25">
      <c r="M4060" s="21"/>
    </row>
    <row r="4061" spans="13:13" x14ac:dyDescent="0.25">
      <c r="M4061" s="21"/>
    </row>
    <row r="4062" spans="13:13" x14ac:dyDescent="0.25">
      <c r="M4062" s="21"/>
    </row>
    <row r="4063" spans="13:13" x14ac:dyDescent="0.25">
      <c r="M4063" s="21"/>
    </row>
    <row r="4064" spans="13:13" x14ac:dyDescent="0.25">
      <c r="M4064" s="21"/>
    </row>
    <row r="4065" spans="13:13" x14ac:dyDescent="0.25">
      <c r="M4065" s="21"/>
    </row>
    <row r="4066" spans="13:13" x14ac:dyDescent="0.25">
      <c r="M4066" s="21"/>
    </row>
    <row r="4067" spans="13:13" x14ac:dyDescent="0.25">
      <c r="M4067" s="21"/>
    </row>
    <row r="4068" spans="13:13" x14ac:dyDescent="0.25">
      <c r="M4068" s="21"/>
    </row>
    <row r="4069" spans="13:13" x14ac:dyDescent="0.25">
      <c r="M4069" s="21"/>
    </row>
    <row r="4070" spans="13:13" x14ac:dyDescent="0.25">
      <c r="M4070" s="21"/>
    </row>
    <row r="4071" spans="13:13" x14ac:dyDescent="0.25">
      <c r="M4071" s="21"/>
    </row>
    <row r="4072" spans="13:13" x14ac:dyDescent="0.25">
      <c r="M4072" s="21"/>
    </row>
    <row r="4073" spans="13:13" x14ac:dyDescent="0.25">
      <c r="M4073" s="21"/>
    </row>
    <row r="4074" spans="13:13" x14ac:dyDescent="0.25">
      <c r="M4074" s="21"/>
    </row>
    <row r="4075" spans="13:13" x14ac:dyDescent="0.25">
      <c r="M4075" s="21"/>
    </row>
    <row r="4076" spans="13:13" x14ac:dyDescent="0.25">
      <c r="M4076" s="21"/>
    </row>
    <row r="4077" spans="13:13" x14ac:dyDescent="0.25">
      <c r="M4077" s="21"/>
    </row>
    <row r="4078" spans="13:13" x14ac:dyDescent="0.25">
      <c r="M4078" s="21"/>
    </row>
    <row r="4079" spans="13:13" x14ac:dyDescent="0.25">
      <c r="M4079" s="21"/>
    </row>
    <row r="4080" spans="13:13" x14ac:dyDescent="0.25">
      <c r="M4080" s="21"/>
    </row>
    <row r="4081" spans="13:13" x14ac:dyDescent="0.25">
      <c r="M4081" s="21"/>
    </row>
    <row r="4082" spans="13:13" x14ac:dyDescent="0.25">
      <c r="M4082" s="21"/>
    </row>
    <row r="4083" spans="13:13" x14ac:dyDescent="0.25">
      <c r="M4083" s="21"/>
    </row>
    <row r="4084" spans="13:13" x14ac:dyDescent="0.25">
      <c r="M4084" s="21"/>
    </row>
    <row r="4085" spans="13:13" x14ac:dyDescent="0.25">
      <c r="M4085" s="21"/>
    </row>
    <row r="4086" spans="13:13" x14ac:dyDescent="0.25">
      <c r="M4086" s="21"/>
    </row>
    <row r="4087" spans="13:13" x14ac:dyDescent="0.25">
      <c r="M4087" s="21"/>
    </row>
    <row r="4088" spans="13:13" x14ac:dyDescent="0.25">
      <c r="M4088" s="21"/>
    </row>
    <row r="4089" spans="13:13" x14ac:dyDescent="0.25">
      <c r="M4089" s="21"/>
    </row>
    <row r="4090" spans="13:13" x14ac:dyDescent="0.25">
      <c r="M4090" s="21"/>
    </row>
    <row r="4091" spans="13:13" x14ac:dyDescent="0.25">
      <c r="M4091" s="21"/>
    </row>
    <row r="4092" spans="13:13" x14ac:dyDescent="0.25">
      <c r="M4092" s="21"/>
    </row>
    <row r="4093" spans="13:13" x14ac:dyDescent="0.25">
      <c r="M4093" s="21"/>
    </row>
    <row r="4094" spans="13:13" x14ac:dyDescent="0.25">
      <c r="M4094" s="21"/>
    </row>
    <row r="4095" spans="13:13" x14ac:dyDescent="0.25">
      <c r="M4095" s="21"/>
    </row>
    <row r="4096" spans="13:13" x14ac:dyDescent="0.25">
      <c r="M4096" s="21"/>
    </row>
    <row r="4097" spans="13:13" x14ac:dyDescent="0.25">
      <c r="M4097" s="21"/>
    </row>
    <row r="4098" spans="13:13" x14ac:dyDescent="0.25">
      <c r="M4098" s="21"/>
    </row>
    <row r="4099" spans="13:13" x14ac:dyDescent="0.25">
      <c r="M4099" s="21"/>
    </row>
    <row r="4100" spans="13:13" x14ac:dyDescent="0.25">
      <c r="M4100" s="21"/>
    </row>
    <row r="4101" spans="13:13" x14ac:dyDescent="0.25">
      <c r="M4101" s="21"/>
    </row>
    <row r="4102" spans="13:13" x14ac:dyDescent="0.25">
      <c r="M4102" s="21"/>
    </row>
    <row r="4103" spans="13:13" x14ac:dyDescent="0.25">
      <c r="M4103" s="21"/>
    </row>
    <row r="4104" spans="13:13" x14ac:dyDescent="0.25">
      <c r="M4104" s="21"/>
    </row>
    <row r="4105" spans="13:13" x14ac:dyDescent="0.25">
      <c r="M4105" s="21"/>
    </row>
    <row r="4106" spans="13:13" x14ac:dyDescent="0.25">
      <c r="M4106" s="21"/>
    </row>
    <row r="4107" spans="13:13" x14ac:dyDescent="0.25">
      <c r="M4107" s="21"/>
    </row>
    <row r="4108" spans="13:13" x14ac:dyDescent="0.25">
      <c r="M4108" s="21"/>
    </row>
    <row r="4109" spans="13:13" x14ac:dyDescent="0.25">
      <c r="M4109" s="21"/>
    </row>
    <row r="4110" spans="13:13" x14ac:dyDescent="0.25">
      <c r="M4110" s="21"/>
    </row>
    <row r="4111" spans="13:13" x14ac:dyDescent="0.25">
      <c r="M4111" s="21"/>
    </row>
    <row r="4112" spans="13:13" x14ac:dyDescent="0.25">
      <c r="M4112" s="21"/>
    </row>
    <row r="4113" spans="13:13" x14ac:dyDescent="0.25">
      <c r="M4113" s="21"/>
    </row>
    <row r="4114" spans="13:13" x14ac:dyDescent="0.25">
      <c r="M4114" s="21"/>
    </row>
    <row r="4115" spans="13:13" x14ac:dyDescent="0.25">
      <c r="M4115" s="21"/>
    </row>
    <row r="4116" spans="13:13" x14ac:dyDescent="0.25">
      <c r="M4116" s="21"/>
    </row>
    <row r="4117" spans="13:13" x14ac:dyDescent="0.25">
      <c r="M4117" s="21"/>
    </row>
    <row r="4118" spans="13:13" x14ac:dyDescent="0.25">
      <c r="M4118" s="21"/>
    </row>
    <row r="4119" spans="13:13" x14ac:dyDescent="0.25">
      <c r="M4119" s="21"/>
    </row>
    <row r="4120" spans="13:13" x14ac:dyDescent="0.25">
      <c r="M4120" s="21"/>
    </row>
    <row r="4121" spans="13:13" x14ac:dyDescent="0.25">
      <c r="M4121" s="21"/>
    </row>
    <row r="4122" spans="13:13" x14ac:dyDescent="0.25">
      <c r="M4122" s="21"/>
    </row>
    <row r="4123" spans="13:13" x14ac:dyDescent="0.25">
      <c r="M4123" s="21"/>
    </row>
    <row r="4124" spans="13:13" x14ac:dyDescent="0.25">
      <c r="M4124" s="21"/>
    </row>
    <row r="4125" spans="13:13" x14ac:dyDescent="0.25">
      <c r="M4125" s="21"/>
    </row>
    <row r="4126" spans="13:13" x14ac:dyDescent="0.25">
      <c r="M4126" s="21"/>
    </row>
    <row r="4127" spans="13:13" x14ac:dyDescent="0.25">
      <c r="M4127" s="21"/>
    </row>
    <row r="4128" spans="13:13" x14ac:dyDescent="0.25">
      <c r="M4128" s="21"/>
    </row>
    <row r="4129" spans="13:13" x14ac:dyDescent="0.25">
      <c r="M4129" s="21"/>
    </row>
    <row r="4130" spans="13:13" x14ac:dyDescent="0.25">
      <c r="M4130" s="21"/>
    </row>
    <row r="4131" spans="13:13" x14ac:dyDescent="0.25">
      <c r="M4131" s="21"/>
    </row>
    <row r="4132" spans="13:13" x14ac:dyDescent="0.25">
      <c r="M4132" s="21"/>
    </row>
    <row r="4133" spans="13:13" x14ac:dyDescent="0.25">
      <c r="M4133" s="21"/>
    </row>
    <row r="4134" spans="13:13" x14ac:dyDescent="0.25">
      <c r="M4134" s="21"/>
    </row>
    <row r="4135" spans="13:13" x14ac:dyDescent="0.25">
      <c r="M4135" s="21"/>
    </row>
    <row r="4136" spans="13:13" x14ac:dyDescent="0.25">
      <c r="M4136" s="21"/>
    </row>
    <row r="4137" spans="13:13" x14ac:dyDescent="0.25">
      <c r="M4137" s="21"/>
    </row>
    <row r="4138" spans="13:13" x14ac:dyDescent="0.25">
      <c r="M4138" s="21"/>
    </row>
    <row r="4139" spans="13:13" x14ac:dyDescent="0.25">
      <c r="M4139" s="21"/>
    </row>
    <row r="4140" spans="13:13" x14ac:dyDescent="0.25">
      <c r="M4140" s="21"/>
    </row>
    <row r="4141" spans="13:13" x14ac:dyDescent="0.25">
      <c r="M4141" s="21"/>
    </row>
    <row r="4142" spans="13:13" x14ac:dyDescent="0.25">
      <c r="M4142" s="21"/>
    </row>
    <row r="4143" spans="13:13" x14ac:dyDescent="0.25">
      <c r="M4143" s="21"/>
    </row>
    <row r="4144" spans="13:13" x14ac:dyDescent="0.25">
      <c r="M4144" s="21"/>
    </row>
    <row r="4145" spans="13:13" x14ac:dyDescent="0.25">
      <c r="M4145" s="21"/>
    </row>
    <row r="4146" spans="13:13" x14ac:dyDescent="0.25">
      <c r="M4146" s="21"/>
    </row>
    <row r="4147" spans="13:13" x14ac:dyDescent="0.25">
      <c r="M4147" s="21"/>
    </row>
    <row r="4148" spans="13:13" x14ac:dyDescent="0.25">
      <c r="M4148" s="21"/>
    </row>
    <row r="4149" spans="13:13" x14ac:dyDescent="0.25">
      <c r="M4149" s="21"/>
    </row>
    <row r="4150" spans="13:13" x14ac:dyDescent="0.25">
      <c r="M4150" s="21"/>
    </row>
    <row r="4151" spans="13:13" x14ac:dyDescent="0.25">
      <c r="M4151" s="21"/>
    </row>
    <row r="4152" spans="13:13" x14ac:dyDescent="0.25">
      <c r="M4152" s="21"/>
    </row>
    <row r="4153" spans="13:13" x14ac:dyDescent="0.25">
      <c r="M4153" s="21"/>
    </row>
    <row r="4154" spans="13:13" x14ac:dyDescent="0.25">
      <c r="M4154" s="21"/>
    </row>
    <row r="4155" spans="13:13" x14ac:dyDescent="0.25">
      <c r="M4155" s="21"/>
    </row>
    <row r="4156" spans="13:13" x14ac:dyDescent="0.25">
      <c r="M4156" s="21"/>
    </row>
    <row r="4157" spans="13:13" x14ac:dyDescent="0.25">
      <c r="M4157" s="21"/>
    </row>
    <row r="4158" spans="13:13" x14ac:dyDescent="0.25">
      <c r="M4158" s="21"/>
    </row>
    <row r="4159" spans="13:13" x14ac:dyDescent="0.25">
      <c r="M4159" s="21"/>
    </row>
    <row r="4160" spans="13:13" x14ac:dyDescent="0.25">
      <c r="M4160" s="21"/>
    </row>
    <row r="4161" spans="13:13" x14ac:dyDescent="0.25">
      <c r="M4161" s="21"/>
    </row>
    <row r="4162" spans="13:13" x14ac:dyDescent="0.25">
      <c r="M4162" s="21"/>
    </row>
    <row r="4163" spans="13:13" x14ac:dyDescent="0.25">
      <c r="M4163" s="21"/>
    </row>
    <row r="4164" spans="13:13" x14ac:dyDescent="0.25">
      <c r="M4164" s="21"/>
    </row>
    <row r="4165" spans="13:13" x14ac:dyDescent="0.25">
      <c r="M4165" s="21"/>
    </row>
    <row r="4166" spans="13:13" x14ac:dyDescent="0.25">
      <c r="M4166" s="21"/>
    </row>
    <row r="4167" spans="13:13" x14ac:dyDescent="0.25">
      <c r="M4167" s="21"/>
    </row>
    <row r="4168" spans="13:13" x14ac:dyDescent="0.25">
      <c r="M4168" s="21"/>
    </row>
    <row r="4169" spans="13:13" x14ac:dyDescent="0.25">
      <c r="M4169" s="21"/>
    </row>
    <row r="4170" spans="13:13" x14ac:dyDescent="0.25">
      <c r="M4170" s="21"/>
    </row>
    <row r="4171" spans="13:13" x14ac:dyDescent="0.25">
      <c r="M4171" s="21"/>
    </row>
    <row r="4172" spans="13:13" x14ac:dyDescent="0.25">
      <c r="M4172" s="21"/>
    </row>
    <row r="4173" spans="13:13" x14ac:dyDescent="0.25">
      <c r="M4173" s="21"/>
    </row>
    <row r="4174" spans="13:13" x14ac:dyDescent="0.25">
      <c r="M4174" s="21"/>
    </row>
    <row r="4175" spans="13:13" x14ac:dyDescent="0.25">
      <c r="M4175" s="21"/>
    </row>
    <row r="4176" spans="13:13" x14ac:dyDescent="0.25">
      <c r="M4176" s="21"/>
    </row>
    <row r="4177" spans="13:13" x14ac:dyDescent="0.25">
      <c r="M4177" s="21"/>
    </row>
    <row r="4178" spans="13:13" x14ac:dyDescent="0.25">
      <c r="M4178" s="21"/>
    </row>
    <row r="4179" spans="13:13" x14ac:dyDescent="0.25">
      <c r="M4179" s="21"/>
    </row>
    <row r="4180" spans="13:13" x14ac:dyDescent="0.25">
      <c r="M4180" s="21"/>
    </row>
    <row r="4181" spans="13:13" x14ac:dyDescent="0.25">
      <c r="M4181" s="21"/>
    </row>
    <row r="4182" spans="13:13" x14ac:dyDescent="0.25">
      <c r="M4182" s="21"/>
    </row>
    <row r="4183" spans="13:13" x14ac:dyDescent="0.25">
      <c r="M4183" s="21"/>
    </row>
    <row r="4184" spans="13:13" x14ac:dyDescent="0.25">
      <c r="M4184" s="21"/>
    </row>
    <row r="4185" spans="13:13" x14ac:dyDescent="0.25">
      <c r="M4185" s="21"/>
    </row>
    <row r="4186" spans="13:13" x14ac:dyDescent="0.25">
      <c r="M4186" s="21"/>
    </row>
    <row r="4187" spans="13:13" x14ac:dyDescent="0.25">
      <c r="M4187" s="21"/>
    </row>
    <row r="4188" spans="13:13" x14ac:dyDescent="0.25">
      <c r="M4188" s="21"/>
    </row>
    <row r="4189" spans="13:13" x14ac:dyDescent="0.25">
      <c r="M4189" s="21"/>
    </row>
    <row r="4190" spans="13:13" x14ac:dyDescent="0.25">
      <c r="M4190" s="21"/>
    </row>
    <row r="4191" spans="13:13" x14ac:dyDescent="0.25">
      <c r="M4191" s="21"/>
    </row>
    <row r="4192" spans="13:13" x14ac:dyDescent="0.25">
      <c r="M4192" s="21"/>
    </row>
    <row r="4193" spans="13:13" x14ac:dyDescent="0.25">
      <c r="M4193" s="21"/>
    </row>
    <row r="4194" spans="13:13" x14ac:dyDescent="0.25">
      <c r="M4194" s="21"/>
    </row>
    <row r="4195" spans="13:13" x14ac:dyDescent="0.25">
      <c r="M4195" s="21"/>
    </row>
    <row r="4196" spans="13:13" x14ac:dyDescent="0.25">
      <c r="M4196" s="21"/>
    </row>
    <row r="4197" spans="13:13" x14ac:dyDescent="0.25">
      <c r="M4197" s="21"/>
    </row>
    <row r="4198" spans="13:13" x14ac:dyDescent="0.25">
      <c r="M4198" s="21"/>
    </row>
    <row r="4199" spans="13:13" x14ac:dyDescent="0.25">
      <c r="M4199" s="21"/>
    </row>
    <row r="4200" spans="13:13" x14ac:dyDescent="0.25">
      <c r="M4200" s="21"/>
    </row>
    <row r="4201" spans="13:13" x14ac:dyDescent="0.25">
      <c r="M4201" s="21"/>
    </row>
    <row r="4202" spans="13:13" x14ac:dyDescent="0.25">
      <c r="M4202" s="21"/>
    </row>
    <row r="4203" spans="13:13" x14ac:dyDescent="0.25">
      <c r="M4203" s="21"/>
    </row>
    <row r="4204" spans="13:13" x14ac:dyDescent="0.25">
      <c r="M4204" s="21"/>
    </row>
    <row r="4205" spans="13:13" x14ac:dyDescent="0.25">
      <c r="M4205" s="21"/>
    </row>
    <row r="4206" spans="13:13" x14ac:dyDescent="0.25">
      <c r="M4206" s="21"/>
    </row>
    <row r="4207" spans="13:13" x14ac:dyDescent="0.25">
      <c r="M4207" s="21"/>
    </row>
    <row r="4208" spans="13:13" x14ac:dyDescent="0.25">
      <c r="M4208" s="21"/>
    </row>
    <row r="4209" spans="13:13" x14ac:dyDescent="0.25">
      <c r="M4209" s="21"/>
    </row>
    <row r="4210" spans="13:13" x14ac:dyDescent="0.25">
      <c r="M4210" s="21"/>
    </row>
    <row r="4211" spans="13:13" x14ac:dyDescent="0.25">
      <c r="M4211" s="21"/>
    </row>
    <row r="4212" spans="13:13" x14ac:dyDescent="0.25">
      <c r="M4212" s="21"/>
    </row>
    <row r="4213" spans="13:13" x14ac:dyDescent="0.25">
      <c r="M4213" s="21"/>
    </row>
    <row r="4214" spans="13:13" x14ac:dyDescent="0.25">
      <c r="M4214" s="21"/>
    </row>
    <row r="4215" spans="13:13" x14ac:dyDescent="0.25">
      <c r="M4215" s="21"/>
    </row>
    <row r="4216" spans="13:13" x14ac:dyDescent="0.25">
      <c r="M4216" s="21"/>
    </row>
    <row r="4217" spans="13:13" x14ac:dyDescent="0.25">
      <c r="M4217" s="21"/>
    </row>
    <row r="4218" spans="13:13" x14ac:dyDescent="0.25">
      <c r="M4218" s="21"/>
    </row>
    <row r="4219" spans="13:13" x14ac:dyDescent="0.25">
      <c r="M4219" s="21"/>
    </row>
    <row r="4220" spans="13:13" x14ac:dyDescent="0.25">
      <c r="M4220" s="21"/>
    </row>
    <row r="4221" spans="13:13" x14ac:dyDescent="0.25">
      <c r="M4221" s="21"/>
    </row>
    <row r="4222" spans="13:13" x14ac:dyDescent="0.25">
      <c r="M4222" s="21"/>
    </row>
    <row r="4223" spans="13:13" x14ac:dyDescent="0.25">
      <c r="M4223" s="21"/>
    </row>
    <row r="4224" spans="13:13" x14ac:dyDescent="0.25">
      <c r="M4224" s="21"/>
    </row>
    <row r="4225" spans="13:13" x14ac:dyDescent="0.25">
      <c r="M4225" s="21"/>
    </row>
    <row r="4226" spans="13:13" x14ac:dyDescent="0.25">
      <c r="M4226" s="21"/>
    </row>
    <row r="4227" spans="13:13" x14ac:dyDescent="0.25">
      <c r="M4227" s="21"/>
    </row>
    <row r="4228" spans="13:13" x14ac:dyDescent="0.25">
      <c r="M4228" s="21"/>
    </row>
    <row r="4229" spans="13:13" x14ac:dyDescent="0.25">
      <c r="M4229" s="21"/>
    </row>
    <row r="4230" spans="13:13" x14ac:dyDescent="0.25">
      <c r="M4230" s="21"/>
    </row>
    <row r="4231" spans="13:13" x14ac:dyDescent="0.25">
      <c r="M4231" s="21"/>
    </row>
    <row r="4232" spans="13:13" x14ac:dyDescent="0.25">
      <c r="M4232" s="21"/>
    </row>
    <row r="4233" spans="13:13" x14ac:dyDescent="0.25">
      <c r="M4233" s="21"/>
    </row>
    <row r="4234" spans="13:13" x14ac:dyDescent="0.25">
      <c r="M4234" s="21"/>
    </row>
    <row r="4235" spans="13:13" x14ac:dyDescent="0.25">
      <c r="M4235" s="21"/>
    </row>
    <row r="4236" spans="13:13" x14ac:dyDescent="0.25">
      <c r="M4236" s="21"/>
    </row>
    <row r="4237" spans="13:13" x14ac:dyDescent="0.25">
      <c r="M4237" s="21"/>
    </row>
    <row r="4238" spans="13:13" x14ac:dyDescent="0.25">
      <c r="M4238" s="21"/>
    </row>
    <row r="4239" spans="13:13" x14ac:dyDescent="0.25">
      <c r="M4239" s="21"/>
    </row>
    <row r="4240" spans="13:13" x14ac:dyDescent="0.25">
      <c r="M4240" s="21"/>
    </row>
    <row r="4241" spans="13:13" x14ac:dyDescent="0.25">
      <c r="M4241" s="21"/>
    </row>
    <row r="4242" spans="13:13" x14ac:dyDescent="0.25">
      <c r="M4242" s="21"/>
    </row>
    <row r="4243" spans="13:13" x14ac:dyDescent="0.25">
      <c r="M4243" s="21"/>
    </row>
    <row r="4244" spans="13:13" x14ac:dyDescent="0.25">
      <c r="M4244" s="21"/>
    </row>
    <row r="4245" spans="13:13" x14ac:dyDescent="0.25">
      <c r="M4245" s="21"/>
    </row>
    <row r="4246" spans="13:13" x14ac:dyDescent="0.25">
      <c r="M4246" s="21"/>
    </row>
    <row r="4247" spans="13:13" x14ac:dyDescent="0.25">
      <c r="M4247" s="21"/>
    </row>
    <row r="4248" spans="13:13" x14ac:dyDescent="0.25">
      <c r="M4248" s="21"/>
    </row>
    <row r="4249" spans="13:13" x14ac:dyDescent="0.25">
      <c r="M4249" s="21"/>
    </row>
    <row r="4250" spans="13:13" x14ac:dyDescent="0.25">
      <c r="M4250" s="21"/>
    </row>
    <row r="4251" spans="13:13" x14ac:dyDescent="0.25">
      <c r="M4251" s="21"/>
    </row>
    <row r="4252" spans="13:13" x14ac:dyDescent="0.25">
      <c r="M4252" s="21"/>
    </row>
    <row r="4253" spans="13:13" x14ac:dyDescent="0.25">
      <c r="M4253" s="21"/>
    </row>
    <row r="4254" spans="13:13" x14ac:dyDescent="0.25">
      <c r="M4254" s="21"/>
    </row>
    <row r="4255" spans="13:13" x14ac:dyDescent="0.25">
      <c r="M4255" s="21"/>
    </row>
    <row r="4256" spans="13:13" x14ac:dyDescent="0.25">
      <c r="M4256" s="21"/>
    </row>
    <row r="4257" spans="13:13" x14ac:dyDescent="0.25">
      <c r="M4257" s="21"/>
    </row>
    <row r="4258" spans="13:13" x14ac:dyDescent="0.25">
      <c r="M4258" s="21"/>
    </row>
    <row r="4259" spans="13:13" x14ac:dyDescent="0.25">
      <c r="M4259" s="21"/>
    </row>
    <row r="4260" spans="13:13" x14ac:dyDescent="0.25">
      <c r="M4260" s="21"/>
    </row>
    <row r="4261" spans="13:13" x14ac:dyDescent="0.25">
      <c r="M4261" s="21"/>
    </row>
    <row r="4262" spans="13:13" x14ac:dyDescent="0.25">
      <c r="M4262" s="21"/>
    </row>
    <row r="4263" spans="13:13" x14ac:dyDescent="0.25">
      <c r="M4263" s="21"/>
    </row>
    <row r="4264" spans="13:13" x14ac:dyDescent="0.25">
      <c r="M4264" s="21"/>
    </row>
    <row r="4265" spans="13:13" x14ac:dyDescent="0.25">
      <c r="M4265" s="21"/>
    </row>
    <row r="4266" spans="13:13" x14ac:dyDescent="0.25">
      <c r="M4266" s="21"/>
    </row>
    <row r="4267" spans="13:13" x14ac:dyDescent="0.25">
      <c r="M4267" s="21"/>
    </row>
    <row r="4268" spans="13:13" x14ac:dyDescent="0.25">
      <c r="M4268" s="21"/>
    </row>
    <row r="4269" spans="13:13" x14ac:dyDescent="0.25">
      <c r="M4269" s="21"/>
    </row>
    <row r="4270" spans="13:13" x14ac:dyDescent="0.25">
      <c r="M4270" s="21"/>
    </row>
    <row r="4271" spans="13:13" x14ac:dyDescent="0.25">
      <c r="M4271" s="21"/>
    </row>
    <row r="4272" spans="13:13" x14ac:dyDescent="0.25">
      <c r="M4272" s="21"/>
    </row>
    <row r="4273" spans="13:13" x14ac:dyDescent="0.25">
      <c r="M4273" s="21"/>
    </row>
    <row r="4274" spans="13:13" x14ac:dyDescent="0.25">
      <c r="M4274" s="21"/>
    </row>
    <row r="4275" spans="13:13" x14ac:dyDescent="0.25">
      <c r="M4275" s="21"/>
    </row>
    <row r="4276" spans="13:13" x14ac:dyDescent="0.25">
      <c r="M4276" s="21"/>
    </row>
    <row r="4277" spans="13:13" x14ac:dyDescent="0.25">
      <c r="M4277" s="21"/>
    </row>
    <row r="4278" spans="13:13" x14ac:dyDescent="0.25">
      <c r="M4278" s="21"/>
    </row>
    <row r="4279" spans="13:13" x14ac:dyDescent="0.25">
      <c r="M4279" s="21"/>
    </row>
    <row r="4280" spans="13:13" x14ac:dyDescent="0.25">
      <c r="M4280" s="21"/>
    </row>
    <row r="4281" spans="13:13" x14ac:dyDescent="0.25">
      <c r="M4281" s="21"/>
    </row>
    <row r="4282" spans="13:13" x14ac:dyDescent="0.25">
      <c r="M4282" s="21"/>
    </row>
    <row r="4283" spans="13:13" x14ac:dyDescent="0.25">
      <c r="M4283" s="21"/>
    </row>
    <row r="4284" spans="13:13" x14ac:dyDescent="0.25">
      <c r="M4284" s="21"/>
    </row>
    <row r="4285" spans="13:13" x14ac:dyDescent="0.25">
      <c r="M4285" s="21"/>
    </row>
    <row r="4286" spans="13:13" x14ac:dyDescent="0.25">
      <c r="M4286" s="21"/>
    </row>
    <row r="4287" spans="13:13" x14ac:dyDescent="0.25">
      <c r="M4287" s="21"/>
    </row>
    <row r="4288" spans="13:13" x14ac:dyDescent="0.25">
      <c r="M4288" s="21"/>
    </row>
    <row r="4289" spans="13:13" x14ac:dyDescent="0.25">
      <c r="M4289" s="21"/>
    </row>
    <row r="4290" spans="13:13" x14ac:dyDescent="0.25">
      <c r="M4290" s="21"/>
    </row>
    <row r="4291" spans="13:13" x14ac:dyDescent="0.25">
      <c r="M4291" s="21"/>
    </row>
    <row r="4292" spans="13:13" x14ac:dyDescent="0.25">
      <c r="M4292" s="21"/>
    </row>
    <row r="4293" spans="13:13" x14ac:dyDescent="0.25">
      <c r="M4293" s="21"/>
    </row>
    <row r="4294" spans="13:13" x14ac:dyDescent="0.25">
      <c r="M4294" s="21"/>
    </row>
    <row r="4295" spans="13:13" x14ac:dyDescent="0.25">
      <c r="M4295" s="21"/>
    </row>
    <row r="4296" spans="13:13" x14ac:dyDescent="0.25">
      <c r="M4296" s="21"/>
    </row>
    <row r="4297" spans="13:13" x14ac:dyDescent="0.25">
      <c r="M4297" s="21"/>
    </row>
    <row r="4298" spans="13:13" x14ac:dyDescent="0.25">
      <c r="M4298" s="21"/>
    </row>
    <row r="4299" spans="13:13" x14ac:dyDescent="0.25">
      <c r="M4299" s="21"/>
    </row>
    <row r="4300" spans="13:13" x14ac:dyDescent="0.25">
      <c r="M4300" s="21"/>
    </row>
    <row r="4301" spans="13:13" x14ac:dyDescent="0.25">
      <c r="M4301" s="21"/>
    </row>
    <row r="4302" spans="13:13" x14ac:dyDescent="0.25">
      <c r="M4302" s="21"/>
    </row>
    <row r="4303" spans="13:13" x14ac:dyDescent="0.25">
      <c r="M4303" s="21"/>
    </row>
    <row r="4304" spans="13:13" x14ac:dyDescent="0.25">
      <c r="M4304" s="21"/>
    </row>
    <row r="4305" spans="13:13" x14ac:dyDescent="0.25">
      <c r="M4305" s="21"/>
    </row>
    <row r="4306" spans="13:13" x14ac:dyDescent="0.25">
      <c r="M4306" s="21"/>
    </row>
    <row r="4307" spans="13:13" x14ac:dyDescent="0.25">
      <c r="M4307" s="21"/>
    </row>
    <row r="4308" spans="13:13" x14ac:dyDescent="0.25">
      <c r="M4308" s="21"/>
    </row>
    <row r="4309" spans="13:13" x14ac:dyDescent="0.25">
      <c r="M4309" s="21"/>
    </row>
    <row r="4310" spans="13:13" x14ac:dyDescent="0.25">
      <c r="M4310" s="21"/>
    </row>
    <row r="4311" spans="13:13" x14ac:dyDescent="0.25">
      <c r="M4311" s="21"/>
    </row>
    <row r="4312" spans="13:13" x14ac:dyDescent="0.25">
      <c r="M4312" s="21"/>
    </row>
    <row r="4313" spans="13:13" x14ac:dyDescent="0.25">
      <c r="M4313" s="21"/>
    </row>
    <row r="4314" spans="13:13" x14ac:dyDescent="0.25">
      <c r="M4314" s="21"/>
    </row>
    <row r="4315" spans="13:13" x14ac:dyDescent="0.25">
      <c r="M4315" s="21"/>
    </row>
    <row r="4316" spans="13:13" x14ac:dyDescent="0.25">
      <c r="M4316" s="21"/>
    </row>
    <row r="4317" spans="13:13" x14ac:dyDescent="0.25">
      <c r="M4317" s="21"/>
    </row>
    <row r="4318" spans="13:13" x14ac:dyDescent="0.25">
      <c r="M4318" s="21"/>
    </row>
    <row r="4319" spans="13:13" x14ac:dyDescent="0.25">
      <c r="M4319" s="21"/>
    </row>
    <row r="4320" spans="13:13" x14ac:dyDescent="0.25">
      <c r="M4320" s="21"/>
    </row>
    <row r="4321" spans="13:13" x14ac:dyDescent="0.25">
      <c r="M4321" s="21"/>
    </row>
    <row r="4322" spans="13:13" x14ac:dyDescent="0.25">
      <c r="M4322" s="21"/>
    </row>
    <row r="4323" spans="13:13" x14ac:dyDescent="0.25">
      <c r="M4323" s="21"/>
    </row>
    <row r="4324" spans="13:13" x14ac:dyDescent="0.25">
      <c r="M4324" s="21"/>
    </row>
    <row r="4325" spans="13:13" x14ac:dyDescent="0.25">
      <c r="M4325" s="21"/>
    </row>
    <row r="4326" spans="13:13" x14ac:dyDescent="0.25">
      <c r="M4326" s="21"/>
    </row>
    <row r="4327" spans="13:13" x14ac:dyDescent="0.25">
      <c r="M4327" s="21"/>
    </row>
    <row r="4328" spans="13:13" x14ac:dyDescent="0.25">
      <c r="M4328" s="21"/>
    </row>
    <row r="4329" spans="13:13" x14ac:dyDescent="0.25">
      <c r="M4329" s="21"/>
    </row>
    <row r="4330" spans="13:13" x14ac:dyDescent="0.25">
      <c r="M4330" s="21"/>
    </row>
    <row r="4331" spans="13:13" x14ac:dyDescent="0.25">
      <c r="M4331" s="21"/>
    </row>
    <row r="4332" spans="13:13" x14ac:dyDescent="0.25">
      <c r="M4332" s="21"/>
    </row>
    <row r="4333" spans="13:13" x14ac:dyDescent="0.25">
      <c r="M4333" s="21"/>
    </row>
    <row r="4334" spans="13:13" x14ac:dyDescent="0.25">
      <c r="M4334" s="21"/>
    </row>
    <row r="4335" spans="13:13" x14ac:dyDescent="0.25">
      <c r="M4335" s="21"/>
    </row>
    <row r="4336" spans="13:13" x14ac:dyDescent="0.25">
      <c r="M4336" s="21"/>
    </row>
    <row r="4337" spans="13:13" x14ac:dyDescent="0.25">
      <c r="M4337" s="21"/>
    </row>
    <row r="4338" spans="13:13" x14ac:dyDescent="0.25">
      <c r="M4338" s="21"/>
    </row>
    <row r="4339" spans="13:13" x14ac:dyDescent="0.25">
      <c r="M4339" s="21"/>
    </row>
    <row r="4340" spans="13:13" x14ac:dyDescent="0.25">
      <c r="M4340" s="21"/>
    </row>
    <row r="4341" spans="13:13" x14ac:dyDescent="0.25">
      <c r="M4341" s="21"/>
    </row>
    <row r="4342" spans="13:13" x14ac:dyDescent="0.25">
      <c r="M4342" s="21"/>
    </row>
    <row r="4343" spans="13:13" x14ac:dyDescent="0.25">
      <c r="M4343" s="21"/>
    </row>
    <row r="4344" spans="13:13" x14ac:dyDescent="0.25">
      <c r="M4344" s="21"/>
    </row>
    <row r="4345" spans="13:13" x14ac:dyDescent="0.25">
      <c r="M4345" s="21"/>
    </row>
    <row r="4346" spans="13:13" x14ac:dyDescent="0.25">
      <c r="M4346" s="21"/>
    </row>
    <row r="4347" spans="13:13" x14ac:dyDescent="0.25">
      <c r="M4347" s="21"/>
    </row>
    <row r="4348" spans="13:13" x14ac:dyDescent="0.25">
      <c r="M4348" s="21"/>
    </row>
    <row r="4349" spans="13:13" x14ac:dyDescent="0.25">
      <c r="M4349" s="21"/>
    </row>
    <row r="4350" spans="13:13" x14ac:dyDescent="0.25">
      <c r="M4350" s="21"/>
    </row>
    <row r="4351" spans="13:13" x14ac:dyDescent="0.25">
      <c r="M4351" s="21"/>
    </row>
    <row r="4352" spans="13:13" x14ac:dyDescent="0.25">
      <c r="M4352" s="21"/>
    </row>
    <row r="4353" spans="13:13" x14ac:dyDescent="0.25">
      <c r="M4353" s="21"/>
    </row>
    <row r="4354" spans="13:13" x14ac:dyDescent="0.25">
      <c r="M4354" s="21"/>
    </row>
    <row r="4355" spans="13:13" x14ac:dyDescent="0.25">
      <c r="M4355" s="21"/>
    </row>
    <row r="4356" spans="13:13" x14ac:dyDescent="0.25">
      <c r="M4356" s="21"/>
    </row>
    <row r="4357" spans="13:13" x14ac:dyDescent="0.25">
      <c r="M4357" s="21"/>
    </row>
    <row r="4358" spans="13:13" x14ac:dyDescent="0.25">
      <c r="M4358" s="21"/>
    </row>
    <row r="4359" spans="13:13" x14ac:dyDescent="0.25">
      <c r="M4359" s="21"/>
    </row>
    <row r="4360" spans="13:13" x14ac:dyDescent="0.25">
      <c r="M4360" s="21"/>
    </row>
    <row r="4361" spans="13:13" x14ac:dyDescent="0.25">
      <c r="M4361" s="21"/>
    </row>
    <row r="4362" spans="13:13" x14ac:dyDescent="0.25">
      <c r="M4362" s="21"/>
    </row>
    <row r="4363" spans="13:13" x14ac:dyDescent="0.25">
      <c r="M4363" s="21"/>
    </row>
    <row r="4364" spans="13:13" x14ac:dyDescent="0.25">
      <c r="M4364" s="21"/>
    </row>
    <row r="4365" spans="13:13" x14ac:dyDescent="0.25">
      <c r="M4365" s="21"/>
    </row>
    <row r="4366" spans="13:13" x14ac:dyDescent="0.25">
      <c r="M4366" s="21"/>
    </row>
    <row r="4367" spans="13:13" x14ac:dyDescent="0.25">
      <c r="M4367" s="21"/>
    </row>
    <row r="4368" spans="13:13" x14ac:dyDescent="0.25">
      <c r="M4368" s="21"/>
    </row>
    <row r="4369" spans="13:13" x14ac:dyDescent="0.25">
      <c r="M4369" s="21"/>
    </row>
    <row r="4370" spans="13:13" x14ac:dyDescent="0.25">
      <c r="M4370" s="21"/>
    </row>
    <row r="4371" spans="13:13" x14ac:dyDescent="0.25">
      <c r="M4371" s="21"/>
    </row>
    <row r="4372" spans="13:13" x14ac:dyDescent="0.25">
      <c r="M4372" s="21"/>
    </row>
    <row r="4373" spans="13:13" x14ac:dyDescent="0.25">
      <c r="M4373" s="21"/>
    </row>
    <row r="4374" spans="13:13" x14ac:dyDescent="0.25">
      <c r="M4374" s="21"/>
    </row>
    <row r="4375" spans="13:13" x14ac:dyDescent="0.25">
      <c r="M4375" s="21"/>
    </row>
    <row r="4376" spans="13:13" x14ac:dyDescent="0.25">
      <c r="M4376" s="21"/>
    </row>
    <row r="4377" spans="13:13" x14ac:dyDescent="0.25">
      <c r="M4377" s="21"/>
    </row>
    <row r="4378" spans="13:13" x14ac:dyDescent="0.25">
      <c r="M4378" s="21"/>
    </row>
    <row r="4379" spans="13:13" x14ac:dyDescent="0.25">
      <c r="M4379" s="21"/>
    </row>
    <row r="4380" spans="13:13" x14ac:dyDescent="0.25">
      <c r="M4380" s="21"/>
    </row>
    <row r="4381" spans="13:13" x14ac:dyDescent="0.25">
      <c r="M4381" s="21"/>
    </row>
    <row r="4382" spans="13:13" x14ac:dyDescent="0.25">
      <c r="M4382" s="21"/>
    </row>
    <row r="4383" spans="13:13" x14ac:dyDescent="0.25">
      <c r="M4383" s="21"/>
    </row>
    <row r="4384" spans="13:13" x14ac:dyDescent="0.25">
      <c r="M4384" s="21"/>
    </row>
    <row r="4385" spans="13:13" x14ac:dyDescent="0.25">
      <c r="M4385" s="21"/>
    </row>
    <row r="4386" spans="13:13" x14ac:dyDescent="0.25">
      <c r="M4386" s="21"/>
    </row>
    <row r="4387" spans="13:13" x14ac:dyDescent="0.25">
      <c r="M4387" s="21"/>
    </row>
    <row r="4388" spans="13:13" x14ac:dyDescent="0.25">
      <c r="M4388" s="21"/>
    </row>
    <row r="4389" spans="13:13" x14ac:dyDescent="0.25">
      <c r="M4389" s="21"/>
    </row>
    <row r="4390" spans="13:13" x14ac:dyDescent="0.25">
      <c r="M4390" s="21"/>
    </row>
    <row r="4391" spans="13:13" x14ac:dyDescent="0.25">
      <c r="M4391" s="21"/>
    </row>
    <row r="4392" spans="13:13" x14ac:dyDescent="0.25">
      <c r="M4392" s="21"/>
    </row>
    <row r="4393" spans="13:13" x14ac:dyDescent="0.25">
      <c r="M4393" s="21"/>
    </row>
    <row r="4394" spans="13:13" x14ac:dyDescent="0.25">
      <c r="M4394" s="21"/>
    </row>
    <row r="4395" spans="13:13" x14ac:dyDescent="0.25">
      <c r="M4395" s="21"/>
    </row>
    <row r="4396" spans="13:13" x14ac:dyDescent="0.25">
      <c r="M4396" s="21"/>
    </row>
    <row r="4397" spans="13:13" x14ac:dyDescent="0.25">
      <c r="M4397" s="21"/>
    </row>
    <row r="4398" spans="13:13" x14ac:dyDescent="0.25">
      <c r="M4398" s="21"/>
    </row>
    <row r="4399" spans="13:13" x14ac:dyDescent="0.25">
      <c r="M4399" s="21"/>
    </row>
    <row r="4400" spans="13:13" x14ac:dyDescent="0.25">
      <c r="M4400" s="21"/>
    </row>
    <row r="4401" spans="13:13" x14ac:dyDescent="0.25">
      <c r="M4401" s="21"/>
    </row>
    <row r="4402" spans="13:13" x14ac:dyDescent="0.25">
      <c r="M4402" s="21"/>
    </row>
    <row r="4403" spans="13:13" x14ac:dyDescent="0.25">
      <c r="M4403" s="21"/>
    </row>
    <row r="4404" spans="13:13" x14ac:dyDescent="0.25">
      <c r="M4404" s="21"/>
    </row>
    <row r="4405" spans="13:13" x14ac:dyDescent="0.25">
      <c r="M4405" s="21"/>
    </row>
    <row r="4406" spans="13:13" x14ac:dyDescent="0.25">
      <c r="M4406" s="21"/>
    </row>
    <row r="4407" spans="13:13" x14ac:dyDescent="0.25">
      <c r="M4407" s="21"/>
    </row>
    <row r="4408" spans="13:13" x14ac:dyDescent="0.25">
      <c r="M4408" s="21"/>
    </row>
    <row r="4409" spans="13:13" x14ac:dyDescent="0.25">
      <c r="M4409" s="21"/>
    </row>
    <row r="4410" spans="13:13" x14ac:dyDescent="0.25">
      <c r="M4410" s="21"/>
    </row>
    <row r="4411" spans="13:13" x14ac:dyDescent="0.25">
      <c r="M4411" s="21"/>
    </row>
    <row r="4412" spans="13:13" x14ac:dyDescent="0.25">
      <c r="M4412" s="21"/>
    </row>
    <row r="4413" spans="13:13" x14ac:dyDescent="0.25">
      <c r="M4413" s="21"/>
    </row>
    <row r="4414" spans="13:13" x14ac:dyDescent="0.25">
      <c r="M4414" s="21"/>
    </row>
    <row r="4415" spans="13:13" x14ac:dyDescent="0.25">
      <c r="M4415" s="21"/>
    </row>
    <row r="4416" spans="13:13" x14ac:dyDescent="0.25">
      <c r="M4416" s="21"/>
    </row>
    <row r="4417" spans="13:13" x14ac:dyDescent="0.25">
      <c r="M4417" s="21"/>
    </row>
    <row r="4418" spans="13:13" x14ac:dyDescent="0.25">
      <c r="M4418" s="21"/>
    </row>
    <row r="4419" spans="13:13" x14ac:dyDescent="0.25">
      <c r="M4419" s="21"/>
    </row>
    <row r="4420" spans="13:13" x14ac:dyDescent="0.25">
      <c r="M4420" s="21"/>
    </row>
    <row r="4421" spans="13:13" x14ac:dyDescent="0.25">
      <c r="M4421" s="21"/>
    </row>
    <row r="4422" spans="13:13" x14ac:dyDescent="0.25">
      <c r="M4422" s="21"/>
    </row>
    <row r="4423" spans="13:13" x14ac:dyDescent="0.25">
      <c r="M4423" s="21"/>
    </row>
    <row r="4424" spans="13:13" x14ac:dyDescent="0.25">
      <c r="M4424" s="21"/>
    </row>
    <row r="4425" spans="13:13" x14ac:dyDescent="0.25">
      <c r="M4425" s="21"/>
    </row>
    <row r="4426" spans="13:13" x14ac:dyDescent="0.25">
      <c r="M4426" s="21"/>
    </row>
    <row r="4427" spans="13:13" x14ac:dyDescent="0.25">
      <c r="M4427" s="21"/>
    </row>
    <row r="4428" spans="13:13" x14ac:dyDescent="0.25">
      <c r="M4428" s="21"/>
    </row>
    <row r="4429" spans="13:13" x14ac:dyDescent="0.25">
      <c r="M4429" s="21"/>
    </row>
    <row r="4430" spans="13:13" x14ac:dyDescent="0.25">
      <c r="M4430" s="21"/>
    </row>
    <row r="4431" spans="13:13" x14ac:dyDescent="0.25">
      <c r="M4431" s="21"/>
    </row>
    <row r="4432" spans="13:13" x14ac:dyDescent="0.25">
      <c r="M4432" s="21"/>
    </row>
    <row r="4433" spans="13:13" x14ac:dyDescent="0.25">
      <c r="M4433" s="21"/>
    </row>
    <row r="4434" spans="13:13" x14ac:dyDescent="0.25">
      <c r="M4434" s="21"/>
    </row>
    <row r="4435" spans="13:13" x14ac:dyDescent="0.25">
      <c r="M4435" s="21"/>
    </row>
    <row r="4436" spans="13:13" x14ac:dyDescent="0.25">
      <c r="M4436" s="21"/>
    </row>
    <row r="4437" spans="13:13" x14ac:dyDescent="0.25">
      <c r="M4437" s="21"/>
    </row>
    <row r="4438" spans="13:13" x14ac:dyDescent="0.25">
      <c r="M4438" s="21"/>
    </row>
    <row r="4439" spans="13:13" x14ac:dyDescent="0.25">
      <c r="M4439" s="21"/>
    </row>
    <row r="4440" spans="13:13" x14ac:dyDescent="0.25">
      <c r="M4440" s="21"/>
    </row>
    <row r="4441" spans="13:13" x14ac:dyDescent="0.25">
      <c r="M4441" s="21"/>
    </row>
    <row r="4442" spans="13:13" x14ac:dyDescent="0.25">
      <c r="M4442" s="21"/>
    </row>
    <row r="4443" spans="13:13" x14ac:dyDescent="0.25">
      <c r="M4443" s="21"/>
    </row>
    <row r="4444" spans="13:13" x14ac:dyDescent="0.25">
      <c r="M4444" s="21"/>
    </row>
    <row r="4445" spans="13:13" x14ac:dyDescent="0.25">
      <c r="M4445" s="21"/>
    </row>
    <row r="4446" spans="13:13" x14ac:dyDescent="0.25">
      <c r="M4446" s="21"/>
    </row>
    <row r="4447" spans="13:13" x14ac:dyDescent="0.25">
      <c r="M4447" s="21"/>
    </row>
    <row r="4448" spans="13:13" x14ac:dyDescent="0.25">
      <c r="M4448" s="21"/>
    </row>
    <row r="4449" spans="13:13" x14ac:dyDescent="0.25">
      <c r="M4449" s="21"/>
    </row>
    <row r="4450" spans="13:13" x14ac:dyDescent="0.25">
      <c r="M4450" s="21"/>
    </row>
    <row r="4451" spans="13:13" x14ac:dyDescent="0.25">
      <c r="M4451" s="21"/>
    </row>
    <row r="4452" spans="13:13" x14ac:dyDescent="0.25">
      <c r="M4452" s="21"/>
    </row>
    <row r="4453" spans="13:13" x14ac:dyDescent="0.25">
      <c r="M4453" s="21"/>
    </row>
    <row r="4454" spans="13:13" x14ac:dyDescent="0.25">
      <c r="M4454" s="21"/>
    </row>
    <row r="4455" spans="13:13" x14ac:dyDescent="0.25">
      <c r="M4455" s="21"/>
    </row>
    <row r="4456" spans="13:13" x14ac:dyDescent="0.25">
      <c r="M4456" s="21"/>
    </row>
    <row r="4457" spans="13:13" x14ac:dyDescent="0.25">
      <c r="M4457" s="21"/>
    </row>
    <row r="4458" spans="13:13" x14ac:dyDescent="0.25">
      <c r="M4458" s="21"/>
    </row>
    <row r="4459" spans="13:13" x14ac:dyDescent="0.25">
      <c r="M4459" s="21"/>
    </row>
    <row r="4460" spans="13:13" x14ac:dyDescent="0.25">
      <c r="M4460" s="21"/>
    </row>
    <row r="4461" spans="13:13" x14ac:dyDescent="0.25">
      <c r="M4461" s="21"/>
    </row>
    <row r="4462" spans="13:13" x14ac:dyDescent="0.25">
      <c r="M4462" s="21"/>
    </row>
    <row r="4463" spans="13:13" x14ac:dyDescent="0.25">
      <c r="M4463" s="21"/>
    </row>
    <row r="4464" spans="13:13" x14ac:dyDescent="0.25">
      <c r="M4464" s="21"/>
    </row>
    <row r="4465" spans="13:13" x14ac:dyDescent="0.25">
      <c r="M4465" s="21"/>
    </row>
    <row r="4466" spans="13:13" x14ac:dyDescent="0.25">
      <c r="M4466" s="21"/>
    </row>
    <row r="4467" spans="13:13" x14ac:dyDescent="0.25">
      <c r="M4467" s="21"/>
    </row>
    <row r="4468" spans="13:13" x14ac:dyDescent="0.25">
      <c r="M4468" s="21"/>
    </row>
    <row r="4469" spans="13:13" x14ac:dyDescent="0.25">
      <c r="M4469" s="21"/>
    </row>
    <row r="4470" spans="13:13" x14ac:dyDescent="0.25">
      <c r="M4470" s="21"/>
    </row>
    <row r="4471" spans="13:13" x14ac:dyDescent="0.25">
      <c r="M4471" s="21"/>
    </row>
    <row r="4472" spans="13:13" x14ac:dyDescent="0.25">
      <c r="M4472" s="21"/>
    </row>
    <row r="4473" spans="13:13" x14ac:dyDescent="0.25">
      <c r="M4473" s="21"/>
    </row>
    <row r="4474" spans="13:13" x14ac:dyDescent="0.25">
      <c r="M4474" s="21"/>
    </row>
    <row r="4475" spans="13:13" x14ac:dyDescent="0.25">
      <c r="M4475" s="21"/>
    </row>
    <row r="4476" spans="13:13" x14ac:dyDescent="0.25">
      <c r="M4476" s="21"/>
    </row>
    <row r="4477" spans="13:13" x14ac:dyDescent="0.25">
      <c r="M4477" s="21"/>
    </row>
    <row r="4478" spans="13:13" x14ac:dyDescent="0.25">
      <c r="M4478" s="21"/>
    </row>
    <row r="4479" spans="13:13" x14ac:dyDescent="0.25">
      <c r="M4479" s="21"/>
    </row>
    <row r="4480" spans="13:13" x14ac:dyDescent="0.25">
      <c r="M4480" s="21"/>
    </row>
    <row r="4481" spans="13:13" x14ac:dyDescent="0.25">
      <c r="M4481" s="21"/>
    </row>
    <row r="4482" spans="13:13" x14ac:dyDescent="0.25">
      <c r="M4482" s="21"/>
    </row>
    <row r="4483" spans="13:13" x14ac:dyDescent="0.25">
      <c r="M4483" s="21"/>
    </row>
    <row r="4484" spans="13:13" x14ac:dyDescent="0.25">
      <c r="M4484" s="21"/>
    </row>
    <row r="4485" spans="13:13" x14ac:dyDescent="0.25">
      <c r="M4485" s="21"/>
    </row>
    <row r="4486" spans="13:13" x14ac:dyDescent="0.25">
      <c r="M4486" s="21"/>
    </row>
    <row r="4487" spans="13:13" x14ac:dyDescent="0.25">
      <c r="M4487" s="21"/>
    </row>
    <row r="4488" spans="13:13" x14ac:dyDescent="0.25">
      <c r="M4488" s="21"/>
    </row>
    <row r="4489" spans="13:13" x14ac:dyDescent="0.25">
      <c r="M4489" s="21"/>
    </row>
    <row r="4490" spans="13:13" x14ac:dyDescent="0.25">
      <c r="M4490" s="21"/>
    </row>
    <row r="4491" spans="13:13" x14ac:dyDescent="0.25">
      <c r="M4491" s="21"/>
    </row>
    <row r="4492" spans="13:13" x14ac:dyDescent="0.25">
      <c r="M4492" s="21"/>
    </row>
    <row r="4493" spans="13:13" x14ac:dyDescent="0.25">
      <c r="M4493" s="21"/>
    </row>
    <row r="4494" spans="13:13" x14ac:dyDescent="0.25">
      <c r="M4494" s="21"/>
    </row>
    <row r="4495" spans="13:13" x14ac:dyDescent="0.25">
      <c r="M4495" s="21"/>
    </row>
    <row r="4496" spans="13:13" x14ac:dyDescent="0.25">
      <c r="M4496" s="21"/>
    </row>
    <row r="4497" spans="13:13" x14ac:dyDescent="0.25">
      <c r="M4497" s="21"/>
    </row>
    <row r="4498" spans="13:13" x14ac:dyDescent="0.25">
      <c r="M4498" s="21"/>
    </row>
    <row r="4499" spans="13:13" x14ac:dyDescent="0.25">
      <c r="M4499" s="21"/>
    </row>
    <row r="4500" spans="13:13" x14ac:dyDescent="0.25">
      <c r="M4500" s="21"/>
    </row>
    <row r="4501" spans="13:13" x14ac:dyDescent="0.25">
      <c r="M4501" s="21"/>
    </row>
    <row r="4502" spans="13:13" x14ac:dyDescent="0.25">
      <c r="M4502" s="21"/>
    </row>
    <row r="4503" spans="13:13" x14ac:dyDescent="0.25">
      <c r="M4503" s="21"/>
    </row>
    <row r="4504" spans="13:13" x14ac:dyDescent="0.25">
      <c r="M4504" s="21"/>
    </row>
    <row r="4505" spans="13:13" x14ac:dyDescent="0.25">
      <c r="M4505" s="21"/>
    </row>
    <row r="4506" spans="13:13" x14ac:dyDescent="0.25">
      <c r="M4506" s="21"/>
    </row>
    <row r="4507" spans="13:13" x14ac:dyDescent="0.25">
      <c r="M4507" s="21"/>
    </row>
    <row r="4508" spans="13:13" x14ac:dyDescent="0.25">
      <c r="M4508" s="21"/>
    </row>
    <row r="4509" spans="13:13" x14ac:dyDescent="0.25">
      <c r="M4509" s="21"/>
    </row>
    <row r="4510" spans="13:13" x14ac:dyDescent="0.25">
      <c r="M4510" s="21"/>
    </row>
    <row r="4511" spans="13:13" x14ac:dyDescent="0.25">
      <c r="M4511" s="21"/>
    </row>
    <row r="4512" spans="13:13" x14ac:dyDescent="0.25">
      <c r="M4512" s="21"/>
    </row>
    <row r="4513" spans="13:13" x14ac:dyDescent="0.25">
      <c r="M4513" s="21"/>
    </row>
    <row r="4514" spans="13:13" x14ac:dyDescent="0.25">
      <c r="M4514" s="21"/>
    </row>
    <row r="4515" spans="13:13" x14ac:dyDescent="0.25">
      <c r="M4515" s="21"/>
    </row>
    <row r="4516" spans="13:13" x14ac:dyDescent="0.25">
      <c r="M4516" s="21"/>
    </row>
    <row r="4517" spans="13:13" x14ac:dyDescent="0.25">
      <c r="M4517" s="21"/>
    </row>
    <row r="4518" spans="13:13" x14ac:dyDescent="0.25">
      <c r="M4518" s="21"/>
    </row>
    <row r="4519" spans="13:13" x14ac:dyDescent="0.25">
      <c r="M4519" s="21"/>
    </row>
    <row r="4520" spans="13:13" x14ac:dyDescent="0.25">
      <c r="M4520" s="21"/>
    </row>
    <row r="4521" spans="13:13" x14ac:dyDescent="0.25">
      <c r="M4521" s="21"/>
    </row>
    <row r="4522" spans="13:13" x14ac:dyDescent="0.25">
      <c r="M4522" s="21"/>
    </row>
    <row r="4523" spans="13:13" x14ac:dyDescent="0.25">
      <c r="M4523" s="21"/>
    </row>
    <row r="4524" spans="13:13" x14ac:dyDescent="0.25">
      <c r="M4524" s="21"/>
    </row>
    <row r="4525" spans="13:13" x14ac:dyDescent="0.25">
      <c r="M4525" s="21"/>
    </row>
    <row r="4526" spans="13:13" x14ac:dyDescent="0.25">
      <c r="M4526" s="21"/>
    </row>
    <row r="4527" spans="13:13" x14ac:dyDescent="0.25">
      <c r="M4527" s="21"/>
    </row>
    <row r="4528" spans="13:13" x14ac:dyDescent="0.25">
      <c r="M4528" s="21"/>
    </row>
    <row r="4529" spans="13:13" x14ac:dyDescent="0.25">
      <c r="M4529" s="21"/>
    </row>
    <row r="4530" spans="13:13" x14ac:dyDescent="0.25">
      <c r="M4530" s="21"/>
    </row>
    <row r="4531" spans="13:13" x14ac:dyDescent="0.25">
      <c r="M4531" s="21"/>
    </row>
    <row r="4532" spans="13:13" x14ac:dyDescent="0.25">
      <c r="M4532" s="21"/>
    </row>
    <row r="4533" spans="13:13" x14ac:dyDescent="0.25">
      <c r="M4533" s="21"/>
    </row>
    <row r="4534" spans="13:13" x14ac:dyDescent="0.25">
      <c r="M4534" s="21"/>
    </row>
    <row r="4535" spans="13:13" x14ac:dyDescent="0.25">
      <c r="M4535" s="21"/>
    </row>
    <row r="4536" spans="13:13" x14ac:dyDescent="0.25">
      <c r="M4536" s="21"/>
    </row>
    <row r="4537" spans="13:13" x14ac:dyDescent="0.25">
      <c r="M4537" s="21"/>
    </row>
    <row r="4538" spans="13:13" x14ac:dyDescent="0.25">
      <c r="M4538" s="21"/>
    </row>
    <row r="4539" spans="13:13" x14ac:dyDescent="0.25">
      <c r="M4539" s="21"/>
    </row>
    <row r="4540" spans="13:13" x14ac:dyDescent="0.25">
      <c r="M4540" s="21"/>
    </row>
    <row r="4541" spans="13:13" x14ac:dyDescent="0.25">
      <c r="M4541" s="21"/>
    </row>
    <row r="4542" spans="13:13" x14ac:dyDescent="0.25">
      <c r="M4542" s="21"/>
    </row>
    <row r="4543" spans="13:13" x14ac:dyDescent="0.25">
      <c r="M4543" s="21"/>
    </row>
    <row r="4544" spans="13:13" x14ac:dyDescent="0.25">
      <c r="M4544" s="21"/>
    </row>
    <row r="4545" spans="13:13" x14ac:dyDescent="0.25">
      <c r="M4545" s="21"/>
    </row>
    <row r="4546" spans="13:13" x14ac:dyDescent="0.25">
      <c r="M4546" s="21"/>
    </row>
    <row r="4547" spans="13:13" x14ac:dyDescent="0.25">
      <c r="M4547" s="21"/>
    </row>
    <row r="4548" spans="13:13" x14ac:dyDescent="0.25">
      <c r="M4548" s="21"/>
    </row>
    <row r="4549" spans="13:13" x14ac:dyDescent="0.25">
      <c r="M4549" s="21"/>
    </row>
    <row r="4550" spans="13:13" x14ac:dyDescent="0.25">
      <c r="M4550" s="21"/>
    </row>
    <row r="4551" spans="13:13" x14ac:dyDescent="0.25">
      <c r="M4551" s="21"/>
    </row>
    <row r="4552" spans="13:13" x14ac:dyDescent="0.25">
      <c r="M4552" s="21"/>
    </row>
    <row r="4553" spans="13:13" x14ac:dyDescent="0.25">
      <c r="M4553" s="21"/>
    </row>
    <row r="4554" spans="13:13" x14ac:dyDescent="0.25">
      <c r="M4554" s="21"/>
    </row>
    <row r="4555" spans="13:13" x14ac:dyDescent="0.25">
      <c r="M4555" s="21"/>
    </row>
    <row r="4556" spans="13:13" x14ac:dyDescent="0.25">
      <c r="M4556" s="21"/>
    </row>
    <row r="4557" spans="13:13" x14ac:dyDescent="0.25">
      <c r="M4557" s="21"/>
    </row>
    <row r="4558" spans="13:13" x14ac:dyDescent="0.25">
      <c r="M4558" s="21"/>
    </row>
    <row r="4559" spans="13:13" x14ac:dyDescent="0.25">
      <c r="M4559" s="21"/>
    </row>
    <row r="4560" spans="13:13" x14ac:dyDescent="0.25">
      <c r="M4560" s="21"/>
    </row>
    <row r="4561" spans="13:13" x14ac:dyDescent="0.25">
      <c r="M4561" s="21"/>
    </row>
    <row r="4562" spans="13:13" x14ac:dyDescent="0.25">
      <c r="M4562" s="21"/>
    </row>
    <row r="4563" spans="13:13" x14ac:dyDescent="0.25">
      <c r="M4563" s="21"/>
    </row>
    <row r="4564" spans="13:13" x14ac:dyDescent="0.25">
      <c r="M4564" s="21"/>
    </row>
    <row r="4565" spans="13:13" x14ac:dyDescent="0.25">
      <c r="M4565" s="21"/>
    </row>
    <row r="4566" spans="13:13" x14ac:dyDescent="0.25">
      <c r="M4566" s="21"/>
    </row>
    <row r="4567" spans="13:13" x14ac:dyDescent="0.25">
      <c r="M4567" s="21"/>
    </row>
    <row r="4568" spans="13:13" x14ac:dyDescent="0.25">
      <c r="M4568" s="21"/>
    </row>
    <row r="4569" spans="13:13" x14ac:dyDescent="0.25">
      <c r="M4569" s="21"/>
    </row>
    <row r="4570" spans="13:13" x14ac:dyDescent="0.25">
      <c r="M4570" s="21"/>
    </row>
    <row r="4571" spans="13:13" x14ac:dyDescent="0.25">
      <c r="M4571" s="21"/>
    </row>
    <row r="4572" spans="13:13" x14ac:dyDescent="0.25">
      <c r="M4572" s="21"/>
    </row>
    <row r="4573" spans="13:13" x14ac:dyDescent="0.25">
      <c r="M4573" s="21"/>
    </row>
    <row r="4574" spans="13:13" x14ac:dyDescent="0.25">
      <c r="M4574" s="21"/>
    </row>
    <row r="4575" spans="13:13" x14ac:dyDescent="0.25">
      <c r="M4575" s="21"/>
    </row>
    <row r="4576" spans="13:13" x14ac:dyDescent="0.25">
      <c r="M4576" s="21"/>
    </row>
    <row r="4577" spans="13:13" x14ac:dyDescent="0.25">
      <c r="M4577" s="21"/>
    </row>
    <row r="4578" spans="13:13" x14ac:dyDescent="0.25">
      <c r="M4578" s="21"/>
    </row>
    <row r="4579" spans="13:13" x14ac:dyDescent="0.25">
      <c r="M4579" s="21"/>
    </row>
    <row r="4580" spans="13:13" x14ac:dyDescent="0.25">
      <c r="M4580" s="21"/>
    </row>
    <row r="4581" spans="13:13" x14ac:dyDescent="0.25">
      <c r="M4581" s="21"/>
    </row>
    <row r="4582" spans="13:13" x14ac:dyDescent="0.25">
      <c r="M4582" s="21"/>
    </row>
    <row r="4583" spans="13:13" x14ac:dyDescent="0.25">
      <c r="M4583" s="21"/>
    </row>
    <row r="4584" spans="13:13" x14ac:dyDescent="0.25">
      <c r="M4584" s="21"/>
    </row>
    <row r="4585" spans="13:13" x14ac:dyDescent="0.25">
      <c r="M4585" s="21"/>
    </row>
    <row r="4586" spans="13:13" x14ac:dyDescent="0.25">
      <c r="M4586" s="21"/>
    </row>
    <row r="4587" spans="13:13" x14ac:dyDescent="0.25">
      <c r="M4587" s="21"/>
    </row>
    <row r="4588" spans="13:13" x14ac:dyDescent="0.25">
      <c r="M4588" s="21"/>
    </row>
    <row r="4589" spans="13:13" x14ac:dyDescent="0.25">
      <c r="M4589" s="21"/>
    </row>
    <row r="4590" spans="13:13" x14ac:dyDescent="0.25">
      <c r="M4590" s="21"/>
    </row>
    <row r="4591" spans="13:13" x14ac:dyDescent="0.25">
      <c r="M4591" s="21"/>
    </row>
    <row r="4592" spans="13:13" x14ac:dyDescent="0.25">
      <c r="M4592" s="21"/>
    </row>
    <row r="4593" spans="13:13" x14ac:dyDescent="0.25">
      <c r="M4593" s="21"/>
    </row>
    <row r="4594" spans="13:13" x14ac:dyDescent="0.25">
      <c r="M4594" s="21"/>
    </row>
    <row r="4595" spans="13:13" x14ac:dyDescent="0.25">
      <c r="M4595" s="21"/>
    </row>
    <row r="4596" spans="13:13" x14ac:dyDescent="0.25">
      <c r="M4596" s="21"/>
    </row>
    <row r="4597" spans="13:13" x14ac:dyDescent="0.25">
      <c r="M4597" s="21"/>
    </row>
    <row r="4598" spans="13:13" x14ac:dyDescent="0.25">
      <c r="M4598" s="21"/>
    </row>
    <row r="4599" spans="13:13" x14ac:dyDescent="0.25">
      <c r="M4599" s="21"/>
    </row>
    <row r="4600" spans="13:13" x14ac:dyDescent="0.25">
      <c r="M4600" s="21"/>
    </row>
    <row r="4601" spans="13:13" x14ac:dyDescent="0.25">
      <c r="M4601" s="21"/>
    </row>
    <row r="4602" spans="13:13" x14ac:dyDescent="0.25">
      <c r="M4602" s="21"/>
    </row>
    <row r="4603" spans="13:13" x14ac:dyDescent="0.25">
      <c r="M4603" s="21"/>
    </row>
    <row r="4604" spans="13:13" x14ac:dyDescent="0.25">
      <c r="M4604" s="21"/>
    </row>
    <row r="4605" spans="13:13" x14ac:dyDescent="0.25">
      <c r="M4605" s="21"/>
    </row>
    <row r="4606" spans="13:13" x14ac:dyDescent="0.25">
      <c r="M4606" s="21"/>
    </row>
    <row r="4607" spans="13:13" x14ac:dyDescent="0.25">
      <c r="M4607" s="21"/>
    </row>
    <row r="4608" spans="13:13" x14ac:dyDescent="0.25">
      <c r="M4608" s="21"/>
    </row>
    <row r="4609" spans="13:13" x14ac:dyDescent="0.25">
      <c r="M4609" s="21"/>
    </row>
    <row r="4610" spans="13:13" x14ac:dyDescent="0.25">
      <c r="M4610" s="21"/>
    </row>
    <row r="4611" spans="13:13" x14ac:dyDescent="0.25">
      <c r="M4611" s="21"/>
    </row>
    <row r="4612" spans="13:13" x14ac:dyDescent="0.25">
      <c r="M4612" s="21"/>
    </row>
    <row r="4613" spans="13:13" x14ac:dyDescent="0.25">
      <c r="M4613" s="21"/>
    </row>
    <row r="4614" spans="13:13" x14ac:dyDescent="0.25">
      <c r="M4614" s="21"/>
    </row>
    <row r="4615" spans="13:13" x14ac:dyDescent="0.25">
      <c r="M4615" s="21"/>
    </row>
    <row r="4616" spans="13:13" x14ac:dyDescent="0.25">
      <c r="M4616" s="21"/>
    </row>
    <row r="4617" spans="13:13" x14ac:dyDescent="0.25">
      <c r="M4617" s="21"/>
    </row>
    <row r="4618" spans="13:13" x14ac:dyDescent="0.25">
      <c r="M4618" s="21"/>
    </row>
    <row r="4619" spans="13:13" x14ac:dyDescent="0.25">
      <c r="M4619" s="21"/>
    </row>
    <row r="4620" spans="13:13" x14ac:dyDescent="0.25">
      <c r="M4620" s="21"/>
    </row>
    <row r="4621" spans="13:13" x14ac:dyDescent="0.25">
      <c r="M4621" s="21"/>
    </row>
    <row r="4622" spans="13:13" x14ac:dyDescent="0.25">
      <c r="M4622" s="21"/>
    </row>
    <row r="4623" spans="13:13" x14ac:dyDescent="0.25">
      <c r="M4623" s="21"/>
    </row>
    <row r="4624" spans="13:13" x14ac:dyDescent="0.25">
      <c r="M4624" s="21"/>
    </row>
    <row r="4625" spans="13:13" x14ac:dyDescent="0.25">
      <c r="M4625" s="21"/>
    </row>
    <row r="4626" spans="13:13" x14ac:dyDescent="0.25">
      <c r="M4626" s="21"/>
    </row>
    <row r="4627" spans="13:13" x14ac:dyDescent="0.25">
      <c r="M4627" s="21"/>
    </row>
    <row r="4628" spans="13:13" x14ac:dyDescent="0.25">
      <c r="M4628" s="21"/>
    </row>
    <row r="4629" spans="13:13" x14ac:dyDescent="0.25">
      <c r="M4629" s="21"/>
    </row>
    <row r="4630" spans="13:13" x14ac:dyDescent="0.25">
      <c r="M4630" s="21"/>
    </row>
    <row r="4631" spans="13:13" x14ac:dyDescent="0.25">
      <c r="M4631" s="21"/>
    </row>
    <row r="4632" spans="13:13" x14ac:dyDescent="0.25">
      <c r="M4632" s="21"/>
    </row>
    <row r="4633" spans="13:13" x14ac:dyDescent="0.25">
      <c r="M4633" s="21"/>
    </row>
    <row r="4634" spans="13:13" x14ac:dyDescent="0.25">
      <c r="M4634" s="21"/>
    </row>
    <row r="4635" spans="13:13" x14ac:dyDescent="0.25">
      <c r="M4635" s="21"/>
    </row>
    <row r="4636" spans="13:13" x14ac:dyDescent="0.25">
      <c r="M4636" s="21"/>
    </row>
    <row r="4637" spans="13:13" x14ac:dyDescent="0.25">
      <c r="M4637" s="21"/>
    </row>
    <row r="4638" spans="13:13" x14ac:dyDescent="0.25">
      <c r="M4638" s="21"/>
    </row>
    <row r="4639" spans="13:13" x14ac:dyDescent="0.25">
      <c r="M4639" s="21"/>
    </row>
    <row r="4640" spans="13:13" x14ac:dyDescent="0.25">
      <c r="M4640" s="21"/>
    </row>
    <row r="4641" spans="13:13" x14ac:dyDescent="0.25">
      <c r="M4641" s="21"/>
    </row>
    <row r="4642" spans="13:13" x14ac:dyDescent="0.25">
      <c r="M4642" s="21"/>
    </row>
    <row r="4643" spans="13:13" x14ac:dyDescent="0.25">
      <c r="M4643" s="21"/>
    </row>
    <row r="4644" spans="13:13" x14ac:dyDescent="0.25">
      <c r="M4644" s="21"/>
    </row>
    <row r="4645" spans="13:13" x14ac:dyDescent="0.25">
      <c r="M4645" s="21"/>
    </row>
    <row r="4646" spans="13:13" x14ac:dyDescent="0.25">
      <c r="M4646" s="21"/>
    </row>
    <row r="4647" spans="13:13" x14ac:dyDescent="0.25">
      <c r="M4647" s="21"/>
    </row>
    <row r="4648" spans="13:13" x14ac:dyDescent="0.25">
      <c r="M4648" s="21"/>
    </row>
    <row r="4649" spans="13:13" x14ac:dyDescent="0.25">
      <c r="M4649" s="21"/>
    </row>
    <row r="4650" spans="13:13" x14ac:dyDescent="0.25">
      <c r="M4650" s="21"/>
    </row>
    <row r="4651" spans="13:13" x14ac:dyDescent="0.25">
      <c r="M4651" s="21"/>
    </row>
    <row r="4652" spans="13:13" x14ac:dyDescent="0.25">
      <c r="M4652" s="21"/>
    </row>
    <row r="4653" spans="13:13" x14ac:dyDescent="0.25">
      <c r="M4653" s="21"/>
    </row>
    <row r="4654" spans="13:13" x14ac:dyDescent="0.25">
      <c r="M4654" s="21"/>
    </row>
    <row r="4655" spans="13:13" x14ac:dyDescent="0.25">
      <c r="M4655" s="21"/>
    </row>
    <row r="4656" spans="13:13" x14ac:dyDescent="0.25">
      <c r="M4656" s="21"/>
    </row>
    <row r="4657" spans="13:13" x14ac:dyDescent="0.25">
      <c r="M4657" s="21"/>
    </row>
    <row r="4658" spans="13:13" x14ac:dyDescent="0.25">
      <c r="M4658" s="21"/>
    </row>
    <row r="4659" spans="13:13" x14ac:dyDescent="0.25">
      <c r="M4659" s="21"/>
    </row>
    <row r="4660" spans="13:13" x14ac:dyDescent="0.25">
      <c r="M4660" s="21"/>
    </row>
    <row r="4661" spans="13:13" x14ac:dyDescent="0.25">
      <c r="M4661" s="21"/>
    </row>
    <row r="4662" spans="13:13" x14ac:dyDescent="0.25">
      <c r="M4662" s="21"/>
    </row>
    <row r="4663" spans="13:13" x14ac:dyDescent="0.25">
      <c r="M4663" s="21"/>
    </row>
    <row r="4664" spans="13:13" x14ac:dyDescent="0.25">
      <c r="M4664" s="21"/>
    </row>
    <row r="4665" spans="13:13" x14ac:dyDescent="0.25">
      <c r="M4665" s="21"/>
    </row>
    <row r="4666" spans="13:13" x14ac:dyDescent="0.25">
      <c r="M4666" s="21"/>
    </row>
    <row r="4667" spans="13:13" x14ac:dyDescent="0.25">
      <c r="M4667" s="21"/>
    </row>
    <row r="4668" spans="13:13" x14ac:dyDescent="0.25">
      <c r="M4668" s="21"/>
    </row>
    <row r="4669" spans="13:13" x14ac:dyDescent="0.25">
      <c r="M4669" s="21"/>
    </row>
    <row r="4670" spans="13:13" x14ac:dyDescent="0.25">
      <c r="M4670" s="21"/>
    </row>
    <row r="4671" spans="13:13" x14ac:dyDescent="0.25">
      <c r="M4671" s="21"/>
    </row>
    <row r="4672" spans="13:13" x14ac:dyDescent="0.25">
      <c r="M4672" s="21"/>
    </row>
    <row r="4673" spans="13:13" x14ac:dyDescent="0.25">
      <c r="M4673" s="21"/>
    </row>
    <row r="4674" spans="13:13" x14ac:dyDescent="0.25">
      <c r="M4674" s="21"/>
    </row>
    <row r="4675" spans="13:13" x14ac:dyDescent="0.25">
      <c r="M4675" s="21"/>
    </row>
    <row r="4676" spans="13:13" x14ac:dyDescent="0.25">
      <c r="M4676" s="21"/>
    </row>
    <row r="4677" spans="13:13" x14ac:dyDescent="0.25">
      <c r="M4677" s="21"/>
    </row>
    <row r="4678" spans="13:13" x14ac:dyDescent="0.25">
      <c r="M4678" s="21"/>
    </row>
    <row r="4679" spans="13:13" x14ac:dyDescent="0.25">
      <c r="M4679" s="21"/>
    </row>
    <row r="4680" spans="13:13" x14ac:dyDescent="0.25">
      <c r="M4680" s="21"/>
    </row>
    <row r="4681" spans="13:13" x14ac:dyDescent="0.25">
      <c r="M4681" s="21"/>
    </row>
    <row r="4682" spans="13:13" x14ac:dyDescent="0.25">
      <c r="M4682" s="21"/>
    </row>
    <row r="4683" spans="13:13" x14ac:dyDescent="0.25">
      <c r="M4683" s="21"/>
    </row>
    <row r="4684" spans="13:13" x14ac:dyDescent="0.25">
      <c r="M4684" s="21"/>
    </row>
    <row r="4685" spans="13:13" x14ac:dyDescent="0.25">
      <c r="M4685" s="21"/>
    </row>
    <row r="4686" spans="13:13" x14ac:dyDescent="0.25">
      <c r="M4686" s="21"/>
    </row>
    <row r="4687" spans="13:13" x14ac:dyDescent="0.25">
      <c r="M4687" s="21"/>
    </row>
    <row r="4688" spans="13:13" x14ac:dyDescent="0.25">
      <c r="M4688" s="21"/>
    </row>
    <row r="4689" spans="13:13" x14ac:dyDescent="0.25">
      <c r="M4689" s="21"/>
    </row>
    <row r="4690" spans="13:13" x14ac:dyDescent="0.25">
      <c r="M4690" s="21"/>
    </row>
    <row r="4691" spans="13:13" x14ac:dyDescent="0.25">
      <c r="M4691" s="21"/>
    </row>
    <row r="4692" spans="13:13" x14ac:dyDescent="0.25">
      <c r="M4692" s="21"/>
    </row>
    <row r="4693" spans="13:13" x14ac:dyDescent="0.25">
      <c r="M4693" s="21"/>
    </row>
    <row r="4694" spans="13:13" x14ac:dyDescent="0.25">
      <c r="M4694" s="21"/>
    </row>
    <row r="4695" spans="13:13" x14ac:dyDescent="0.25">
      <c r="M4695" s="21"/>
    </row>
    <row r="4696" spans="13:13" x14ac:dyDescent="0.25">
      <c r="M4696" s="21"/>
    </row>
    <row r="4697" spans="13:13" x14ac:dyDescent="0.25">
      <c r="M4697" s="21"/>
    </row>
    <row r="4698" spans="13:13" x14ac:dyDescent="0.25">
      <c r="M4698" s="21"/>
    </row>
    <row r="4699" spans="13:13" x14ac:dyDescent="0.25">
      <c r="M4699" s="21"/>
    </row>
    <row r="4700" spans="13:13" x14ac:dyDescent="0.25">
      <c r="M4700" s="21"/>
    </row>
    <row r="4701" spans="13:13" x14ac:dyDescent="0.25">
      <c r="M4701" s="21"/>
    </row>
    <row r="4702" spans="13:13" x14ac:dyDescent="0.25">
      <c r="M4702" s="21"/>
    </row>
    <row r="4703" spans="13:13" x14ac:dyDescent="0.25">
      <c r="M4703" s="21"/>
    </row>
    <row r="4704" spans="13:13" x14ac:dyDescent="0.25">
      <c r="M4704" s="21"/>
    </row>
    <row r="4705" spans="13:13" x14ac:dyDescent="0.25">
      <c r="M4705" s="21"/>
    </row>
    <row r="4706" spans="13:13" x14ac:dyDescent="0.25">
      <c r="M4706" s="21"/>
    </row>
    <row r="4707" spans="13:13" x14ac:dyDescent="0.25">
      <c r="M4707" s="21"/>
    </row>
    <row r="4708" spans="13:13" x14ac:dyDescent="0.25">
      <c r="M4708" s="21"/>
    </row>
    <row r="4709" spans="13:13" x14ac:dyDescent="0.25">
      <c r="M4709" s="21"/>
    </row>
    <row r="4710" spans="13:13" x14ac:dyDescent="0.25">
      <c r="M4710" s="21"/>
    </row>
    <row r="4711" spans="13:13" x14ac:dyDescent="0.25">
      <c r="M4711" s="21"/>
    </row>
    <row r="4712" spans="13:13" x14ac:dyDescent="0.25">
      <c r="M4712" s="21"/>
    </row>
    <row r="4713" spans="13:13" x14ac:dyDescent="0.25">
      <c r="M4713" s="21"/>
    </row>
    <row r="4714" spans="13:13" x14ac:dyDescent="0.25">
      <c r="M4714" s="21"/>
    </row>
    <row r="4715" spans="13:13" x14ac:dyDescent="0.25">
      <c r="M4715" s="21"/>
    </row>
    <row r="4716" spans="13:13" x14ac:dyDescent="0.25">
      <c r="M4716" s="21"/>
    </row>
    <row r="4717" spans="13:13" x14ac:dyDescent="0.25">
      <c r="M4717" s="21"/>
    </row>
    <row r="4718" spans="13:13" x14ac:dyDescent="0.25">
      <c r="M4718" s="21"/>
    </row>
    <row r="4719" spans="13:13" x14ac:dyDescent="0.25">
      <c r="M4719" s="21"/>
    </row>
    <row r="4720" spans="13:13" x14ac:dyDescent="0.25">
      <c r="M4720" s="21"/>
    </row>
    <row r="4721" spans="13:13" x14ac:dyDescent="0.25">
      <c r="M4721" s="21"/>
    </row>
    <row r="4722" spans="13:13" x14ac:dyDescent="0.25">
      <c r="M4722" s="21"/>
    </row>
    <row r="4723" spans="13:13" x14ac:dyDescent="0.25">
      <c r="M4723" s="21"/>
    </row>
    <row r="4724" spans="13:13" x14ac:dyDescent="0.25">
      <c r="M4724" s="21"/>
    </row>
    <row r="4725" spans="13:13" x14ac:dyDescent="0.25">
      <c r="M4725" s="21"/>
    </row>
    <row r="4726" spans="13:13" x14ac:dyDescent="0.25">
      <c r="M4726" s="21"/>
    </row>
    <row r="4727" spans="13:13" x14ac:dyDescent="0.25">
      <c r="M4727" s="21"/>
    </row>
    <row r="4728" spans="13:13" x14ac:dyDescent="0.25">
      <c r="M4728" s="21"/>
    </row>
    <row r="4729" spans="13:13" x14ac:dyDescent="0.25">
      <c r="M4729" s="21"/>
    </row>
    <row r="4730" spans="13:13" x14ac:dyDescent="0.25">
      <c r="M4730" s="21"/>
    </row>
    <row r="4731" spans="13:13" x14ac:dyDescent="0.25">
      <c r="M4731" s="21"/>
    </row>
    <row r="4732" spans="13:13" x14ac:dyDescent="0.25">
      <c r="M4732" s="21"/>
    </row>
    <row r="4733" spans="13:13" x14ac:dyDescent="0.25">
      <c r="M4733" s="21"/>
    </row>
    <row r="4734" spans="13:13" x14ac:dyDescent="0.25">
      <c r="M4734" s="21"/>
    </row>
    <row r="4735" spans="13:13" x14ac:dyDescent="0.25">
      <c r="M4735" s="21"/>
    </row>
    <row r="4736" spans="13:13" x14ac:dyDescent="0.25">
      <c r="M4736" s="21"/>
    </row>
    <row r="4737" spans="13:13" x14ac:dyDescent="0.25">
      <c r="M4737" s="21"/>
    </row>
    <row r="4738" spans="13:13" x14ac:dyDescent="0.25">
      <c r="M4738" s="21"/>
    </row>
    <row r="4739" spans="13:13" x14ac:dyDescent="0.25">
      <c r="M4739" s="21"/>
    </row>
    <row r="4740" spans="13:13" x14ac:dyDescent="0.25">
      <c r="M4740" s="21"/>
    </row>
    <row r="4741" spans="13:13" x14ac:dyDescent="0.25">
      <c r="M4741" s="21"/>
    </row>
    <row r="4742" spans="13:13" x14ac:dyDescent="0.25">
      <c r="M4742" s="21"/>
    </row>
    <row r="4743" spans="13:13" x14ac:dyDescent="0.25">
      <c r="M4743" s="21"/>
    </row>
    <row r="4744" spans="13:13" x14ac:dyDescent="0.25">
      <c r="M4744" s="21"/>
    </row>
    <row r="4745" spans="13:13" x14ac:dyDescent="0.25">
      <c r="M4745" s="21"/>
    </row>
    <row r="4746" spans="13:13" x14ac:dyDescent="0.25">
      <c r="M4746" s="21"/>
    </row>
    <row r="4747" spans="13:13" x14ac:dyDescent="0.25">
      <c r="M4747" s="21"/>
    </row>
    <row r="4748" spans="13:13" x14ac:dyDescent="0.25">
      <c r="M4748" s="21"/>
    </row>
    <row r="4749" spans="13:13" x14ac:dyDescent="0.25">
      <c r="M4749" s="21"/>
    </row>
    <row r="4750" spans="13:13" x14ac:dyDescent="0.25">
      <c r="M4750" s="21"/>
    </row>
    <row r="4751" spans="13:13" x14ac:dyDescent="0.25">
      <c r="M4751" s="21"/>
    </row>
    <row r="4752" spans="13:13" x14ac:dyDescent="0.25">
      <c r="M4752" s="21"/>
    </row>
    <row r="4753" spans="13:13" x14ac:dyDescent="0.25">
      <c r="M4753" s="21"/>
    </row>
    <row r="4754" spans="13:13" x14ac:dyDescent="0.25">
      <c r="M4754" s="21"/>
    </row>
    <row r="4755" spans="13:13" x14ac:dyDescent="0.25">
      <c r="M4755" s="21"/>
    </row>
    <row r="4756" spans="13:13" x14ac:dyDescent="0.25">
      <c r="M4756" s="21"/>
    </row>
    <row r="4757" spans="13:13" x14ac:dyDescent="0.25">
      <c r="M4757" s="21"/>
    </row>
    <row r="4758" spans="13:13" x14ac:dyDescent="0.25">
      <c r="M4758" s="21"/>
    </row>
    <row r="4759" spans="13:13" x14ac:dyDescent="0.25">
      <c r="M4759" s="21"/>
    </row>
    <row r="4760" spans="13:13" x14ac:dyDescent="0.25">
      <c r="M4760" s="21"/>
    </row>
    <row r="4761" spans="13:13" x14ac:dyDescent="0.25">
      <c r="M4761" s="21"/>
    </row>
    <row r="4762" spans="13:13" x14ac:dyDescent="0.25">
      <c r="M4762" s="21"/>
    </row>
    <row r="4763" spans="13:13" x14ac:dyDescent="0.25">
      <c r="M4763" s="21"/>
    </row>
    <row r="4764" spans="13:13" x14ac:dyDescent="0.25">
      <c r="M4764" s="21"/>
    </row>
    <row r="4765" spans="13:13" x14ac:dyDescent="0.25">
      <c r="M4765" s="21"/>
    </row>
    <row r="4766" spans="13:13" x14ac:dyDescent="0.25">
      <c r="M4766" s="21"/>
    </row>
    <row r="4767" spans="13:13" x14ac:dyDescent="0.25">
      <c r="M4767" s="21"/>
    </row>
    <row r="4768" spans="13:13" x14ac:dyDescent="0.25">
      <c r="M4768" s="21"/>
    </row>
    <row r="4769" spans="13:13" x14ac:dyDescent="0.25">
      <c r="M4769" s="21"/>
    </row>
    <row r="4770" spans="13:13" x14ac:dyDescent="0.25">
      <c r="M4770" s="21"/>
    </row>
    <row r="4771" spans="13:13" x14ac:dyDescent="0.25">
      <c r="M4771" s="21"/>
    </row>
    <row r="4772" spans="13:13" x14ac:dyDescent="0.25">
      <c r="M4772" s="21"/>
    </row>
    <row r="4773" spans="13:13" x14ac:dyDescent="0.25">
      <c r="M4773" s="21"/>
    </row>
    <row r="4774" spans="13:13" x14ac:dyDescent="0.25">
      <c r="M4774" s="21"/>
    </row>
    <row r="4775" spans="13:13" x14ac:dyDescent="0.25">
      <c r="M4775" s="21"/>
    </row>
    <row r="4776" spans="13:13" x14ac:dyDescent="0.25">
      <c r="M4776" s="21"/>
    </row>
    <row r="4777" spans="13:13" x14ac:dyDescent="0.25">
      <c r="M4777" s="21"/>
    </row>
    <row r="4778" spans="13:13" x14ac:dyDescent="0.25">
      <c r="M4778" s="21"/>
    </row>
    <row r="4779" spans="13:13" x14ac:dyDescent="0.25">
      <c r="M4779" s="21"/>
    </row>
    <row r="4780" spans="13:13" x14ac:dyDescent="0.25">
      <c r="M4780" s="21"/>
    </row>
    <row r="4781" spans="13:13" x14ac:dyDescent="0.25">
      <c r="M4781" s="21"/>
    </row>
    <row r="4782" spans="13:13" x14ac:dyDescent="0.25">
      <c r="M4782" s="21"/>
    </row>
    <row r="4783" spans="13:13" x14ac:dyDescent="0.25">
      <c r="M4783" s="21"/>
    </row>
    <row r="4784" spans="13:13" x14ac:dyDescent="0.25">
      <c r="M4784" s="21"/>
    </row>
    <row r="4785" spans="13:13" x14ac:dyDescent="0.25">
      <c r="M4785" s="21"/>
    </row>
    <row r="4786" spans="13:13" x14ac:dyDescent="0.25">
      <c r="M4786" s="21"/>
    </row>
    <row r="4787" spans="13:13" x14ac:dyDescent="0.25">
      <c r="M4787" s="21"/>
    </row>
    <row r="4788" spans="13:13" x14ac:dyDescent="0.25">
      <c r="M4788" s="21"/>
    </row>
    <row r="4789" spans="13:13" x14ac:dyDescent="0.25">
      <c r="M4789" s="21"/>
    </row>
    <row r="4790" spans="13:13" x14ac:dyDescent="0.25">
      <c r="M4790" s="21"/>
    </row>
    <row r="4791" spans="13:13" x14ac:dyDescent="0.25">
      <c r="M4791" s="21"/>
    </row>
    <row r="4792" spans="13:13" x14ac:dyDescent="0.25">
      <c r="M4792" s="21"/>
    </row>
    <row r="4793" spans="13:13" x14ac:dyDescent="0.25">
      <c r="M4793" s="21"/>
    </row>
    <row r="4794" spans="13:13" x14ac:dyDescent="0.25">
      <c r="M4794" s="21"/>
    </row>
    <row r="4795" spans="13:13" x14ac:dyDescent="0.25">
      <c r="M4795" s="21"/>
    </row>
    <row r="4796" spans="13:13" x14ac:dyDescent="0.25">
      <c r="M4796" s="21"/>
    </row>
    <row r="4797" spans="13:13" x14ac:dyDescent="0.25">
      <c r="M4797" s="21"/>
    </row>
    <row r="4798" spans="13:13" x14ac:dyDescent="0.25">
      <c r="M4798" s="21"/>
    </row>
    <row r="4799" spans="13:13" x14ac:dyDescent="0.25">
      <c r="M4799" s="21"/>
    </row>
    <row r="4800" spans="13:13" x14ac:dyDescent="0.25">
      <c r="M4800" s="21"/>
    </row>
    <row r="4801" spans="13:13" x14ac:dyDescent="0.25">
      <c r="M4801" s="21"/>
    </row>
    <row r="4802" spans="13:13" x14ac:dyDescent="0.25">
      <c r="M4802" s="21"/>
    </row>
    <row r="4803" spans="13:13" x14ac:dyDescent="0.25">
      <c r="M4803" s="21"/>
    </row>
    <row r="4804" spans="13:13" x14ac:dyDescent="0.25">
      <c r="M4804" s="21"/>
    </row>
    <row r="4805" spans="13:13" x14ac:dyDescent="0.25">
      <c r="M4805" s="21"/>
    </row>
    <row r="4806" spans="13:13" x14ac:dyDescent="0.25">
      <c r="M4806" s="21"/>
    </row>
    <row r="4807" spans="13:13" x14ac:dyDescent="0.25">
      <c r="M4807" s="21"/>
    </row>
    <row r="4808" spans="13:13" x14ac:dyDescent="0.25">
      <c r="M4808" s="21"/>
    </row>
    <row r="4809" spans="13:13" x14ac:dyDescent="0.25">
      <c r="M4809" s="21"/>
    </row>
    <row r="4810" spans="13:13" x14ac:dyDescent="0.25">
      <c r="M4810" s="21"/>
    </row>
    <row r="4811" spans="13:13" x14ac:dyDescent="0.25">
      <c r="M4811" s="21"/>
    </row>
    <row r="4812" spans="13:13" x14ac:dyDescent="0.25">
      <c r="M4812" s="21"/>
    </row>
    <row r="4813" spans="13:13" x14ac:dyDescent="0.25">
      <c r="M4813" s="21"/>
    </row>
    <row r="4814" spans="13:13" x14ac:dyDescent="0.25">
      <c r="M4814" s="21"/>
    </row>
    <row r="4815" spans="13:13" x14ac:dyDescent="0.25">
      <c r="M4815" s="21"/>
    </row>
    <row r="4816" spans="13:13" x14ac:dyDescent="0.25">
      <c r="M4816" s="21"/>
    </row>
    <row r="4817" spans="13:13" x14ac:dyDescent="0.25">
      <c r="M4817" s="21"/>
    </row>
    <row r="4818" spans="13:13" x14ac:dyDescent="0.25">
      <c r="M4818" s="21"/>
    </row>
    <row r="4819" spans="13:13" x14ac:dyDescent="0.25">
      <c r="M4819" s="21"/>
    </row>
    <row r="4820" spans="13:13" x14ac:dyDescent="0.25">
      <c r="M4820" s="21"/>
    </row>
    <row r="4821" spans="13:13" x14ac:dyDescent="0.25">
      <c r="M4821" s="21"/>
    </row>
    <row r="4822" spans="13:13" x14ac:dyDescent="0.25">
      <c r="M4822" s="21"/>
    </row>
    <row r="4823" spans="13:13" x14ac:dyDescent="0.25">
      <c r="M4823" s="21"/>
    </row>
    <row r="4824" spans="13:13" x14ac:dyDescent="0.25">
      <c r="M4824" s="21"/>
    </row>
    <row r="4825" spans="13:13" x14ac:dyDescent="0.25">
      <c r="M4825" s="21"/>
    </row>
    <row r="4826" spans="13:13" x14ac:dyDescent="0.25">
      <c r="M4826" s="21"/>
    </row>
    <row r="4827" spans="13:13" x14ac:dyDescent="0.25">
      <c r="M4827" s="21"/>
    </row>
    <row r="4828" spans="13:13" x14ac:dyDescent="0.25">
      <c r="M4828" s="21"/>
    </row>
    <row r="4829" spans="13:13" x14ac:dyDescent="0.25">
      <c r="M4829" s="21"/>
    </row>
    <row r="4830" spans="13:13" x14ac:dyDescent="0.25">
      <c r="M4830" s="21"/>
    </row>
    <row r="4831" spans="13:13" x14ac:dyDescent="0.25">
      <c r="M4831" s="21"/>
    </row>
    <row r="4832" spans="13:13" x14ac:dyDescent="0.25">
      <c r="M4832" s="21"/>
    </row>
    <row r="4833" spans="13:13" x14ac:dyDescent="0.25">
      <c r="M4833" s="21"/>
    </row>
    <row r="4834" spans="13:13" x14ac:dyDescent="0.25">
      <c r="M4834" s="21"/>
    </row>
    <row r="4835" spans="13:13" x14ac:dyDescent="0.25">
      <c r="M4835" s="21"/>
    </row>
    <row r="4836" spans="13:13" x14ac:dyDescent="0.25">
      <c r="M4836" s="21"/>
    </row>
    <row r="4837" spans="13:13" x14ac:dyDescent="0.25">
      <c r="M4837" s="21"/>
    </row>
    <row r="4838" spans="13:13" x14ac:dyDescent="0.25">
      <c r="M4838" s="21"/>
    </row>
    <row r="4839" spans="13:13" x14ac:dyDescent="0.25">
      <c r="M4839" s="21"/>
    </row>
    <row r="4840" spans="13:13" x14ac:dyDescent="0.25">
      <c r="M4840" s="21"/>
    </row>
    <row r="4841" spans="13:13" x14ac:dyDescent="0.25">
      <c r="M4841" s="21"/>
    </row>
    <row r="4842" spans="13:13" x14ac:dyDescent="0.25">
      <c r="M4842" s="21"/>
    </row>
    <row r="4843" spans="13:13" x14ac:dyDescent="0.25">
      <c r="M4843" s="21"/>
    </row>
    <row r="4844" spans="13:13" x14ac:dyDescent="0.25">
      <c r="M4844" s="21"/>
    </row>
    <row r="4845" spans="13:13" x14ac:dyDescent="0.25">
      <c r="M4845" s="21"/>
    </row>
    <row r="4846" spans="13:13" x14ac:dyDescent="0.25">
      <c r="M4846" s="21"/>
    </row>
    <row r="4847" spans="13:13" x14ac:dyDescent="0.25">
      <c r="M4847" s="21"/>
    </row>
    <row r="4848" spans="13:13" x14ac:dyDescent="0.25">
      <c r="M4848" s="21"/>
    </row>
    <row r="4849" spans="13:13" x14ac:dyDescent="0.25">
      <c r="M4849" s="21"/>
    </row>
    <row r="4850" spans="13:13" x14ac:dyDescent="0.25">
      <c r="M4850" s="21"/>
    </row>
    <row r="4851" spans="13:13" x14ac:dyDescent="0.25">
      <c r="M4851" s="21"/>
    </row>
    <row r="4852" spans="13:13" x14ac:dyDescent="0.25">
      <c r="M4852" s="21"/>
    </row>
    <row r="4853" spans="13:13" x14ac:dyDescent="0.25">
      <c r="M4853" s="21"/>
    </row>
    <row r="4854" spans="13:13" x14ac:dyDescent="0.25">
      <c r="M4854" s="21"/>
    </row>
    <row r="4855" spans="13:13" x14ac:dyDescent="0.25">
      <c r="M4855" s="21"/>
    </row>
    <row r="4856" spans="13:13" x14ac:dyDescent="0.25">
      <c r="M4856" s="21"/>
    </row>
    <row r="4857" spans="13:13" x14ac:dyDescent="0.25">
      <c r="M4857" s="21"/>
    </row>
    <row r="4858" spans="13:13" x14ac:dyDescent="0.25">
      <c r="M4858" s="21"/>
    </row>
    <row r="4859" spans="13:13" x14ac:dyDescent="0.25">
      <c r="M4859" s="21"/>
    </row>
    <row r="4860" spans="13:13" x14ac:dyDescent="0.25">
      <c r="M4860" s="21"/>
    </row>
    <row r="4861" spans="13:13" x14ac:dyDescent="0.25">
      <c r="M4861" s="21"/>
    </row>
    <row r="4862" spans="13:13" x14ac:dyDescent="0.25">
      <c r="M4862" s="21"/>
    </row>
    <row r="4863" spans="13:13" x14ac:dyDescent="0.25">
      <c r="M4863" s="21"/>
    </row>
    <row r="4864" spans="13:13" x14ac:dyDescent="0.25">
      <c r="M4864" s="21"/>
    </row>
    <row r="4865" spans="13:13" x14ac:dyDescent="0.25">
      <c r="M4865" s="21"/>
    </row>
    <row r="4866" spans="13:13" x14ac:dyDescent="0.25">
      <c r="M4866" s="21"/>
    </row>
    <row r="4867" spans="13:13" x14ac:dyDescent="0.25">
      <c r="M4867" s="21"/>
    </row>
    <row r="4868" spans="13:13" x14ac:dyDescent="0.25">
      <c r="M4868" s="21"/>
    </row>
    <row r="4869" spans="13:13" x14ac:dyDescent="0.25">
      <c r="M4869" s="21"/>
    </row>
    <row r="4870" spans="13:13" x14ac:dyDescent="0.25">
      <c r="M4870" s="21"/>
    </row>
    <row r="4871" spans="13:13" x14ac:dyDescent="0.25">
      <c r="M4871" s="21"/>
    </row>
    <row r="4872" spans="13:13" x14ac:dyDescent="0.25">
      <c r="M4872" s="21"/>
    </row>
    <row r="4873" spans="13:13" x14ac:dyDescent="0.25">
      <c r="M4873" s="21"/>
    </row>
    <row r="4874" spans="13:13" x14ac:dyDescent="0.25">
      <c r="M4874" s="21"/>
    </row>
    <row r="4875" spans="13:13" x14ac:dyDescent="0.25">
      <c r="M4875" s="21"/>
    </row>
    <row r="4876" spans="13:13" x14ac:dyDescent="0.25">
      <c r="M4876" s="21"/>
    </row>
    <row r="4877" spans="13:13" x14ac:dyDescent="0.25">
      <c r="M4877" s="21"/>
    </row>
    <row r="4878" spans="13:13" x14ac:dyDescent="0.25">
      <c r="M4878" s="21"/>
    </row>
    <row r="4879" spans="13:13" x14ac:dyDescent="0.25">
      <c r="M4879" s="21"/>
    </row>
    <row r="4880" spans="13:13" x14ac:dyDescent="0.25">
      <c r="M4880" s="21"/>
    </row>
    <row r="4881" spans="13:13" x14ac:dyDescent="0.25">
      <c r="M4881" s="21"/>
    </row>
    <row r="4882" spans="13:13" x14ac:dyDescent="0.25">
      <c r="M4882" s="21"/>
    </row>
    <row r="4883" spans="13:13" x14ac:dyDescent="0.25">
      <c r="M4883" s="21"/>
    </row>
    <row r="4884" spans="13:13" x14ac:dyDescent="0.25">
      <c r="M4884" s="21"/>
    </row>
    <row r="4885" spans="13:13" x14ac:dyDescent="0.25">
      <c r="M4885" s="21"/>
    </row>
    <row r="4886" spans="13:13" x14ac:dyDescent="0.25">
      <c r="M4886" s="21"/>
    </row>
    <row r="4887" spans="13:13" x14ac:dyDescent="0.25">
      <c r="M4887" s="21"/>
    </row>
    <row r="4888" spans="13:13" x14ac:dyDescent="0.25">
      <c r="M4888" s="21"/>
    </row>
    <row r="4889" spans="13:13" x14ac:dyDescent="0.25">
      <c r="M4889" s="21"/>
    </row>
    <row r="4890" spans="13:13" x14ac:dyDescent="0.25">
      <c r="M4890" s="21"/>
    </row>
    <row r="4891" spans="13:13" x14ac:dyDescent="0.25">
      <c r="M4891" s="21"/>
    </row>
    <row r="4892" spans="13:13" x14ac:dyDescent="0.25">
      <c r="M4892" s="21"/>
    </row>
    <row r="4893" spans="13:13" x14ac:dyDescent="0.25">
      <c r="M4893" s="21"/>
    </row>
    <row r="4894" spans="13:13" x14ac:dyDescent="0.25">
      <c r="M4894" s="21"/>
    </row>
    <row r="4895" spans="13:13" x14ac:dyDescent="0.25">
      <c r="M4895" s="21"/>
    </row>
    <row r="4896" spans="13:13" x14ac:dyDescent="0.25">
      <c r="M4896" s="21"/>
    </row>
    <row r="4897" spans="13:13" x14ac:dyDescent="0.25">
      <c r="M4897" s="21"/>
    </row>
    <row r="4898" spans="13:13" x14ac:dyDescent="0.25">
      <c r="M4898" s="21"/>
    </row>
    <row r="4899" spans="13:13" x14ac:dyDescent="0.25">
      <c r="M4899" s="21"/>
    </row>
    <row r="4900" spans="13:13" x14ac:dyDescent="0.25">
      <c r="M4900" s="21"/>
    </row>
    <row r="4901" spans="13:13" x14ac:dyDescent="0.25">
      <c r="M4901" s="21"/>
    </row>
    <row r="4902" spans="13:13" x14ac:dyDescent="0.25">
      <c r="M4902" s="21"/>
    </row>
    <row r="4903" spans="13:13" x14ac:dyDescent="0.25">
      <c r="M4903" s="21"/>
    </row>
    <row r="4904" spans="13:13" x14ac:dyDescent="0.25">
      <c r="M4904" s="21"/>
    </row>
    <row r="4905" spans="13:13" x14ac:dyDescent="0.25">
      <c r="M4905" s="21"/>
    </row>
    <row r="4906" spans="13:13" x14ac:dyDescent="0.25">
      <c r="M4906" s="21"/>
    </row>
    <row r="4907" spans="13:13" x14ac:dyDescent="0.25">
      <c r="M4907" s="21"/>
    </row>
    <row r="4908" spans="13:13" x14ac:dyDescent="0.25">
      <c r="M4908" s="21"/>
    </row>
    <row r="4909" spans="13:13" x14ac:dyDescent="0.25">
      <c r="M4909" s="21"/>
    </row>
    <row r="4910" spans="13:13" x14ac:dyDescent="0.25">
      <c r="M4910" s="21"/>
    </row>
    <row r="4911" spans="13:13" x14ac:dyDescent="0.25">
      <c r="M4911" s="21"/>
    </row>
    <row r="4912" spans="13:13" x14ac:dyDescent="0.25">
      <c r="M4912" s="21"/>
    </row>
    <row r="4913" spans="13:13" x14ac:dyDescent="0.25">
      <c r="M4913" s="21"/>
    </row>
    <row r="4914" spans="13:13" x14ac:dyDescent="0.25">
      <c r="M4914" s="21"/>
    </row>
    <row r="4915" spans="13:13" x14ac:dyDescent="0.25">
      <c r="M4915" s="21"/>
    </row>
    <row r="4916" spans="13:13" x14ac:dyDescent="0.25">
      <c r="M4916" s="21"/>
    </row>
    <row r="4917" spans="13:13" x14ac:dyDescent="0.25">
      <c r="M4917" s="21"/>
    </row>
    <row r="4918" spans="13:13" x14ac:dyDescent="0.25">
      <c r="M4918" s="21"/>
    </row>
    <row r="4919" spans="13:13" x14ac:dyDescent="0.25">
      <c r="M4919" s="21"/>
    </row>
    <row r="4920" spans="13:13" x14ac:dyDescent="0.25">
      <c r="M4920" s="21"/>
    </row>
    <row r="4921" spans="13:13" x14ac:dyDescent="0.25">
      <c r="M4921" s="21"/>
    </row>
    <row r="4922" spans="13:13" x14ac:dyDescent="0.25">
      <c r="M4922" s="21"/>
    </row>
    <row r="4923" spans="13:13" x14ac:dyDescent="0.25">
      <c r="M4923" s="21"/>
    </row>
    <row r="4924" spans="13:13" x14ac:dyDescent="0.25">
      <c r="M4924" s="21"/>
    </row>
    <row r="4925" spans="13:13" x14ac:dyDescent="0.25">
      <c r="M4925" s="21"/>
    </row>
    <row r="4926" spans="13:13" x14ac:dyDescent="0.25">
      <c r="M4926" s="21"/>
    </row>
    <row r="4927" spans="13:13" x14ac:dyDescent="0.25">
      <c r="M4927" s="21"/>
    </row>
    <row r="4928" spans="13:13" x14ac:dyDescent="0.25">
      <c r="M4928" s="21"/>
    </row>
    <row r="4929" spans="13:13" x14ac:dyDescent="0.25">
      <c r="M4929" s="21"/>
    </row>
    <row r="4930" spans="13:13" x14ac:dyDescent="0.25">
      <c r="M4930" s="21"/>
    </row>
    <row r="4931" spans="13:13" x14ac:dyDescent="0.25">
      <c r="M4931" s="21"/>
    </row>
    <row r="4932" spans="13:13" x14ac:dyDescent="0.25">
      <c r="M4932" s="21"/>
    </row>
    <row r="4933" spans="13:13" x14ac:dyDescent="0.25">
      <c r="M4933" s="21"/>
    </row>
    <row r="4934" spans="13:13" x14ac:dyDescent="0.25">
      <c r="M4934" s="21"/>
    </row>
    <row r="4935" spans="13:13" x14ac:dyDescent="0.25">
      <c r="M4935" s="21"/>
    </row>
    <row r="4936" spans="13:13" x14ac:dyDescent="0.25">
      <c r="M4936" s="21"/>
    </row>
    <row r="4937" spans="13:13" x14ac:dyDescent="0.25">
      <c r="M4937" s="21"/>
    </row>
    <row r="4938" spans="13:13" x14ac:dyDescent="0.25">
      <c r="M4938" s="21"/>
    </row>
    <row r="4939" spans="13:13" x14ac:dyDescent="0.25">
      <c r="M4939" s="21"/>
    </row>
    <row r="4940" spans="13:13" x14ac:dyDescent="0.25">
      <c r="M4940" s="21"/>
    </row>
    <row r="4941" spans="13:13" x14ac:dyDescent="0.25">
      <c r="M4941" s="21"/>
    </row>
    <row r="4942" spans="13:13" x14ac:dyDescent="0.25">
      <c r="M4942" s="21"/>
    </row>
    <row r="4943" spans="13:13" x14ac:dyDescent="0.25">
      <c r="M4943" s="21"/>
    </row>
    <row r="4944" spans="13:13" x14ac:dyDescent="0.25">
      <c r="M4944" s="21"/>
    </row>
    <row r="4945" spans="13:13" x14ac:dyDescent="0.25">
      <c r="M4945" s="21"/>
    </row>
    <row r="4946" spans="13:13" x14ac:dyDescent="0.25">
      <c r="M4946" s="21"/>
    </row>
    <row r="4947" spans="13:13" x14ac:dyDescent="0.25">
      <c r="M4947" s="21"/>
    </row>
    <row r="4948" spans="13:13" x14ac:dyDescent="0.25">
      <c r="M4948" s="21"/>
    </row>
    <row r="4949" spans="13:13" x14ac:dyDescent="0.25">
      <c r="M4949" s="21"/>
    </row>
    <row r="4950" spans="13:13" x14ac:dyDescent="0.25">
      <c r="M4950" s="21"/>
    </row>
    <row r="4951" spans="13:13" x14ac:dyDescent="0.25">
      <c r="M4951" s="21"/>
    </row>
    <row r="4952" spans="13:13" x14ac:dyDescent="0.25">
      <c r="M4952" s="21"/>
    </row>
    <row r="4953" spans="13:13" x14ac:dyDescent="0.25">
      <c r="M4953" s="21"/>
    </row>
    <row r="4954" spans="13:13" x14ac:dyDescent="0.25">
      <c r="M4954" s="21"/>
    </row>
    <row r="4955" spans="13:13" x14ac:dyDescent="0.25">
      <c r="M4955" s="21"/>
    </row>
    <row r="4956" spans="13:13" x14ac:dyDescent="0.25">
      <c r="M4956" s="21"/>
    </row>
    <row r="4957" spans="13:13" x14ac:dyDescent="0.25">
      <c r="M4957" s="21"/>
    </row>
    <row r="4958" spans="13:13" x14ac:dyDescent="0.25">
      <c r="M4958" s="21"/>
    </row>
    <row r="4959" spans="13:13" x14ac:dyDescent="0.25">
      <c r="M4959" s="21"/>
    </row>
    <row r="4960" spans="13:13" x14ac:dyDescent="0.25">
      <c r="M4960" s="21"/>
    </row>
    <row r="4961" spans="13:13" x14ac:dyDescent="0.25">
      <c r="M4961" s="21"/>
    </row>
    <row r="4962" spans="13:13" x14ac:dyDescent="0.25">
      <c r="M4962" s="21"/>
    </row>
    <row r="4963" spans="13:13" x14ac:dyDescent="0.25">
      <c r="M4963" s="21"/>
    </row>
    <row r="4964" spans="13:13" x14ac:dyDescent="0.25">
      <c r="M4964" s="21"/>
    </row>
    <row r="4965" spans="13:13" x14ac:dyDescent="0.25">
      <c r="M4965" s="21"/>
    </row>
    <row r="4966" spans="13:13" x14ac:dyDescent="0.25">
      <c r="M4966" s="21"/>
    </row>
    <row r="4967" spans="13:13" x14ac:dyDescent="0.25">
      <c r="M4967" s="21"/>
    </row>
    <row r="4968" spans="13:13" x14ac:dyDescent="0.25">
      <c r="M4968" s="21"/>
    </row>
    <row r="4969" spans="13:13" x14ac:dyDescent="0.25">
      <c r="M4969" s="21"/>
    </row>
    <row r="4970" spans="13:13" x14ac:dyDescent="0.25">
      <c r="M4970" s="21"/>
    </row>
    <row r="4971" spans="13:13" x14ac:dyDescent="0.25">
      <c r="M4971" s="21"/>
    </row>
    <row r="4972" spans="13:13" x14ac:dyDescent="0.25">
      <c r="M4972" s="21"/>
    </row>
    <row r="4973" spans="13:13" x14ac:dyDescent="0.25">
      <c r="M4973" s="21"/>
    </row>
    <row r="4974" spans="13:13" x14ac:dyDescent="0.25">
      <c r="M4974" s="21"/>
    </row>
    <row r="4975" spans="13:13" x14ac:dyDescent="0.25">
      <c r="M4975" s="21"/>
    </row>
    <row r="4976" spans="13:13" x14ac:dyDescent="0.25">
      <c r="M4976" s="21"/>
    </row>
    <row r="4977" spans="13:13" x14ac:dyDescent="0.25">
      <c r="M4977" s="21"/>
    </row>
    <row r="4978" spans="13:13" x14ac:dyDescent="0.25">
      <c r="M4978" s="21"/>
    </row>
    <row r="4979" spans="13:13" x14ac:dyDescent="0.25">
      <c r="M4979" s="21"/>
    </row>
    <row r="4980" spans="13:13" x14ac:dyDescent="0.25">
      <c r="M4980" s="21"/>
    </row>
    <row r="4981" spans="13:13" x14ac:dyDescent="0.25">
      <c r="M4981" s="21"/>
    </row>
    <row r="4982" spans="13:13" x14ac:dyDescent="0.25">
      <c r="M4982" s="21"/>
    </row>
    <row r="4983" spans="13:13" x14ac:dyDescent="0.25">
      <c r="M4983" s="21"/>
    </row>
    <row r="4984" spans="13:13" x14ac:dyDescent="0.25">
      <c r="M4984" s="21"/>
    </row>
    <row r="4985" spans="13:13" x14ac:dyDescent="0.25">
      <c r="M4985" s="21"/>
    </row>
    <row r="4986" spans="13:13" x14ac:dyDescent="0.25">
      <c r="M4986" s="21"/>
    </row>
    <row r="4987" spans="13:13" x14ac:dyDescent="0.25">
      <c r="M4987" s="21"/>
    </row>
    <row r="4988" spans="13:13" x14ac:dyDescent="0.25">
      <c r="M4988" s="21"/>
    </row>
    <row r="4989" spans="13:13" x14ac:dyDescent="0.25">
      <c r="M4989" s="21"/>
    </row>
    <row r="4990" spans="13:13" x14ac:dyDescent="0.25">
      <c r="M4990" s="21"/>
    </row>
    <row r="4991" spans="13:13" x14ac:dyDescent="0.25">
      <c r="M4991" s="21"/>
    </row>
    <row r="4992" spans="13:13" x14ac:dyDescent="0.25">
      <c r="M4992" s="21"/>
    </row>
    <row r="4993" spans="13:13" x14ac:dyDescent="0.25">
      <c r="M4993" s="21"/>
    </row>
    <row r="4994" spans="13:13" x14ac:dyDescent="0.25">
      <c r="M4994" s="21"/>
    </row>
    <row r="4995" spans="13:13" x14ac:dyDescent="0.25">
      <c r="M4995" s="21"/>
    </row>
    <row r="4996" spans="13:13" x14ac:dyDescent="0.25">
      <c r="M4996" s="21"/>
    </row>
    <row r="4997" spans="13:13" x14ac:dyDescent="0.25">
      <c r="M4997" s="21"/>
    </row>
    <row r="4998" spans="13:13" x14ac:dyDescent="0.25">
      <c r="M4998" s="21"/>
    </row>
    <row r="4999" spans="13:13" x14ac:dyDescent="0.25">
      <c r="M4999" s="21"/>
    </row>
    <row r="5000" spans="13:13" x14ac:dyDescent="0.25">
      <c r="M5000" s="21"/>
    </row>
    <row r="5001" spans="13:13" x14ac:dyDescent="0.25">
      <c r="M5001" s="21"/>
    </row>
    <row r="5002" spans="13:13" x14ac:dyDescent="0.25">
      <c r="M5002" s="21"/>
    </row>
    <row r="5003" spans="13:13" x14ac:dyDescent="0.25">
      <c r="M5003" s="21"/>
    </row>
    <row r="5004" spans="13:13" x14ac:dyDescent="0.25">
      <c r="M5004" s="21"/>
    </row>
    <row r="5005" spans="13:13" x14ac:dyDescent="0.25">
      <c r="M5005" s="21"/>
    </row>
    <row r="5006" spans="13:13" x14ac:dyDescent="0.25">
      <c r="M5006" s="21"/>
    </row>
    <row r="5007" spans="13:13" x14ac:dyDescent="0.25">
      <c r="M5007" s="21"/>
    </row>
    <row r="5008" spans="13:13" x14ac:dyDescent="0.25">
      <c r="M5008" s="21"/>
    </row>
    <row r="5009" spans="13:13" x14ac:dyDescent="0.25">
      <c r="M5009" s="21"/>
    </row>
    <row r="5010" spans="13:13" x14ac:dyDescent="0.25">
      <c r="M5010" s="21"/>
    </row>
    <row r="5011" spans="13:13" x14ac:dyDescent="0.25">
      <c r="M5011" s="21"/>
    </row>
    <row r="5012" spans="13:13" x14ac:dyDescent="0.25">
      <c r="M5012" s="21"/>
    </row>
    <row r="5013" spans="13:13" x14ac:dyDescent="0.25">
      <c r="M5013" s="21"/>
    </row>
    <row r="5014" spans="13:13" x14ac:dyDescent="0.25">
      <c r="M5014" s="21"/>
    </row>
    <row r="5015" spans="13:13" x14ac:dyDescent="0.25">
      <c r="M5015" s="21"/>
    </row>
    <row r="5016" spans="13:13" x14ac:dyDescent="0.25">
      <c r="M5016" s="21"/>
    </row>
    <row r="5017" spans="13:13" x14ac:dyDescent="0.25">
      <c r="M5017" s="21"/>
    </row>
    <row r="5018" spans="13:13" x14ac:dyDescent="0.25">
      <c r="M5018" s="21"/>
    </row>
    <row r="5019" spans="13:13" x14ac:dyDescent="0.25">
      <c r="M5019" s="21"/>
    </row>
    <row r="5020" spans="13:13" x14ac:dyDescent="0.25">
      <c r="M5020" s="21"/>
    </row>
    <row r="5021" spans="13:13" x14ac:dyDescent="0.25">
      <c r="M5021" s="21"/>
    </row>
    <row r="5022" spans="13:13" x14ac:dyDescent="0.25">
      <c r="M5022" s="21"/>
    </row>
    <row r="5023" spans="13:13" x14ac:dyDescent="0.25">
      <c r="M5023" s="21"/>
    </row>
    <row r="5024" spans="13:13" x14ac:dyDescent="0.25">
      <c r="M5024" s="21"/>
    </row>
    <row r="5025" spans="13:13" x14ac:dyDescent="0.25">
      <c r="M5025" s="21"/>
    </row>
    <row r="5026" spans="13:13" x14ac:dyDescent="0.25">
      <c r="M5026" s="21"/>
    </row>
    <row r="5027" spans="13:13" x14ac:dyDescent="0.25">
      <c r="M5027" s="21"/>
    </row>
    <row r="5028" spans="13:13" x14ac:dyDescent="0.25">
      <c r="M5028" s="21"/>
    </row>
    <row r="5029" spans="13:13" x14ac:dyDescent="0.25">
      <c r="M5029" s="21"/>
    </row>
    <row r="5030" spans="13:13" x14ac:dyDescent="0.25">
      <c r="M5030" s="21"/>
    </row>
    <row r="5031" spans="13:13" x14ac:dyDescent="0.25">
      <c r="M5031" s="21"/>
    </row>
    <row r="5032" spans="13:13" x14ac:dyDescent="0.25">
      <c r="M5032" s="21"/>
    </row>
    <row r="5033" spans="13:13" x14ac:dyDescent="0.25">
      <c r="M5033" s="21"/>
    </row>
    <row r="5034" spans="13:13" x14ac:dyDescent="0.25">
      <c r="M5034" s="21"/>
    </row>
    <row r="5035" spans="13:13" x14ac:dyDescent="0.25">
      <c r="M5035" s="21"/>
    </row>
    <row r="5036" spans="13:13" x14ac:dyDescent="0.25">
      <c r="M5036" s="21"/>
    </row>
    <row r="5037" spans="13:13" x14ac:dyDescent="0.25">
      <c r="M5037" s="21"/>
    </row>
    <row r="5038" spans="13:13" x14ac:dyDescent="0.25">
      <c r="M5038" s="21"/>
    </row>
    <row r="5039" spans="13:13" x14ac:dyDescent="0.25">
      <c r="M5039" s="21"/>
    </row>
    <row r="5040" spans="13:13" x14ac:dyDescent="0.25">
      <c r="M5040" s="21"/>
    </row>
    <row r="5041" spans="13:13" x14ac:dyDescent="0.25">
      <c r="M5041" s="21"/>
    </row>
    <row r="5042" spans="13:13" x14ac:dyDescent="0.25">
      <c r="M5042" s="21"/>
    </row>
    <row r="5043" spans="13:13" x14ac:dyDescent="0.25">
      <c r="M5043" s="21"/>
    </row>
    <row r="5044" spans="13:13" x14ac:dyDescent="0.25">
      <c r="M5044" s="21"/>
    </row>
    <row r="5045" spans="13:13" x14ac:dyDescent="0.25">
      <c r="M5045" s="21"/>
    </row>
    <row r="5046" spans="13:13" x14ac:dyDescent="0.25">
      <c r="M5046" s="21"/>
    </row>
    <row r="5047" spans="13:13" x14ac:dyDescent="0.25">
      <c r="M5047" s="21"/>
    </row>
    <row r="5048" spans="13:13" x14ac:dyDescent="0.25">
      <c r="M5048" s="21"/>
    </row>
    <row r="5049" spans="13:13" x14ac:dyDescent="0.25">
      <c r="M5049" s="21"/>
    </row>
    <row r="5050" spans="13:13" x14ac:dyDescent="0.25">
      <c r="M5050" s="21"/>
    </row>
    <row r="5051" spans="13:13" x14ac:dyDescent="0.25">
      <c r="M5051" s="21"/>
    </row>
    <row r="5052" spans="13:13" x14ac:dyDescent="0.25">
      <c r="M5052" s="21"/>
    </row>
    <row r="5053" spans="13:13" x14ac:dyDescent="0.25">
      <c r="M5053" s="21"/>
    </row>
    <row r="5054" spans="13:13" x14ac:dyDescent="0.25">
      <c r="M5054" s="21"/>
    </row>
    <row r="5055" spans="13:13" x14ac:dyDescent="0.25">
      <c r="M5055" s="21"/>
    </row>
    <row r="5056" spans="13:13" x14ac:dyDescent="0.25">
      <c r="M5056" s="21"/>
    </row>
    <row r="5057" spans="13:13" x14ac:dyDescent="0.25">
      <c r="M5057" s="21"/>
    </row>
    <row r="5058" spans="13:13" x14ac:dyDescent="0.25">
      <c r="M5058" s="21"/>
    </row>
    <row r="5059" spans="13:13" x14ac:dyDescent="0.25">
      <c r="M5059" s="21"/>
    </row>
    <row r="5060" spans="13:13" x14ac:dyDescent="0.25">
      <c r="M5060" s="21"/>
    </row>
    <row r="5061" spans="13:13" x14ac:dyDescent="0.25">
      <c r="M5061" s="21"/>
    </row>
    <row r="5062" spans="13:13" x14ac:dyDescent="0.25">
      <c r="M5062" s="21"/>
    </row>
    <row r="5063" spans="13:13" x14ac:dyDescent="0.25">
      <c r="M5063" s="21"/>
    </row>
    <row r="5064" spans="13:13" x14ac:dyDescent="0.25">
      <c r="M5064" s="21"/>
    </row>
    <row r="5065" spans="13:13" x14ac:dyDescent="0.25">
      <c r="M5065" s="21"/>
    </row>
    <row r="5066" spans="13:13" x14ac:dyDescent="0.25">
      <c r="M5066" s="21"/>
    </row>
    <row r="5067" spans="13:13" x14ac:dyDescent="0.25">
      <c r="M5067" s="21"/>
    </row>
    <row r="5068" spans="13:13" x14ac:dyDescent="0.25">
      <c r="M5068" s="21"/>
    </row>
    <row r="5069" spans="13:13" x14ac:dyDescent="0.25">
      <c r="M5069" s="21"/>
    </row>
    <row r="5070" spans="13:13" x14ac:dyDescent="0.25">
      <c r="M5070" s="21"/>
    </row>
    <row r="5071" spans="13:13" x14ac:dyDescent="0.25">
      <c r="M5071" s="21"/>
    </row>
    <row r="5072" spans="13:13" x14ac:dyDescent="0.25">
      <c r="M5072" s="21"/>
    </row>
    <row r="5073" spans="13:13" x14ac:dyDescent="0.25">
      <c r="M5073" s="21"/>
    </row>
    <row r="5074" spans="13:13" x14ac:dyDescent="0.25">
      <c r="M5074" s="21"/>
    </row>
    <row r="5075" spans="13:13" x14ac:dyDescent="0.25">
      <c r="M5075" s="21"/>
    </row>
    <row r="5076" spans="13:13" x14ac:dyDescent="0.25">
      <c r="M5076" s="21"/>
    </row>
    <row r="5077" spans="13:13" x14ac:dyDescent="0.25">
      <c r="M5077" s="21"/>
    </row>
    <row r="5078" spans="13:13" x14ac:dyDescent="0.25">
      <c r="M5078" s="21"/>
    </row>
    <row r="5079" spans="13:13" x14ac:dyDescent="0.25">
      <c r="M5079" s="21"/>
    </row>
    <row r="5080" spans="13:13" x14ac:dyDescent="0.25">
      <c r="M5080" s="21"/>
    </row>
    <row r="5081" spans="13:13" x14ac:dyDescent="0.25">
      <c r="M5081" s="21"/>
    </row>
    <row r="5082" spans="13:13" x14ac:dyDescent="0.25">
      <c r="M5082" s="21"/>
    </row>
    <row r="5083" spans="13:13" x14ac:dyDescent="0.25">
      <c r="M5083" s="21"/>
    </row>
    <row r="5084" spans="13:13" x14ac:dyDescent="0.25">
      <c r="M5084" s="21"/>
    </row>
    <row r="5085" spans="13:13" x14ac:dyDescent="0.25">
      <c r="M5085" s="21"/>
    </row>
    <row r="5086" spans="13:13" x14ac:dyDescent="0.25">
      <c r="M5086" s="21"/>
    </row>
    <row r="5087" spans="13:13" x14ac:dyDescent="0.25">
      <c r="M5087" s="21"/>
    </row>
    <row r="5088" spans="13:13" x14ac:dyDescent="0.25">
      <c r="M5088" s="21"/>
    </row>
    <row r="5089" spans="13:13" x14ac:dyDescent="0.25">
      <c r="M5089" s="21"/>
    </row>
    <row r="5090" spans="13:13" x14ac:dyDescent="0.25">
      <c r="M5090" s="21"/>
    </row>
    <row r="5091" spans="13:13" x14ac:dyDescent="0.25">
      <c r="M5091" s="21"/>
    </row>
    <row r="5092" spans="13:13" x14ac:dyDescent="0.25">
      <c r="M5092" s="21"/>
    </row>
    <row r="5093" spans="13:13" x14ac:dyDescent="0.25">
      <c r="M5093" s="21"/>
    </row>
    <row r="5094" spans="13:13" x14ac:dyDescent="0.25">
      <c r="M5094" s="21"/>
    </row>
    <row r="5095" spans="13:13" x14ac:dyDescent="0.25">
      <c r="M5095" s="21"/>
    </row>
    <row r="5096" spans="13:13" x14ac:dyDescent="0.25">
      <c r="M5096" s="21"/>
    </row>
    <row r="5097" spans="13:13" x14ac:dyDescent="0.25">
      <c r="M5097" s="21"/>
    </row>
    <row r="5098" spans="13:13" x14ac:dyDescent="0.25">
      <c r="M5098" s="21"/>
    </row>
    <row r="5099" spans="13:13" x14ac:dyDescent="0.25">
      <c r="M5099" s="21"/>
    </row>
    <row r="5100" spans="13:13" x14ac:dyDescent="0.25">
      <c r="M5100" s="21"/>
    </row>
    <row r="5101" spans="13:13" x14ac:dyDescent="0.25">
      <c r="M5101" s="21"/>
    </row>
    <row r="5102" spans="13:13" x14ac:dyDescent="0.25">
      <c r="M5102" s="21"/>
    </row>
    <row r="5103" spans="13:13" x14ac:dyDescent="0.25">
      <c r="M5103" s="21"/>
    </row>
    <row r="5104" spans="13:13" x14ac:dyDescent="0.25">
      <c r="M5104" s="21"/>
    </row>
    <row r="5105" spans="13:13" x14ac:dyDescent="0.25">
      <c r="M5105" s="21"/>
    </row>
    <row r="5106" spans="13:13" x14ac:dyDescent="0.25">
      <c r="M5106" s="21"/>
    </row>
    <row r="5107" spans="13:13" x14ac:dyDescent="0.25">
      <c r="M5107" s="21"/>
    </row>
    <row r="5108" spans="13:13" x14ac:dyDescent="0.25">
      <c r="M5108" s="21"/>
    </row>
    <row r="5109" spans="13:13" x14ac:dyDescent="0.25">
      <c r="M5109" s="21"/>
    </row>
    <row r="5110" spans="13:13" x14ac:dyDescent="0.25">
      <c r="M5110" s="21"/>
    </row>
    <row r="5111" spans="13:13" x14ac:dyDescent="0.25">
      <c r="M5111" s="21"/>
    </row>
    <row r="5112" spans="13:13" x14ac:dyDescent="0.25">
      <c r="M5112" s="21"/>
    </row>
    <row r="5113" spans="13:13" x14ac:dyDescent="0.25">
      <c r="M5113" s="21"/>
    </row>
    <row r="5114" spans="13:13" x14ac:dyDescent="0.25">
      <c r="M5114" s="21"/>
    </row>
    <row r="5115" spans="13:13" x14ac:dyDescent="0.25">
      <c r="M5115" s="21"/>
    </row>
    <row r="5116" spans="13:13" x14ac:dyDescent="0.25">
      <c r="M5116" s="21"/>
    </row>
    <row r="5117" spans="13:13" x14ac:dyDescent="0.25">
      <c r="M5117" s="21"/>
    </row>
    <row r="5118" spans="13:13" x14ac:dyDescent="0.25">
      <c r="M5118" s="21"/>
    </row>
    <row r="5119" spans="13:13" x14ac:dyDescent="0.25">
      <c r="M5119" s="21"/>
    </row>
    <row r="5120" spans="13:13" x14ac:dyDescent="0.25">
      <c r="M5120" s="21"/>
    </row>
    <row r="5121" spans="13:13" x14ac:dyDescent="0.25">
      <c r="M5121" s="21"/>
    </row>
    <row r="5122" spans="13:13" x14ac:dyDescent="0.25">
      <c r="M5122" s="21"/>
    </row>
    <row r="5123" spans="13:13" x14ac:dyDescent="0.25">
      <c r="M5123" s="21"/>
    </row>
    <row r="5124" spans="13:13" x14ac:dyDescent="0.25">
      <c r="M5124" s="21"/>
    </row>
    <row r="5125" spans="13:13" x14ac:dyDescent="0.25">
      <c r="M5125" s="21"/>
    </row>
    <row r="5126" spans="13:13" x14ac:dyDescent="0.25">
      <c r="M5126" s="21"/>
    </row>
    <row r="5127" spans="13:13" x14ac:dyDescent="0.25">
      <c r="M5127" s="21"/>
    </row>
    <row r="5128" spans="13:13" x14ac:dyDescent="0.25">
      <c r="M5128" s="21"/>
    </row>
    <row r="5129" spans="13:13" x14ac:dyDescent="0.25">
      <c r="M5129" s="21"/>
    </row>
    <row r="5130" spans="13:13" x14ac:dyDescent="0.25">
      <c r="M5130" s="21"/>
    </row>
    <row r="5131" spans="13:13" x14ac:dyDescent="0.25">
      <c r="M5131" s="21"/>
    </row>
    <row r="5132" spans="13:13" x14ac:dyDescent="0.25">
      <c r="M5132" s="21"/>
    </row>
    <row r="5133" spans="13:13" x14ac:dyDescent="0.25">
      <c r="M5133" s="21"/>
    </row>
    <row r="5134" spans="13:13" x14ac:dyDescent="0.25">
      <c r="M5134" s="21"/>
    </row>
    <row r="5135" spans="13:13" x14ac:dyDescent="0.25">
      <c r="M5135" s="21"/>
    </row>
    <row r="5136" spans="13:13" x14ac:dyDescent="0.25">
      <c r="M5136" s="21"/>
    </row>
    <row r="5137" spans="13:13" x14ac:dyDescent="0.25">
      <c r="M5137" s="21"/>
    </row>
    <row r="5138" spans="13:13" x14ac:dyDescent="0.25">
      <c r="M5138" s="21"/>
    </row>
    <row r="5139" spans="13:13" x14ac:dyDescent="0.25">
      <c r="M5139" s="21"/>
    </row>
    <row r="5140" spans="13:13" x14ac:dyDescent="0.25">
      <c r="M5140" s="21"/>
    </row>
    <row r="5141" spans="13:13" x14ac:dyDescent="0.25">
      <c r="M5141" s="21"/>
    </row>
    <row r="5142" spans="13:13" x14ac:dyDescent="0.25">
      <c r="M5142" s="21"/>
    </row>
    <row r="5143" spans="13:13" x14ac:dyDescent="0.25">
      <c r="M5143" s="21"/>
    </row>
    <row r="5144" spans="13:13" x14ac:dyDescent="0.25">
      <c r="M5144" s="21"/>
    </row>
    <row r="5145" spans="13:13" x14ac:dyDescent="0.25">
      <c r="M5145" s="21"/>
    </row>
    <row r="5146" spans="13:13" x14ac:dyDescent="0.25">
      <c r="M5146" s="21"/>
    </row>
    <row r="5147" spans="13:13" x14ac:dyDescent="0.25">
      <c r="M5147" s="21"/>
    </row>
    <row r="5148" spans="13:13" x14ac:dyDescent="0.25">
      <c r="M5148" s="21"/>
    </row>
    <row r="5149" spans="13:13" x14ac:dyDescent="0.25">
      <c r="M5149" s="21"/>
    </row>
    <row r="5150" spans="13:13" x14ac:dyDescent="0.25">
      <c r="M5150" s="21"/>
    </row>
    <row r="5151" spans="13:13" x14ac:dyDescent="0.25">
      <c r="M5151" s="21"/>
    </row>
    <row r="5152" spans="13:13" x14ac:dyDescent="0.25">
      <c r="M5152" s="21"/>
    </row>
    <row r="5153" spans="13:13" x14ac:dyDescent="0.25">
      <c r="M5153" s="21"/>
    </row>
    <row r="5154" spans="13:13" x14ac:dyDescent="0.25">
      <c r="M5154" s="21"/>
    </row>
    <row r="5155" spans="13:13" x14ac:dyDescent="0.25">
      <c r="M5155" s="21"/>
    </row>
    <row r="5156" spans="13:13" x14ac:dyDescent="0.25">
      <c r="M5156" s="21"/>
    </row>
    <row r="5157" spans="13:13" x14ac:dyDescent="0.25">
      <c r="M5157" s="21"/>
    </row>
    <row r="5158" spans="13:13" x14ac:dyDescent="0.25">
      <c r="M5158" s="21"/>
    </row>
    <row r="5159" spans="13:13" x14ac:dyDescent="0.25">
      <c r="M5159" s="21"/>
    </row>
    <row r="5160" spans="13:13" x14ac:dyDescent="0.25">
      <c r="M5160" s="21"/>
    </row>
    <row r="5161" spans="13:13" x14ac:dyDescent="0.25">
      <c r="M5161" s="21"/>
    </row>
    <row r="5162" spans="13:13" x14ac:dyDescent="0.25">
      <c r="M5162" s="21"/>
    </row>
    <row r="5163" spans="13:13" x14ac:dyDescent="0.25">
      <c r="M5163" s="21"/>
    </row>
    <row r="5164" spans="13:13" x14ac:dyDescent="0.25">
      <c r="M5164" s="21"/>
    </row>
    <row r="5165" spans="13:13" x14ac:dyDescent="0.25">
      <c r="M5165" s="21"/>
    </row>
    <row r="5166" spans="13:13" x14ac:dyDescent="0.25">
      <c r="M5166" s="21"/>
    </row>
    <row r="5167" spans="13:13" x14ac:dyDescent="0.25">
      <c r="M5167" s="21"/>
    </row>
    <row r="5168" spans="13:13" x14ac:dyDescent="0.25">
      <c r="M5168" s="21"/>
    </row>
    <row r="5169" spans="13:13" x14ac:dyDescent="0.25">
      <c r="M5169" s="21"/>
    </row>
    <row r="5170" spans="13:13" x14ac:dyDescent="0.25">
      <c r="M5170" s="21"/>
    </row>
    <row r="5171" spans="13:13" x14ac:dyDescent="0.25">
      <c r="M5171" s="21"/>
    </row>
    <row r="5172" spans="13:13" x14ac:dyDescent="0.25">
      <c r="M5172" s="21"/>
    </row>
    <row r="5173" spans="13:13" x14ac:dyDescent="0.25">
      <c r="M5173" s="21"/>
    </row>
    <row r="5174" spans="13:13" x14ac:dyDescent="0.25">
      <c r="M5174" s="21"/>
    </row>
    <row r="5175" spans="13:13" x14ac:dyDescent="0.25">
      <c r="M5175" s="21"/>
    </row>
    <row r="5176" spans="13:13" x14ac:dyDescent="0.25">
      <c r="M5176" s="21"/>
    </row>
    <row r="5177" spans="13:13" x14ac:dyDescent="0.25">
      <c r="M5177" s="21"/>
    </row>
    <row r="5178" spans="13:13" x14ac:dyDescent="0.25">
      <c r="M5178" s="21"/>
    </row>
    <row r="5179" spans="13:13" x14ac:dyDescent="0.25">
      <c r="M5179" s="21"/>
    </row>
    <row r="5180" spans="13:13" x14ac:dyDescent="0.25">
      <c r="M5180" s="21"/>
    </row>
    <row r="5181" spans="13:13" x14ac:dyDescent="0.25">
      <c r="M5181" s="21"/>
    </row>
    <row r="5182" spans="13:13" x14ac:dyDescent="0.25">
      <c r="M5182" s="21"/>
    </row>
    <row r="5183" spans="13:13" x14ac:dyDescent="0.25">
      <c r="M5183" s="21"/>
    </row>
    <row r="5184" spans="13:13" x14ac:dyDescent="0.25">
      <c r="M5184" s="21"/>
    </row>
    <row r="5185" spans="13:13" x14ac:dyDescent="0.25">
      <c r="M5185" s="21"/>
    </row>
    <row r="5186" spans="13:13" x14ac:dyDescent="0.25">
      <c r="M5186" s="21"/>
    </row>
    <row r="5187" spans="13:13" x14ac:dyDescent="0.25">
      <c r="M5187" s="21"/>
    </row>
    <row r="5188" spans="13:13" x14ac:dyDescent="0.25">
      <c r="M5188" s="21"/>
    </row>
    <row r="5189" spans="13:13" x14ac:dyDescent="0.25">
      <c r="M5189" s="21"/>
    </row>
    <row r="5190" spans="13:13" x14ac:dyDescent="0.25">
      <c r="M5190" s="21"/>
    </row>
    <row r="5191" spans="13:13" x14ac:dyDescent="0.25">
      <c r="M5191" s="21"/>
    </row>
    <row r="5192" spans="13:13" x14ac:dyDescent="0.25">
      <c r="M5192" s="21"/>
    </row>
    <row r="5193" spans="13:13" x14ac:dyDescent="0.25">
      <c r="M5193" s="21"/>
    </row>
    <row r="5194" spans="13:13" x14ac:dyDescent="0.25">
      <c r="M5194" s="21"/>
    </row>
    <row r="5195" spans="13:13" x14ac:dyDescent="0.25">
      <c r="M5195" s="21"/>
    </row>
    <row r="5196" spans="13:13" x14ac:dyDescent="0.25">
      <c r="M5196" s="21"/>
    </row>
    <row r="5197" spans="13:13" x14ac:dyDescent="0.25">
      <c r="M5197" s="21"/>
    </row>
    <row r="5198" spans="13:13" x14ac:dyDescent="0.25">
      <c r="M5198" s="21"/>
    </row>
    <row r="5199" spans="13:13" x14ac:dyDescent="0.25">
      <c r="M5199" s="21"/>
    </row>
    <row r="5200" spans="13:13" x14ac:dyDescent="0.25">
      <c r="M5200" s="21"/>
    </row>
    <row r="5201" spans="13:13" x14ac:dyDescent="0.25">
      <c r="M5201" s="21"/>
    </row>
    <row r="5202" spans="13:13" x14ac:dyDescent="0.25">
      <c r="M5202" s="21"/>
    </row>
    <row r="5203" spans="13:13" x14ac:dyDescent="0.25">
      <c r="M5203" s="21"/>
    </row>
    <row r="5204" spans="13:13" x14ac:dyDescent="0.25">
      <c r="M5204" s="21"/>
    </row>
    <row r="5205" spans="13:13" x14ac:dyDescent="0.25">
      <c r="M5205" s="21"/>
    </row>
    <row r="5206" spans="13:13" x14ac:dyDescent="0.25">
      <c r="M5206" s="21"/>
    </row>
    <row r="5207" spans="13:13" x14ac:dyDescent="0.25">
      <c r="M5207" s="21"/>
    </row>
    <row r="5208" spans="13:13" x14ac:dyDescent="0.25">
      <c r="M5208" s="21"/>
    </row>
    <row r="5209" spans="13:13" x14ac:dyDescent="0.25">
      <c r="M5209" s="21"/>
    </row>
    <row r="5210" spans="13:13" x14ac:dyDescent="0.25">
      <c r="M5210" s="21"/>
    </row>
    <row r="5211" spans="13:13" x14ac:dyDescent="0.25">
      <c r="M5211" s="21"/>
    </row>
    <row r="5212" spans="13:13" x14ac:dyDescent="0.25">
      <c r="M5212" s="21"/>
    </row>
    <row r="5213" spans="13:13" x14ac:dyDescent="0.25">
      <c r="M5213" s="21"/>
    </row>
    <row r="5214" spans="13:13" x14ac:dyDescent="0.25">
      <c r="M5214" s="21"/>
    </row>
    <row r="5215" spans="13:13" x14ac:dyDescent="0.25">
      <c r="M5215" s="21"/>
    </row>
    <row r="5216" spans="13:13" x14ac:dyDescent="0.25">
      <c r="M5216" s="21"/>
    </row>
    <row r="5217" spans="13:13" x14ac:dyDescent="0.25">
      <c r="M5217" s="21"/>
    </row>
    <row r="5218" spans="13:13" x14ac:dyDescent="0.25">
      <c r="M5218" s="21"/>
    </row>
    <row r="5219" spans="13:13" x14ac:dyDescent="0.25">
      <c r="M5219" s="21"/>
    </row>
    <row r="5220" spans="13:13" x14ac:dyDescent="0.25">
      <c r="M5220" s="21"/>
    </row>
    <row r="5221" spans="13:13" x14ac:dyDescent="0.25">
      <c r="M5221" s="21"/>
    </row>
    <row r="5222" spans="13:13" x14ac:dyDescent="0.25">
      <c r="M5222" s="21"/>
    </row>
    <row r="5223" spans="13:13" x14ac:dyDescent="0.25">
      <c r="M5223" s="21"/>
    </row>
    <row r="5224" spans="13:13" x14ac:dyDescent="0.25">
      <c r="M5224" s="21"/>
    </row>
    <row r="5225" spans="13:13" x14ac:dyDescent="0.25">
      <c r="M5225" s="21"/>
    </row>
    <row r="5226" spans="13:13" x14ac:dyDescent="0.25">
      <c r="M5226" s="21"/>
    </row>
    <row r="5227" spans="13:13" x14ac:dyDescent="0.25">
      <c r="M5227" s="21"/>
    </row>
    <row r="5228" spans="13:13" x14ac:dyDescent="0.25">
      <c r="M5228" s="21"/>
    </row>
    <row r="5229" spans="13:13" x14ac:dyDescent="0.25">
      <c r="M5229" s="21"/>
    </row>
    <row r="5230" spans="13:13" x14ac:dyDescent="0.25">
      <c r="M5230" s="21"/>
    </row>
    <row r="5231" spans="13:13" x14ac:dyDescent="0.25">
      <c r="M5231" s="21"/>
    </row>
    <row r="5232" spans="13:13" x14ac:dyDescent="0.25">
      <c r="M5232" s="21"/>
    </row>
    <row r="5233" spans="13:13" x14ac:dyDescent="0.25">
      <c r="M5233" s="21"/>
    </row>
    <row r="5234" spans="13:13" x14ac:dyDescent="0.25">
      <c r="M5234" s="21"/>
    </row>
    <row r="5235" spans="13:13" x14ac:dyDescent="0.25">
      <c r="M5235" s="21"/>
    </row>
    <row r="5236" spans="13:13" x14ac:dyDescent="0.25">
      <c r="M5236" s="21"/>
    </row>
    <row r="5237" spans="13:13" x14ac:dyDescent="0.25">
      <c r="M5237" s="21"/>
    </row>
    <row r="5238" spans="13:13" x14ac:dyDescent="0.25">
      <c r="M5238" s="21"/>
    </row>
    <row r="5239" spans="13:13" x14ac:dyDescent="0.25">
      <c r="M5239" s="21"/>
    </row>
    <row r="5240" spans="13:13" x14ac:dyDescent="0.25">
      <c r="M5240" s="21"/>
    </row>
    <row r="5241" spans="13:13" x14ac:dyDescent="0.25">
      <c r="M5241" s="21"/>
    </row>
    <row r="5242" spans="13:13" x14ac:dyDescent="0.25">
      <c r="M5242" s="21"/>
    </row>
    <row r="5243" spans="13:13" x14ac:dyDescent="0.25">
      <c r="M5243" s="21"/>
    </row>
    <row r="5244" spans="13:13" x14ac:dyDescent="0.25">
      <c r="M5244" s="21"/>
    </row>
    <row r="5245" spans="13:13" x14ac:dyDescent="0.25">
      <c r="M5245" s="21"/>
    </row>
    <row r="5246" spans="13:13" x14ac:dyDescent="0.25">
      <c r="M5246" s="21"/>
    </row>
    <row r="5247" spans="13:13" x14ac:dyDescent="0.25">
      <c r="M5247" s="21"/>
    </row>
    <row r="5248" spans="13:13" x14ac:dyDescent="0.25">
      <c r="M5248" s="21"/>
    </row>
    <row r="5249" spans="13:13" x14ac:dyDescent="0.25">
      <c r="M5249" s="21"/>
    </row>
    <row r="5250" spans="13:13" x14ac:dyDescent="0.25">
      <c r="M5250" s="21"/>
    </row>
    <row r="5251" spans="13:13" x14ac:dyDescent="0.25">
      <c r="M5251" s="21"/>
    </row>
    <row r="5252" spans="13:13" x14ac:dyDescent="0.25">
      <c r="M5252" s="21"/>
    </row>
    <row r="5253" spans="13:13" x14ac:dyDescent="0.25">
      <c r="M5253" s="21"/>
    </row>
    <row r="5254" spans="13:13" x14ac:dyDescent="0.25">
      <c r="M5254" s="21"/>
    </row>
    <row r="5255" spans="13:13" x14ac:dyDescent="0.25">
      <c r="M5255" s="21"/>
    </row>
    <row r="5256" spans="13:13" x14ac:dyDescent="0.25">
      <c r="M5256" s="21"/>
    </row>
    <row r="5257" spans="13:13" x14ac:dyDescent="0.25">
      <c r="M5257" s="21"/>
    </row>
    <row r="5258" spans="13:13" x14ac:dyDescent="0.25">
      <c r="M5258" s="21"/>
    </row>
    <row r="5259" spans="13:13" x14ac:dyDescent="0.25">
      <c r="M5259" s="21"/>
    </row>
    <row r="5260" spans="13:13" x14ac:dyDescent="0.25">
      <c r="M5260" s="21"/>
    </row>
    <row r="5261" spans="13:13" x14ac:dyDescent="0.25">
      <c r="M5261" s="21"/>
    </row>
    <row r="5262" spans="13:13" x14ac:dyDescent="0.25">
      <c r="M5262" s="21"/>
    </row>
    <row r="5263" spans="13:13" x14ac:dyDescent="0.25">
      <c r="M5263" s="21"/>
    </row>
    <row r="5264" spans="13:13" x14ac:dyDescent="0.25">
      <c r="M5264" s="21"/>
    </row>
    <row r="5265" spans="13:13" x14ac:dyDescent="0.25">
      <c r="M5265" s="21"/>
    </row>
    <row r="5266" spans="13:13" x14ac:dyDescent="0.25">
      <c r="M5266" s="21"/>
    </row>
    <row r="5267" spans="13:13" x14ac:dyDescent="0.25">
      <c r="M5267" s="21"/>
    </row>
    <row r="5268" spans="13:13" x14ac:dyDescent="0.25">
      <c r="M5268" s="21"/>
    </row>
    <row r="5269" spans="13:13" x14ac:dyDescent="0.25">
      <c r="M5269" s="21"/>
    </row>
    <row r="5270" spans="13:13" x14ac:dyDescent="0.25">
      <c r="M5270" s="21"/>
    </row>
    <row r="5271" spans="13:13" x14ac:dyDescent="0.25">
      <c r="M5271" s="21"/>
    </row>
    <row r="5272" spans="13:13" x14ac:dyDescent="0.25">
      <c r="M5272" s="21"/>
    </row>
    <row r="5273" spans="13:13" x14ac:dyDescent="0.25">
      <c r="M5273" s="21"/>
    </row>
    <row r="5274" spans="13:13" x14ac:dyDescent="0.25">
      <c r="M5274" s="21"/>
    </row>
    <row r="5275" spans="13:13" x14ac:dyDescent="0.25">
      <c r="M5275" s="21"/>
    </row>
    <row r="5276" spans="13:13" x14ac:dyDescent="0.25">
      <c r="M5276" s="21"/>
    </row>
    <row r="5277" spans="13:13" x14ac:dyDescent="0.25">
      <c r="M5277" s="21"/>
    </row>
    <row r="5278" spans="13:13" x14ac:dyDescent="0.25">
      <c r="M5278" s="21"/>
    </row>
    <row r="5279" spans="13:13" x14ac:dyDescent="0.25">
      <c r="M5279" s="21"/>
    </row>
    <row r="5280" spans="13:13" x14ac:dyDescent="0.25">
      <c r="M5280" s="21"/>
    </row>
    <row r="5281" spans="13:13" x14ac:dyDescent="0.25">
      <c r="M5281" s="21"/>
    </row>
    <row r="5282" spans="13:13" x14ac:dyDescent="0.25">
      <c r="M5282" s="21"/>
    </row>
    <row r="5283" spans="13:13" x14ac:dyDescent="0.25">
      <c r="M5283" s="21"/>
    </row>
    <row r="5284" spans="13:13" x14ac:dyDescent="0.25">
      <c r="M5284" s="21"/>
    </row>
    <row r="5285" spans="13:13" x14ac:dyDescent="0.25">
      <c r="M5285" s="21"/>
    </row>
    <row r="5286" spans="13:13" x14ac:dyDescent="0.25">
      <c r="M5286" s="21"/>
    </row>
    <row r="5287" spans="13:13" x14ac:dyDescent="0.25">
      <c r="M5287" s="21"/>
    </row>
    <row r="5288" spans="13:13" x14ac:dyDescent="0.25">
      <c r="M5288" s="21"/>
    </row>
    <row r="5289" spans="13:13" x14ac:dyDescent="0.25">
      <c r="M5289" s="21"/>
    </row>
    <row r="5290" spans="13:13" x14ac:dyDescent="0.25">
      <c r="M5290" s="21"/>
    </row>
    <row r="5291" spans="13:13" x14ac:dyDescent="0.25">
      <c r="M5291" s="21"/>
    </row>
    <row r="5292" spans="13:13" x14ac:dyDescent="0.25">
      <c r="M5292" s="21"/>
    </row>
    <row r="5293" spans="13:13" x14ac:dyDescent="0.25">
      <c r="M5293" s="21"/>
    </row>
    <row r="5294" spans="13:13" x14ac:dyDescent="0.25">
      <c r="M5294" s="21"/>
    </row>
    <row r="5295" spans="13:13" x14ac:dyDescent="0.25">
      <c r="M5295" s="21"/>
    </row>
    <row r="5296" spans="13:13" x14ac:dyDescent="0.25">
      <c r="M5296" s="21"/>
    </row>
    <row r="5297" spans="13:13" x14ac:dyDescent="0.25">
      <c r="M5297" s="21"/>
    </row>
    <row r="5298" spans="13:13" x14ac:dyDescent="0.25">
      <c r="M5298" s="21"/>
    </row>
    <row r="5299" spans="13:13" x14ac:dyDescent="0.25">
      <c r="M5299" s="21"/>
    </row>
    <row r="5300" spans="13:13" x14ac:dyDescent="0.25">
      <c r="M5300" s="21"/>
    </row>
    <row r="5301" spans="13:13" x14ac:dyDescent="0.25">
      <c r="M5301" s="21"/>
    </row>
    <row r="5302" spans="13:13" x14ac:dyDescent="0.25">
      <c r="M5302" s="21"/>
    </row>
    <row r="5303" spans="13:13" x14ac:dyDescent="0.25">
      <c r="M5303" s="21"/>
    </row>
    <row r="5304" spans="13:13" x14ac:dyDescent="0.25">
      <c r="M5304" s="21"/>
    </row>
    <row r="5305" spans="13:13" x14ac:dyDescent="0.25">
      <c r="M5305" s="21"/>
    </row>
    <row r="5306" spans="13:13" x14ac:dyDescent="0.25">
      <c r="M5306" s="21"/>
    </row>
    <row r="5307" spans="13:13" x14ac:dyDescent="0.25">
      <c r="M5307" s="21"/>
    </row>
    <row r="5308" spans="13:13" x14ac:dyDescent="0.25">
      <c r="M5308" s="21"/>
    </row>
    <row r="5309" spans="13:13" x14ac:dyDescent="0.25">
      <c r="M5309" s="21"/>
    </row>
    <row r="5310" spans="13:13" x14ac:dyDescent="0.25">
      <c r="M5310" s="21"/>
    </row>
    <row r="5311" spans="13:13" x14ac:dyDescent="0.25">
      <c r="M5311" s="21"/>
    </row>
    <row r="5312" spans="13:13" x14ac:dyDescent="0.25">
      <c r="M5312" s="21"/>
    </row>
    <row r="5313" spans="13:13" x14ac:dyDescent="0.25">
      <c r="M5313" s="21"/>
    </row>
    <row r="5314" spans="13:13" x14ac:dyDescent="0.25">
      <c r="M5314" s="21"/>
    </row>
    <row r="5315" spans="13:13" x14ac:dyDescent="0.25">
      <c r="M5315" s="21"/>
    </row>
    <row r="5316" spans="13:13" x14ac:dyDescent="0.25">
      <c r="M5316" s="21"/>
    </row>
    <row r="5317" spans="13:13" x14ac:dyDescent="0.25">
      <c r="M5317" s="21"/>
    </row>
    <row r="5318" spans="13:13" x14ac:dyDescent="0.25">
      <c r="M5318" s="21"/>
    </row>
    <row r="5319" spans="13:13" x14ac:dyDescent="0.25">
      <c r="M5319" s="21"/>
    </row>
    <row r="5320" spans="13:13" x14ac:dyDescent="0.25">
      <c r="M5320" s="21"/>
    </row>
    <row r="5321" spans="13:13" x14ac:dyDescent="0.25">
      <c r="M5321" s="21"/>
    </row>
    <row r="5322" spans="13:13" x14ac:dyDescent="0.25">
      <c r="M5322" s="21"/>
    </row>
    <row r="5323" spans="13:13" x14ac:dyDescent="0.25">
      <c r="M5323" s="21"/>
    </row>
    <row r="5324" spans="13:13" x14ac:dyDescent="0.25">
      <c r="M5324" s="21"/>
    </row>
    <row r="5325" spans="13:13" x14ac:dyDescent="0.25">
      <c r="M5325" s="21"/>
    </row>
    <row r="5326" spans="13:13" x14ac:dyDescent="0.25">
      <c r="M5326" s="21"/>
    </row>
    <row r="5327" spans="13:13" x14ac:dyDescent="0.25">
      <c r="M5327" s="21"/>
    </row>
    <row r="5328" spans="13:13" x14ac:dyDescent="0.25">
      <c r="M5328" s="21"/>
    </row>
    <row r="5329" spans="13:13" x14ac:dyDescent="0.25">
      <c r="M5329" s="21"/>
    </row>
    <row r="5330" spans="13:13" x14ac:dyDescent="0.25">
      <c r="M5330" s="21"/>
    </row>
    <row r="5331" spans="13:13" x14ac:dyDescent="0.25">
      <c r="M5331" s="21"/>
    </row>
    <row r="5332" spans="13:13" x14ac:dyDescent="0.25">
      <c r="M5332" s="21"/>
    </row>
    <row r="5333" spans="13:13" x14ac:dyDescent="0.25">
      <c r="M5333" s="21"/>
    </row>
    <row r="5334" spans="13:13" x14ac:dyDescent="0.25">
      <c r="M5334" s="21"/>
    </row>
    <row r="5335" spans="13:13" x14ac:dyDescent="0.25">
      <c r="M5335" s="21"/>
    </row>
    <row r="5336" spans="13:13" x14ac:dyDescent="0.25">
      <c r="M5336" s="21"/>
    </row>
    <row r="5337" spans="13:13" x14ac:dyDescent="0.25">
      <c r="M5337" s="21"/>
    </row>
    <row r="5338" spans="13:13" x14ac:dyDescent="0.25">
      <c r="M5338" s="21"/>
    </row>
    <row r="5339" spans="13:13" x14ac:dyDescent="0.25">
      <c r="M5339" s="21"/>
    </row>
    <row r="5340" spans="13:13" x14ac:dyDescent="0.25">
      <c r="M5340" s="21"/>
    </row>
    <row r="5341" spans="13:13" x14ac:dyDescent="0.25">
      <c r="M5341" s="21"/>
    </row>
    <row r="5342" spans="13:13" x14ac:dyDescent="0.25">
      <c r="M5342" s="21"/>
    </row>
    <row r="5343" spans="13:13" x14ac:dyDescent="0.25">
      <c r="M5343" s="21"/>
    </row>
    <row r="5344" spans="13:13" x14ac:dyDescent="0.25">
      <c r="M5344" s="21"/>
    </row>
    <row r="5345" spans="13:13" x14ac:dyDescent="0.25">
      <c r="M5345" s="21"/>
    </row>
    <row r="5346" spans="13:13" x14ac:dyDescent="0.25">
      <c r="M5346" s="21"/>
    </row>
    <row r="5347" spans="13:13" x14ac:dyDescent="0.25">
      <c r="M5347" s="21"/>
    </row>
    <row r="5348" spans="13:13" x14ac:dyDescent="0.25">
      <c r="M5348" s="21"/>
    </row>
    <row r="5349" spans="13:13" x14ac:dyDescent="0.25">
      <c r="M5349" s="21"/>
    </row>
    <row r="5350" spans="13:13" x14ac:dyDescent="0.25">
      <c r="M5350" s="21"/>
    </row>
    <row r="5351" spans="13:13" x14ac:dyDescent="0.25">
      <c r="M5351" s="21"/>
    </row>
    <row r="5352" spans="13:13" x14ac:dyDescent="0.25">
      <c r="M5352" s="21"/>
    </row>
    <row r="5353" spans="13:13" x14ac:dyDescent="0.25">
      <c r="M5353" s="21"/>
    </row>
    <row r="5354" spans="13:13" x14ac:dyDescent="0.25">
      <c r="M5354" s="21"/>
    </row>
    <row r="5355" spans="13:13" x14ac:dyDescent="0.25">
      <c r="M5355" s="21"/>
    </row>
    <row r="5356" spans="13:13" x14ac:dyDescent="0.25">
      <c r="M5356" s="21"/>
    </row>
    <row r="5357" spans="13:13" x14ac:dyDescent="0.25">
      <c r="M5357" s="21"/>
    </row>
    <row r="5358" spans="13:13" x14ac:dyDescent="0.25">
      <c r="M5358" s="21"/>
    </row>
    <row r="5359" spans="13:13" x14ac:dyDescent="0.25">
      <c r="M5359" s="21"/>
    </row>
    <row r="5360" spans="13:13" x14ac:dyDescent="0.25">
      <c r="M5360" s="21"/>
    </row>
    <row r="5361" spans="13:13" x14ac:dyDescent="0.25">
      <c r="M5361" s="21"/>
    </row>
    <row r="5362" spans="13:13" x14ac:dyDescent="0.25">
      <c r="M5362" s="21"/>
    </row>
    <row r="5363" spans="13:13" x14ac:dyDescent="0.25">
      <c r="M5363" s="21"/>
    </row>
    <row r="5364" spans="13:13" x14ac:dyDescent="0.25">
      <c r="M5364" s="21"/>
    </row>
    <row r="5365" spans="13:13" x14ac:dyDescent="0.25">
      <c r="M5365" s="21"/>
    </row>
    <row r="5366" spans="13:13" x14ac:dyDescent="0.25">
      <c r="M5366" s="21"/>
    </row>
    <row r="5367" spans="13:13" x14ac:dyDescent="0.25">
      <c r="M5367" s="21"/>
    </row>
    <row r="5368" spans="13:13" x14ac:dyDescent="0.25">
      <c r="M5368" s="21"/>
    </row>
    <row r="5369" spans="13:13" x14ac:dyDescent="0.25">
      <c r="M5369" s="21"/>
    </row>
    <row r="5370" spans="13:13" x14ac:dyDescent="0.25">
      <c r="M5370" s="21"/>
    </row>
    <row r="5371" spans="13:13" x14ac:dyDescent="0.25">
      <c r="M5371" s="21"/>
    </row>
    <row r="5372" spans="13:13" x14ac:dyDescent="0.25">
      <c r="M5372" s="21"/>
    </row>
    <row r="5373" spans="13:13" x14ac:dyDescent="0.25">
      <c r="M5373" s="21"/>
    </row>
    <row r="5374" spans="13:13" x14ac:dyDescent="0.25">
      <c r="M5374" s="21"/>
    </row>
    <row r="5375" spans="13:13" x14ac:dyDescent="0.25">
      <c r="M5375" s="21"/>
    </row>
    <row r="5376" spans="13:13" x14ac:dyDescent="0.25">
      <c r="M5376" s="21"/>
    </row>
    <row r="5377" spans="13:13" x14ac:dyDescent="0.25">
      <c r="M5377" s="21"/>
    </row>
    <row r="5378" spans="13:13" x14ac:dyDescent="0.25">
      <c r="M5378" s="21"/>
    </row>
    <row r="5379" spans="13:13" x14ac:dyDescent="0.25">
      <c r="M5379" s="21"/>
    </row>
    <row r="5380" spans="13:13" x14ac:dyDescent="0.25">
      <c r="M5380" s="21"/>
    </row>
    <row r="5381" spans="13:13" x14ac:dyDescent="0.25">
      <c r="M5381" s="21"/>
    </row>
    <row r="5382" spans="13:13" x14ac:dyDescent="0.25">
      <c r="M5382" s="21"/>
    </row>
    <row r="5383" spans="13:13" x14ac:dyDescent="0.25">
      <c r="M5383" s="21"/>
    </row>
    <row r="5384" spans="13:13" x14ac:dyDescent="0.25">
      <c r="M5384" s="21"/>
    </row>
    <row r="5385" spans="13:13" x14ac:dyDescent="0.25">
      <c r="M5385" s="21"/>
    </row>
    <row r="5386" spans="13:13" x14ac:dyDescent="0.25">
      <c r="M5386" s="21"/>
    </row>
    <row r="5387" spans="13:13" x14ac:dyDescent="0.25">
      <c r="M5387" s="21"/>
    </row>
    <row r="5388" spans="13:13" x14ac:dyDescent="0.25">
      <c r="M5388" s="21"/>
    </row>
    <row r="5389" spans="13:13" x14ac:dyDescent="0.25">
      <c r="M5389" s="21"/>
    </row>
    <row r="5390" spans="13:13" x14ac:dyDescent="0.25">
      <c r="M5390" s="21"/>
    </row>
    <row r="5391" spans="13:13" x14ac:dyDescent="0.25">
      <c r="M5391" s="21"/>
    </row>
    <row r="5392" spans="13:13" x14ac:dyDescent="0.25">
      <c r="M5392" s="21"/>
    </row>
    <row r="5393" spans="13:13" x14ac:dyDescent="0.25">
      <c r="M5393" s="21"/>
    </row>
    <row r="5394" spans="13:13" x14ac:dyDescent="0.25">
      <c r="M5394" s="21"/>
    </row>
    <row r="5395" spans="13:13" x14ac:dyDescent="0.25">
      <c r="M5395" s="21"/>
    </row>
    <row r="5396" spans="13:13" x14ac:dyDescent="0.25">
      <c r="M5396" s="21"/>
    </row>
    <row r="5397" spans="13:13" x14ac:dyDescent="0.25">
      <c r="M5397" s="21"/>
    </row>
    <row r="5398" spans="13:13" x14ac:dyDescent="0.25">
      <c r="M5398" s="21"/>
    </row>
    <row r="5399" spans="13:13" x14ac:dyDescent="0.25">
      <c r="M5399" s="21"/>
    </row>
    <row r="5400" spans="13:13" x14ac:dyDescent="0.25">
      <c r="M5400" s="21"/>
    </row>
    <row r="5401" spans="13:13" x14ac:dyDescent="0.25">
      <c r="M5401" s="21"/>
    </row>
    <row r="5402" spans="13:13" x14ac:dyDescent="0.25">
      <c r="M5402" s="21"/>
    </row>
    <row r="5403" spans="13:13" x14ac:dyDescent="0.25">
      <c r="M5403" s="21"/>
    </row>
    <row r="5404" spans="13:13" x14ac:dyDescent="0.25">
      <c r="M5404" s="21"/>
    </row>
    <row r="5405" spans="13:13" x14ac:dyDescent="0.25">
      <c r="M5405" s="21"/>
    </row>
    <row r="5406" spans="13:13" x14ac:dyDescent="0.25">
      <c r="M5406" s="21"/>
    </row>
    <row r="5407" spans="13:13" x14ac:dyDescent="0.25">
      <c r="M5407" s="21"/>
    </row>
    <row r="5408" spans="13:13" x14ac:dyDescent="0.25">
      <c r="M5408" s="21"/>
    </row>
    <row r="5409" spans="13:13" x14ac:dyDescent="0.25">
      <c r="M5409" s="21"/>
    </row>
    <row r="5410" spans="13:13" x14ac:dyDescent="0.25">
      <c r="M5410" s="21"/>
    </row>
    <row r="5411" spans="13:13" x14ac:dyDescent="0.25">
      <c r="M5411" s="21"/>
    </row>
    <row r="5412" spans="13:13" x14ac:dyDescent="0.25">
      <c r="M5412" s="21"/>
    </row>
    <row r="5413" spans="13:13" x14ac:dyDescent="0.25">
      <c r="M5413" s="21"/>
    </row>
    <row r="5414" spans="13:13" x14ac:dyDescent="0.25">
      <c r="M5414" s="21"/>
    </row>
    <row r="5415" spans="13:13" x14ac:dyDescent="0.25">
      <c r="M5415" s="21"/>
    </row>
    <row r="5416" spans="13:13" x14ac:dyDescent="0.25">
      <c r="M5416" s="21"/>
    </row>
    <row r="5417" spans="13:13" x14ac:dyDescent="0.25">
      <c r="M5417" s="21"/>
    </row>
    <row r="5418" spans="13:13" x14ac:dyDescent="0.25">
      <c r="M5418" s="21"/>
    </row>
    <row r="5419" spans="13:13" x14ac:dyDescent="0.25">
      <c r="M5419" s="21"/>
    </row>
    <row r="5420" spans="13:13" x14ac:dyDescent="0.25">
      <c r="M5420" s="21"/>
    </row>
    <row r="5421" spans="13:13" x14ac:dyDescent="0.25">
      <c r="M5421" s="21"/>
    </row>
    <row r="5422" spans="13:13" x14ac:dyDescent="0.25">
      <c r="M5422" s="21"/>
    </row>
    <row r="5423" spans="13:13" x14ac:dyDescent="0.25">
      <c r="M5423" s="21"/>
    </row>
    <row r="5424" spans="13:13" x14ac:dyDescent="0.25">
      <c r="M5424" s="21"/>
    </row>
    <row r="5425" spans="13:13" x14ac:dyDescent="0.25">
      <c r="M5425" s="21"/>
    </row>
    <row r="5426" spans="13:13" x14ac:dyDescent="0.25">
      <c r="M5426" s="21"/>
    </row>
    <row r="5427" spans="13:13" x14ac:dyDescent="0.25">
      <c r="M5427" s="21"/>
    </row>
    <row r="5428" spans="13:13" x14ac:dyDescent="0.25">
      <c r="M5428" s="21"/>
    </row>
    <row r="5429" spans="13:13" x14ac:dyDescent="0.25">
      <c r="M5429" s="21"/>
    </row>
    <row r="5430" spans="13:13" x14ac:dyDescent="0.25">
      <c r="M5430" s="21"/>
    </row>
    <row r="5431" spans="13:13" x14ac:dyDescent="0.25">
      <c r="M5431" s="21"/>
    </row>
    <row r="5432" spans="13:13" x14ac:dyDescent="0.25">
      <c r="M5432" s="21"/>
    </row>
    <row r="5433" spans="13:13" x14ac:dyDescent="0.25">
      <c r="M5433" s="21"/>
    </row>
    <row r="5434" spans="13:13" x14ac:dyDescent="0.25">
      <c r="M5434" s="21"/>
    </row>
    <row r="5435" spans="13:13" x14ac:dyDescent="0.25">
      <c r="M5435" s="21"/>
    </row>
    <row r="5436" spans="13:13" x14ac:dyDescent="0.25">
      <c r="M5436" s="21"/>
    </row>
    <row r="5437" spans="13:13" x14ac:dyDescent="0.25">
      <c r="M5437" s="21"/>
    </row>
    <row r="5438" spans="13:13" x14ac:dyDescent="0.25">
      <c r="M5438" s="21"/>
    </row>
    <row r="5439" spans="13:13" x14ac:dyDescent="0.25">
      <c r="M5439" s="21"/>
    </row>
    <row r="5440" spans="13:13" x14ac:dyDescent="0.25">
      <c r="M5440" s="21"/>
    </row>
    <row r="5441" spans="13:13" x14ac:dyDescent="0.25">
      <c r="M5441" s="21"/>
    </row>
    <row r="5442" spans="13:13" x14ac:dyDescent="0.25">
      <c r="M5442" s="21"/>
    </row>
    <row r="5443" spans="13:13" x14ac:dyDescent="0.25">
      <c r="M5443" s="21"/>
    </row>
    <row r="5444" spans="13:13" x14ac:dyDescent="0.25">
      <c r="M5444" s="21"/>
    </row>
    <row r="5445" spans="13:13" x14ac:dyDescent="0.25">
      <c r="M5445" s="21"/>
    </row>
    <row r="5446" spans="13:13" x14ac:dyDescent="0.25">
      <c r="M5446" s="21"/>
    </row>
    <row r="5447" spans="13:13" x14ac:dyDescent="0.25">
      <c r="M5447" s="21"/>
    </row>
    <row r="5448" spans="13:13" x14ac:dyDescent="0.25">
      <c r="M5448" s="21"/>
    </row>
    <row r="5449" spans="13:13" x14ac:dyDescent="0.25">
      <c r="M5449" s="21"/>
    </row>
    <row r="5450" spans="13:13" x14ac:dyDescent="0.25">
      <c r="M5450" s="21"/>
    </row>
    <row r="5451" spans="13:13" x14ac:dyDescent="0.25">
      <c r="M5451" s="21"/>
    </row>
    <row r="5452" spans="13:13" x14ac:dyDescent="0.25">
      <c r="M5452" s="21"/>
    </row>
    <row r="5453" spans="13:13" x14ac:dyDescent="0.25">
      <c r="M5453" s="21"/>
    </row>
    <row r="5454" spans="13:13" x14ac:dyDescent="0.25">
      <c r="M5454" s="21"/>
    </row>
    <row r="5455" spans="13:13" x14ac:dyDescent="0.25">
      <c r="M5455" s="21"/>
    </row>
    <row r="5456" spans="13:13" x14ac:dyDescent="0.25">
      <c r="M5456" s="21"/>
    </row>
    <row r="5457" spans="13:13" x14ac:dyDescent="0.25">
      <c r="M5457" s="21"/>
    </row>
    <row r="5458" spans="13:13" x14ac:dyDescent="0.25">
      <c r="M5458" s="21"/>
    </row>
    <row r="5459" spans="13:13" x14ac:dyDescent="0.25">
      <c r="M5459" s="21"/>
    </row>
    <row r="5460" spans="13:13" x14ac:dyDescent="0.25">
      <c r="M5460" s="21"/>
    </row>
    <row r="5461" spans="13:13" x14ac:dyDescent="0.25">
      <c r="M5461" s="21"/>
    </row>
    <row r="5462" spans="13:13" x14ac:dyDescent="0.25">
      <c r="M5462" s="21"/>
    </row>
    <row r="5463" spans="13:13" x14ac:dyDescent="0.25">
      <c r="M5463" s="21"/>
    </row>
    <row r="5464" spans="13:13" x14ac:dyDescent="0.25">
      <c r="M5464" s="21"/>
    </row>
    <row r="5465" spans="13:13" x14ac:dyDescent="0.25">
      <c r="M5465" s="21"/>
    </row>
    <row r="5466" spans="13:13" x14ac:dyDescent="0.25">
      <c r="M5466" s="21"/>
    </row>
    <row r="5467" spans="13:13" x14ac:dyDescent="0.25">
      <c r="M5467" s="21"/>
    </row>
    <row r="5468" spans="13:13" x14ac:dyDescent="0.25">
      <c r="M5468" s="21"/>
    </row>
    <row r="5469" spans="13:13" x14ac:dyDescent="0.25">
      <c r="M5469" s="21"/>
    </row>
    <row r="5470" spans="13:13" x14ac:dyDescent="0.25">
      <c r="M5470" s="21"/>
    </row>
    <row r="5471" spans="13:13" x14ac:dyDescent="0.25">
      <c r="M5471" s="21"/>
    </row>
    <row r="5472" spans="13:13" x14ac:dyDescent="0.25">
      <c r="M5472" s="21"/>
    </row>
    <row r="5473" spans="13:13" x14ac:dyDescent="0.25">
      <c r="M5473" s="21"/>
    </row>
    <row r="5474" spans="13:13" x14ac:dyDescent="0.25">
      <c r="M5474" s="21"/>
    </row>
    <row r="5475" spans="13:13" x14ac:dyDescent="0.25">
      <c r="M5475" s="21"/>
    </row>
    <row r="5476" spans="13:13" x14ac:dyDescent="0.25">
      <c r="M5476" s="21"/>
    </row>
    <row r="5477" spans="13:13" x14ac:dyDescent="0.25">
      <c r="M5477" s="21"/>
    </row>
    <row r="5478" spans="13:13" x14ac:dyDescent="0.25">
      <c r="M5478" s="21"/>
    </row>
    <row r="5479" spans="13:13" x14ac:dyDescent="0.25">
      <c r="M5479" s="21"/>
    </row>
    <row r="5480" spans="13:13" x14ac:dyDescent="0.25">
      <c r="M5480" s="21"/>
    </row>
    <row r="5481" spans="13:13" x14ac:dyDescent="0.25">
      <c r="M5481" s="21"/>
    </row>
    <row r="5482" spans="13:13" x14ac:dyDescent="0.25">
      <c r="M5482" s="21"/>
    </row>
    <row r="5483" spans="13:13" x14ac:dyDescent="0.25">
      <c r="M5483" s="21"/>
    </row>
    <row r="5484" spans="13:13" x14ac:dyDescent="0.25">
      <c r="M5484" s="21"/>
    </row>
    <row r="5485" spans="13:13" x14ac:dyDescent="0.25">
      <c r="M5485" s="21"/>
    </row>
    <row r="5486" spans="13:13" x14ac:dyDescent="0.25">
      <c r="M5486" s="21"/>
    </row>
    <row r="5487" spans="13:13" x14ac:dyDescent="0.25">
      <c r="M5487" s="21"/>
    </row>
    <row r="5488" spans="13:13" x14ac:dyDescent="0.25">
      <c r="M5488" s="21"/>
    </row>
    <row r="5489" spans="13:13" x14ac:dyDescent="0.25">
      <c r="M5489" s="21"/>
    </row>
    <row r="5490" spans="13:13" x14ac:dyDescent="0.25">
      <c r="M5490" s="21"/>
    </row>
    <row r="5491" spans="13:13" x14ac:dyDescent="0.25">
      <c r="M5491" s="21"/>
    </row>
    <row r="5492" spans="13:13" x14ac:dyDescent="0.25">
      <c r="M5492" s="21"/>
    </row>
    <row r="5493" spans="13:13" x14ac:dyDescent="0.25">
      <c r="M5493" s="21"/>
    </row>
    <row r="5494" spans="13:13" x14ac:dyDescent="0.25">
      <c r="M5494" s="21"/>
    </row>
    <row r="5495" spans="13:13" x14ac:dyDescent="0.25">
      <c r="M5495" s="21"/>
    </row>
    <row r="5496" spans="13:13" x14ac:dyDescent="0.25">
      <c r="M5496" s="21"/>
    </row>
    <row r="5497" spans="13:13" x14ac:dyDescent="0.25">
      <c r="M5497" s="21"/>
    </row>
    <row r="5498" spans="13:13" x14ac:dyDescent="0.25">
      <c r="M5498" s="21"/>
    </row>
    <row r="5499" spans="13:13" x14ac:dyDescent="0.25">
      <c r="M5499" s="21"/>
    </row>
    <row r="5500" spans="13:13" x14ac:dyDescent="0.25">
      <c r="M5500" s="21"/>
    </row>
    <row r="5501" spans="13:13" x14ac:dyDescent="0.25">
      <c r="M5501" s="21"/>
    </row>
    <row r="5502" spans="13:13" x14ac:dyDescent="0.25">
      <c r="M5502" s="21"/>
    </row>
    <row r="5503" spans="13:13" x14ac:dyDescent="0.25">
      <c r="M5503" s="21"/>
    </row>
    <row r="5504" spans="13:13" x14ac:dyDescent="0.25">
      <c r="M5504" s="21"/>
    </row>
    <row r="5505" spans="13:13" x14ac:dyDescent="0.25">
      <c r="M5505" s="21"/>
    </row>
    <row r="5506" spans="13:13" x14ac:dyDescent="0.25">
      <c r="M5506" s="21"/>
    </row>
    <row r="5507" spans="13:13" x14ac:dyDescent="0.25">
      <c r="M5507" s="21"/>
    </row>
    <row r="5508" spans="13:13" x14ac:dyDescent="0.25">
      <c r="M5508" s="21"/>
    </row>
    <row r="5509" spans="13:13" x14ac:dyDescent="0.25">
      <c r="M5509" s="21"/>
    </row>
    <row r="5510" spans="13:13" x14ac:dyDescent="0.25">
      <c r="M5510" s="21"/>
    </row>
    <row r="5511" spans="13:13" x14ac:dyDescent="0.25">
      <c r="M5511" s="21"/>
    </row>
    <row r="5512" spans="13:13" x14ac:dyDescent="0.25">
      <c r="M5512" s="21"/>
    </row>
    <row r="5513" spans="13:13" x14ac:dyDescent="0.25">
      <c r="M5513" s="21"/>
    </row>
    <row r="5514" spans="13:13" x14ac:dyDescent="0.25">
      <c r="M5514" s="21"/>
    </row>
    <row r="5515" spans="13:13" x14ac:dyDescent="0.25">
      <c r="M5515" s="21"/>
    </row>
    <row r="5516" spans="13:13" x14ac:dyDescent="0.25">
      <c r="M5516" s="21"/>
    </row>
    <row r="5517" spans="13:13" x14ac:dyDescent="0.25">
      <c r="M5517" s="21"/>
    </row>
    <row r="5518" spans="13:13" x14ac:dyDescent="0.25">
      <c r="M5518" s="21"/>
    </row>
    <row r="5519" spans="13:13" x14ac:dyDescent="0.25">
      <c r="M5519" s="21"/>
    </row>
    <row r="5520" spans="13:13" x14ac:dyDescent="0.25">
      <c r="M5520" s="21"/>
    </row>
    <row r="5521" spans="13:13" x14ac:dyDescent="0.25">
      <c r="M5521" s="21"/>
    </row>
    <row r="5522" spans="13:13" x14ac:dyDescent="0.25">
      <c r="M5522" s="21"/>
    </row>
    <row r="5523" spans="13:13" x14ac:dyDescent="0.25">
      <c r="M5523" s="21"/>
    </row>
    <row r="5524" spans="13:13" x14ac:dyDescent="0.25">
      <c r="M5524" s="21"/>
    </row>
    <row r="5525" spans="13:13" x14ac:dyDescent="0.25">
      <c r="M5525" s="21"/>
    </row>
    <row r="5526" spans="13:13" x14ac:dyDescent="0.25">
      <c r="M5526" s="21"/>
    </row>
    <row r="5527" spans="13:13" x14ac:dyDescent="0.25">
      <c r="M5527" s="21"/>
    </row>
    <row r="5528" spans="13:13" x14ac:dyDescent="0.25">
      <c r="M5528" s="21"/>
    </row>
    <row r="5529" spans="13:13" x14ac:dyDescent="0.25">
      <c r="M5529" s="21"/>
    </row>
    <row r="5530" spans="13:13" x14ac:dyDescent="0.25">
      <c r="M5530" s="21"/>
    </row>
    <row r="5531" spans="13:13" x14ac:dyDescent="0.25">
      <c r="M5531" s="21"/>
    </row>
    <row r="5532" spans="13:13" x14ac:dyDescent="0.25">
      <c r="M5532" s="21"/>
    </row>
    <row r="5533" spans="13:13" x14ac:dyDescent="0.25">
      <c r="M5533" s="21"/>
    </row>
    <row r="5534" spans="13:13" x14ac:dyDescent="0.25">
      <c r="M5534" s="21"/>
    </row>
    <row r="5535" spans="13:13" x14ac:dyDescent="0.25">
      <c r="M5535" s="21"/>
    </row>
    <row r="5536" spans="13:13" x14ac:dyDescent="0.25">
      <c r="M5536" s="21"/>
    </row>
    <row r="5537" spans="13:13" x14ac:dyDescent="0.25">
      <c r="M5537" s="21"/>
    </row>
    <row r="5538" spans="13:13" x14ac:dyDescent="0.25">
      <c r="M5538" s="21"/>
    </row>
    <row r="5539" spans="13:13" x14ac:dyDescent="0.25">
      <c r="M5539" s="21"/>
    </row>
    <row r="5540" spans="13:13" x14ac:dyDescent="0.25">
      <c r="M5540" s="21"/>
    </row>
    <row r="5541" spans="13:13" x14ac:dyDescent="0.25">
      <c r="M5541" s="21"/>
    </row>
    <row r="5542" spans="13:13" x14ac:dyDescent="0.25">
      <c r="M5542" s="21"/>
    </row>
    <row r="5543" spans="13:13" x14ac:dyDescent="0.25">
      <c r="M5543" s="21"/>
    </row>
    <row r="5544" spans="13:13" x14ac:dyDescent="0.25">
      <c r="M5544" s="21"/>
    </row>
    <row r="5545" spans="13:13" x14ac:dyDescent="0.25">
      <c r="M5545" s="21"/>
    </row>
    <row r="5546" spans="13:13" x14ac:dyDescent="0.25">
      <c r="M5546" s="21"/>
    </row>
    <row r="5547" spans="13:13" x14ac:dyDescent="0.25">
      <c r="M5547" s="21"/>
    </row>
    <row r="5548" spans="13:13" x14ac:dyDescent="0.25">
      <c r="M5548" s="21"/>
    </row>
    <row r="5549" spans="13:13" x14ac:dyDescent="0.25">
      <c r="M5549" s="21"/>
    </row>
    <row r="5550" spans="13:13" x14ac:dyDescent="0.25">
      <c r="M5550" s="21"/>
    </row>
    <row r="5551" spans="13:13" x14ac:dyDescent="0.25">
      <c r="M5551" s="21"/>
    </row>
    <row r="5552" spans="13:13" x14ac:dyDescent="0.25">
      <c r="M5552" s="21"/>
    </row>
    <row r="5553" spans="13:13" x14ac:dyDescent="0.25">
      <c r="M5553" s="21"/>
    </row>
    <row r="5554" spans="13:13" x14ac:dyDescent="0.25">
      <c r="M5554" s="21"/>
    </row>
    <row r="5555" spans="13:13" x14ac:dyDescent="0.25">
      <c r="M5555" s="21"/>
    </row>
    <row r="5556" spans="13:13" x14ac:dyDescent="0.25">
      <c r="M5556" s="21"/>
    </row>
    <row r="5557" spans="13:13" x14ac:dyDescent="0.25">
      <c r="M5557" s="21"/>
    </row>
    <row r="5558" spans="13:13" x14ac:dyDescent="0.25">
      <c r="M5558" s="21"/>
    </row>
    <row r="5559" spans="13:13" x14ac:dyDescent="0.25">
      <c r="M5559" s="21"/>
    </row>
    <row r="5560" spans="13:13" x14ac:dyDescent="0.25">
      <c r="M5560" s="21"/>
    </row>
    <row r="5561" spans="13:13" x14ac:dyDescent="0.25">
      <c r="M5561" s="21"/>
    </row>
    <row r="5562" spans="13:13" x14ac:dyDescent="0.25">
      <c r="M5562" s="21"/>
    </row>
    <row r="5563" spans="13:13" x14ac:dyDescent="0.25">
      <c r="M5563" s="21"/>
    </row>
    <row r="5564" spans="13:13" x14ac:dyDescent="0.25">
      <c r="M5564" s="21"/>
    </row>
    <row r="5565" spans="13:13" x14ac:dyDescent="0.25">
      <c r="M5565" s="21"/>
    </row>
    <row r="5566" spans="13:13" x14ac:dyDescent="0.25">
      <c r="M5566" s="21"/>
    </row>
    <row r="5567" spans="13:13" x14ac:dyDescent="0.25">
      <c r="M5567" s="21"/>
    </row>
    <row r="5568" spans="13:13" x14ac:dyDescent="0.25">
      <c r="M5568" s="21"/>
    </row>
    <row r="5569" spans="13:13" x14ac:dyDescent="0.25">
      <c r="M5569" s="21"/>
    </row>
    <row r="5570" spans="13:13" x14ac:dyDescent="0.25">
      <c r="M5570" s="21"/>
    </row>
    <row r="5571" spans="13:13" x14ac:dyDescent="0.25">
      <c r="M5571" s="21"/>
    </row>
    <row r="5572" spans="13:13" x14ac:dyDescent="0.25">
      <c r="M5572" s="21"/>
    </row>
    <row r="5573" spans="13:13" x14ac:dyDescent="0.25">
      <c r="M5573" s="21"/>
    </row>
    <row r="5574" spans="13:13" x14ac:dyDescent="0.25">
      <c r="M5574" s="21"/>
    </row>
    <row r="5575" spans="13:13" x14ac:dyDescent="0.25">
      <c r="M5575" s="21"/>
    </row>
    <row r="5576" spans="13:13" x14ac:dyDescent="0.25">
      <c r="M5576" s="21"/>
    </row>
    <row r="5577" spans="13:13" x14ac:dyDescent="0.25">
      <c r="M5577" s="21"/>
    </row>
    <row r="5578" spans="13:13" x14ac:dyDescent="0.25">
      <c r="M5578" s="21"/>
    </row>
    <row r="5579" spans="13:13" x14ac:dyDescent="0.25">
      <c r="M5579" s="21"/>
    </row>
    <row r="5580" spans="13:13" x14ac:dyDescent="0.25">
      <c r="M5580" s="21"/>
    </row>
    <row r="5581" spans="13:13" x14ac:dyDescent="0.25">
      <c r="M5581" s="21"/>
    </row>
    <row r="5582" spans="13:13" x14ac:dyDescent="0.25">
      <c r="M5582" s="21"/>
    </row>
    <row r="5583" spans="13:13" x14ac:dyDescent="0.25">
      <c r="M5583" s="21"/>
    </row>
    <row r="5584" spans="13:13" x14ac:dyDescent="0.25">
      <c r="M5584" s="21"/>
    </row>
    <row r="5585" spans="13:13" x14ac:dyDescent="0.25">
      <c r="M5585" s="21"/>
    </row>
    <row r="5586" spans="13:13" x14ac:dyDescent="0.25">
      <c r="M5586" s="21"/>
    </row>
    <row r="5587" spans="13:13" x14ac:dyDescent="0.25">
      <c r="M5587" s="21"/>
    </row>
    <row r="5588" spans="13:13" x14ac:dyDescent="0.25">
      <c r="M5588" s="21"/>
    </row>
    <row r="5589" spans="13:13" x14ac:dyDescent="0.25">
      <c r="M5589" s="21"/>
    </row>
    <row r="5590" spans="13:13" x14ac:dyDescent="0.25">
      <c r="M5590" s="21"/>
    </row>
    <row r="5591" spans="13:13" x14ac:dyDescent="0.25">
      <c r="M5591" s="21"/>
    </row>
    <row r="5592" spans="13:13" x14ac:dyDescent="0.25">
      <c r="M5592" s="21"/>
    </row>
    <row r="5593" spans="13:13" x14ac:dyDescent="0.25">
      <c r="M5593" s="21"/>
    </row>
    <row r="5594" spans="13:13" x14ac:dyDescent="0.25">
      <c r="M5594" s="21"/>
    </row>
    <row r="5595" spans="13:13" x14ac:dyDescent="0.25">
      <c r="M5595" s="21"/>
    </row>
    <row r="5596" spans="13:13" x14ac:dyDescent="0.25">
      <c r="M5596" s="21"/>
    </row>
    <row r="5597" spans="13:13" x14ac:dyDescent="0.25">
      <c r="M5597" s="21"/>
    </row>
    <row r="5598" spans="13:13" x14ac:dyDescent="0.25">
      <c r="M5598" s="21"/>
    </row>
    <row r="5599" spans="13:13" x14ac:dyDescent="0.25">
      <c r="M5599" s="21"/>
    </row>
    <row r="5600" spans="13:13" x14ac:dyDescent="0.25">
      <c r="M5600" s="21"/>
    </row>
    <row r="5601" spans="13:13" x14ac:dyDescent="0.25">
      <c r="M5601" s="21"/>
    </row>
    <row r="5602" spans="13:13" x14ac:dyDescent="0.25">
      <c r="M5602" s="21"/>
    </row>
    <row r="5603" spans="13:13" x14ac:dyDescent="0.25">
      <c r="M5603" s="21"/>
    </row>
    <row r="5604" spans="13:13" x14ac:dyDescent="0.25">
      <c r="M5604" s="21"/>
    </row>
    <row r="5605" spans="13:13" x14ac:dyDescent="0.25">
      <c r="M5605" s="21"/>
    </row>
    <row r="5606" spans="13:13" x14ac:dyDescent="0.25">
      <c r="M5606" s="21"/>
    </row>
    <row r="5607" spans="13:13" x14ac:dyDescent="0.25">
      <c r="M5607" s="21"/>
    </row>
    <row r="5608" spans="13:13" x14ac:dyDescent="0.25">
      <c r="M5608" s="21"/>
    </row>
    <row r="5609" spans="13:13" x14ac:dyDescent="0.25">
      <c r="M5609" s="21"/>
    </row>
    <row r="5610" spans="13:13" x14ac:dyDescent="0.25">
      <c r="M5610" s="21"/>
    </row>
    <row r="5611" spans="13:13" x14ac:dyDescent="0.25">
      <c r="M5611" s="21"/>
    </row>
    <row r="5612" spans="13:13" x14ac:dyDescent="0.25">
      <c r="M5612" s="21"/>
    </row>
    <row r="5613" spans="13:13" x14ac:dyDescent="0.25">
      <c r="M5613" s="21"/>
    </row>
    <row r="5614" spans="13:13" x14ac:dyDescent="0.25">
      <c r="M5614" s="21"/>
    </row>
    <row r="5615" spans="13:13" x14ac:dyDescent="0.25">
      <c r="M5615" s="21"/>
    </row>
    <row r="5616" spans="13:13" x14ac:dyDescent="0.25">
      <c r="M5616" s="21"/>
    </row>
    <row r="5617" spans="13:13" x14ac:dyDescent="0.25">
      <c r="M5617" s="21"/>
    </row>
    <row r="5618" spans="13:13" x14ac:dyDescent="0.25">
      <c r="M5618" s="21"/>
    </row>
    <row r="5619" spans="13:13" x14ac:dyDescent="0.25">
      <c r="M5619" s="21"/>
    </row>
    <row r="5620" spans="13:13" x14ac:dyDescent="0.25">
      <c r="M5620" s="21"/>
    </row>
    <row r="5621" spans="13:13" x14ac:dyDescent="0.25">
      <c r="M5621" s="21"/>
    </row>
    <row r="5622" spans="13:13" x14ac:dyDescent="0.25">
      <c r="M5622" s="21"/>
    </row>
    <row r="5623" spans="13:13" x14ac:dyDescent="0.25">
      <c r="M5623" s="21"/>
    </row>
    <row r="5624" spans="13:13" x14ac:dyDescent="0.25">
      <c r="M5624" s="21"/>
    </row>
    <row r="5625" spans="13:13" x14ac:dyDescent="0.25">
      <c r="M5625" s="21"/>
    </row>
    <row r="5626" spans="13:13" x14ac:dyDescent="0.25">
      <c r="M5626" s="21"/>
    </row>
    <row r="5627" spans="13:13" x14ac:dyDescent="0.25">
      <c r="M5627" s="21"/>
    </row>
    <row r="5628" spans="13:13" x14ac:dyDescent="0.25">
      <c r="M5628" s="21"/>
    </row>
    <row r="5629" spans="13:13" x14ac:dyDescent="0.25">
      <c r="M5629" s="21"/>
    </row>
    <row r="5630" spans="13:13" x14ac:dyDescent="0.25">
      <c r="M5630" s="21"/>
    </row>
    <row r="5631" spans="13:13" x14ac:dyDescent="0.25">
      <c r="M5631" s="21"/>
    </row>
    <row r="5632" spans="13:13" x14ac:dyDescent="0.25">
      <c r="M5632" s="21"/>
    </row>
    <row r="5633" spans="13:13" x14ac:dyDescent="0.25">
      <c r="M5633" s="21"/>
    </row>
    <row r="5634" spans="13:13" x14ac:dyDescent="0.25">
      <c r="M5634" s="21"/>
    </row>
    <row r="5635" spans="13:13" x14ac:dyDescent="0.25">
      <c r="M5635" s="21"/>
    </row>
    <row r="5636" spans="13:13" x14ac:dyDescent="0.25">
      <c r="M5636" s="21"/>
    </row>
    <row r="5637" spans="13:13" x14ac:dyDescent="0.25">
      <c r="M5637" s="21"/>
    </row>
    <row r="5638" spans="13:13" x14ac:dyDescent="0.25">
      <c r="M5638" s="21"/>
    </row>
    <row r="5639" spans="13:13" x14ac:dyDescent="0.25">
      <c r="M5639" s="21"/>
    </row>
    <row r="5640" spans="13:13" x14ac:dyDescent="0.25">
      <c r="M5640" s="21"/>
    </row>
    <row r="5641" spans="13:13" x14ac:dyDescent="0.25">
      <c r="M5641" s="21"/>
    </row>
    <row r="5642" spans="13:13" x14ac:dyDescent="0.25">
      <c r="M5642" s="21"/>
    </row>
    <row r="5643" spans="13:13" x14ac:dyDescent="0.25">
      <c r="M5643" s="21"/>
    </row>
    <row r="5644" spans="13:13" x14ac:dyDescent="0.25">
      <c r="M5644" s="21"/>
    </row>
    <row r="5645" spans="13:13" x14ac:dyDescent="0.25">
      <c r="M5645" s="21"/>
    </row>
    <row r="5646" spans="13:13" x14ac:dyDescent="0.25">
      <c r="M5646" s="21"/>
    </row>
    <row r="5647" spans="13:13" x14ac:dyDescent="0.25">
      <c r="M5647" s="21"/>
    </row>
    <row r="5648" spans="13:13" x14ac:dyDescent="0.25">
      <c r="M5648" s="21"/>
    </row>
    <row r="5649" spans="13:13" x14ac:dyDescent="0.25">
      <c r="M5649" s="21"/>
    </row>
    <row r="5650" spans="13:13" x14ac:dyDescent="0.25">
      <c r="M5650" s="21"/>
    </row>
    <row r="5651" spans="13:13" x14ac:dyDescent="0.25">
      <c r="M5651" s="21"/>
    </row>
    <row r="5652" spans="13:13" x14ac:dyDescent="0.25">
      <c r="M5652" s="21"/>
    </row>
    <row r="5653" spans="13:13" x14ac:dyDescent="0.25">
      <c r="M5653" s="21"/>
    </row>
    <row r="5654" spans="13:13" x14ac:dyDescent="0.25">
      <c r="M5654" s="21"/>
    </row>
    <row r="5655" spans="13:13" x14ac:dyDescent="0.25">
      <c r="M5655" s="21"/>
    </row>
    <row r="5656" spans="13:13" x14ac:dyDescent="0.25">
      <c r="M5656" s="21"/>
    </row>
    <row r="5657" spans="13:13" x14ac:dyDescent="0.25">
      <c r="M5657" s="21"/>
    </row>
    <row r="5658" spans="13:13" x14ac:dyDescent="0.25">
      <c r="M5658" s="21"/>
    </row>
    <row r="5659" spans="13:13" x14ac:dyDescent="0.25">
      <c r="M5659" s="21"/>
    </row>
    <row r="5660" spans="13:13" x14ac:dyDescent="0.25">
      <c r="M5660" s="21"/>
    </row>
    <row r="5661" spans="13:13" x14ac:dyDescent="0.25">
      <c r="M5661" s="21"/>
    </row>
    <row r="5662" spans="13:13" x14ac:dyDescent="0.25">
      <c r="M5662" s="21"/>
    </row>
    <row r="5663" spans="13:13" x14ac:dyDescent="0.25">
      <c r="M5663" s="21"/>
    </row>
    <row r="5664" spans="13:13" x14ac:dyDescent="0.25">
      <c r="M5664" s="21"/>
    </row>
    <row r="5665" spans="13:13" x14ac:dyDescent="0.25">
      <c r="M5665" s="21"/>
    </row>
    <row r="5666" spans="13:13" x14ac:dyDescent="0.25">
      <c r="M5666" s="21"/>
    </row>
    <row r="5667" spans="13:13" x14ac:dyDescent="0.25">
      <c r="M5667" s="21"/>
    </row>
    <row r="5668" spans="13:13" x14ac:dyDescent="0.25">
      <c r="M5668" s="21"/>
    </row>
    <row r="5669" spans="13:13" x14ac:dyDescent="0.25">
      <c r="M5669" s="21"/>
    </row>
    <row r="5670" spans="13:13" x14ac:dyDescent="0.25">
      <c r="M5670" s="21"/>
    </row>
    <row r="5671" spans="13:13" x14ac:dyDescent="0.25">
      <c r="M5671" s="21"/>
    </row>
    <row r="5672" spans="13:13" x14ac:dyDescent="0.25">
      <c r="M5672" s="21"/>
    </row>
    <row r="5673" spans="13:13" x14ac:dyDescent="0.25">
      <c r="M5673" s="21"/>
    </row>
    <row r="5674" spans="13:13" x14ac:dyDescent="0.25">
      <c r="M5674" s="21"/>
    </row>
    <row r="5675" spans="13:13" x14ac:dyDescent="0.25">
      <c r="M5675" s="21"/>
    </row>
    <row r="5676" spans="13:13" x14ac:dyDescent="0.25">
      <c r="M5676" s="21"/>
    </row>
    <row r="5677" spans="13:13" x14ac:dyDescent="0.25">
      <c r="M5677" s="21"/>
    </row>
    <row r="5678" spans="13:13" x14ac:dyDescent="0.25">
      <c r="M5678" s="21"/>
    </row>
    <row r="5679" spans="13:13" x14ac:dyDescent="0.25">
      <c r="M5679" s="21"/>
    </row>
    <row r="5680" spans="13:13" x14ac:dyDescent="0.25">
      <c r="M5680" s="21"/>
    </row>
    <row r="5681" spans="13:13" x14ac:dyDescent="0.25">
      <c r="M5681" s="21"/>
    </row>
    <row r="5682" spans="13:13" x14ac:dyDescent="0.25">
      <c r="M5682" s="21"/>
    </row>
    <row r="5683" spans="13:13" x14ac:dyDescent="0.25">
      <c r="M5683" s="21"/>
    </row>
    <row r="5684" spans="13:13" x14ac:dyDescent="0.25">
      <c r="M5684" s="21"/>
    </row>
    <row r="5685" spans="13:13" x14ac:dyDescent="0.25">
      <c r="M5685" s="21"/>
    </row>
    <row r="5686" spans="13:13" x14ac:dyDescent="0.25">
      <c r="M5686" s="21"/>
    </row>
    <row r="5687" spans="13:13" x14ac:dyDescent="0.25">
      <c r="M5687" s="21"/>
    </row>
    <row r="5688" spans="13:13" x14ac:dyDescent="0.25">
      <c r="M5688" s="21"/>
    </row>
    <row r="5689" spans="13:13" x14ac:dyDescent="0.25">
      <c r="M5689" s="21"/>
    </row>
    <row r="5690" spans="13:13" x14ac:dyDescent="0.25">
      <c r="M5690" s="21"/>
    </row>
    <row r="5691" spans="13:13" x14ac:dyDescent="0.25">
      <c r="M5691" s="21"/>
    </row>
    <row r="5692" spans="13:13" x14ac:dyDescent="0.25">
      <c r="M5692" s="21"/>
    </row>
    <row r="5693" spans="13:13" x14ac:dyDescent="0.25">
      <c r="M5693" s="21"/>
    </row>
    <row r="5694" spans="13:13" x14ac:dyDescent="0.25">
      <c r="M5694" s="21"/>
    </row>
    <row r="5695" spans="13:13" x14ac:dyDescent="0.25">
      <c r="M5695" s="21"/>
    </row>
    <row r="5696" spans="13:13" x14ac:dyDescent="0.25">
      <c r="M5696" s="21"/>
    </row>
    <row r="5697" spans="13:13" x14ac:dyDescent="0.25">
      <c r="M5697" s="21"/>
    </row>
    <row r="5698" spans="13:13" x14ac:dyDescent="0.25">
      <c r="M5698" s="21"/>
    </row>
    <row r="5699" spans="13:13" x14ac:dyDescent="0.25">
      <c r="M5699" s="21"/>
    </row>
    <row r="5700" spans="13:13" x14ac:dyDescent="0.25">
      <c r="M5700" s="21"/>
    </row>
    <row r="5701" spans="13:13" x14ac:dyDescent="0.25">
      <c r="M5701" s="21"/>
    </row>
    <row r="5702" spans="13:13" x14ac:dyDescent="0.25">
      <c r="M5702" s="21"/>
    </row>
    <row r="5703" spans="13:13" x14ac:dyDescent="0.25">
      <c r="M5703" s="21"/>
    </row>
    <row r="5704" spans="13:13" x14ac:dyDescent="0.25">
      <c r="M5704" s="21"/>
    </row>
    <row r="5705" spans="13:13" x14ac:dyDescent="0.25">
      <c r="M5705" s="21"/>
    </row>
    <row r="5706" spans="13:13" x14ac:dyDescent="0.25">
      <c r="M5706" s="21"/>
    </row>
    <row r="5707" spans="13:13" x14ac:dyDescent="0.25">
      <c r="M5707" s="21"/>
    </row>
    <row r="5708" spans="13:13" x14ac:dyDescent="0.25">
      <c r="M5708" s="21"/>
    </row>
    <row r="5709" spans="13:13" x14ac:dyDescent="0.25">
      <c r="M5709" s="21"/>
    </row>
    <row r="5710" spans="13:13" x14ac:dyDescent="0.25">
      <c r="M5710" s="21"/>
    </row>
    <row r="5711" spans="13:13" x14ac:dyDescent="0.25">
      <c r="M5711" s="21"/>
    </row>
    <row r="5712" spans="13:13" x14ac:dyDescent="0.25">
      <c r="M5712" s="21"/>
    </row>
    <row r="5713" spans="13:13" x14ac:dyDescent="0.25">
      <c r="M5713" s="21"/>
    </row>
    <row r="5714" spans="13:13" x14ac:dyDescent="0.25">
      <c r="M5714" s="21"/>
    </row>
    <row r="5715" spans="13:13" x14ac:dyDescent="0.25">
      <c r="M5715" s="21"/>
    </row>
    <row r="5716" spans="13:13" x14ac:dyDescent="0.25">
      <c r="M5716" s="21"/>
    </row>
    <row r="5717" spans="13:13" x14ac:dyDescent="0.25">
      <c r="M5717" s="21"/>
    </row>
    <row r="5718" spans="13:13" x14ac:dyDescent="0.25">
      <c r="M5718" s="21"/>
    </row>
    <row r="5719" spans="13:13" x14ac:dyDescent="0.25">
      <c r="M5719" s="21"/>
    </row>
    <row r="5720" spans="13:13" x14ac:dyDescent="0.25">
      <c r="M5720" s="21"/>
    </row>
    <row r="5721" spans="13:13" x14ac:dyDescent="0.25">
      <c r="M5721" s="21"/>
    </row>
    <row r="5722" spans="13:13" x14ac:dyDescent="0.25">
      <c r="M5722" s="21"/>
    </row>
    <row r="5723" spans="13:13" x14ac:dyDescent="0.25">
      <c r="M5723" s="21"/>
    </row>
    <row r="5724" spans="13:13" x14ac:dyDescent="0.25">
      <c r="M5724" s="21"/>
    </row>
    <row r="5725" spans="13:13" x14ac:dyDescent="0.25">
      <c r="M5725" s="21"/>
    </row>
    <row r="5726" spans="13:13" x14ac:dyDescent="0.25">
      <c r="M5726" s="21"/>
    </row>
    <row r="5727" spans="13:13" x14ac:dyDescent="0.25">
      <c r="M5727" s="21"/>
    </row>
    <row r="5728" spans="13:13" x14ac:dyDescent="0.25">
      <c r="M5728" s="21"/>
    </row>
    <row r="5729" spans="13:13" x14ac:dyDescent="0.25">
      <c r="M5729" s="21"/>
    </row>
    <row r="5730" spans="13:13" x14ac:dyDescent="0.25">
      <c r="M5730" s="21"/>
    </row>
    <row r="5731" spans="13:13" x14ac:dyDescent="0.25">
      <c r="M5731" s="21"/>
    </row>
    <row r="5732" spans="13:13" x14ac:dyDescent="0.25">
      <c r="M5732" s="21"/>
    </row>
    <row r="5733" spans="13:13" x14ac:dyDescent="0.25">
      <c r="M5733" s="21"/>
    </row>
    <row r="5734" spans="13:13" x14ac:dyDescent="0.25">
      <c r="M5734" s="21"/>
    </row>
    <row r="5735" spans="13:13" x14ac:dyDescent="0.25">
      <c r="M5735" s="21"/>
    </row>
    <row r="5736" spans="13:13" x14ac:dyDescent="0.25">
      <c r="M5736" s="21"/>
    </row>
    <row r="5737" spans="13:13" x14ac:dyDescent="0.25">
      <c r="M5737" s="21"/>
    </row>
    <row r="5738" spans="13:13" x14ac:dyDescent="0.25">
      <c r="M5738" s="21"/>
    </row>
    <row r="5739" spans="13:13" x14ac:dyDescent="0.25">
      <c r="M5739" s="21"/>
    </row>
    <row r="5740" spans="13:13" x14ac:dyDescent="0.25">
      <c r="M5740" s="21"/>
    </row>
    <row r="5741" spans="13:13" x14ac:dyDescent="0.25">
      <c r="M5741" s="21"/>
    </row>
    <row r="5742" spans="13:13" x14ac:dyDescent="0.25">
      <c r="M5742" s="21"/>
    </row>
    <row r="5743" spans="13:13" x14ac:dyDescent="0.25">
      <c r="M5743" s="21"/>
    </row>
    <row r="5744" spans="13:13" x14ac:dyDescent="0.25">
      <c r="M5744" s="21"/>
    </row>
    <row r="5745" spans="13:13" x14ac:dyDescent="0.25">
      <c r="M5745" s="21"/>
    </row>
    <row r="5746" spans="13:13" x14ac:dyDescent="0.25">
      <c r="M5746" s="21"/>
    </row>
    <row r="5747" spans="13:13" x14ac:dyDescent="0.25">
      <c r="M5747" s="21"/>
    </row>
    <row r="5748" spans="13:13" x14ac:dyDescent="0.25">
      <c r="M5748" s="21"/>
    </row>
    <row r="5749" spans="13:13" x14ac:dyDescent="0.25">
      <c r="M5749" s="21"/>
    </row>
    <row r="5750" spans="13:13" x14ac:dyDescent="0.25">
      <c r="M5750" s="21"/>
    </row>
    <row r="5751" spans="13:13" x14ac:dyDescent="0.25">
      <c r="M5751" s="21"/>
    </row>
    <row r="5752" spans="13:13" x14ac:dyDescent="0.25">
      <c r="M5752" s="21"/>
    </row>
    <row r="5753" spans="13:13" x14ac:dyDescent="0.25">
      <c r="M5753" s="21"/>
    </row>
    <row r="5754" spans="13:13" x14ac:dyDescent="0.25">
      <c r="M5754" s="21"/>
    </row>
    <row r="5755" spans="13:13" x14ac:dyDescent="0.25">
      <c r="M5755" s="21"/>
    </row>
    <row r="5756" spans="13:13" x14ac:dyDescent="0.25">
      <c r="M5756" s="21"/>
    </row>
    <row r="5757" spans="13:13" x14ac:dyDescent="0.25">
      <c r="M5757" s="21"/>
    </row>
    <row r="5758" spans="13:13" x14ac:dyDescent="0.25">
      <c r="M5758" s="21"/>
    </row>
    <row r="5759" spans="13:13" x14ac:dyDescent="0.25">
      <c r="M5759" s="21"/>
    </row>
    <row r="5760" spans="13:13" x14ac:dyDescent="0.25">
      <c r="M5760" s="21"/>
    </row>
    <row r="5761" spans="13:13" x14ac:dyDescent="0.25">
      <c r="M5761" s="21"/>
    </row>
    <row r="5762" spans="13:13" x14ac:dyDescent="0.25">
      <c r="M5762" s="21"/>
    </row>
    <row r="5763" spans="13:13" x14ac:dyDescent="0.25">
      <c r="M5763" s="21"/>
    </row>
    <row r="5764" spans="13:13" x14ac:dyDescent="0.25">
      <c r="M5764" s="21"/>
    </row>
    <row r="5765" spans="13:13" x14ac:dyDescent="0.25">
      <c r="M5765" s="21"/>
    </row>
    <row r="5766" spans="13:13" x14ac:dyDescent="0.25">
      <c r="M5766" s="21"/>
    </row>
    <row r="5767" spans="13:13" x14ac:dyDescent="0.25">
      <c r="M5767" s="21"/>
    </row>
    <row r="5768" spans="13:13" x14ac:dyDescent="0.25">
      <c r="M5768" s="21"/>
    </row>
    <row r="5769" spans="13:13" x14ac:dyDescent="0.25">
      <c r="M5769" s="21"/>
    </row>
    <row r="5770" spans="13:13" x14ac:dyDescent="0.25">
      <c r="M5770" s="21"/>
    </row>
    <row r="5771" spans="13:13" x14ac:dyDescent="0.25">
      <c r="M5771" s="21"/>
    </row>
    <row r="5772" spans="13:13" x14ac:dyDescent="0.25">
      <c r="M5772" s="21"/>
    </row>
    <row r="5773" spans="13:13" x14ac:dyDescent="0.25">
      <c r="M5773" s="21"/>
    </row>
    <row r="5774" spans="13:13" x14ac:dyDescent="0.25">
      <c r="M5774" s="21"/>
    </row>
    <row r="5775" spans="13:13" x14ac:dyDescent="0.25">
      <c r="M5775" s="21"/>
    </row>
    <row r="5776" spans="13:13" x14ac:dyDescent="0.25">
      <c r="M5776" s="21"/>
    </row>
    <row r="5777" spans="13:13" x14ac:dyDescent="0.25">
      <c r="M5777" s="21"/>
    </row>
    <row r="5778" spans="13:13" x14ac:dyDescent="0.25">
      <c r="M5778" s="21"/>
    </row>
    <row r="5779" spans="13:13" x14ac:dyDescent="0.25">
      <c r="M5779" s="21"/>
    </row>
    <row r="5780" spans="13:13" x14ac:dyDescent="0.25">
      <c r="M5780" s="21"/>
    </row>
    <row r="5781" spans="13:13" x14ac:dyDescent="0.25">
      <c r="M5781" s="21"/>
    </row>
    <row r="5782" spans="13:13" x14ac:dyDescent="0.25">
      <c r="M5782" s="21"/>
    </row>
    <row r="5783" spans="13:13" x14ac:dyDescent="0.25">
      <c r="M5783" s="21"/>
    </row>
    <row r="5784" spans="13:13" x14ac:dyDescent="0.25">
      <c r="M5784" s="21"/>
    </row>
    <row r="5785" spans="13:13" x14ac:dyDescent="0.25">
      <c r="M5785" s="21"/>
    </row>
    <row r="5786" spans="13:13" x14ac:dyDescent="0.25">
      <c r="M5786" s="21"/>
    </row>
    <row r="5787" spans="13:13" x14ac:dyDescent="0.25">
      <c r="M5787" s="21"/>
    </row>
    <row r="5788" spans="13:13" x14ac:dyDescent="0.25">
      <c r="M5788" s="21"/>
    </row>
    <row r="5789" spans="13:13" x14ac:dyDescent="0.25">
      <c r="M5789" s="21"/>
    </row>
    <row r="5790" spans="13:13" x14ac:dyDescent="0.25">
      <c r="M5790" s="21"/>
    </row>
    <row r="5791" spans="13:13" x14ac:dyDescent="0.25">
      <c r="M5791" s="21"/>
    </row>
    <row r="5792" spans="13:13" x14ac:dyDescent="0.25">
      <c r="M5792" s="21"/>
    </row>
    <row r="5793" spans="13:13" x14ac:dyDescent="0.25">
      <c r="M5793" s="21"/>
    </row>
    <row r="5794" spans="13:13" x14ac:dyDescent="0.25">
      <c r="M5794" s="21"/>
    </row>
    <row r="5795" spans="13:13" x14ac:dyDescent="0.25">
      <c r="M5795" s="21"/>
    </row>
    <row r="5796" spans="13:13" x14ac:dyDescent="0.25">
      <c r="M5796" s="21"/>
    </row>
    <row r="5797" spans="13:13" x14ac:dyDescent="0.25">
      <c r="M5797" s="21"/>
    </row>
    <row r="5798" spans="13:13" x14ac:dyDescent="0.25">
      <c r="M5798" s="21"/>
    </row>
    <row r="5799" spans="13:13" x14ac:dyDescent="0.25">
      <c r="M5799" s="21"/>
    </row>
    <row r="5800" spans="13:13" x14ac:dyDescent="0.25">
      <c r="M5800" s="21"/>
    </row>
    <row r="5801" spans="13:13" x14ac:dyDescent="0.25">
      <c r="M5801" s="21"/>
    </row>
    <row r="5802" spans="13:13" x14ac:dyDescent="0.25">
      <c r="M5802" s="21"/>
    </row>
    <row r="5803" spans="13:13" x14ac:dyDescent="0.25">
      <c r="M5803" s="21"/>
    </row>
    <row r="5804" spans="13:13" x14ac:dyDescent="0.25">
      <c r="M5804" s="21"/>
    </row>
    <row r="5805" spans="13:13" x14ac:dyDescent="0.25">
      <c r="M5805" s="21"/>
    </row>
    <row r="5806" spans="13:13" x14ac:dyDescent="0.25">
      <c r="M5806" s="21"/>
    </row>
    <row r="5807" spans="13:13" x14ac:dyDescent="0.25">
      <c r="M5807" s="21"/>
    </row>
    <row r="5808" spans="13:13" x14ac:dyDescent="0.25">
      <c r="M5808" s="21"/>
    </row>
    <row r="5809" spans="13:13" x14ac:dyDescent="0.25">
      <c r="M5809" s="21"/>
    </row>
    <row r="5810" spans="13:13" x14ac:dyDescent="0.25">
      <c r="M5810" s="21"/>
    </row>
    <row r="5811" spans="13:13" x14ac:dyDescent="0.25">
      <c r="M5811" s="21"/>
    </row>
    <row r="5812" spans="13:13" x14ac:dyDescent="0.25">
      <c r="M5812" s="21"/>
    </row>
    <row r="5813" spans="13:13" x14ac:dyDescent="0.25">
      <c r="M5813" s="21"/>
    </row>
    <row r="5814" spans="13:13" x14ac:dyDescent="0.25">
      <c r="M5814" s="21"/>
    </row>
    <row r="5815" spans="13:13" x14ac:dyDescent="0.25">
      <c r="M5815" s="21"/>
    </row>
    <row r="5816" spans="13:13" x14ac:dyDescent="0.25">
      <c r="M5816" s="21"/>
    </row>
    <row r="5817" spans="13:13" x14ac:dyDescent="0.25">
      <c r="M5817" s="21"/>
    </row>
    <row r="5818" spans="13:13" x14ac:dyDescent="0.25">
      <c r="M5818" s="21"/>
    </row>
    <row r="5819" spans="13:13" x14ac:dyDescent="0.25">
      <c r="M5819" s="21"/>
    </row>
    <row r="5820" spans="13:13" x14ac:dyDescent="0.25">
      <c r="M5820" s="21"/>
    </row>
    <row r="5821" spans="13:13" x14ac:dyDescent="0.25">
      <c r="M5821" s="21"/>
    </row>
    <row r="5822" spans="13:13" x14ac:dyDescent="0.25">
      <c r="M5822" s="21"/>
    </row>
    <row r="5823" spans="13:13" x14ac:dyDescent="0.25">
      <c r="M5823" s="21"/>
    </row>
    <row r="5824" spans="13:13" x14ac:dyDescent="0.25">
      <c r="M5824" s="21"/>
    </row>
    <row r="5825" spans="13:13" x14ac:dyDescent="0.25">
      <c r="M5825" s="21"/>
    </row>
    <row r="5826" spans="13:13" x14ac:dyDescent="0.25">
      <c r="M5826" s="21"/>
    </row>
    <row r="5827" spans="13:13" x14ac:dyDescent="0.25">
      <c r="M5827" s="21"/>
    </row>
    <row r="5828" spans="13:13" x14ac:dyDescent="0.25">
      <c r="M5828" s="21"/>
    </row>
    <row r="5829" spans="13:13" x14ac:dyDescent="0.25">
      <c r="M5829" s="21"/>
    </row>
    <row r="5830" spans="13:13" x14ac:dyDescent="0.25">
      <c r="M5830" s="21"/>
    </row>
    <row r="5831" spans="13:13" x14ac:dyDescent="0.25">
      <c r="M5831" s="21"/>
    </row>
    <row r="5832" spans="13:13" x14ac:dyDescent="0.25">
      <c r="M5832" s="21"/>
    </row>
    <row r="5833" spans="13:13" x14ac:dyDescent="0.25">
      <c r="M5833" s="21"/>
    </row>
    <row r="5834" spans="13:13" x14ac:dyDescent="0.25">
      <c r="M5834" s="21"/>
    </row>
    <row r="5835" spans="13:13" x14ac:dyDescent="0.25">
      <c r="M5835" s="21"/>
    </row>
    <row r="5836" spans="13:13" x14ac:dyDescent="0.25">
      <c r="M5836" s="21"/>
    </row>
    <row r="5837" spans="13:13" x14ac:dyDescent="0.25">
      <c r="M5837" s="21"/>
    </row>
    <row r="5838" spans="13:13" x14ac:dyDescent="0.25">
      <c r="M5838" s="21"/>
    </row>
    <row r="5839" spans="13:13" x14ac:dyDescent="0.25">
      <c r="M5839" s="21"/>
    </row>
    <row r="5840" spans="13:13" x14ac:dyDescent="0.25">
      <c r="M5840" s="21"/>
    </row>
    <row r="5841" spans="13:13" x14ac:dyDescent="0.25">
      <c r="M5841" s="21"/>
    </row>
    <row r="5842" spans="13:13" x14ac:dyDescent="0.25">
      <c r="M5842" s="21"/>
    </row>
    <row r="5843" spans="13:13" x14ac:dyDescent="0.25">
      <c r="M5843" s="21"/>
    </row>
    <row r="5844" spans="13:13" x14ac:dyDescent="0.25">
      <c r="M5844" s="21"/>
    </row>
    <row r="5845" spans="13:13" x14ac:dyDescent="0.25">
      <c r="M5845" s="21"/>
    </row>
    <row r="5846" spans="13:13" x14ac:dyDescent="0.25">
      <c r="M5846" s="21"/>
    </row>
    <row r="5847" spans="13:13" x14ac:dyDescent="0.25">
      <c r="M5847" s="21"/>
    </row>
    <row r="5848" spans="13:13" x14ac:dyDescent="0.25">
      <c r="M5848" s="21"/>
    </row>
    <row r="5849" spans="13:13" x14ac:dyDescent="0.25">
      <c r="M5849" s="21"/>
    </row>
    <row r="5850" spans="13:13" x14ac:dyDescent="0.25">
      <c r="M5850" s="21"/>
    </row>
    <row r="5851" spans="13:13" x14ac:dyDescent="0.25">
      <c r="M5851" s="21"/>
    </row>
    <row r="5852" spans="13:13" x14ac:dyDescent="0.25">
      <c r="M5852" s="21"/>
    </row>
    <row r="5853" spans="13:13" x14ac:dyDescent="0.25">
      <c r="M5853" s="21"/>
    </row>
    <row r="5854" spans="13:13" x14ac:dyDescent="0.25">
      <c r="M5854" s="21"/>
    </row>
    <row r="5855" spans="13:13" x14ac:dyDescent="0.25">
      <c r="M5855" s="21"/>
    </row>
    <row r="5856" spans="13:13" x14ac:dyDescent="0.25">
      <c r="M5856" s="21"/>
    </row>
    <row r="5857" spans="13:13" x14ac:dyDescent="0.25">
      <c r="M5857" s="21"/>
    </row>
    <row r="5858" spans="13:13" x14ac:dyDescent="0.25">
      <c r="M5858" s="21"/>
    </row>
    <row r="5859" spans="13:13" x14ac:dyDescent="0.25">
      <c r="M5859" s="21"/>
    </row>
    <row r="5860" spans="13:13" x14ac:dyDescent="0.25">
      <c r="M5860" s="21"/>
    </row>
    <row r="5861" spans="13:13" x14ac:dyDescent="0.25">
      <c r="M5861" s="21"/>
    </row>
    <row r="5862" spans="13:13" x14ac:dyDescent="0.25">
      <c r="M5862" s="21"/>
    </row>
    <row r="5863" spans="13:13" x14ac:dyDescent="0.25">
      <c r="M5863" s="21"/>
    </row>
    <row r="5864" spans="13:13" x14ac:dyDescent="0.25">
      <c r="M5864" s="21"/>
    </row>
    <row r="5865" spans="13:13" x14ac:dyDescent="0.25">
      <c r="M5865" s="21"/>
    </row>
    <row r="5866" spans="13:13" x14ac:dyDescent="0.25">
      <c r="M5866" s="21"/>
    </row>
    <row r="5867" spans="13:13" x14ac:dyDescent="0.25">
      <c r="M5867" s="21"/>
    </row>
    <row r="5868" spans="13:13" x14ac:dyDescent="0.25">
      <c r="M5868" s="21"/>
    </row>
    <row r="5869" spans="13:13" x14ac:dyDescent="0.25">
      <c r="M5869" s="21"/>
    </row>
    <row r="5870" spans="13:13" x14ac:dyDescent="0.25">
      <c r="M5870" s="21"/>
    </row>
    <row r="5871" spans="13:13" x14ac:dyDescent="0.25">
      <c r="M5871" s="21"/>
    </row>
    <row r="5872" spans="13:13" x14ac:dyDescent="0.25">
      <c r="M5872" s="21"/>
    </row>
    <row r="5873" spans="13:13" x14ac:dyDescent="0.25">
      <c r="M5873" s="21"/>
    </row>
    <row r="5874" spans="13:13" x14ac:dyDescent="0.25">
      <c r="M5874" s="21"/>
    </row>
    <row r="5875" spans="13:13" x14ac:dyDescent="0.25">
      <c r="M5875" s="21"/>
    </row>
    <row r="5876" spans="13:13" x14ac:dyDescent="0.25">
      <c r="M5876" s="21"/>
    </row>
    <row r="5877" spans="13:13" x14ac:dyDescent="0.25">
      <c r="M5877" s="21"/>
    </row>
    <row r="5878" spans="13:13" x14ac:dyDescent="0.25">
      <c r="M5878" s="21"/>
    </row>
    <row r="5879" spans="13:13" x14ac:dyDescent="0.25">
      <c r="M5879" s="21"/>
    </row>
    <row r="5880" spans="13:13" x14ac:dyDescent="0.25">
      <c r="M5880" s="21"/>
    </row>
    <row r="5881" spans="13:13" x14ac:dyDescent="0.25">
      <c r="M5881" s="21"/>
    </row>
    <row r="5882" spans="13:13" x14ac:dyDescent="0.25">
      <c r="M5882" s="21"/>
    </row>
    <row r="5883" spans="13:13" x14ac:dyDescent="0.25">
      <c r="M5883" s="21"/>
    </row>
    <row r="5884" spans="13:13" x14ac:dyDescent="0.25">
      <c r="M5884" s="21"/>
    </row>
    <row r="5885" spans="13:13" x14ac:dyDescent="0.25">
      <c r="M5885" s="21"/>
    </row>
    <row r="5886" spans="13:13" x14ac:dyDescent="0.25">
      <c r="M5886" s="21"/>
    </row>
    <row r="5887" spans="13:13" x14ac:dyDescent="0.25">
      <c r="M5887" s="21"/>
    </row>
    <row r="5888" spans="13:13" x14ac:dyDescent="0.25">
      <c r="M5888" s="21"/>
    </row>
    <row r="5889" spans="13:13" x14ac:dyDescent="0.25">
      <c r="M5889" s="21"/>
    </row>
    <row r="5890" spans="13:13" x14ac:dyDescent="0.25">
      <c r="M5890" s="21"/>
    </row>
    <row r="5891" spans="13:13" x14ac:dyDescent="0.25">
      <c r="M5891" s="21"/>
    </row>
    <row r="5892" spans="13:13" x14ac:dyDescent="0.25">
      <c r="M5892" s="21"/>
    </row>
    <row r="5893" spans="13:13" x14ac:dyDescent="0.25">
      <c r="M5893" s="21"/>
    </row>
    <row r="5894" spans="13:13" x14ac:dyDescent="0.25">
      <c r="M5894" s="21"/>
    </row>
    <row r="5895" spans="13:13" x14ac:dyDescent="0.25">
      <c r="M5895" s="21"/>
    </row>
    <row r="5896" spans="13:13" x14ac:dyDescent="0.25">
      <c r="M5896" s="21"/>
    </row>
    <row r="5897" spans="13:13" x14ac:dyDescent="0.25">
      <c r="M5897" s="21"/>
    </row>
    <row r="5898" spans="13:13" x14ac:dyDescent="0.25">
      <c r="M5898" s="21"/>
    </row>
    <row r="5899" spans="13:13" x14ac:dyDescent="0.25">
      <c r="M5899" s="21"/>
    </row>
    <row r="5900" spans="13:13" x14ac:dyDescent="0.25">
      <c r="M5900" s="21"/>
    </row>
    <row r="5901" spans="13:13" x14ac:dyDescent="0.25">
      <c r="M5901" s="21"/>
    </row>
    <row r="5902" spans="13:13" x14ac:dyDescent="0.25">
      <c r="M5902" s="21"/>
    </row>
    <row r="5903" spans="13:13" x14ac:dyDescent="0.25">
      <c r="M5903" s="21"/>
    </row>
    <row r="5904" spans="13:13" x14ac:dyDescent="0.25">
      <c r="M5904" s="21"/>
    </row>
    <row r="5905" spans="13:13" x14ac:dyDescent="0.25">
      <c r="M5905" s="21"/>
    </row>
    <row r="5906" spans="13:13" x14ac:dyDescent="0.25">
      <c r="M5906" s="21"/>
    </row>
    <row r="5907" spans="13:13" x14ac:dyDescent="0.25">
      <c r="M5907" s="21"/>
    </row>
    <row r="5908" spans="13:13" x14ac:dyDescent="0.25">
      <c r="M5908" s="21"/>
    </row>
    <row r="5909" spans="13:13" x14ac:dyDescent="0.25">
      <c r="M5909" s="21"/>
    </row>
    <row r="5910" spans="13:13" x14ac:dyDescent="0.25">
      <c r="M5910" s="21"/>
    </row>
    <row r="5911" spans="13:13" x14ac:dyDescent="0.25">
      <c r="M5911" s="21"/>
    </row>
    <row r="5912" spans="13:13" x14ac:dyDescent="0.25">
      <c r="M5912" s="21"/>
    </row>
    <row r="5913" spans="13:13" x14ac:dyDescent="0.25">
      <c r="M5913" s="21"/>
    </row>
    <row r="5914" spans="13:13" x14ac:dyDescent="0.25">
      <c r="M5914" s="21"/>
    </row>
    <row r="5915" spans="13:13" x14ac:dyDescent="0.25">
      <c r="M5915" s="21"/>
    </row>
    <row r="5916" spans="13:13" x14ac:dyDescent="0.25">
      <c r="M5916" s="21"/>
    </row>
    <row r="5917" spans="13:13" x14ac:dyDescent="0.25">
      <c r="M5917" s="21"/>
    </row>
    <row r="5918" spans="13:13" x14ac:dyDescent="0.25">
      <c r="M5918" s="21"/>
    </row>
    <row r="5919" spans="13:13" x14ac:dyDescent="0.25">
      <c r="M5919" s="21"/>
    </row>
    <row r="5920" spans="13:13" x14ac:dyDescent="0.25">
      <c r="M5920" s="21"/>
    </row>
    <row r="5921" spans="13:13" x14ac:dyDescent="0.25">
      <c r="M5921" s="21"/>
    </row>
    <row r="5922" spans="13:13" x14ac:dyDescent="0.25">
      <c r="M5922" s="21"/>
    </row>
    <row r="5923" spans="13:13" x14ac:dyDescent="0.25">
      <c r="M5923" s="21"/>
    </row>
    <row r="5924" spans="13:13" x14ac:dyDescent="0.25">
      <c r="M5924" s="21"/>
    </row>
    <row r="5925" spans="13:13" x14ac:dyDescent="0.25">
      <c r="M5925" s="21"/>
    </row>
    <row r="5926" spans="13:13" x14ac:dyDescent="0.25">
      <c r="M5926" s="21"/>
    </row>
    <row r="5927" spans="13:13" x14ac:dyDescent="0.25">
      <c r="M5927" s="21"/>
    </row>
    <row r="5928" spans="13:13" x14ac:dyDescent="0.25">
      <c r="M5928" s="21"/>
    </row>
    <row r="5929" spans="13:13" x14ac:dyDescent="0.25">
      <c r="M5929" s="21"/>
    </row>
    <row r="5930" spans="13:13" x14ac:dyDescent="0.25">
      <c r="M5930" s="21"/>
    </row>
    <row r="5931" spans="13:13" x14ac:dyDescent="0.25">
      <c r="M5931" s="21"/>
    </row>
    <row r="5932" spans="13:13" x14ac:dyDescent="0.25">
      <c r="M5932" s="21"/>
    </row>
    <row r="5933" spans="13:13" x14ac:dyDescent="0.25">
      <c r="M5933" s="21"/>
    </row>
    <row r="5934" spans="13:13" x14ac:dyDescent="0.25">
      <c r="M5934" s="21"/>
    </row>
    <row r="5935" spans="13:13" x14ac:dyDescent="0.25">
      <c r="M5935" s="21"/>
    </row>
    <row r="5936" spans="13:13" x14ac:dyDescent="0.25">
      <c r="M5936" s="21"/>
    </row>
    <row r="5937" spans="13:13" x14ac:dyDescent="0.25">
      <c r="M5937" s="21"/>
    </row>
    <row r="5938" spans="13:13" x14ac:dyDescent="0.25">
      <c r="M5938" s="21"/>
    </row>
    <row r="5939" spans="13:13" x14ac:dyDescent="0.25">
      <c r="M5939" s="21"/>
    </row>
    <row r="5940" spans="13:13" x14ac:dyDescent="0.25">
      <c r="M5940" s="21"/>
    </row>
    <row r="5941" spans="13:13" x14ac:dyDescent="0.25">
      <c r="M5941" s="21"/>
    </row>
    <row r="5942" spans="13:13" x14ac:dyDescent="0.25">
      <c r="M5942" s="21"/>
    </row>
    <row r="5943" spans="13:13" x14ac:dyDescent="0.25">
      <c r="M5943" s="21"/>
    </row>
    <row r="5944" spans="13:13" x14ac:dyDescent="0.25">
      <c r="M5944" s="21"/>
    </row>
    <row r="5945" spans="13:13" x14ac:dyDescent="0.25">
      <c r="M5945" s="21"/>
    </row>
    <row r="5946" spans="13:13" x14ac:dyDescent="0.25">
      <c r="M5946" s="21"/>
    </row>
    <row r="5947" spans="13:13" x14ac:dyDescent="0.25">
      <c r="M5947" s="21"/>
    </row>
    <row r="5948" spans="13:13" x14ac:dyDescent="0.25">
      <c r="M5948" s="21"/>
    </row>
    <row r="5949" spans="13:13" x14ac:dyDescent="0.25">
      <c r="M5949" s="21"/>
    </row>
    <row r="5950" spans="13:13" x14ac:dyDescent="0.25">
      <c r="M5950" s="21"/>
    </row>
    <row r="5951" spans="13:13" x14ac:dyDescent="0.25">
      <c r="M5951" s="21"/>
    </row>
    <row r="5952" spans="13:13" x14ac:dyDescent="0.25">
      <c r="M5952" s="21"/>
    </row>
    <row r="5953" spans="13:13" x14ac:dyDescent="0.25">
      <c r="M5953" s="21"/>
    </row>
    <row r="5954" spans="13:13" x14ac:dyDescent="0.25">
      <c r="M5954" s="21"/>
    </row>
    <row r="5955" spans="13:13" x14ac:dyDescent="0.25">
      <c r="M5955" s="21"/>
    </row>
    <row r="5956" spans="13:13" x14ac:dyDescent="0.25">
      <c r="M5956" s="21"/>
    </row>
    <row r="5957" spans="13:13" x14ac:dyDescent="0.25">
      <c r="M5957" s="21"/>
    </row>
    <row r="5958" spans="13:13" x14ac:dyDescent="0.25">
      <c r="M5958" s="21"/>
    </row>
    <row r="5959" spans="13:13" x14ac:dyDescent="0.25">
      <c r="M5959" s="21"/>
    </row>
    <row r="5960" spans="13:13" x14ac:dyDescent="0.25">
      <c r="M5960" s="21"/>
    </row>
    <row r="5961" spans="13:13" x14ac:dyDescent="0.25">
      <c r="M5961" s="21"/>
    </row>
    <row r="5962" spans="13:13" x14ac:dyDescent="0.25">
      <c r="M5962" s="21"/>
    </row>
    <row r="5963" spans="13:13" x14ac:dyDescent="0.25">
      <c r="M5963" s="21"/>
    </row>
    <row r="5964" spans="13:13" x14ac:dyDescent="0.25">
      <c r="M5964" s="21"/>
    </row>
    <row r="5965" spans="13:13" x14ac:dyDescent="0.25">
      <c r="M5965" s="21"/>
    </row>
    <row r="5966" spans="13:13" x14ac:dyDescent="0.25">
      <c r="M5966" s="21"/>
    </row>
    <row r="5967" spans="13:13" x14ac:dyDescent="0.25">
      <c r="M5967" s="21"/>
    </row>
    <row r="5968" spans="13:13" x14ac:dyDescent="0.25">
      <c r="M5968" s="21"/>
    </row>
    <row r="5969" spans="13:13" x14ac:dyDescent="0.25">
      <c r="M5969" s="21"/>
    </row>
    <row r="5970" spans="13:13" x14ac:dyDescent="0.25">
      <c r="M5970" s="21"/>
    </row>
    <row r="5971" spans="13:13" x14ac:dyDescent="0.25">
      <c r="M5971" s="21"/>
    </row>
    <row r="5972" spans="13:13" x14ac:dyDescent="0.25">
      <c r="M5972" s="21"/>
    </row>
    <row r="5973" spans="13:13" x14ac:dyDescent="0.25">
      <c r="M5973" s="21"/>
    </row>
    <row r="5974" spans="13:13" x14ac:dyDescent="0.25">
      <c r="M5974" s="21"/>
    </row>
    <row r="5975" spans="13:13" x14ac:dyDescent="0.25">
      <c r="M5975" s="21"/>
    </row>
    <row r="5976" spans="13:13" x14ac:dyDescent="0.25">
      <c r="M5976" s="21"/>
    </row>
    <row r="5977" spans="13:13" x14ac:dyDescent="0.25">
      <c r="M5977" s="21"/>
    </row>
    <row r="5978" spans="13:13" x14ac:dyDescent="0.25">
      <c r="M5978" s="21"/>
    </row>
    <row r="5979" spans="13:13" x14ac:dyDescent="0.25">
      <c r="M5979" s="21"/>
    </row>
    <row r="5980" spans="13:13" x14ac:dyDescent="0.25">
      <c r="M5980" s="21"/>
    </row>
    <row r="5981" spans="13:13" x14ac:dyDescent="0.25">
      <c r="M5981" s="21"/>
    </row>
    <row r="5982" spans="13:13" x14ac:dyDescent="0.25">
      <c r="M5982" s="21"/>
    </row>
    <row r="5983" spans="13:13" x14ac:dyDescent="0.25">
      <c r="M5983" s="21"/>
    </row>
    <row r="5984" spans="13:13" x14ac:dyDescent="0.25">
      <c r="M5984" s="21"/>
    </row>
    <row r="5985" spans="13:13" x14ac:dyDescent="0.25">
      <c r="M5985" s="21"/>
    </row>
    <row r="5986" spans="13:13" x14ac:dyDescent="0.25">
      <c r="M5986" s="21"/>
    </row>
    <row r="5987" spans="13:13" x14ac:dyDescent="0.25">
      <c r="M5987" s="21"/>
    </row>
    <row r="5988" spans="13:13" x14ac:dyDescent="0.25">
      <c r="M5988" s="21"/>
    </row>
    <row r="5989" spans="13:13" x14ac:dyDescent="0.25">
      <c r="M5989" s="21"/>
    </row>
    <row r="5990" spans="13:13" x14ac:dyDescent="0.25">
      <c r="M5990" s="21"/>
    </row>
    <row r="5991" spans="13:13" x14ac:dyDescent="0.25">
      <c r="M5991" s="21"/>
    </row>
    <row r="5992" spans="13:13" x14ac:dyDescent="0.25">
      <c r="M5992" s="21"/>
    </row>
    <row r="5993" spans="13:13" x14ac:dyDescent="0.25">
      <c r="M5993" s="21"/>
    </row>
    <row r="5994" spans="13:13" x14ac:dyDescent="0.25">
      <c r="M5994" s="21"/>
    </row>
    <row r="5995" spans="13:13" x14ac:dyDescent="0.25">
      <c r="M5995" s="21"/>
    </row>
    <row r="5996" spans="13:13" x14ac:dyDescent="0.25">
      <c r="M5996" s="21"/>
    </row>
    <row r="5997" spans="13:13" x14ac:dyDescent="0.25">
      <c r="M5997" s="21"/>
    </row>
    <row r="5998" spans="13:13" x14ac:dyDescent="0.25">
      <c r="M5998" s="21"/>
    </row>
    <row r="5999" spans="13:13" x14ac:dyDescent="0.25">
      <c r="M5999" s="21"/>
    </row>
    <row r="6000" spans="13:13" x14ac:dyDescent="0.25">
      <c r="M6000" s="21"/>
    </row>
    <row r="6001" spans="13:13" x14ac:dyDescent="0.25">
      <c r="M6001" s="21"/>
    </row>
    <row r="6002" spans="13:13" x14ac:dyDescent="0.25">
      <c r="M6002" s="21"/>
    </row>
    <row r="6003" spans="13:13" x14ac:dyDescent="0.25">
      <c r="M6003" s="21"/>
    </row>
    <row r="6004" spans="13:13" x14ac:dyDescent="0.25">
      <c r="M6004" s="21"/>
    </row>
    <row r="6005" spans="13:13" x14ac:dyDescent="0.25">
      <c r="M6005" s="21"/>
    </row>
    <row r="6006" spans="13:13" x14ac:dyDescent="0.25">
      <c r="M6006" s="21"/>
    </row>
    <row r="6007" spans="13:13" x14ac:dyDescent="0.25">
      <c r="M6007" s="21"/>
    </row>
    <row r="6008" spans="13:13" x14ac:dyDescent="0.25">
      <c r="M6008" s="21"/>
    </row>
    <row r="6009" spans="13:13" x14ac:dyDescent="0.25">
      <c r="M6009" s="21"/>
    </row>
    <row r="6010" spans="13:13" x14ac:dyDescent="0.25">
      <c r="M6010" s="21"/>
    </row>
    <row r="6011" spans="13:13" x14ac:dyDescent="0.25">
      <c r="M6011" s="21"/>
    </row>
    <row r="6012" spans="13:13" x14ac:dyDescent="0.25">
      <c r="M6012" s="21"/>
    </row>
    <row r="6013" spans="13:13" x14ac:dyDescent="0.25">
      <c r="M6013" s="21"/>
    </row>
    <row r="6014" spans="13:13" x14ac:dyDescent="0.25">
      <c r="M6014" s="21"/>
    </row>
    <row r="6015" spans="13:13" x14ac:dyDescent="0.25">
      <c r="M6015" s="21"/>
    </row>
    <row r="6016" spans="13:13" x14ac:dyDescent="0.25">
      <c r="M6016" s="21"/>
    </row>
    <row r="6017" spans="13:13" x14ac:dyDescent="0.25">
      <c r="M6017" s="21"/>
    </row>
    <row r="6018" spans="13:13" x14ac:dyDescent="0.25">
      <c r="M6018" s="21"/>
    </row>
    <row r="6019" spans="13:13" x14ac:dyDescent="0.25">
      <c r="M6019" s="21"/>
    </row>
    <row r="6020" spans="13:13" x14ac:dyDescent="0.25">
      <c r="M6020" s="21"/>
    </row>
    <row r="6021" spans="13:13" x14ac:dyDescent="0.25">
      <c r="M6021" s="21"/>
    </row>
    <row r="6022" spans="13:13" x14ac:dyDescent="0.25">
      <c r="M6022" s="21"/>
    </row>
    <row r="6023" spans="13:13" x14ac:dyDescent="0.25">
      <c r="M6023" s="21"/>
    </row>
    <row r="6024" spans="13:13" x14ac:dyDescent="0.25">
      <c r="M6024" s="21"/>
    </row>
    <row r="6025" spans="13:13" x14ac:dyDescent="0.25">
      <c r="M6025" s="21"/>
    </row>
    <row r="6026" spans="13:13" x14ac:dyDescent="0.25">
      <c r="M6026" s="21"/>
    </row>
    <row r="6027" spans="13:13" x14ac:dyDescent="0.25">
      <c r="M6027" s="21"/>
    </row>
    <row r="6028" spans="13:13" x14ac:dyDescent="0.25">
      <c r="M6028" s="21"/>
    </row>
    <row r="6029" spans="13:13" x14ac:dyDescent="0.25">
      <c r="M6029" s="21"/>
    </row>
    <row r="6030" spans="13:13" x14ac:dyDescent="0.25">
      <c r="M6030" s="21"/>
    </row>
    <row r="6031" spans="13:13" x14ac:dyDescent="0.25">
      <c r="M6031" s="21"/>
    </row>
    <row r="6032" spans="13:13" x14ac:dyDescent="0.25">
      <c r="M6032" s="21"/>
    </row>
    <row r="6033" spans="13:13" x14ac:dyDescent="0.25">
      <c r="M6033" s="21"/>
    </row>
    <row r="6034" spans="13:13" x14ac:dyDescent="0.25">
      <c r="M6034" s="21"/>
    </row>
    <row r="6035" spans="13:13" x14ac:dyDescent="0.25">
      <c r="M6035" s="21"/>
    </row>
    <row r="6036" spans="13:13" x14ac:dyDescent="0.25">
      <c r="M6036" s="21"/>
    </row>
    <row r="6037" spans="13:13" x14ac:dyDescent="0.25">
      <c r="M6037" s="21"/>
    </row>
    <row r="6038" spans="13:13" x14ac:dyDescent="0.25">
      <c r="M6038" s="21"/>
    </row>
    <row r="6039" spans="13:13" x14ac:dyDescent="0.25">
      <c r="M6039" s="21"/>
    </row>
    <row r="6040" spans="13:13" x14ac:dyDescent="0.25">
      <c r="M6040" s="21"/>
    </row>
    <row r="6041" spans="13:13" x14ac:dyDescent="0.25">
      <c r="M6041" s="21"/>
    </row>
    <row r="6042" spans="13:13" x14ac:dyDescent="0.25">
      <c r="M6042" s="21"/>
    </row>
    <row r="6043" spans="13:13" x14ac:dyDescent="0.25">
      <c r="M6043" s="21"/>
    </row>
    <row r="6044" spans="13:13" x14ac:dyDescent="0.25">
      <c r="M6044" s="21"/>
    </row>
    <row r="6045" spans="13:13" x14ac:dyDescent="0.25">
      <c r="M6045" s="21"/>
    </row>
    <row r="6046" spans="13:13" x14ac:dyDescent="0.25">
      <c r="M6046" s="21"/>
    </row>
    <row r="6047" spans="13:13" x14ac:dyDescent="0.25">
      <c r="M6047" s="21"/>
    </row>
    <row r="6048" spans="13:13" x14ac:dyDescent="0.25">
      <c r="M6048" s="21"/>
    </row>
    <row r="6049" spans="13:13" x14ac:dyDescent="0.25">
      <c r="M6049" s="21"/>
    </row>
    <row r="6050" spans="13:13" x14ac:dyDescent="0.25">
      <c r="M6050" s="21"/>
    </row>
    <row r="6051" spans="13:13" x14ac:dyDescent="0.25">
      <c r="M6051" s="21"/>
    </row>
    <row r="6052" spans="13:13" x14ac:dyDescent="0.25">
      <c r="M6052" s="21"/>
    </row>
    <row r="6053" spans="13:13" x14ac:dyDescent="0.25">
      <c r="M6053" s="21"/>
    </row>
    <row r="6054" spans="13:13" x14ac:dyDescent="0.25">
      <c r="M6054" s="21"/>
    </row>
    <row r="6055" spans="13:13" x14ac:dyDescent="0.25">
      <c r="M6055" s="21"/>
    </row>
    <row r="6056" spans="13:13" x14ac:dyDescent="0.25">
      <c r="M6056" s="21"/>
    </row>
    <row r="6057" spans="13:13" x14ac:dyDescent="0.25">
      <c r="M6057" s="21"/>
    </row>
    <row r="6058" spans="13:13" x14ac:dyDescent="0.25">
      <c r="M6058" s="21"/>
    </row>
    <row r="6059" spans="13:13" x14ac:dyDescent="0.25">
      <c r="M6059" s="21"/>
    </row>
    <row r="6060" spans="13:13" x14ac:dyDescent="0.25">
      <c r="M6060" s="21"/>
    </row>
    <row r="6061" spans="13:13" x14ac:dyDescent="0.25">
      <c r="M6061" s="21"/>
    </row>
    <row r="6062" spans="13:13" x14ac:dyDescent="0.25">
      <c r="M6062" s="21"/>
    </row>
    <row r="6063" spans="13:13" x14ac:dyDescent="0.25">
      <c r="M6063" s="21"/>
    </row>
    <row r="6064" spans="13:13" x14ac:dyDescent="0.25">
      <c r="M6064" s="21"/>
    </row>
    <row r="6065" spans="13:13" x14ac:dyDescent="0.25">
      <c r="M6065" s="21"/>
    </row>
    <row r="6066" spans="13:13" x14ac:dyDescent="0.25">
      <c r="M6066" s="21"/>
    </row>
    <row r="6067" spans="13:13" x14ac:dyDescent="0.25">
      <c r="M6067" s="21"/>
    </row>
    <row r="6068" spans="13:13" x14ac:dyDescent="0.25">
      <c r="M6068" s="21"/>
    </row>
    <row r="6069" spans="13:13" x14ac:dyDescent="0.25">
      <c r="M6069" s="21"/>
    </row>
    <row r="6070" spans="13:13" x14ac:dyDescent="0.25">
      <c r="M6070" s="21"/>
    </row>
    <row r="6071" spans="13:13" x14ac:dyDescent="0.25">
      <c r="M6071" s="21"/>
    </row>
    <row r="6072" spans="13:13" x14ac:dyDescent="0.25">
      <c r="M6072" s="21"/>
    </row>
    <row r="6073" spans="13:13" x14ac:dyDescent="0.25">
      <c r="M6073" s="21"/>
    </row>
    <row r="6074" spans="13:13" x14ac:dyDescent="0.25">
      <c r="M6074" s="21"/>
    </row>
    <row r="6075" spans="13:13" x14ac:dyDescent="0.25">
      <c r="M6075" s="21"/>
    </row>
    <row r="6076" spans="13:13" x14ac:dyDescent="0.25">
      <c r="M6076" s="21"/>
    </row>
    <row r="6077" spans="13:13" x14ac:dyDescent="0.25">
      <c r="M6077" s="21"/>
    </row>
    <row r="6078" spans="13:13" x14ac:dyDescent="0.25">
      <c r="M6078" s="21"/>
    </row>
    <row r="6079" spans="13:13" x14ac:dyDescent="0.25">
      <c r="M6079" s="21"/>
    </row>
    <row r="6080" spans="13:13" x14ac:dyDescent="0.25">
      <c r="M6080" s="21"/>
    </row>
    <row r="6081" spans="13:13" x14ac:dyDescent="0.25">
      <c r="M6081" s="21"/>
    </row>
    <row r="6082" spans="13:13" x14ac:dyDescent="0.25">
      <c r="M6082" s="21"/>
    </row>
    <row r="6083" spans="13:13" x14ac:dyDescent="0.25">
      <c r="M6083" s="21"/>
    </row>
    <row r="6084" spans="13:13" x14ac:dyDescent="0.25">
      <c r="M6084" s="21"/>
    </row>
    <row r="6085" spans="13:13" x14ac:dyDescent="0.25">
      <c r="M6085" s="21"/>
    </row>
    <row r="6086" spans="13:13" x14ac:dyDescent="0.25">
      <c r="M6086" s="21"/>
    </row>
    <row r="6087" spans="13:13" x14ac:dyDescent="0.25">
      <c r="M6087" s="21"/>
    </row>
    <row r="6088" spans="13:13" x14ac:dyDescent="0.25">
      <c r="M6088" s="21"/>
    </row>
    <row r="6089" spans="13:13" x14ac:dyDescent="0.25">
      <c r="M6089" s="21"/>
    </row>
    <row r="6090" spans="13:13" x14ac:dyDescent="0.25">
      <c r="M6090" s="21"/>
    </row>
    <row r="6091" spans="13:13" x14ac:dyDescent="0.25">
      <c r="M6091" s="21"/>
    </row>
    <row r="6092" spans="13:13" x14ac:dyDescent="0.25">
      <c r="M6092" s="21"/>
    </row>
    <row r="6093" spans="13:13" x14ac:dyDescent="0.25">
      <c r="M6093" s="21"/>
    </row>
    <row r="6094" spans="13:13" x14ac:dyDescent="0.25">
      <c r="M6094" s="21"/>
    </row>
    <row r="6095" spans="13:13" x14ac:dyDescent="0.25">
      <c r="M6095" s="21"/>
    </row>
    <row r="6096" spans="13:13" x14ac:dyDescent="0.25">
      <c r="M6096" s="21"/>
    </row>
    <row r="6097" spans="13:13" x14ac:dyDescent="0.25">
      <c r="M6097" s="21"/>
    </row>
    <row r="6098" spans="13:13" x14ac:dyDescent="0.25">
      <c r="M6098" s="21"/>
    </row>
    <row r="6099" spans="13:13" x14ac:dyDescent="0.25">
      <c r="M6099" s="21"/>
    </row>
    <row r="6100" spans="13:13" x14ac:dyDescent="0.25">
      <c r="M6100" s="21"/>
    </row>
    <row r="6101" spans="13:13" x14ac:dyDescent="0.25">
      <c r="M6101" s="21"/>
    </row>
    <row r="6102" spans="13:13" x14ac:dyDescent="0.25">
      <c r="M6102" s="21"/>
    </row>
    <row r="6103" spans="13:13" x14ac:dyDescent="0.25">
      <c r="M6103" s="21"/>
    </row>
    <row r="6104" spans="13:13" x14ac:dyDescent="0.25">
      <c r="M6104" s="21"/>
    </row>
    <row r="6105" spans="13:13" x14ac:dyDescent="0.25">
      <c r="M6105" s="21"/>
    </row>
    <row r="6106" spans="13:13" x14ac:dyDescent="0.25">
      <c r="M6106" s="21"/>
    </row>
    <row r="6107" spans="13:13" x14ac:dyDescent="0.25">
      <c r="M6107" s="21"/>
    </row>
    <row r="6108" spans="13:13" x14ac:dyDescent="0.25">
      <c r="M6108" s="21"/>
    </row>
    <row r="6109" spans="13:13" x14ac:dyDescent="0.25">
      <c r="M6109" s="21"/>
    </row>
    <row r="6110" spans="13:13" x14ac:dyDescent="0.25">
      <c r="M6110" s="21"/>
    </row>
    <row r="6111" spans="13:13" x14ac:dyDescent="0.25">
      <c r="M6111" s="21"/>
    </row>
    <row r="6112" spans="13:13" x14ac:dyDescent="0.25">
      <c r="M6112" s="21"/>
    </row>
    <row r="6113" spans="13:13" x14ac:dyDescent="0.25">
      <c r="M6113" s="21"/>
    </row>
    <row r="6114" spans="13:13" x14ac:dyDescent="0.25">
      <c r="M6114" s="21"/>
    </row>
    <row r="6115" spans="13:13" x14ac:dyDescent="0.25">
      <c r="M6115" s="21"/>
    </row>
    <row r="6116" spans="13:13" x14ac:dyDescent="0.25">
      <c r="M6116" s="21"/>
    </row>
    <row r="6117" spans="13:13" x14ac:dyDescent="0.25">
      <c r="M6117" s="21"/>
    </row>
    <row r="6118" spans="13:13" x14ac:dyDescent="0.25">
      <c r="M6118" s="21"/>
    </row>
    <row r="6119" spans="13:13" x14ac:dyDescent="0.25">
      <c r="M6119" s="21"/>
    </row>
    <row r="6120" spans="13:13" x14ac:dyDescent="0.25">
      <c r="M6120" s="21"/>
    </row>
    <row r="6121" spans="13:13" x14ac:dyDescent="0.25">
      <c r="M6121" s="21"/>
    </row>
    <row r="6122" spans="13:13" x14ac:dyDescent="0.25">
      <c r="M6122" s="21"/>
    </row>
    <row r="6123" spans="13:13" x14ac:dyDescent="0.25">
      <c r="M6123" s="21"/>
    </row>
    <row r="6124" spans="13:13" x14ac:dyDescent="0.25">
      <c r="M6124" s="21"/>
    </row>
    <row r="6125" spans="13:13" x14ac:dyDescent="0.25">
      <c r="M6125" s="21"/>
    </row>
    <row r="6126" spans="13:13" x14ac:dyDescent="0.25">
      <c r="M6126" s="21"/>
    </row>
    <row r="6127" spans="13:13" x14ac:dyDescent="0.25">
      <c r="M6127" s="21"/>
    </row>
    <row r="6128" spans="13:13" x14ac:dyDescent="0.25">
      <c r="M6128" s="21"/>
    </row>
    <row r="6129" spans="13:13" x14ac:dyDescent="0.25">
      <c r="M6129" s="21"/>
    </row>
    <row r="6130" spans="13:13" x14ac:dyDescent="0.25">
      <c r="M6130" s="21"/>
    </row>
    <row r="6131" spans="13:13" x14ac:dyDescent="0.25">
      <c r="M6131" s="21"/>
    </row>
    <row r="6132" spans="13:13" x14ac:dyDescent="0.25">
      <c r="M6132" s="21"/>
    </row>
    <row r="6133" spans="13:13" x14ac:dyDescent="0.25">
      <c r="M6133" s="21"/>
    </row>
    <row r="6134" spans="13:13" x14ac:dyDescent="0.25">
      <c r="M6134" s="21"/>
    </row>
    <row r="6135" spans="13:13" x14ac:dyDescent="0.25">
      <c r="M6135" s="21"/>
    </row>
    <row r="6136" spans="13:13" x14ac:dyDescent="0.25">
      <c r="M6136" s="21"/>
    </row>
    <row r="6137" spans="13:13" x14ac:dyDescent="0.25">
      <c r="M6137" s="21"/>
    </row>
    <row r="6138" spans="13:13" x14ac:dyDescent="0.25">
      <c r="M6138" s="21"/>
    </row>
    <row r="6139" spans="13:13" x14ac:dyDescent="0.25">
      <c r="M6139" s="21"/>
    </row>
    <row r="6140" spans="13:13" x14ac:dyDescent="0.25">
      <c r="M6140" s="21"/>
    </row>
    <row r="6141" spans="13:13" x14ac:dyDescent="0.25">
      <c r="M6141" s="21"/>
    </row>
    <row r="6142" spans="13:13" x14ac:dyDescent="0.25">
      <c r="M6142" s="21"/>
    </row>
    <row r="6143" spans="13:13" x14ac:dyDescent="0.25">
      <c r="M6143" s="21"/>
    </row>
    <row r="6144" spans="13:13" x14ac:dyDescent="0.25">
      <c r="M6144" s="21"/>
    </row>
    <row r="6145" spans="13:13" x14ac:dyDescent="0.25">
      <c r="M6145" s="21"/>
    </row>
    <row r="6146" spans="13:13" x14ac:dyDescent="0.25">
      <c r="M6146" s="21"/>
    </row>
    <row r="6147" spans="13:13" x14ac:dyDescent="0.25">
      <c r="M6147" s="21"/>
    </row>
    <row r="6148" spans="13:13" x14ac:dyDescent="0.25">
      <c r="M6148" s="21"/>
    </row>
    <row r="6149" spans="13:13" x14ac:dyDescent="0.25">
      <c r="M6149" s="21"/>
    </row>
    <row r="6150" spans="13:13" x14ac:dyDescent="0.25">
      <c r="M6150" s="21"/>
    </row>
    <row r="6151" spans="13:13" x14ac:dyDescent="0.25">
      <c r="M6151" s="21"/>
    </row>
    <row r="6152" spans="13:13" x14ac:dyDescent="0.25">
      <c r="M6152" s="21"/>
    </row>
    <row r="6153" spans="13:13" x14ac:dyDescent="0.25">
      <c r="M6153" s="21"/>
    </row>
    <row r="6154" spans="13:13" x14ac:dyDescent="0.25">
      <c r="M6154" s="21"/>
    </row>
    <row r="6155" spans="13:13" x14ac:dyDescent="0.25">
      <c r="M6155" s="21"/>
    </row>
    <row r="6156" spans="13:13" x14ac:dyDescent="0.25">
      <c r="M6156" s="21"/>
    </row>
    <row r="6157" spans="13:13" x14ac:dyDescent="0.25">
      <c r="M6157" s="21"/>
    </row>
    <row r="6158" spans="13:13" x14ac:dyDescent="0.25">
      <c r="M6158" s="21"/>
    </row>
    <row r="6159" spans="13:13" x14ac:dyDescent="0.25">
      <c r="M6159" s="21"/>
    </row>
    <row r="6160" spans="13:13" x14ac:dyDescent="0.25">
      <c r="M6160" s="21"/>
    </row>
    <row r="6161" spans="13:13" x14ac:dyDescent="0.25">
      <c r="M6161" s="21"/>
    </row>
    <row r="6162" spans="13:13" x14ac:dyDescent="0.25">
      <c r="M6162" s="21"/>
    </row>
    <row r="6163" spans="13:13" x14ac:dyDescent="0.25">
      <c r="M6163" s="21"/>
    </row>
    <row r="6164" spans="13:13" x14ac:dyDescent="0.25">
      <c r="M6164" s="21"/>
    </row>
    <row r="6165" spans="13:13" x14ac:dyDescent="0.25">
      <c r="M6165" s="21"/>
    </row>
    <row r="6166" spans="13:13" x14ac:dyDescent="0.25">
      <c r="M6166" s="21"/>
    </row>
    <row r="6167" spans="13:13" x14ac:dyDescent="0.25">
      <c r="M6167" s="21"/>
    </row>
    <row r="6168" spans="13:13" x14ac:dyDescent="0.25">
      <c r="M6168" s="21"/>
    </row>
    <row r="6169" spans="13:13" x14ac:dyDescent="0.25">
      <c r="M6169" s="21"/>
    </row>
    <row r="6170" spans="13:13" x14ac:dyDescent="0.25">
      <c r="M6170" s="21"/>
    </row>
    <row r="6171" spans="13:13" x14ac:dyDescent="0.25">
      <c r="M6171" s="21"/>
    </row>
    <row r="6172" spans="13:13" x14ac:dyDescent="0.25">
      <c r="M6172" s="21"/>
    </row>
    <row r="6173" spans="13:13" x14ac:dyDescent="0.25">
      <c r="M6173" s="21"/>
    </row>
    <row r="6174" spans="13:13" x14ac:dyDescent="0.25">
      <c r="M6174" s="21"/>
    </row>
    <row r="6175" spans="13:13" x14ac:dyDescent="0.25">
      <c r="M6175" s="21"/>
    </row>
    <row r="6176" spans="13:13" x14ac:dyDescent="0.25">
      <c r="M6176" s="21"/>
    </row>
    <row r="6177" spans="13:13" x14ac:dyDescent="0.25">
      <c r="M6177" s="21"/>
    </row>
    <row r="6178" spans="13:13" x14ac:dyDescent="0.25">
      <c r="M6178" s="21"/>
    </row>
    <row r="6179" spans="13:13" x14ac:dyDescent="0.25">
      <c r="M6179" s="21"/>
    </row>
    <row r="6180" spans="13:13" x14ac:dyDescent="0.25">
      <c r="M6180" s="21"/>
    </row>
    <row r="6181" spans="13:13" x14ac:dyDescent="0.25">
      <c r="M6181" s="21"/>
    </row>
    <row r="6182" spans="13:13" x14ac:dyDescent="0.25">
      <c r="M6182" s="21"/>
    </row>
    <row r="6183" spans="13:13" x14ac:dyDescent="0.25">
      <c r="M6183" s="21"/>
    </row>
    <row r="6184" spans="13:13" x14ac:dyDescent="0.25">
      <c r="M6184" s="21"/>
    </row>
    <row r="6185" spans="13:13" x14ac:dyDescent="0.25">
      <c r="M6185" s="21"/>
    </row>
    <row r="6186" spans="13:13" x14ac:dyDescent="0.25">
      <c r="M6186" s="21"/>
    </row>
    <row r="6187" spans="13:13" x14ac:dyDescent="0.25">
      <c r="M6187" s="21"/>
    </row>
    <row r="6188" spans="13:13" x14ac:dyDescent="0.25">
      <c r="M6188" s="21"/>
    </row>
    <row r="6189" spans="13:13" x14ac:dyDescent="0.25">
      <c r="M6189" s="21"/>
    </row>
    <row r="6190" spans="13:13" x14ac:dyDescent="0.25">
      <c r="M6190" s="21"/>
    </row>
    <row r="6191" spans="13:13" x14ac:dyDescent="0.25">
      <c r="M6191" s="21"/>
    </row>
    <row r="6192" spans="13:13" x14ac:dyDescent="0.25">
      <c r="M6192" s="21"/>
    </row>
    <row r="6193" spans="13:13" x14ac:dyDescent="0.25">
      <c r="M6193" s="21"/>
    </row>
    <row r="6194" spans="13:13" x14ac:dyDescent="0.25">
      <c r="M6194" s="21"/>
    </row>
    <row r="6195" spans="13:13" x14ac:dyDescent="0.25">
      <c r="M6195" s="21"/>
    </row>
    <row r="6196" spans="13:13" x14ac:dyDescent="0.25">
      <c r="M6196" s="21"/>
    </row>
    <row r="6197" spans="13:13" x14ac:dyDescent="0.25">
      <c r="M6197" s="21"/>
    </row>
    <row r="6198" spans="13:13" x14ac:dyDescent="0.25">
      <c r="M6198" s="21"/>
    </row>
    <row r="6199" spans="13:13" x14ac:dyDescent="0.25">
      <c r="M6199" s="21"/>
    </row>
    <row r="6200" spans="13:13" x14ac:dyDescent="0.25">
      <c r="M6200" s="21"/>
    </row>
    <row r="6201" spans="13:13" x14ac:dyDescent="0.25">
      <c r="M6201" s="21"/>
    </row>
    <row r="6202" spans="13:13" x14ac:dyDescent="0.25">
      <c r="M6202" s="21"/>
    </row>
    <row r="6203" spans="13:13" x14ac:dyDescent="0.25">
      <c r="M6203" s="21"/>
    </row>
    <row r="6204" spans="13:13" x14ac:dyDescent="0.25">
      <c r="M6204" s="21"/>
    </row>
    <row r="6205" spans="13:13" x14ac:dyDescent="0.25">
      <c r="M6205" s="21"/>
    </row>
    <row r="6206" spans="13:13" x14ac:dyDescent="0.25">
      <c r="M6206" s="21"/>
    </row>
    <row r="6207" spans="13:13" x14ac:dyDescent="0.25">
      <c r="M6207" s="21"/>
    </row>
    <row r="6208" spans="13:13" x14ac:dyDescent="0.25">
      <c r="M6208" s="21"/>
    </row>
    <row r="6209" spans="13:13" x14ac:dyDescent="0.25">
      <c r="M6209" s="21"/>
    </row>
    <row r="6210" spans="13:13" x14ac:dyDescent="0.25">
      <c r="M6210" s="21"/>
    </row>
    <row r="6211" spans="13:13" x14ac:dyDescent="0.25">
      <c r="M6211" s="21"/>
    </row>
    <row r="6212" spans="13:13" x14ac:dyDescent="0.25">
      <c r="M6212" s="21"/>
    </row>
    <row r="6213" spans="13:13" x14ac:dyDescent="0.25">
      <c r="M6213" s="21"/>
    </row>
    <row r="6214" spans="13:13" x14ac:dyDescent="0.25">
      <c r="M6214" s="21"/>
    </row>
    <row r="6215" spans="13:13" x14ac:dyDescent="0.25">
      <c r="M6215" s="21"/>
    </row>
    <row r="6216" spans="13:13" x14ac:dyDescent="0.25">
      <c r="M6216" s="21"/>
    </row>
    <row r="6217" spans="13:13" x14ac:dyDescent="0.25">
      <c r="M6217" s="21"/>
    </row>
    <row r="6218" spans="13:13" x14ac:dyDescent="0.25">
      <c r="M6218" s="21"/>
    </row>
    <row r="6219" spans="13:13" x14ac:dyDescent="0.25">
      <c r="M6219" s="21"/>
    </row>
    <row r="6220" spans="13:13" x14ac:dyDescent="0.25">
      <c r="M6220" s="21"/>
    </row>
    <row r="6221" spans="13:13" x14ac:dyDescent="0.25">
      <c r="M6221" s="21"/>
    </row>
    <row r="6222" spans="13:13" x14ac:dyDescent="0.25">
      <c r="M6222" s="21"/>
    </row>
    <row r="6223" spans="13:13" x14ac:dyDescent="0.25">
      <c r="M6223" s="21"/>
    </row>
    <row r="6224" spans="13:13" x14ac:dyDescent="0.25">
      <c r="M6224" s="21"/>
    </row>
    <row r="6225" spans="13:13" x14ac:dyDescent="0.25">
      <c r="M6225" s="21"/>
    </row>
    <row r="6226" spans="13:13" x14ac:dyDescent="0.25">
      <c r="M6226" s="21"/>
    </row>
    <row r="6227" spans="13:13" x14ac:dyDescent="0.25">
      <c r="M6227" s="21"/>
    </row>
    <row r="6228" spans="13:13" x14ac:dyDescent="0.25">
      <c r="M6228" s="21"/>
    </row>
    <row r="6229" spans="13:13" x14ac:dyDescent="0.25">
      <c r="M6229" s="21"/>
    </row>
    <row r="6230" spans="13:13" x14ac:dyDescent="0.25">
      <c r="M6230" s="21"/>
    </row>
    <row r="6231" spans="13:13" x14ac:dyDescent="0.25">
      <c r="M6231" s="21"/>
    </row>
    <row r="6232" spans="13:13" x14ac:dyDescent="0.25">
      <c r="M6232" s="21"/>
    </row>
    <row r="6233" spans="13:13" x14ac:dyDescent="0.25">
      <c r="M6233" s="21"/>
    </row>
    <row r="6234" spans="13:13" x14ac:dyDescent="0.25">
      <c r="M6234" s="21"/>
    </row>
    <row r="6235" spans="13:13" x14ac:dyDescent="0.25">
      <c r="M6235" s="21"/>
    </row>
    <row r="6236" spans="13:13" x14ac:dyDescent="0.25">
      <c r="M6236" s="21"/>
    </row>
    <row r="6237" spans="13:13" x14ac:dyDescent="0.25">
      <c r="M6237" s="21"/>
    </row>
    <row r="6238" spans="13:13" x14ac:dyDescent="0.25">
      <c r="M6238" s="21"/>
    </row>
    <row r="6239" spans="13:13" x14ac:dyDescent="0.25">
      <c r="M6239" s="21"/>
    </row>
    <row r="6240" spans="13:13" x14ac:dyDescent="0.25">
      <c r="M6240" s="21"/>
    </row>
    <row r="6241" spans="13:13" x14ac:dyDescent="0.25">
      <c r="M6241" s="21"/>
    </row>
    <row r="6242" spans="13:13" x14ac:dyDescent="0.25">
      <c r="M6242" s="21"/>
    </row>
    <row r="6243" spans="13:13" x14ac:dyDescent="0.25">
      <c r="M6243" s="21"/>
    </row>
    <row r="6244" spans="13:13" x14ac:dyDescent="0.25">
      <c r="M6244" s="21"/>
    </row>
    <row r="6245" spans="13:13" x14ac:dyDescent="0.25">
      <c r="M6245" s="21"/>
    </row>
    <row r="6246" spans="13:13" x14ac:dyDescent="0.25">
      <c r="M6246" s="21"/>
    </row>
    <row r="6247" spans="13:13" x14ac:dyDescent="0.25">
      <c r="M6247" s="21"/>
    </row>
    <row r="6248" spans="13:13" x14ac:dyDescent="0.25">
      <c r="M6248" s="21"/>
    </row>
    <row r="6249" spans="13:13" x14ac:dyDescent="0.25">
      <c r="M6249" s="21"/>
    </row>
    <row r="6250" spans="13:13" x14ac:dyDescent="0.25">
      <c r="M6250" s="21"/>
    </row>
    <row r="6251" spans="13:13" x14ac:dyDescent="0.25">
      <c r="M6251" s="21"/>
    </row>
    <row r="6252" spans="13:13" x14ac:dyDescent="0.25">
      <c r="M6252" s="21"/>
    </row>
    <row r="6253" spans="13:13" x14ac:dyDescent="0.25">
      <c r="M6253" s="21"/>
    </row>
    <row r="6254" spans="13:13" x14ac:dyDescent="0.25">
      <c r="M6254" s="21"/>
    </row>
    <row r="6255" spans="13:13" x14ac:dyDescent="0.25">
      <c r="M6255" s="21"/>
    </row>
    <row r="6256" spans="13:13" x14ac:dyDescent="0.25">
      <c r="M6256" s="21"/>
    </row>
    <row r="6257" spans="13:13" x14ac:dyDescent="0.25">
      <c r="M6257" s="21"/>
    </row>
    <row r="6258" spans="13:13" x14ac:dyDescent="0.25">
      <c r="M6258" s="21"/>
    </row>
    <row r="6259" spans="13:13" x14ac:dyDescent="0.25">
      <c r="M6259" s="21"/>
    </row>
    <row r="6260" spans="13:13" x14ac:dyDescent="0.25">
      <c r="M6260" s="21"/>
    </row>
    <row r="6261" spans="13:13" x14ac:dyDescent="0.25">
      <c r="M6261" s="21"/>
    </row>
    <row r="6262" spans="13:13" x14ac:dyDescent="0.25">
      <c r="M6262" s="21"/>
    </row>
    <row r="6263" spans="13:13" x14ac:dyDescent="0.25">
      <c r="M6263" s="21"/>
    </row>
    <row r="6264" spans="13:13" x14ac:dyDescent="0.25">
      <c r="M6264" s="21"/>
    </row>
    <row r="6265" spans="13:13" x14ac:dyDescent="0.25">
      <c r="M6265" s="21"/>
    </row>
    <row r="6266" spans="13:13" x14ac:dyDescent="0.25">
      <c r="M6266" s="21"/>
    </row>
    <row r="6267" spans="13:13" x14ac:dyDescent="0.25">
      <c r="M6267" s="21"/>
    </row>
    <row r="6268" spans="13:13" x14ac:dyDescent="0.25">
      <c r="M6268" s="21"/>
    </row>
    <row r="6269" spans="13:13" x14ac:dyDescent="0.25">
      <c r="M6269" s="21"/>
    </row>
    <row r="6270" spans="13:13" x14ac:dyDescent="0.25">
      <c r="M6270" s="21"/>
    </row>
    <row r="6271" spans="13:13" x14ac:dyDescent="0.25">
      <c r="M6271" s="21"/>
    </row>
    <row r="6272" spans="13:13" x14ac:dyDescent="0.25">
      <c r="M6272" s="21"/>
    </row>
    <row r="6273" spans="13:13" x14ac:dyDescent="0.25">
      <c r="M6273" s="21"/>
    </row>
    <row r="6274" spans="13:13" x14ac:dyDescent="0.25">
      <c r="M6274" s="21"/>
    </row>
    <row r="6275" spans="13:13" x14ac:dyDescent="0.25">
      <c r="M6275" s="21"/>
    </row>
    <row r="6276" spans="13:13" x14ac:dyDescent="0.25">
      <c r="M6276" s="21"/>
    </row>
    <row r="6277" spans="13:13" x14ac:dyDescent="0.25">
      <c r="M6277" s="21"/>
    </row>
    <row r="6278" spans="13:13" x14ac:dyDescent="0.25">
      <c r="M6278" s="21"/>
    </row>
    <row r="6279" spans="13:13" x14ac:dyDescent="0.25">
      <c r="M6279" s="21"/>
    </row>
    <row r="6280" spans="13:13" x14ac:dyDescent="0.25">
      <c r="M6280" s="21"/>
    </row>
    <row r="6281" spans="13:13" x14ac:dyDescent="0.25">
      <c r="M6281" s="21"/>
    </row>
    <row r="6282" spans="13:13" x14ac:dyDescent="0.25">
      <c r="M6282" s="21"/>
    </row>
    <row r="6283" spans="13:13" x14ac:dyDescent="0.25">
      <c r="M6283" s="21"/>
    </row>
    <row r="6284" spans="13:13" x14ac:dyDescent="0.25">
      <c r="M6284" s="21"/>
    </row>
    <row r="6285" spans="13:13" x14ac:dyDescent="0.25">
      <c r="M6285" s="21"/>
    </row>
    <row r="6286" spans="13:13" x14ac:dyDescent="0.25">
      <c r="M6286" s="21"/>
    </row>
    <row r="6287" spans="13:13" x14ac:dyDescent="0.25">
      <c r="M6287" s="21"/>
    </row>
    <row r="6288" spans="13:13" x14ac:dyDescent="0.25">
      <c r="M6288" s="21"/>
    </row>
    <row r="6289" spans="13:13" x14ac:dyDescent="0.25">
      <c r="M6289" s="21"/>
    </row>
    <row r="6290" spans="13:13" x14ac:dyDescent="0.25">
      <c r="M6290" s="21"/>
    </row>
    <row r="6291" spans="13:13" x14ac:dyDescent="0.25">
      <c r="M6291" s="21"/>
    </row>
    <row r="6292" spans="13:13" x14ac:dyDescent="0.25">
      <c r="M6292" s="21"/>
    </row>
    <row r="6293" spans="13:13" x14ac:dyDescent="0.25">
      <c r="M6293" s="21"/>
    </row>
    <row r="6294" spans="13:13" x14ac:dyDescent="0.25">
      <c r="M6294" s="21"/>
    </row>
    <row r="6295" spans="13:13" x14ac:dyDescent="0.25">
      <c r="M6295" s="21"/>
    </row>
    <row r="6296" spans="13:13" x14ac:dyDescent="0.25">
      <c r="M6296" s="21"/>
    </row>
    <row r="6297" spans="13:13" x14ac:dyDescent="0.25">
      <c r="M6297" s="21"/>
    </row>
    <row r="6298" spans="13:13" x14ac:dyDescent="0.25">
      <c r="M6298" s="21"/>
    </row>
    <row r="6299" spans="13:13" x14ac:dyDescent="0.25">
      <c r="M6299" s="21"/>
    </row>
    <row r="6300" spans="13:13" x14ac:dyDescent="0.25">
      <c r="M6300" s="21"/>
    </row>
    <row r="6301" spans="13:13" x14ac:dyDescent="0.25">
      <c r="M6301" s="21"/>
    </row>
    <row r="6302" spans="13:13" x14ac:dyDescent="0.25">
      <c r="M6302" s="21"/>
    </row>
    <row r="6303" spans="13:13" x14ac:dyDescent="0.25">
      <c r="M6303" s="21"/>
    </row>
    <row r="6304" spans="13:13" x14ac:dyDescent="0.25">
      <c r="M6304" s="21"/>
    </row>
    <row r="6305" spans="13:13" x14ac:dyDescent="0.25">
      <c r="M6305" s="21"/>
    </row>
    <row r="6306" spans="13:13" x14ac:dyDescent="0.25">
      <c r="M6306" s="21"/>
    </row>
    <row r="6307" spans="13:13" x14ac:dyDescent="0.25">
      <c r="M6307" s="21"/>
    </row>
    <row r="6308" spans="13:13" x14ac:dyDescent="0.25">
      <c r="M6308" s="21"/>
    </row>
    <row r="6309" spans="13:13" x14ac:dyDescent="0.25">
      <c r="M6309" s="21"/>
    </row>
    <row r="6310" spans="13:13" x14ac:dyDescent="0.25">
      <c r="M6310" s="21"/>
    </row>
    <row r="6311" spans="13:13" x14ac:dyDescent="0.25">
      <c r="M6311" s="21"/>
    </row>
    <row r="6312" spans="13:13" x14ac:dyDescent="0.25">
      <c r="M6312" s="21"/>
    </row>
    <row r="6313" spans="13:13" x14ac:dyDescent="0.25">
      <c r="M6313" s="21"/>
    </row>
    <row r="6314" spans="13:13" x14ac:dyDescent="0.25">
      <c r="M6314" s="21"/>
    </row>
    <row r="6315" spans="13:13" x14ac:dyDescent="0.25">
      <c r="M6315" s="21"/>
    </row>
    <row r="6316" spans="13:13" x14ac:dyDescent="0.25">
      <c r="M6316" s="21"/>
    </row>
    <row r="6317" spans="13:13" x14ac:dyDescent="0.25">
      <c r="M6317" s="21"/>
    </row>
    <row r="6318" spans="13:13" x14ac:dyDescent="0.25">
      <c r="M6318" s="21"/>
    </row>
    <row r="6319" spans="13:13" x14ac:dyDescent="0.25">
      <c r="M6319" s="21"/>
    </row>
    <row r="6320" spans="13:13" x14ac:dyDescent="0.25">
      <c r="M6320" s="21"/>
    </row>
    <row r="6321" spans="13:13" x14ac:dyDescent="0.25">
      <c r="M6321" s="21"/>
    </row>
    <row r="6322" spans="13:13" x14ac:dyDescent="0.25">
      <c r="M6322" s="21"/>
    </row>
    <row r="6323" spans="13:13" x14ac:dyDescent="0.25">
      <c r="M6323" s="21"/>
    </row>
    <row r="6324" spans="13:13" x14ac:dyDescent="0.25">
      <c r="M6324" s="21"/>
    </row>
    <row r="6325" spans="13:13" x14ac:dyDescent="0.25">
      <c r="M6325" s="21"/>
    </row>
    <row r="6326" spans="13:13" x14ac:dyDescent="0.25">
      <c r="M6326" s="21"/>
    </row>
    <row r="6327" spans="13:13" x14ac:dyDescent="0.25">
      <c r="M6327" s="21"/>
    </row>
    <row r="6328" spans="13:13" x14ac:dyDescent="0.25">
      <c r="M6328" s="21"/>
    </row>
    <row r="6329" spans="13:13" x14ac:dyDescent="0.25">
      <c r="M6329" s="21"/>
    </row>
    <row r="6330" spans="13:13" x14ac:dyDescent="0.25">
      <c r="M6330" s="21"/>
    </row>
    <row r="6331" spans="13:13" x14ac:dyDescent="0.25">
      <c r="M6331" s="21"/>
    </row>
    <row r="6332" spans="13:13" x14ac:dyDescent="0.25">
      <c r="M6332" s="21"/>
    </row>
    <row r="6333" spans="13:13" x14ac:dyDescent="0.25">
      <c r="M6333" s="21"/>
    </row>
    <row r="6334" spans="13:13" x14ac:dyDescent="0.25">
      <c r="M6334" s="21"/>
    </row>
    <row r="6335" spans="13:13" x14ac:dyDescent="0.25">
      <c r="M6335" s="21"/>
    </row>
    <row r="6336" spans="13:13" x14ac:dyDescent="0.25">
      <c r="M6336" s="21"/>
    </row>
    <row r="6337" spans="13:13" x14ac:dyDescent="0.25">
      <c r="M6337" s="21"/>
    </row>
    <row r="6338" spans="13:13" x14ac:dyDescent="0.25">
      <c r="M6338" s="21"/>
    </row>
    <row r="6339" spans="13:13" x14ac:dyDescent="0.25">
      <c r="M6339" s="21"/>
    </row>
    <row r="6340" spans="13:13" x14ac:dyDescent="0.25">
      <c r="M6340" s="21"/>
    </row>
    <row r="6341" spans="13:13" x14ac:dyDescent="0.25">
      <c r="M6341" s="21"/>
    </row>
    <row r="6342" spans="13:13" x14ac:dyDescent="0.25">
      <c r="M6342" s="21"/>
    </row>
    <row r="6343" spans="13:13" x14ac:dyDescent="0.25">
      <c r="M6343" s="21"/>
    </row>
    <row r="6344" spans="13:13" x14ac:dyDescent="0.25">
      <c r="M6344" s="21"/>
    </row>
    <row r="6345" spans="13:13" x14ac:dyDescent="0.25">
      <c r="M6345" s="21"/>
    </row>
    <row r="6346" spans="13:13" x14ac:dyDescent="0.25">
      <c r="M6346" s="21"/>
    </row>
    <row r="6347" spans="13:13" x14ac:dyDescent="0.25">
      <c r="M6347" s="21"/>
    </row>
    <row r="6348" spans="13:13" x14ac:dyDescent="0.25">
      <c r="M6348" s="21"/>
    </row>
    <row r="6349" spans="13:13" x14ac:dyDescent="0.25">
      <c r="M6349" s="21"/>
    </row>
    <row r="6350" spans="13:13" x14ac:dyDescent="0.25">
      <c r="M6350" s="21"/>
    </row>
    <row r="6351" spans="13:13" x14ac:dyDescent="0.25">
      <c r="M6351" s="21"/>
    </row>
    <row r="6352" spans="13:13" x14ac:dyDescent="0.25">
      <c r="M6352" s="21"/>
    </row>
    <row r="6353" spans="13:13" x14ac:dyDescent="0.25">
      <c r="M6353" s="21"/>
    </row>
    <row r="6354" spans="13:13" x14ac:dyDescent="0.25">
      <c r="M6354" s="21"/>
    </row>
    <row r="6355" spans="13:13" x14ac:dyDescent="0.25">
      <c r="M6355" s="21"/>
    </row>
    <row r="6356" spans="13:13" x14ac:dyDescent="0.25">
      <c r="M6356" s="21"/>
    </row>
    <row r="6357" spans="13:13" x14ac:dyDescent="0.25">
      <c r="M6357" s="21"/>
    </row>
    <row r="6358" spans="13:13" x14ac:dyDescent="0.25">
      <c r="M6358" s="21"/>
    </row>
    <row r="6359" spans="13:13" x14ac:dyDescent="0.25">
      <c r="M6359" s="21"/>
    </row>
    <row r="6360" spans="13:13" x14ac:dyDescent="0.25">
      <c r="M6360" s="21"/>
    </row>
    <row r="6361" spans="13:13" x14ac:dyDescent="0.25">
      <c r="M6361" s="21"/>
    </row>
    <row r="6362" spans="13:13" x14ac:dyDescent="0.25">
      <c r="M6362" s="21"/>
    </row>
    <row r="6363" spans="13:13" x14ac:dyDescent="0.25">
      <c r="M6363" s="21"/>
    </row>
    <row r="6364" spans="13:13" x14ac:dyDescent="0.25">
      <c r="M6364" s="21"/>
    </row>
    <row r="6365" spans="13:13" x14ac:dyDescent="0.25">
      <c r="M6365" s="21"/>
    </row>
    <row r="6366" spans="13:13" x14ac:dyDescent="0.25">
      <c r="M6366" s="21"/>
    </row>
    <row r="6367" spans="13:13" x14ac:dyDescent="0.25">
      <c r="M6367" s="21"/>
    </row>
    <row r="6368" spans="13:13" x14ac:dyDescent="0.25">
      <c r="M6368" s="21"/>
    </row>
    <row r="6369" spans="13:13" x14ac:dyDescent="0.25">
      <c r="M6369" s="21"/>
    </row>
    <row r="6370" spans="13:13" x14ac:dyDescent="0.25">
      <c r="M6370" s="21"/>
    </row>
    <row r="6371" spans="13:13" x14ac:dyDescent="0.25">
      <c r="M6371" s="21"/>
    </row>
    <row r="6372" spans="13:13" x14ac:dyDescent="0.25">
      <c r="M6372" s="21"/>
    </row>
    <row r="6373" spans="13:13" x14ac:dyDescent="0.25">
      <c r="M6373" s="21"/>
    </row>
    <row r="6374" spans="13:13" x14ac:dyDescent="0.25">
      <c r="M6374" s="21"/>
    </row>
    <row r="6375" spans="13:13" x14ac:dyDescent="0.25">
      <c r="M6375" s="21"/>
    </row>
    <row r="6376" spans="13:13" x14ac:dyDescent="0.25">
      <c r="M6376" s="21"/>
    </row>
    <row r="6377" spans="13:13" x14ac:dyDescent="0.25">
      <c r="M6377" s="21"/>
    </row>
    <row r="6378" spans="13:13" x14ac:dyDescent="0.25">
      <c r="M6378" s="21"/>
    </row>
    <row r="6379" spans="13:13" x14ac:dyDescent="0.25">
      <c r="M6379" s="21"/>
    </row>
    <row r="6380" spans="13:13" x14ac:dyDescent="0.25">
      <c r="M6380" s="21"/>
    </row>
    <row r="6381" spans="13:13" x14ac:dyDescent="0.25">
      <c r="M6381" s="21"/>
    </row>
    <row r="6382" spans="13:13" x14ac:dyDescent="0.25">
      <c r="M6382" s="21"/>
    </row>
    <row r="6383" spans="13:13" x14ac:dyDescent="0.25">
      <c r="M6383" s="21"/>
    </row>
    <row r="6384" spans="13:13" x14ac:dyDescent="0.25">
      <c r="M6384" s="21"/>
    </row>
    <row r="6385" spans="13:13" x14ac:dyDescent="0.25">
      <c r="M6385" s="21"/>
    </row>
    <row r="6386" spans="13:13" x14ac:dyDescent="0.25">
      <c r="M6386" s="21"/>
    </row>
    <row r="6387" spans="13:13" x14ac:dyDescent="0.25">
      <c r="M6387" s="21"/>
    </row>
    <row r="6388" spans="13:13" x14ac:dyDescent="0.25">
      <c r="M6388" s="21"/>
    </row>
    <row r="6389" spans="13:13" x14ac:dyDescent="0.25">
      <c r="M6389" s="21"/>
    </row>
    <row r="6390" spans="13:13" x14ac:dyDescent="0.25">
      <c r="M6390" s="21"/>
    </row>
    <row r="6391" spans="13:13" x14ac:dyDescent="0.25">
      <c r="M6391" s="21"/>
    </row>
    <row r="6392" spans="13:13" x14ac:dyDescent="0.25">
      <c r="M6392" s="21"/>
    </row>
    <row r="6393" spans="13:13" x14ac:dyDescent="0.25">
      <c r="M6393" s="21"/>
    </row>
    <row r="6394" spans="13:13" x14ac:dyDescent="0.25">
      <c r="M6394" s="21"/>
    </row>
    <row r="6395" spans="13:13" x14ac:dyDescent="0.25">
      <c r="M6395" s="21"/>
    </row>
    <row r="6396" spans="13:13" x14ac:dyDescent="0.25">
      <c r="M6396" s="21"/>
    </row>
    <row r="6397" spans="13:13" x14ac:dyDescent="0.25">
      <c r="M6397" s="21"/>
    </row>
    <row r="6398" spans="13:13" x14ac:dyDescent="0.25">
      <c r="M6398" s="21"/>
    </row>
    <row r="6399" spans="13:13" x14ac:dyDescent="0.25">
      <c r="M6399" s="21"/>
    </row>
    <row r="6400" spans="13:13" x14ac:dyDescent="0.25">
      <c r="M6400" s="21"/>
    </row>
    <row r="6401" spans="13:13" x14ac:dyDescent="0.25">
      <c r="M6401" s="21"/>
    </row>
    <row r="6402" spans="13:13" x14ac:dyDescent="0.25">
      <c r="M6402" s="21"/>
    </row>
    <row r="6403" spans="13:13" x14ac:dyDescent="0.25">
      <c r="M6403" s="21"/>
    </row>
    <row r="6404" spans="13:13" x14ac:dyDescent="0.25">
      <c r="M6404" s="21"/>
    </row>
    <row r="6405" spans="13:13" x14ac:dyDescent="0.25">
      <c r="M6405" s="21"/>
    </row>
    <row r="6406" spans="13:13" x14ac:dyDescent="0.25">
      <c r="M6406" s="21"/>
    </row>
    <row r="6407" spans="13:13" x14ac:dyDescent="0.25">
      <c r="M6407" s="21"/>
    </row>
    <row r="6408" spans="13:13" x14ac:dyDescent="0.25">
      <c r="M6408" s="21"/>
    </row>
    <row r="6409" spans="13:13" x14ac:dyDescent="0.25">
      <c r="M6409" s="21"/>
    </row>
    <row r="6410" spans="13:13" x14ac:dyDescent="0.25">
      <c r="M6410" s="21"/>
    </row>
    <row r="6411" spans="13:13" x14ac:dyDescent="0.25">
      <c r="M6411" s="21"/>
    </row>
    <row r="6412" spans="13:13" x14ac:dyDescent="0.25">
      <c r="M6412" s="21"/>
    </row>
    <row r="6413" spans="13:13" x14ac:dyDescent="0.25">
      <c r="M6413" s="21"/>
    </row>
    <row r="6414" spans="13:13" x14ac:dyDescent="0.25">
      <c r="M6414" s="21"/>
    </row>
    <row r="6415" spans="13:13" x14ac:dyDescent="0.25">
      <c r="M6415" s="21"/>
    </row>
    <row r="6416" spans="13:13" x14ac:dyDescent="0.25">
      <c r="M6416" s="21"/>
    </row>
    <row r="6417" spans="13:13" x14ac:dyDescent="0.25">
      <c r="M6417" s="21"/>
    </row>
    <row r="6418" spans="13:13" x14ac:dyDescent="0.25">
      <c r="M6418" s="21"/>
    </row>
    <row r="6419" spans="13:13" x14ac:dyDescent="0.25">
      <c r="M6419" s="21"/>
    </row>
    <row r="6420" spans="13:13" x14ac:dyDescent="0.25">
      <c r="M6420" s="21"/>
    </row>
    <row r="6421" spans="13:13" x14ac:dyDescent="0.25">
      <c r="M6421" s="21"/>
    </row>
    <row r="6422" spans="13:13" x14ac:dyDescent="0.25">
      <c r="M6422" s="21"/>
    </row>
    <row r="6423" spans="13:13" x14ac:dyDescent="0.25">
      <c r="M6423" s="21"/>
    </row>
    <row r="6424" spans="13:13" x14ac:dyDescent="0.25">
      <c r="M6424" s="21"/>
    </row>
    <row r="6425" spans="13:13" x14ac:dyDescent="0.25">
      <c r="M6425" s="21"/>
    </row>
    <row r="6426" spans="13:13" x14ac:dyDescent="0.25">
      <c r="M6426" s="21"/>
    </row>
    <row r="6427" spans="13:13" x14ac:dyDescent="0.25">
      <c r="M6427" s="21"/>
    </row>
    <row r="6428" spans="13:13" x14ac:dyDescent="0.25">
      <c r="M6428" s="21"/>
    </row>
    <row r="6429" spans="13:13" x14ac:dyDescent="0.25">
      <c r="M6429" s="21"/>
    </row>
    <row r="6430" spans="13:13" x14ac:dyDescent="0.25">
      <c r="M6430" s="21"/>
    </row>
    <row r="6431" spans="13:13" x14ac:dyDescent="0.25">
      <c r="M6431" s="21"/>
    </row>
    <row r="6432" spans="13:13" x14ac:dyDescent="0.25">
      <c r="M6432" s="21"/>
    </row>
    <row r="6433" spans="13:13" x14ac:dyDescent="0.25">
      <c r="M6433" s="21"/>
    </row>
    <row r="6434" spans="13:13" x14ac:dyDescent="0.25">
      <c r="M6434" s="21"/>
    </row>
    <row r="6435" spans="13:13" x14ac:dyDescent="0.25">
      <c r="M6435" s="21"/>
    </row>
    <row r="6436" spans="13:13" x14ac:dyDescent="0.25">
      <c r="M6436" s="21"/>
    </row>
    <row r="6437" spans="13:13" x14ac:dyDescent="0.25">
      <c r="M6437" s="21"/>
    </row>
    <row r="6438" spans="13:13" x14ac:dyDescent="0.25">
      <c r="M6438" s="21"/>
    </row>
    <row r="6439" spans="13:13" x14ac:dyDescent="0.25">
      <c r="M6439" s="21"/>
    </row>
    <row r="6440" spans="13:13" x14ac:dyDescent="0.25">
      <c r="M6440" s="21"/>
    </row>
    <row r="6441" spans="13:13" x14ac:dyDescent="0.25">
      <c r="M6441" s="21"/>
    </row>
    <row r="6442" spans="13:13" x14ac:dyDescent="0.25">
      <c r="M6442" s="21"/>
    </row>
    <row r="6443" spans="13:13" x14ac:dyDescent="0.25">
      <c r="M6443" s="21"/>
    </row>
    <row r="6444" spans="13:13" x14ac:dyDescent="0.25">
      <c r="M6444" s="21"/>
    </row>
    <row r="6445" spans="13:13" x14ac:dyDescent="0.25">
      <c r="M6445" s="21"/>
    </row>
    <row r="6446" spans="13:13" x14ac:dyDescent="0.25">
      <c r="M6446" s="21"/>
    </row>
    <row r="6447" spans="13:13" x14ac:dyDescent="0.25">
      <c r="M6447" s="21"/>
    </row>
    <row r="6448" spans="13:13" x14ac:dyDescent="0.25">
      <c r="M6448" s="21"/>
    </row>
    <row r="6449" spans="13:13" x14ac:dyDescent="0.25">
      <c r="M6449" s="21"/>
    </row>
    <row r="6450" spans="13:13" x14ac:dyDescent="0.25">
      <c r="M6450" s="21"/>
    </row>
    <row r="6451" spans="13:13" x14ac:dyDescent="0.25">
      <c r="M6451" s="21"/>
    </row>
    <row r="6452" spans="13:13" x14ac:dyDescent="0.25">
      <c r="M6452" s="21"/>
    </row>
    <row r="6453" spans="13:13" x14ac:dyDescent="0.25">
      <c r="M6453" s="21"/>
    </row>
    <row r="6454" spans="13:13" x14ac:dyDescent="0.25">
      <c r="M6454" s="21"/>
    </row>
    <row r="6455" spans="13:13" x14ac:dyDescent="0.25">
      <c r="M6455" s="21"/>
    </row>
    <row r="6456" spans="13:13" x14ac:dyDescent="0.25">
      <c r="M6456" s="21"/>
    </row>
    <row r="6457" spans="13:13" x14ac:dyDescent="0.25">
      <c r="M6457" s="21"/>
    </row>
    <row r="6458" spans="13:13" x14ac:dyDescent="0.25">
      <c r="M6458" s="21"/>
    </row>
    <row r="6459" spans="13:13" x14ac:dyDescent="0.25">
      <c r="M6459" s="21"/>
    </row>
    <row r="6460" spans="13:13" x14ac:dyDescent="0.25">
      <c r="M6460" s="21"/>
    </row>
    <row r="6461" spans="13:13" x14ac:dyDescent="0.25">
      <c r="M6461" s="21"/>
    </row>
    <row r="6462" spans="13:13" x14ac:dyDescent="0.25">
      <c r="M6462" s="21"/>
    </row>
    <row r="6463" spans="13:13" x14ac:dyDescent="0.25">
      <c r="M6463" s="21"/>
    </row>
    <row r="6464" spans="13:13" x14ac:dyDescent="0.25">
      <c r="M6464" s="21"/>
    </row>
    <row r="6465" spans="13:13" x14ac:dyDescent="0.25">
      <c r="M6465" s="21"/>
    </row>
    <row r="6466" spans="13:13" x14ac:dyDescent="0.25">
      <c r="M6466" s="21"/>
    </row>
    <row r="6467" spans="13:13" x14ac:dyDescent="0.25">
      <c r="M6467" s="21"/>
    </row>
    <row r="6468" spans="13:13" x14ac:dyDescent="0.25">
      <c r="M6468" s="21"/>
    </row>
    <row r="6469" spans="13:13" x14ac:dyDescent="0.25">
      <c r="M6469" s="21"/>
    </row>
    <row r="6470" spans="13:13" x14ac:dyDescent="0.25">
      <c r="M6470" s="21"/>
    </row>
    <row r="6471" spans="13:13" x14ac:dyDescent="0.25">
      <c r="M6471" s="21"/>
    </row>
    <row r="6472" spans="13:13" x14ac:dyDescent="0.25">
      <c r="M6472" s="21"/>
    </row>
    <row r="6473" spans="13:13" x14ac:dyDescent="0.25">
      <c r="M6473" s="21"/>
    </row>
    <row r="6474" spans="13:13" x14ac:dyDescent="0.25">
      <c r="M6474" s="21"/>
    </row>
    <row r="6475" spans="13:13" x14ac:dyDescent="0.25">
      <c r="M6475" s="21"/>
    </row>
    <row r="6476" spans="13:13" x14ac:dyDescent="0.25">
      <c r="M6476" s="21"/>
    </row>
    <row r="6477" spans="13:13" x14ac:dyDescent="0.25">
      <c r="M6477" s="21"/>
    </row>
    <row r="6478" spans="13:13" x14ac:dyDescent="0.25">
      <c r="M6478" s="21"/>
    </row>
    <row r="6479" spans="13:13" x14ac:dyDescent="0.25">
      <c r="M6479" s="21"/>
    </row>
    <row r="6480" spans="13:13" x14ac:dyDescent="0.25">
      <c r="M6480" s="21"/>
    </row>
    <row r="6481" spans="13:13" x14ac:dyDescent="0.25">
      <c r="M6481" s="21"/>
    </row>
    <row r="6482" spans="13:13" x14ac:dyDescent="0.25">
      <c r="M6482" s="21"/>
    </row>
    <row r="6483" spans="13:13" x14ac:dyDescent="0.25">
      <c r="M6483" s="21"/>
    </row>
    <row r="6484" spans="13:13" x14ac:dyDescent="0.25">
      <c r="M6484" s="21"/>
    </row>
    <row r="6485" spans="13:13" x14ac:dyDescent="0.25">
      <c r="M6485" s="21"/>
    </row>
    <row r="6486" spans="13:13" x14ac:dyDescent="0.25">
      <c r="M6486" s="21"/>
    </row>
    <row r="6487" spans="13:13" x14ac:dyDescent="0.25">
      <c r="M6487" s="21"/>
    </row>
    <row r="6488" spans="13:13" x14ac:dyDescent="0.25">
      <c r="M6488" s="21"/>
    </row>
    <row r="6489" spans="13:13" x14ac:dyDescent="0.25">
      <c r="M6489" s="21"/>
    </row>
    <row r="6490" spans="13:13" x14ac:dyDescent="0.25">
      <c r="M6490" s="21"/>
    </row>
    <row r="6491" spans="13:13" x14ac:dyDescent="0.25">
      <c r="M6491" s="21"/>
    </row>
    <row r="6492" spans="13:13" x14ac:dyDescent="0.25">
      <c r="M6492" s="21"/>
    </row>
    <row r="6493" spans="13:13" x14ac:dyDescent="0.25">
      <c r="M6493" s="21"/>
    </row>
    <row r="6494" spans="13:13" x14ac:dyDescent="0.25">
      <c r="M6494" s="21"/>
    </row>
    <row r="6495" spans="13:13" x14ac:dyDescent="0.25">
      <c r="M6495" s="21"/>
    </row>
    <row r="6496" spans="13:13" x14ac:dyDescent="0.25">
      <c r="M6496" s="21"/>
    </row>
    <row r="6497" spans="13:13" x14ac:dyDescent="0.25">
      <c r="M6497" s="21"/>
    </row>
    <row r="6498" spans="13:13" x14ac:dyDescent="0.25">
      <c r="M6498" s="21"/>
    </row>
    <row r="6499" spans="13:13" x14ac:dyDescent="0.25">
      <c r="M6499" s="21"/>
    </row>
    <row r="6500" spans="13:13" x14ac:dyDescent="0.25">
      <c r="M6500" s="21"/>
    </row>
    <row r="6501" spans="13:13" x14ac:dyDescent="0.25">
      <c r="M6501" s="21"/>
    </row>
    <row r="6502" spans="13:13" x14ac:dyDescent="0.25">
      <c r="M6502" s="21"/>
    </row>
    <row r="6503" spans="13:13" x14ac:dyDescent="0.25">
      <c r="M6503" s="21"/>
    </row>
    <row r="6504" spans="13:13" x14ac:dyDescent="0.25">
      <c r="M6504" s="21"/>
    </row>
    <row r="6505" spans="13:13" x14ac:dyDescent="0.25">
      <c r="M6505" s="21"/>
    </row>
    <row r="6506" spans="13:13" x14ac:dyDescent="0.25">
      <c r="M6506" s="21"/>
    </row>
    <row r="6507" spans="13:13" x14ac:dyDescent="0.25">
      <c r="M6507" s="21"/>
    </row>
    <row r="6508" spans="13:13" x14ac:dyDescent="0.25">
      <c r="M6508" s="21"/>
    </row>
    <row r="6509" spans="13:13" x14ac:dyDescent="0.25">
      <c r="M6509" s="21"/>
    </row>
    <row r="6510" spans="13:13" x14ac:dyDescent="0.25">
      <c r="M6510" s="21"/>
    </row>
    <row r="6511" spans="13:13" x14ac:dyDescent="0.25">
      <c r="M6511" s="21"/>
    </row>
    <row r="6512" spans="13:13" x14ac:dyDescent="0.25">
      <c r="M6512" s="21"/>
    </row>
    <row r="6513" spans="13:13" x14ac:dyDescent="0.25">
      <c r="M6513" s="21"/>
    </row>
    <row r="6514" spans="13:13" x14ac:dyDescent="0.25">
      <c r="M6514" s="21"/>
    </row>
    <row r="6515" spans="13:13" x14ac:dyDescent="0.25">
      <c r="M6515" s="21"/>
    </row>
    <row r="6516" spans="13:13" x14ac:dyDescent="0.25">
      <c r="M6516" s="21"/>
    </row>
    <row r="6517" spans="13:13" x14ac:dyDescent="0.25">
      <c r="M6517" s="21"/>
    </row>
    <row r="6518" spans="13:13" x14ac:dyDescent="0.25">
      <c r="M6518" s="21"/>
    </row>
    <row r="6519" spans="13:13" x14ac:dyDescent="0.25">
      <c r="M6519" s="21"/>
    </row>
    <row r="6520" spans="13:13" x14ac:dyDescent="0.25">
      <c r="M6520" s="21"/>
    </row>
    <row r="6521" spans="13:13" x14ac:dyDescent="0.25">
      <c r="M6521" s="21"/>
    </row>
    <row r="6522" spans="13:13" x14ac:dyDescent="0.25">
      <c r="M6522" s="21"/>
    </row>
    <row r="6523" spans="13:13" x14ac:dyDescent="0.25">
      <c r="M6523" s="21"/>
    </row>
    <row r="6524" spans="13:13" x14ac:dyDescent="0.25">
      <c r="M6524" s="21"/>
    </row>
    <row r="6525" spans="13:13" x14ac:dyDescent="0.25">
      <c r="M6525" s="21"/>
    </row>
    <row r="6526" spans="13:13" x14ac:dyDescent="0.25">
      <c r="M6526" s="21"/>
    </row>
    <row r="6527" spans="13:13" x14ac:dyDescent="0.25">
      <c r="M6527" s="21"/>
    </row>
    <row r="6528" spans="13:13" x14ac:dyDescent="0.25">
      <c r="M6528" s="21"/>
    </row>
    <row r="6529" spans="13:13" x14ac:dyDescent="0.25">
      <c r="M6529" s="21"/>
    </row>
    <row r="6530" spans="13:13" x14ac:dyDescent="0.25">
      <c r="M6530" s="21"/>
    </row>
    <row r="6531" spans="13:13" x14ac:dyDescent="0.25">
      <c r="M6531" s="21"/>
    </row>
    <row r="6532" spans="13:13" x14ac:dyDescent="0.25">
      <c r="M6532" s="21"/>
    </row>
    <row r="6533" spans="13:13" x14ac:dyDescent="0.25">
      <c r="M6533" s="21"/>
    </row>
    <row r="6534" spans="13:13" x14ac:dyDescent="0.25">
      <c r="M6534" s="21"/>
    </row>
    <row r="6535" spans="13:13" x14ac:dyDescent="0.25">
      <c r="M6535" s="21"/>
    </row>
    <row r="6536" spans="13:13" x14ac:dyDescent="0.25">
      <c r="M6536" s="21"/>
    </row>
    <row r="6537" spans="13:13" x14ac:dyDescent="0.25">
      <c r="M6537" s="21"/>
    </row>
    <row r="6538" spans="13:13" x14ac:dyDescent="0.25">
      <c r="M6538" s="21"/>
    </row>
    <row r="6539" spans="13:13" x14ac:dyDescent="0.25">
      <c r="M6539" s="21"/>
    </row>
    <row r="6540" spans="13:13" x14ac:dyDescent="0.25">
      <c r="M6540" s="21"/>
    </row>
    <row r="6541" spans="13:13" x14ac:dyDescent="0.25">
      <c r="M6541" s="21"/>
    </row>
    <row r="6542" spans="13:13" x14ac:dyDescent="0.25">
      <c r="M6542" s="21"/>
    </row>
    <row r="6543" spans="13:13" x14ac:dyDescent="0.25">
      <c r="M6543" s="21"/>
    </row>
    <row r="6544" spans="13:13" x14ac:dyDescent="0.25">
      <c r="M6544" s="21"/>
    </row>
    <row r="6545" spans="13:13" x14ac:dyDescent="0.25">
      <c r="M6545" s="21"/>
    </row>
    <row r="6546" spans="13:13" x14ac:dyDescent="0.25">
      <c r="M6546" s="21"/>
    </row>
    <row r="6547" spans="13:13" x14ac:dyDescent="0.25">
      <c r="M6547" s="21"/>
    </row>
    <row r="6548" spans="13:13" x14ac:dyDescent="0.25">
      <c r="M6548" s="21"/>
    </row>
    <row r="6549" spans="13:13" x14ac:dyDescent="0.25">
      <c r="M6549" s="21"/>
    </row>
    <row r="6550" spans="13:13" x14ac:dyDescent="0.25">
      <c r="M6550" s="21"/>
    </row>
    <row r="6551" spans="13:13" x14ac:dyDescent="0.25">
      <c r="M6551" s="21"/>
    </row>
    <row r="6552" spans="13:13" x14ac:dyDescent="0.25">
      <c r="M6552" s="21"/>
    </row>
    <row r="6553" spans="13:13" x14ac:dyDescent="0.25">
      <c r="M6553" s="21"/>
    </row>
    <row r="6554" spans="13:13" x14ac:dyDescent="0.25">
      <c r="M6554" s="21"/>
    </row>
    <row r="6555" spans="13:13" x14ac:dyDescent="0.25">
      <c r="M6555" s="21"/>
    </row>
    <row r="6556" spans="13:13" x14ac:dyDescent="0.25">
      <c r="M6556" s="21"/>
    </row>
    <row r="6557" spans="13:13" x14ac:dyDescent="0.25">
      <c r="M6557" s="21"/>
    </row>
    <row r="6558" spans="13:13" x14ac:dyDescent="0.25">
      <c r="M6558" s="21"/>
    </row>
    <row r="6559" spans="13:13" x14ac:dyDescent="0.25">
      <c r="M6559" s="21"/>
    </row>
    <row r="6560" spans="13:13" x14ac:dyDescent="0.25">
      <c r="M6560" s="21"/>
    </row>
    <row r="6561" spans="13:13" x14ac:dyDescent="0.25">
      <c r="M6561" s="21"/>
    </row>
    <row r="6562" spans="13:13" x14ac:dyDescent="0.25">
      <c r="M6562" s="21"/>
    </row>
    <row r="6563" spans="13:13" x14ac:dyDescent="0.25">
      <c r="M6563" s="21"/>
    </row>
    <row r="6564" spans="13:13" x14ac:dyDescent="0.25">
      <c r="M6564" s="21"/>
    </row>
    <row r="6565" spans="13:13" x14ac:dyDescent="0.25">
      <c r="M6565" s="21"/>
    </row>
    <row r="6566" spans="13:13" x14ac:dyDescent="0.25">
      <c r="M6566" s="21"/>
    </row>
    <row r="6567" spans="13:13" x14ac:dyDescent="0.25">
      <c r="M6567" s="21"/>
    </row>
    <row r="6568" spans="13:13" x14ac:dyDescent="0.25">
      <c r="M6568" s="21"/>
    </row>
    <row r="6569" spans="13:13" x14ac:dyDescent="0.25">
      <c r="M6569" s="21"/>
    </row>
    <row r="6570" spans="13:13" x14ac:dyDescent="0.25">
      <c r="M6570" s="21"/>
    </row>
    <row r="6571" spans="13:13" x14ac:dyDescent="0.25">
      <c r="M6571" s="21"/>
    </row>
    <row r="6572" spans="13:13" x14ac:dyDescent="0.25">
      <c r="M6572" s="21"/>
    </row>
    <row r="6573" spans="13:13" x14ac:dyDescent="0.25">
      <c r="M6573" s="21"/>
    </row>
    <row r="6574" spans="13:13" x14ac:dyDescent="0.25">
      <c r="M6574" s="21"/>
    </row>
    <row r="6575" spans="13:13" x14ac:dyDescent="0.25">
      <c r="M6575" s="21"/>
    </row>
    <row r="6576" spans="13:13" x14ac:dyDescent="0.25">
      <c r="M6576" s="21"/>
    </row>
    <row r="6577" spans="13:13" x14ac:dyDescent="0.25">
      <c r="M6577" s="21"/>
    </row>
    <row r="6578" spans="13:13" x14ac:dyDescent="0.25">
      <c r="M6578" s="21"/>
    </row>
    <row r="6579" spans="13:13" x14ac:dyDescent="0.25">
      <c r="M6579" s="21"/>
    </row>
    <row r="6580" spans="13:13" x14ac:dyDescent="0.25">
      <c r="M6580" s="21"/>
    </row>
    <row r="6581" spans="13:13" x14ac:dyDescent="0.25">
      <c r="M6581" s="21"/>
    </row>
    <row r="6582" spans="13:13" x14ac:dyDescent="0.25">
      <c r="M6582" s="21"/>
    </row>
    <row r="6583" spans="13:13" x14ac:dyDescent="0.25">
      <c r="M6583" s="21"/>
    </row>
    <row r="6584" spans="13:13" x14ac:dyDescent="0.25">
      <c r="M6584" s="21"/>
    </row>
    <row r="6585" spans="13:13" x14ac:dyDescent="0.25">
      <c r="M6585" s="21"/>
    </row>
    <row r="6586" spans="13:13" x14ac:dyDescent="0.25">
      <c r="M6586" s="21"/>
    </row>
    <row r="6587" spans="13:13" x14ac:dyDescent="0.25">
      <c r="M6587" s="21"/>
    </row>
    <row r="6588" spans="13:13" x14ac:dyDescent="0.25">
      <c r="M6588" s="21"/>
    </row>
    <row r="6589" spans="13:13" x14ac:dyDescent="0.25">
      <c r="M6589" s="21"/>
    </row>
    <row r="6590" spans="13:13" x14ac:dyDescent="0.25">
      <c r="M6590" s="21"/>
    </row>
    <row r="6591" spans="13:13" x14ac:dyDescent="0.25">
      <c r="M6591" s="21"/>
    </row>
    <row r="6592" spans="13:13" x14ac:dyDescent="0.25">
      <c r="M6592" s="21"/>
    </row>
    <row r="6593" spans="13:13" x14ac:dyDescent="0.25">
      <c r="M6593" s="21"/>
    </row>
    <row r="6594" spans="13:13" x14ac:dyDescent="0.25">
      <c r="M6594" s="21"/>
    </row>
    <row r="6595" spans="13:13" x14ac:dyDescent="0.25">
      <c r="M6595" s="21"/>
    </row>
    <row r="6596" spans="13:13" x14ac:dyDescent="0.25">
      <c r="M6596" s="21"/>
    </row>
    <row r="6597" spans="13:13" x14ac:dyDescent="0.25">
      <c r="M6597" s="21"/>
    </row>
    <row r="6598" spans="13:13" x14ac:dyDescent="0.25">
      <c r="M6598" s="21"/>
    </row>
    <row r="6599" spans="13:13" x14ac:dyDescent="0.25">
      <c r="M6599" s="21"/>
    </row>
    <row r="6600" spans="13:13" x14ac:dyDescent="0.25">
      <c r="M6600" s="21"/>
    </row>
    <row r="6601" spans="13:13" x14ac:dyDescent="0.25">
      <c r="M6601" s="21"/>
    </row>
    <row r="6602" spans="13:13" x14ac:dyDescent="0.25">
      <c r="M6602" s="21"/>
    </row>
    <row r="6603" spans="13:13" x14ac:dyDescent="0.25">
      <c r="M6603" s="21"/>
    </row>
    <row r="6604" spans="13:13" x14ac:dyDescent="0.25">
      <c r="M6604" s="21"/>
    </row>
    <row r="6605" spans="13:13" x14ac:dyDescent="0.25">
      <c r="M6605" s="21"/>
    </row>
    <row r="6606" spans="13:13" x14ac:dyDescent="0.25">
      <c r="M6606" s="21"/>
    </row>
    <row r="6607" spans="13:13" x14ac:dyDescent="0.25">
      <c r="M6607" s="21"/>
    </row>
    <row r="6608" spans="13:13" x14ac:dyDescent="0.25">
      <c r="M6608" s="21"/>
    </row>
    <row r="6609" spans="13:13" x14ac:dyDescent="0.25">
      <c r="M6609" s="21"/>
    </row>
    <row r="6610" spans="13:13" x14ac:dyDescent="0.25">
      <c r="M6610" s="21"/>
    </row>
    <row r="6611" spans="13:13" x14ac:dyDescent="0.25">
      <c r="M6611" s="21"/>
    </row>
    <row r="6612" spans="13:13" x14ac:dyDescent="0.25">
      <c r="M6612" s="21"/>
    </row>
    <row r="6613" spans="13:13" x14ac:dyDescent="0.25">
      <c r="M6613" s="21"/>
    </row>
    <row r="6614" spans="13:13" x14ac:dyDescent="0.25">
      <c r="M6614" s="21"/>
    </row>
    <row r="6615" spans="13:13" x14ac:dyDescent="0.25">
      <c r="M6615" s="21"/>
    </row>
    <row r="6616" spans="13:13" x14ac:dyDescent="0.25">
      <c r="M6616" s="21"/>
    </row>
    <row r="6617" spans="13:13" x14ac:dyDescent="0.25">
      <c r="M6617" s="21"/>
    </row>
    <row r="6618" spans="13:13" x14ac:dyDescent="0.25">
      <c r="M6618" s="21"/>
    </row>
    <row r="6619" spans="13:13" x14ac:dyDescent="0.25">
      <c r="M6619" s="21"/>
    </row>
    <row r="6620" spans="13:13" x14ac:dyDescent="0.25">
      <c r="M6620" s="21"/>
    </row>
    <row r="6621" spans="13:13" x14ac:dyDescent="0.25">
      <c r="M6621" s="21"/>
    </row>
    <row r="6622" spans="13:13" x14ac:dyDescent="0.25">
      <c r="M6622" s="21"/>
    </row>
    <row r="6623" spans="13:13" x14ac:dyDescent="0.25">
      <c r="M6623" s="21"/>
    </row>
    <row r="6624" spans="13:13" x14ac:dyDescent="0.25">
      <c r="M6624" s="21"/>
    </row>
    <row r="6625" spans="13:13" x14ac:dyDescent="0.25">
      <c r="M6625" s="21"/>
    </row>
    <row r="6626" spans="13:13" x14ac:dyDescent="0.25">
      <c r="M6626" s="21"/>
    </row>
    <row r="6627" spans="13:13" x14ac:dyDescent="0.25">
      <c r="M6627" s="21"/>
    </row>
    <row r="6628" spans="13:13" x14ac:dyDescent="0.25">
      <c r="M6628" s="21"/>
    </row>
    <row r="6629" spans="13:13" x14ac:dyDescent="0.25">
      <c r="M6629" s="21"/>
    </row>
    <row r="6630" spans="13:13" x14ac:dyDescent="0.25">
      <c r="M6630" s="21"/>
    </row>
    <row r="6631" spans="13:13" x14ac:dyDescent="0.25">
      <c r="M6631" s="21"/>
    </row>
    <row r="6632" spans="13:13" x14ac:dyDescent="0.25">
      <c r="M6632" s="21"/>
    </row>
    <row r="6633" spans="13:13" x14ac:dyDescent="0.25">
      <c r="M6633" s="21"/>
    </row>
    <row r="6634" spans="13:13" x14ac:dyDescent="0.25">
      <c r="M6634" s="21"/>
    </row>
    <row r="6635" spans="13:13" x14ac:dyDescent="0.25">
      <c r="M6635" s="21"/>
    </row>
    <row r="6636" spans="13:13" x14ac:dyDescent="0.25">
      <c r="M6636" s="21"/>
    </row>
    <row r="6637" spans="13:13" x14ac:dyDescent="0.25">
      <c r="M6637" s="21"/>
    </row>
    <row r="6638" spans="13:13" x14ac:dyDescent="0.25">
      <c r="M6638" s="21"/>
    </row>
    <row r="6639" spans="13:13" x14ac:dyDescent="0.25">
      <c r="M6639" s="21"/>
    </row>
    <row r="6640" spans="13:13" x14ac:dyDescent="0.25">
      <c r="M6640" s="21"/>
    </row>
    <row r="6641" spans="13:13" x14ac:dyDescent="0.25">
      <c r="M6641" s="21"/>
    </row>
    <row r="6642" spans="13:13" x14ac:dyDescent="0.25">
      <c r="M6642" s="21"/>
    </row>
    <row r="6643" spans="13:13" x14ac:dyDescent="0.25">
      <c r="M6643" s="21"/>
    </row>
    <row r="6644" spans="13:13" x14ac:dyDescent="0.25">
      <c r="M6644" s="21"/>
    </row>
    <row r="6645" spans="13:13" x14ac:dyDescent="0.25">
      <c r="M6645" s="21"/>
    </row>
    <row r="6646" spans="13:13" x14ac:dyDescent="0.25">
      <c r="M6646" s="21"/>
    </row>
    <row r="6647" spans="13:13" x14ac:dyDescent="0.25">
      <c r="M6647" s="21"/>
    </row>
    <row r="6648" spans="13:13" x14ac:dyDescent="0.25">
      <c r="M6648" s="21"/>
    </row>
    <row r="6649" spans="13:13" x14ac:dyDescent="0.25">
      <c r="M6649" s="21"/>
    </row>
    <row r="6650" spans="13:13" x14ac:dyDescent="0.25">
      <c r="M6650" s="21"/>
    </row>
    <row r="6651" spans="13:13" x14ac:dyDescent="0.25">
      <c r="M6651" s="21"/>
    </row>
    <row r="6652" spans="13:13" x14ac:dyDescent="0.25">
      <c r="M6652" s="21"/>
    </row>
    <row r="6653" spans="13:13" x14ac:dyDescent="0.25">
      <c r="M6653" s="21"/>
    </row>
    <row r="6654" spans="13:13" x14ac:dyDescent="0.25">
      <c r="M6654" s="21"/>
    </row>
    <row r="6655" spans="13:13" x14ac:dyDescent="0.25">
      <c r="M6655" s="21"/>
    </row>
    <row r="6656" spans="13:13" x14ac:dyDescent="0.25">
      <c r="M6656" s="21"/>
    </row>
    <row r="6657" spans="13:13" x14ac:dyDescent="0.25">
      <c r="M6657" s="21"/>
    </row>
    <row r="6658" spans="13:13" x14ac:dyDescent="0.25">
      <c r="M6658" s="21"/>
    </row>
    <row r="6659" spans="13:13" x14ac:dyDescent="0.25">
      <c r="M6659" s="21"/>
    </row>
    <row r="6660" spans="13:13" x14ac:dyDescent="0.25">
      <c r="M6660" s="21"/>
    </row>
    <row r="6661" spans="13:13" x14ac:dyDescent="0.25">
      <c r="M6661" s="21"/>
    </row>
    <row r="6662" spans="13:13" x14ac:dyDescent="0.25">
      <c r="M6662" s="21"/>
    </row>
    <row r="6663" spans="13:13" x14ac:dyDescent="0.25">
      <c r="M6663" s="21"/>
    </row>
    <row r="6664" spans="13:13" x14ac:dyDescent="0.25">
      <c r="M6664" s="21"/>
    </row>
    <row r="6665" spans="13:13" x14ac:dyDescent="0.25">
      <c r="M6665" s="21"/>
    </row>
    <row r="6666" spans="13:13" x14ac:dyDescent="0.25">
      <c r="M6666" s="21"/>
    </row>
    <row r="6667" spans="13:13" x14ac:dyDescent="0.25">
      <c r="M6667" s="21"/>
    </row>
    <row r="6668" spans="13:13" x14ac:dyDescent="0.25">
      <c r="M6668" s="21"/>
    </row>
    <row r="6669" spans="13:13" x14ac:dyDescent="0.25">
      <c r="M6669" s="21"/>
    </row>
    <row r="6670" spans="13:13" x14ac:dyDescent="0.25">
      <c r="M6670" s="21"/>
    </row>
    <row r="6671" spans="13:13" x14ac:dyDescent="0.25">
      <c r="M6671" s="21"/>
    </row>
    <row r="6672" spans="13:13" x14ac:dyDescent="0.25">
      <c r="M6672" s="21"/>
    </row>
    <row r="6673" spans="13:13" x14ac:dyDescent="0.25">
      <c r="M6673" s="21"/>
    </row>
    <row r="6674" spans="13:13" x14ac:dyDescent="0.25">
      <c r="M6674" s="21"/>
    </row>
    <row r="6675" spans="13:13" x14ac:dyDescent="0.25">
      <c r="M6675" s="21"/>
    </row>
    <row r="6676" spans="13:13" x14ac:dyDescent="0.25">
      <c r="M6676" s="21"/>
    </row>
    <row r="6677" spans="13:13" x14ac:dyDescent="0.25">
      <c r="M6677" s="21"/>
    </row>
    <row r="6678" spans="13:13" x14ac:dyDescent="0.25">
      <c r="M6678" s="21"/>
    </row>
    <row r="6679" spans="13:13" x14ac:dyDescent="0.25">
      <c r="M6679" s="21"/>
    </row>
    <row r="6680" spans="13:13" x14ac:dyDescent="0.25">
      <c r="M6680" s="21"/>
    </row>
    <row r="6681" spans="13:13" x14ac:dyDescent="0.25">
      <c r="M6681" s="21"/>
    </row>
    <row r="6682" spans="13:13" x14ac:dyDescent="0.25">
      <c r="M6682" s="21"/>
    </row>
    <row r="6683" spans="13:13" x14ac:dyDescent="0.25">
      <c r="M6683" s="21"/>
    </row>
    <row r="6684" spans="13:13" x14ac:dyDescent="0.25">
      <c r="M6684" s="21"/>
    </row>
    <row r="6685" spans="13:13" x14ac:dyDescent="0.25">
      <c r="M6685" s="21"/>
    </row>
    <row r="6686" spans="13:13" x14ac:dyDescent="0.25">
      <c r="M6686" s="21"/>
    </row>
    <row r="6687" spans="13:13" x14ac:dyDescent="0.25">
      <c r="M6687" s="21"/>
    </row>
    <row r="6688" spans="13:13" x14ac:dyDescent="0.25">
      <c r="M6688" s="21"/>
    </row>
    <row r="6689" spans="13:13" x14ac:dyDescent="0.25">
      <c r="M6689" s="21"/>
    </row>
    <row r="6690" spans="13:13" x14ac:dyDescent="0.25">
      <c r="M6690" s="21"/>
    </row>
    <row r="6691" spans="13:13" x14ac:dyDescent="0.25">
      <c r="M6691" s="21"/>
    </row>
    <row r="6692" spans="13:13" x14ac:dyDescent="0.25">
      <c r="M6692" s="21"/>
    </row>
    <row r="6693" spans="13:13" x14ac:dyDescent="0.25">
      <c r="M6693" s="21"/>
    </row>
    <row r="6694" spans="13:13" x14ac:dyDescent="0.25">
      <c r="M6694" s="21"/>
    </row>
    <row r="6695" spans="13:13" x14ac:dyDescent="0.25">
      <c r="M6695" s="21"/>
    </row>
    <row r="6696" spans="13:13" x14ac:dyDescent="0.25">
      <c r="M6696" s="21"/>
    </row>
    <row r="6697" spans="13:13" x14ac:dyDescent="0.25">
      <c r="M6697" s="21"/>
    </row>
    <row r="6698" spans="13:13" x14ac:dyDescent="0.25">
      <c r="M6698" s="21"/>
    </row>
    <row r="6699" spans="13:13" x14ac:dyDescent="0.25">
      <c r="M6699" s="21"/>
    </row>
    <row r="6700" spans="13:13" x14ac:dyDescent="0.25">
      <c r="M6700" s="21"/>
    </row>
    <row r="6701" spans="13:13" x14ac:dyDescent="0.25">
      <c r="M6701" s="21"/>
    </row>
    <row r="6702" spans="13:13" x14ac:dyDescent="0.25">
      <c r="M6702" s="21"/>
    </row>
    <row r="6703" spans="13:13" x14ac:dyDescent="0.25">
      <c r="M6703" s="21"/>
    </row>
    <row r="6704" spans="13:13" x14ac:dyDescent="0.25">
      <c r="M6704" s="21"/>
    </row>
    <row r="6705" spans="13:13" x14ac:dyDescent="0.25">
      <c r="M6705" s="21"/>
    </row>
    <row r="6706" spans="13:13" x14ac:dyDescent="0.25">
      <c r="M6706" s="21"/>
    </row>
    <row r="6707" spans="13:13" x14ac:dyDescent="0.25">
      <c r="M6707" s="21"/>
    </row>
    <row r="6708" spans="13:13" x14ac:dyDescent="0.25">
      <c r="M6708" s="21"/>
    </row>
    <row r="6709" spans="13:13" x14ac:dyDescent="0.25">
      <c r="M6709" s="21"/>
    </row>
    <row r="6710" spans="13:13" x14ac:dyDescent="0.25">
      <c r="M6710" s="21"/>
    </row>
    <row r="6711" spans="13:13" x14ac:dyDescent="0.25">
      <c r="M6711" s="21"/>
    </row>
    <row r="6712" spans="13:13" x14ac:dyDescent="0.25">
      <c r="M6712" s="21"/>
    </row>
    <row r="6713" spans="13:13" x14ac:dyDescent="0.25">
      <c r="M6713" s="21"/>
    </row>
    <row r="6714" spans="13:13" x14ac:dyDescent="0.25">
      <c r="M6714" s="21"/>
    </row>
    <row r="6715" spans="13:13" x14ac:dyDescent="0.25">
      <c r="M6715" s="21"/>
    </row>
    <row r="6716" spans="13:13" x14ac:dyDescent="0.25">
      <c r="M6716" s="21"/>
    </row>
    <row r="6717" spans="13:13" x14ac:dyDescent="0.25">
      <c r="M6717" s="21"/>
    </row>
    <row r="6718" spans="13:13" x14ac:dyDescent="0.25">
      <c r="M6718" s="21"/>
    </row>
    <row r="6719" spans="13:13" x14ac:dyDescent="0.25">
      <c r="M6719" s="21"/>
    </row>
    <row r="6720" spans="13:13" x14ac:dyDescent="0.25">
      <c r="M6720" s="21"/>
    </row>
    <row r="6721" spans="13:13" x14ac:dyDescent="0.25">
      <c r="M6721" s="21"/>
    </row>
    <row r="6722" spans="13:13" x14ac:dyDescent="0.25">
      <c r="M6722" s="21"/>
    </row>
    <row r="6723" spans="13:13" x14ac:dyDescent="0.25">
      <c r="M6723" s="21"/>
    </row>
    <row r="6724" spans="13:13" x14ac:dyDescent="0.25">
      <c r="M6724" s="21"/>
    </row>
    <row r="6725" spans="13:13" x14ac:dyDescent="0.25">
      <c r="M6725" s="21"/>
    </row>
    <row r="6726" spans="13:13" x14ac:dyDescent="0.25">
      <c r="M6726" s="21"/>
    </row>
    <row r="6727" spans="13:13" x14ac:dyDescent="0.25">
      <c r="M6727" s="21"/>
    </row>
    <row r="6728" spans="13:13" x14ac:dyDescent="0.25">
      <c r="M6728" s="21"/>
    </row>
    <row r="6729" spans="13:13" x14ac:dyDescent="0.25">
      <c r="M6729" s="21"/>
    </row>
    <row r="6730" spans="13:13" x14ac:dyDescent="0.25">
      <c r="M6730" s="21"/>
    </row>
    <row r="6731" spans="13:13" x14ac:dyDescent="0.25">
      <c r="M6731" s="21"/>
    </row>
    <row r="6732" spans="13:13" x14ac:dyDescent="0.25">
      <c r="M6732" s="21"/>
    </row>
    <row r="6733" spans="13:13" x14ac:dyDescent="0.25">
      <c r="M6733" s="21"/>
    </row>
    <row r="6734" spans="13:13" x14ac:dyDescent="0.25">
      <c r="M6734" s="21"/>
    </row>
    <row r="6735" spans="13:13" x14ac:dyDescent="0.25">
      <c r="M6735" s="21"/>
    </row>
    <row r="6736" spans="13:13" x14ac:dyDescent="0.25">
      <c r="M6736" s="21"/>
    </row>
    <row r="6737" spans="13:13" x14ac:dyDescent="0.25">
      <c r="M6737" s="21"/>
    </row>
    <row r="6738" spans="13:13" x14ac:dyDescent="0.25">
      <c r="M6738" s="21"/>
    </row>
    <row r="6739" spans="13:13" x14ac:dyDescent="0.25">
      <c r="M6739" s="21"/>
    </row>
    <row r="6740" spans="13:13" x14ac:dyDescent="0.25">
      <c r="M6740" s="21"/>
    </row>
    <row r="6741" spans="13:13" x14ac:dyDescent="0.25">
      <c r="M6741" s="21"/>
    </row>
    <row r="6742" spans="13:13" x14ac:dyDescent="0.25">
      <c r="M6742" s="21"/>
    </row>
    <row r="6743" spans="13:13" x14ac:dyDescent="0.25">
      <c r="M6743" s="21"/>
    </row>
    <row r="6744" spans="13:13" x14ac:dyDescent="0.25">
      <c r="M6744" s="21"/>
    </row>
    <row r="6745" spans="13:13" x14ac:dyDescent="0.25">
      <c r="M6745" s="21"/>
    </row>
    <row r="6746" spans="13:13" x14ac:dyDescent="0.25">
      <c r="M6746" s="21"/>
    </row>
    <row r="6747" spans="13:13" x14ac:dyDescent="0.25">
      <c r="M6747" s="21"/>
    </row>
    <row r="6748" spans="13:13" x14ac:dyDescent="0.25">
      <c r="M6748" s="21"/>
    </row>
    <row r="6749" spans="13:13" x14ac:dyDescent="0.25">
      <c r="M6749" s="21"/>
    </row>
    <row r="6750" spans="13:13" x14ac:dyDescent="0.25">
      <c r="M6750" s="21"/>
    </row>
    <row r="6751" spans="13:13" x14ac:dyDescent="0.25">
      <c r="M6751" s="21"/>
    </row>
    <row r="6752" spans="13:13" x14ac:dyDescent="0.25">
      <c r="M6752" s="21"/>
    </row>
    <row r="6753" spans="13:13" x14ac:dyDescent="0.25">
      <c r="M6753" s="21"/>
    </row>
    <row r="6754" spans="13:13" x14ac:dyDescent="0.25">
      <c r="M6754" s="21"/>
    </row>
    <row r="6755" spans="13:13" x14ac:dyDescent="0.25">
      <c r="M6755" s="21"/>
    </row>
    <row r="6756" spans="13:13" x14ac:dyDescent="0.25">
      <c r="M6756" s="21"/>
    </row>
    <row r="6757" spans="13:13" x14ac:dyDescent="0.25">
      <c r="M6757" s="21"/>
    </row>
    <row r="6758" spans="13:13" x14ac:dyDescent="0.25">
      <c r="M6758" s="21"/>
    </row>
    <row r="6759" spans="13:13" x14ac:dyDescent="0.25">
      <c r="M6759" s="21"/>
    </row>
    <row r="6760" spans="13:13" x14ac:dyDescent="0.25">
      <c r="M6760" s="21"/>
    </row>
    <row r="6761" spans="13:13" x14ac:dyDescent="0.25">
      <c r="M6761" s="21"/>
    </row>
    <row r="6762" spans="13:13" x14ac:dyDescent="0.25">
      <c r="M6762" s="21"/>
    </row>
    <row r="6763" spans="13:13" x14ac:dyDescent="0.25">
      <c r="M6763" s="21"/>
    </row>
    <row r="6764" spans="13:13" x14ac:dyDescent="0.25">
      <c r="M6764" s="21"/>
    </row>
    <row r="6765" spans="13:13" x14ac:dyDescent="0.25">
      <c r="M6765" s="21"/>
    </row>
    <row r="6766" spans="13:13" x14ac:dyDescent="0.25">
      <c r="M6766" s="21"/>
    </row>
    <row r="6767" spans="13:13" x14ac:dyDescent="0.25">
      <c r="M6767" s="21"/>
    </row>
    <row r="6768" spans="13:13" x14ac:dyDescent="0.25">
      <c r="M6768" s="21"/>
    </row>
    <row r="6769" spans="13:13" x14ac:dyDescent="0.25">
      <c r="M6769" s="21"/>
    </row>
    <row r="6770" spans="13:13" x14ac:dyDescent="0.25">
      <c r="M6770" s="21"/>
    </row>
    <row r="6771" spans="13:13" x14ac:dyDescent="0.25">
      <c r="M6771" s="21"/>
    </row>
    <row r="6772" spans="13:13" x14ac:dyDescent="0.25">
      <c r="M6772" s="21"/>
    </row>
    <row r="6773" spans="13:13" x14ac:dyDescent="0.25">
      <c r="M6773" s="21"/>
    </row>
    <row r="6774" spans="13:13" x14ac:dyDescent="0.25">
      <c r="M6774" s="21"/>
    </row>
    <row r="6775" spans="13:13" x14ac:dyDescent="0.25">
      <c r="M6775" s="21"/>
    </row>
    <row r="6776" spans="13:13" x14ac:dyDescent="0.25">
      <c r="M6776" s="21"/>
    </row>
    <row r="6777" spans="13:13" x14ac:dyDescent="0.25">
      <c r="M6777" s="21"/>
    </row>
    <row r="6778" spans="13:13" x14ac:dyDescent="0.25">
      <c r="M6778" s="21"/>
    </row>
    <row r="6779" spans="13:13" x14ac:dyDescent="0.25">
      <c r="M6779" s="21"/>
    </row>
    <row r="6780" spans="13:13" x14ac:dyDescent="0.25">
      <c r="M6780" s="21"/>
    </row>
    <row r="6781" spans="13:13" x14ac:dyDescent="0.25">
      <c r="M6781" s="21"/>
    </row>
    <row r="6782" spans="13:13" x14ac:dyDescent="0.25">
      <c r="M6782" s="21"/>
    </row>
    <row r="6783" spans="13:13" x14ac:dyDescent="0.25">
      <c r="M6783" s="21"/>
    </row>
    <row r="6784" spans="13:13" x14ac:dyDescent="0.25">
      <c r="M6784" s="21"/>
    </row>
    <row r="6785" spans="13:13" x14ac:dyDescent="0.25">
      <c r="M6785" s="21"/>
    </row>
    <row r="6786" spans="13:13" x14ac:dyDescent="0.25">
      <c r="M6786" s="21"/>
    </row>
    <row r="6787" spans="13:13" x14ac:dyDescent="0.25">
      <c r="M6787" s="21"/>
    </row>
    <row r="6788" spans="13:13" x14ac:dyDescent="0.25">
      <c r="M6788" s="21"/>
    </row>
    <row r="6789" spans="13:13" x14ac:dyDescent="0.25">
      <c r="M6789" s="21"/>
    </row>
    <row r="6790" spans="13:13" x14ac:dyDescent="0.25">
      <c r="M6790" s="21"/>
    </row>
    <row r="6791" spans="13:13" x14ac:dyDescent="0.25">
      <c r="M6791" s="21"/>
    </row>
    <row r="6792" spans="13:13" x14ac:dyDescent="0.25">
      <c r="M6792" s="21"/>
    </row>
    <row r="6793" spans="13:13" x14ac:dyDescent="0.25">
      <c r="M6793" s="21"/>
    </row>
    <row r="6794" spans="13:13" x14ac:dyDescent="0.25">
      <c r="M6794" s="21"/>
    </row>
    <row r="6795" spans="13:13" x14ac:dyDescent="0.25">
      <c r="M6795" s="21"/>
    </row>
    <row r="6796" spans="13:13" x14ac:dyDescent="0.25">
      <c r="M6796" s="21"/>
    </row>
    <row r="6797" spans="13:13" x14ac:dyDescent="0.25">
      <c r="M6797" s="21"/>
    </row>
    <row r="6798" spans="13:13" x14ac:dyDescent="0.25">
      <c r="M6798" s="21"/>
    </row>
    <row r="6799" spans="13:13" x14ac:dyDescent="0.25">
      <c r="M6799" s="21"/>
    </row>
    <row r="6800" spans="13:13" x14ac:dyDescent="0.25">
      <c r="M6800" s="21"/>
    </row>
    <row r="6801" spans="13:13" x14ac:dyDescent="0.25">
      <c r="M6801" s="21"/>
    </row>
    <row r="6802" spans="13:13" x14ac:dyDescent="0.25">
      <c r="M6802" s="21"/>
    </row>
    <row r="6803" spans="13:13" x14ac:dyDescent="0.25">
      <c r="M6803" s="21"/>
    </row>
    <row r="6804" spans="13:13" x14ac:dyDescent="0.25">
      <c r="M6804" s="21"/>
    </row>
    <row r="6805" spans="13:13" x14ac:dyDescent="0.25">
      <c r="M6805" s="21"/>
    </row>
    <row r="6806" spans="13:13" x14ac:dyDescent="0.25">
      <c r="M6806" s="21"/>
    </row>
    <row r="6807" spans="13:13" x14ac:dyDescent="0.25">
      <c r="M6807" s="21"/>
    </row>
    <row r="6808" spans="13:13" x14ac:dyDescent="0.25">
      <c r="M6808" s="21"/>
    </row>
    <row r="6809" spans="13:13" x14ac:dyDescent="0.25">
      <c r="M6809" s="21"/>
    </row>
    <row r="6810" spans="13:13" x14ac:dyDescent="0.25">
      <c r="M6810" s="21"/>
    </row>
    <row r="6811" spans="13:13" x14ac:dyDescent="0.25">
      <c r="M6811" s="21"/>
    </row>
    <row r="6812" spans="13:13" x14ac:dyDescent="0.25">
      <c r="M6812" s="21"/>
    </row>
    <row r="6813" spans="13:13" x14ac:dyDescent="0.25">
      <c r="M6813" s="21"/>
    </row>
    <row r="6814" spans="13:13" x14ac:dyDescent="0.25">
      <c r="M6814" s="21"/>
    </row>
    <row r="6815" spans="13:13" x14ac:dyDescent="0.25">
      <c r="M6815" s="21"/>
    </row>
    <row r="6816" spans="13:13" x14ac:dyDescent="0.25">
      <c r="M6816" s="21"/>
    </row>
    <row r="6817" spans="13:13" x14ac:dyDescent="0.25">
      <c r="M6817" s="21"/>
    </row>
    <row r="6818" spans="13:13" x14ac:dyDescent="0.25">
      <c r="M6818" s="21"/>
    </row>
    <row r="6819" spans="13:13" x14ac:dyDescent="0.25">
      <c r="M6819" s="21"/>
    </row>
    <row r="6820" spans="13:13" x14ac:dyDescent="0.25">
      <c r="M6820" s="21"/>
    </row>
    <row r="6821" spans="13:13" x14ac:dyDescent="0.25">
      <c r="M6821" s="21"/>
    </row>
    <row r="6822" spans="13:13" x14ac:dyDescent="0.25">
      <c r="M6822" s="21"/>
    </row>
    <row r="6823" spans="13:13" x14ac:dyDescent="0.25">
      <c r="M6823" s="21"/>
    </row>
    <row r="6824" spans="13:13" x14ac:dyDescent="0.25">
      <c r="M6824" s="21"/>
    </row>
    <row r="6825" spans="13:13" x14ac:dyDescent="0.25">
      <c r="M6825" s="21"/>
    </row>
    <row r="6826" spans="13:13" x14ac:dyDescent="0.25">
      <c r="M6826" s="21"/>
    </row>
    <row r="6827" spans="13:13" x14ac:dyDescent="0.25">
      <c r="M6827" s="21"/>
    </row>
    <row r="6828" spans="13:13" x14ac:dyDescent="0.25">
      <c r="M6828" s="21"/>
    </row>
    <row r="6829" spans="13:13" x14ac:dyDescent="0.25">
      <c r="M6829" s="21"/>
    </row>
    <row r="6830" spans="13:13" x14ac:dyDescent="0.25">
      <c r="M6830" s="21"/>
    </row>
    <row r="6831" spans="13:13" x14ac:dyDescent="0.25">
      <c r="M6831" s="21"/>
    </row>
    <row r="6832" spans="13:13" x14ac:dyDescent="0.25">
      <c r="M6832" s="21"/>
    </row>
    <row r="6833" spans="13:13" x14ac:dyDescent="0.25">
      <c r="M6833" s="21"/>
    </row>
    <row r="6834" spans="13:13" x14ac:dyDescent="0.25">
      <c r="M6834" s="21"/>
    </row>
    <row r="6835" spans="13:13" x14ac:dyDescent="0.25">
      <c r="M6835" s="21"/>
    </row>
    <row r="6836" spans="13:13" x14ac:dyDescent="0.25">
      <c r="M6836" s="21"/>
    </row>
    <row r="6837" spans="13:13" x14ac:dyDescent="0.25">
      <c r="M6837" s="21"/>
    </row>
    <row r="6838" spans="13:13" x14ac:dyDescent="0.25">
      <c r="M6838" s="21"/>
    </row>
    <row r="6839" spans="13:13" x14ac:dyDescent="0.25">
      <c r="M6839" s="21"/>
    </row>
    <row r="6840" spans="13:13" x14ac:dyDescent="0.25">
      <c r="M6840" s="21"/>
    </row>
    <row r="6841" spans="13:13" x14ac:dyDescent="0.25">
      <c r="M6841" s="21"/>
    </row>
    <row r="6842" spans="13:13" x14ac:dyDescent="0.25">
      <c r="M6842" s="21"/>
    </row>
    <row r="6843" spans="13:13" x14ac:dyDescent="0.25">
      <c r="M6843" s="21"/>
    </row>
    <row r="6844" spans="13:13" x14ac:dyDescent="0.25">
      <c r="M6844" s="21"/>
    </row>
    <row r="6845" spans="13:13" x14ac:dyDescent="0.25">
      <c r="M6845" s="21"/>
    </row>
    <row r="6846" spans="13:13" x14ac:dyDescent="0.25">
      <c r="M6846" s="21"/>
    </row>
    <row r="6847" spans="13:13" x14ac:dyDescent="0.25">
      <c r="M6847" s="21"/>
    </row>
    <row r="6848" spans="13:13" x14ac:dyDescent="0.25">
      <c r="M6848" s="21"/>
    </row>
    <row r="6849" spans="13:13" x14ac:dyDescent="0.25">
      <c r="M6849" s="21"/>
    </row>
    <row r="6850" spans="13:13" x14ac:dyDescent="0.25">
      <c r="M6850" s="21"/>
    </row>
    <row r="6851" spans="13:13" x14ac:dyDescent="0.25">
      <c r="M6851" s="21"/>
    </row>
    <row r="6852" spans="13:13" x14ac:dyDescent="0.25">
      <c r="M6852" s="21"/>
    </row>
    <row r="6853" spans="13:13" x14ac:dyDescent="0.25">
      <c r="M6853" s="21"/>
    </row>
    <row r="6854" spans="13:13" x14ac:dyDescent="0.25">
      <c r="M6854" s="21"/>
    </row>
    <row r="6855" spans="13:13" x14ac:dyDescent="0.25">
      <c r="M6855" s="21"/>
    </row>
    <row r="6856" spans="13:13" x14ac:dyDescent="0.25">
      <c r="M6856" s="21"/>
    </row>
    <row r="6857" spans="13:13" x14ac:dyDescent="0.25">
      <c r="M6857" s="21"/>
    </row>
    <row r="6858" spans="13:13" x14ac:dyDescent="0.25">
      <c r="M6858" s="21"/>
    </row>
    <row r="6859" spans="13:13" x14ac:dyDescent="0.25">
      <c r="M6859" s="21"/>
    </row>
    <row r="6860" spans="13:13" x14ac:dyDescent="0.25">
      <c r="M6860" s="21"/>
    </row>
    <row r="6861" spans="13:13" x14ac:dyDescent="0.25">
      <c r="M6861" s="21"/>
    </row>
    <row r="6862" spans="13:13" x14ac:dyDescent="0.25">
      <c r="M6862" s="21"/>
    </row>
    <row r="6863" spans="13:13" x14ac:dyDescent="0.25">
      <c r="M6863" s="21"/>
    </row>
    <row r="6864" spans="13:13" x14ac:dyDescent="0.25">
      <c r="M6864" s="21"/>
    </row>
    <row r="6865" spans="13:13" x14ac:dyDescent="0.25">
      <c r="M6865" s="21"/>
    </row>
    <row r="6866" spans="13:13" x14ac:dyDescent="0.25">
      <c r="M6866" s="21"/>
    </row>
    <row r="6867" spans="13:13" x14ac:dyDescent="0.25">
      <c r="M6867" s="21"/>
    </row>
    <row r="6868" spans="13:13" x14ac:dyDescent="0.25">
      <c r="M6868" s="21"/>
    </row>
    <row r="6869" spans="13:13" x14ac:dyDescent="0.25">
      <c r="M6869" s="21"/>
    </row>
    <row r="6870" spans="13:13" x14ac:dyDescent="0.25">
      <c r="M6870" s="21"/>
    </row>
    <row r="6871" spans="13:13" x14ac:dyDescent="0.25">
      <c r="M6871" s="21"/>
    </row>
    <row r="6872" spans="13:13" x14ac:dyDescent="0.25">
      <c r="M6872" s="21"/>
    </row>
    <row r="6873" spans="13:13" x14ac:dyDescent="0.25">
      <c r="M6873" s="21"/>
    </row>
    <row r="6874" spans="13:13" x14ac:dyDescent="0.25">
      <c r="M6874" s="21"/>
    </row>
    <row r="6875" spans="13:13" x14ac:dyDescent="0.25">
      <c r="M6875" s="21"/>
    </row>
    <row r="6876" spans="13:13" x14ac:dyDescent="0.25">
      <c r="M6876" s="21"/>
    </row>
    <row r="6877" spans="13:13" x14ac:dyDescent="0.25">
      <c r="M6877" s="21"/>
    </row>
    <row r="6878" spans="13:13" x14ac:dyDescent="0.25">
      <c r="M6878" s="21"/>
    </row>
    <row r="6879" spans="13:13" x14ac:dyDescent="0.25">
      <c r="M6879" s="21"/>
    </row>
    <row r="6880" spans="13:13" x14ac:dyDescent="0.25">
      <c r="M6880" s="21"/>
    </row>
    <row r="6881" spans="13:13" x14ac:dyDescent="0.25">
      <c r="M6881" s="21"/>
    </row>
    <row r="6882" spans="13:13" x14ac:dyDescent="0.25">
      <c r="M6882" s="21"/>
    </row>
    <row r="6883" spans="13:13" x14ac:dyDescent="0.25">
      <c r="M6883" s="21"/>
    </row>
    <row r="6884" spans="13:13" x14ac:dyDescent="0.25">
      <c r="M6884" s="21"/>
    </row>
    <row r="6885" spans="13:13" x14ac:dyDescent="0.25">
      <c r="M6885" s="21"/>
    </row>
    <row r="6886" spans="13:13" x14ac:dyDescent="0.25">
      <c r="M6886" s="21"/>
    </row>
    <row r="6887" spans="13:13" x14ac:dyDescent="0.25">
      <c r="M6887" s="21"/>
    </row>
    <row r="6888" spans="13:13" x14ac:dyDescent="0.25">
      <c r="M6888" s="21"/>
    </row>
    <row r="6889" spans="13:13" x14ac:dyDescent="0.25">
      <c r="M6889" s="21"/>
    </row>
    <row r="6890" spans="13:13" x14ac:dyDescent="0.25">
      <c r="M6890" s="21"/>
    </row>
    <row r="6891" spans="13:13" x14ac:dyDescent="0.25">
      <c r="M6891" s="21"/>
    </row>
    <row r="6892" spans="13:13" x14ac:dyDescent="0.25">
      <c r="M6892" s="21"/>
    </row>
    <row r="6893" spans="13:13" x14ac:dyDescent="0.25">
      <c r="M6893" s="21"/>
    </row>
    <row r="6894" spans="13:13" x14ac:dyDescent="0.25">
      <c r="M6894" s="21"/>
    </row>
    <row r="6895" spans="13:13" x14ac:dyDescent="0.25">
      <c r="M6895" s="21"/>
    </row>
    <row r="6896" spans="13:13" x14ac:dyDescent="0.25">
      <c r="M6896" s="21"/>
    </row>
    <row r="6897" spans="13:13" x14ac:dyDescent="0.25">
      <c r="M6897" s="21"/>
    </row>
    <row r="6898" spans="13:13" x14ac:dyDescent="0.25">
      <c r="M6898" s="21"/>
    </row>
    <row r="6899" spans="13:13" x14ac:dyDescent="0.25">
      <c r="M6899" s="21"/>
    </row>
    <row r="6900" spans="13:13" x14ac:dyDescent="0.25">
      <c r="M6900" s="21"/>
    </row>
    <row r="6901" spans="13:13" x14ac:dyDescent="0.25">
      <c r="M6901" s="21"/>
    </row>
    <row r="6902" spans="13:13" x14ac:dyDescent="0.25">
      <c r="M6902" s="21"/>
    </row>
    <row r="6903" spans="13:13" x14ac:dyDescent="0.25">
      <c r="M6903" s="21"/>
    </row>
    <row r="6904" spans="13:13" x14ac:dyDescent="0.25">
      <c r="M6904" s="21"/>
    </row>
    <row r="6905" spans="13:13" x14ac:dyDescent="0.25">
      <c r="M6905" s="21"/>
    </row>
    <row r="6906" spans="13:13" x14ac:dyDescent="0.25">
      <c r="M6906" s="21"/>
    </row>
    <row r="6907" spans="13:13" x14ac:dyDescent="0.25">
      <c r="M6907" s="21"/>
    </row>
    <row r="6908" spans="13:13" x14ac:dyDescent="0.25">
      <c r="M6908" s="21"/>
    </row>
    <row r="6909" spans="13:13" x14ac:dyDescent="0.25">
      <c r="M6909" s="21"/>
    </row>
    <row r="6910" spans="13:13" x14ac:dyDescent="0.25">
      <c r="M6910" s="21"/>
    </row>
    <row r="6911" spans="13:13" x14ac:dyDescent="0.25">
      <c r="M6911" s="21"/>
    </row>
    <row r="6912" spans="13:13" x14ac:dyDescent="0.25">
      <c r="M6912" s="21"/>
    </row>
    <row r="6913" spans="13:13" x14ac:dyDescent="0.25">
      <c r="M6913" s="21"/>
    </row>
    <row r="6914" spans="13:13" x14ac:dyDescent="0.25">
      <c r="M6914" s="21"/>
    </row>
    <row r="6915" spans="13:13" x14ac:dyDescent="0.25">
      <c r="M6915" s="21"/>
    </row>
    <row r="6916" spans="13:13" x14ac:dyDescent="0.25">
      <c r="M6916" s="21"/>
    </row>
    <row r="6917" spans="13:13" x14ac:dyDescent="0.25">
      <c r="M6917" s="21"/>
    </row>
    <row r="6918" spans="13:13" x14ac:dyDescent="0.25">
      <c r="M6918" s="21"/>
    </row>
    <row r="6919" spans="13:13" x14ac:dyDescent="0.25">
      <c r="M6919" s="21"/>
    </row>
    <row r="6920" spans="13:13" x14ac:dyDescent="0.25">
      <c r="M6920" s="21"/>
    </row>
    <row r="6921" spans="13:13" x14ac:dyDescent="0.25">
      <c r="M6921" s="21"/>
    </row>
    <row r="6922" spans="13:13" x14ac:dyDescent="0.25">
      <c r="M6922" s="21"/>
    </row>
    <row r="6923" spans="13:13" x14ac:dyDescent="0.25">
      <c r="M6923" s="21"/>
    </row>
    <row r="6924" spans="13:13" x14ac:dyDescent="0.25">
      <c r="M6924" s="21"/>
    </row>
    <row r="6925" spans="13:13" x14ac:dyDescent="0.25">
      <c r="M6925" s="21"/>
    </row>
    <row r="6926" spans="13:13" x14ac:dyDescent="0.25">
      <c r="M6926" s="21"/>
    </row>
    <row r="6927" spans="13:13" x14ac:dyDescent="0.25">
      <c r="M6927" s="21"/>
    </row>
    <row r="6928" spans="13:13" x14ac:dyDescent="0.25">
      <c r="M6928" s="21"/>
    </row>
    <row r="6929" spans="13:13" x14ac:dyDescent="0.25">
      <c r="M6929" s="21"/>
    </row>
    <row r="6930" spans="13:13" x14ac:dyDescent="0.25">
      <c r="M6930" s="21"/>
    </row>
    <row r="6931" spans="13:13" x14ac:dyDescent="0.25">
      <c r="M6931" s="21"/>
    </row>
    <row r="6932" spans="13:13" x14ac:dyDescent="0.25">
      <c r="M6932" s="21"/>
    </row>
    <row r="6933" spans="13:13" x14ac:dyDescent="0.25">
      <c r="M6933" s="21"/>
    </row>
    <row r="6934" spans="13:13" x14ac:dyDescent="0.25">
      <c r="M6934" s="21"/>
    </row>
    <row r="6935" spans="13:13" x14ac:dyDescent="0.25">
      <c r="M6935" s="21"/>
    </row>
    <row r="6936" spans="13:13" x14ac:dyDescent="0.25">
      <c r="M6936" s="21"/>
    </row>
    <row r="6937" spans="13:13" x14ac:dyDescent="0.25">
      <c r="M6937" s="21"/>
    </row>
    <row r="6938" spans="13:13" x14ac:dyDescent="0.25">
      <c r="M6938" s="21"/>
    </row>
    <row r="6939" spans="13:13" x14ac:dyDescent="0.25">
      <c r="M6939" s="21"/>
    </row>
    <row r="6940" spans="13:13" x14ac:dyDescent="0.25">
      <c r="M6940" s="21"/>
    </row>
    <row r="6941" spans="13:13" x14ac:dyDescent="0.25">
      <c r="M6941" s="21"/>
    </row>
    <row r="6942" spans="13:13" x14ac:dyDescent="0.25">
      <c r="M6942" s="21"/>
    </row>
    <row r="6943" spans="13:13" x14ac:dyDescent="0.25">
      <c r="M6943" s="21"/>
    </row>
    <row r="6944" spans="13:13" x14ac:dyDescent="0.25">
      <c r="M6944" s="21"/>
    </row>
    <row r="6945" spans="13:13" x14ac:dyDescent="0.25">
      <c r="M6945" s="21"/>
    </row>
    <row r="6946" spans="13:13" x14ac:dyDescent="0.25">
      <c r="M6946" s="21"/>
    </row>
    <row r="6947" spans="13:13" x14ac:dyDescent="0.25">
      <c r="M6947" s="21"/>
    </row>
    <row r="6948" spans="13:13" x14ac:dyDescent="0.25">
      <c r="M6948" s="21"/>
    </row>
    <row r="6949" spans="13:13" x14ac:dyDescent="0.25">
      <c r="M6949" s="21"/>
    </row>
    <row r="6950" spans="13:13" x14ac:dyDescent="0.25">
      <c r="M6950" s="21"/>
    </row>
    <row r="6951" spans="13:13" x14ac:dyDescent="0.25">
      <c r="M6951" s="21"/>
    </row>
    <row r="6952" spans="13:13" x14ac:dyDescent="0.25">
      <c r="M6952" s="21"/>
    </row>
    <row r="6953" spans="13:13" x14ac:dyDescent="0.25">
      <c r="M6953" s="21"/>
    </row>
    <row r="6954" spans="13:13" x14ac:dyDescent="0.25">
      <c r="M6954" s="21"/>
    </row>
    <row r="6955" spans="13:13" x14ac:dyDescent="0.25">
      <c r="M6955" s="21"/>
    </row>
    <row r="6956" spans="13:13" x14ac:dyDescent="0.25">
      <c r="M6956" s="21"/>
    </row>
    <row r="6957" spans="13:13" x14ac:dyDescent="0.25">
      <c r="M6957" s="21"/>
    </row>
    <row r="6958" spans="13:13" x14ac:dyDescent="0.25">
      <c r="M6958" s="21"/>
    </row>
    <row r="6959" spans="13:13" x14ac:dyDescent="0.25">
      <c r="M6959" s="21"/>
    </row>
    <row r="6960" spans="13:13" x14ac:dyDescent="0.25">
      <c r="M6960" s="21"/>
    </row>
    <row r="6961" spans="13:13" x14ac:dyDescent="0.25">
      <c r="M6961" s="21"/>
    </row>
    <row r="6962" spans="13:13" x14ac:dyDescent="0.25">
      <c r="M6962" s="21"/>
    </row>
    <row r="6963" spans="13:13" x14ac:dyDescent="0.25">
      <c r="M6963" s="21"/>
    </row>
    <row r="6964" spans="13:13" x14ac:dyDescent="0.25">
      <c r="M6964" s="21"/>
    </row>
    <row r="6965" spans="13:13" x14ac:dyDescent="0.25">
      <c r="M6965" s="21"/>
    </row>
    <row r="6966" spans="13:13" x14ac:dyDescent="0.25">
      <c r="M6966" s="21"/>
    </row>
    <row r="6967" spans="13:13" x14ac:dyDescent="0.25">
      <c r="M6967" s="21"/>
    </row>
    <row r="6968" spans="13:13" x14ac:dyDescent="0.25">
      <c r="M6968" s="21"/>
    </row>
    <row r="6969" spans="13:13" x14ac:dyDescent="0.25">
      <c r="M6969" s="21"/>
    </row>
    <row r="6970" spans="13:13" x14ac:dyDescent="0.25">
      <c r="M6970" s="21"/>
    </row>
    <row r="6971" spans="13:13" x14ac:dyDescent="0.25">
      <c r="M6971" s="21"/>
    </row>
    <row r="6972" spans="13:13" x14ac:dyDescent="0.25">
      <c r="M6972" s="21"/>
    </row>
    <row r="6973" spans="13:13" x14ac:dyDescent="0.25">
      <c r="M6973" s="21"/>
    </row>
    <row r="6974" spans="13:13" x14ac:dyDescent="0.25">
      <c r="M6974" s="21"/>
    </row>
    <row r="6975" spans="13:13" x14ac:dyDescent="0.25">
      <c r="M6975" s="21"/>
    </row>
    <row r="6976" spans="13:13" x14ac:dyDescent="0.25">
      <c r="M6976" s="21"/>
    </row>
    <row r="6977" spans="13:13" x14ac:dyDescent="0.25">
      <c r="M6977" s="21"/>
    </row>
    <row r="6978" spans="13:13" x14ac:dyDescent="0.25">
      <c r="M6978" s="21"/>
    </row>
    <row r="6979" spans="13:13" x14ac:dyDescent="0.25">
      <c r="M6979" s="21"/>
    </row>
    <row r="6980" spans="13:13" x14ac:dyDescent="0.25">
      <c r="M6980" s="21"/>
    </row>
    <row r="6981" spans="13:13" x14ac:dyDescent="0.25">
      <c r="M6981" s="21"/>
    </row>
    <row r="6982" spans="13:13" x14ac:dyDescent="0.25">
      <c r="M6982" s="21"/>
    </row>
    <row r="6983" spans="13:13" x14ac:dyDescent="0.25">
      <c r="M6983" s="21"/>
    </row>
    <row r="6984" spans="13:13" x14ac:dyDescent="0.25">
      <c r="M6984" s="21"/>
    </row>
    <row r="6985" spans="13:13" x14ac:dyDescent="0.25">
      <c r="M6985" s="21"/>
    </row>
    <row r="6986" spans="13:13" x14ac:dyDescent="0.25">
      <c r="M6986" s="21"/>
    </row>
    <row r="6987" spans="13:13" x14ac:dyDescent="0.25">
      <c r="M6987" s="21"/>
    </row>
    <row r="6988" spans="13:13" x14ac:dyDescent="0.25">
      <c r="M6988" s="21"/>
    </row>
    <row r="6989" spans="13:13" x14ac:dyDescent="0.25">
      <c r="M6989" s="21"/>
    </row>
    <row r="6990" spans="13:13" x14ac:dyDescent="0.25">
      <c r="M6990" s="21"/>
    </row>
    <row r="6991" spans="13:13" x14ac:dyDescent="0.25">
      <c r="M6991" s="21"/>
    </row>
    <row r="6992" spans="13:13" x14ac:dyDescent="0.25">
      <c r="M6992" s="21"/>
    </row>
    <row r="6993" spans="13:13" x14ac:dyDescent="0.25">
      <c r="M6993" s="21"/>
    </row>
    <row r="6994" spans="13:13" x14ac:dyDescent="0.25">
      <c r="M6994" s="21"/>
    </row>
    <row r="6995" spans="13:13" x14ac:dyDescent="0.25">
      <c r="M6995" s="21"/>
    </row>
    <row r="6996" spans="13:13" x14ac:dyDescent="0.25">
      <c r="M6996" s="21"/>
    </row>
    <row r="6997" spans="13:13" x14ac:dyDescent="0.25">
      <c r="M6997" s="21"/>
    </row>
    <row r="6998" spans="13:13" x14ac:dyDescent="0.25">
      <c r="M6998" s="21"/>
    </row>
    <row r="6999" spans="13:13" x14ac:dyDescent="0.25">
      <c r="M6999" s="21"/>
    </row>
    <row r="7000" spans="13:13" x14ac:dyDescent="0.25">
      <c r="M7000" s="21"/>
    </row>
    <row r="7001" spans="13:13" x14ac:dyDescent="0.25">
      <c r="M7001" s="21"/>
    </row>
    <row r="7002" spans="13:13" x14ac:dyDescent="0.25">
      <c r="M7002" s="21"/>
    </row>
    <row r="7003" spans="13:13" x14ac:dyDescent="0.25">
      <c r="M7003" s="21"/>
    </row>
    <row r="7004" spans="13:13" x14ac:dyDescent="0.25">
      <c r="M7004" s="21"/>
    </row>
    <row r="7005" spans="13:13" x14ac:dyDescent="0.25">
      <c r="M7005" s="21"/>
    </row>
    <row r="7006" spans="13:13" x14ac:dyDescent="0.25">
      <c r="M7006" s="21"/>
    </row>
    <row r="7007" spans="13:13" x14ac:dyDescent="0.25">
      <c r="M7007" s="21"/>
    </row>
    <row r="7008" spans="13:13" x14ac:dyDescent="0.25">
      <c r="M7008" s="21"/>
    </row>
    <row r="7009" spans="13:13" x14ac:dyDescent="0.25">
      <c r="M7009" s="21"/>
    </row>
    <row r="7010" spans="13:13" x14ac:dyDescent="0.25">
      <c r="M7010" s="21"/>
    </row>
    <row r="7011" spans="13:13" x14ac:dyDescent="0.25">
      <c r="M7011" s="21"/>
    </row>
    <row r="7012" spans="13:13" x14ac:dyDescent="0.25">
      <c r="M7012" s="21"/>
    </row>
    <row r="7013" spans="13:13" x14ac:dyDescent="0.25">
      <c r="M7013" s="21"/>
    </row>
    <row r="7014" spans="13:13" x14ac:dyDescent="0.25">
      <c r="M7014" s="21"/>
    </row>
    <row r="7015" spans="13:13" x14ac:dyDescent="0.25">
      <c r="M7015" s="21"/>
    </row>
    <row r="7016" spans="13:13" x14ac:dyDescent="0.25">
      <c r="M7016" s="21"/>
    </row>
    <row r="7017" spans="13:13" x14ac:dyDescent="0.25">
      <c r="M7017" s="21"/>
    </row>
    <row r="7018" spans="13:13" x14ac:dyDescent="0.25">
      <c r="M7018" s="21"/>
    </row>
    <row r="7019" spans="13:13" x14ac:dyDescent="0.25">
      <c r="M7019" s="21"/>
    </row>
    <row r="7020" spans="13:13" x14ac:dyDescent="0.25">
      <c r="M7020" s="21"/>
    </row>
    <row r="7021" spans="13:13" x14ac:dyDescent="0.25">
      <c r="M7021" s="21"/>
    </row>
    <row r="7022" spans="13:13" x14ac:dyDescent="0.25">
      <c r="M7022" s="21"/>
    </row>
    <row r="7023" spans="13:13" x14ac:dyDescent="0.25">
      <c r="M7023" s="21"/>
    </row>
    <row r="7024" spans="13:13" x14ac:dyDescent="0.25">
      <c r="M7024" s="21"/>
    </row>
    <row r="7025" spans="13:13" x14ac:dyDescent="0.25">
      <c r="M7025" s="21"/>
    </row>
    <row r="7026" spans="13:13" x14ac:dyDescent="0.25">
      <c r="M7026" s="21"/>
    </row>
    <row r="7027" spans="13:13" x14ac:dyDescent="0.25">
      <c r="M7027" s="21"/>
    </row>
    <row r="7028" spans="13:13" x14ac:dyDescent="0.25">
      <c r="M7028" s="21"/>
    </row>
    <row r="7029" spans="13:13" x14ac:dyDescent="0.25">
      <c r="M7029" s="21"/>
    </row>
    <row r="7030" spans="13:13" x14ac:dyDescent="0.25">
      <c r="M7030" s="21"/>
    </row>
    <row r="7031" spans="13:13" x14ac:dyDescent="0.25">
      <c r="M7031" s="21"/>
    </row>
    <row r="7032" spans="13:13" x14ac:dyDescent="0.25">
      <c r="M7032" s="21"/>
    </row>
    <row r="7033" spans="13:13" x14ac:dyDescent="0.25">
      <c r="M7033" s="21"/>
    </row>
    <row r="7034" spans="13:13" x14ac:dyDescent="0.25">
      <c r="M7034" s="21"/>
    </row>
    <row r="7035" spans="13:13" x14ac:dyDescent="0.25">
      <c r="M7035" s="21"/>
    </row>
    <row r="7036" spans="13:13" x14ac:dyDescent="0.25">
      <c r="M7036" s="21"/>
    </row>
    <row r="7037" spans="13:13" x14ac:dyDescent="0.25">
      <c r="M7037" s="21"/>
    </row>
    <row r="7038" spans="13:13" x14ac:dyDescent="0.25">
      <c r="M7038" s="21"/>
    </row>
    <row r="7039" spans="13:13" x14ac:dyDescent="0.25">
      <c r="M7039" s="21"/>
    </row>
    <row r="7040" spans="13:13" x14ac:dyDescent="0.25">
      <c r="M7040" s="21"/>
    </row>
    <row r="7041" spans="13:13" x14ac:dyDescent="0.25">
      <c r="M7041" s="21"/>
    </row>
    <row r="7042" spans="13:13" x14ac:dyDescent="0.25">
      <c r="M7042" s="21"/>
    </row>
    <row r="7043" spans="13:13" x14ac:dyDescent="0.25">
      <c r="M7043" s="21"/>
    </row>
    <row r="7044" spans="13:13" x14ac:dyDescent="0.25">
      <c r="M7044" s="21"/>
    </row>
    <row r="7045" spans="13:13" x14ac:dyDescent="0.25">
      <c r="M7045" s="21"/>
    </row>
    <row r="7046" spans="13:13" x14ac:dyDescent="0.25">
      <c r="M7046" s="21"/>
    </row>
    <row r="7047" spans="13:13" x14ac:dyDescent="0.25">
      <c r="M7047" s="21"/>
    </row>
    <row r="7048" spans="13:13" x14ac:dyDescent="0.25">
      <c r="M7048" s="21"/>
    </row>
    <row r="7049" spans="13:13" x14ac:dyDescent="0.25">
      <c r="M7049" s="21"/>
    </row>
    <row r="7050" spans="13:13" x14ac:dyDescent="0.25">
      <c r="M7050" s="21"/>
    </row>
    <row r="7051" spans="13:13" x14ac:dyDescent="0.25">
      <c r="M7051" s="21"/>
    </row>
    <row r="7052" spans="13:13" x14ac:dyDescent="0.25">
      <c r="M7052" s="21"/>
    </row>
    <row r="7053" spans="13:13" x14ac:dyDescent="0.25">
      <c r="M7053" s="21"/>
    </row>
    <row r="7054" spans="13:13" x14ac:dyDescent="0.25">
      <c r="M7054" s="21"/>
    </row>
    <row r="7055" spans="13:13" x14ac:dyDescent="0.25">
      <c r="M7055" s="21"/>
    </row>
    <row r="7056" spans="13:13" x14ac:dyDescent="0.25">
      <c r="M7056" s="21"/>
    </row>
    <row r="7057" spans="13:13" x14ac:dyDescent="0.25">
      <c r="M7057" s="21"/>
    </row>
    <row r="7058" spans="13:13" x14ac:dyDescent="0.25">
      <c r="M7058" s="21"/>
    </row>
    <row r="7059" spans="13:13" x14ac:dyDescent="0.25">
      <c r="M7059" s="21"/>
    </row>
    <row r="7060" spans="13:13" x14ac:dyDescent="0.25">
      <c r="M7060" s="21"/>
    </row>
    <row r="7061" spans="13:13" x14ac:dyDescent="0.25">
      <c r="M7061" s="21"/>
    </row>
    <row r="7062" spans="13:13" x14ac:dyDescent="0.25">
      <c r="M7062" s="21"/>
    </row>
    <row r="7063" spans="13:13" x14ac:dyDescent="0.25">
      <c r="M7063" s="21"/>
    </row>
    <row r="7064" spans="13:13" x14ac:dyDescent="0.25">
      <c r="M7064" s="21"/>
    </row>
    <row r="7065" spans="13:13" x14ac:dyDescent="0.25">
      <c r="M7065" s="21"/>
    </row>
    <row r="7066" spans="13:13" x14ac:dyDescent="0.25">
      <c r="M7066" s="21"/>
    </row>
    <row r="7067" spans="13:13" x14ac:dyDescent="0.25">
      <c r="M7067" s="21"/>
    </row>
    <row r="7068" spans="13:13" x14ac:dyDescent="0.25">
      <c r="M7068" s="21"/>
    </row>
    <row r="7069" spans="13:13" x14ac:dyDescent="0.25">
      <c r="M7069" s="21"/>
    </row>
    <row r="7070" spans="13:13" x14ac:dyDescent="0.25">
      <c r="M7070" s="21"/>
    </row>
    <row r="7071" spans="13:13" x14ac:dyDescent="0.25">
      <c r="M7071" s="21"/>
    </row>
    <row r="7072" spans="13:13" x14ac:dyDescent="0.25">
      <c r="M7072" s="21"/>
    </row>
    <row r="7073" spans="13:13" x14ac:dyDescent="0.25">
      <c r="M7073" s="21"/>
    </row>
    <row r="7074" spans="13:13" x14ac:dyDescent="0.25">
      <c r="M7074" s="21"/>
    </row>
    <row r="7075" spans="13:13" x14ac:dyDescent="0.25">
      <c r="M7075" s="21"/>
    </row>
    <row r="7076" spans="13:13" x14ac:dyDescent="0.25">
      <c r="M7076" s="21"/>
    </row>
    <row r="7077" spans="13:13" x14ac:dyDescent="0.25">
      <c r="M7077" s="21"/>
    </row>
    <row r="7078" spans="13:13" x14ac:dyDescent="0.25">
      <c r="M7078" s="21"/>
    </row>
    <row r="7079" spans="13:13" x14ac:dyDescent="0.25">
      <c r="M7079" s="21"/>
    </row>
    <row r="7080" spans="13:13" x14ac:dyDescent="0.25">
      <c r="M7080" s="21"/>
    </row>
    <row r="7081" spans="13:13" x14ac:dyDescent="0.25">
      <c r="M7081" s="21"/>
    </row>
    <row r="7082" spans="13:13" x14ac:dyDescent="0.25">
      <c r="M7082" s="21"/>
    </row>
    <row r="7083" spans="13:13" x14ac:dyDescent="0.25">
      <c r="M7083" s="21"/>
    </row>
    <row r="7084" spans="13:13" x14ac:dyDescent="0.25">
      <c r="M7084" s="21"/>
    </row>
    <row r="7085" spans="13:13" x14ac:dyDescent="0.25">
      <c r="M7085" s="21"/>
    </row>
    <row r="7086" spans="13:13" x14ac:dyDescent="0.25">
      <c r="M7086" s="21"/>
    </row>
    <row r="7087" spans="13:13" x14ac:dyDescent="0.25">
      <c r="M7087" s="21"/>
    </row>
    <row r="7088" spans="13:13" x14ac:dyDescent="0.25">
      <c r="M7088" s="21"/>
    </row>
    <row r="7089" spans="13:13" x14ac:dyDescent="0.25">
      <c r="M7089" s="21"/>
    </row>
    <row r="7090" spans="13:13" x14ac:dyDescent="0.25">
      <c r="M7090" s="21"/>
    </row>
    <row r="7091" spans="13:13" x14ac:dyDescent="0.25">
      <c r="M7091" s="21"/>
    </row>
    <row r="7092" spans="13:13" x14ac:dyDescent="0.25">
      <c r="M7092" s="21"/>
    </row>
    <row r="7093" spans="13:13" x14ac:dyDescent="0.25">
      <c r="M7093" s="21"/>
    </row>
    <row r="7094" spans="13:13" x14ac:dyDescent="0.25">
      <c r="M7094" s="21"/>
    </row>
    <row r="7095" spans="13:13" x14ac:dyDescent="0.25">
      <c r="M7095" s="21"/>
    </row>
    <row r="7096" spans="13:13" x14ac:dyDescent="0.25">
      <c r="M7096" s="21"/>
    </row>
    <row r="7097" spans="13:13" x14ac:dyDescent="0.25">
      <c r="M7097" s="21"/>
    </row>
    <row r="7098" spans="13:13" x14ac:dyDescent="0.25">
      <c r="M7098" s="21"/>
    </row>
    <row r="7099" spans="13:13" x14ac:dyDescent="0.25">
      <c r="M7099" s="21"/>
    </row>
    <row r="7100" spans="13:13" x14ac:dyDescent="0.25">
      <c r="M7100" s="21"/>
    </row>
    <row r="7101" spans="13:13" x14ac:dyDescent="0.25">
      <c r="M7101" s="21"/>
    </row>
    <row r="7102" spans="13:13" x14ac:dyDescent="0.25">
      <c r="M7102" s="21"/>
    </row>
    <row r="7103" spans="13:13" x14ac:dyDescent="0.25">
      <c r="M7103" s="21"/>
    </row>
    <row r="7104" spans="13:13" x14ac:dyDescent="0.25">
      <c r="M7104" s="21"/>
    </row>
    <row r="7105" spans="13:13" x14ac:dyDescent="0.25">
      <c r="M7105" s="21"/>
    </row>
    <row r="7106" spans="13:13" x14ac:dyDescent="0.25">
      <c r="M7106" s="21"/>
    </row>
    <row r="7107" spans="13:13" x14ac:dyDescent="0.25">
      <c r="M7107" s="21"/>
    </row>
    <row r="7108" spans="13:13" x14ac:dyDescent="0.25">
      <c r="M7108" s="21"/>
    </row>
    <row r="7109" spans="13:13" x14ac:dyDescent="0.25">
      <c r="M7109" s="21"/>
    </row>
    <row r="7110" spans="13:13" x14ac:dyDescent="0.25">
      <c r="M7110" s="21"/>
    </row>
    <row r="7111" spans="13:13" x14ac:dyDescent="0.25">
      <c r="M7111" s="21"/>
    </row>
    <row r="7112" spans="13:13" x14ac:dyDescent="0.25">
      <c r="M7112" s="21"/>
    </row>
    <row r="7113" spans="13:13" x14ac:dyDescent="0.25">
      <c r="M7113" s="21"/>
    </row>
    <row r="7114" spans="13:13" x14ac:dyDescent="0.25">
      <c r="M7114" s="21"/>
    </row>
    <row r="7115" spans="13:13" x14ac:dyDescent="0.25">
      <c r="M7115" s="21"/>
    </row>
    <row r="7116" spans="13:13" x14ac:dyDescent="0.25">
      <c r="M7116" s="21"/>
    </row>
    <row r="7117" spans="13:13" x14ac:dyDescent="0.25">
      <c r="M7117" s="21"/>
    </row>
    <row r="7118" spans="13:13" x14ac:dyDescent="0.25">
      <c r="M7118" s="21"/>
    </row>
    <row r="7119" spans="13:13" x14ac:dyDescent="0.25">
      <c r="M7119" s="21"/>
    </row>
    <row r="7120" spans="13:13" x14ac:dyDescent="0.25">
      <c r="M7120" s="21"/>
    </row>
    <row r="7121" spans="13:13" x14ac:dyDescent="0.25">
      <c r="M7121" s="21"/>
    </row>
    <row r="7122" spans="13:13" x14ac:dyDescent="0.25">
      <c r="M7122" s="21"/>
    </row>
    <row r="7123" spans="13:13" x14ac:dyDescent="0.25">
      <c r="M7123" s="21"/>
    </row>
    <row r="7124" spans="13:13" x14ac:dyDescent="0.25">
      <c r="M7124" s="21"/>
    </row>
    <row r="7125" spans="13:13" x14ac:dyDescent="0.25">
      <c r="M7125" s="21"/>
    </row>
    <row r="7126" spans="13:13" x14ac:dyDescent="0.25">
      <c r="M7126" s="21"/>
    </row>
    <row r="7127" spans="13:13" x14ac:dyDescent="0.25">
      <c r="M7127" s="21"/>
    </row>
    <row r="7128" spans="13:13" x14ac:dyDescent="0.25">
      <c r="M7128" s="21"/>
    </row>
    <row r="7129" spans="13:13" x14ac:dyDescent="0.25">
      <c r="M7129" s="21"/>
    </row>
    <row r="7130" spans="13:13" x14ac:dyDescent="0.25">
      <c r="M7130" s="21"/>
    </row>
    <row r="7131" spans="13:13" x14ac:dyDescent="0.25">
      <c r="M7131" s="21"/>
    </row>
    <row r="7132" spans="13:13" x14ac:dyDescent="0.25">
      <c r="M7132" s="21"/>
    </row>
    <row r="7133" spans="13:13" x14ac:dyDescent="0.25">
      <c r="M7133" s="21"/>
    </row>
    <row r="7134" spans="13:13" x14ac:dyDescent="0.25">
      <c r="M7134" s="21"/>
    </row>
    <row r="7135" spans="13:13" x14ac:dyDescent="0.25">
      <c r="M7135" s="21"/>
    </row>
    <row r="7136" spans="13:13" x14ac:dyDescent="0.25">
      <c r="M7136" s="21"/>
    </row>
    <row r="7137" spans="13:13" x14ac:dyDescent="0.25">
      <c r="M7137" s="21"/>
    </row>
    <row r="7138" spans="13:13" x14ac:dyDescent="0.25">
      <c r="M7138" s="21"/>
    </row>
    <row r="7139" spans="13:13" x14ac:dyDescent="0.25">
      <c r="M7139" s="21"/>
    </row>
    <row r="7140" spans="13:13" x14ac:dyDescent="0.25">
      <c r="M7140" s="21"/>
    </row>
    <row r="7141" spans="13:13" x14ac:dyDescent="0.25">
      <c r="M7141" s="21"/>
    </row>
    <row r="7142" spans="13:13" x14ac:dyDescent="0.25">
      <c r="M7142" s="21"/>
    </row>
    <row r="7143" spans="13:13" x14ac:dyDescent="0.25">
      <c r="M7143" s="21"/>
    </row>
    <row r="7144" spans="13:13" x14ac:dyDescent="0.25">
      <c r="M7144" s="21"/>
    </row>
    <row r="7145" spans="13:13" x14ac:dyDescent="0.25">
      <c r="M7145" s="21"/>
    </row>
    <row r="7146" spans="13:13" x14ac:dyDescent="0.25">
      <c r="M7146" s="21"/>
    </row>
    <row r="7147" spans="13:13" x14ac:dyDescent="0.25">
      <c r="M7147" s="21"/>
    </row>
    <row r="7148" spans="13:13" x14ac:dyDescent="0.25">
      <c r="M7148" s="21"/>
    </row>
    <row r="7149" spans="13:13" x14ac:dyDescent="0.25">
      <c r="M7149" s="21"/>
    </row>
    <row r="7150" spans="13:13" x14ac:dyDescent="0.25">
      <c r="M7150" s="21"/>
    </row>
    <row r="7151" spans="13:13" x14ac:dyDescent="0.25">
      <c r="M7151" s="21"/>
    </row>
    <row r="7152" spans="13:13" x14ac:dyDescent="0.25">
      <c r="M7152" s="21"/>
    </row>
    <row r="7153" spans="13:13" x14ac:dyDescent="0.25">
      <c r="M7153" s="21"/>
    </row>
    <row r="7154" spans="13:13" x14ac:dyDescent="0.25">
      <c r="M7154" s="21"/>
    </row>
    <row r="7155" spans="13:13" x14ac:dyDescent="0.25">
      <c r="M7155" s="21"/>
    </row>
    <row r="7156" spans="13:13" x14ac:dyDescent="0.25">
      <c r="M7156" s="21"/>
    </row>
    <row r="7157" spans="13:13" x14ac:dyDescent="0.25">
      <c r="M7157" s="21"/>
    </row>
    <row r="7158" spans="13:13" x14ac:dyDescent="0.25">
      <c r="M7158" s="21"/>
    </row>
    <row r="7159" spans="13:13" x14ac:dyDescent="0.25">
      <c r="M7159" s="21"/>
    </row>
    <row r="7160" spans="13:13" x14ac:dyDescent="0.25">
      <c r="M7160" s="21"/>
    </row>
    <row r="7161" spans="13:13" x14ac:dyDescent="0.25">
      <c r="M7161" s="21"/>
    </row>
    <row r="7162" spans="13:13" x14ac:dyDescent="0.25">
      <c r="M7162" s="21"/>
    </row>
    <row r="7163" spans="13:13" x14ac:dyDescent="0.25">
      <c r="M7163" s="21"/>
    </row>
    <row r="7164" spans="13:13" x14ac:dyDescent="0.25">
      <c r="M7164" s="21"/>
    </row>
    <row r="7165" spans="13:13" x14ac:dyDescent="0.25">
      <c r="M7165" s="21"/>
    </row>
    <row r="7166" spans="13:13" x14ac:dyDescent="0.25">
      <c r="M7166" s="21"/>
    </row>
    <row r="7167" spans="13:13" x14ac:dyDescent="0.25">
      <c r="M7167" s="21"/>
    </row>
    <row r="7168" spans="13:13" x14ac:dyDescent="0.25">
      <c r="M7168" s="21"/>
    </row>
    <row r="7169" spans="13:13" x14ac:dyDescent="0.25">
      <c r="M7169" s="21"/>
    </row>
    <row r="7170" spans="13:13" x14ac:dyDescent="0.25">
      <c r="M7170" s="21"/>
    </row>
    <row r="7171" spans="13:13" x14ac:dyDescent="0.25">
      <c r="M7171" s="21"/>
    </row>
    <row r="7172" spans="13:13" x14ac:dyDescent="0.25">
      <c r="M7172" s="21"/>
    </row>
    <row r="7173" spans="13:13" x14ac:dyDescent="0.25">
      <c r="M7173" s="21"/>
    </row>
    <row r="7174" spans="13:13" x14ac:dyDescent="0.25">
      <c r="M7174" s="21"/>
    </row>
    <row r="7175" spans="13:13" x14ac:dyDescent="0.25">
      <c r="M7175" s="21"/>
    </row>
    <row r="7176" spans="13:13" x14ac:dyDescent="0.25">
      <c r="M7176" s="21"/>
    </row>
    <row r="7177" spans="13:13" x14ac:dyDescent="0.25">
      <c r="M7177" s="21"/>
    </row>
    <row r="7178" spans="13:13" x14ac:dyDescent="0.25">
      <c r="M7178" s="21"/>
    </row>
    <row r="7179" spans="13:13" x14ac:dyDescent="0.25">
      <c r="M7179" s="21"/>
    </row>
    <row r="7180" spans="13:13" x14ac:dyDescent="0.25">
      <c r="M7180" s="21"/>
    </row>
    <row r="7181" spans="13:13" x14ac:dyDescent="0.25">
      <c r="M7181" s="21"/>
    </row>
    <row r="7182" spans="13:13" x14ac:dyDescent="0.25">
      <c r="M7182" s="21"/>
    </row>
    <row r="7183" spans="13:13" x14ac:dyDescent="0.25">
      <c r="M7183" s="21"/>
    </row>
    <row r="7184" spans="13:13" x14ac:dyDescent="0.25">
      <c r="M7184" s="21"/>
    </row>
    <row r="7185" spans="13:13" x14ac:dyDescent="0.25">
      <c r="M7185" s="21"/>
    </row>
    <row r="7186" spans="13:13" x14ac:dyDescent="0.25">
      <c r="M7186" s="21"/>
    </row>
    <row r="7187" spans="13:13" x14ac:dyDescent="0.25">
      <c r="M7187" s="21"/>
    </row>
    <row r="7188" spans="13:13" x14ac:dyDescent="0.25">
      <c r="M7188" s="21"/>
    </row>
    <row r="7189" spans="13:13" x14ac:dyDescent="0.25">
      <c r="M7189" s="21"/>
    </row>
    <row r="7190" spans="13:13" x14ac:dyDescent="0.25">
      <c r="M7190" s="21"/>
    </row>
    <row r="7191" spans="13:13" x14ac:dyDescent="0.25">
      <c r="M7191" s="21"/>
    </row>
    <row r="7192" spans="13:13" x14ac:dyDescent="0.25">
      <c r="M7192" s="21"/>
    </row>
    <row r="7193" spans="13:13" x14ac:dyDescent="0.25">
      <c r="M7193" s="21"/>
    </row>
    <row r="7194" spans="13:13" x14ac:dyDescent="0.25">
      <c r="M7194" s="21"/>
    </row>
    <row r="7195" spans="13:13" x14ac:dyDescent="0.25">
      <c r="M7195" s="21"/>
    </row>
    <row r="7196" spans="13:13" x14ac:dyDescent="0.25">
      <c r="M7196" s="21"/>
    </row>
    <row r="7197" spans="13:13" x14ac:dyDescent="0.25">
      <c r="M7197" s="21"/>
    </row>
    <row r="7198" spans="13:13" x14ac:dyDescent="0.25">
      <c r="M7198" s="21"/>
    </row>
    <row r="7199" spans="13:13" x14ac:dyDescent="0.25">
      <c r="M7199" s="21"/>
    </row>
    <row r="7200" spans="13:13" x14ac:dyDescent="0.25">
      <c r="M7200" s="21"/>
    </row>
    <row r="7201" spans="13:13" x14ac:dyDescent="0.25">
      <c r="M7201" s="21"/>
    </row>
    <row r="7202" spans="13:13" x14ac:dyDescent="0.25">
      <c r="M7202" s="21"/>
    </row>
    <row r="7203" spans="13:13" x14ac:dyDescent="0.25">
      <c r="M7203" s="21"/>
    </row>
    <row r="7204" spans="13:13" x14ac:dyDescent="0.25">
      <c r="M7204" s="21"/>
    </row>
    <row r="7205" spans="13:13" x14ac:dyDescent="0.25">
      <c r="M7205" s="21"/>
    </row>
    <row r="7206" spans="13:13" x14ac:dyDescent="0.25">
      <c r="M7206" s="21"/>
    </row>
    <row r="7207" spans="13:13" x14ac:dyDescent="0.25">
      <c r="M7207" s="21"/>
    </row>
    <row r="7208" spans="13:13" x14ac:dyDescent="0.25">
      <c r="M7208" s="21"/>
    </row>
    <row r="7209" spans="13:13" x14ac:dyDescent="0.25">
      <c r="M7209" s="21"/>
    </row>
    <row r="7210" spans="13:13" x14ac:dyDescent="0.25">
      <c r="M7210" s="21"/>
    </row>
    <row r="7211" spans="13:13" x14ac:dyDescent="0.25">
      <c r="M7211" s="21"/>
    </row>
    <row r="7212" spans="13:13" x14ac:dyDescent="0.25">
      <c r="M7212" s="21"/>
    </row>
    <row r="7213" spans="13:13" x14ac:dyDescent="0.25">
      <c r="M7213" s="21"/>
    </row>
    <row r="7214" spans="13:13" x14ac:dyDescent="0.25">
      <c r="M7214" s="21"/>
    </row>
    <row r="7215" spans="13:13" x14ac:dyDescent="0.25">
      <c r="M7215" s="21"/>
    </row>
    <row r="7216" spans="13:13" x14ac:dyDescent="0.25">
      <c r="M7216" s="21"/>
    </row>
    <row r="7217" spans="13:13" x14ac:dyDescent="0.25">
      <c r="M7217" s="21"/>
    </row>
    <row r="7218" spans="13:13" x14ac:dyDescent="0.25">
      <c r="M7218" s="21"/>
    </row>
    <row r="7219" spans="13:13" x14ac:dyDescent="0.25">
      <c r="M7219" s="21"/>
    </row>
    <row r="7220" spans="13:13" x14ac:dyDescent="0.25">
      <c r="M7220" s="21"/>
    </row>
    <row r="7221" spans="13:13" x14ac:dyDescent="0.25">
      <c r="M7221" s="21"/>
    </row>
    <row r="7222" spans="13:13" x14ac:dyDescent="0.25">
      <c r="M7222" s="21"/>
    </row>
    <row r="7223" spans="13:13" x14ac:dyDescent="0.25">
      <c r="M7223" s="21"/>
    </row>
    <row r="7224" spans="13:13" x14ac:dyDescent="0.25">
      <c r="M7224" s="21"/>
    </row>
    <row r="7225" spans="13:13" x14ac:dyDescent="0.25">
      <c r="M7225" s="21"/>
    </row>
    <row r="7226" spans="13:13" x14ac:dyDescent="0.25">
      <c r="M7226" s="21"/>
    </row>
    <row r="7227" spans="13:13" x14ac:dyDescent="0.25">
      <c r="M7227" s="21"/>
    </row>
    <row r="7228" spans="13:13" x14ac:dyDescent="0.25">
      <c r="M7228" s="21"/>
    </row>
    <row r="7229" spans="13:13" x14ac:dyDescent="0.25">
      <c r="M7229" s="21"/>
    </row>
    <row r="7230" spans="13:13" x14ac:dyDescent="0.25">
      <c r="M7230" s="21"/>
    </row>
    <row r="7231" spans="13:13" x14ac:dyDescent="0.25">
      <c r="M7231" s="21"/>
    </row>
    <row r="7232" spans="13:13" x14ac:dyDescent="0.25">
      <c r="M7232" s="21"/>
    </row>
    <row r="7233" spans="13:13" x14ac:dyDescent="0.25">
      <c r="M7233" s="21"/>
    </row>
    <row r="7234" spans="13:13" x14ac:dyDescent="0.25">
      <c r="M7234" s="21"/>
    </row>
    <row r="7235" spans="13:13" x14ac:dyDescent="0.25">
      <c r="M7235" s="21"/>
    </row>
    <row r="7236" spans="13:13" x14ac:dyDescent="0.25">
      <c r="M7236" s="21"/>
    </row>
    <row r="7237" spans="13:13" x14ac:dyDescent="0.25">
      <c r="M7237" s="21"/>
    </row>
    <row r="7238" spans="13:13" x14ac:dyDescent="0.25">
      <c r="M7238" s="21"/>
    </row>
    <row r="7239" spans="13:13" x14ac:dyDescent="0.25">
      <c r="M7239" s="21"/>
    </row>
    <row r="7240" spans="13:13" x14ac:dyDescent="0.25">
      <c r="M7240" s="21"/>
    </row>
    <row r="7241" spans="13:13" x14ac:dyDescent="0.25">
      <c r="M7241" s="21"/>
    </row>
    <row r="7242" spans="13:13" x14ac:dyDescent="0.25">
      <c r="M7242" s="21"/>
    </row>
    <row r="7243" spans="13:13" x14ac:dyDescent="0.25">
      <c r="M7243" s="21"/>
    </row>
    <row r="7244" spans="13:13" x14ac:dyDescent="0.25">
      <c r="M7244" s="21"/>
    </row>
    <row r="7245" spans="13:13" x14ac:dyDescent="0.25">
      <c r="M7245" s="21"/>
    </row>
    <row r="7246" spans="13:13" x14ac:dyDescent="0.25">
      <c r="M7246" s="21"/>
    </row>
    <row r="7247" spans="13:13" x14ac:dyDescent="0.25">
      <c r="M7247" s="21"/>
    </row>
    <row r="7248" spans="13:13" x14ac:dyDescent="0.25">
      <c r="M7248" s="21"/>
    </row>
    <row r="7249" spans="13:13" x14ac:dyDescent="0.25">
      <c r="M7249" s="21"/>
    </row>
    <row r="7250" spans="13:13" x14ac:dyDescent="0.25">
      <c r="M7250" s="21"/>
    </row>
    <row r="7251" spans="13:13" x14ac:dyDescent="0.25">
      <c r="M7251" s="21"/>
    </row>
    <row r="7252" spans="13:13" x14ac:dyDescent="0.25">
      <c r="M7252" s="21"/>
    </row>
    <row r="7253" spans="13:13" x14ac:dyDescent="0.25">
      <c r="M7253" s="21"/>
    </row>
    <row r="7254" spans="13:13" x14ac:dyDescent="0.25">
      <c r="M7254" s="21"/>
    </row>
    <row r="7255" spans="13:13" x14ac:dyDescent="0.25">
      <c r="M7255" s="21"/>
    </row>
    <row r="7256" spans="13:13" x14ac:dyDescent="0.25">
      <c r="M7256" s="21"/>
    </row>
    <row r="7257" spans="13:13" x14ac:dyDescent="0.25">
      <c r="M7257" s="21"/>
    </row>
    <row r="7258" spans="13:13" x14ac:dyDescent="0.25">
      <c r="M7258" s="21"/>
    </row>
    <row r="7259" spans="13:13" x14ac:dyDescent="0.25">
      <c r="M7259" s="21"/>
    </row>
    <row r="7260" spans="13:13" x14ac:dyDescent="0.25">
      <c r="M7260" s="21"/>
    </row>
    <row r="7261" spans="13:13" x14ac:dyDescent="0.25">
      <c r="M7261" s="21"/>
    </row>
    <row r="7262" spans="13:13" x14ac:dyDescent="0.25">
      <c r="M7262" s="21"/>
    </row>
    <row r="7263" spans="13:13" x14ac:dyDescent="0.25">
      <c r="M7263" s="21"/>
    </row>
    <row r="7264" spans="13:13" x14ac:dyDescent="0.25">
      <c r="M7264" s="21"/>
    </row>
    <row r="7265" spans="13:13" x14ac:dyDescent="0.25">
      <c r="M7265" s="21"/>
    </row>
    <row r="7266" spans="13:13" x14ac:dyDescent="0.25">
      <c r="M7266" s="21"/>
    </row>
    <row r="7267" spans="13:13" x14ac:dyDescent="0.25">
      <c r="M7267" s="21"/>
    </row>
    <row r="7268" spans="13:13" x14ac:dyDescent="0.25">
      <c r="M7268" s="21"/>
    </row>
    <row r="7269" spans="13:13" x14ac:dyDescent="0.25">
      <c r="M7269" s="21"/>
    </row>
    <row r="7270" spans="13:13" x14ac:dyDescent="0.25">
      <c r="M7270" s="21"/>
    </row>
    <row r="7271" spans="13:13" x14ac:dyDescent="0.25">
      <c r="M7271" s="21"/>
    </row>
    <row r="7272" spans="13:13" x14ac:dyDescent="0.25">
      <c r="M7272" s="21"/>
    </row>
    <row r="7273" spans="13:13" x14ac:dyDescent="0.25">
      <c r="M7273" s="21"/>
    </row>
    <row r="7274" spans="13:13" x14ac:dyDescent="0.25">
      <c r="M7274" s="21"/>
    </row>
    <row r="7275" spans="13:13" x14ac:dyDescent="0.25">
      <c r="M7275" s="21"/>
    </row>
    <row r="7276" spans="13:13" x14ac:dyDescent="0.25">
      <c r="M7276" s="21"/>
    </row>
    <row r="7277" spans="13:13" x14ac:dyDescent="0.25">
      <c r="M7277" s="21"/>
    </row>
    <row r="7278" spans="13:13" x14ac:dyDescent="0.25">
      <c r="M7278" s="21"/>
    </row>
    <row r="7279" spans="13:13" x14ac:dyDescent="0.25">
      <c r="M7279" s="21"/>
    </row>
    <row r="7280" spans="13:13" x14ac:dyDescent="0.25">
      <c r="M7280" s="21"/>
    </row>
    <row r="7281" spans="13:13" x14ac:dyDescent="0.25">
      <c r="M7281" s="21"/>
    </row>
    <row r="7282" spans="13:13" x14ac:dyDescent="0.25">
      <c r="M7282" s="21"/>
    </row>
    <row r="7283" spans="13:13" x14ac:dyDescent="0.25">
      <c r="M7283" s="21"/>
    </row>
    <row r="7284" spans="13:13" x14ac:dyDescent="0.25">
      <c r="M7284" s="21"/>
    </row>
    <row r="7285" spans="13:13" x14ac:dyDescent="0.25">
      <c r="M7285" s="21"/>
    </row>
    <row r="7286" spans="13:13" x14ac:dyDescent="0.25">
      <c r="M7286" s="21"/>
    </row>
    <row r="7287" spans="13:13" x14ac:dyDescent="0.25">
      <c r="M7287" s="21"/>
    </row>
    <row r="7288" spans="13:13" x14ac:dyDescent="0.25">
      <c r="M7288" s="21"/>
    </row>
    <row r="7289" spans="13:13" x14ac:dyDescent="0.25">
      <c r="M7289" s="21"/>
    </row>
    <row r="7290" spans="13:13" x14ac:dyDescent="0.25">
      <c r="M7290" s="21"/>
    </row>
    <row r="7291" spans="13:13" x14ac:dyDescent="0.25">
      <c r="M7291" s="21"/>
    </row>
    <row r="7292" spans="13:13" x14ac:dyDescent="0.25">
      <c r="M7292" s="21"/>
    </row>
    <row r="7293" spans="13:13" x14ac:dyDescent="0.25">
      <c r="M7293" s="21"/>
    </row>
    <row r="7294" spans="13:13" x14ac:dyDescent="0.25">
      <c r="M7294" s="21"/>
    </row>
    <row r="7295" spans="13:13" x14ac:dyDescent="0.25">
      <c r="M7295" s="21"/>
    </row>
    <row r="7296" spans="13:13" x14ac:dyDescent="0.25">
      <c r="M7296" s="21"/>
    </row>
    <row r="7297" spans="13:13" x14ac:dyDescent="0.25">
      <c r="M7297" s="21"/>
    </row>
    <row r="7298" spans="13:13" x14ac:dyDescent="0.25">
      <c r="M7298" s="21"/>
    </row>
    <row r="7299" spans="13:13" x14ac:dyDescent="0.25">
      <c r="M7299" s="21"/>
    </row>
    <row r="7300" spans="13:13" x14ac:dyDescent="0.25">
      <c r="M7300" s="21"/>
    </row>
    <row r="7301" spans="13:13" x14ac:dyDescent="0.25">
      <c r="M7301" s="21"/>
    </row>
    <row r="7302" spans="13:13" x14ac:dyDescent="0.25">
      <c r="M7302" s="21"/>
    </row>
    <row r="7303" spans="13:13" x14ac:dyDescent="0.25">
      <c r="M7303" s="21"/>
    </row>
    <row r="7304" spans="13:13" x14ac:dyDescent="0.25">
      <c r="M7304" s="21"/>
    </row>
    <row r="7305" spans="13:13" x14ac:dyDescent="0.25">
      <c r="M7305" s="21"/>
    </row>
    <row r="7306" spans="13:13" x14ac:dyDescent="0.25">
      <c r="M7306" s="21"/>
    </row>
    <row r="7307" spans="13:13" x14ac:dyDescent="0.25">
      <c r="M7307" s="21"/>
    </row>
    <row r="7308" spans="13:13" x14ac:dyDescent="0.25">
      <c r="M7308" s="21"/>
    </row>
    <row r="7309" spans="13:13" x14ac:dyDescent="0.25">
      <c r="M7309" s="21"/>
    </row>
    <row r="7310" spans="13:13" x14ac:dyDescent="0.25">
      <c r="M7310" s="21"/>
    </row>
    <row r="7311" spans="13:13" x14ac:dyDescent="0.25">
      <c r="M7311" s="21"/>
    </row>
    <row r="7312" spans="13:13" x14ac:dyDescent="0.25">
      <c r="M7312" s="21"/>
    </row>
    <row r="7313" spans="13:13" x14ac:dyDescent="0.25">
      <c r="M7313" s="21"/>
    </row>
    <row r="7314" spans="13:13" x14ac:dyDescent="0.25">
      <c r="M7314" s="21"/>
    </row>
    <row r="7315" spans="13:13" x14ac:dyDescent="0.25">
      <c r="M7315" s="21"/>
    </row>
    <row r="7316" spans="13:13" x14ac:dyDescent="0.25">
      <c r="M7316" s="21"/>
    </row>
    <row r="7317" spans="13:13" x14ac:dyDescent="0.25">
      <c r="M7317" s="21"/>
    </row>
    <row r="7318" spans="13:13" x14ac:dyDescent="0.25">
      <c r="M7318" s="21"/>
    </row>
    <row r="7319" spans="13:13" x14ac:dyDescent="0.25">
      <c r="M7319" s="21"/>
    </row>
    <row r="7320" spans="13:13" x14ac:dyDescent="0.25">
      <c r="M7320" s="21"/>
    </row>
    <row r="7321" spans="13:13" x14ac:dyDescent="0.25">
      <c r="M7321" s="21"/>
    </row>
    <row r="7322" spans="13:13" x14ac:dyDescent="0.25">
      <c r="M7322" s="21"/>
    </row>
    <row r="7323" spans="13:13" x14ac:dyDescent="0.25">
      <c r="M7323" s="21"/>
    </row>
    <row r="7324" spans="13:13" x14ac:dyDescent="0.25">
      <c r="M7324" s="21"/>
    </row>
    <row r="7325" spans="13:13" x14ac:dyDescent="0.25">
      <c r="M7325" s="21"/>
    </row>
    <row r="7326" spans="13:13" x14ac:dyDescent="0.25">
      <c r="M7326" s="21"/>
    </row>
    <row r="7327" spans="13:13" x14ac:dyDescent="0.25">
      <c r="M7327" s="21"/>
    </row>
    <row r="7328" spans="13:13" x14ac:dyDescent="0.25">
      <c r="M7328" s="21"/>
    </row>
    <row r="7329" spans="13:13" x14ac:dyDescent="0.25">
      <c r="M7329" s="21"/>
    </row>
    <row r="7330" spans="13:13" x14ac:dyDescent="0.25">
      <c r="M7330" s="21"/>
    </row>
    <row r="7331" spans="13:13" x14ac:dyDescent="0.25">
      <c r="M7331" s="21"/>
    </row>
    <row r="7332" spans="13:13" x14ac:dyDescent="0.25">
      <c r="M7332" s="21"/>
    </row>
    <row r="7333" spans="13:13" x14ac:dyDescent="0.25">
      <c r="M7333" s="21"/>
    </row>
    <row r="7334" spans="13:13" x14ac:dyDescent="0.25">
      <c r="M7334" s="21"/>
    </row>
    <row r="7335" spans="13:13" x14ac:dyDescent="0.25">
      <c r="M7335" s="21"/>
    </row>
    <row r="7336" spans="13:13" x14ac:dyDescent="0.25">
      <c r="M7336" s="21"/>
    </row>
    <row r="7337" spans="13:13" x14ac:dyDescent="0.25">
      <c r="M7337" s="21"/>
    </row>
    <row r="7338" spans="13:13" x14ac:dyDescent="0.25">
      <c r="M7338" s="21"/>
    </row>
    <row r="7339" spans="13:13" x14ac:dyDescent="0.25">
      <c r="M7339" s="21"/>
    </row>
    <row r="7340" spans="13:13" x14ac:dyDescent="0.25">
      <c r="M7340" s="21"/>
    </row>
    <row r="7341" spans="13:13" x14ac:dyDescent="0.25">
      <c r="M7341" s="21"/>
    </row>
    <row r="7342" spans="13:13" x14ac:dyDescent="0.25">
      <c r="M7342" s="21"/>
    </row>
    <row r="7343" spans="13:13" x14ac:dyDescent="0.25">
      <c r="M7343" s="21"/>
    </row>
    <row r="7344" spans="13:13" x14ac:dyDescent="0.25">
      <c r="M7344" s="21"/>
    </row>
    <row r="7345" spans="13:13" x14ac:dyDescent="0.25">
      <c r="M7345" s="21"/>
    </row>
    <row r="7346" spans="13:13" x14ac:dyDescent="0.25">
      <c r="M7346" s="21"/>
    </row>
    <row r="7347" spans="13:13" x14ac:dyDescent="0.25">
      <c r="M7347" s="21"/>
    </row>
    <row r="7348" spans="13:13" x14ac:dyDescent="0.25">
      <c r="M7348" s="21"/>
    </row>
    <row r="7349" spans="13:13" x14ac:dyDescent="0.25">
      <c r="M7349" s="21"/>
    </row>
    <row r="7350" spans="13:13" x14ac:dyDescent="0.25">
      <c r="M7350" s="21"/>
    </row>
    <row r="7351" spans="13:13" x14ac:dyDescent="0.25">
      <c r="M7351" s="21"/>
    </row>
    <row r="7352" spans="13:13" x14ac:dyDescent="0.25">
      <c r="M7352" s="21"/>
    </row>
    <row r="7353" spans="13:13" x14ac:dyDescent="0.25">
      <c r="M7353" s="21"/>
    </row>
    <row r="7354" spans="13:13" x14ac:dyDescent="0.25">
      <c r="M7354" s="21"/>
    </row>
    <row r="7355" spans="13:13" x14ac:dyDescent="0.25">
      <c r="M7355" s="21"/>
    </row>
    <row r="7356" spans="13:13" x14ac:dyDescent="0.25">
      <c r="M7356" s="21"/>
    </row>
    <row r="7357" spans="13:13" x14ac:dyDescent="0.25">
      <c r="M7357" s="21"/>
    </row>
    <row r="7358" spans="13:13" x14ac:dyDescent="0.25">
      <c r="M7358" s="21"/>
    </row>
    <row r="7359" spans="13:13" x14ac:dyDescent="0.25">
      <c r="M7359" s="21"/>
    </row>
    <row r="7360" spans="13:13" x14ac:dyDescent="0.25">
      <c r="M7360" s="21"/>
    </row>
    <row r="7361" spans="13:13" x14ac:dyDescent="0.25">
      <c r="M7361" s="21"/>
    </row>
    <row r="7362" spans="13:13" x14ac:dyDescent="0.25">
      <c r="M7362" s="21"/>
    </row>
    <row r="7363" spans="13:13" x14ac:dyDescent="0.25">
      <c r="M7363" s="21"/>
    </row>
    <row r="7364" spans="13:13" x14ac:dyDescent="0.25">
      <c r="M7364" s="21"/>
    </row>
    <row r="7365" spans="13:13" x14ac:dyDescent="0.25">
      <c r="M7365" s="21"/>
    </row>
    <row r="7366" spans="13:13" x14ac:dyDescent="0.25">
      <c r="M7366" s="21"/>
    </row>
    <row r="7367" spans="13:13" x14ac:dyDescent="0.25">
      <c r="M7367" s="21"/>
    </row>
    <row r="7368" spans="13:13" x14ac:dyDescent="0.25">
      <c r="M7368" s="21"/>
    </row>
    <row r="7369" spans="13:13" x14ac:dyDescent="0.25">
      <c r="M7369" s="21"/>
    </row>
    <row r="7370" spans="13:13" x14ac:dyDescent="0.25">
      <c r="M7370" s="21"/>
    </row>
    <row r="7371" spans="13:13" x14ac:dyDescent="0.25">
      <c r="M7371" s="21"/>
    </row>
    <row r="7372" spans="13:13" x14ac:dyDescent="0.25">
      <c r="M7372" s="21"/>
    </row>
    <row r="7373" spans="13:13" x14ac:dyDescent="0.25">
      <c r="M7373" s="21"/>
    </row>
    <row r="7374" spans="13:13" x14ac:dyDescent="0.25">
      <c r="M7374" s="21"/>
    </row>
    <row r="7375" spans="13:13" x14ac:dyDescent="0.25">
      <c r="M7375" s="21"/>
    </row>
    <row r="7376" spans="13:13" x14ac:dyDescent="0.25">
      <c r="M7376" s="21"/>
    </row>
    <row r="7377" spans="13:13" x14ac:dyDescent="0.25">
      <c r="M7377" s="21"/>
    </row>
    <row r="7378" spans="13:13" x14ac:dyDescent="0.25">
      <c r="M7378" s="21"/>
    </row>
    <row r="7379" spans="13:13" x14ac:dyDescent="0.25">
      <c r="M7379" s="21"/>
    </row>
    <row r="7380" spans="13:13" x14ac:dyDescent="0.25">
      <c r="M7380" s="21"/>
    </row>
    <row r="7381" spans="13:13" x14ac:dyDescent="0.25">
      <c r="M7381" s="21"/>
    </row>
    <row r="7382" spans="13:13" x14ac:dyDescent="0.25">
      <c r="M7382" s="21"/>
    </row>
    <row r="7383" spans="13:13" x14ac:dyDescent="0.25">
      <c r="M7383" s="21"/>
    </row>
    <row r="7384" spans="13:13" x14ac:dyDescent="0.25">
      <c r="M7384" s="21"/>
    </row>
    <row r="7385" spans="13:13" x14ac:dyDescent="0.25">
      <c r="M7385" s="21"/>
    </row>
    <row r="7386" spans="13:13" x14ac:dyDescent="0.25">
      <c r="M7386" s="21"/>
    </row>
    <row r="7387" spans="13:13" x14ac:dyDescent="0.25">
      <c r="M7387" s="21"/>
    </row>
    <row r="7388" spans="13:13" x14ac:dyDescent="0.25">
      <c r="M7388" s="21"/>
    </row>
    <row r="7389" spans="13:13" x14ac:dyDescent="0.25">
      <c r="M7389" s="21"/>
    </row>
    <row r="7390" spans="13:13" x14ac:dyDescent="0.25">
      <c r="M7390" s="21"/>
    </row>
    <row r="7391" spans="13:13" x14ac:dyDescent="0.25">
      <c r="M7391" s="21"/>
    </row>
    <row r="7392" spans="13:13" x14ac:dyDescent="0.25">
      <c r="M7392" s="21"/>
    </row>
    <row r="7393" spans="13:13" x14ac:dyDescent="0.25">
      <c r="M7393" s="21"/>
    </row>
    <row r="7394" spans="13:13" x14ac:dyDescent="0.25">
      <c r="M7394" s="21"/>
    </row>
    <row r="7395" spans="13:13" x14ac:dyDescent="0.25">
      <c r="M7395" s="21"/>
    </row>
    <row r="7396" spans="13:13" x14ac:dyDescent="0.25">
      <c r="M7396" s="21"/>
    </row>
    <row r="7397" spans="13:13" x14ac:dyDescent="0.25">
      <c r="M7397" s="21"/>
    </row>
    <row r="7398" spans="13:13" x14ac:dyDescent="0.25">
      <c r="M7398" s="21"/>
    </row>
    <row r="7399" spans="13:13" x14ac:dyDescent="0.25">
      <c r="M7399" s="21"/>
    </row>
    <row r="7400" spans="13:13" x14ac:dyDescent="0.25">
      <c r="M7400" s="21"/>
    </row>
    <row r="7401" spans="13:13" x14ac:dyDescent="0.25">
      <c r="M7401" s="21"/>
    </row>
    <row r="7402" spans="13:13" x14ac:dyDescent="0.25">
      <c r="M7402" s="21"/>
    </row>
    <row r="7403" spans="13:13" x14ac:dyDescent="0.25">
      <c r="M7403" s="21"/>
    </row>
    <row r="7404" spans="13:13" x14ac:dyDescent="0.25">
      <c r="M7404" s="21"/>
    </row>
    <row r="7405" spans="13:13" x14ac:dyDescent="0.25">
      <c r="M7405" s="21"/>
    </row>
    <row r="7406" spans="13:13" x14ac:dyDescent="0.25">
      <c r="M7406" s="21"/>
    </row>
    <row r="7407" spans="13:13" x14ac:dyDescent="0.25">
      <c r="M7407" s="21"/>
    </row>
    <row r="7408" spans="13:13" x14ac:dyDescent="0.25">
      <c r="M7408" s="21"/>
    </row>
    <row r="7409" spans="13:13" x14ac:dyDescent="0.25">
      <c r="M7409" s="21"/>
    </row>
    <row r="7410" spans="13:13" x14ac:dyDescent="0.25">
      <c r="M7410" s="21"/>
    </row>
    <row r="7411" spans="13:13" x14ac:dyDescent="0.25">
      <c r="M7411" s="21"/>
    </row>
    <row r="7412" spans="13:13" x14ac:dyDescent="0.25">
      <c r="M7412" s="21"/>
    </row>
    <row r="7413" spans="13:13" x14ac:dyDescent="0.25">
      <c r="M7413" s="21"/>
    </row>
    <row r="7414" spans="13:13" x14ac:dyDescent="0.25">
      <c r="M7414" s="21"/>
    </row>
    <row r="7415" spans="13:13" x14ac:dyDescent="0.25">
      <c r="M7415" s="21"/>
    </row>
    <row r="7416" spans="13:13" x14ac:dyDescent="0.25">
      <c r="M7416" s="21"/>
    </row>
    <row r="7417" spans="13:13" x14ac:dyDescent="0.25">
      <c r="M7417" s="21"/>
    </row>
    <row r="7418" spans="13:13" x14ac:dyDescent="0.25">
      <c r="M7418" s="21"/>
    </row>
    <row r="7419" spans="13:13" x14ac:dyDescent="0.25">
      <c r="M7419" s="21"/>
    </row>
    <row r="7420" spans="13:13" x14ac:dyDescent="0.25">
      <c r="M7420" s="21"/>
    </row>
    <row r="7421" spans="13:13" x14ac:dyDescent="0.25">
      <c r="M7421" s="21"/>
    </row>
    <row r="7422" spans="13:13" x14ac:dyDescent="0.25">
      <c r="M7422" s="21"/>
    </row>
    <row r="7423" spans="13:13" x14ac:dyDescent="0.25">
      <c r="M7423" s="21"/>
    </row>
    <row r="7424" spans="13:13" x14ac:dyDescent="0.25">
      <c r="M7424" s="21"/>
    </row>
    <row r="7425" spans="13:13" x14ac:dyDescent="0.25">
      <c r="M7425" s="21"/>
    </row>
    <row r="7426" spans="13:13" x14ac:dyDescent="0.25">
      <c r="M7426" s="21"/>
    </row>
    <row r="7427" spans="13:13" x14ac:dyDescent="0.25">
      <c r="M7427" s="21"/>
    </row>
    <row r="7428" spans="13:13" x14ac:dyDescent="0.25">
      <c r="M7428" s="21"/>
    </row>
    <row r="7429" spans="13:13" x14ac:dyDescent="0.25">
      <c r="M7429" s="21"/>
    </row>
    <row r="7430" spans="13:13" x14ac:dyDescent="0.25">
      <c r="M7430" s="21"/>
    </row>
    <row r="7431" spans="13:13" x14ac:dyDescent="0.25">
      <c r="M7431" s="21"/>
    </row>
    <row r="7432" spans="13:13" x14ac:dyDescent="0.25">
      <c r="M7432" s="21"/>
    </row>
    <row r="7433" spans="13:13" x14ac:dyDescent="0.25">
      <c r="M7433" s="21"/>
    </row>
    <row r="7434" spans="13:13" x14ac:dyDescent="0.25">
      <c r="M7434" s="21"/>
    </row>
    <row r="7435" spans="13:13" x14ac:dyDescent="0.25">
      <c r="M7435" s="21"/>
    </row>
    <row r="7436" spans="13:13" x14ac:dyDescent="0.25">
      <c r="M7436" s="21"/>
    </row>
    <row r="7437" spans="13:13" x14ac:dyDescent="0.25">
      <c r="M7437" s="21"/>
    </row>
    <row r="7438" spans="13:13" x14ac:dyDescent="0.25">
      <c r="M7438" s="21"/>
    </row>
    <row r="7439" spans="13:13" x14ac:dyDescent="0.25">
      <c r="M7439" s="21"/>
    </row>
    <row r="7440" spans="13:13" x14ac:dyDescent="0.25">
      <c r="M7440" s="21"/>
    </row>
    <row r="7441" spans="13:13" x14ac:dyDescent="0.25">
      <c r="M7441" s="21"/>
    </row>
    <row r="7442" spans="13:13" x14ac:dyDescent="0.25">
      <c r="M7442" s="21"/>
    </row>
    <row r="7443" spans="13:13" x14ac:dyDescent="0.25">
      <c r="M7443" s="21"/>
    </row>
    <row r="7444" spans="13:13" x14ac:dyDescent="0.25">
      <c r="M7444" s="21"/>
    </row>
    <row r="7445" spans="13:13" x14ac:dyDescent="0.25">
      <c r="M7445" s="21"/>
    </row>
    <row r="7446" spans="13:13" x14ac:dyDescent="0.25">
      <c r="M7446" s="21"/>
    </row>
    <row r="7447" spans="13:13" x14ac:dyDescent="0.25">
      <c r="M7447" s="21"/>
    </row>
    <row r="7448" spans="13:13" x14ac:dyDescent="0.25">
      <c r="M7448" s="21"/>
    </row>
    <row r="7449" spans="13:13" x14ac:dyDescent="0.25">
      <c r="M7449" s="21"/>
    </row>
    <row r="7450" spans="13:13" x14ac:dyDescent="0.25">
      <c r="M7450" s="21"/>
    </row>
    <row r="7451" spans="13:13" x14ac:dyDescent="0.25">
      <c r="M7451" s="21"/>
    </row>
    <row r="7452" spans="13:13" x14ac:dyDescent="0.25">
      <c r="M7452" s="21"/>
    </row>
    <row r="7453" spans="13:13" x14ac:dyDescent="0.25">
      <c r="M7453" s="21"/>
    </row>
    <row r="7454" spans="13:13" x14ac:dyDescent="0.25">
      <c r="M7454" s="21"/>
    </row>
    <row r="7455" spans="13:13" x14ac:dyDescent="0.25">
      <c r="M7455" s="21"/>
    </row>
    <row r="7456" spans="13:13" x14ac:dyDescent="0.25">
      <c r="M7456" s="21"/>
    </row>
    <row r="7457" spans="13:13" x14ac:dyDescent="0.25">
      <c r="M7457" s="21"/>
    </row>
    <row r="7458" spans="13:13" x14ac:dyDescent="0.25">
      <c r="M7458" s="21"/>
    </row>
    <row r="7459" spans="13:13" x14ac:dyDescent="0.25">
      <c r="M7459" s="21"/>
    </row>
    <row r="7460" spans="13:13" x14ac:dyDescent="0.25">
      <c r="M7460" s="21"/>
    </row>
    <row r="7461" spans="13:13" x14ac:dyDescent="0.25">
      <c r="M7461" s="21"/>
    </row>
    <row r="7462" spans="13:13" x14ac:dyDescent="0.25">
      <c r="M7462" s="21"/>
    </row>
    <row r="7463" spans="13:13" x14ac:dyDescent="0.25">
      <c r="M7463" s="21"/>
    </row>
    <row r="7464" spans="13:13" x14ac:dyDescent="0.25">
      <c r="M7464" s="21"/>
    </row>
    <row r="7465" spans="13:13" x14ac:dyDescent="0.25">
      <c r="M7465" s="21"/>
    </row>
    <row r="7466" spans="13:13" x14ac:dyDescent="0.25">
      <c r="M7466" s="21"/>
    </row>
    <row r="7467" spans="13:13" x14ac:dyDescent="0.25">
      <c r="M7467" s="21"/>
    </row>
    <row r="7468" spans="13:13" x14ac:dyDescent="0.25">
      <c r="M7468" s="21"/>
    </row>
    <row r="7469" spans="13:13" x14ac:dyDescent="0.25">
      <c r="M7469" s="21"/>
    </row>
    <row r="7470" spans="13:13" x14ac:dyDescent="0.25">
      <c r="M7470" s="21"/>
    </row>
    <row r="7471" spans="13:13" x14ac:dyDescent="0.25">
      <c r="M7471" s="21"/>
    </row>
    <row r="7472" spans="13:13" x14ac:dyDescent="0.25">
      <c r="M7472" s="21"/>
    </row>
    <row r="7473" spans="13:13" x14ac:dyDescent="0.25">
      <c r="M7473" s="21"/>
    </row>
    <row r="7474" spans="13:13" x14ac:dyDescent="0.25">
      <c r="M7474" s="21"/>
    </row>
    <row r="7475" spans="13:13" x14ac:dyDescent="0.25">
      <c r="M7475" s="21"/>
    </row>
    <row r="7476" spans="13:13" x14ac:dyDescent="0.25">
      <c r="M7476" s="21"/>
    </row>
    <row r="7477" spans="13:13" x14ac:dyDescent="0.25">
      <c r="M7477" s="21"/>
    </row>
    <row r="7478" spans="13:13" x14ac:dyDescent="0.25">
      <c r="M7478" s="21"/>
    </row>
    <row r="7479" spans="13:13" x14ac:dyDescent="0.25">
      <c r="M7479" s="21"/>
    </row>
    <row r="7480" spans="13:13" x14ac:dyDescent="0.25">
      <c r="M7480" s="21"/>
    </row>
    <row r="7481" spans="13:13" x14ac:dyDescent="0.25">
      <c r="M7481" s="21"/>
    </row>
    <row r="7482" spans="13:13" x14ac:dyDescent="0.25">
      <c r="M7482" s="21"/>
    </row>
    <row r="7483" spans="13:13" x14ac:dyDescent="0.25">
      <c r="M7483" s="21"/>
    </row>
    <row r="7484" spans="13:13" x14ac:dyDescent="0.25">
      <c r="M7484" s="21"/>
    </row>
    <row r="7485" spans="13:13" x14ac:dyDescent="0.25">
      <c r="M7485" s="21"/>
    </row>
    <row r="7486" spans="13:13" x14ac:dyDescent="0.25">
      <c r="M7486" s="21"/>
    </row>
    <row r="7487" spans="13:13" x14ac:dyDescent="0.25">
      <c r="M7487" s="21"/>
    </row>
    <row r="7488" spans="13:13" x14ac:dyDescent="0.25">
      <c r="M7488" s="21"/>
    </row>
    <row r="7489" spans="13:13" x14ac:dyDescent="0.25">
      <c r="M7489" s="21"/>
    </row>
    <row r="7490" spans="13:13" x14ac:dyDescent="0.25">
      <c r="M7490" s="21"/>
    </row>
    <row r="7491" spans="13:13" x14ac:dyDescent="0.25">
      <c r="M7491" s="21"/>
    </row>
    <row r="7492" spans="13:13" x14ac:dyDescent="0.25">
      <c r="M7492" s="21"/>
    </row>
    <row r="7493" spans="13:13" x14ac:dyDescent="0.25">
      <c r="M7493" s="21"/>
    </row>
    <row r="7494" spans="13:13" x14ac:dyDescent="0.25">
      <c r="M7494" s="21"/>
    </row>
    <row r="7495" spans="13:13" x14ac:dyDescent="0.25">
      <c r="M7495" s="21"/>
    </row>
    <row r="7496" spans="13:13" x14ac:dyDescent="0.25">
      <c r="M7496" s="21"/>
    </row>
    <row r="7497" spans="13:13" x14ac:dyDescent="0.25">
      <c r="M7497" s="21"/>
    </row>
    <row r="7498" spans="13:13" x14ac:dyDescent="0.25">
      <c r="M7498" s="21"/>
    </row>
    <row r="7499" spans="13:13" x14ac:dyDescent="0.25">
      <c r="M7499" s="21"/>
    </row>
    <row r="7500" spans="13:13" x14ac:dyDescent="0.25">
      <c r="M7500" s="21"/>
    </row>
    <row r="7501" spans="13:13" x14ac:dyDescent="0.25">
      <c r="M7501" s="21"/>
    </row>
    <row r="7502" spans="13:13" x14ac:dyDescent="0.25">
      <c r="M7502" s="21"/>
    </row>
    <row r="7503" spans="13:13" x14ac:dyDescent="0.25">
      <c r="M7503" s="21"/>
    </row>
    <row r="7504" spans="13:13" x14ac:dyDescent="0.25">
      <c r="M7504" s="21"/>
    </row>
    <row r="7505" spans="13:13" x14ac:dyDescent="0.25">
      <c r="M7505" s="21"/>
    </row>
    <row r="7506" spans="13:13" x14ac:dyDescent="0.25">
      <c r="M7506" s="21"/>
    </row>
    <row r="7507" spans="13:13" x14ac:dyDescent="0.25">
      <c r="M7507" s="21"/>
    </row>
    <row r="7508" spans="13:13" x14ac:dyDescent="0.25">
      <c r="M7508" s="21"/>
    </row>
    <row r="7509" spans="13:13" x14ac:dyDescent="0.25">
      <c r="M7509" s="21"/>
    </row>
    <row r="7510" spans="13:13" x14ac:dyDescent="0.25">
      <c r="M7510" s="21"/>
    </row>
    <row r="7511" spans="13:13" x14ac:dyDescent="0.25">
      <c r="M7511" s="21"/>
    </row>
    <row r="7512" spans="13:13" x14ac:dyDescent="0.25">
      <c r="M7512" s="21"/>
    </row>
    <row r="7513" spans="13:13" x14ac:dyDescent="0.25">
      <c r="M7513" s="21"/>
    </row>
    <row r="7514" spans="13:13" x14ac:dyDescent="0.25">
      <c r="M7514" s="21"/>
    </row>
    <row r="7515" spans="13:13" x14ac:dyDescent="0.25">
      <c r="M7515" s="21"/>
    </row>
    <row r="7516" spans="13:13" x14ac:dyDescent="0.25">
      <c r="M7516" s="21"/>
    </row>
    <row r="7517" spans="13:13" x14ac:dyDescent="0.25">
      <c r="M7517" s="21"/>
    </row>
    <row r="7518" spans="13:13" x14ac:dyDescent="0.25">
      <c r="M7518" s="21"/>
    </row>
    <row r="7519" spans="13:13" x14ac:dyDescent="0.25">
      <c r="M7519" s="21"/>
    </row>
    <row r="7520" spans="13:13" x14ac:dyDescent="0.25">
      <c r="M7520" s="21"/>
    </row>
    <row r="7521" spans="13:13" x14ac:dyDescent="0.25">
      <c r="M7521" s="21"/>
    </row>
    <row r="7522" spans="13:13" x14ac:dyDescent="0.25">
      <c r="M7522" s="21"/>
    </row>
    <row r="7523" spans="13:13" x14ac:dyDescent="0.25">
      <c r="M7523" s="21"/>
    </row>
    <row r="7524" spans="13:13" x14ac:dyDescent="0.25">
      <c r="M7524" s="21"/>
    </row>
    <row r="7525" spans="13:13" x14ac:dyDescent="0.25">
      <c r="M7525" s="21"/>
    </row>
    <row r="7526" spans="13:13" x14ac:dyDescent="0.25">
      <c r="M7526" s="21"/>
    </row>
    <row r="7527" spans="13:13" x14ac:dyDescent="0.25">
      <c r="M7527" s="21"/>
    </row>
    <row r="7528" spans="13:13" x14ac:dyDescent="0.25">
      <c r="M7528" s="21"/>
    </row>
    <row r="7529" spans="13:13" x14ac:dyDescent="0.25">
      <c r="M7529" s="21"/>
    </row>
    <row r="7530" spans="13:13" x14ac:dyDescent="0.25">
      <c r="M7530" s="21"/>
    </row>
    <row r="7531" spans="13:13" x14ac:dyDescent="0.25">
      <c r="M7531" s="21"/>
    </row>
    <row r="7532" spans="13:13" x14ac:dyDescent="0.25">
      <c r="M7532" s="21"/>
    </row>
    <row r="7533" spans="13:13" x14ac:dyDescent="0.25">
      <c r="M7533" s="21"/>
    </row>
    <row r="7534" spans="13:13" x14ac:dyDescent="0.25">
      <c r="M7534" s="21"/>
    </row>
    <row r="7535" spans="13:13" x14ac:dyDescent="0.25">
      <c r="M7535" s="21"/>
    </row>
    <row r="7536" spans="13:13" x14ac:dyDescent="0.25">
      <c r="M7536" s="21"/>
    </row>
    <row r="7537" spans="13:13" x14ac:dyDescent="0.25">
      <c r="M7537" s="21"/>
    </row>
    <row r="7538" spans="13:13" x14ac:dyDescent="0.25">
      <c r="M7538" s="21"/>
    </row>
    <row r="7539" spans="13:13" x14ac:dyDescent="0.25">
      <c r="M7539" s="21"/>
    </row>
    <row r="7540" spans="13:13" x14ac:dyDescent="0.25">
      <c r="M7540" s="21"/>
    </row>
    <row r="7541" spans="13:13" x14ac:dyDescent="0.25">
      <c r="M7541" s="21"/>
    </row>
    <row r="7542" spans="13:13" x14ac:dyDescent="0.25">
      <c r="M7542" s="21"/>
    </row>
    <row r="7543" spans="13:13" x14ac:dyDescent="0.25">
      <c r="M7543" s="21"/>
    </row>
    <row r="7544" spans="13:13" x14ac:dyDescent="0.25">
      <c r="M7544" s="21"/>
    </row>
    <row r="7545" spans="13:13" x14ac:dyDescent="0.25">
      <c r="M7545" s="21"/>
    </row>
    <row r="7546" spans="13:13" x14ac:dyDescent="0.25">
      <c r="M7546" s="21"/>
    </row>
    <row r="7547" spans="13:13" x14ac:dyDescent="0.25">
      <c r="M7547" s="21"/>
    </row>
    <row r="7548" spans="13:13" x14ac:dyDescent="0.25">
      <c r="M7548" s="21"/>
    </row>
    <row r="7549" spans="13:13" x14ac:dyDescent="0.25">
      <c r="M7549" s="21"/>
    </row>
    <row r="7550" spans="13:13" x14ac:dyDescent="0.25">
      <c r="M7550" s="21"/>
    </row>
    <row r="7551" spans="13:13" x14ac:dyDescent="0.25">
      <c r="M7551" s="21"/>
    </row>
    <row r="7552" spans="13:13" x14ac:dyDescent="0.25">
      <c r="M7552" s="21"/>
    </row>
    <row r="7553" spans="13:13" x14ac:dyDescent="0.25">
      <c r="M7553" s="21"/>
    </row>
    <row r="7554" spans="13:13" x14ac:dyDescent="0.25">
      <c r="M7554" s="21"/>
    </row>
    <row r="7555" spans="13:13" x14ac:dyDescent="0.25">
      <c r="M7555" s="21"/>
    </row>
    <row r="7556" spans="13:13" x14ac:dyDescent="0.25">
      <c r="M7556" s="21"/>
    </row>
    <row r="7557" spans="13:13" x14ac:dyDescent="0.25">
      <c r="M7557" s="21"/>
    </row>
    <row r="7558" spans="13:13" x14ac:dyDescent="0.25">
      <c r="M7558" s="21"/>
    </row>
    <row r="7559" spans="13:13" x14ac:dyDescent="0.25">
      <c r="M7559" s="21"/>
    </row>
    <row r="7560" spans="13:13" x14ac:dyDescent="0.25">
      <c r="M7560" s="21"/>
    </row>
    <row r="7561" spans="13:13" x14ac:dyDescent="0.25">
      <c r="M7561" s="21"/>
    </row>
    <row r="7562" spans="13:13" x14ac:dyDescent="0.25">
      <c r="M7562" s="21"/>
    </row>
    <row r="7563" spans="13:13" x14ac:dyDescent="0.25">
      <c r="M7563" s="21"/>
    </row>
    <row r="7564" spans="13:13" x14ac:dyDescent="0.25">
      <c r="M7564" s="21"/>
    </row>
    <row r="7565" spans="13:13" x14ac:dyDescent="0.25">
      <c r="M7565" s="21"/>
    </row>
    <row r="7566" spans="13:13" x14ac:dyDescent="0.25">
      <c r="M7566" s="21"/>
    </row>
    <row r="7567" spans="13:13" x14ac:dyDescent="0.25">
      <c r="M7567" s="21"/>
    </row>
    <row r="7568" spans="13:13" x14ac:dyDescent="0.25">
      <c r="M7568" s="21"/>
    </row>
    <row r="7569" spans="13:13" x14ac:dyDescent="0.25">
      <c r="M7569" s="21"/>
    </row>
    <row r="7570" spans="13:13" x14ac:dyDescent="0.25">
      <c r="M7570" s="21"/>
    </row>
    <row r="7571" spans="13:13" x14ac:dyDescent="0.25">
      <c r="M7571" s="21"/>
    </row>
    <row r="7572" spans="13:13" x14ac:dyDescent="0.25">
      <c r="M7572" s="21"/>
    </row>
    <row r="7573" spans="13:13" x14ac:dyDescent="0.25">
      <c r="M7573" s="21"/>
    </row>
    <row r="7574" spans="13:13" x14ac:dyDescent="0.25">
      <c r="M7574" s="21"/>
    </row>
    <row r="7575" spans="13:13" x14ac:dyDescent="0.25">
      <c r="M7575" s="21"/>
    </row>
    <row r="7576" spans="13:13" x14ac:dyDescent="0.25">
      <c r="M7576" s="21"/>
    </row>
    <row r="7577" spans="13:13" x14ac:dyDescent="0.25">
      <c r="M7577" s="21"/>
    </row>
    <row r="7578" spans="13:13" x14ac:dyDescent="0.25">
      <c r="M7578" s="21"/>
    </row>
    <row r="7579" spans="13:13" x14ac:dyDescent="0.25">
      <c r="M7579" s="21"/>
    </row>
    <row r="7580" spans="13:13" x14ac:dyDescent="0.25">
      <c r="M7580" s="21"/>
    </row>
    <row r="7581" spans="13:13" x14ac:dyDescent="0.25">
      <c r="M7581" s="21"/>
    </row>
    <row r="7582" spans="13:13" x14ac:dyDescent="0.25">
      <c r="M7582" s="21"/>
    </row>
    <row r="7583" spans="13:13" x14ac:dyDescent="0.25">
      <c r="M7583" s="21"/>
    </row>
    <row r="7584" spans="13:13" x14ac:dyDescent="0.25">
      <c r="M7584" s="21"/>
    </row>
    <row r="7585" spans="13:13" x14ac:dyDescent="0.25">
      <c r="M7585" s="21"/>
    </row>
    <row r="7586" spans="13:13" x14ac:dyDescent="0.25">
      <c r="M7586" s="21"/>
    </row>
    <row r="7587" spans="13:13" x14ac:dyDescent="0.25">
      <c r="M7587" s="21"/>
    </row>
    <row r="7588" spans="13:13" x14ac:dyDescent="0.25">
      <c r="M7588" s="21"/>
    </row>
    <row r="7589" spans="13:13" x14ac:dyDescent="0.25">
      <c r="M7589" s="21"/>
    </row>
    <row r="7590" spans="13:13" x14ac:dyDescent="0.25">
      <c r="M7590" s="21"/>
    </row>
    <row r="7591" spans="13:13" x14ac:dyDescent="0.25">
      <c r="M7591" s="21"/>
    </row>
    <row r="7592" spans="13:13" x14ac:dyDescent="0.25">
      <c r="M7592" s="21"/>
    </row>
    <row r="7593" spans="13:13" x14ac:dyDescent="0.25">
      <c r="M7593" s="21"/>
    </row>
    <row r="7594" spans="13:13" x14ac:dyDescent="0.25">
      <c r="M7594" s="21"/>
    </row>
    <row r="7595" spans="13:13" x14ac:dyDescent="0.25">
      <c r="M7595" s="21"/>
    </row>
    <row r="7596" spans="13:13" x14ac:dyDescent="0.25">
      <c r="M7596" s="21"/>
    </row>
    <row r="7597" spans="13:13" x14ac:dyDescent="0.25">
      <c r="M7597" s="21"/>
    </row>
    <row r="7598" spans="13:13" x14ac:dyDescent="0.25">
      <c r="M7598" s="21"/>
    </row>
    <row r="7599" spans="13:13" x14ac:dyDescent="0.25">
      <c r="M7599" s="21"/>
    </row>
    <row r="7600" spans="13:13" x14ac:dyDescent="0.25">
      <c r="M7600" s="21"/>
    </row>
    <row r="7601" spans="13:13" x14ac:dyDescent="0.25">
      <c r="M7601" s="21"/>
    </row>
    <row r="7602" spans="13:13" x14ac:dyDescent="0.25">
      <c r="M7602" s="21"/>
    </row>
    <row r="7603" spans="13:13" x14ac:dyDescent="0.25">
      <c r="M7603" s="21"/>
    </row>
    <row r="7604" spans="13:13" x14ac:dyDescent="0.25">
      <c r="M7604" s="21"/>
    </row>
    <row r="7605" spans="13:13" x14ac:dyDescent="0.25">
      <c r="M7605" s="21"/>
    </row>
    <row r="7606" spans="13:13" x14ac:dyDescent="0.25">
      <c r="M7606" s="21"/>
    </row>
    <row r="7607" spans="13:13" x14ac:dyDescent="0.25">
      <c r="M7607" s="21"/>
    </row>
    <row r="7608" spans="13:13" x14ac:dyDescent="0.25">
      <c r="M7608" s="21"/>
    </row>
    <row r="7609" spans="13:13" x14ac:dyDescent="0.25">
      <c r="M7609" s="21"/>
    </row>
    <row r="7610" spans="13:13" x14ac:dyDescent="0.25">
      <c r="M7610" s="21"/>
    </row>
    <row r="7611" spans="13:13" x14ac:dyDescent="0.25">
      <c r="M7611" s="21"/>
    </row>
    <row r="7612" spans="13:13" x14ac:dyDescent="0.25">
      <c r="M7612" s="21"/>
    </row>
    <row r="7613" spans="13:13" x14ac:dyDescent="0.25">
      <c r="M7613" s="21"/>
    </row>
    <row r="7614" spans="13:13" x14ac:dyDescent="0.25">
      <c r="M7614" s="21"/>
    </row>
    <row r="7615" spans="13:13" x14ac:dyDescent="0.25">
      <c r="M7615" s="21"/>
    </row>
    <row r="7616" spans="13:13" x14ac:dyDescent="0.25">
      <c r="M7616" s="21"/>
    </row>
    <row r="7617" spans="13:13" x14ac:dyDescent="0.25">
      <c r="M7617" s="21"/>
    </row>
    <row r="7618" spans="13:13" x14ac:dyDescent="0.25">
      <c r="M7618" s="21"/>
    </row>
    <row r="7619" spans="13:13" x14ac:dyDescent="0.25">
      <c r="M7619" s="21"/>
    </row>
    <row r="7620" spans="13:13" x14ac:dyDescent="0.25">
      <c r="M7620" s="21"/>
    </row>
    <row r="7621" spans="13:13" x14ac:dyDescent="0.25">
      <c r="M7621" s="21"/>
    </row>
    <row r="7622" spans="13:13" x14ac:dyDescent="0.25">
      <c r="M7622" s="21"/>
    </row>
    <row r="7623" spans="13:13" x14ac:dyDescent="0.25">
      <c r="M7623" s="21"/>
    </row>
    <row r="7624" spans="13:13" x14ac:dyDescent="0.25">
      <c r="M7624" s="21"/>
    </row>
    <row r="7625" spans="13:13" x14ac:dyDescent="0.25">
      <c r="M7625" s="21"/>
    </row>
    <row r="7626" spans="13:13" x14ac:dyDescent="0.25">
      <c r="M7626" s="21"/>
    </row>
    <row r="7627" spans="13:13" x14ac:dyDescent="0.25">
      <c r="M7627" s="21"/>
    </row>
    <row r="7628" spans="13:13" x14ac:dyDescent="0.25">
      <c r="M7628" s="21"/>
    </row>
    <row r="7629" spans="13:13" x14ac:dyDescent="0.25">
      <c r="M7629" s="21"/>
    </row>
    <row r="7630" spans="13:13" x14ac:dyDescent="0.25">
      <c r="M7630" s="21"/>
    </row>
    <row r="7631" spans="13:13" x14ac:dyDescent="0.25">
      <c r="M7631" s="21"/>
    </row>
    <row r="7632" spans="13:13" x14ac:dyDescent="0.25">
      <c r="M7632" s="21"/>
    </row>
    <row r="7633" spans="13:13" x14ac:dyDescent="0.25">
      <c r="M7633" s="21"/>
    </row>
    <row r="7634" spans="13:13" x14ac:dyDescent="0.25">
      <c r="M7634" s="21"/>
    </row>
    <row r="7635" spans="13:13" x14ac:dyDescent="0.25">
      <c r="M7635" s="21"/>
    </row>
    <row r="7636" spans="13:13" x14ac:dyDescent="0.25">
      <c r="M7636" s="21"/>
    </row>
    <row r="7637" spans="13:13" x14ac:dyDescent="0.25">
      <c r="M7637" s="21"/>
    </row>
    <row r="7638" spans="13:13" x14ac:dyDescent="0.25">
      <c r="M7638" s="21"/>
    </row>
    <row r="7639" spans="13:13" x14ac:dyDescent="0.25">
      <c r="M7639" s="21"/>
    </row>
    <row r="7640" spans="13:13" x14ac:dyDescent="0.25">
      <c r="M7640" s="21"/>
    </row>
    <row r="7641" spans="13:13" x14ac:dyDescent="0.25">
      <c r="M7641" s="21"/>
    </row>
    <row r="7642" spans="13:13" x14ac:dyDescent="0.25">
      <c r="M7642" s="21"/>
    </row>
    <row r="7643" spans="13:13" x14ac:dyDescent="0.25">
      <c r="M7643" s="21"/>
    </row>
    <row r="7644" spans="13:13" x14ac:dyDescent="0.25">
      <c r="M7644" s="21"/>
    </row>
    <row r="7645" spans="13:13" x14ac:dyDescent="0.25">
      <c r="M7645" s="21"/>
    </row>
    <row r="7646" spans="13:13" x14ac:dyDescent="0.25">
      <c r="M7646" s="21"/>
    </row>
    <row r="7647" spans="13:13" x14ac:dyDescent="0.25">
      <c r="M7647" s="21"/>
    </row>
    <row r="7648" spans="13:13" x14ac:dyDescent="0.25">
      <c r="M7648" s="21"/>
    </row>
    <row r="7649" spans="13:13" x14ac:dyDescent="0.25">
      <c r="M7649" s="21"/>
    </row>
    <row r="7650" spans="13:13" x14ac:dyDescent="0.25">
      <c r="M7650" s="21"/>
    </row>
    <row r="7651" spans="13:13" x14ac:dyDescent="0.25">
      <c r="M7651" s="21"/>
    </row>
    <row r="7652" spans="13:13" x14ac:dyDescent="0.25">
      <c r="M7652" s="21"/>
    </row>
    <row r="7653" spans="13:13" x14ac:dyDescent="0.25">
      <c r="M7653" s="21"/>
    </row>
    <row r="7654" spans="13:13" x14ac:dyDescent="0.25">
      <c r="M7654" s="21"/>
    </row>
    <row r="7655" spans="13:13" x14ac:dyDescent="0.25">
      <c r="M7655" s="21"/>
    </row>
    <row r="7656" spans="13:13" x14ac:dyDescent="0.25">
      <c r="M7656" s="21"/>
    </row>
    <row r="7657" spans="13:13" x14ac:dyDescent="0.25">
      <c r="M7657" s="21"/>
    </row>
    <row r="7658" spans="13:13" x14ac:dyDescent="0.25">
      <c r="M7658" s="21"/>
    </row>
    <row r="7659" spans="13:13" x14ac:dyDescent="0.25">
      <c r="M7659" s="21"/>
    </row>
    <row r="7660" spans="13:13" x14ac:dyDescent="0.25">
      <c r="M7660" s="21"/>
    </row>
    <row r="7661" spans="13:13" x14ac:dyDescent="0.25">
      <c r="M7661" s="21"/>
    </row>
    <row r="7662" spans="13:13" x14ac:dyDescent="0.25">
      <c r="M7662" s="21"/>
    </row>
    <row r="7663" spans="13:13" x14ac:dyDescent="0.25">
      <c r="M7663" s="21"/>
    </row>
    <row r="7664" spans="13:13" x14ac:dyDescent="0.25">
      <c r="M7664" s="21"/>
    </row>
    <row r="7665" spans="13:13" x14ac:dyDescent="0.25">
      <c r="M7665" s="21"/>
    </row>
    <row r="7666" spans="13:13" x14ac:dyDescent="0.25">
      <c r="M7666" s="21"/>
    </row>
    <row r="7667" spans="13:13" x14ac:dyDescent="0.25">
      <c r="M7667" s="21"/>
    </row>
    <row r="7668" spans="13:13" x14ac:dyDescent="0.25">
      <c r="M7668" s="21"/>
    </row>
    <row r="7669" spans="13:13" x14ac:dyDescent="0.25">
      <c r="M7669" s="21"/>
    </row>
    <row r="7670" spans="13:13" x14ac:dyDescent="0.25">
      <c r="M7670" s="21"/>
    </row>
    <row r="7671" spans="13:13" x14ac:dyDescent="0.25">
      <c r="M7671" s="21"/>
    </row>
    <row r="7672" spans="13:13" x14ac:dyDescent="0.25">
      <c r="M7672" s="21"/>
    </row>
    <row r="7673" spans="13:13" x14ac:dyDescent="0.25">
      <c r="M7673" s="21"/>
    </row>
    <row r="7674" spans="13:13" x14ac:dyDescent="0.25">
      <c r="M7674" s="21"/>
    </row>
    <row r="7675" spans="13:13" x14ac:dyDescent="0.25">
      <c r="M7675" s="21"/>
    </row>
    <row r="7676" spans="13:13" x14ac:dyDescent="0.25">
      <c r="M7676" s="21"/>
    </row>
    <row r="7677" spans="13:13" x14ac:dyDescent="0.25">
      <c r="M7677" s="21"/>
    </row>
    <row r="7678" spans="13:13" x14ac:dyDescent="0.25">
      <c r="M7678" s="21"/>
    </row>
    <row r="7679" spans="13:13" x14ac:dyDescent="0.25">
      <c r="M7679" s="21"/>
    </row>
    <row r="7680" spans="13:13" x14ac:dyDescent="0.25">
      <c r="M7680" s="21"/>
    </row>
    <row r="7681" spans="13:13" x14ac:dyDescent="0.25">
      <c r="M7681" s="21"/>
    </row>
    <row r="7682" spans="13:13" x14ac:dyDescent="0.25">
      <c r="M7682" s="21"/>
    </row>
    <row r="7683" spans="13:13" x14ac:dyDescent="0.25">
      <c r="M7683" s="21"/>
    </row>
    <row r="7684" spans="13:13" x14ac:dyDescent="0.25">
      <c r="M7684" s="21"/>
    </row>
    <row r="7685" spans="13:13" x14ac:dyDescent="0.25">
      <c r="M7685" s="21"/>
    </row>
    <row r="7686" spans="13:13" x14ac:dyDescent="0.25">
      <c r="M7686" s="21"/>
    </row>
    <row r="7687" spans="13:13" x14ac:dyDescent="0.25">
      <c r="M7687" s="21"/>
    </row>
    <row r="7688" spans="13:13" x14ac:dyDescent="0.25">
      <c r="M7688" s="21"/>
    </row>
    <row r="7689" spans="13:13" x14ac:dyDescent="0.25">
      <c r="M7689" s="21"/>
    </row>
    <row r="7690" spans="13:13" x14ac:dyDescent="0.25">
      <c r="M7690" s="21"/>
    </row>
    <row r="7691" spans="13:13" x14ac:dyDescent="0.25">
      <c r="M7691" s="21"/>
    </row>
    <row r="7692" spans="13:13" x14ac:dyDescent="0.25">
      <c r="M7692" s="21"/>
    </row>
    <row r="7693" spans="13:13" x14ac:dyDescent="0.25">
      <c r="M7693" s="21"/>
    </row>
    <row r="7694" spans="13:13" x14ac:dyDescent="0.25">
      <c r="M7694" s="21"/>
    </row>
    <row r="7695" spans="13:13" x14ac:dyDescent="0.25">
      <c r="M7695" s="21"/>
    </row>
    <row r="7696" spans="13:13" x14ac:dyDescent="0.25">
      <c r="M7696" s="21"/>
    </row>
    <row r="7697" spans="13:13" x14ac:dyDescent="0.25">
      <c r="M7697" s="21"/>
    </row>
    <row r="7698" spans="13:13" x14ac:dyDescent="0.25">
      <c r="M7698" s="21"/>
    </row>
    <row r="7699" spans="13:13" x14ac:dyDescent="0.25">
      <c r="M7699" s="21"/>
    </row>
    <row r="7700" spans="13:13" x14ac:dyDescent="0.25">
      <c r="M7700" s="21"/>
    </row>
    <row r="7701" spans="13:13" x14ac:dyDescent="0.25">
      <c r="M7701" s="21"/>
    </row>
    <row r="7702" spans="13:13" x14ac:dyDescent="0.25">
      <c r="M7702" s="21"/>
    </row>
    <row r="7703" spans="13:13" x14ac:dyDescent="0.25">
      <c r="M7703" s="21"/>
    </row>
    <row r="7704" spans="13:13" x14ac:dyDescent="0.25">
      <c r="M7704" s="21"/>
    </row>
    <row r="7705" spans="13:13" x14ac:dyDescent="0.25">
      <c r="M7705" s="21"/>
    </row>
    <row r="7706" spans="13:13" x14ac:dyDescent="0.25">
      <c r="M7706" s="21"/>
    </row>
    <row r="7707" spans="13:13" x14ac:dyDescent="0.25">
      <c r="M7707" s="21"/>
    </row>
    <row r="7708" spans="13:13" x14ac:dyDescent="0.25">
      <c r="M7708" s="21"/>
    </row>
    <row r="7709" spans="13:13" x14ac:dyDescent="0.25">
      <c r="M7709" s="21"/>
    </row>
    <row r="7710" spans="13:13" x14ac:dyDescent="0.25">
      <c r="M7710" s="21"/>
    </row>
    <row r="7711" spans="13:13" x14ac:dyDescent="0.25">
      <c r="M7711" s="21"/>
    </row>
    <row r="7712" spans="13:13" x14ac:dyDescent="0.25">
      <c r="M7712" s="21"/>
    </row>
    <row r="7713" spans="13:13" x14ac:dyDescent="0.25">
      <c r="M7713" s="21"/>
    </row>
    <row r="7714" spans="13:13" x14ac:dyDescent="0.25">
      <c r="M7714" s="21"/>
    </row>
    <row r="7715" spans="13:13" x14ac:dyDescent="0.25">
      <c r="M7715" s="21"/>
    </row>
    <row r="7716" spans="13:13" x14ac:dyDescent="0.25">
      <c r="M7716" s="21"/>
    </row>
    <row r="7717" spans="13:13" x14ac:dyDescent="0.25">
      <c r="M7717" s="21"/>
    </row>
    <row r="7718" spans="13:13" x14ac:dyDescent="0.25">
      <c r="M7718" s="21"/>
    </row>
    <row r="7719" spans="13:13" x14ac:dyDescent="0.25">
      <c r="M7719" s="21"/>
    </row>
    <row r="7720" spans="13:13" x14ac:dyDescent="0.25">
      <c r="M7720" s="21"/>
    </row>
    <row r="7721" spans="13:13" x14ac:dyDescent="0.25">
      <c r="M7721" s="21"/>
    </row>
    <row r="7722" spans="13:13" x14ac:dyDescent="0.25">
      <c r="M7722" s="21"/>
    </row>
    <row r="7723" spans="13:13" x14ac:dyDescent="0.25">
      <c r="M7723" s="21"/>
    </row>
    <row r="7724" spans="13:13" x14ac:dyDescent="0.25">
      <c r="M7724" s="21"/>
    </row>
    <row r="7725" spans="13:13" x14ac:dyDescent="0.25">
      <c r="M7725" s="21"/>
    </row>
    <row r="7726" spans="13:13" x14ac:dyDescent="0.25">
      <c r="M7726" s="21"/>
    </row>
    <row r="7727" spans="13:13" x14ac:dyDescent="0.25">
      <c r="M7727" s="21"/>
    </row>
    <row r="7728" spans="13:13" x14ac:dyDescent="0.25">
      <c r="M7728" s="21"/>
    </row>
    <row r="7729" spans="13:13" x14ac:dyDescent="0.25">
      <c r="M7729" s="21"/>
    </row>
    <row r="7730" spans="13:13" x14ac:dyDescent="0.25">
      <c r="M7730" s="21"/>
    </row>
    <row r="7731" spans="13:13" x14ac:dyDescent="0.25">
      <c r="M7731" s="21"/>
    </row>
    <row r="7732" spans="13:13" x14ac:dyDescent="0.25">
      <c r="M7732" s="21"/>
    </row>
    <row r="7733" spans="13:13" x14ac:dyDescent="0.25">
      <c r="M7733" s="21"/>
    </row>
    <row r="7734" spans="13:13" x14ac:dyDescent="0.25">
      <c r="M7734" s="21"/>
    </row>
    <row r="7735" spans="13:13" x14ac:dyDescent="0.25">
      <c r="M7735" s="21"/>
    </row>
    <row r="7736" spans="13:13" x14ac:dyDescent="0.25">
      <c r="M7736" s="21"/>
    </row>
    <row r="7737" spans="13:13" x14ac:dyDescent="0.25">
      <c r="M7737" s="21"/>
    </row>
    <row r="7738" spans="13:13" x14ac:dyDescent="0.25">
      <c r="M7738" s="21"/>
    </row>
    <row r="7739" spans="13:13" x14ac:dyDescent="0.25">
      <c r="M7739" s="21"/>
    </row>
    <row r="7740" spans="13:13" x14ac:dyDescent="0.25">
      <c r="M7740" s="21"/>
    </row>
    <row r="7741" spans="13:13" x14ac:dyDescent="0.25">
      <c r="M7741" s="21"/>
    </row>
    <row r="7742" spans="13:13" x14ac:dyDescent="0.25">
      <c r="M7742" s="21"/>
    </row>
    <row r="7743" spans="13:13" x14ac:dyDescent="0.25">
      <c r="M7743" s="21"/>
    </row>
    <row r="7744" spans="13:13" x14ac:dyDescent="0.25">
      <c r="M7744" s="21"/>
    </row>
    <row r="7745" spans="13:13" x14ac:dyDescent="0.25">
      <c r="M7745" s="21"/>
    </row>
    <row r="7746" spans="13:13" x14ac:dyDescent="0.25">
      <c r="M7746" s="21"/>
    </row>
    <row r="7747" spans="13:13" x14ac:dyDescent="0.25">
      <c r="M7747" s="21"/>
    </row>
    <row r="7748" spans="13:13" x14ac:dyDescent="0.25">
      <c r="M7748" s="21"/>
    </row>
    <row r="7749" spans="13:13" x14ac:dyDescent="0.25">
      <c r="M7749" s="21"/>
    </row>
    <row r="7750" spans="13:13" x14ac:dyDescent="0.25">
      <c r="M7750" s="21"/>
    </row>
    <row r="7751" spans="13:13" x14ac:dyDescent="0.25">
      <c r="M7751" s="21"/>
    </row>
    <row r="7752" spans="13:13" x14ac:dyDescent="0.25">
      <c r="M7752" s="21"/>
    </row>
    <row r="7753" spans="13:13" x14ac:dyDescent="0.25">
      <c r="M7753" s="21"/>
    </row>
    <row r="7754" spans="13:13" x14ac:dyDescent="0.25">
      <c r="M7754" s="21"/>
    </row>
    <row r="7755" spans="13:13" x14ac:dyDescent="0.25">
      <c r="M7755" s="21"/>
    </row>
    <row r="7756" spans="13:13" x14ac:dyDescent="0.25">
      <c r="M7756" s="21"/>
    </row>
    <row r="7757" spans="13:13" x14ac:dyDescent="0.25">
      <c r="M7757" s="21"/>
    </row>
    <row r="7758" spans="13:13" x14ac:dyDescent="0.25">
      <c r="M7758" s="21"/>
    </row>
    <row r="7759" spans="13:13" x14ac:dyDescent="0.25">
      <c r="M7759" s="21"/>
    </row>
    <row r="7760" spans="13:13" x14ac:dyDescent="0.25">
      <c r="M7760" s="21"/>
    </row>
    <row r="7761" spans="13:13" x14ac:dyDescent="0.25">
      <c r="M7761" s="21"/>
    </row>
    <row r="7762" spans="13:13" x14ac:dyDescent="0.25">
      <c r="M7762" s="21"/>
    </row>
    <row r="7763" spans="13:13" x14ac:dyDescent="0.25">
      <c r="M7763" s="21"/>
    </row>
    <row r="7764" spans="13:13" x14ac:dyDescent="0.25">
      <c r="M7764" s="21"/>
    </row>
    <row r="7765" spans="13:13" x14ac:dyDescent="0.25">
      <c r="M7765" s="21"/>
    </row>
    <row r="7766" spans="13:13" x14ac:dyDescent="0.25">
      <c r="M7766" s="21"/>
    </row>
    <row r="7767" spans="13:13" x14ac:dyDescent="0.25">
      <c r="M7767" s="21"/>
    </row>
    <row r="7768" spans="13:13" x14ac:dyDescent="0.25">
      <c r="M7768" s="21"/>
    </row>
    <row r="7769" spans="13:13" x14ac:dyDescent="0.25">
      <c r="M7769" s="21"/>
    </row>
    <row r="7770" spans="13:13" x14ac:dyDescent="0.25">
      <c r="M7770" s="21"/>
    </row>
    <row r="7771" spans="13:13" x14ac:dyDescent="0.25">
      <c r="M7771" s="21"/>
    </row>
    <row r="7772" spans="13:13" x14ac:dyDescent="0.25">
      <c r="M7772" s="21"/>
    </row>
    <row r="7773" spans="13:13" x14ac:dyDescent="0.25">
      <c r="M7773" s="21"/>
    </row>
    <row r="7774" spans="13:13" x14ac:dyDescent="0.25">
      <c r="M7774" s="21"/>
    </row>
    <row r="7775" spans="13:13" x14ac:dyDescent="0.25">
      <c r="M7775" s="21"/>
    </row>
    <row r="7776" spans="13:13" x14ac:dyDescent="0.25">
      <c r="M7776" s="21"/>
    </row>
    <row r="7777" spans="13:13" x14ac:dyDescent="0.25">
      <c r="M7777" s="21"/>
    </row>
    <row r="7778" spans="13:13" x14ac:dyDescent="0.25">
      <c r="M7778" s="21"/>
    </row>
    <row r="7779" spans="13:13" x14ac:dyDescent="0.25">
      <c r="M7779" s="21"/>
    </row>
    <row r="7780" spans="13:13" x14ac:dyDescent="0.25">
      <c r="M7780" s="21"/>
    </row>
    <row r="7781" spans="13:13" x14ac:dyDescent="0.25">
      <c r="M7781" s="21"/>
    </row>
    <row r="7782" spans="13:13" x14ac:dyDescent="0.25">
      <c r="M7782" s="21"/>
    </row>
    <row r="7783" spans="13:13" x14ac:dyDescent="0.25">
      <c r="M7783" s="21"/>
    </row>
    <row r="7784" spans="13:13" x14ac:dyDescent="0.25">
      <c r="M7784" s="21"/>
    </row>
    <row r="7785" spans="13:13" x14ac:dyDescent="0.25">
      <c r="M7785" s="21"/>
    </row>
    <row r="7786" spans="13:13" x14ac:dyDescent="0.25">
      <c r="M7786" s="21"/>
    </row>
    <row r="7787" spans="13:13" x14ac:dyDescent="0.25">
      <c r="M7787" s="21"/>
    </row>
    <row r="7788" spans="13:13" x14ac:dyDescent="0.25">
      <c r="M7788" s="21"/>
    </row>
    <row r="7789" spans="13:13" x14ac:dyDescent="0.25">
      <c r="M7789" s="21"/>
    </row>
    <row r="7790" spans="13:13" x14ac:dyDescent="0.25">
      <c r="M7790" s="21"/>
    </row>
    <row r="7791" spans="13:13" x14ac:dyDescent="0.25">
      <c r="M7791" s="21"/>
    </row>
    <row r="7792" spans="13:13" x14ac:dyDescent="0.25">
      <c r="M7792" s="21"/>
    </row>
    <row r="7793" spans="13:13" x14ac:dyDescent="0.25">
      <c r="M7793" s="21"/>
    </row>
    <row r="7794" spans="13:13" x14ac:dyDescent="0.25">
      <c r="M7794" s="21"/>
    </row>
    <row r="7795" spans="13:13" x14ac:dyDescent="0.25">
      <c r="M7795" s="21"/>
    </row>
    <row r="7796" spans="13:13" x14ac:dyDescent="0.25">
      <c r="M7796" s="21"/>
    </row>
    <row r="7797" spans="13:13" x14ac:dyDescent="0.25">
      <c r="M7797" s="21"/>
    </row>
    <row r="7798" spans="13:13" x14ac:dyDescent="0.25">
      <c r="M7798" s="21"/>
    </row>
    <row r="7799" spans="13:13" x14ac:dyDescent="0.25">
      <c r="M7799" s="21"/>
    </row>
    <row r="7800" spans="13:13" x14ac:dyDescent="0.25">
      <c r="M7800" s="21"/>
    </row>
    <row r="7801" spans="13:13" x14ac:dyDescent="0.25">
      <c r="M7801" s="21"/>
    </row>
    <row r="7802" spans="13:13" x14ac:dyDescent="0.25">
      <c r="M7802" s="21"/>
    </row>
    <row r="7803" spans="13:13" x14ac:dyDescent="0.25">
      <c r="M7803" s="21"/>
    </row>
    <row r="7804" spans="13:13" x14ac:dyDescent="0.25">
      <c r="M7804" s="21"/>
    </row>
    <row r="7805" spans="13:13" x14ac:dyDescent="0.25">
      <c r="M7805" s="21"/>
    </row>
    <row r="7806" spans="13:13" x14ac:dyDescent="0.25">
      <c r="M7806" s="21"/>
    </row>
    <row r="7807" spans="13:13" x14ac:dyDescent="0.25">
      <c r="M7807" s="21"/>
    </row>
    <row r="7808" spans="13:13" x14ac:dyDescent="0.25">
      <c r="M7808" s="21"/>
    </row>
    <row r="7809" spans="13:13" x14ac:dyDescent="0.25">
      <c r="M7809" s="21"/>
    </row>
    <row r="7810" spans="13:13" x14ac:dyDescent="0.25">
      <c r="M7810" s="21"/>
    </row>
    <row r="7811" spans="13:13" x14ac:dyDescent="0.25">
      <c r="M7811" s="21"/>
    </row>
    <row r="7812" spans="13:13" x14ac:dyDescent="0.25">
      <c r="M7812" s="21"/>
    </row>
    <row r="7813" spans="13:13" x14ac:dyDescent="0.25">
      <c r="M7813" s="21"/>
    </row>
    <row r="7814" spans="13:13" x14ac:dyDescent="0.25">
      <c r="M7814" s="21"/>
    </row>
    <row r="7815" spans="13:13" x14ac:dyDescent="0.25">
      <c r="M7815" s="21"/>
    </row>
    <row r="7816" spans="13:13" x14ac:dyDescent="0.25">
      <c r="M7816" s="21"/>
    </row>
    <row r="7817" spans="13:13" x14ac:dyDescent="0.25">
      <c r="M7817" s="21"/>
    </row>
    <row r="7818" spans="13:13" x14ac:dyDescent="0.25">
      <c r="M7818" s="21"/>
    </row>
    <row r="7819" spans="13:13" x14ac:dyDescent="0.25">
      <c r="M7819" s="21"/>
    </row>
    <row r="7820" spans="13:13" x14ac:dyDescent="0.25">
      <c r="M7820" s="21"/>
    </row>
    <row r="7821" spans="13:13" x14ac:dyDescent="0.25">
      <c r="M7821" s="21"/>
    </row>
    <row r="7822" spans="13:13" x14ac:dyDescent="0.25">
      <c r="M7822" s="21"/>
    </row>
    <row r="7823" spans="13:13" x14ac:dyDescent="0.25">
      <c r="M7823" s="21"/>
    </row>
    <row r="7824" spans="13:13" x14ac:dyDescent="0.25">
      <c r="M7824" s="21"/>
    </row>
    <row r="7825" spans="13:13" x14ac:dyDescent="0.25">
      <c r="M7825" s="21"/>
    </row>
    <row r="7826" spans="13:13" x14ac:dyDescent="0.25">
      <c r="M7826" s="21"/>
    </row>
    <row r="7827" spans="13:13" x14ac:dyDescent="0.25">
      <c r="M7827" s="21"/>
    </row>
    <row r="7828" spans="13:13" x14ac:dyDescent="0.25">
      <c r="M7828" s="21"/>
    </row>
    <row r="7829" spans="13:13" x14ac:dyDescent="0.25">
      <c r="M7829" s="21"/>
    </row>
    <row r="7830" spans="13:13" x14ac:dyDescent="0.25">
      <c r="M7830" s="21"/>
    </row>
    <row r="7831" spans="13:13" x14ac:dyDescent="0.25">
      <c r="M7831" s="21"/>
    </row>
    <row r="7832" spans="13:13" x14ac:dyDescent="0.25">
      <c r="M7832" s="21"/>
    </row>
    <row r="7833" spans="13:13" x14ac:dyDescent="0.25">
      <c r="M7833" s="21"/>
    </row>
    <row r="7834" spans="13:13" x14ac:dyDescent="0.25">
      <c r="M7834" s="21"/>
    </row>
    <row r="7835" spans="13:13" x14ac:dyDescent="0.25">
      <c r="M7835" s="21"/>
    </row>
    <row r="7836" spans="13:13" x14ac:dyDescent="0.25">
      <c r="M7836" s="21"/>
    </row>
    <row r="7837" spans="13:13" x14ac:dyDescent="0.25">
      <c r="M7837" s="21"/>
    </row>
    <row r="7838" spans="13:13" x14ac:dyDescent="0.25">
      <c r="M7838" s="21"/>
    </row>
    <row r="7839" spans="13:13" x14ac:dyDescent="0.25">
      <c r="M7839" s="21"/>
    </row>
    <row r="7840" spans="13:13" x14ac:dyDescent="0.25">
      <c r="M7840" s="21"/>
    </row>
    <row r="7841" spans="13:13" x14ac:dyDescent="0.25">
      <c r="M7841" s="21"/>
    </row>
    <row r="7842" spans="13:13" x14ac:dyDescent="0.25">
      <c r="M7842" s="21"/>
    </row>
    <row r="7843" spans="13:13" x14ac:dyDescent="0.25">
      <c r="M7843" s="21"/>
    </row>
    <row r="7844" spans="13:13" x14ac:dyDescent="0.25">
      <c r="M7844" s="21"/>
    </row>
    <row r="7845" spans="13:13" x14ac:dyDescent="0.25">
      <c r="M7845" s="21"/>
    </row>
    <row r="7846" spans="13:13" x14ac:dyDescent="0.25">
      <c r="M7846" s="21"/>
    </row>
    <row r="7847" spans="13:13" x14ac:dyDescent="0.25">
      <c r="M7847" s="21"/>
    </row>
    <row r="7848" spans="13:13" x14ac:dyDescent="0.25">
      <c r="M7848" s="21"/>
    </row>
    <row r="7849" spans="13:13" x14ac:dyDescent="0.25">
      <c r="M7849" s="21"/>
    </row>
    <row r="7850" spans="13:13" x14ac:dyDescent="0.25">
      <c r="M7850" s="21"/>
    </row>
    <row r="7851" spans="13:13" x14ac:dyDescent="0.25">
      <c r="M7851" s="21"/>
    </row>
    <row r="7852" spans="13:13" x14ac:dyDescent="0.25">
      <c r="M7852" s="21"/>
    </row>
    <row r="7853" spans="13:13" x14ac:dyDescent="0.25">
      <c r="M7853" s="21"/>
    </row>
    <row r="7854" spans="13:13" x14ac:dyDescent="0.25">
      <c r="M7854" s="21"/>
    </row>
    <row r="7855" spans="13:13" x14ac:dyDescent="0.25">
      <c r="M7855" s="21"/>
    </row>
    <row r="7856" spans="13:13" x14ac:dyDescent="0.25">
      <c r="M7856" s="21"/>
    </row>
    <row r="7857" spans="13:13" x14ac:dyDescent="0.25">
      <c r="M7857" s="21"/>
    </row>
    <row r="7858" spans="13:13" x14ac:dyDescent="0.25">
      <c r="M7858" s="21"/>
    </row>
    <row r="7859" spans="13:13" x14ac:dyDescent="0.25">
      <c r="M7859" s="21"/>
    </row>
    <row r="7860" spans="13:13" x14ac:dyDescent="0.25">
      <c r="M7860" s="21"/>
    </row>
    <row r="7861" spans="13:13" x14ac:dyDescent="0.25">
      <c r="M7861" s="21"/>
    </row>
    <row r="7862" spans="13:13" x14ac:dyDescent="0.25">
      <c r="M7862" s="21"/>
    </row>
    <row r="7863" spans="13:13" x14ac:dyDescent="0.25">
      <c r="M7863" s="21"/>
    </row>
    <row r="7864" spans="13:13" x14ac:dyDescent="0.25">
      <c r="M7864" s="21"/>
    </row>
    <row r="7865" spans="13:13" x14ac:dyDescent="0.25">
      <c r="M7865" s="21"/>
    </row>
    <row r="7866" spans="13:13" x14ac:dyDescent="0.25">
      <c r="M7866" s="21"/>
    </row>
    <row r="7867" spans="13:13" x14ac:dyDescent="0.25">
      <c r="M7867" s="21"/>
    </row>
    <row r="7868" spans="13:13" x14ac:dyDescent="0.25">
      <c r="M7868" s="21"/>
    </row>
    <row r="7869" spans="13:13" x14ac:dyDescent="0.25">
      <c r="M7869" s="21"/>
    </row>
    <row r="7870" spans="13:13" x14ac:dyDescent="0.25">
      <c r="M7870" s="21"/>
    </row>
    <row r="7871" spans="13:13" x14ac:dyDescent="0.25">
      <c r="M7871" s="21"/>
    </row>
    <row r="7872" spans="13:13" x14ac:dyDescent="0.25">
      <c r="M7872" s="21"/>
    </row>
    <row r="7873" spans="13:13" x14ac:dyDescent="0.25">
      <c r="M7873" s="21"/>
    </row>
    <row r="7874" spans="13:13" x14ac:dyDescent="0.25">
      <c r="M7874" s="21"/>
    </row>
    <row r="7875" spans="13:13" x14ac:dyDescent="0.25">
      <c r="M7875" s="21"/>
    </row>
    <row r="7876" spans="13:13" x14ac:dyDescent="0.25">
      <c r="M7876" s="21"/>
    </row>
    <row r="7877" spans="13:13" x14ac:dyDescent="0.25">
      <c r="M7877" s="21"/>
    </row>
    <row r="7878" spans="13:13" x14ac:dyDescent="0.25">
      <c r="M7878" s="21"/>
    </row>
    <row r="7879" spans="13:13" x14ac:dyDescent="0.25">
      <c r="M7879" s="21"/>
    </row>
    <row r="7880" spans="13:13" x14ac:dyDescent="0.25">
      <c r="M7880" s="21"/>
    </row>
    <row r="7881" spans="13:13" x14ac:dyDescent="0.25">
      <c r="M7881" s="21"/>
    </row>
    <row r="7882" spans="13:13" x14ac:dyDescent="0.25">
      <c r="M7882" s="21"/>
    </row>
    <row r="7883" spans="13:13" x14ac:dyDescent="0.25">
      <c r="M7883" s="21"/>
    </row>
    <row r="7884" spans="13:13" x14ac:dyDescent="0.25">
      <c r="M7884" s="21"/>
    </row>
    <row r="7885" spans="13:13" x14ac:dyDescent="0.25">
      <c r="M7885" s="21"/>
    </row>
    <row r="7886" spans="13:13" x14ac:dyDescent="0.25">
      <c r="M7886" s="21"/>
    </row>
    <row r="7887" spans="13:13" x14ac:dyDescent="0.25">
      <c r="M7887" s="21"/>
    </row>
    <row r="7888" spans="13:13" x14ac:dyDescent="0.25">
      <c r="M7888" s="21"/>
    </row>
    <row r="7889" spans="13:13" x14ac:dyDescent="0.25">
      <c r="M7889" s="21"/>
    </row>
    <row r="7890" spans="13:13" x14ac:dyDescent="0.25">
      <c r="M7890" s="21"/>
    </row>
    <row r="7891" spans="13:13" x14ac:dyDescent="0.25">
      <c r="M7891" s="21"/>
    </row>
    <row r="7892" spans="13:13" x14ac:dyDescent="0.25">
      <c r="M7892" s="21"/>
    </row>
    <row r="7893" spans="13:13" x14ac:dyDescent="0.25">
      <c r="M7893" s="21"/>
    </row>
    <row r="7894" spans="13:13" x14ac:dyDescent="0.25">
      <c r="M7894" s="21"/>
    </row>
    <row r="7895" spans="13:13" x14ac:dyDescent="0.25">
      <c r="M7895" s="21"/>
    </row>
    <row r="7896" spans="13:13" x14ac:dyDescent="0.25">
      <c r="M7896" s="21"/>
    </row>
    <row r="7897" spans="13:13" x14ac:dyDescent="0.25">
      <c r="M7897" s="21"/>
    </row>
    <row r="7898" spans="13:13" x14ac:dyDescent="0.25">
      <c r="M7898" s="21"/>
    </row>
    <row r="7899" spans="13:13" x14ac:dyDescent="0.25">
      <c r="M7899" s="21"/>
    </row>
    <row r="7900" spans="13:13" x14ac:dyDescent="0.25">
      <c r="M7900" s="21"/>
    </row>
    <row r="7901" spans="13:13" x14ac:dyDescent="0.25">
      <c r="M7901" s="21"/>
    </row>
    <row r="7902" spans="13:13" x14ac:dyDescent="0.25">
      <c r="M7902" s="21"/>
    </row>
    <row r="7903" spans="13:13" x14ac:dyDescent="0.25">
      <c r="M7903" s="21"/>
    </row>
    <row r="7904" spans="13:13" x14ac:dyDescent="0.25">
      <c r="M7904" s="21"/>
    </row>
    <row r="7905" spans="13:13" x14ac:dyDescent="0.25">
      <c r="M7905" s="21"/>
    </row>
    <row r="7906" spans="13:13" x14ac:dyDescent="0.25">
      <c r="M7906" s="21"/>
    </row>
    <row r="7907" spans="13:13" x14ac:dyDescent="0.25">
      <c r="M7907" s="21"/>
    </row>
    <row r="7908" spans="13:13" x14ac:dyDescent="0.25">
      <c r="M7908" s="21"/>
    </row>
    <row r="7909" spans="13:13" x14ac:dyDescent="0.25">
      <c r="M7909" s="21"/>
    </row>
    <row r="7910" spans="13:13" x14ac:dyDescent="0.25">
      <c r="M7910" s="21"/>
    </row>
    <row r="7911" spans="13:13" x14ac:dyDescent="0.25">
      <c r="M7911" s="21"/>
    </row>
    <row r="7912" spans="13:13" x14ac:dyDescent="0.25">
      <c r="M7912" s="21"/>
    </row>
    <row r="7913" spans="13:13" x14ac:dyDescent="0.25">
      <c r="M7913" s="21"/>
    </row>
    <row r="7914" spans="13:13" x14ac:dyDescent="0.25">
      <c r="M7914" s="21"/>
    </row>
    <row r="7915" spans="13:13" x14ac:dyDescent="0.25">
      <c r="M7915" s="21"/>
    </row>
    <row r="7916" spans="13:13" x14ac:dyDescent="0.25">
      <c r="M7916" s="21"/>
    </row>
    <row r="7917" spans="13:13" x14ac:dyDescent="0.25">
      <c r="M7917" s="21"/>
    </row>
    <row r="7918" spans="13:13" x14ac:dyDescent="0.25">
      <c r="M7918" s="21"/>
    </row>
    <row r="7919" spans="13:13" x14ac:dyDescent="0.25">
      <c r="M7919" s="21"/>
    </row>
    <row r="7920" spans="13:13" x14ac:dyDescent="0.25">
      <c r="M7920" s="21"/>
    </row>
    <row r="7921" spans="13:13" x14ac:dyDescent="0.25">
      <c r="M7921" s="21"/>
    </row>
    <row r="7922" spans="13:13" x14ac:dyDescent="0.25">
      <c r="M7922" s="21"/>
    </row>
    <row r="7923" spans="13:13" x14ac:dyDescent="0.25">
      <c r="M7923" s="21"/>
    </row>
    <row r="7924" spans="13:13" x14ac:dyDescent="0.25">
      <c r="M7924" s="21"/>
    </row>
    <row r="7925" spans="13:13" x14ac:dyDescent="0.25">
      <c r="M7925" s="21"/>
    </row>
    <row r="7926" spans="13:13" x14ac:dyDescent="0.25">
      <c r="M7926" s="21"/>
    </row>
    <row r="7927" spans="13:13" x14ac:dyDescent="0.25">
      <c r="M7927" s="21"/>
    </row>
    <row r="7928" spans="13:13" x14ac:dyDescent="0.25">
      <c r="M7928" s="21"/>
    </row>
    <row r="7929" spans="13:13" x14ac:dyDescent="0.25">
      <c r="M7929" s="21"/>
    </row>
    <row r="7930" spans="13:13" x14ac:dyDescent="0.25">
      <c r="M7930" s="21"/>
    </row>
    <row r="7931" spans="13:13" x14ac:dyDescent="0.25">
      <c r="M7931" s="21"/>
    </row>
    <row r="7932" spans="13:13" x14ac:dyDescent="0.25">
      <c r="M7932" s="21"/>
    </row>
    <row r="7933" spans="13:13" x14ac:dyDescent="0.25">
      <c r="M7933" s="21"/>
    </row>
    <row r="7934" spans="13:13" x14ac:dyDescent="0.25">
      <c r="M7934" s="21"/>
    </row>
    <row r="7935" spans="13:13" x14ac:dyDescent="0.25">
      <c r="M7935" s="21"/>
    </row>
    <row r="7936" spans="13:13" x14ac:dyDescent="0.25">
      <c r="M7936" s="21"/>
    </row>
    <row r="7937" spans="13:13" x14ac:dyDescent="0.25">
      <c r="M7937" s="21"/>
    </row>
    <row r="7938" spans="13:13" x14ac:dyDescent="0.25">
      <c r="M7938" s="21"/>
    </row>
    <row r="7939" spans="13:13" x14ac:dyDescent="0.25">
      <c r="M7939" s="21"/>
    </row>
    <row r="7940" spans="13:13" x14ac:dyDescent="0.25">
      <c r="M7940" s="21"/>
    </row>
    <row r="7941" spans="13:13" x14ac:dyDescent="0.25">
      <c r="M7941" s="21"/>
    </row>
    <row r="7942" spans="13:13" x14ac:dyDescent="0.25">
      <c r="M7942" s="21"/>
    </row>
    <row r="7943" spans="13:13" x14ac:dyDescent="0.25">
      <c r="M7943" s="21"/>
    </row>
    <row r="7944" spans="13:13" x14ac:dyDescent="0.25">
      <c r="M7944" s="21"/>
    </row>
    <row r="7945" spans="13:13" x14ac:dyDescent="0.25">
      <c r="M7945" s="21"/>
    </row>
    <row r="7946" spans="13:13" x14ac:dyDescent="0.25">
      <c r="M7946" s="21"/>
    </row>
    <row r="7947" spans="13:13" x14ac:dyDescent="0.25">
      <c r="M7947" s="21"/>
    </row>
    <row r="7948" spans="13:13" x14ac:dyDescent="0.25">
      <c r="M7948" s="21"/>
    </row>
    <row r="7949" spans="13:13" x14ac:dyDescent="0.25">
      <c r="M7949" s="21"/>
    </row>
    <row r="7950" spans="13:13" x14ac:dyDescent="0.25">
      <c r="M7950" s="21"/>
    </row>
    <row r="7951" spans="13:13" x14ac:dyDescent="0.25">
      <c r="M7951" s="21"/>
    </row>
    <row r="7952" spans="13:13" x14ac:dyDescent="0.25">
      <c r="M7952" s="21"/>
    </row>
    <row r="7953" spans="13:13" x14ac:dyDescent="0.25">
      <c r="M7953" s="21"/>
    </row>
    <row r="7954" spans="13:13" x14ac:dyDescent="0.25">
      <c r="M7954" s="21"/>
    </row>
    <row r="7955" spans="13:13" x14ac:dyDescent="0.25">
      <c r="M7955" s="21"/>
    </row>
    <row r="7956" spans="13:13" x14ac:dyDescent="0.25">
      <c r="M7956" s="21"/>
    </row>
    <row r="7957" spans="13:13" x14ac:dyDescent="0.25">
      <c r="M7957" s="21"/>
    </row>
    <row r="7958" spans="13:13" x14ac:dyDescent="0.25">
      <c r="M7958" s="21"/>
    </row>
    <row r="7959" spans="13:13" x14ac:dyDescent="0.25">
      <c r="M7959" s="21"/>
    </row>
    <row r="7960" spans="13:13" x14ac:dyDescent="0.25">
      <c r="M7960" s="21"/>
    </row>
    <row r="7961" spans="13:13" x14ac:dyDescent="0.25">
      <c r="M7961" s="21"/>
    </row>
    <row r="7962" spans="13:13" x14ac:dyDescent="0.25">
      <c r="M7962" s="21"/>
    </row>
    <row r="7963" spans="13:13" x14ac:dyDescent="0.25">
      <c r="M7963" s="21"/>
    </row>
    <row r="7964" spans="13:13" x14ac:dyDescent="0.25">
      <c r="M7964" s="21"/>
    </row>
    <row r="7965" spans="13:13" x14ac:dyDescent="0.25">
      <c r="M7965" s="21"/>
    </row>
    <row r="7966" spans="13:13" x14ac:dyDescent="0.25">
      <c r="M7966" s="21"/>
    </row>
    <row r="7967" spans="13:13" x14ac:dyDescent="0.25">
      <c r="M7967" s="21"/>
    </row>
    <row r="7968" spans="13:13" x14ac:dyDescent="0.25">
      <c r="M7968" s="21"/>
    </row>
    <row r="7969" spans="13:13" x14ac:dyDescent="0.25">
      <c r="M7969" s="21"/>
    </row>
    <row r="7970" spans="13:13" x14ac:dyDescent="0.25">
      <c r="M7970" s="21"/>
    </row>
    <row r="7971" spans="13:13" x14ac:dyDescent="0.25">
      <c r="M7971" s="21"/>
    </row>
    <row r="7972" spans="13:13" x14ac:dyDescent="0.25">
      <c r="M7972" s="21"/>
    </row>
    <row r="7973" spans="13:13" x14ac:dyDescent="0.25">
      <c r="M7973" s="21"/>
    </row>
    <row r="7974" spans="13:13" x14ac:dyDescent="0.25">
      <c r="M7974" s="21"/>
    </row>
    <row r="7975" spans="13:13" x14ac:dyDescent="0.25">
      <c r="M7975" s="21"/>
    </row>
    <row r="7976" spans="13:13" x14ac:dyDescent="0.25">
      <c r="M7976" s="21"/>
    </row>
    <row r="7977" spans="13:13" x14ac:dyDescent="0.25">
      <c r="M7977" s="21"/>
    </row>
    <row r="7978" spans="13:13" x14ac:dyDescent="0.25">
      <c r="M7978" s="21"/>
    </row>
    <row r="7979" spans="13:13" x14ac:dyDescent="0.25">
      <c r="M7979" s="21"/>
    </row>
    <row r="7980" spans="13:13" x14ac:dyDescent="0.25">
      <c r="M7980" s="21"/>
    </row>
    <row r="7981" spans="13:13" x14ac:dyDescent="0.25">
      <c r="M7981" s="21"/>
    </row>
    <row r="7982" spans="13:13" x14ac:dyDescent="0.25">
      <c r="M7982" s="21"/>
    </row>
    <row r="7983" spans="13:13" x14ac:dyDescent="0.25">
      <c r="M7983" s="21"/>
    </row>
    <row r="7984" spans="13:13" x14ac:dyDescent="0.25">
      <c r="M7984" s="21"/>
    </row>
    <row r="7985" spans="13:13" x14ac:dyDescent="0.25">
      <c r="M7985" s="21"/>
    </row>
    <row r="7986" spans="13:13" x14ac:dyDescent="0.25">
      <c r="M7986" s="21"/>
    </row>
    <row r="7987" spans="13:13" x14ac:dyDescent="0.25">
      <c r="M7987" s="21"/>
    </row>
    <row r="7988" spans="13:13" x14ac:dyDescent="0.25">
      <c r="M7988" s="21"/>
    </row>
    <row r="7989" spans="13:13" x14ac:dyDescent="0.25">
      <c r="M7989" s="21"/>
    </row>
    <row r="7990" spans="13:13" x14ac:dyDescent="0.25">
      <c r="M7990" s="21"/>
    </row>
    <row r="7991" spans="13:13" x14ac:dyDescent="0.25">
      <c r="M7991" s="21"/>
    </row>
    <row r="7992" spans="13:13" x14ac:dyDescent="0.25">
      <c r="M7992" s="21"/>
    </row>
    <row r="7993" spans="13:13" x14ac:dyDescent="0.25">
      <c r="M7993" s="21"/>
    </row>
    <row r="7994" spans="13:13" x14ac:dyDescent="0.25">
      <c r="M7994" s="21"/>
    </row>
    <row r="7995" spans="13:13" x14ac:dyDescent="0.25">
      <c r="M7995" s="21"/>
    </row>
    <row r="7996" spans="13:13" x14ac:dyDescent="0.25">
      <c r="M7996" s="21"/>
    </row>
    <row r="7997" spans="13:13" x14ac:dyDescent="0.25">
      <c r="M7997" s="21"/>
    </row>
    <row r="7998" spans="13:13" x14ac:dyDescent="0.25">
      <c r="M7998" s="21"/>
    </row>
    <row r="7999" spans="13:13" x14ac:dyDescent="0.25">
      <c r="M7999" s="21"/>
    </row>
    <row r="8000" spans="13:13" x14ac:dyDescent="0.25">
      <c r="M8000" s="21"/>
    </row>
    <row r="8001" spans="13:13" x14ac:dyDescent="0.25">
      <c r="M8001" s="21"/>
    </row>
    <row r="8002" spans="13:13" x14ac:dyDescent="0.25">
      <c r="M8002" s="21"/>
    </row>
    <row r="8003" spans="13:13" x14ac:dyDescent="0.25">
      <c r="M8003" s="21"/>
    </row>
    <row r="8004" spans="13:13" x14ac:dyDescent="0.25">
      <c r="M8004" s="21"/>
    </row>
    <row r="8005" spans="13:13" x14ac:dyDescent="0.25">
      <c r="M8005" s="21"/>
    </row>
    <row r="8006" spans="13:13" x14ac:dyDescent="0.25">
      <c r="M8006" s="21"/>
    </row>
    <row r="8007" spans="13:13" x14ac:dyDescent="0.25">
      <c r="M8007" s="21"/>
    </row>
    <row r="8008" spans="13:13" x14ac:dyDescent="0.25">
      <c r="M8008" s="21"/>
    </row>
    <row r="8009" spans="13:13" x14ac:dyDescent="0.25">
      <c r="M8009" s="21"/>
    </row>
    <row r="8010" spans="13:13" x14ac:dyDescent="0.25">
      <c r="M8010" s="21"/>
    </row>
    <row r="8011" spans="13:13" x14ac:dyDescent="0.25">
      <c r="M8011" s="21"/>
    </row>
    <row r="8012" spans="13:13" x14ac:dyDescent="0.25">
      <c r="M8012" s="21"/>
    </row>
    <row r="8013" spans="13:13" x14ac:dyDescent="0.25">
      <c r="M8013" s="21"/>
    </row>
    <row r="8014" spans="13:13" x14ac:dyDescent="0.25">
      <c r="M8014" s="21"/>
    </row>
    <row r="8015" spans="13:13" x14ac:dyDescent="0.25">
      <c r="M8015" s="21"/>
    </row>
    <row r="8016" spans="13:13" x14ac:dyDescent="0.25">
      <c r="M8016" s="21"/>
    </row>
    <row r="8017" spans="13:13" x14ac:dyDescent="0.25">
      <c r="M8017" s="21"/>
    </row>
    <row r="8018" spans="13:13" x14ac:dyDescent="0.25">
      <c r="M8018" s="21"/>
    </row>
    <row r="8019" spans="13:13" x14ac:dyDescent="0.25">
      <c r="M8019" s="21"/>
    </row>
    <row r="8020" spans="13:13" x14ac:dyDescent="0.25">
      <c r="M8020" s="21"/>
    </row>
    <row r="8021" spans="13:13" x14ac:dyDescent="0.25">
      <c r="M8021" s="21"/>
    </row>
    <row r="8022" spans="13:13" x14ac:dyDescent="0.25">
      <c r="M8022" s="21"/>
    </row>
    <row r="8023" spans="13:13" x14ac:dyDescent="0.25">
      <c r="M8023" s="21"/>
    </row>
    <row r="8024" spans="13:13" x14ac:dyDescent="0.25">
      <c r="M8024" s="21"/>
    </row>
    <row r="8025" spans="13:13" x14ac:dyDescent="0.25">
      <c r="M8025" s="21"/>
    </row>
    <row r="8026" spans="13:13" x14ac:dyDescent="0.25">
      <c r="M8026" s="21"/>
    </row>
    <row r="8027" spans="13:13" x14ac:dyDescent="0.25">
      <c r="M8027" s="21"/>
    </row>
    <row r="8028" spans="13:13" x14ac:dyDescent="0.25">
      <c r="M8028" s="21"/>
    </row>
    <row r="8029" spans="13:13" x14ac:dyDescent="0.25">
      <c r="M8029" s="21"/>
    </row>
    <row r="8030" spans="13:13" x14ac:dyDescent="0.25">
      <c r="M8030" s="21"/>
    </row>
    <row r="8031" spans="13:13" x14ac:dyDescent="0.25">
      <c r="M8031" s="21"/>
    </row>
    <row r="8032" spans="13:13" x14ac:dyDescent="0.25">
      <c r="M8032" s="21"/>
    </row>
    <row r="8033" spans="13:13" x14ac:dyDescent="0.25">
      <c r="M8033" s="21"/>
    </row>
    <row r="8034" spans="13:13" x14ac:dyDescent="0.25">
      <c r="M8034" s="21"/>
    </row>
    <row r="8035" spans="13:13" x14ac:dyDescent="0.25">
      <c r="M8035" s="21"/>
    </row>
    <row r="8036" spans="13:13" x14ac:dyDescent="0.25">
      <c r="M8036" s="21"/>
    </row>
    <row r="8037" spans="13:13" x14ac:dyDescent="0.25">
      <c r="M8037" s="21"/>
    </row>
    <row r="8038" spans="13:13" x14ac:dyDescent="0.25">
      <c r="M8038" s="21"/>
    </row>
    <row r="8039" spans="13:13" x14ac:dyDescent="0.25">
      <c r="M8039" s="21"/>
    </row>
    <row r="8040" spans="13:13" x14ac:dyDescent="0.25">
      <c r="M8040" s="21"/>
    </row>
    <row r="8041" spans="13:13" x14ac:dyDescent="0.25">
      <c r="M8041" s="21"/>
    </row>
    <row r="8042" spans="13:13" x14ac:dyDescent="0.25">
      <c r="M8042" s="21"/>
    </row>
    <row r="8043" spans="13:13" x14ac:dyDescent="0.25">
      <c r="M8043" s="21"/>
    </row>
    <row r="8044" spans="13:13" x14ac:dyDescent="0.25">
      <c r="M8044" s="21"/>
    </row>
    <row r="8045" spans="13:13" x14ac:dyDescent="0.25">
      <c r="M8045" s="21"/>
    </row>
    <row r="8046" spans="13:13" x14ac:dyDescent="0.25">
      <c r="M8046" s="21"/>
    </row>
    <row r="8047" spans="13:13" x14ac:dyDescent="0.25">
      <c r="M8047" s="21"/>
    </row>
    <row r="8048" spans="13:13" x14ac:dyDescent="0.25">
      <c r="M8048" s="21"/>
    </row>
    <row r="8049" spans="13:13" x14ac:dyDescent="0.25">
      <c r="M8049" s="21"/>
    </row>
    <row r="8050" spans="13:13" x14ac:dyDescent="0.25">
      <c r="M8050" s="21"/>
    </row>
    <row r="8051" spans="13:13" x14ac:dyDescent="0.25">
      <c r="M8051" s="21"/>
    </row>
    <row r="8052" spans="13:13" x14ac:dyDescent="0.25">
      <c r="M8052" s="21"/>
    </row>
    <row r="8053" spans="13:13" x14ac:dyDescent="0.25">
      <c r="M8053" s="21"/>
    </row>
    <row r="8054" spans="13:13" x14ac:dyDescent="0.25">
      <c r="M8054" s="21"/>
    </row>
    <row r="8055" spans="13:13" x14ac:dyDescent="0.25">
      <c r="M8055" s="21"/>
    </row>
    <row r="8056" spans="13:13" x14ac:dyDescent="0.25">
      <c r="M8056" s="21"/>
    </row>
    <row r="8057" spans="13:13" x14ac:dyDescent="0.25">
      <c r="M8057" s="21"/>
    </row>
    <row r="8058" spans="13:13" x14ac:dyDescent="0.25">
      <c r="M8058" s="21"/>
    </row>
    <row r="8059" spans="13:13" x14ac:dyDescent="0.25">
      <c r="M8059" s="21"/>
    </row>
    <row r="8060" spans="13:13" x14ac:dyDescent="0.25">
      <c r="M8060" s="21"/>
    </row>
    <row r="8061" spans="13:13" x14ac:dyDescent="0.25">
      <c r="M8061" s="21"/>
    </row>
    <row r="8062" spans="13:13" x14ac:dyDescent="0.25">
      <c r="M8062" s="21"/>
    </row>
    <row r="8063" spans="13:13" x14ac:dyDescent="0.25">
      <c r="M8063" s="21"/>
    </row>
    <row r="8064" spans="13:13" x14ac:dyDescent="0.25">
      <c r="M8064" s="21"/>
    </row>
    <row r="8065" spans="13:13" x14ac:dyDescent="0.25">
      <c r="M8065" s="21"/>
    </row>
    <row r="8066" spans="13:13" x14ac:dyDescent="0.25">
      <c r="M8066" s="21"/>
    </row>
    <row r="8067" spans="13:13" x14ac:dyDescent="0.25">
      <c r="M8067" s="21"/>
    </row>
    <row r="8068" spans="13:13" x14ac:dyDescent="0.25">
      <c r="M8068" s="21"/>
    </row>
    <row r="8069" spans="13:13" x14ac:dyDescent="0.25">
      <c r="M8069" s="21"/>
    </row>
    <row r="8070" spans="13:13" x14ac:dyDescent="0.25">
      <c r="M8070" s="21"/>
    </row>
    <row r="8071" spans="13:13" x14ac:dyDescent="0.25">
      <c r="M8071" s="21"/>
    </row>
    <row r="8072" spans="13:13" x14ac:dyDescent="0.25">
      <c r="M8072" s="21"/>
    </row>
    <row r="8073" spans="13:13" x14ac:dyDescent="0.25">
      <c r="M8073" s="21"/>
    </row>
    <row r="8074" spans="13:13" x14ac:dyDescent="0.25">
      <c r="M8074" s="21"/>
    </row>
    <row r="8075" spans="13:13" x14ac:dyDescent="0.25">
      <c r="M8075" s="21"/>
    </row>
    <row r="8076" spans="13:13" x14ac:dyDescent="0.25">
      <c r="M8076" s="21"/>
    </row>
    <row r="8077" spans="13:13" x14ac:dyDescent="0.25">
      <c r="M8077" s="21"/>
    </row>
    <row r="8078" spans="13:13" x14ac:dyDescent="0.25">
      <c r="M8078" s="21"/>
    </row>
    <row r="8079" spans="13:13" x14ac:dyDescent="0.25">
      <c r="M8079" s="21"/>
    </row>
    <row r="8080" spans="13:13" x14ac:dyDescent="0.25">
      <c r="M8080" s="21"/>
    </row>
    <row r="8081" spans="13:13" x14ac:dyDescent="0.25">
      <c r="M8081" s="21"/>
    </row>
    <row r="8082" spans="13:13" x14ac:dyDescent="0.25">
      <c r="M8082" s="21"/>
    </row>
    <row r="8083" spans="13:13" x14ac:dyDescent="0.25">
      <c r="M8083" s="21"/>
    </row>
    <row r="8084" spans="13:13" x14ac:dyDescent="0.25">
      <c r="M8084" s="21"/>
    </row>
    <row r="8085" spans="13:13" x14ac:dyDescent="0.25">
      <c r="M8085" s="21"/>
    </row>
    <row r="8086" spans="13:13" x14ac:dyDescent="0.25">
      <c r="M8086" s="21"/>
    </row>
    <row r="8087" spans="13:13" x14ac:dyDescent="0.25">
      <c r="M8087" s="21"/>
    </row>
    <row r="8088" spans="13:13" x14ac:dyDescent="0.25">
      <c r="M8088" s="21"/>
    </row>
    <row r="8089" spans="13:13" x14ac:dyDescent="0.25">
      <c r="M8089" s="21"/>
    </row>
    <row r="8090" spans="13:13" x14ac:dyDescent="0.25">
      <c r="M8090" s="21"/>
    </row>
    <row r="8091" spans="13:13" x14ac:dyDescent="0.25">
      <c r="M8091" s="21"/>
    </row>
    <row r="8092" spans="13:13" x14ac:dyDescent="0.25">
      <c r="M8092" s="21"/>
    </row>
    <row r="8093" spans="13:13" x14ac:dyDescent="0.25">
      <c r="M8093" s="21"/>
    </row>
    <row r="8094" spans="13:13" x14ac:dyDescent="0.25">
      <c r="M8094" s="21"/>
    </row>
    <row r="8095" spans="13:13" x14ac:dyDescent="0.25">
      <c r="M8095" s="21"/>
    </row>
    <row r="8096" spans="13:13" x14ac:dyDescent="0.25">
      <c r="M8096" s="21"/>
    </row>
    <row r="8097" spans="13:13" x14ac:dyDescent="0.25">
      <c r="M8097" s="21"/>
    </row>
    <row r="8098" spans="13:13" x14ac:dyDescent="0.25">
      <c r="M8098" s="21"/>
    </row>
    <row r="8099" spans="13:13" x14ac:dyDescent="0.25">
      <c r="M8099" s="21"/>
    </row>
    <row r="8100" spans="13:13" x14ac:dyDescent="0.25">
      <c r="M8100" s="21"/>
    </row>
    <row r="8101" spans="13:13" x14ac:dyDescent="0.25">
      <c r="M8101" s="21"/>
    </row>
    <row r="8102" spans="13:13" x14ac:dyDescent="0.25">
      <c r="M8102" s="21"/>
    </row>
    <row r="8103" spans="13:13" x14ac:dyDescent="0.25">
      <c r="M8103" s="21"/>
    </row>
    <row r="8104" spans="13:13" x14ac:dyDescent="0.25">
      <c r="M8104" s="21"/>
    </row>
    <row r="8105" spans="13:13" x14ac:dyDescent="0.25">
      <c r="M8105" s="21"/>
    </row>
    <row r="8106" spans="13:13" x14ac:dyDescent="0.25">
      <c r="M8106" s="21"/>
    </row>
    <row r="8107" spans="13:13" x14ac:dyDescent="0.25">
      <c r="M8107" s="21"/>
    </row>
    <row r="8108" spans="13:13" x14ac:dyDescent="0.25">
      <c r="M8108" s="21"/>
    </row>
    <row r="8109" spans="13:13" x14ac:dyDescent="0.25">
      <c r="M8109" s="21"/>
    </row>
    <row r="8110" spans="13:13" x14ac:dyDescent="0.25">
      <c r="M8110" s="21"/>
    </row>
    <row r="8111" spans="13:13" x14ac:dyDescent="0.25">
      <c r="M8111" s="21"/>
    </row>
    <row r="8112" spans="13:13" x14ac:dyDescent="0.25">
      <c r="M8112" s="21"/>
    </row>
    <row r="8113" spans="13:13" x14ac:dyDescent="0.25">
      <c r="M8113" s="21"/>
    </row>
    <row r="8114" spans="13:13" x14ac:dyDescent="0.25">
      <c r="M8114" s="21"/>
    </row>
    <row r="8115" spans="13:13" x14ac:dyDescent="0.25">
      <c r="M8115" s="21"/>
    </row>
    <row r="8116" spans="13:13" x14ac:dyDescent="0.25">
      <c r="M8116" s="21"/>
    </row>
    <row r="8117" spans="13:13" x14ac:dyDescent="0.25">
      <c r="M8117" s="21"/>
    </row>
    <row r="8118" spans="13:13" x14ac:dyDescent="0.25">
      <c r="M8118" s="21"/>
    </row>
    <row r="8119" spans="13:13" x14ac:dyDescent="0.25">
      <c r="M8119" s="21"/>
    </row>
    <row r="8120" spans="13:13" x14ac:dyDescent="0.25">
      <c r="M8120" s="21"/>
    </row>
    <row r="8121" spans="13:13" x14ac:dyDescent="0.25">
      <c r="M8121" s="21"/>
    </row>
    <row r="8122" spans="13:13" x14ac:dyDescent="0.25">
      <c r="M8122" s="21"/>
    </row>
    <row r="8123" spans="13:13" x14ac:dyDescent="0.25">
      <c r="M8123" s="21"/>
    </row>
    <row r="8124" spans="13:13" x14ac:dyDescent="0.25">
      <c r="M8124" s="21"/>
    </row>
    <row r="8125" spans="13:13" x14ac:dyDescent="0.25">
      <c r="M8125" s="21"/>
    </row>
    <row r="8126" spans="13:13" x14ac:dyDescent="0.25">
      <c r="M8126" s="21"/>
    </row>
    <row r="8127" spans="13:13" x14ac:dyDescent="0.25">
      <c r="M8127" s="21"/>
    </row>
    <row r="8128" spans="13:13" x14ac:dyDescent="0.25">
      <c r="M8128" s="21"/>
    </row>
    <row r="8129" spans="13:13" x14ac:dyDescent="0.25">
      <c r="M8129" s="21"/>
    </row>
    <row r="8130" spans="13:13" x14ac:dyDescent="0.25">
      <c r="M8130" s="21"/>
    </row>
    <row r="8131" spans="13:13" x14ac:dyDescent="0.25">
      <c r="M8131" s="21"/>
    </row>
    <row r="8132" spans="13:13" x14ac:dyDescent="0.25">
      <c r="M8132" s="21"/>
    </row>
    <row r="8133" spans="13:13" x14ac:dyDescent="0.25">
      <c r="M8133" s="21"/>
    </row>
    <row r="8134" spans="13:13" x14ac:dyDescent="0.25">
      <c r="M8134" s="21"/>
    </row>
    <row r="8135" spans="13:13" x14ac:dyDescent="0.25">
      <c r="M8135" s="21"/>
    </row>
    <row r="8136" spans="13:13" x14ac:dyDescent="0.25">
      <c r="M8136" s="21"/>
    </row>
    <row r="8137" spans="13:13" x14ac:dyDescent="0.25">
      <c r="M8137" s="21"/>
    </row>
    <row r="8138" spans="13:13" x14ac:dyDescent="0.25">
      <c r="M8138" s="21"/>
    </row>
    <row r="8139" spans="13:13" x14ac:dyDescent="0.25">
      <c r="M8139" s="21"/>
    </row>
    <row r="8140" spans="13:13" x14ac:dyDescent="0.25">
      <c r="M8140" s="21"/>
    </row>
    <row r="8141" spans="13:13" x14ac:dyDescent="0.25">
      <c r="M8141" s="21"/>
    </row>
    <row r="8142" spans="13:13" x14ac:dyDescent="0.25">
      <c r="M8142" s="21"/>
    </row>
    <row r="8143" spans="13:13" x14ac:dyDescent="0.25">
      <c r="M8143" s="21"/>
    </row>
    <row r="8144" spans="13:13" x14ac:dyDescent="0.25">
      <c r="M8144" s="21"/>
    </row>
    <row r="8145" spans="13:13" x14ac:dyDescent="0.25">
      <c r="M8145" s="21"/>
    </row>
    <row r="8146" spans="13:13" x14ac:dyDescent="0.25">
      <c r="M8146" s="21"/>
    </row>
    <row r="8147" spans="13:13" x14ac:dyDescent="0.25">
      <c r="M8147" s="21"/>
    </row>
    <row r="8148" spans="13:13" x14ac:dyDescent="0.25">
      <c r="M8148" s="21"/>
    </row>
    <row r="8149" spans="13:13" x14ac:dyDescent="0.25">
      <c r="M8149" s="21"/>
    </row>
    <row r="8150" spans="13:13" x14ac:dyDescent="0.25">
      <c r="M8150" s="21"/>
    </row>
    <row r="8151" spans="13:13" x14ac:dyDescent="0.25">
      <c r="M8151" s="21"/>
    </row>
    <row r="8152" spans="13:13" x14ac:dyDescent="0.25">
      <c r="M8152" s="21"/>
    </row>
    <row r="8153" spans="13:13" x14ac:dyDescent="0.25">
      <c r="M8153" s="21"/>
    </row>
    <row r="8154" spans="13:13" x14ac:dyDescent="0.25">
      <c r="M8154" s="21"/>
    </row>
    <row r="8155" spans="13:13" x14ac:dyDescent="0.25">
      <c r="M8155" s="21"/>
    </row>
    <row r="8156" spans="13:13" x14ac:dyDescent="0.25">
      <c r="M8156" s="21"/>
    </row>
    <row r="8157" spans="13:13" x14ac:dyDescent="0.25">
      <c r="M8157" s="21"/>
    </row>
    <row r="8158" spans="13:13" x14ac:dyDescent="0.25">
      <c r="M8158" s="21"/>
    </row>
    <row r="8159" spans="13:13" x14ac:dyDescent="0.25">
      <c r="M8159" s="21"/>
    </row>
    <row r="8160" spans="13:13" x14ac:dyDescent="0.25">
      <c r="M8160" s="21"/>
    </row>
    <row r="8161" spans="13:13" x14ac:dyDescent="0.25">
      <c r="M8161" s="21"/>
    </row>
    <row r="8162" spans="13:13" x14ac:dyDescent="0.25">
      <c r="M8162" s="21"/>
    </row>
    <row r="8163" spans="13:13" x14ac:dyDescent="0.25">
      <c r="M8163" s="21"/>
    </row>
    <row r="8164" spans="13:13" x14ac:dyDescent="0.25">
      <c r="M8164" s="21"/>
    </row>
    <row r="8165" spans="13:13" x14ac:dyDescent="0.25">
      <c r="M8165" s="21"/>
    </row>
    <row r="8166" spans="13:13" x14ac:dyDescent="0.25">
      <c r="M8166" s="21"/>
    </row>
    <row r="8167" spans="13:13" x14ac:dyDescent="0.25">
      <c r="M8167" s="21"/>
    </row>
    <row r="8168" spans="13:13" x14ac:dyDescent="0.25">
      <c r="M8168" s="21"/>
    </row>
    <row r="8169" spans="13:13" x14ac:dyDescent="0.25">
      <c r="M8169" s="21"/>
    </row>
    <row r="8170" spans="13:13" x14ac:dyDescent="0.25">
      <c r="M8170" s="21"/>
    </row>
    <row r="8171" spans="13:13" x14ac:dyDescent="0.25">
      <c r="M8171" s="21"/>
    </row>
    <row r="8172" spans="13:13" x14ac:dyDescent="0.25">
      <c r="M8172" s="21"/>
    </row>
    <row r="8173" spans="13:13" x14ac:dyDescent="0.25">
      <c r="M8173" s="21"/>
    </row>
    <row r="8174" spans="13:13" x14ac:dyDescent="0.25">
      <c r="M8174" s="21"/>
    </row>
    <row r="8175" spans="13:13" x14ac:dyDescent="0.25">
      <c r="M8175" s="21"/>
    </row>
    <row r="8176" spans="13:13" x14ac:dyDescent="0.25">
      <c r="M8176" s="21"/>
    </row>
    <row r="8177" spans="13:13" x14ac:dyDescent="0.25">
      <c r="M8177" s="21"/>
    </row>
    <row r="8178" spans="13:13" x14ac:dyDescent="0.25">
      <c r="M8178" s="21"/>
    </row>
    <row r="8179" spans="13:13" x14ac:dyDescent="0.25">
      <c r="M8179" s="21"/>
    </row>
    <row r="8180" spans="13:13" x14ac:dyDescent="0.25">
      <c r="M8180" s="21"/>
    </row>
    <row r="8181" spans="13:13" x14ac:dyDescent="0.25">
      <c r="M8181" s="21"/>
    </row>
    <row r="8182" spans="13:13" x14ac:dyDescent="0.25">
      <c r="M8182" s="21"/>
    </row>
    <row r="8183" spans="13:13" x14ac:dyDescent="0.25">
      <c r="M8183" s="21"/>
    </row>
    <row r="8184" spans="13:13" x14ac:dyDescent="0.25">
      <c r="M8184" s="21"/>
    </row>
    <row r="8185" spans="13:13" x14ac:dyDescent="0.25">
      <c r="M8185" s="21"/>
    </row>
    <row r="8186" spans="13:13" x14ac:dyDescent="0.25">
      <c r="M8186" s="21"/>
    </row>
    <row r="8187" spans="13:13" x14ac:dyDescent="0.25">
      <c r="M8187" s="21"/>
    </row>
    <row r="8188" spans="13:13" x14ac:dyDescent="0.25">
      <c r="M8188" s="21"/>
    </row>
    <row r="8189" spans="13:13" x14ac:dyDescent="0.25">
      <c r="M8189" s="21"/>
    </row>
    <row r="8190" spans="13:13" x14ac:dyDescent="0.25">
      <c r="M8190" s="21"/>
    </row>
    <row r="8191" spans="13:13" x14ac:dyDescent="0.25">
      <c r="M8191" s="21"/>
    </row>
    <row r="8192" spans="13:13" x14ac:dyDescent="0.25">
      <c r="M8192" s="21"/>
    </row>
    <row r="8193" spans="13:13" x14ac:dyDescent="0.25">
      <c r="M8193" s="21"/>
    </row>
    <row r="8194" spans="13:13" x14ac:dyDescent="0.25">
      <c r="M8194" s="21"/>
    </row>
    <row r="8195" spans="13:13" x14ac:dyDescent="0.25">
      <c r="M8195" s="21"/>
    </row>
    <row r="8196" spans="13:13" x14ac:dyDescent="0.25">
      <c r="M8196" s="21"/>
    </row>
    <row r="8197" spans="13:13" x14ac:dyDescent="0.25">
      <c r="M8197" s="21"/>
    </row>
    <row r="8198" spans="13:13" x14ac:dyDescent="0.25">
      <c r="M8198" s="21"/>
    </row>
    <row r="8199" spans="13:13" x14ac:dyDescent="0.25">
      <c r="M8199" s="21"/>
    </row>
    <row r="8200" spans="13:13" x14ac:dyDescent="0.25">
      <c r="M8200" s="21"/>
    </row>
    <row r="8201" spans="13:13" x14ac:dyDescent="0.25">
      <c r="M8201" s="21"/>
    </row>
    <row r="8202" spans="13:13" x14ac:dyDescent="0.25">
      <c r="M8202" s="21"/>
    </row>
    <row r="8203" spans="13:13" x14ac:dyDescent="0.25">
      <c r="M8203" s="21"/>
    </row>
    <row r="8204" spans="13:13" x14ac:dyDescent="0.25">
      <c r="M8204" s="21"/>
    </row>
    <row r="8205" spans="13:13" x14ac:dyDescent="0.25">
      <c r="M8205" s="21"/>
    </row>
    <row r="8206" spans="13:13" x14ac:dyDescent="0.25">
      <c r="M8206" s="21"/>
    </row>
    <row r="8207" spans="13:13" x14ac:dyDescent="0.25">
      <c r="M8207" s="21"/>
    </row>
    <row r="8208" spans="13:13" x14ac:dyDescent="0.25">
      <c r="M8208" s="21"/>
    </row>
    <row r="8209" spans="13:13" x14ac:dyDescent="0.25">
      <c r="M8209" s="21"/>
    </row>
    <row r="8210" spans="13:13" x14ac:dyDescent="0.25">
      <c r="M8210" s="21"/>
    </row>
    <row r="8211" spans="13:13" x14ac:dyDescent="0.25">
      <c r="M8211" s="21"/>
    </row>
    <row r="8212" spans="13:13" x14ac:dyDescent="0.25">
      <c r="M8212" s="21"/>
    </row>
    <row r="8213" spans="13:13" x14ac:dyDescent="0.25">
      <c r="M8213" s="21"/>
    </row>
    <row r="8214" spans="13:13" x14ac:dyDescent="0.25">
      <c r="M8214" s="21"/>
    </row>
    <row r="8215" spans="13:13" x14ac:dyDescent="0.25">
      <c r="M8215" s="21"/>
    </row>
    <row r="8216" spans="13:13" x14ac:dyDescent="0.25">
      <c r="M8216" s="21"/>
    </row>
    <row r="8217" spans="13:13" x14ac:dyDescent="0.25">
      <c r="M8217" s="21"/>
    </row>
    <row r="8218" spans="13:13" x14ac:dyDescent="0.25">
      <c r="M8218" s="21"/>
    </row>
    <row r="8219" spans="13:13" x14ac:dyDescent="0.25">
      <c r="M8219" s="21"/>
    </row>
    <row r="8220" spans="13:13" x14ac:dyDescent="0.25">
      <c r="M8220" s="21"/>
    </row>
    <row r="8221" spans="13:13" x14ac:dyDescent="0.25">
      <c r="M8221" s="21"/>
    </row>
    <row r="8222" spans="13:13" x14ac:dyDescent="0.25">
      <c r="M8222" s="21"/>
    </row>
    <row r="8223" spans="13:13" x14ac:dyDescent="0.25">
      <c r="M8223" s="21"/>
    </row>
    <row r="8224" spans="13:13" x14ac:dyDescent="0.25">
      <c r="M8224" s="21"/>
    </row>
    <row r="8225" spans="13:13" x14ac:dyDescent="0.25">
      <c r="M8225" s="21"/>
    </row>
    <row r="8226" spans="13:13" x14ac:dyDescent="0.25">
      <c r="M8226" s="21"/>
    </row>
    <row r="8227" spans="13:13" x14ac:dyDescent="0.25">
      <c r="M8227" s="21"/>
    </row>
    <row r="8228" spans="13:13" x14ac:dyDescent="0.25">
      <c r="M8228" s="21"/>
    </row>
    <row r="8229" spans="13:13" x14ac:dyDescent="0.25">
      <c r="M8229" s="21"/>
    </row>
    <row r="8230" spans="13:13" x14ac:dyDescent="0.25">
      <c r="M8230" s="21"/>
    </row>
    <row r="8231" spans="13:13" x14ac:dyDescent="0.25">
      <c r="M8231" s="21"/>
    </row>
    <row r="8232" spans="13:13" x14ac:dyDescent="0.25">
      <c r="M8232" s="21"/>
    </row>
    <row r="8233" spans="13:13" x14ac:dyDescent="0.25">
      <c r="M8233" s="21"/>
    </row>
    <row r="8234" spans="13:13" x14ac:dyDescent="0.25">
      <c r="M8234" s="21"/>
    </row>
    <row r="8235" spans="13:13" x14ac:dyDescent="0.25">
      <c r="M8235" s="21"/>
    </row>
    <row r="8236" spans="13:13" x14ac:dyDescent="0.25">
      <c r="M8236" s="21"/>
    </row>
    <row r="8237" spans="13:13" x14ac:dyDescent="0.25">
      <c r="M8237" s="21"/>
    </row>
    <row r="8238" spans="13:13" x14ac:dyDescent="0.25">
      <c r="M8238" s="21"/>
    </row>
    <row r="8239" spans="13:13" x14ac:dyDescent="0.25">
      <c r="M8239" s="21"/>
    </row>
    <row r="8240" spans="13:13" x14ac:dyDescent="0.25">
      <c r="M8240" s="21"/>
    </row>
    <row r="8241" spans="13:13" x14ac:dyDescent="0.25">
      <c r="M8241" s="21"/>
    </row>
    <row r="8242" spans="13:13" x14ac:dyDescent="0.25">
      <c r="M8242" s="21"/>
    </row>
    <row r="8243" spans="13:13" x14ac:dyDescent="0.25">
      <c r="M8243" s="21"/>
    </row>
    <row r="8244" spans="13:13" x14ac:dyDescent="0.25">
      <c r="M8244" s="21"/>
    </row>
    <row r="8245" spans="13:13" x14ac:dyDescent="0.25">
      <c r="M8245" s="21"/>
    </row>
    <row r="8246" spans="13:13" x14ac:dyDescent="0.25">
      <c r="M8246" s="21"/>
    </row>
    <row r="8247" spans="13:13" x14ac:dyDescent="0.25">
      <c r="M8247" s="21"/>
    </row>
    <row r="8248" spans="13:13" x14ac:dyDescent="0.25">
      <c r="M8248" s="21"/>
    </row>
    <row r="8249" spans="13:13" x14ac:dyDescent="0.25">
      <c r="M8249" s="21"/>
    </row>
    <row r="8250" spans="13:13" x14ac:dyDescent="0.25">
      <c r="M8250" s="21"/>
    </row>
    <row r="8251" spans="13:13" x14ac:dyDescent="0.25">
      <c r="M8251" s="21"/>
    </row>
    <row r="8252" spans="13:13" x14ac:dyDescent="0.25">
      <c r="M8252" s="21"/>
    </row>
    <row r="8253" spans="13:13" x14ac:dyDescent="0.25">
      <c r="M8253" s="21"/>
    </row>
    <row r="8254" spans="13:13" x14ac:dyDescent="0.25">
      <c r="M8254" s="21"/>
    </row>
    <row r="8255" spans="13:13" x14ac:dyDescent="0.25">
      <c r="M8255" s="21"/>
    </row>
    <row r="8256" spans="13:13" x14ac:dyDescent="0.25">
      <c r="M8256" s="21"/>
    </row>
    <row r="8257" spans="13:13" x14ac:dyDescent="0.25">
      <c r="M8257" s="21"/>
    </row>
    <row r="8258" spans="13:13" x14ac:dyDescent="0.25">
      <c r="M8258" s="21"/>
    </row>
    <row r="8259" spans="13:13" x14ac:dyDescent="0.25">
      <c r="M8259" s="21"/>
    </row>
    <row r="8260" spans="13:13" x14ac:dyDescent="0.25">
      <c r="M8260" s="21"/>
    </row>
    <row r="8261" spans="13:13" x14ac:dyDescent="0.25">
      <c r="M8261" s="21"/>
    </row>
    <row r="8262" spans="13:13" x14ac:dyDescent="0.25">
      <c r="M8262" s="21"/>
    </row>
    <row r="8263" spans="13:13" x14ac:dyDescent="0.25">
      <c r="M8263" s="21"/>
    </row>
    <row r="8264" spans="13:13" x14ac:dyDescent="0.25">
      <c r="M8264" s="21"/>
    </row>
    <row r="8265" spans="13:13" x14ac:dyDescent="0.25">
      <c r="M8265" s="21"/>
    </row>
    <row r="8266" spans="13:13" x14ac:dyDescent="0.25">
      <c r="M8266" s="21"/>
    </row>
    <row r="8267" spans="13:13" x14ac:dyDescent="0.25">
      <c r="M8267" s="21"/>
    </row>
    <row r="8268" spans="13:13" x14ac:dyDescent="0.25">
      <c r="M8268" s="21"/>
    </row>
    <row r="8269" spans="13:13" x14ac:dyDescent="0.25">
      <c r="M8269" s="21"/>
    </row>
    <row r="8270" spans="13:13" x14ac:dyDescent="0.25">
      <c r="M8270" s="21"/>
    </row>
    <row r="8271" spans="13:13" x14ac:dyDescent="0.25">
      <c r="M8271" s="21"/>
    </row>
    <row r="8272" spans="13:13" x14ac:dyDescent="0.25">
      <c r="M8272" s="21"/>
    </row>
    <row r="8273" spans="13:13" x14ac:dyDescent="0.25">
      <c r="M8273" s="21"/>
    </row>
    <row r="8274" spans="13:13" x14ac:dyDescent="0.25">
      <c r="M8274" s="21"/>
    </row>
    <row r="8275" spans="13:13" x14ac:dyDescent="0.25">
      <c r="M8275" s="21"/>
    </row>
    <row r="8276" spans="13:13" x14ac:dyDescent="0.25">
      <c r="M8276" s="21"/>
    </row>
    <row r="8277" spans="13:13" x14ac:dyDescent="0.25">
      <c r="M8277" s="21"/>
    </row>
    <row r="8278" spans="13:13" x14ac:dyDescent="0.25">
      <c r="M8278" s="21"/>
    </row>
    <row r="8279" spans="13:13" x14ac:dyDescent="0.25">
      <c r="M8279" s="21"/>
    </row>
    <row r="8280" spans="13:13" x14ac:dyDescent="0.25">
      <c r="M8280" s="21"/>
    </row>
    <row r="8281" spans="13:13" x14ac:dyDescent="0.25">
      <c r="M8281" s="21"/>
    </row>
    <row r="8282" spans="13:13" x14ac:dyDescent="0.25">
      <c r="M8282" s="21"/>
    </row>
    <row r="8283" spans="13:13" x14ac:dyDescent="0.25">
      <c r="M8283" s="21"/>
    </row>
    <row r="8284" spans="13:13" x14ac:dyDescent="0.25">
      <c r="M8284" s="21"/>
    </row>
    <row r="8285" spans="13:13" x14ac:dyDescent="0.25">
      <c r="M8285" s="21"/>
    </row>
    <row r="8286" spans="13:13" x14ac:dyDescent="0.25">
      <c r="M8286" s="21"/>
    </row>
    <row r="8287" spans="13:13" x14ac:dyDescent="0.25">
      <c r="M8287" s="21"/>
    </row>
    <row r="8288" spans="13:13" x14ac:dyDescent="0.25">
      <c r="M8288" s="21"/>
    </row>
    <row r="8289" spans="13:13" x14ac:dyDescent="0.25">
      <c r="M8289" s="21"/>
    </row>
    <row r="8290" spans="13:13" x14ac:dyDescent="0.25">
      <c r="M8290" s="21"/>
    </row>
    <row r="8291" spans="13:13" x14ac:dyDescent="0.25">
      <c r="M8291" s="21"/>
    </row>
    <row r="8292" spans="13:13" x14ac:dyDescent="0.25">
      <c r="M8292" s="21"/>
    </row>
    <row r="8293" spans="13:13" x14ac:dyDescent="0.25">
      <c r="M8293" s="21"/>
    </row>
    <row r="8294" spans="13:13" x14ac:dyDescent="0.25">
      <c r="M8294" s="21"/>
    </row>
    <row r="8295" spans="13:13" x14ac:dyDescent="0.25">
      <c r="M8295" s="21"/>
    </row>
    <row r="8296" spans="13:13" x14ac:dyDescent="0.25">
      <c r="M8296" s="21"/>
    </row>
    <row r="8297" spans="13:13" x14ac:dyDescent="0.25">
      <c r="M8297" s="21"/>
    </row>
    <row r="8298" spans="13:13" x14ac:dyDescent="0.25">
      <c r="M8298" s="21"/>
    </row>
    <row r="8299" spans="13:13" x14ac:dyDescent="0.25">
      <c r="M8299" s="21"/>
    </row>
    <row r="8300" spans="13:13" x14ac:dyDescent="0.25">
      <c r="M8300" s="21"/>
    </row>
    <row r="8301" spans="13:13" x14ac:dyDescent="0.25">
      <c r="M8301" s="21"/>
    </row>
    <row r="8302" spans="13:13" x14ac:dyDescent="0.25">
      <c r="M8302" s="21"/>
    </row>
    <row r="8303" spans="13:13" x14ac:dyDescent="0.25">
      <c r="M8303" s="21"/>
    </row>
    <row r="8304" spans="13:13" x14ac:dyDescent="0.25">
      <c r="M8304" s="21"/>
    </row>
    <row r="8305" spans="13:13" x14ac:dyDescent="0.25">
      <c r="M8305" s="21"/>
    </row>
    <row r="8306" spans="13:13" x14ac:dyDescent="0.25">
      <c r="M8306" s="21"/>
    </row>
    <row r="8307" spans="13:13" x14ac:dyDescent="0.25">
      <c r="M8307" s="21"/>
    </row>
    <row r="8308" spans="13:13" x14ac:dyDescent="0.25">
      <c r="M8308" s="21"/>
    </row>
    <row r="8309" spans="13:13" x14ac:dyDescent="0.25">
      <c r="M8309" s="21"/>
    </row>
    <row r="8310" spans="13:13" x14ac:dyDescent="0.25">
      <c r="M8310" s="21"/>
    </row>
    <row r="8311" spans="13:13" x14ac:dyDescent="0.25">
      <c r="M8311" s="21"/>
    </row>
    <row r="8312" spans="13:13" x14ac:dyDescent="0.25">
      <c r="M8312" s="21"/>
    </row>
    <row r="8313" spans="13:13" x14ac:dyDescent="0.25">
      <c r="M8313" s="21"/>
    </row>
    <row r="8314" spans="13:13" x14ac:dyDescent="0.25">
      <c r="M8314" s="21"/>
    </row>
    <row r="8315" spans="13:13" x14ac:dyDescent="0.25">
      <c r="M8315" s="21"/>
    </row>
    <row r="8316" spans="13:13" x14ac:dyDescent="0.25">
      <c r="M8316" s="21"/>
    </row>
    <row r="8317" spans="13:13" x14ac:dyDescent="0.25">
      <c r="M8317" s="21"/>
    </row>
    <row r="8318" spans="13:13" x14ac:dyDescent="0.25">
      <c r="M8318" s="21"/>
    </row>
    <row r="8319" spans="13:13" x14ac:dyDescent="0.25">
      <c r="M8319" s="21"/>
    </row>
    <row r="8320" spans="13:13" x14ac:dyDescent="0.25">
      <c r="M8320" s="21"/>
    </row>
    <row r="8321" spans="13:13" x14ac:dyDescent="0.25">
      <c r="M8321" s="21"/>
    </row>
    <row r="8322" spans="13:13" x14ac:dyDescent="0.25">
      <c r="M8322" s="21"/>
    </row>
    <row r="8323" spans="13:13" x14ac:dyDescent="0.25">
      <c r="M8323" s="21"/>
    </row>
    <row r="8324" spans="13:13" x14ac:dyDescent="0.25">
      <c r="M8324" s="21"/>
    </row>
    <row r="8325" spans="13:13" x14ac:dyDescent="0.25">
      <c r="M8325" s="21"/>
    </row>
    <row r="8326" spans="13:13" x14ac:dyDescent="0.25">
      <c r="M8326" s="21"/>
    </row>
    <row r="8327" spans="13:13" x14ac:dyDescent="0.25">
      <c r="M8327" s="21"/>
    </row>
    <row r="8328" spans="13:13" x14ac:dyDescent="0.25">
      <c r="M8328" s="21"/>
    </row>
    <row r="8329" spans="13:13" x14ac:dyDescent="0.25">
      <c r="M8329" s="21"/>
    </row>
    <row r="8330" spans="13:13" x14ac:dyDescent="0.25">
      <c r="M8330" s="21"/>
    </row>
    <row r="8331" spans="13:13" x14ac:dyDescent="0.25">
      <c r="M8331" s="21"/>
    </row>
    <row r="8332" spans="13:13" x14ac:dyDescent="0.25">
      <c r="M8332" s="21"/>
    </row>
    <row r="8333" spans="13:13" x14ac:dyDescent="0.25">
      <c r="M8333" s="21"/>
    </row>
    <row r="8334" spans="13:13" x14ac:dyDescent="0.25">
      <c r="M8334" s="21"/>
    </row>
    <row r="8335" spans="13:13" x14ac:dyDescent="0.25">
      <c r="M8335" s="21"/>
    </row>
    <row r="8336" spans="13:13" x14ac:dyDescent="0.25">
      <c r="M8336" s="21"/>
    </row>
    <row r="8337" spans="13:13" x14ac:dyDescent="0.25">
      <c r="M8337" s="21"/>
    </row>
    <row r="8338" spans="13:13" x14ac:dyDescent="0.25">
      <c r="M8338" s="21"/>
    </row>
    <row r="8339" spans="13:13" x14ac:dyDescent="0.25">
      <c r="M8339" s="21"/>
    </row>
    <row r="8340" spans="13:13" x14ac:dyDescent="0.25">
      <c r="M8340" s="21"/>
    </row>
    <row r="8341" spans="13:13" x14ac:dyDescent="0.25">
      <c r="M8341" s="21"/>
    </row>
    <row r="8342" spans="13:13" x14ac:dyDescent="0.25">
      <c r="M8342" s="21"/>
    </row>
    <row r="8343" spans="13:13" x14ac:dyDescent="0.25">
      <c r="M8343" s="21"/>
    </row>
    <row r="8344" spans="13:13" x14ac:dyDescent="0.25">
      <c r="M8344" s="21"/>
    </row>
    <row r="8345" spans="13:13" x14ac:dyDescent="0.25">
      <c r="M8345" s="21"/>
    </row>
    <row r="8346" spans="13:13" x14ac:dyDescent="0.25">
      <c r="M8346" s="21"/>
    </row>
    <row r="8347" spans="13:13" x14ac:dyDescent="0.25">
      <c r="M8347" s="21"/>
    </row>
    <row r="8348" spans="13:13" x14ac:dyDescent="0.25">
      <c r="M8348" s="21"/>
    </row>
    <row r="8349" spans="13:13" x14ac:dyDescent="0.25">
      <c r="M8349" s="21"/>
    </row>
    <row r="8350" spans="13:13" x14ac:dyDescent="0.25">
      <c r="M8350" s="21"/>
    </row>
    <row r="8351" spans="13:13" x14ac:dyDescent="0.25">
      <c r="M8351" s="21"/>
    </row>
    <row r="8352" spans="13:13" x14ac:dyDescent="0.25">
      <c r="M8352" s="21"/>
    </row>
    <row r="8353" spans="13:13" x14ac:dyDescent="0.25">
      <c r="M8353" s="21"/>
    </row>
    <row r="8354" spans="13:13" x14ac:dyDescent="0.25">
      <c r="M8354" s="21"/>
    </row>
    <row r="8355" spans="13:13" x14ac:dyDescent="0.25">
      <c r="M8355" s="21"/>
    </row>
    <row r="8356" spans="13:13" x14ac:dyDescent="0.25">
      <c r="M8356" s="21"/>
    </row>
    <row r="8357" spans="13:13" x14ac:dyDescent="0.25">
      <c r="M8357" s="21"/>
    </row>
    <row r="8358" spans="13:13" x14ac:dyDescent="0.25">
      <c r="M8358" s="21"/>
    </row>
    <row r="8359" spans="13:13" x14ac:dyDescent="0.25">
      <c r="M8359" s="21"/>
    </row>
    <row r="8360" spans="13:13" x14ac:dyDescent="0.25">
      <c r="M8360" s="21"/>
    </row>
    <row r="8361" spans="13:13" x14ac:dyDescent="0.25">
      <c r="M8361" s="21"/>
    </row>
    <row r="8362" spans="13:13" x14ac:dyDescent="0.25">
      <c r="M8362" s="21"/>
    </row>
    <row r="8363" spans="13:13" x14ac:dyDescent="0.25">
      <c r="M8363" s="21"/>
    </row>
    <row r="8364" spans="13:13" x14ac:dyDescent="0.25">
      <c r="M8364" s="21"/>
    </row>
    <row r="8365" spans="13:13" x14ac:dyDescent="0.25">
      <c r="M8365" s="21"/>
    </row>
    <row r="8366" spans="13:13" x14ac:dyDescent="0.25">
      <c r="M8366" s="21"/>
    </row>
    <row r="8367" spans="13:13" x14ac:dyDescent="0.25">
      <c r="M8367" s="21"/>
    </row>
    <row r="8368" spans="13:13" x14ac:dyDescent="0.25">
      <c r="M8368" s="21"/>
    </row>
    <row r="8369" spans="13:13" x14ac:dyDescent="0.25">
      <c r="M8369" s="21"/>
    </row>
    <row r="8370" spans="13:13" x14ac:dyDescent="0.25">
      <c r="M8370" s="21"/>
    </row>
    <row r="8371" spans="13:13" x14ac:dyDescent="0.25">
      <c r="M8371" s="21"/>
    </row>
    <row r="8372" spans="13:13" x14ac:dyDescent="0.25">
      <c r="M8372" s="21"/>
    </row>
    <row r="8373" spans="13:13" x14ac:dyDescent="0.25">
      <c r="M8373" s="21"/>
    </row>
    <row r="8374" spans="13:13" x14ac:dyDescent="0.25">
      <c r="M8374" s="21"/>
    </row>
    <row r="8375" spans="13:13" x14ac:dyDescent="0.25">
      <c r="M8375" s="21"/>
    </row>
    <row r="8376" spans="13:13" x14ac:dyDescent="0.25">
      <c r="M8376" s="21"/>
    </row>
    <row r="8377" spans="13:13" x14ac:dyDescent="0.25">
      <c r="M8377" s="21"/>
    </row>
    <row r="8378" spans="13:13" x14ac:dyDescent="0.25">
      <c r="M8378" s="21"/>
    </row>
    <row r="8379" spans="13:13" x14ac:dyDescent="0.25">
      <c r="M8379" s="21"/>
    </row>
    <row r="8380" spans="13:13" x14ac:dyDescent="0.25">
      <c r="M8380" s="21"/>
    </row>
    <row r="8381" spans="13:13" x14ac:dyDescent="0.25">
      <c r="M8381" s="21"/>
    </row>
    <row r="8382" spans="13:13" x14ac:dyDescent="0.25">
      <c r="M8382" s="21"/>
    </row>
    <row r="8383" spans="13:13" x14ac:dyDescent="0.25">
      <c r="M8383" s="21"/>
    </row>
    <row r="8384" spans="13:13" x14ac:dyDescent="0.25">
      <c r="M8384" s="21"/>
    </row>
    <row r="8385" spans="13:13" x14ac:dyDescent="0.25">
      <c r="M8385" s="21"/>
    </row>
    <row r="8386" spans="13:13" x14ac:dyDescent="0.25">
      <c r="M8386" s="21"/>
    </row>
    <row r="8387" spans="13:13" x14ac:dyDescent="0.25">
      <c r="M8387" s="21"/>
    </row>
    <row r="8388" spans="13:13" x14ac:dyDescent="0.25">
      <c r="M8388" s="21"/>
    </row>
    <row r="8389" spans="13:13" x14ac:dyDescent="0.25">
      <c r="M8389" s="21"/>
    </row>
    <row r="8390" spans="13:13" x14ac:dyDescent="0.25">
      <c r="M8390" s="21"/>
    </row>
    <row r="8391" spans="13:13" x14ac:dyDescent="0.25">
      <c r="M8391" s="21"/>
    </row>
    <row r="8392" spans="13:13" x14ac:dyDescent="0.25">
      <c r="M8392" s="21"/>
    </row>
    <row r="8393" spans="13:13" x14ac:dyDescent="0.25">
      <c r="M8393" s="21"/>
    </row>
    <row r="8394" spans="13:13" x14ac:dyDescent="0.25">
      <c r="M8394" s="21"/>
    </row>
    <row r="8395" spans="13:13" x14ac:dyDescent="0.25">
      <c r="M8395" s="21"/>
    </row>
    <row r="8396" spans="13:13" x14ac:dyDescent="0.25">
      <c r="M8396" s="21"/>
    </row>
    <row r="8397" spans="13:13" x14ac:dyDescent="0.25">
      <c r="M8397" s="21"/>
    </row>
    <row r="8398" spans="13:13" x14ac:dyDescent="0.25">
      <c r="M8398" s="21"/>
    </row>
    <row r="8399" spans="13:13" x14ac:dyDescent="0.25">
      <c r="M8399" s="21"/>
    </row>
    <row r="8400" spans="13:13" x14ac:dyDescent="0.25">
      <c r="M8400" s="21"/>
    </row>
    <row r="8401" spans="13:13" x14ac:dyDescent="0.25">
      <c r="M8401" s="21"/>
    </row>
    <row r="8402" spans="13:13" x14ac:dyDescent="0.25">
      <c r="M8402" s="21"/>
    </row>
    <row r="8403" spans="13:13" x14ac:dyDescent="0.25">
      <c r="M8403" s="21"/>
    </row>
    <row r="8404" spans="13:13" x14ac:dyDescent="0.25">
      <c r="M8404" s="21"/>
    </row>
    <row r="8405" spans="13:13" x14ac:dyDescent="0.25">
      <c r="M8405" s="21"/>
    </row>
    <row r="8406" spans="13:13" x14ac:dyDescent="0.25">
      <c r="M8406" s="21"/>
    </row>
    <row r="8407" spans="13:13" x14ac:dyDescent="0.25">
      <c r="M8407" s="21"/>
    </row>
    <row r="8408" spans="13:13" x14ac:dyDescent="0.25">
      <c r="M8408" s="21"/>
    </row>
    <row r="8409" spans="13:13" x14ac:dyDescent="0.25">
      <c r="M8409" s="21"/>
    </row>
    <row r="8410" spans="13:13" x14ac:dyDescent="0.25">
      <c r="M8410" s="21"/>
    </row>
    <row r="8411" spans="13:13" x14ac:dyDescent="0.25">
      <c r="M8411" s="21"/>
    </row>
    <row r="8412" spans="13:13" x14ac:dyDescent="0.25">
      <c r="M8412" s="21"/>
    </row>
    <row r="8413" spans="13:13" x14ac:dyDescent="0.25">
      <c r="M8413" s="21"/>
    </row>
    <row r="8414" spans="13:13" x14ac:dyDescent="0.25">
      <c r="M8414" s="21"/>
    </row>
    <row r="8415" spans="13:13" x14ac:dyDescent="0.25">
      <c r="M8415" s="21"/>
    </row>
    <row r="8416" spans="13:13" x14ac:dyDescent="0.25">
      <c r="M8416" s="21"/>
    </row>
    <row r="8417" spans="13:13" x14ac:dyDescent="0.25">
      <c r="M8417" s="21"/>
    </row>
    <row r="8418" spans="13:13" x14ac:dyDescent="0.25">
      <c r="M8418" s="21"/>
    </row>
    <row r="8419" spans="13:13" x14ac:dyDescent="0.25">
      <c r="M8419" s="21"/>
    </row>
    <row r="8420" spans="13:13" x14ac:dyDescent="0.25">
      <c r="M8420" s="21"/>
    </row>
    <row r="8421" spans="13:13" x14ac:dyDescent="0.25">
      <c r="M8421" s="21"/>
    </row>
    <row r="8422" spans="13:13" x14ac:dyDescent="0.25">
      <c r="M8422" s="21"/>
    </row>
    <row r="8423" spans="13:13" x14ac:dyDescent="0.25">
      <c r="M8423" s="21"/>
    </row>
    <row r="8424" spans="13:13" x14ac:dyDescent="0.25">
      <c r="M8424" s="21"/>
    </row>
    <row r="8425" spans="13:13" x14ac:dyDescent="0.25">
      <c r="M8425" s="21"/>
    </row>
    <row r="8426" spans="13:13" x14ac:dyDescent="0.25">
      <c r="M8426" s="21"/>
    </row>
    <row r="8427" spans="13:13" x14ac:dyDescent="0.25">
      <c r="M8427" s="21"/>
    </row>
    <row r="8428" spans="13:13" x14ac:dyDescent="0.25">
      <c r="M8428" s="21"/>
    </row>
    <row r="8429" spans="13:13" x14ac:dyDescent="0.25">
      <c r="M8429" s="21"/>
    </row>
    <row r="8430" spans="13:13" x14ac:dyDescent="0.25">
      <c r="M8430" s="21"/>
    </row>
    <row r="8431" spans="13:13" x14ac:dyDescent="0.25">
      <c r="M8431" s="21"/>
    </row>
    <row r="8432" spans="13:13" x14ac:dyDescent="0.25">
      <c r="M8432" s="21"/>
    </row>
    <row r="8433" spans="13:13" x14ac:dyDescent="0.25">
      <c r="M8433" s="21"/>
    </row>
    <row r="8434" spans="13:13" x14ac:dyDescent="0.25">
      <c r="M8434" s="21"/>
    </row>
    <row r="8435" spans="13:13" x14ac:dyDescent="0.25">
      <c r="M8435" s="21"/>
    </row>
    <row r="8436" spans="13:13" x14ac:dyDescent="0.25">
      <c r="M8436" s="21"/>
    </row>
    <row r="8437" spans="13:13" x14ac:dyDescent="0.25">
      <c r="M8437" s="21"/>
    </row>
    <row r="8438" spans="13:13" x14ac:dyDescent="0.25">
      <c r="M8438" s="21"/>
    </row>
    <row r="8439" spans="13:13" x14ac:dyDescent="0.25">
      <c r="M8439" s="21"/>
    </row>
    <row r="8440" spans="13:13" x14ac:dyDescent="0.25">
      <c r="M8440" s="21"/>
    </row>
    <row r="8441" spans="13:13" x14ac:dyDescent="0.25">
      <c r="M8441" s="21"/>
    </row>
    <row r="8442" spans="13:13" x14ac:dyDescent="0.25">
      <c r="M8442" s="21"/>
    </row>
    <row r="8443" spans="13:13" x14ac:dyDescent="0.25">
      <c r="M8443" s="21"/>
    </row>
    <row r="8444" spans="13:13" x14ac:dyDescent="0.25">
      <c r="M8444" s="21"/>
    </row>
    <row r="8445" spans="13:13" x14ac:dyDescent="0.25">
      <c r="M8445" s="21"/>
    </row>
    <row r="8446" spans="13:13" x14ac:dyDescent="0.25">
      <c r="M8446" s="21"/>
    </row>
    <row r="8447" spans="13:13" x14ac:dyDescent="0.25">
      <c r="M8447" s="21"/>
    </row>
    <row r="8448" spans="13:13" x14ac:dyDescent="0.25">
      <c r="M8448" s="21"/>
    </row>
    <row r="8449" spans="13:13" x14ac:dyDescent="0.25">
      <c r="M8449" s="21"/>
    </row>
    <row r="8450" spans="13:13" x14ac:dyDescent="0.25">
      <c r="M8450" s="21"/>
    </row>
    <row r="8451" spans="13:13" x14ac:dyDescent="0.25">
      <c r="M8451" s="21"/>
    </row>
    <row r="8452" spans="13:13" x14ac:dyDescent="0.25">
      <c r="M8452" s="21"/>
    </row>
    <row r="8453" spans="13:13" x14ac:dyDescent="0.25">
      <c r="M8453" s="21"/>
    </row>
    <row r="8454" spans="13:13" x14ac:dyDescent="0.25">
      <c r="M8454" s="21"/>
    </row>
    <row r="8455" spans="13:13" x14ac:dyDescent="0.25">
      <c r="M8455" s="21"/>
    </row>
    <row r="8456" spans="13:13" x14ac:dyDescent="0.25">
      <c r="M8456" s="21"/>
    </row>
    <row r="8457" spans="13:13" x14ac:dyDescent="0.25">
      <c r="M8457" s="21"/>
    </row>
    <row r="8458" spans="13:13" x14ac:dyDescent="0.25">
      <c r="M8458" s="21"/>
    </row>
    <row r="8459" spans="13:13" x14ac:dyDescent="0.25">
      <c r="M8459" s="21"/>
    </row>
    <row r="8460" spans="13:13" x14ac:dyDescent="0.25">
      <c r="M8460" s="21"/>
    </row>
    <row r="8461" spans="13:13" x14ac:dyDescent="0.25">
      <c r="M8461" s="21"/>
    </row>
    <row r="8462" spans="13:13" x14ac:dyDescent="0.25">
      <c r="M8462" s="21"/>
    </row>
    <row r="8463" spans="13:13" x14ac:dyDescent="0.25">
      <c r="M8463" s="21"/>
    </row>
    <row r="8464" spans="13:13" x14ac:dyDescent="0.25">
      <c r="M8464" s="21"/>
    </row>
    <row r="8465" spans="13:13" x14ac:dyDescent="0.25">
      <c r="M8465" s="21"/>
    </row>
    <row r="8466" spans="13:13" x14ac:dyDescent="0.25">
      <c r="M8466" s="21"/>
    </row>
    <row r="8467" spans="13:13" x14ac:dyDescent="0.25">
      <c r="M8467" s="21"/>
    </row>
    <row r="8468" spans="13:13" x14ac:dyDescent="0.25">
      <c r="M8468" s="21"/>
    </row>
    <row r="8469" spans="13:13" x14ac:dyDescent="0.25">
      <c r="M8469" s="21"/>
    </row>
    <row r="8470" spans="13:13" x14ac:dyDescent="0.25">
      <c r="M8470" s="21"/>
    </row>
    <row r="8471" spans="13:13" x14ac:dyDescent="0.25">
      <c r="M8471" s="21"/>
    </row>
    <row r="8472" spans="13:13" x14ac:dyDescent="0.25">
      <c r="M8472" s="21"/>
    </row>
    <row r="8473" spans="13:13" x14ac:dyDescent="0.25">
      <c r="M8473" s="21"/>
    </row>
    <row r="8474" spans="13:13" x14ac:dyDescent="0.25">
      <c r="M8474" s="21"/>
    </row>
    <row r="8475" spans="13:13" x14ac:dyDescent="0.25">
      <c r="M8475" s="21"/>
    </row>
    <row r="8476" spans="13:13" x14ac:dyDescent="0.25">
      <c r="M8476" s="21"/>
    </row>
    <row r="8477" spans="13:13" x14ac:dyDescent="0.25">
      <c r="M8477" s="21"/>
    </row>
    <row r="8478" spans="13:13" x14ac:dyDescent="0.25">
      <c r="M8478" s="21"/>
    </row>
    <row r="8479" spans="13:13" x14ac:dyDescent="0.25">
      <c r="M8479" s="21"/>
    </row>
    <row r="8480" spans="13:13" x14ac:dyDescent="0.25">
      <c r="M8480" s="21"/>
    </row>
    <row r="8481" spans="13:13" x14ac:dyDescent="0.25">
      <c r="M8481" s="21"/>
    </row>
    <row r="8482" spans="13:13" x14ac:dyDescent="0.25">
      <c r="M8482" s="21"/>
    </row>
    <row r="8483" spans="13:13" x14ac:dyDescent="0.25">
      <c r="M8483" s="21"/>
    </row>
    <row r="8484" spans="13:13" x14ac:dyDescent="0.25">
      <c r="M8484" s="21"/>
    </row>
    <row r="8485" spans="13:13" x14ac:dyDescent="0.25">
      <c r="M8485" s="21"/>
    </row>
    <row r="8486" spans="13:13" x14ac:dyDescent="0.25">
      <c r="M8486" s="21"/>
    </row>
    <row r="8487" spans="13:13" x14ac:dyDescent="0.25">
      <c r="M8487" s="21"/>
    </row>
    <row r="8488" spans="13:13" x14ac:dyDescent="0.25">
      <c r="M8488" s="21"/>
    </row>
    <row r="8489" spans="13:13" x14ac:dyDescent="0.25">
      <c r="M8489" s="21"/>
    </row>
    <row r="8490" spans="13:13" x14ac:dyDescent="0.25">
      <c r="M8490" s="21"/>
    </row>
    <row r="8491" spans="13:13" x14ac:dyDescent="0.25">
      <c r="M8491" s="21"/>
    </row>
    <row r="8492" spans="13:13" x14ac:dyDescent="0.25">
      <c r="M8492" s="21"/>
    </row>
    <row r="8493" spans="13:13" x14ac:dyDescent="0.25">
      <c r="M8493" s="21"/>
    </row>
    <row r="8494" spans="13:13" x14ac:dyDescent="0.25">
      <c r="M8494" s="21"/>
    </row>
    <row r="8495" spans="13:13" x14ac:dyDescent="0.25">
      <c r="M8495" s="21"/>
    </row>
    <row r="8496" spans="13:13" x14ac:dyDescent="0.25">
      <c r="M8496" s="21"/>
    </row>
    <row r="8497" spans="13:13" x14ac:dyDescent="0.25">
      <c r="M8497" s="21"/>
    </row>
    <row r="8498" spans="13:13" x14ac:dyDescent="0.25">
      <c r="M8498" s="21"/>
    </row>
    <row r="8499" spans="13:13" x14ac:dyDescent="0.25">
      <c r="M8499" s="21"/>
    </row>
    <row r="8500" spans="13:13" x14ac:dyDescent="0.25">
      <c r="M8500" s="21"/>
    </row>
    <row r="8501" spans="13:13" x14ac:dyDescent="0.25">
      <c r="M8501" s="21"/>
    </row>
    <row r="8502" spans="13:13" x14ac:dyDescent="0.25">
      <c r="M8502" s="21"/>
    </row>
    <row r="8503" spans="13:13" x14ac:dyDescent="0.25">
      <c r="M8503" s="21"/>
    </row>
    <row r="8504" spans="13:13" x14ac:dyDescent="0.25">
      <c r="M8504" s="21"/>
    </row>
    <row r="8505" spans="13:13" x14ac:dyDescent="0.25">
      <c r="M8505" s="21"/>
    </row>
    <row r="8506" spans="13:13" x14ac:dyDescent="0.25">
      <c r="M8506" s="21"/>
    </row>
    <row r="8507" spans="13:13" x14ac:dyDescent="0.25">
      <c r="M8507" s="21"/>
    </row>
    <row r="8508" spans="13:13" x14ac:dyDescent="0.25">
      <c r="M8508" s="21"/>
    </row>
    <row r="8509" spans="13:13" x14ac:dyDescent="0.25">
      <c r="M8509" s="21"/>
    </row>
    <row r="8510" spans="13:13" x14ac:dyDescent="0.25">
      <c r="M8510" s="21"/>
    </row>
    <row r="8511" spans="13:13" x14ac:dyDescent="0.25">
      <c r="M8511" s="21"/>
    </row>
    <row r="8512" spans="13:13" x14ac:dyDescent="0.25">
      <c r="M8512" s="21"/>
    </row>
    <row r="8513" spans="13:13" x14ac:dyDescent="0.25">
      <c r="M8513" s="21"/>
    </row>
    <row r="8514" spans="13:13" x14ac:dyDescent="0.25">
      <c r="M8514" s="21"/>
    </row>
    <row r="8515" spans="13:13" x14ac:dyDescent="0.25">
      <c r="M8515" s="21"/>
    </row>
    <row r="8516" spans="13:13" x14ac:dyDescent="0.25">
      <c r="M8516" s="21"/>
    </row>
    <row r="8517" spans="13:13" x14ac:dyDescent="0.25">
      <c r="M8517" s="21"/>
    </row>
    <row r="8518" spans="13:13" x14ac:dyDescent="0.25">
      <c r="M8518" s="21"/>
    </row>
    <row r="8519" spans="13:13" x14ac:dyDescent="0.25">
      <c r="M8519" s="21"/>
    </row>
    <row r="8520" spans="13:13" x14ac:dyDescent="0.25">
      <c r="M8520" s="21"/>
    </row>
    <row r="8521" spans="13:13" x14ac:dyDescent="0.25">
      <c r="M8521" s="21"/>
    </row>
    <row r="8522" spans="13:13" x14ac:dyDescent="0.25">
      <c r="M8522" s="21"/>
    </row>
    <row r="8523" spans="13:13" x14ac:dyDescent="0.25">
      <c r="M8523" s="21"/>
    </row>
    <row r="8524" spans="13:13" x14ac:dyDescent="0.25">
      <c r="M8524" s="21"/>
    </row>
    <row r="8525" spans="13:13" x14ac:dyDescent="0.25">
      <c r="M8525" s="21"/>
    </row>
    <row r="8526" spans="13:13" x14ac:dyDescent="0.25">
      <c r="M8526" s="21"/>
    </row>
    <row r="8527" spans="13:13" x14ac:dyDescent="0.25">
      <c r="M8527" s="21"/>
    </row>
    <row r="8528" spans="13:13" x14ac:dyDescent="0.25">
      <c r="M8528" s="21"/>
    </row>
    <row r="8529" spans="13:13" x14ac:dyDescent="0.25">
      <c r="M8529" s="21"/>
    </row>
    <row r="8530" spans="13:13" x14ac:dyDescent="0.25">
      <c r="M8530" s="21"/>
    </row>
    <row r="8531" spans="13:13" x14ac:dyDescent="0.25">
      <c r="M8531" s="21"/>
    </row>
    <row r="8532" spans="13:13" x14ac:dyDescent="0.25">
      <c r="M8532" s="21"/>
    </row>
    <row r="8533" spans="13:13" x14ac:dyDescent="0.25">
      <c r="M8533" s="21"/>
    </row>
    <row r="8534" spans="13:13" x14ac:dyDescent="0.25">
      <c r="M8534" s="21"/>
    </row>
    <row r="8535" spans="13:13" x14ac:dyDescent="0.25">
      <c r="M8535" s="21"/>
    </row>
    <row r="8536" spans="13:13" x14ac:dyDescent="0.25">
      <c r="M8536" s="21"/>
    </row>
    <row r="8537" spans="13:13" x14ac:dyDescent="0.25">
      <c r="M8537" s="21"/>
    </row>
    <row r="8538" spans="13:13" x14ac:dyDescent="0.25">
      <c r="M8538" s="21"/>
    </row>
    <row r="8539" spans="13:13" x14ac:dyDescent="0.25">
      <c r="M8539" s="21"/>
    </row>
    <row r="8540" spans="13:13" x14ac:dyDescent="0.25">
      <c r="M8540" s="21"/>
    </row>
    <row r="8541" spans="13:13" x14ac:dyDescent="0.25">
      <c r="M8541" s="21"/>
    </row>
    <row r="8542" spans="13:13" x14ac:dyDescent="0.25">
      <c r="M8542" s="21"/>
    </row>
    <row r="8543" spans="13:13" x14ac:dyDescent="0.25">
      <c r="M8543" s="21"/>
    </row>
    <row r="8544" spans="13:13" x14ac:dyDescent="0.25">
      <c r="M8544" s="21"/>
    </row>
    <row r="8545" spans="13:13" x14ac:dyDescent="0.25">
      <c r="M8545" s="21"/>
    </row>
    <row r="8546" spans="13:13" x14ac:dyDescent="0.25">
      <c r="M8546" s="21"/>
    </row>
    <row r="8547" spans="13:13" x14ac:dyDescent="0.25">
      <c r="M8547" s="21"/>
    </row>
    <row r="8548" spans="13:13" x14ac:dyDescent="0.25">
      <c r="M8548" s="21"/>
    </row>
    <row r="8549" spans="13:13" x14ac:dyDescent="0.25">
      <c r="M8549" s="21"/>
    </row>
    <row r="8550" spans="13:13" x14ac:dyDescent="0.25">
      <c r="M8550" s="21"/>
    </row>
    <row r="8551" spans="13:13" x14ac:dyDescent="0.25">
      <c r="M8551" s="21"/>
    </row>
    <row r="8552" spans="13:13" x14ac:dyDescent="0.25">
      <c r="M8552" s="21"/>
    </row>
    <row r="8553" spans="13:13" x14ac:dyDescent="0.25">
      <c r="M8553" s="21"/>
    </row>
    <row r="8554" spans="13:13" x14ac:dyDescent="0.25">
      <c r="M8554" s="21"/>
    </row>
    <row r="8555" spans="13:13" x14ac:dyDescent="0.25">
      <c r="M8555" s="21"/>
    </row>
    <row r="8556" spans="13:13" x14ac:dyDescent="0.25">
      <c r="M8556" s="21"/>
    </row>
    <row r="8557" spans="13:13" x14ac:dyDescent="0.25">
      <c r="M8557" s="21"/>
    </row>
    <row r="8558" spans="13:13" x14ac:dyDescent="0.25">
      <c r="M8558" s="21"/>
    </row>
    <row r="8559" spans="13:13" x14ac:dyDescent="0.25">
      <c r="M8559" s="21"/>
    </row>
    <row r="8560" spans="13:13" x14ac:dyDescent="0.25">
      <c r="M8560" s="21"/>
    </row>
    <row r="8561" spans="13:13" x14ac:dyDescent="0.25">
      <c r="M8561" s="21"/>
    </row>
    <row r="8562" spans="13:13" x14ac:dyDescent="0.25">
      <c r="M8562" s="21"/>
    </row>
    <row r="8563" spans="13:13" x14ac:dyDescent="0.25">
      <c r="M8563" s="21"/>
    </row>
    <row r="8564" spans="13:13" x14ac:dyDescent="0.25">
      <c r="M8564" s="21"/>
    </row>
    <row r="8565" spans="13:13" x14ac:dyDescent="0.25">
      <c r="M8565" s="21"/>
    </row>
    <row r="8566" spans="13:13" x14ac:dyDescent="0.25">
      <c r="M8566" s="21"/>
    </row>
    <row r="8567" spans="13:13" x14ac:dyDescent="0.25">
      <c r="M8567" s="21"/>
    </row>
    <row r="8568" spans="13:13" x14ac:dyDescent="0.25">
      <c r="M8568" s="21"/>
    </row>
    <row r="8569" spans="13:13" x14ac:dyDescent="0.25">
      <c r="M8569" s="21"/>
    </row>
    <row r="8570" spans="13:13" x14ac:dyDescent="0.25">
      <c r="M8570" s="21"/>
    </row>
    <row r="8571" spans="13:13" x14ac:dyDescent="0.25">
      <c r="M8571" s="21"/>
    </row>
    <row r="8572" spans="13:13" x14ac:dyDescent="0.25">
      <c r="M8572" s="21"/>
    </row>
    <row r="8573" spans="13:13" x14ac:dyDescent="0.25">
      <c r="M8573" s="21"/>
    </row>
    <row r="8574" spans="13:13" x14ac:dyDescent="0.25">
      <c r="M8574" s="21"/>
    </row>
    <row r="8575" spans="13:13" x14ac:dyDescent="0.25">
      <c r="M8575" s="21"/>
    </row>
    <row r="8576" spans="13:13" x14ac:dyDescent="0.25">
      <c r="M8576" s="21"/>
    </row>
    <row r="8577" spans="13:13" x14ac:dyDescent="0.25">
      <c r="M8577" s="21"/>
    </row>
    <row r="8578" spans="13:13" x14ac:dyDescent="0.25">
      <c r="M8578" s="21"/>
    </row>
    <row r="8579" spans="13:13" x14ac:dyDescent="0.25">
      <c r="M8579" s="21"/>
    </row>
    <row r="8580" spans="13:13" x14ac:dyDescent="0.25">
      <c r="M8580" s="21"/>
    </row>
    <row r="8581" spans="13:13" x14ac:dyDescent="0.25">
      <c r="M8581" s="21"/>
    </row>
    <row r="8582" spans="13:13" x14ac:dyDescent="0.25">
      <c r="M8582" s="21"/>
    </row>
    <row r="8583" spans="13:13" x14ac:dyDescent="0.25">
      <c r="M8583" s="21"/>
    </row>
    <row r="8584" spans="13:13" x14ac:dyDescent="0.25">
      <c r="M8584" s="21"/>
    </row>
    <row r="8585" spans="13:13" x14ac:dyDescent="0.25">
      <c r="M8585" s="21"/>
    </row>
    <row r="8586" spans="13:13" x14ac:dyDescent="0.25">
      <c r="M8586" s="21"/>
    </row>
    <row r="8587" spans="13:13" x14ac:dyDescent="0.25">
      <c r="M8587" s="21"/>
    </row>
    <row r="8588" spans="13:13" x14ac:dyDescent="0.25">
      <c r="M8588" s="21"/>
    </row>
    <row r="8589" spans="13:13" x14ac:dyDescent="0.25">
      <c r="M8589" s="21"/>
    </row>
    <row r="8590" spans="13:13" x14ac:dyDescent="0.25">
      <c r="M8590" s="21"/>
    </row>
    <row r="8591" spans="13:13" x14ac:dyDescent="0.25">
      <c r="M8591" s="21"/>
    </row>
    <row r="8592" spans="13:13" x14ac:dyDescent="0.25">
      <c r="M8592" s="21"/>
    </row>
    <row r="8593" spans="13:13" x14ac:dyDescent="0.25">
      <c r="M8593" s="21"/>
    </row>
    <row r="8594" spans="13:13" x14ac:dyDescent="0.25">
      <c r="M8594" s="21"/>
    </row>
    <row r="8595" spans="13:13" x14ac:dyDescent="0.25">
      <c r="M8595" s="21"/>
    </row>
    <row r="8596" spans="13:13" x14ac:dyDescent="0.25">
      <c r="M8596" s="21"/>
    </row>
    <row r="8597" spans="13:13" x14ac:dyDescent="0.25">
      <c r="M8597" s="21"/>
    </row>
    <row r="8598" spans="13:13" x14ac:dyDescent="0.25">
      <c r="M8598" s="21"/>
    </row>
    <row r="8599" spans="13:13" x14ac:dyDescent="0.25">
      <c r="M8599" s="21"/>
    </row>
    <row r="8600" spans="13:13" x14ac:dyDescent="0.25">
      <c r="M8600" s="21"/>
    </row>
    <row r="8601" spans="13:13" x14ac:dyDescent="0.25">
      <c r="M8601" s="21"/>
    </row>
    <row r="8602" spans="13:13" x14ac:dyDescent="0.25">
      <c r="M8602" s="21"/>
    </row>
    <row r="8603" spans="13:13" x14ac:dyDescent="0.25">
      <c r="M8603" s="21"/>
    </row>
    <row r="8604" spans="13:13" x14ac:dyDescent="0.25">
      <c r="M8604" s="21"/>
    </row>
    <row r="8605" spans="13:13" x14ac:dyDescent="0.25">
      <c r="M8605" s="21"/>
    </row>
    <row r="8606" spans="13:13" x14ac:dyDescent="0.25">
      <c r="M8606" s="21"/>
    </row>
    <row r="8607" spans="13:13" x14ac:dyDescent="0.25">
      <c r="M8607" s="21"/>
    </row>
    <row r="8608" spans="13:13" x14ac:dyDescent="0.25">
      <c r="M8608" s="21"/>
    </row>
    <row r="8609" spans="13:13" x14ac:dyDescent="0.25">
      <c r="M8609" s="21"/>
    </row>
    <row r="8610" spans="13:13" x14ac:dyDescent="0.25">
      <c r="M8610" s="21"/>
    </row>
    <row r="8611" spans="13:13" x14ac:dyDescent="0.25">
      <c r="M8611" s="21"/>
    </row>
    <row r="8612" spans="13:13" x14ac:dyDescent="0.25">
      <c r="M8612" s="21"/>
    </row>
    <row r="8613" spans="13:13" x14ac:dyDescent="0.25">
      <c r="M8613" s="21"/>
    </row>
    <row r="8614" spans="13:13" x14ac:dyDescent="0.25">
      <c r="M8614" s="21"/>
    </row>
    <row r="8615" spans="13:13" x14ac:dyDescent="0.25">
      <c r="M8615" s="21"/>
    </row>
    <row r="8616" spans="13:13" x14ac:dyDescent="0.25">
      <c r="M8616" s="21"/>
    </row>
    <row r="8617" spans="13:13" x14ac:dyDescent="0.25">
      <c r="M8617" s="21"/>
    </row>
    <row r="8618" spans="13:13" x14ac:dyDescent="0.25">
      <c r="M8618" s="21"/>
    </row>
    <row r="8619" spans="13:13" x14ac:dyDescent="0.25">
      <c r="M8619" s="21"/>
    </row>
    <row r="8620" spans="13:13" x14ac:dyDescent="0.25">
      <c r="M8620" s="21"/>
    </row>
    <row r="8621" spans="13:13" x14ac:dyDescent="0.25">
      <c r="M8621" s="21"/>
    </row>
    <row r="8622" spans="13:13" x14ac:dyDescent="0.25">
      <c r="M8622" s="21"/>
    </row>
    <row r="8623" spans="13:13" x14ac:dyDescent="0.25">
      <c r="M8623" s="21"/>
    </row>
    <row r="8624" spans="13:13" x14ac:dyDescent="0.25">
      <c r="M8624" s="21"/>
    </row>
    <row r="8625" spans="13:13" x14ac:dyDescent="0.25">
      <c r="M8625" s="21"/>
    </row>
    <row r="8626" spans="13:13" x14ac:dyDescent="0.25">
      <c r="M8626" s="21"/>
    </row>
    <row r="8627" spans="13:13" x14ac:dyDescent="0.25">
      <c r="M8627" s="21"/>
    </row>
    <row r="8628" spans="13:13" x14ac:dyDescent="0.25">
      <c r="M8628" s="21"/>
    </row>
    <row r="8629" spans="13:13" x14ac:dyDescent="0.25">
      <c r="M8629" s="21"/>
    </row>
    <row r="8630" spans="13:13" x14ac:dyDescent="0.25">
      <c r="M8630" s="21"/>
    </row>
    <row r="8631" spans="13:13" x14ac:dyDescent="0.25">
      <c r="M8631" s="21"/>
    </row>
    <row r="8632" spans="13:13" x14ac:dyDescent="0.25">
      <c r="M8632" s="21"/>
    </row>
    <row r="8633" spans="13:13" x14ac:dyDescent="0.25">
      <c r="M8633" s="21"/>
    </row>
    <row r="8634" spans="13:13" x14ac:dyDescent="0.25">
      <c r="M8634" s="21"/>
    </row>
    <row r="8635" spans="13:13" x14ac:dyDescent="0.25">
      <c r="M8635" s="21"/>
    </row>
    <row r="8636" spans="13:13" x14ac:dyDescent="0.25">
      <c r="M8636" s="21"/>
    </row>
    <row r="8637" spans="13:13" x14ac:dyDescent="0.25">
      <c r="M8637" s="21"/>
    </row>
    <row r="8638" spans="13:13" x14ac:dyDescent="0.25">
      <c r="M8638" s="21"/>
    </row>
    <row r="8639" spans="13:13" x14ac:dyDescent="0.25">
      <c r="M8639" s="21"/>
    </row>
    <row r="8640" spans="13:13" x14ac:dyDescent="0.25">
      <c r="M8640" s="21"/>
    </row>
    <row r="8641" spans="13:13" x14ac:dyDescent="0.25">
      <c r="M8641" s="21"/>
    </row>
    <row r="8642" spans="13:13" x14ac:dyDescent="0.25">
      <c r="M8642" s="21"/>
    </row>
    <row r="8643" spans="13:13" x14ac:dyDescent="0.25">
      <c r="M8643" s="21"/>
    </row>
    <row r="8644" spans="13:13" x14ac:dyDescent="0.25">
      <c r="M8644" s="21"/>
    </row>
    <row r="8645" spans="13:13" x14ac:dyDescent="0.25">
      <c r="M8645" s="21"/>
    </row>
    <row r="8646" spans="13:13" x14ac:dyDescent="0.25">
      <c r="M8646" s="21"/>
    </row>
    <row r="8647" spans="13:13" x14ac:dyDescent="0.25">
      <c r="M8647" s="21"/>
    </row>
    <row r="8648" spans="13:13" x14ac:dyDescent="0.25">
      <c r="M8648" s="21"/>
    </row>
    <row r="8649" spans="13:13" x14ac:dyDescent="0.25">
      <c r="M8649" s="21"/>
    </row>
    <row r="8650" spans="13:13" x14ac:dyDescent="0.25">
      <c r="M8650" s="21"/>
    </row>
    <row r="8651" spans="13:13" x14ac:dyDescent="0.25">
      <c r="M8651" s="21"/>
    </row>
    <row r="8652" spans="13:13" x14ac:dyDescent="0.25">
      <c r="M8652" s="21"/>
    </row>
    <row r="8653" spans="13:13" x14ac:dyDescent="0.25">
      <c r="M8653" s="21"/>
    </row>
    <row r="8654" spans="13:13" x14ac:dyDescent="0.25">
      <c r="M8654" s="21"/>
    </row>
    <row r="8655" spans="13:13" x14ac:dyDescent="0.25">
      <c r="M8655" s="21"/>
    </row>
    <row r="8656" spans="13:13" x14ac:dyDescent="0.25">
      <c r="M8656" s="21"/>
    </row>
    <row r="8657" spans="13:13" x14ac:dyDescent="0.25">
      <c r="M8657" s="21"/>
    </row>
    <row r="8658" spans="13:13" x14ac:dyDescent="0.25">
      <c r="M8658" s="21"/>
    </row>
    <row r="8659" spans="13:13" x14ac:dyDescent="0.25">
      <c r="M8659" s="21"/>
    </row>
    <row r="8660" spans="13:13" x14ac:dyDescent="0.25">
      <c r="M8660" s="21"/>
    </row>
    <row r="8661" spans="13:13" x14ac:dyDescent="0.25">
      <c r="M8661" s="21"/>
    </row>
    <row r="8662" spans="13:13" x14ac:dyDescent="0.25">
      <c r="M8662" s="21"/>
    </row>
    <row r="8663" spans="13:13" x14ac:dyDescent="0.25">
      <c r="M8663" s="21"/>
    </row>
    <row r="8664" spans="13:13" x14ac:dyDescent="0.25">
      <c r="M8664" s="21"/>
    </row>
    <row r="8665" spans="13:13" x14ac:dyDescent="0.25">
      <c r="M8665" s="21"/>
    </row>
    <row r="8666" spans="13:13" x14ac:dyDescent="0.25">
      <c r="M8666" s="21"/>
    </row>
    <row r="8667" spans="13:13" x14ac:dyDescent="0.25">
      <c r="M8667" s="21"/>
    </row>
    <row r="8668" spans="13:13" x14ac:dyDescent="0.25">
      <c r="M8668" s="21"/>
    </row>
    <row r="8669" spans="13:13" x14ac:dyDescent="0.25">
      <c r="M8669" s="21"/>
    </row>
    <row r="8670" spans="13:13" x14ac:dyDescent="0.25">
      <c r="M8670" s="21"/>
    </row>
    <row r="8671" spans="13:13" x14ac:dyDescent="0.25">
      <c r="M8671" s="21"/>
    </row>
    <row r="8672" spans="13:13" x14ac:dyDescent="0.25">
      <c r="M8672" s="21"/>
    </row>
    <row r="8673" spans="13:13" x14ac:dyDescent="0.25">
      <c r="M8673" s="21"/>
    </row>
    <row r="8674" spans="13:13" x14ac:dyDescent="0.25">
      <c r="M8674" s="21"/>
    </row>
    <row r="8675" spans="13:13" x14ac:dyDescent="0.25">
      <c r="M8675" s="21"/>
    </row>
    <row r="8676" spans="13:13" x14ac:dyDescent="0.25">
      <c r="M8676" s="21"/>
    </row>
    <row r="8677" spans="13:13" x14ac:dyDescent="0.25">
      <c r="M8677" s="21"/>
    </row>
    <row r="8678" spans="13:13" x14ac:dyDescent="0.25">
      <c r="M8678" s="21"/>
    </row>
    <row r="8679" spans="13:13" x14ac:dyDescent="0.25">
      <c r="M8679" s="21"/>
    </row>
    <row r="8680" spans="13:13" x14ac:dyDescent="0.25">
      <c r="M8680" s="21"/>
    </row>
    <row r="8681" spans="13:13" x14ac:dyDescent="0.25">
      <c r="M8681" s="21"/>
    </row>
    <row r="8682" spans="13:13" x14ac:dyDescent="0.25">
      <c r="M8682" s="21"/>
    </row>
    <row r="8683" spans="13:13" x14ac:dyDescent="0.25">
      <c r="M8683" s="21"/>
    </row>
    <row r="8684" spans="13:13" x14ac:dyDescent="0.25">
      <c r="M8684" s="21"/>
    </row>
    <row r="8685" spans="13:13" x14ac:dyDescent="0.25">
      <c r="M8685" s="21"/>
    </row>
    <row r="8686" spans="13:13" x14ac:dyDescent="0.25">
      <c r="M8686" s="21"/>
    </row>
    <row r="8687" spans="13:13" x14ac:dyDescent="0.25">
      <c r="M8687" s="21"/>
    </row>
    <row r="8688" spans="13:13" x14ac:dyDescent="0.25">
      <c r="M8688" s="21"/>
    </row>
    <row r="8689" spans="13:13" x14ac:dyDescent="0.25">
      <c r="M8689" s="21"/>
    </row>
    <row r="8690" spans="13:13" x14ac:dyDescent="0.25">
      <c r="M8690" s="21"/>
    </row>
    <row r="8691" spans="13:13" x14ac:dyDescent="0.25">
      <c r="M8691" s="21"/>
    </row>
    <row r="8692" spans="13:13" x14ac:dyDescent="0.25">
      <c r="M8692" s="21"/>
    </row>
    <row r="8693" spans="13:13" x14ac:dyDescent="0.25">
      <c r="M8693" s="21"/>
    </row>
    <row r="8694" spans="13:13" x14ac:dyDescent="0.25">
      <c r="M8694" s="21"/>
    </row>
    <row r="8695" spans="13:13" x14ac:dyDescent="0.25">
      <c r="M8695" s="21"/>
    </row>
    <row r="8696" spans="13:13" x14ac:dyDescent="0.25">
      <c r="M8696" s="21"/>
    </row>
    <row r="8697" spans="13:13" x14ac:dyDescent="0.25">
      <c r="M8697" s="21"/>
    </row>
    <row r="8698" spans="13:13" x14ac:dyDescent="0.25">
      <c r="M8698" s="21"/>
    </row>
    <row r="8699" spans="13:13" x14ac:dyDescent="0.25">
      <c r="M8699" s="21"/>
    </row>
    <row r="8700" spans="13:13" x14ac:dyDescent="0.25">
      <c r="M8700" s="21"/>
    </row>
    <row r="8701" spans="13:13" x14ac:dyDescent="0.25">
      <c r="M8701" s="21"/>
    </row>
    <row r="8702" spans="13:13" x14ac:dyDescent="0.25">
      <c r="M8702" s="21"/>
    </row>
    <row r="8703" spans="13:13" x14ac:dyDescent="0.25">
      <c r="M8703" s="21"/>
    </row>
    <row r="8704" spans="13:13" x14ac:dyDescent="0.25">
      <c r="M8704" s="21"/>
    </row>
    <row r="8705" spans="13:13" x14ac:dyDescent="0.25">
      <c r="M8705" s="21"/>
    </row>
    <row r="8706" spans="13:13" x14ac:dyDescent="0.25">
      <c r="M8706" s="21"/>
    </row>
    <row r="8707" spans="13:13" x14ac:dyDescent="0.25">
      <c r="M8707" s="21"/>
    </row>
    <row r="8708" spans="13:13" x14ac:dyDescent="0.25">
      <c r="M8708" s="21"/>
    </row>
    <row r="8709" spans="13:13" x14ac:dyDescent="0.25">
      <c r="M8709" s="21"/>
    </row>
    <row r="8710" spans="13:13" x14ac:dyDescent="0.25">
      <c r="M8710" s="21"/>
    </row>
    <row r="8711" spans="13:13" x14ac:dyDescent="0.25">
      <c r="M8711" s="21"/>
    </row>
    <row r="8712" spans="13:13" x14ac:dyDescent="0.25">
      <c r="M8712" s="21"/>
    </row>
    <row r="8713" spans="13:13" x14ac:dyDescent="0.25">
      <c r="M8713" s="21"/>
    </row>
    <row r="8714" spans="13:13" x14ac:dyDescent="0.25">
      <c r="M8714" s="21"/>
    </row>
    <row r="8715" spans="13:13" x14ac:dyDescent="0.25">
      <c r="M8715" s="21"/>
    </row>
    <row r="8716" spans="13:13" x14ac:dyDescent="0.25">
      <c r="M8716" s="21"/>
    </row>
    <row r="8717" spans="13:13" x14ac:dyDescent="0.25">
      <c r="M8717" s="21"/>
    </row>
    <row r="8718" spans="13:13" x14ac:dyDescent="0.25">
      <c r="M8718" s="21"/>
    </row>
    <row r="8719" spans="13:13" x14ac:dyDescent="0.25">
      <c r="M8719" s="21"/>
    </row>
    <row r="8720" spans="13:13" x14ac:dyDescent="0.25">
      <c r="M8720" s="21"/>
    </row>
    <row r="8721" spans="13:13" x14ac:dyDescent="0.25">
      <c r="M8721" s="21"/>
    </row>
    <row r="8722" spans="13:13" x14ac:dyDescent="0.25">
      <c r="M8722" s="21"/>
    </row>
    <row r="8723" spans="13:13" x14ac:dyDescent="0.25">
      <c r="M8723" s="21"/>
    </row>
    <row r="8724" spans="13:13" x14ac:dyDescent="0.25">
      <c r="M8724" s="21"/>
    </row>
    <row r="8725" spans="13:13" x14ac:dyDescent="0.25">
      <c r="M8725" s="21"/>
    </row>
    <row r="8726" spans="13:13" x14ac:dyDescent="0.25">
      <c r="M8726" s="21"/>
    </row>
    <row r="8727" spans="13:13" x14ac:dyDescent="0.25">
      <c r="M8727" s="21"/>
    </row>
    <row r="8728" spans="13:13" x14ac:dyDescent="0.25">
      <c r="M8728" s="21"/>
    </row>
    <row r="8729" spans="13:13" x14ac:dyDescent="0.25">
      <c r="M8729" s="21"/>
    </row>
    <row r="8730" spans="13:13" x14ac:dyDescent="0.25">
      <c r="M8730" s="21"/>
    </row>
    <row r="8731" spans="13:13" x14ac:dyDescent="0.25">
      <c r="M8731" s="21"/>
    </row>
    <row r="8732" spans="13:13" x14ac:dyDescent="0.25">
      <c r="M8732" s="21"/>
    </row>
    <row r="8733" spans="13:13" x14ac:dyDescent="0.25">
      <c r="M8733" s="21"/>
    </row>
    <row r="8734" spans="13:13" x14ac:dyDescent="0.25">
      <c r="M8734" s="21"/>
    </row>
    <row r="8735" spans="13:13" x14ac:dyDescent="0.25">
      <c r="M8735" s="21"/>
    </row>
    <row r="8736" spans="13:13" x14ac:dyDescent="0.25">
      <c r="M8736" s="21"/>
    </row>
    <row r="8737" spans="13:13" x14ac:dyDescent="0.25">
      <c r="M8737" s="21"/>
    </row>
    <row r="8738" spans="13:13" x14ac:dyDescent="0.25">
      <c r="M8738" s="21"/>
    </row>
    <row r="8739" spans="13:13" x14ac:dyDescent="0.25">
      <c r="M8739" s="21"/>
    </row>
    <row r="8740" spans="13:13" x14ac:dyDescent="0.25">
      <c r="M8740" s="21"/>
    </row>
    <row r="8741" spans="13:13" x14ac:dyDescent="0.25">
      <c r="M8741" s="21"/>
    </row>
    <row r="8742" spans="13:13" x14ac:dyDescent="0.25">
      <c r="M8742" s="21"/>
    </row>
    <row r="8743" spans="13:13" x14ac:dyDescent="0.25">
      <c r="M8743" s="21"/>
    </row>
    <row r="8744" spans="13:13" x14ac:dyDescent="0.25">
      <c r="M8744" s="21"/>
    </row>
    <row r="8745" spans="13:13" x14ac:dyDescent="0.25">
      <c r="M8745" s="21"/>
    </row>
    <row r="8746" spans="13:13" x14ac:dyDescent="0.25">
      <c r="M8746" s="21"/>
    </row>
    <row r="8747" spans="13:13" x14ac:dyDescent="0.25">
      <c r="M8747" s="21"/>
    </row>
    <row r="8748" spans="13:13" x14ac:dyDescent="0.25">
      <c r="M8748" s="21"/>
    </row>
    <row r="8749" spans="13:13" x14ac:dyDescent="0.25">
      <c r="M8749" s="21"/>
    </row>
    <row r="8750" spans="13:13" x14ac:dyDescent="0.25">
      <c r="M8750" s="21"/>
    </row>
    <row r="8751" spans="13:13" x14ac:dyDescent="0.25">
      <c r="M8751" s="21"/>
    </row>
    <row r="8752" spans="13:13" x14ac:dyDescent="0.25">
      <c r="M8752" s="21"/>
    </row>
    <row r="8753" spans="13:13" x14ac:dyDescent="0.25">
      <c r="M8753" s="21"/>
    </row>
    <row r="8754" spans="13:13" x14ac:dyDescent="0.25">
      <c r="M8754" s="21"/>
    </row>
    <row r="8755" spans="13:13" x14ac:dyDescent="0.25">
      <c r="M8755" s="21"/>
    </row>
    <row r="8756" spans="13:13" x14ac:dyDescent="0.25">
      <c r="M8756" s="21"/>
    </row>
    <row r="8757" spans="13:13" x14ac:dyDescent="0.25">
      <c r="M8757" s="21"/>
    </row>
    <row r="8758" spans="13:13" x14ac:dyDescent="0.25">
      <c r="M8758" s="21"/>
    </row>
    <row r="8759" spans="13:13" x14ac:dyDescent="0.25">
      <c r="M8759" s="21"/>
    </row>
    <row r="8760" spans="13:13" x14ac:dyDescent="0.25">
      <c r="M8760" s="21"/>
    </row>
    <row r="8761" spans="13:13" x14ac:dyDescent="0.25">
      <c r="M8761" s="21"/>
    </row>
    <row r="8762" spans="13:13" x14ac:dyDescent="0.25">
      <c r="M8762" s="21"/>
    </row>
    <row r="8763" spans="13:13" x14ac:dyDescent="0.25">
      <c r="M8763" s="21"/>
    </row>
    <row r="8764" spans="13:13" x14ac:dyDescent="0.25">
      <c r="M8764" s="21"/>
    </row>
    <row r="8765" spans="13:13" x14ac:dyDescent="0.25">
      <c r="M8765" s="21"/>
    </row>
    <row r="8766" spans="13:13" x14ac:dyDescent="0.25">
      <c r="M8766" s="21"/>
    </row>
    <row r="8767" spans="13:13" x14ac:dyDescent="0.25">
      <c r="M8767" s="21"/>
    </row>
    <row r="8768" spans="13:13" x14ac:dyDescent="0.25">
      <c r="M8768" s="21"/>
    </row>
    <row r="8769" spans="13:13" x14ac:dyDescent="0.25">
      <c r="M8769" s="21"/>
    </row>
    <row r="8770" spans="13:13" x14ac:dyDescent="0.25">
      <c r="M8770" s="21"/>
    </row>
    <row r="8771" spans="13:13" x14ac:dyDescent="0.25">
      <c r="M8771" s="21"/>
    </row>
    <row r="8772" spans="13:13" x14ac:dyDescent="0.25">
      <c r="M8772" s="21"/>
    </row>
    <row r="8773" spans="13:13" x14ac:dyDescent="0.25">
      <c r="M8773" s="21"/>
    </row>
    <row r="8774" spans="13:13" x14ac:dyDescent="0.25">
      <c r="M8774" s="21"/>
    </row>
    <row r="8775" spans="13:13" x14ac:dyDescent="0.25">
      <c r="M8775" s="21"/>
    </row>
    <row r="8776" spans="13:13" x14ac:dyDescent="0.25">
      <c r="M8776" s="21"/>
    </row>
    <row r="8777" spans="13:13" x14ac:dyDescent="0.25">
      <c r="M8777" s="21"/>
    </row>
    <row r="8778" spans="13:13" x14ac:dyDescent="0.25">
      <c r="M8778" s="21"/>
    </row>
    <row r="8779" spans="13:13" x14ac:dyDescent="0.25">
      <c r="M8779" s="21"/>
    </row>
    <row r="8780" spans="13:13" x14ac:dyDescent="0.25">
      <c r="M8780" s="21"/>
    </row>
    <row r="8781" spans="13:13" x14ac:dyDescent="0.25">
      <c r="M8781" s="21"/>
    </row>
    <row r="8782" spans="13:13" x14ac:dyDescent="0.25">
      <c r="M8782" s="21"/>
    </row>
    <row r="8783" spans="13:13" x14ac:dyDescent="0.25">
      <c r="M8783" s="21"/>
    </row>
    <row r="8784" spans="13:13" x14ac:dyDescent="0.25">
      <c r="M8784" s="21"/>
    </row>
    <row r="8785" spans="13:13" x14ac:dyDescent="0.25">
      <c r="M8785" s="21"/>
    </row>
    <row r="8786" spans="13:13" x14ac:dyDescent="0.25">
      <c r="M8786" s="21"/>
    </row>
    <row r="8787" spans="13:13" x14ac:dyDescent="0.25">
      <c r="M8787" s="21"/>
    </row>
    <row r="8788" spans="13:13" x14ac:dyDescent="0.25">
      <c r="M8788" s="21"/>
    </row>
    <row r="8789" spans="13:13" x14ac:dyDescent="0.25">
      <c r="M8789" s="21"/>
    </row>
    <row r="8790" spans="13:13" x14ac:dyDescent="0.25">
      <c r="M8790" s="21"/>
    </row>
    <row r="8791" spans="13:13" x14ac:dyDescent="0.25">
      <c r="M8791" s="21"/>
    </row>
    <row r="8792" spans="13:13" x14ac:dyDescent="0.25">
      <c r="M8792" s="21"/>
    </row>
    <row r="8793" spans="13:13" x14ac:dyDescent="0.25">
      <c r="M8793" s="21"/>
    </row>
    <row r="8794" spans="13:13" x14ac:dyDescent="0.25">
      <c r="M8794" s="21"/>
    </row>
    <row r="8795" spans="13:13" x14ac:dyDescent="0.25">
      <c r="M8795" s="21"/>
    </row>
    <row r="8796" spans="13:13" x14ac:dyDescent="0.25">
      <c r="M8796" s="21"/>
    </row>
    <row r="8797" spans="13:13" x14ac:dyDescent="0.25">
      <c r="M8797" s="21"/>
    </row>
    <row r="8798" spans="13:13" x14ac:dyDescent="0.25">
      <c r="M8798" s="21"/>
    </row>
    <row r="8799" spans="13:13" x14ac:dyDescent="0.25">
      <c r="M8799" s="21"/>
    </row>
    <row r="8800" spans="13:13" x14ac:dyDescent="0.25">
      <c r="M8800" s="21"/>
    </row>
    <row r="8801" spans="13:13" x14ac:dyDescent="0.25">
      <c r="M8801" s="21"/>
    </row>
    <row r="8802" spans="13:13" x14ac:dyDescent="0.25">
      <c r="M8802" s="21"/>
    </row>
    <row r="8803" spans="13:13" x14ac:dyDescent="0.25">
      <c r="M8803" s="21"/>
    </row>
    <row r="8804" spans="13:13" x14ac:dyDescent="0.25">
      <c r="M8804" s="21"/>
    </row>
    <row r="8805" spans="13:13" x14ac:dyDescent="0.25">
      <c r="M8805" s="21"/>
    </row>
    <row r="8806" spans="13:13" x14ac:dyDescent="0.25">
      <c r="M8806" s="21"/>
    </row>
    <row r="8807" spans="13:13" x14ac:dyDescent="0.25">
      <c r="M8807" s="21"/>
    </row>
    <row r="8808" spans="13:13" x14ac:dyDescent="0.25">
      <c r="M8808" s="21"/>
    </row>
    <row r="8809" spans="13:13" x14ac:dyDescent="0.25">
      <c r="M8809" s="21"/>
    </row>
    <row r="8810" spans="13:13" x14ac:dyDescent="0.25">
      <c r="M8810" s="21"/>
    </row>
    <row r="8811" spans="13:13" x14ac:dyDescent="0.25">
      <c r="M8811" s="21"/>
    </row>
    <row r="8812" spans="13:13" x14ac:dyDescent="0.25">
      <c r="M8812" s="21"/>
    </row>
    <row r="8813" spans="13:13" x14ac:dyDescent="0.25">
      <c r="M8813" s="21"/>
    </row>
    <row r="8814" spans="13:13" x14ac:dyDescent="0.25">
      <c r="M8814" s="21"/>
    </row>
    <row r="8815" spans="13:13" x14ac:dyDescent="0.25">
      <c r="M8815" s="21"/>
    </row>
    <row r="8816" spans="13:13" x14ac:dyDescent="0.25">
      <c r="M8816" s="21"/>
    </row>
    <row r="8817" spans="13:13" x14ac:dyDescent="0.25">
      <c r="M8817" s="21"/>
    </row>
    <row r="8818" spans="13:13" x14ac:dyDescent="0.25">
      <c r="M8818" s="21"/>
    </row>
    <row r="8819" spans="13:13" x14ac:dyDescent="0.25">
      <c r="M8819" s="21"/>
    </row>
    <row r="8820" spans="13:13" x14ac:dyDescent="0.25">
      <c r="M8820" s="21"/>
    </row>
    <row r="8821" spans="13:13" x14ac:dyDescent="0.25">
      <c r="M8821" s="21"/>
    </row>
    <row r="8822" spans="13:13" x14ac:dyDescent="0.25">
      <c r="M8822" s="21"/>
    </row>
    <row r="8823" spans="13:13" x14ac:dyDescent="0.25">
      <c r="M8823" s="21"/>
    </row>
    <row r="8824" spans="13:13" x14ac:dyDescent="0.25">
      <c r="M8824" s="21"/>
    </row>
    <row r="8825" spans="13:13" x14ac:dyDescent="0.25">
      <c r="M8825" s="21"/>
    </row>
    <row r="8826" spans="13:13" x14ac:dyDescent="0.25">
      <c r="M8826" s="21"/>
    </row>
    <row r="8827" spans="13:13" x14ac:dyDescent="0.25">
      <c r="M8827" s="21"/>
    </row>
    <row r="8828" spans="13:13" x14ac:dyDescent="0.25">
      <c r="M8828" s="21"/>
    </row>
    <row r="8829" spans="13:13" x14ac:dyDescent="0.25">
      <c r="M8829" s="21"/>
    </row>
    <row r="8830" spans="13:13" x14ac:dyDescent="0.25">
      <c r="M8830" s="21"/>
    </row>
    <row r="8831" spans="13:13" x14ac:dyDescent="0.25">
      <c r="M8831" s="21"/>
    </row>
    <row r="8832" spans="13:13" x14ac:dyDescent="0.25">
      <c r="M8832" s="21"/>
    </row>
    <row r="8833" spans="13:13" x14ac:dyDescent="0.25">
      <c r="M8833" s="21"/>
    </row>
    <row r="8834" spans="13:13" x14ac:dyDescent="0.25">
      <c r="M8834" s="21"/>
    </row>
    <row r="8835" spans="13:13" x14ac:dyDescent="0.25">
      <c r="M8835" s="21"/>
    </row>
    <row r="8836" spans="13:13" x14ac:dyDescent="0.25">
      <c r="M8836" s="21"/>
    </row>
    <row r="8837" spans="13:13" x14ac:dyDescent="0.25">
      <c r="M8837" s="21"/>
    </row>
    <row r="8838" spans="13:13" x14ac:dyDescent="0.25">
      <c r="M8838" s="21"/>
    </row>
    <row r="8839" spans="13:13" x14ac:dyDescent="0.25">
      <c r="M8839" s="21"/>
    </row>
    <row r="8840" spans="13:13" x14ac:dyDescent="0.25">
      <c r="M8840" s="21"/>
    </row>
    <row r="8841" spans="13:13" x14ac:dyDescent="0.25">
      <c r="M8841" s="21"/>
    </row>
    <row r="8842" spans="13:13" x14ac:dyDescent="0.25">
      <c r="M8842" s="21"/>
    </row>
    <row r="8843" spans="13:13" x14ac:dyDescent="0.25">
      <c r="M8843" s="21"/>
    </row>
    <row r="8844" spans="13:13" x14ac:dyDescent="0.25">
      <c r="M8844" s="21"/>
    </row>
    <row r="8845" spans="13:13" x14ac:dyDescent="0.25">
      <c r="M8845" s="21"/>
    </row>
    <row r="8846" spans="13:13" x14ac:dyDescent="0.25">
      <c r="M8846" s="21"/>
    </row>
    <row r="8847" spans="13:13" x14ac:dyDescent="0.25">
      <c r="M8847" s="21"/>
    </row>
    <row r="8848" spans="13:13" x14ac:dyDescent="0.25">
      <c r="M8848" s="21"/>
    </row>
    <row r="8849" spans="13:13" x14ac:dyDescent="0.25">
      <c r="M8849" s="21"/>
    </row>
    <row r="8850" spans="13:13" x14ac:dyDescent="0.25">
      <c r="M8850" s="21"/>
    </row>
    <row r="8851" spans="13:13" x14ac:dyDescent="0.25">
      <c r="M8851" s="21"/>
    </row>
    <row r="8852" spans="13:13" x14ac:dyDescent="0.25">
      <c r="M8852" s="21"/>
    </row>
    <row r="8853" spans="13:13" x14ac:dyDescent="0.25">
      <c r="M8853" s="21"/>
    </row>
    <row r="8854" spans="13:13" x14ac:dyDescent="0.25">
      <c r="M8854" s="21"/>
    </row>
    <row r="8855" spans="13:13" x14ac:dyDescent="0.25">
      <c r="M8855" s="21"/>
    </row>
    <row r="8856" spans="13:13" x14ac:dyDescent="0.25">
      <c r="M8856" s="21"/>
    </row>
    <row r="8857" spans="13:13" x14ac:dyDescent="0.25">
      <c r="M8857" s="21"/>
    </row>
    <row r="8858" spans="13:13" x14ac:dyDescent="0.25">
      <c r="M8858" s="21"/>
    </row>
    <row r="8859" spans="13:13" x14ac:dyDescent="0.25">
      <c r="M8859" s="21"/>
    </row>
    <row r="8860" spans="13:13" x14ac:dyDescent="0.25">
      <c r="M8860" s="21"/>
    </row>
    <row r="8861" spans="13:13" x14ac:dyDescent="0.25">
      <c r="M8861" s="21"/>
    </row>
    <row r="8862" spans="13:13" x14ac:dyDescent="0.25">
      <c r="M8862" s="21"/>
    </row>
    <row r="8863" spans="13:13" x14ac:dyDescent="0.25">
      <c r="M8863" s="21"/>
    </row>
    <row r="8864" spans="13:13" x14ac:dyDescent="0.25">
      <c r="M8864" s="21"/>
    </row>
    <row r="8865" spans="13:13" x14ac:dyDescent="0.25">
      <c r="M8865" s="21"/>
    </row>
    <row r="8866" spans="13:13" x14ac:dyDescent="0.25">
      <c r="M8866" s="21"/>
    </row>
    <row r="8867" spans="13:13" x14ac:dyDescent="0.25">
      <c r="M8867" s="21"/>
    </row>
    <row r="8868" spans="13:13" x14ac:dyDescent="0.25">
      <c r="M8868" s="21"/>
    </row>
    <row r="8869" spans="13:13" x14ac:dyDescent="0.25">
      <c r="M8869" s="21"/>
    </row>
    <row r="8870" spans="13:13" x14ac:dyDescent="0.25">
      <c r="M8870" s="21"/>
    </row>
    <row r="8871" spans="13:13" x14ac:dyDescent="0.25">
      <c r="M8871" s="21"/>
    </row>
    <row r="8872" spans="13:13" x14ac:dyDescent="0.25">
      <c r="M8872" s="21"/>
    </row>
    <row r="8873" spans="13:13" x14ac:dyDescent="0.25">
      <c r="M8873" s="21"/>
    </row>
    <row r="8874" spans="13:13" x14ac:dyDescent="0.25">
      <c r="M8874" s="21"/>
    </row>
    <row r="8875" spans="13:13" x14ac:dyDescent="0.25">
      <c r="M8875" s="21"/>
    </row>
    <row r="8876" spans="13:13" x14ac:dyDescent="0.25">
      <c r="M8876" s="21"/>
    </row>
    <row r="8877" spans="13:13" x14ac:dyDescent="0.25">
      <c r="M8877" s="21"/>
    </row>
    <row r="8878" spans="13:13" x14ac:dyDescent="0.25">
      <c r="M8878" s="21"/>
    </row>
    <row r="8879" spans="13:13" x14ac:dyDescent="0.25">
      <c r="M8879" s="21"/>
    </row>
    <row r="8880" spans="13:13" x14ac:dyDescent="0.25">
      <c r="M8880" s="21"/>
    </row>
    <row r="8881" spans="13:13" x14ac:dyDescent="0.25">
      <c r="M8881" s="21"/>
    </row>
    <row r="8882" spans="13:13" x14ac:dyDescent="0.25">
      <c r="M8882" s="21"/>
    </row>
    <row r="8883" spans="13:13" x14ac:dyDescent="0.25">
      <c r="M8883" s="21"/>
    </row>
    <row r="8884" spans="13:13" x14ac:dyDescent="0.25">
      <c r="M8884" s="21"/>
    </row>
    <row r="8885" spans="13:13" x14ac:dyDescent="0.25">
      <c r="M8885" s="21"/>
    </row>
    <row r="8886" spans="13:13" x14ac:dyDescent="0.25">
      <c r="M8886" s="21"/>
    </row>
    <row r="8887" spans="13:13" x14ac:dyDescent="0.25">
      <c r="M8887" s="21"/>
    </row>
    <row r="8888" spans="13:13" x14ac:dyDescent="0.25">
      <c r="M8888" s="21"/>
    </row>
    <row r="8889" spans="13:13" x14ac:dyDescent="0.25">
      <c r="M8889" s="21"/>
    </row>
    <row r="8890" spans="13:13" x14ac:dyDescent="0.25">
      <c r="M8890" s="21"/>
    </row>
    <row r="8891" spans="13:13" x14ac:dyDescent="0.25">
      <c r="M8891" s="21"/>
    </row>
    <row r="8892" spans="13:13" x14ac:dyDescent="0.25">
      <c r="M8892" s="21"/>
    </row>
    <row r="8893" spans="13:13" x14ac:dyDescent="0.25">
      <c r="M8893" s="21"/>
    </row>
    <row r="8894" spans="13:13" x14ac:dyDescent="0.25">
      <c r="M8894" s="21"/>
    </row>
    <row r="8895" spans="13:13" x14ac:dyDescent="0.25">
      <c r="M8895" s="21"/>
    </row>
    <row r="8896" spans="13:13" x14ac:dyDescent="0.25">
      <c r="M8896" s="21"/>
    </row>
    <row r="8897" spans="13:13" x14ac:dyDescent="0.25">
      <c r="M8897" s="21"/>
    </row>
    <row r="8898" spans="13:13" x14ac:dyDescent="0.25">
      <c r="M8898" s="21"/>
    </row>
    <row r="8899" spans="13:13" x14ac:dyDescent="0.25">
      <c r="M8899" s="21"/>
    </row>
    <row r="8900" spans="13:13" x14ac:dyDescent="0.25">
      <c r="M8900" s="21"/>
    </row>
    <row r="8901" spans="13:13" x14ac:dyDescent="0.25">
      <c r="M8901" s="21"/>
    </row>
    <row r="8902" spans="13:13" x14ac:dyDescent="0.25">
      <c r="M8902" s="21"/>
    </row>
    <row r="8903" spans="13:13" x14ac:dyDescent="0.25">
      <c r="M8903" s="21"/>
    </row>
    <row r="8904" spans="13:13" x14ac:dyDescent="0.25">
      <c r="M8904" s="21"/>
    </row>
    <row r="8905" spans="13:13" x14ac:dyDescent="0.25">
      <c r="M8905" s="21"/>
    </row>
    <row r="8906" spans="13:13" x14ac:dyDescent="0.25">
      <c r="M8906" s="21"/>
    </row>
    <row r="8907" spans="13:13" x14ac:dyDescent="0.25">
      <c r="M8907" s="21"/>
    </row>
    <row r="8908" spans="13:13" x14ac:dyDescent="0.25">
      <c r="M8908" s="21"/>
    </row>
    <row r="8909" spans="13:13" x14ac:dyDescent="0.25">
      <c r="M8909" s="21"/>
    </row>
    <row r="8910" spans="13:13" x14ac:dyDescent="0.25">
      <c r="M8910" s="21"/>
    </row>
    <row r="8911" spans="13:13" x14ac:dyDescent="0.25">
      <c r="M8911" s="21"/>
    </row>
    <row r="8912" spans="13:13" x14ac:dyDescent="0.25">
      <c r="M8912" s="21"/>
    </row>
    <row r="8913" spans="13:13" x14ac:dyDescent="0.25">
      <c r="M8913" s="21"/>
    </row>
    <row r="8914" spans="13:13" x14ac:dyDescent="0.25">
      <c r="M8914" s="21"/>
    </row>
    <row r="8915" spans="13:13" x14ac:dyDescent="0.25">
      <c r="M8915" s="21"/>
    </row>
    <row r="8916" spans="13:13" x14ac:dyDescent="0.25">
      <c r="M8916" s="21"/>
    </row>
    <row r="8917" spans="13:13" x14ac:dyDescent="0.25">
      <c r="M8917" s="21"/>
    </row>
    <row r="8918" spans="13:13" x14ac:dyDescent="0.25">
      <c r="M8918" s="21"/>
    </row>
    <row r="8919" spans="13:13" x14ac:dyDescent="0.25">
      <c r="M8919" s="21"/>
    </row>
    <row r="8920" spans="13:13" x14ac:dyDescent="0.25">
      <c r="M8920" s="21"/>
    </row>
    <row r="8921" spans="13:13" x14ac:dyDescent="0.25">
      <c r="M8921" s="21"/>
    </row>
    <row r="8922" spans="13:13" x14ac:dyDescent="0.25">
      <c r="M8922" s="21"/>
    </row>
    <row r="8923" spans="13:13" x14ac:dyDescent="0.25">
      <c r="M8923" s="21"/>
    </row>
    <row r="8924" spans="13:13" x14ac:dyDescent="0.25">
      <c r="M8924" s="21"/>
    </row>
    <row r="8925" spans="13:13" x14ac:dyDescent="0.25">
      <c r="M8925" s="21"/>
    </row>
    <row r="8926" spans="13:13" x14ac:dyDescent="0.25">
      <c r="M8926" s="21"/>
    </row>
    <row r="8927" spans="13:13" x14ac:dyDescent="0.25">
      <c r="M8927" s="21"/>
    </row>
    <row r="8928" spans="13:13" x14ac:dyDescent="0.25">
      <c r="M8928" s="21"/>
    </row>
    <row r="8929" spans="13:13" x14ac:dyDescent="0.25">
      <c r="M8929" s="21"/>
    </row>
    <row r="8930" spans="13:13" x14ac:dyDescent="0.25">
      <c r="M8930" s="21"/>
    </row>
    <row r="8931" spans="13:13" x14ac:dyDescent="0.25">
      <c r="M8931" s="21"/>
    </row>
    <row r="8932" spans="13:13" x14ac:dyDescent="0.25">
      <c r="M8932" s="21"/>
    </row>
    <row r="8933" spans="13:13" x14ac:dyDescent="0.25">
      <c r="M8933" s="21"/>
    </row>
    <row r="8934" spans="13:13" x14ac:dyDescent="0.25">
      <c r="M8934" s="21"/>
    </row>
    <row r="8935" spans="13:13" x14ac:dyDescent="0.25">
      <c r="M8935" s="21"/>
    </row>
    <row r="8936" spans="13:13" x14ac:dyDescent="0.25">
      <c r="M8936" s="21"/>
    </row>
    <row r="8937" spans="13:13" x14ac:dyDescent="0.25">
      <c r="M8937" s="21"/>
    </row>
    <row r="8938" spans="13:13" x14ac:dyDescent="0.25">
      <c r="M8938" s="21"/>
    </row>
    <row r="8939" spans="13:13" x14ac:dyDescent="0.25">
      <c r="M8939" s="21"/>
    </row>
    <row r="8940" spans="13:13" x14ac:dyDescent="0.25">
      <c r="M8940" s="21"/>
    </row>
    <row r="8941" spans="13:13" x14ac:dyDescent="0.25">
      <c r="M8941" s="21"/>
    </row>
    <row r="8942" spans="13:13" x14ac:dyDescent="0.25">
      <c r="M8942" s="21"/>
    </row>
    <row r="8943" spans="13:13" x14ac:dyDescent="0.25">
      <c r="M8943" s="21"/>
    </row>
    <row r="8944" spans="13:13" x14ac:dyDescent="0.25">
      <c r="M8944" s="21"/>
    </row>
    <row r="8945" spans="13:13" x14ac:dyDescent="0.25">
      <c r="M8945" s="21"/>
    </row>
    <row r="8946" spans="13:13" x14ac:dyDescent="0.25">
      <c r="M8946" s="21"/>
    </row>
    <row r="8947" spans="13:13" x14ac:dyDescent="0.25">
      <c r="M8947" s="21"/>
    </row>
    <row r="8948" spans="13:13" x14ac:dyDescent="0.25">
      <c r="M8948" s="21"/>
    </row>
    <row r="8949" spans="13:13" x14ac:dyDescent="0.25">
      <c r="M8949" s="21"/>
    </row>
    <row r="8950" spans="13:13" x14ac:dyDescent="0.25">
      <c r="M8950" s="21"/>
    </row>
    <row r="8951" spans="13:13" x14ac:dyDescent="0.25">
      <c r="M8951" s="21"/>
    </row>
    <row r="8952" spans="13:13" x14ac:dyDescent="0.25">
      <c r="M8952" s="21"/>
    </row>
    <row r="8953" spans="13:13" x14ac:dyDescent="0.25">
      <c r="M8953" s="21"/>
    </row>
    <row r="8954" spans="13:13" x14ac:dyDescent="0.25">
      <c r="M8954" s="21"/>
    </row>
    <row r="8955" spans="13:13" x14ac:dyDescent="0.25">
      <c r="M8955" s="21"/>
    </row>
    <row r="8956" spans="13:13" x14ac:dyDescent="0.25">
      <c r="M8956" s="21"/>
    </row>
    <row r="8957" spans="13:13" x14ac:dyDescent="0.25">
      <c r="M8957" s="21"/>
    </row>
    <row r="8958" spans="13:13" x14ac:dyDescent="0.25">
      <c r="M8958" s="21"/>
    </row>
    <row r="8959" spans="13:13" x14ac:dyDescent="0.25">
      <c r="M8959" s="21"/>
    </row>
    <row r="8960" spans="13:13" x14ac:dyDescent="0.25">
      <c r="M8960" s="21"/>
    </row>
    <row r="8961" spans="13:13" x14ac:dyDescent="0.25">
      <c r="M8961" s="21"/>
    </row>
    <row r="8962" spans="13:13" x14ac:dyDescent="0.25">
      <c r="M8962" s="21"/>
    </row>
    <row r="8963" spans="13:13" x14ac:dyDescent="0.25">
      <c r="M8963" s="21"/>
    </row>
    <row r="8964" spans="13:13" x14ac:dyDescent="0.25">
      <c r="M8964" s="21"/>
    </row>
    <row r="8965" spans="13:13" x14ac:dyDescent="0.25">
      <c r="M8965" s="21"/>
    </row>
    <row r="8966" spans="13:13" x14ac:dyDescent="0.25">
      <c r="M8966" s="21"/>
    </row>
    <row r="8967" spans="13:13" x14ac:dyDescent="0.25">
      <c r="M8967" s="21"/>
    </row>
    <row r="8968" spans="13:13" x14ac:dyDescent="0.25">
      <c r="M8968" s="21"/>
    </row>
    <row r="8969" spans="13:13" x14ac:dyDescent="0.25">
      <c r="M8969" s="21"/>
    </row>
    <row r="8970" spans="13:13" x14ac:dyDescent="0.25">
      <c r="M8970" s="21"/>
    </row>
    <row r="8971" spans="13:13" x14ac:dyDescent="0.25">
      <c r="M8971" s="21"/>
    </row>
    <row r="8972" spans="13:13" x14ac:dyDescent="0.25">
      <c r="M8972" s="21"/>
    </row>
    <row r="8973" spans="13:13" x14ac:dyDescent="0.25">
      <c r="M8973" s="21"/>
    </row>
    <row r="8974" spans="13:13" x14ac:dyDescent="0.25">
      <c r="M8974" s="21"/>
    </row>
    <row r="8975" spans="13:13" x14ac:dyDescent="0.25">
      <c r="M8975" s="21"/>
    </row>
    <row r="8976" spans="13:13" x14ac:dyDescent="0.25">
      <c r="M8976" s="21"/>
    </row>
    <row r="8977" spans="13:13" x14ac:dyDescent="0.25">
      <c r="M8977" s="21"/>
    </row>
    <row r="8978" spans="13:13" x14ac:dyDescent="0.25">
      <c r="M8978" s="21"/>
    </row>
    <row r="8979" spans="13:13" x14ac:dyDescent="0.25">
      <c r="M8979" s="21"/>
    </row>
    <row r="8980" spans="13:13" x14ac:dyDescent="0.25">
      <c r="M8980" s="21"/>
    </row>
    <row r="8981" spans="13:13" x14ac:dyDescent="0.25">
      <c r="M8981" s="21"/>
    </row>
    <row r="8982" spans="13:13" x14ac:dyDescent="0.25">
      <c r="M8982" s="21"/>
    </row>
    <row r="8983" spans="13:13" x14ac:dyDescent="0.25">
      <c r="M8983" s="21"/>
    </row>
    <row r="8984" spans="13:13" x14ac:dyDescent="0.25">
      <c r="M8984" s="21"/>
    </row>
    <row r="8985" spans="13:13" x14ac:dyDescent="0.25">
      <c r="M8985" s="21"/>
    </row>
    <row r="8986" spans="13:13" x14ac:dyDescent="0.25">
      <c r="M8986" s="21"/>
    </row>
    <row r="8987" spans="13:13" x14ac:dyDescent="0.25">
      <c r="M8987" s="21"/>
    </row>
    <row r="8988" spans="13:13" x14ac:dyDescent="0.25">
      <c r="M8988" s="21"/>
    </row>
    <row r="8989" spans="13:13" x14ac:dyDescent="0.25">
      <c r="M8989" s="21"/>
    </row>
    <row r="8990" spans="13:13" x14ac:dyDescent="0.25">
      <c r="M8990" s="21"/>
    </row>
    <row r="8991" spans="13:13" x14ac:dyDescent="0.25">
      <c r="M8991" s="21"/>
    </row>
    <row r="8992" spans="13:13" x14ac:dyDescent="0.25">
      <c r="M8992" s="21"/>
    </row>
    <row r="8993" spans="13:13" x14ac:dyDescent="0.25">
      <c r="M8993" s="21"/>
    </row>
    <row r="8994" spans="13:13" x14ac:dyDescent="0.25">
      <c r="M8994" s="21"/>
    </row>
    <row r="8995" spans="13:13" x14ac:dyDescent="0.25">
      <c r="M8995" s="21"/>
    </row>
    <row r="8996" spans="13:13" x14ac:dyDescent="0.25">
      <c r="M8996" s="21"/>
    </row>
    <row r="8997" spans="13:13" x14ac:dyDescent="0.25">
      <c r="M8997" s="21"/>
    </row>
    <row r="8998" spans="13:13" x14ac:dyDescent="0.25">
      <c r="M8998" s="21"/>
    </row>
    <row r="8999" spans="13:13" x14ac:dyDescent="0.25">
      <c r="M8999" s="21"/>
    </row>
    <row r="9000" spans="13:13" x14ac:dyDescent="0.25">
      <c r="M9000" s="21"/>
    </row>
    <row r="9001" spans="13:13" x14ac:dyDescent="0.25">
      <c r="M9001" s="21"/>
    </row>
    <row r="9002" spans="13:13" x14ac:dyDescent="0.25">
      <c r="M9002" s="21"/>
    </row>
    <row r="9003" spans="13:13" x14ac:dyDescent="0.25">
      <c r="M9003" s="21"/>
    </row>
    <row r="9004" spans="13:13" x14ac:dyDescent="0.25">
      <c r="M9004" s="21"/>
    </row>
    <row r="9005" spans="13:13" x14ac:dyDescent="0.25">
      <c r="M9005" s="21"/>
    </row>
    <row r="9006" spans="13:13" x14ac:dyDescent="0.25">
      <c r="M9006" s="21"/>
    </row>
    <row r="9007" spans="13:13" x14ac:dyDescent="0.25">
      <c r="M9007" s="21"/>
    </row>
    <row r="9008" spans="13:13" x14ac:dyDescent="0.25">
      <c r="M9008" s="21"/>
    </row>
    <row r="9009" spans="13:13" x14ac:dyDescent="0.25">
      <c r="M9009" s="21"/>
    </row>
    <row r="9010" spans="13:13" x14ac:dyDescent="0.25">
      <c r="M9010" s="21"/>
    </row>
    <row r="9011" spans="13:13" x14ac:dyDescent="0.25">
      <c r="M9011" s="21"/>
    </row>
    <row r="9012" spans="13:13" x14ac:dyDescent="0.25">
      <c r="M9012" s="21"/>
    </row>
    <row r="9013" spans="13:13" x14ac:dyDescent="0.25">
      <c r="M9013" s="21"/>
    </row>
    <row r="9014" spans="13:13" x14ac:dyDescent="0.25">
      <c r="M9014" s="21"/>
    </row>
    <row r="9015" spans="13:13" x14ac:dyDescent="0.25">
      <c r="M9015" s="21"/>
    </row>
    <row r="9016" spans="13:13" x14ac:dyDescent="0.25">
      <c r="M9016" s="21"/>
    </row>
    <row r="9017" spans="13:13" x14ac:dyDescent="0.25">
      <c r="M9017" s="21"/>
    </row>
    <row r="9018" spans="13:13" x14ac:dyDescent="0.25">
      <c r="M9018" s="21"/>
    </row>
    <row r="9019" spans="13:13" x14ac:dyDescent="0.25">
      <c r="M9019" s="21"/>
    </row>
    <row r="9020" spans="13:13" x14ac:dyDescent="0.25">
      <c r="M9020" s="21"/>
    </row>
    <row r="9021" spans="13:13" x14ac:dyDescent="0.25">
      <c r="M9021" s="21"/>
    </row>
    <row r="9022" spans="13:13" x14ac:dyDescent="0.25">
      <c r="M9022" s="21"/>
    </row>
    <row r="9023" spans="13:13" x14ac:dyDescent="0.25">
      <c r="M9023" s="21"/>
    </row>
    <row r="9024" spans="13:13" x14ac:dyDescent="0.25">
      <c r="M9024" s="21"/>
    </row>
    <row r="9025" spans="13:13" x14ac:dyDescent="0.25">
      <c r="M9025" s="21"/>
    </row>
    <row r="9026" spans="13:13" x14ac:dyDescent="0.25">
      <c r="M9026" s="21"/>
    </row>
    <row r="9027" spans="13:13" x14ac:dyDescent="0.25">
      <c r="M9027" s="21"/>
    </row>
    <row r="9028" spans="13:13" x14ac:dyDescent="0.25">
      <c r="M9028" s="21"/>
    </row>
    <row r="9029" spans="13:13" x14ac:dyDescent="0.25">
      <c r="M9029" s="21"/>
    </row>
    <row r="9030" spans="13:13" x14ac:dyDescent="0.25">
      <c r="M9030" s="21"/>
    </row>
    <row r="9031" spans="13:13" x14ac:dyDescent="0.25">
      <c r="M9031" s="21"/>
    </row>
    <row r="9032" spans="13:13" x14ac:dyDescent="0.25">
      <c r="M9032" s="21"/>
    </row>
    <row r="9033" spans="13:13" x14ac:dyDescent="0.25">
      <c r="M9033" s="21"/>
    </row>
    <row r="9034" spans="13:13" x14ac:dyDescent="0.25">
      <c r="M9034" s="21"/>
    </row>
    <row r="9035" spans="13:13" x14ac:dyDescent="0.25">
      <c r="M9035" s="21"/>
    </row>
    <row r="9036" spans="13:13" x14ac:dyDescent="0.25">
      <c r="M9036" s="21"/>
    </row>
    <row r="9037" spans="13:13" x14ac:dyDescent="0.25">
      <c r="M9037" s="21"/>
    </row>
    <row r="9038" spans="13:13" x14ac:dyDescent="0.25">
      <c r="M9038" s="21"/>
    </row>
    <row r="9039" spans="13:13" x14ac:dyDescent="0.25">
      <c r="M9039" s="21"/>
    </row>
    <row r="9040" spans="13:13" x14ac:dyDescent="0.25">
      <c r="M9040" s="21"/>
    </row>
    <row r="9041" spans="13:13" x14ac:dyDescent="0.25">
      <c r="M9041" s="21"/>
    </row>
    <row r="9042" spans="13:13" x14ac:dyDescent="0.25">
      <c r="M9042" s="21"/>
    </row>
    <row r="9043" spans="13:13" x14ac:dyDescent="0.25">
      <c r="M9043" s="21"/>
    </row>
    <row r="9044" spans="13:13" x14ac:dyDescent="0.25">
      <c r="M9044" s="21"/>
    </row>
    <row r="9045" spans="13:13" x14ac:dyDescent="0.25">
      <c r="M9045" s="21"/>
    </row>
    <row r="9046" spans="13:13" x14ac:dyDescent="0.25">
      <c r="M9046" s="21"/>
    </row>
    <row r="9047" spans="13:13" x14ac:dyDescent="0.25">
      <c r="M9047" s="21"/>
    </row>
    <row r="9048" spans="13:13" x14ac:dyDescent="0.25">
      <c r="M9048" s="21"/>
    </row>
    <row r="9049" spans="13:13" x14ac:dyDescent="0.25">
      <c r="M9049" s="21"/>
    </row>
    <row r="9050" spans="13:13" x14ac:dyDescent="0.25">
      <c r="M9050" s="21"/>
    </row>
    <row r="9051" spans="13:13" x14ac:dyDescent="0.25">
      <c r="M9051" s="21"/>
    </row>
    <row r="9052" spans="13:13" x14ac:dyDescent="0.25">
      <c r="M9052" s="21"/>
    </row>
    <row r="9053" spans="13:13" x14ac:dyDescent="0.25">
      <c r="M9053" s="21"/>
    </row>
    <row r="9054" spans="13:13" x14ac:dyDescent="0.25">
      <c r="M9054" s="21"/>
    </row>
    <row r="9055" spans="13:13" x14ac:dyDescent="0.25">
      <c r="M9055" s="21"/>
    </row>
    <row r="9056" spans="13:13" x14ac:dyDescent="0.25">
      <c r="M9056" s="21"/>
    </row>
    <row r="9057" spans="13:13" x14ac:dyDescent="0.25">
      <c r="M9057" s="21"/>
    </row>
    <row r="9058" spans="13:13" x14ac:dyDescent="0.25">
      <c r="M9058" s="21"/>
    </row>
    <row r="9059" spans="13:13" x14ac:dyDescent="0.25">
      <c r="M9059" s="21"/>
    </row>
    <row r="9060" spans="13:13" x14ac:dyDescent="0.25">
      <c r="M9060" s="21"/>
    </row>
    <row r="9061" spans="13:13" x14ac:dyDescent="0.25">
      <c r="M9061" s="21"/>
    </row>
    <row r="9062" spans="13:13" x14ac:dyDescent="0.25">
      <c r="M9062" s="21"/>
    </row>
    <row r="9063" spans="13:13" x14ac:dyDescent="0.25">
      <c r="M9063" s="21"/>
    </row>
    <row r="9064" spans="13:13" x14ac:dyDescent="0.25">
      <c r="M9064" s="21"/>
    </row>
    <row r="9065" spans="13:13" x14ac:dyDescent="0.25">
      <c r="M9065" s="21"/>
    </row>
    <row r="9066" spans="13:13" x14ac:dyDescent="0.25">
      <c r="M9066" s="21"/>
    </row>
    <row r="9067" spans="13:13" x14ac:dyDescent="0.25">
      <c r="M9067" s="21"/>
    </row>
    <row r="9068" spans="13:13" x14ac:dyDescent="0.25">
      <c r="M9068" s="21"/>
    </row>
    <row r="9069" spans="13:13" x14ac:dyDescent="0.25">
      <c r="M9069" s="21"/>
    </row>
    <row r="9070" spans="13:13" x14ac:dyDescent="0.25">
      <c r="M9070" s="21"/>
    </row>
    <row r="9071" spans="13:13" x14ac:dyDescent="0.25">
      <c r="M9071" s="21"/>
    </row>
    <row r="9072" spans="13:13" x14ac:dyDescent="0.25">
      <c r="M9072" s="21"/>
    </row>
    <row r="9073" spans="13:13" x14ac:dyDescent="0.25">
      <c r="M9073" s="21"/>
    </row>
    <row r="9074" spans="13:13" x14ac:dyDescent="0.25">
      <c r="M9074" s="21"/>
    </row>
    <row r="9075" spans="13:13" x14ac:dyDescent="0.25">
      <c r="M9075" s="21"/>
    </row>
    <row r="9076" spans="13:13" x14ac:dyDescent="0.25">
      <c r="M9076" s="21"/>
    </row>
    <row r="9077" spans="13:13" x14ac:dyDescent="0.25">
      <c r="M9077" s="21"/>
    </row>
    <row r="9078" spans="13:13" x14ac:dyDescent="0.25">
      <c r="M9078" s="21"/>
    </row>
    <row r="9079" spans="13:13" x14ac:dyDescent="0.25">
      <c r="M9079" s="21"/>
    </row>
    <row r="9080" spans="13:13" x14ac:dyDescent="0.25">
      <c r="M9080" s="21"/>
    </row>
    <row r="9081" spans="13:13" x14ac:dyDescent="0.25">
      <c r="M9081" s="21"/>
    </row>
    <row r="9082" spans="13:13" x14ac:dyDescent="0.25">
      <c r="M9082" s="21"/>
    </row>
    <row r="9083" spans="13:13" x14ac:dyDescent="0.25">
      <c r="M9083" s="21"/>
    </row>
    <row r="9084" spans="13:13" x14ac:dyDescent="0.25">
      <c r="M9084" s="21"/>
    </row>
    <row r="9085" spans="13:13" x14ac:dyDescent="0.25">
      <c r="M9085" s="21"/>
    </row>
    <row r="9086" spans="13:13" x14ac:dyDescent="0.25">
      <c r="M9086" s="21"/>
    </row>
    <row r="9087" spans="13:13" x14ac:dyDescent="0.25">
      <c r="M9087" s="21"/>
    </row>
    <row r="9088" spans="13:13" x14ac:dyDescent="0.25">
      <c r="M9088" s="21"/>
    </row>
    <row r="9089" spans="13:13" x14ac:dyDescent="0.25">
      <c r="M9089" s="21"/>
    </row>
    <row r="9090" spans="13:13" x14ac:dyDescent="0.25">
      <c r="M9090" s="21"/>
    </row>
    <row r="9091" spans="13:13" x14ac:dyDescent="0.25">
      <c r="M9091" s="21"/>
    </row>
    <row r="9092" spans="13:13" x14ac:dyDescent="0.25">
      <c r="M9092" s="21"/>
    </row>
    <row r="9093" spans="13:13" x14ac:dyDescent="0.25">
      <c r="M9093" s="21"/>
    </row>
    <row r="9094" spans="13:13" x14ac:dyDescent="0.25">
      <c r="M9094" s="21"/>
    </row>
    <row r="9095" spans="13:13" x14ac:dyDescent="0.25">
      <c r="M9095" s="21"/>
    </row>
    <row r="9096" spans="13:13" x14ac:dyDescent="0.25">
      <c r="M9096" s="21"/>
    </row>
    <row r="9097" spans="13:13" x14ac:dyDescent="0.25">
      <c r="M9097" s="21"/>
    </row>
    <row r="9098" spans="13:13" x14ac:dyDescent="0.25">
      <c r="M9098" s="21"/>
    </row>
    <row r="9099" spans="13:13" x14ac:dyDescent="0.25">
      <c r="M9099" s="21"/>
    </row>
    <row r="9100" spans="13:13" x14ac:dyDescent="0.25">
      <c r="M9100" s="21"/>
    </row>
    <row r="9101" spans="13:13" x14ac:dyDescent="0.25">
      <c r="M9101" s="21"/>
    </row>
    <row r="9102" spans="13:13" x14ac:dyDescent="0.25">
      <c r="M9102" s="21"/>
    </row>
    <row r="9103" spans="13:13" x14ac:dyDescent="0.25">
      <c r="M9103" s="21"/>
    </row>
    <row r="9104" spans="13:13" x14ac:dyDescent="0.25">
      <c r="M9104" s="21"/>
    </row>
    <row r="9105" spans="13:13" x14ac:dyDescent="0.25">
      <c r="M9105" s="21"/>
    </row>
    <row r="9106" spans="13:13" x14ac:dyDescent="0.25">
      <c r="M9106" s="21"/>
    </row>
    <row r="9107" spans="13:13" x14ac:dyDescent="0.25">
      <c r="M9107" s="21"/>
    </row>
    <row r="9108" spans="13:13" x14ac:dyDescent="0.25">
      <c r="M9108" s="21"/>
    </row>
    <row r="9109" spans="13:13" x14ac:dyDescent="0.25">
      <c r="M9109" s="21"/>
    </row>
    <row r="9110" spans="13:13" x14ac:dyDescent="0.25">
      <c r="M9110" s="21"/>
    </row>
    <row r="9111" spans="13:13" x14ac:dyDescent="0.25">
      <c r="M9111" s="21"/>
    </row>
    <row r="9112" spans="13:13" x14ac:dyDescent="0.25">
      <c r="M9112" s="21"/>
    </row>
    <row r="9113" spans="13:13" x14ac:dyDescent="0.25">
      <c r="M9113" s="21"/>
    </row>
    <row r="9114" spans="13:13" x14ac:dyDescent="0.25">
      <c r="M9114" s="21"/>
    </row>
    <row r="9115" spans="13:13" x14ac:dyDescent="0.25">
      <c r="M9115" s="21"/>
    </row>
    <row r="9116" spans="13:13" x14ac:dyDescent="0.25">
      <c r="M9116" s="21"/>
    </row>
    <row r="9117" spans="13:13" x14ac:dyDescent="0.25">
      <c r="M9117" s="21"/>
    </row>
    <row r="9118" spans="13:13" x14ac:dyDescent="0.25">
      <c r="M9118" s="21"/>
    </row>
    <row r="9119" spans="13:13" x14ac:dyDescent="0.25">
      <c r="M9119" s="21"/>
    </row>
    <row r="9120" spans="13:13" x14ac:dyDescent="0.25">
      <c r="M9120" s="21"/>
    </row>
    <row r="9121" spans="13:13" x14ac:dyDescent="0.25">
      <c r="M9121" s="21"/>
    </row>
    <row r="9122" spans="13:13" x14ac:dyDescent="0.25">
      <c r="M9122" s="21"/>
    </row>
    <row r="9123" spans="13:13" x14ac:dyDescent="0.25">
      <c r="M9123" s="21"/>
    </row>
    <row r="9124" spans="13:13" x14ac:dyDescent="0.25">
      <c r="M9124" s="21"/>
    </row>
    <row r="9125" spans="13:13" x14ac:dyDescent="0.25">
      <c r="M9125" s="21"/>
    </row>
    <row r="9126" spans="13:13" x14ac:dyDescent="0.25">
      <c r="M9126" s="21"/>
    </row>
    <row r="9127" spans="13:13" x14ac:dyDescent="0.25">
      <c r="M9127" s="21"/>
    </row>
    <row r="9128" spans="13:13" x14ac:dyDescent="0.25">
      <c r="M9128" s="21"/>
    </row>
    <row r="9129" spans="13:13" x14ac:dyDescent="0.25">
      <c r="M9129" s="21"/>
    </row>
    <row r="9130" spans="13:13" x14ac:dyDescent="0.25">
      <c r="M9130" s="21"/>
    </row>
    <row r="9131" spans="13:13" x14ac:dyDescent="0.25">
      <c r="M9131" s="21"/>
    </row>
    <row r="9132" spans="13:13" x14ac:dyDescent="0.25">
      <c r="M9132" s="21"/>
    </row>
    <row r="9133" spans="13:13" x14ac:dyDescent="0.25">
      <c r="M9133" s="21"/>
    </row>
    <row r="9134" spans="13:13" x14ac:dyDescent="0.25">
      <c r="M9134" s="21"/>
    </row>
    <row r="9135" spans="13:13" x14ac:dyDescent="0.25">
      <c r="M9135" s="21"/>
    </row>
    <row r="9136" spans="13:13" x14ac:dyDescent="0.25">
      <c r="M9136" s="21"/>
    </row>
    <row r="9137" spans="13:13" x14ac:dyDescent="0.25">
      <c r="M9137" s="21"/>
    </row>
    <row r="9138" spans="13:13" x14ac:dyDescent="0.25">
      <c r="M9138" s="21"/>
    </row>
    <row r="9139" spans="13:13" x14ac:dyDescent="0.25">
      <c r="M9139" s="21"/>
    </row>
    <row r="9140" spans="13:13" x14ac:dyDescent="0.25">
      <c r="M9140" s="21"/>
    </row>
    <row r="9141" spans="13:13" x14ac:dyDescent="0.25">
      <c r="M9141" s="21"/>
    </row>
    <row r="9142" spans="13:13" x14ac:dyDescent="0.25">
      <c r="M9142" s="21"/>
    </row>
    <row r="9143" spans="13:13" x14ac:dyDescent="0.25">
      <c r="M9143" s="21"/>
    </row>
    <row r="9144" spans="13:13" x14ac:dyDescent="0.25">
      <c r="M9144" s="21"/>
    </row>
    <row r="9145" spans="13:13" x14ac:dyDescent="0.25">
      <c r="M9145" s="21"/>
    </row>
    <row r="9146" spans="13:13" x14ac:dyDescent="0.25">
      <c r="M9146" s="21"/>
    </row>
    <row r="9147" spans="13:13" x14ac:dyDescent="0.25">
      <c r="M9147" s="21"/>
    </row>
    <row r="9148" spans="13:13" x14ac:dyDescent="0.25">
      <c r="M9148" s="21"/>
    </row>
    <row r="9149" spans="13:13" x14ac:dyDescent="0.25">
      <c r="M9149" s="21"/>
    </row>
    <row r="9150" spans="13:13" x14ac:dyDescent="0.25">
      <c r="M9150" s="21"/>
    </row>
    <row r="9151" spans="13:13" x14ac:dyDescent="0.25">
      <c r="M9151" s="21"/>
    </row>
    <row r="9152" spans="13:13" x14ac:dyDescent="0.25">
      <c r="M9152" s="21"/>
    </row>
    <row r="9153" spans="13:13" x14ac:dyDescent="0.25">
      <c r="M9153" s="21"/>
    </row>
    <row r="9154" spans="13:13" x14ac:dyDescent="0.25">
      <c r="M9154" s="21"/>
    </row>
    <row r="9155" spans="13:13" x14ac:dyDescent="0.25">
      <c r="M9155" s="21"/>
    </row>
    <row r="9156" spans="13:13" x14ac:dyDescent="0.25">
      <c r="M9156" s="21"/>
    </row>
    <row r="9157" spans="13:13" x14ac:dyDescent="0.25">
      <c r="M9157" s="21"/>
    </row>
    <row r="9158" spans="13:13" x14ac:dyDescent="0.25">
      <c r="M9158" s="21"/>
    </row>
    <row r="9159" spans="13:13" x14ac:dyDescent="0.25">
      <c r="M9159" s="21"/>
    </row>
    <row r="9160" spans="13:13" x14ac:dyDescent="0.25">
      <c r="M9160" s="21"/>
    </row>
    <row r="9161" spans="13:13" x14ac:dyDescent="0.25">
      <c r="M9161" s="21"/>
    </row>
    <row r="9162" spans="13:13" x14ac:dyDescent="0.25">
      <c r="M9162" s="21"/>
    </row>
    <row r="9163" spans="13:13" x14ac:dyDescent="0.25">
      <c r="M9163" s="21"/>
    </row>
    <row r="9164" spans="13:13" x14ac:dyDescent="0.25">
      <c r="M9164" s="21"/>
    </row>
    <row r="9165" spans="13:13" x14ac:dyDescent="0.25">
      <c r="M9165" s="21"/>
    </row>
    <row r="9166" spans="13:13" x14ac:dyDescent="0.25">
      <c r="M9166" s="21"/>
    </row>
    <row r="9167" spans="13:13" x14ac:dyDescent="0.25">
      <c r="M9167" s="21"/>
    </row>
    <row r="9168" spans="13:13" x14ac:dyDescent="0.25">
      <c r="M9168" s="21"/>
    </row>
    <row r="9169" spans="13:13" x14ac:dyDescent="0.25">
      <c r="M9169" s="21"/>
    </row>
    <row r="9170" spans="13:13" x14ac:dyDescent="0.25">
      <c r="M9170" s="21"/>
    </row>
    <row r="9171" spans="13:13" x14ac:dyDescent="0.25">
      <c r="M9171" s="21"/>
    </row>
    <row r="9172" spans="13:13" x14ac:dyDescent="0.25">
      <c r="M9172" s="21"/>
    </row>
    <row r="9173" spans="13:13" x14ac:dyDescent="0.25">
      <c r="M9173" s="21"/>
    </row>
    <row r="9174" spans="13:13" x14ac:dyDescent="0.25">
      <c r="M9174" s="21"/>
    </row>
    <row r="9175" spans="13:13" x14ac:dyDescent="0.25">
      <c r="M9175" s="21"/>
    </row>
    <row r="9176" spans="13:13" x14ac:dyDescent="0.25">
      <c r="M9176" s="21"/>
    </row>
    <row r="9177" spans="13:13" x14ac:dyDescent="0.25">
      <c r="M9177" s="21"/>
    </row>
    <row r="9178" spans="13:13" x14ac:dyDescent="0.25">
      <c r="M9178" s="21"/>
    </row>
    <row r="9179" spans="13:13" x14ac:dyDescent="0.25">
      <c r="M9179" s="21"/>
    </row>
    <row r="9180" spans="13:13" x14ac:dyDescent="0.25">
      <c r="M9180" s="21"/>
    </row>
    <row r="9181" spans="13:13" x14ac:dyDescent="0.25">
      <c r="M9181" s="21"/>
    </row>
    <row r="9182" spans="13:13" x14ac:dyDescent="0.25">
      <c r="M9182" s="21"/>
    </row>
    <row r="9183" spans="13:13" x14ac:dyDescent="0.25">
      <c r="M9183" s="21"/>
    </row>
    <row r="9184" spans="13:13" x14ac:dyDescent="0.25">
      <c r="M9184" s="21"/>
    </row>
    <row r="9185" spans="13:13" x14ac:dyDescent="0.25">
      <c r="M9185" s="21"/>
    </row>
    <row r="9186" spans="13:13" x14ac:dyDescent="0.25">
      <c r="M9186" s="21"/>
    </row>
    <row r="9187" spans="13:13" x14ac:dyDescent="0.25">
      <c r="M9187" s="21"/>
    </row>
    <row r="9188" spans="13:13" x14ac:dyDescent="0.25">
      <c r="M9188" s="21"/>
    </row>
    <row r="9189" spans="13:13" x14ac:dyDescent="0.25">
      <c r="M9189" s="21"/>
    </row>
    <row r="9190" spans="13:13" x14ac:dyDescent="0.25">
      <c r="M9190" s="21"/>
    </row>
    <row r="9191" spans="13:13" x14ac:dyDescent="0.25">
      <c r="M9191" s="21"/>
    </row>
    <row r="9192" spans="13:13" x14ac:dyDescent="0.25">
      <c r="M9192" s="21"/>
    </row>
    <row r="9193" spans="13:13" x14ac:dyDescent="0.25">
      <c r="M9193" s="21"/>
    </row>
    <row r="9194" spans="13:13" x14ac:dyDescent="0.25">
      <c r="M9194" s="21"/>
    </row>
    <row r="9195" spans="13:13" x14ac:dyDescent="0.25">
      <c r="M9195" s="21"/>
    </row>
    <row r="9196" spans="13:13" x14ac:dyDescent="0.25">
      <c r="M9196" s="21"/>
    </row>
    <row r="9197" spans="13:13" x14ac:dyDescent="0.25">
      <c r="M9197" s="21"/>
    </row>
    <row r="9198" spans="13:13" x14ac:dyDescent="0.25">
      <c r="M9198" s="21"/>
    </row>
    <row r="9199" spans="13:13" x14ac:dyDescent="0.25">
      <c r="M9199" s="21"/>
    </row>
    <row r="9200" spans="13:13" x14ac:dyDescent="0.25">
      <c r="M9200" s="21"/>
    </row>
    <row r="9201" spans="13:13" x14ac:dyDescent="0.25">
      <c r="M9201" s="21"/>
    </row>
    <row r="9202" spans="13:13" x14ac:dyDescent="0.25">
      <c r="M9202" s="21"/>
    </row>
    <row r="9203" spans="13:13" x14ac:dyDescent="0.25">
      <c r="M9203" s="21"/>
    </row>
    <row r="9204" spans="13:13" x14ac:dyDescent="0.25">
      <c r="M9204" s="21"/>
    </row>
    <row r="9205" spans="13:13" x14ac:dyDescent="0.25">
      <c r="M9205" s="21"/>
    </row>
    <row r="9206" spans="13:13" x14ac:dyDescent="0.25">
      <c r="M9206" s="21"/>
    </row>
    <row r="9207" spans="13:13" x14ac:dyDescent="0.25">
      <c r="M9207" s="21"/>
    </row>
    <row r="9208" spans="13:13" x14ac:dyDescent="0.25">
      <c r="M9208" s="21"/>
    </row>
    <row r="9209" spans="13:13" x14ac:dyDescent="0.25">
      <c r="M9209" s="21"/>
    </row>
    <row r="9210" spans="13:13" x14ac:dyDescent="0.25">
      <c r="M9210" s="21"/>
    </row>
    <row r="9211" spans="13:13" x14ac:dyDescent="0.25">
      <c r="M9211" s="21"/>
    </row>
    <row r="9212" spans="13:13" x14ac:dyDescent="0.25">
      <c r="M9212" s="21"/>
    </row>
    <row r="9213" spans="13:13" x14ac:dyDescent="0.25">
      <c r="M9213" s="21"/>
    </row>
    <row r="9214" spans="13:13" x14ac:dyDescent="0.25">
      <c r="M9214" s="21"/>
    </row>
    <row r="9215" spans="13:13" x14ac:dyDescent="0.25">
      <c r="M9215" s="21"/>
    </row>
    <row r="9216" spans="13:13" x14ac:dyDescent="0.25">
      <c r="M9216" s="21"/>
    </row>
    <row r="9217" spans="13:13" x14ac:dyDescent="0.25">
      <c r="M9217" s="21"/>
    </row>
    <row r="9218" spans="13:13" x14ac:dyDescent="0.25">
      <c r="M9218" s="21"/>
    </row>
    <row r="9219" spans="13:13" x14ac:dyDescent="0.25">
      <c r="M9219" s="21"/>
    </row>
    <row r="9220" spans="13:13" x14ac:dyDescent="0.25">
      <c r="M9220" s="21"/>
    </row>
    <row r="9221" spans="13:13" x14ac:dyDescent="0.25">
      <c r="M9221" s="21"/>
    </row>
    <row r="9222" spans="13:13" x14ac:dyDescent="0.25">
      <c r="M9222" s="21"/>
    </row>
    <row r="9223" spans="13:13" x14ac:dyDescent="0.25">
      <c r="M9223" s="21"/>
    </row>
    <row r="9224" spans="13:13" x14ac:dyDescent="0.25">
      <c r="M9224" s="21"/>
    </row>
    <row r="9225" spans="13:13" x14ac:dyDescent="0.25">
      <c r="M9225" s="21"/>
    </row>
    <row r="9226" spans="13:13" x14ac:dyDescent="0.25">
      <c r="M9226" s="21"/>
    </row>
    <row r="9227" spans="13:13" x14ac:dyDescent="0.25">
      <c r="M9227" s="21"/>
    </row>
    <row r="9228" spans="13:13" x14ac:dyDescent="0.25">
      <c r="M9228" s="21"/>
    </row>
    <row r="9229" spans="13:13" x14ac:dyDescent="0.25">
      <c r="M9229" s="21"/>
    </row>
    <row r="9230" spans="13:13" x14ac:dyDescent="0.25">
      <c r="M9230" s="21"/>
    </row>
    <row r="9231" spans="13:13" x14ac:dyDescent="0.25">
      <c r="M9231" s="21"/>
    </row>
    <row r="9232" spans="13:13" x14ac:dyDescent="0.25">
      <c r="M9232" s="21"/>
    </row>
    <row r="9233" spans="13:13" x14ac:dyDescent="0.25">
      <c r="M9233" s="21"/>
    </row>
    <row r="9234" spans="13:13" x14ac:dyDescent="0.25">
      <c r="M9234" s="21"/>
    </row>
    <row r="9235" spans="13:13" x14ac:dyDescent="0.25">
      <c r="M9235" s="21"/>
    </row>
    <row r="9236" spans="13:13" x14ac:dyDescent="0.25">
      <c r="M9236" s="21"/>
    </row>
    <row r="9237" spans="13:13" x14ac:dyDescent="0.25">
      <c r="M9237" s="21"/>
    </row>
    <row r="9238" spans="13:13" x14ac:dyDescent="0.25">
      <c r="M9238" s="21"/>
    </row>
    <row r="9239" spans="13:13" x14ac:dyDescent="0.25">
      <c r="M9239" s="21"/>
    </row>
    <row r="9240" spans="13:13" x14ac:dyDescent="0.25">
      <c r="M9240" s="21"/>
    </row>
    <row r="9241" spans="13:13" x14ac:dyDescent="0.25">
      <c r="M9241" s="21"/>
    </row>
    <row r="9242" spans="13:13" x14ac:dyDescent="0.25">
      <c r="M9242" s="21"/>
    </row>
    <row r="9243" spans="13:13" x14ac:dyDescent="0.25">
      <c r="M9243" s="21"/>
    </row>
    <row r="9244" spans="13:13" x14ac:dyDescent="0.25">
      <c r="M9244" s="21"/>
    </row>
    <row r="9245" spans="13:13" x14ac:dyDescent="0.25">
      <c r="M9245" s="21"/>
    </row>
    <row r="9246" spans="13:13" x14ac:dyDescent="0.25">
      <c r="M9246" s="21"/>
    </row>
    <row r="9247" spans="13:13" x14ac:dyDescent="0.25">
      <c r="M9247" s="21"/>
    </row>
    <row r="9248" spans="13:13" x14ac:dyDescent="0.25">
      <c r="M9248" s="21"/>
    </row>
    <row r="9249" spans="13:13" x14ac:dyDescent="0.25">
      <c r="M9249" s="21"/>
    </row>
    <row r="9250" spans="13:13" x14ac:dyDescent="0.25">
      <c r="M9250" s="21"/>
    </row>
    <row r="9251" spans="13:13" x14ac:dyDescent="0.25">
      <c r="M9251" s="21"/>
    </row>
    <row r="9252" spans="13:13" x14ac:dyDescent="0.25">
      <c r="M9252" s="21"/>
    </row>
    <row r="9253" spans="13:13" x14ac:dyDescent="0.25">
      <c r="M9253" s="21"/>
    </row>
    <row r="9254" spans="13:13" x14ac:dyDescent="0.25">
      <c r="M9254" s="21"/>
    </row>
    <row r="9255" spans="13:13" x14ac:dyDescent="0.25">
      <c r="M9255" s="21"/>
    </row>
    <row r="9256" spans="13:13" x14ac:dyDescent="0.25">
      <c r="M9256" s="21"/>
    </row>
    <row r="9257" spans="13:13" x14ac:dyDescent="0.25">
      <c r="M9257" s="21"/>
    </row>
    <row r="9258" spans="13:13" x14ac:dyDescent="0.25">
      <c r="M9258" s="21"/>
    </row>
    <row r="9259" spans="13:13" x14ac:dyDescent="0.25">
      <c r="M9259" s="21"/>
    </row>
    <row r="9260" spans="13:13" x14ac:dyDescent="0.25">
      <c r="M9260" s="21"/>
    </row>
    <row r="9261" spans="13:13" x14ac:dyDescent="0.25">
      <c r="M9261" s="21"/>
    </row>
    <row r="9262" spans="13:13" x14ac:dyDescent="0.25">
      <c r="M9262" s="21"/>
    </row>
    <row r="9263" spans="13:13" x14ac:dyDescent="0.25">
      <c r="M9263" s="21"/>
    </row>
    <row r="9264" spans="13:13" x14ac:dyDescent="0.25">
      <c r="M9264" s="21"/>
    </row>
    <row r="9265" spans="13:13" x14ac:dyDescent="0.25">
      <c r="M9265" s="21"/>
    </row>
    <row r="9266" spans="13:13" x14ac:dyDescent="0.25">
      <c r="M9266" s="21"/>
    </row>
    <row r="9267" spans="13:13" x14ac:dyDescent="0.25">
      <c r="M9267" s="21"/>
    </row>
    <row r="9268" spans="13:13" x14ac:dyDescent="0.25">
      <c r="M9268" s="21"/>
    </row>
    <row r="9269" spans="13:13" x14ac:dyDescent="0.25">
      <c r="M9269" s="21"/>
    </row>
    <row r="9270" spans="13:13" x14ac:dyDescent="0.25">
      <c r="M9270" s="21"/>
    </row>
    <row r="9271" spans="13:13" x14ac:dyDescent="0.25">
      <c r="M9271" s="21"/>
    </row>
    <row r="9272" spans="13:13" x14ac:dyDescent="0.25">
      <c r="M9272" s="21"/>
    </row>
    <row r="9273" spans="13:13" x14ac:dyDescent="0.25">
      <c r="M9273" s="21"/>
    </row>
    <row r="9274" spans="13:13" x14ac:dyDescent="0.25">
      <c r="M9274" s="21"/>
    </row>
    <row r="9275" spans="13:13" x14ac:dyDescent="0.25">
      <c r="M9275" s="21"/>
    </row>
    <row r="9276" spans="13:13" x14ac:dyDescent="0.25">
      <c r="M9276" s="21"/>
    </row>
    <row r="9277" spans="13:13" x14ac:dyDescent="0.25">
      <c r="M9277" s="21"/>
    </row>
    <row r="9278" spans="13:13" x14ac:dyDescent="0.25">
      <c r="M9278" s="21"/>
    </row>
    <row r="9279" spans="13:13" x14ac:dyDescent="0.25">
      <c r="M9279" s="21"/>
    </row>
    <row r="9280" spans="13:13" x14ac:dyDescent="0.25">
      <c r="M9280" s="21"/>
    </row>
    <row r="9281" spans="13:13" x14ac:dyDescent="0.25">
      <c r="M9281" s="21"/>
    </row>
    <row r="9282" spans="13:13" x14ac:dyDescent="0.25">
      <c r="M9282" s="21"/>
    </row>
    <row r="9283" spans="13:13" x14ac:dyDescent="0.25">
      <c r="M9283" s="21"/>
    </row>
    <row r="9284" spans="13:13" x14ac:dyDescent="0.25">
      <c r="M9284" s="21"/>
    </row>
    <row r="9285" spans="13:13" x14ac:dyDescent="0.25">
      <c r="M9285" s="21"/>
    </row>
    <row r="9286" spans="13:13" x14ac:dyDescent="0.25">
      <c r="M9286" s="21"/>
    </row>
    <row r="9287" spans="13:13" x14ac:dyDescent="0.25">
      <c r="M9287" s="21"/>
    </row>
    <row r="9288" spans="13:13" x14ac:dyDescent="0.25">
      <c r="M9288" s="21"/>
    </row>
    <row r="9289" spans="13:13" x14ac:dyDescent="0.25">
      <c r="M9289" s="21"/>
    </row>
    <row r="9290" spans="13:13" x14ac:dyDescent="0.25">
      <c r="M9290" s="21"/>
    </row>
    <row r="9291" spans="13:13" x14ac:dyDescent="0.25">
      <c r="M9291" s="21"/>
    </row>
    <row r="9292" spans="13:13" x14ac:dyDescent="0.25">
      <c r="M9292" s="21"/>
    </row>
    <row r="9293" spans="13:13" x14ac:dyDescent="0.25">
      <c r="M9293" s="21"/>
    </row>
    <row r="9294" spans="13:13" x14ac:dyDescent="0.25">
      <c r="M9294" s="21"/>
    </row>
    <row r="9295" spans="13:13" x14ac:dyDescent="0.25">
      <c r="M9295" s="21"/>
    </row>
    <row r="9296" spans="13:13" x14ac:dyDescent="0.25">
      <c r="M9296" s="21"/>
    </row>
    <row r="9297" spans="13:13" x14ac:dyDescent="0.25">
      <c r="M9297" s="21"/>
    </row>
    <row r="9298" spans="13:13" x14ac:dyDescent="0.25">
      <c r="M9298" s="21"/>
    </row>
    <row r="9299" spans="13:13" x14ac:dyDescent="0.25">
      <c r="M9299" s="21"/>
    </row>
    <row r="9300" spans="13:13" x14ac:dyDescent="0.25">
      <c r="M9300" s="21"/>
    </row>
    <row r="9301" spans="13:13" x14ac:dyDescent="0.25">
      <c r="M9301" s="21"/>
    </row>
    <row r="9302" spans="13:13" x14ac:dyDescent="0.25">
      <c r="M9302" s="21"/>
    </row>
    <row r="9303" spans="13:13" x14ac:dyDescent="0.25">
      <c r="M9303" s="21"/>
    </row>
    <row r="9304" spans="13:13" x14ac:dyDescent="0.25">
      <c r="M9304" s="21"/>
    </row>
    <row r="9305" spans="13:13" x14ac:dyDescent="0.25">
      <c r="M9305" s="21"/>
    </row>
    <row r="9306" spans="13:13" x14ac:dyDescent="0.25">
      <c r="M9306" s="21"/>
    </row>
    <row r="9307" spans="13:13" x14ac:dyDescent="0.25">
      <c r="M9307" s="21"/>
    </row>
    <row r="9308" spans="13:13" x14ac:dyDescent="0.25">
      <c r="M9308" s="21"/>
    </row>
    <row r="9309" spans="13:13" x14ac:dyDescent="0.25">
      <c r="M9309" s="21"/>
    </row>
    <row r="9310" spans="13:13" x14ac:dyDescent="0.25">
      <c r="M9310" s="21"/>
    </row>
    <row r="9311" spans="13:13" x14ac:dyDescent="0.25">
      <c r="M9311" s="21"/>
    </row>
    <row r="9312" spans="13:13" x14ac:dyDescent="0.25">
      <c r="M9312" s="21"/>
    </row>
    <row r="9313" spans="13:13" x14ac:dyDescent="0.25">
      <c r="M9313" s="21"/>
    </row>
    <row r="9314" spans="13:13" x14ac:dyDescent="0.25">
      <c r="M9314" s="21"/>
    </row>
    <row r="9315" spans="13:13" x14ac:dyDescent="0.25">
      <c r="M9315" s="21"/>
    </row>
    <row r="9316" spans="13:13" x14ac:dyDescent="0.25">
      <c r="M9316" s="21"/>
    </row>
    <row r="9317" spans="13:13" x14ac:dyDescent="0.25">
      <c r="M9317" s="21"/>
    </row>
    <row r="9318" spans="13:13" x14ac:dyDescent="0.25">
      <c r="M9318" s="21"/>
    </row>
    <row r="9319" spans="13:13" x14ac:dyDescent="0.25">
      <c r="M9319" s="21"/>
    </row>
    <row r="9320" spans="13:13" x14ac:dyDescent="0.25">
      <c r="M9320" s="21"/>
    </row>
    <row r="9321" spans="13:13" x14ac:dyDescent="0.25">
      <c r="M9321" s="21"/>
    </row>
    <row r="9322" spans="13:13" x14ac:dyDescent="0.25">
      <c r="M9322" s="21"/>
    </row>
    <row r="9323" spans="13:13" x14ac:dyDescent="0.25">
      <c r="M9323" s="21"/>
    </row>
    <row r="9324" spans="13:13" x14ac:dyDescent="0.25">
      <c r="M9324" s="21"/>
    </row>
    <row r="9325" spans="13:13" x14ac:dyDescent="0.25">
      <c r="M9325" s="21"/>
    </row>
    <row r="9326" spans="13:13" x14ac:dyDescent="0.25">
      <c r="M9326" s="21"/>
    </row>
    <row r="9327" spans="13:13" x14ac:dyDescent="0.25">
      <c r="M9327" s="21"/>
    </row>
    <row r="9328" spans="13:13" x14ac:dyDescent="0.25">
      <c r="M9328" s="21"/>
    </row>
    <row r="9329" spans="13:13" x14ac:dyDescent="0.25">
      <c r="M9329" s="21"/>
    </row>
    <row r="9330" spans="13:13" x14ac:dyDescent="0.25">
      <c r="M9330" s="21"/>
    </row>
    <row r="9331" spans="13:13" x14ac:dyDescent="0.25">
      <c r="M9331" s="21"/>
    </row>
    <row r="9332" spans="13:13" x14ac:dyDescent="0.25">
      <c r="M9332" s="21"/>
    </row>
    <row r="9333" spans="13:13" x14ac:dyDescent="0.25">
      <c r="M9333" s="21"/>
    </row>
    <row r="9334" spans="13:13" x14ac:dyDescent="0.25">
      <c r="M9334" s="21"/>
    </row>
    <row r="9335" spans="13:13" x14ac:dyDescent="0.25">
      <c r="M9335" s="21"/>
    </row>
    <row r="9336" spans="13:13" x14ac:dyDescent="0.25">
      <c r="M9336" s="21"/>
    </row>
    <row r="9337" spans="13:13" x14ac:dyDescent="0.25">
      <c r="M9337" s="21"/>
    </row>
    <row r="9338" spans="13:13" x14ac:dyDescent="0.25">
      <c r="M9338" s="21"/>
    </row>
    <row r="9339" spans="13:13" x14ac:dyDescent="0.25">
      <c r="M9339" s="21"/>
    </row>
    <row r="9340" spans="13:13" x14ac:dyDescent="0.25">
      <c r="M9340" s="21"/>
    </row>
    <row r="9341" spans="13:13" x14ac:dyDescent="0.25">
      <c r="M9341" s="21"/>
    </row>
    <row r="9342" spans="13:13" x14ac:dyDescent="0.25">
      <c r="M9342" s="21"/>
    </row>
    <row r="9343" spans="13:13" x14ac:dyDescent="0.25">
      <c r="M9343" s="21"/>
    </row>
    <row r="9344" spans="13:13" x14ac:dyDescent="0.25">
      <c r="M9344" s="21"/>
    </row>
    <row r="9345" spans="13:13" x14ac:dyDescent="0.25">
      <c r="M9345" s="21"/>
    </row>
    <row r="9346" spans="13:13" x14ac:dyDescent="0.25">
      <c r="M9346" s="21"/>
    </row>
    <row r="9347" spans="13:13" x14ac:dyDescent="0.25">
      <c r="M9347" s="21"/>
    </row>
    <row r="9348" spans="13:13" x14ac:dyDescent="0.25">
      <c r="M9348" s="21"/>
    </row>
    <row r="9349" spans="13:13" x14ac:dyDescent="0.25">
      <c r="M9349" s="21"/>
    </row>
    <row r="9350" spans="13:13" x14ac:dyDescent="0.25">
      <c r="M9350" s="21"/>
    </row>
    <row r="9351" spans="13:13" x14ac:dyDescent="0.25">
      <c r="M9351" s="21"/>
    </row>
    <row r="9352" spans="13:13" x14ac:dyDescent="0.25">
      <c r="M9352" s="21"/>
    </row>
    <row r="9353" spans="13:13" x14ac:dyDescent="0.25">
      <c r="M9353" s="21"/>
    </row>
    <row r="9354" spans="13:13" x14ac:dyDescent="0.25">
      <c r="M9354" s="21"/>
    </row>
    <row r="9355" spans="13:13" x14ac:dyDescent="0.25">
      <c r="M9355" s="21"/>
    </row>
    <row r="9356" spans="13:13" x14ac:dyDescent="0.25">
      <c r="M9356" s="21"/>
    </row>
    <row r="9357" spans="13:13" x14ac:dyDescent="0.25">
      <c r="M9357" s="21"/>
    </row>
    <row r="9358" spans="13:13" x14ac:dyDescent="0.25">
      <c r="M9358" s="21"/>
    </row>
    <row r="9359" spans="13:13" x14ac:dyDescent="0.25">
      <c r="M9359" s="21"/>
    </row>
    <row r="9360" spans="13:13" x14ac:dyDescent="0.25">
      <c r="M9360" s="21"/>
    </row>
    <row r="9361" spans="13:13" x14ac:dyDescent="0.25">
      <c r="M9361" s="21"/>
    </row>
    <row r="9362" spans="13:13" x14ac:dyDescent="0.25">
      <c r="M9362" s="21"/>
    </row>
    <row r="9363" spans="13:13" x14ac:dyDescent="0.25">
      <c r="M9363" s="21"/>
    </row>
    <row r="9364" spans="13:13" x14ac:dyDescent="0.25">
      <c r="M9364" s="21"/>
    </row>
    <row r="9365" spans="13:13" x14ac:dyDescent="0.25">
      <c r="M9365" s="21"/>
    </row>
    <row r="9366" spans="13:13" x14ac:dyDescent="0.25">
      <c r="M9366" s="21"/>
    </row>
    <row r="9367" spans="13:13" x14ac:dyDescent="0.25">
      <c r="M9367" s="21"/>
    </row>
    <row r="9368" spans="13:13" x14ac:dyDescent="0.25">
      <c r="M9368" s="21"/>
    </row>
    <row r="9369" spans="13:13" x14ac:dyDescent="0.25">
      <c r="M9369" s="21"/>
    </row>
    <row r="9370" spans="13:13" x14ac:dyDescent="0.25">
      <c r="M9370" s="21"/>
    </row>
    <row r="9371" spans="13:13" x14ac:dyDescent="0.25">
      <c r="M9371" s="21"/>
    </row>
    <row r="9372" spans="13:13" x14ac:dyDescent="0.25">
      <c r="M9372" s="21"/>
    </row>
    <row r="9373" spans="13:13" x14ac:dyDescent="0.25">
      <c r="M9373" s="21"/>
    </row>
    <row r="9374" spans="13:13" x14ac:dyDescent="0.25">
      <c r="M9374" s="21"/>
    </row>
    <row r="9375" spans="13:13" x14ac:dyDescent="0.25">
      <c r="M9375" s="21"/>
    </row>
    <row r="9376" spans="13:13" x14ac:dyDescent="0.25">
      <c r="M9376" s="21"/>
    </row>
    <row r="9377" spans="13:13" x14ac:dyDescent="0.25">
      <c r="M9377" s="21"/>
    </row>
    <row r="9378" spans="13:13" x14ac:dyDescent="0.25">
      <c r="M9378" s="21"/>
    </row>
    <row r="9379" spans="13:13" x14ac:dyDescent="0.25">
      <c r="M9379" s="21"/>
    </row>
    <row r="9380" spans="13:13" x14ac:dyDescent="0.25">
      <c r="M9380" s="21"/>
    </row>
    <row r="9381" spans="13:13" x14ac:dyDescent="0.25">
      <c r="M9381" s="21"/>
    </row>
    <row r="9382" spans="13:13" x14ac:dyDescent="0.25">
      <c r="M9382" s="21"/>
    </row>
    <row r="9383" spans="13:13" x14ac:dyDescent="0.25">
      <c r="M9383" s="21"/>
    </row>
    <row r="9384" spans="13:13" x14ac:dyDescent="0.25">
      <c r="M9384" s="21"/>
    </row>
    <row r="9385" spans="13:13" x14ac:dyDescent="0.25">
      <c r="M9385" s="21"/>
    </row>
    <row r="9386" spans="13:13" x14ac:dyDescent="0.25">
      <c r="M9386" s="21"/>
    </row>
    <row r="9387" spans="13:13" x14ac:dyDescent="0.25">
      <c r="M9387" s="21"/>
    </row>
    <row r="9388" spans="13:13" x14ac:dyDescent="0.25">
      <c r="M9388" s="21"/>
    </row>
    <row r="9389" spans="13:13" x14ac:dyDescent="0.25">
      <c r="M9389" s="21"/>
    </row>
    <row r="9390" spans="13:13" x14ac:dyDescent="0.25">
      <c r="M9390" s="21"/>
    </row>
    <row r="9391" spans="13:13" x14ac:dyDescent="0.25">
      <c r="M9391" s="21"/>
    </row>
    <row r="9392" spans="13:13" x14ac:dyDescent="0.25">
      <c r="M9392" s="21"/>
    </row>
    <row r="9393" spans="13:13" x14ac:dyDescent="0.25">
      <c r="M9393" s="21"/>
    </row>
    <row r="9394" spans="13:13" x14ac:dyDescent="0.25">
      <c r="M9394" s="21"/>
    </row>
    <row r="9395" spans="13:13" x14ac:dyDescent="0.25">
      <c r="M9395" s="21"/>
    </row>
    <row r="9396" spans="13:13" x14ac:dyDescent="0.25">
      <c r="M9396" s="21"/>
    </row>
    <row r="9397" spans="13:13" x14ac:dyDescent="0.25">
      <c r="M9397" s="21"/>
    </row>
    <row r="9398" spans="13:13" x14ac:dyDescent="0.25">
      <c r="M9398" s="21"/>
    </row>
    <row r="9399" spans="13:13" x14ac:dyDescent="0.25">
      <c r="M9399" s="21"/>
    </row>
    <row r="9400" spans="13:13" x14ac:dyDescent="0.25">
      <c r="M9400" s="21"/>
    </row>
    <row r="9401" spans="13:13" x14ac:dyDescent="0.25">
      <c r="M9401" s="21"/>
    </row>
    <row r="9402" spans="13:13" x14ac:dyDescent="0.25">
      <c r="M9402" s="21"/>
    </row>
    <row r="9403" spans="13:13" x14ac:dyDescent="0.25">
      <c r="M9403" s="21"/>
    </row>
    <row r="9404" spans="13:13" x14ac:dyDescent="0.25">
      <c r="M9404" s="21"/>
    </row>
    <row r="9405" spans="13:13" x14ac:dyDescent="0.25">
      <c r="M9405" s="21"/>
    </row>
    <row r="9406" spans="13:13" x14ac:dyDescent="0.25">
      <c r="M9406" s="21"/>
    </row>
    <row r="9407" spans="13:13" x14ac:dyDescent="0.25">
      <c r="M9407" s="21"/>
    </row>
    <row r="9408" spans="13:13" x14ac:dyDescent="0.25">
      <c r="M9408" s="21"/>
    </row>
    <row r="9409" spans="13:13" x14ac:dyDescent="0.25">
      <c r="M9409" s="21"/>
    </row>
    <row r="9410" spans="13:13" x14ac:dyDescent="0.25">
      <c r="M9410" s="21"/>
    </row>
    <row r="9411" spans="13:13" x14ac:dyDescent="0.25">
      <c r="M9411" s="21"/>
    </row>
    <row r="9412" spans="13:13" x14ac:dyDescent="0.25">
      <c r="M9412" s="21"/>
    </row>
    <row r="9413" spans="13:13" x14ac:dyDescent="0.25">
      <c r="M9413" s="21"/>
    </row>
    <row r="9414" spans="13:13" x14ac:dyDescent="0.25">
      <c r="M9414" s="21"/>
    </row>
    <row r="9415" spans="13:13" x14ac:dyDescent="0.25">
      <c r="M9415" s="21"/>
    </row>
    <row r="9416" spans="13:13" x14ac:dyDescent="0.25">
      <c r="M9416" s="21"/>
    </row>
    <row r="9417" spans="13:13" x14ac:dyDescent="0.25">
      <c r="M9417" s="21"/>
    </row>
    <row r="9418" spans="13:13" x14ac:dyDescent="0.25">
      <c r="M9418" s="21"/>
    </row>
    <row r="9419" spans="13:13" x14ac:dyDescent="0.25">
      <c r="M9419" s="21"/>
    </row>
    <row r="9420" spans="13:13" x14ac:dyDescent="0.25">
      <c r="M9420" s="21"/>
    </row>
    <row r="9421" spans="13:13" x14ac:dyDescent="0.25">
      <c r="M9421" s="21"/>
    </row>
    <row r="9422" spans="13:13" x14ac:dyDescent="0.25">
      <c r="M9422" s="21"/>
    </row>
    <row r="9423" spans="13:13" x14ac:dyDescent="0.25">
      <c r="M9423" s="21"/>
    </row>
    <row r="9424" spans="13:13" x14ac:dyDescent="0.25">
      <c r="M9424" s="21"/>
    </row>
    <row r="9425" spans="13:13" x14ac:dyDescent="0.25">
      <c r="M9425" s="21"/>
    </row>
    <row r="9426" spans="13:13" x14ac:dyDescent="0.25">
      <c r="M9426" s="21"/>
    </row>
    <row r="9427" spans="13:13" x14ac:dyDescent="0.25">
      <c r="M9427" s="21"/>
    </row>
    <row r="9428" spans="13:13" x14ac:dyDescent="0.25">
      <c r="M9428" s="21"/>
    </row>
    <row r="9429" spans="13:13" x14ac:dyDescent="0.25">
      <c r="M9429" s="21"/>
    </row>
    <row r="9430" spans="13:13" x14ac:dyDescent="0.25">
      <c r="M9430" s="21"/>
    </row>
    <row r="9431" spans="13:13" x14ac:dyDescent="0.25">
      <c r="M9431" s="21"/>
    </row>
    <row r="9432" spans="13:13" x14ac:dyDescent="0.25">
      <c r="M9432" s="21"/>
    </row>
    <row r="9433" spans="13:13" x14ac:dyDescent="0.25">
      <c r="M9433" s="21"/>
    </row>
    <row r="9434" spans="13:13" x14ac:dyDescent="0.25">
      <c r="M9434" s="21"/>
    </row>
    <row r="9435" spans="13:13" x14ac:dyDescent="0.25">
      <c r="M9435" s="21"/>
    </row>
    <row r="9436" spans="13:13" x14ac:dyDescent="0.25">
      <c r="M9436" s="21"/>
    </row>
    <row r="9437" spans="13:13" x14ac:dyDescent="0.25">
      <c r="M9437" s="21"/>
    </row>
    <row r="9438" spans="13:13" x14ac:dyDescent="0.25">
      <c r="M9438" s="21"/>
    </row>
    <row r="9439" spans="13:13" x14ac:dyDescent="0.25">
      <c r="M9439" s="21"/>
    </row>
    <row r="9440" spans="13:13" x14ac:dyDescent="0.25">
      <c r="M9440" s="21"/>
    </row>
    <row r="9441" spans="13:13" x14ac:dyDescent="0.25">
      <c r="M9441" s="21"/>
    </row>
    <row r="9442" spans="13:13" x14ac:dyDescent="0.25">
      <c r="M9442" s="21"/>
    </row>
    <row r="9443" spans="13:13" x14ac:dyDescent="0.25">
      <c r="M9443" s="21"/>
    </row>
    <row r="9444" spans="13:13" x14ac:dyDescent="0.25">
      <c r="M9444" s="21"/>
    </row>
    <row r="9445" spans="13:13" x14ac:dyDescent="0.25">
      <c r="M9445" s="21"/>
    </row>
    <row r="9446" spans="13:13" x14ac:dyDescent="0.25">
      <c r="M9446" s="21"/>
    </row>
    <row r="9447" spans="13:13" x14ac:dyDescent="0.25">
      <c r="M9447" s="21"/>
    </row>
    <row r="9448" spans="13:13" x14ac:dyDescent="0.25">
      <c r="M9448" s="21"/>
    </row>
    <row r="9449" spans="13:13" x14ac:dyDescent="0.25">
      <c r="M9449" s="21"/>
    </row>
    <row r="9450" spans="13:13" x14ac:dyDescent="0.25">
      <c r="M9450" s="21"/>
    </row>
    <row r="9451" spans="13:13" x14ac:dyDescent="0.25">
      <c r="M9451" s="21"/>
    </row>
    <row r="9452" spans="13:13" x14ac:dyDescent="0.25">
      <c r="M9452" s="21"/>
    </row>
    <row r="9453" spans="13:13" x14ac:dyDescent="0.25">
      <c r="M9453" s="21"/>
    </row>
    <row r="9454" spans="13:13" x14ac:dyDescent="0.25">
      <c r="M9454" s="21"/>
    </row>
    <row r="9455" spans="13:13" x14ac:dyDescent="0.25">
      <c r="M9455" s="21"/>
    </row>
    <row r="9456" spans="13:13" x14ac:dyDescent="0.25">
      <c r="M9456" s="21"/>
    </row>
    <row r="9457" spans="13:13" x14ac:dyDescent="0.25">
      <c r="M9457" s="21"/>
    </row>
    <row r="9458" spans="13:13" x14ac:dyDescent="0.25">
      <c r="M9458" s="21"/>
    </row>
    <row r="9459" spans="13:13" x14ac:dyDescent="0.25">
      <c r="M9459" s="21"/>
    </row>
    <row r="9460" spans="13:13" x14ac:dyDescent="0.25">
      <c r="M9460" s="21"/>
    </row>
    <row r="9461" spans="13:13" x14ac:dyDescent="0.25">
      <c r="M9461" s="21"/>
    </row>
    <row r="9462" spans="13:13" x14ac:dyDescent="0.25">
      <c r="M9462" s="21"/>
    </row>
    <row r="9463" spans="13:13" x14ac:dyDescent="0.25">
      <c r="M9463" s="21"/>
    </row>
    <row r="9464" spans="13:13" x14ac:dyDescent="0.25">
      <c r="M9464" s="21"/>
    </row>
    <row r="9465" spans="13:13" x14ac:dyDescent="0.25">
      <c r="M9465" s="21"/>
    </row>
    <row r="9466" spans="13:13" x14ac:dyDescent="0.25">
      <c r="M9466" s="21"/>
    </row>
    <row r="9467" spans="13:13" x14ac:dyDescent="0.25">
      <c r="M9467" s="21"/>
    </row>
    <row r="9468" spans="13:13" x14ac:dyDescent="0.25">
      <c r="M9468" s="21"/>
    </row>
    <row r="9469" spans="13:13" x14ac:dyDescent="0.25">
      <c r="M9469" s="21"/>
    </row>
    <row r="9470" spans="13:13" x14ac:dyDescent="0.25">
      <c r="M9470" s="21"/>
    </row>
    <row r="9471" spans="13:13" x14ac:dyDescent="0.25">
      <c r="M9471" s="21"/>
    </row>
    <row r="9472" spans="13:13" x14ac:dyDescent="0.25">
      <c r="M9472" s="21"/>
    </row>
    <row r="9473" spans="13:13" x14ac:dyDescent="0.25">
      <c r="M9473" s="21"/>
    </row>
    <row r="9474" spans="13:13" x14ac:dyDescent="0.25">
      <c r="M9474" s="21"/>
    </row>
    <row r="9475" spans="13:13" x14ac:dyDescent="0.25">
      <c r="M9475" s="21"/>
    </row>
    <row r="9476" spans="13:13" x14ac:dyDescent="0.25">
      <c r="M9476" s="21"/>
    </row>
    <row r="9477" spans="13:13" x14ac:dyDescent="0.25">
      <c r="M9477" s="21"/>
    </row>
    <row r="9478" spans="13:13" x14ac:dyDescent="0.25">
      <c r="M9478" s="21"/>
    </row>
    <row r="9479" spans="13:13" x14ac:dyDescent="0.25">
      <c r="M9479" s="21"/>
    </row>
    <row r="9480" spans="13:13" x14ac:dyDescent="0.25">
      <c r="M9480" s="21"/>
    </row>
    <row r="9481" spans="13:13" x14ac:dyDescent="0.25">
      <c r="M9481" s="21"/>
    </row>
    <row r="9482" spans="13:13" x14ac:dyDescent="0.25">
      <c r="M9482" s="21"/>
    </row>
    <row r="9483" spans="13:13" x14ac:dyDescent="0.25">
      <c r="M9483" s="21"/>
    </row>
    <row r="9484" spans="13:13" x14ac:dyDescent="0.25">
      <c r="M9484" s="21"/>
    </row>
    <row r="9485" spans="13:13" x14ac:dyDescent="0.25">
      <c r="M9485" s="21"/>
    </row>
    <row r="9486" spans="13:13" x14ac:dyDescent="0.25">
      <c r="M9486" s="21"/>
    </row>
    <row r="9487" spans="13:13" x14ac:dyDescent="0.25">
      <c r="M9487" s="21"/>
    </row>
    <row r="9488" spans="13:13" x14ac:dyDescent="0.25">
      <c r="M9488" s="21"/>
    </row>
    <row r="9489" spans="13:13" x14ac:dyDescent="0.25">
      <c r="M9489" s="21"/>
    </row>
    <row r="9490" spans="13:13" x14ac:dyDescent="0.25">
      <c r="M9490" s="21"/>
    </row>
    <row r="9491" spans="13:13" x14ac:dyDescent="0.25">
      <c r="M9491" s="21"/>
    </row>
    <row r="9492" spans="13:13" x14ac:dyDescent="0.25">
      <c r="M9492" s="21"/>
    </row>
    <row r="9493" spans="13:13" x14ac:dyDescent="0.25">
      <c r="M9493" s="21"/>
    </row>
    <row r="9494" spans="13:13" x14ac:dyDescent="0.25">
      <c r="M9494" s="21"/>
    </row>
    <row r="9495" spans="13:13" x14ac:dyDescent="0.25">
      <c r="M9495" s="21"/>
    </row>
    <row r="9496" spans="13:13" x14ac:dyDescent="0.25">
      <c r="M9496" s="21"/>
    </row>
    <row r="9497" spans="13:13" x14ac:dyDescent="0.25">
      <c r="M9497" s="21"/>
    </row>
    <row r="9498" spans="13:13" x14ac:dyDescent="0.25">
      <c r="M9498" s="21"/>
    </row>
    <row r="9499" spans="13:13" x14ac:dyDescent="0.25">
      <c r="M9499" s="21"/>
    </row>
    <row r="9500" spans="13:13" x14ac:dyDescent="0.25">
      <c r="M9500" s="21"/>
    </row>
    <row r="9501" spans="13:13" x14ac:dyDescent="0.25">
      <c r="M9501" s="21"/>
    </row>
    <row r="9502" spans="13:13" x14ac:dyDescent="0.25">
      <c r="M9502" s="21"/>
    </row>
    <row r="9503" spans="13:13" x14ac:dyDescent="0.25">
      <c r="M9503" s="21"/>
    </row>
    <row r="9504" spans="13:13" x14ac:dyDescent="0.25">
      <c r="M9504" s="21"/>
    </row>
    <row r="9505" spans="13:13" x14ac:dyDescent="0.25">
      <c r="M9505" s="21"/>
    </row>
    <row r="9506" spans="13:13" x14ac:dyDescent="0.25">
      <c r="M9506" s="21"/>
    </row>
    <row r="9507" spans="13:13" x14ac:dyDescent="0.25">
      <c r="M9507" s="21"/>
    </row>
    <row r="9508" spans="13:13" x14ac:dyDescent="0.25">
      <c r="M9508" s="21"/>
    </row>
    <row r="9509" spans="13:13" x14ac:dyDescent="0.25">
      <c r="M9509" s="21"/>
    </row>
    <row r="9510" spans="13:13" x14ac:dyDescent="0.25">
      <c r="M9510" s="21"/>
    </row>
    <row r="9511" spans="13:13" x14ac:dyDescent="0.25">
      <c r="M9511" s="21"/>
    </row>
    <row r="9512" spans="13:13" x14ac:dyDescent="0.25">
      <c r="M9512" s="21"/>
    </row>
    <row r="9513" spans="13:13" x14ac:dyDescent="0.25">
      <c r="M9513" s="21"/>
    </row>
    <row r="9514" spans="13:13" x14ac:dyDescent="0.25">
      <c r="M9514" s="21"/>
    </row>
    <row r="9515" spans="13:13" x14ac:dyDescent="0.25">
      <c r="M9515" s="21"/>
    </row>
    <row r="9516" spans="13:13" x14ac:dyDescent="0.25">
      <c r="M9516" s="21"/>
    </row>
    <row r="9517" spans="13:13" x14ac:dyDescent="0.25">
      <c r="M9517" s="21"/>
    </row>
    <row r="9518" spans="13:13" x14ac:dyDescent="0.25">
      <c r="M9518" s="21"/>
    </row>
    <row r="9519" spans="13:13" x14ac:dyDescent="0.25">
      <c r="M9519" s="21"/>
    </row>
    <row r="9520" spans="13:13" x14ac:dyDescent="0.25">
      <c r="M9520" s="21"/>
    </row>
    <row r="9521" spans="13:13" x14ac:dyDescent="0.25">
      <c r="M9521" s="21"/>
    </row>
    <row r="9522" spans="13:13" x14ac:dyDescent="0.25">
      <c r="M9522" s="21"/>
    </row>
    <row r="9523" spans="13:13" x14ac:dyDescent="0.25">
      <c r="M9523" s="21"/>
    </row>
    <row r="9524" spans="13:13" x14ac:dyDescent="0.25">
      <c r="M9524" s="21"/>
    </row>
    <row r="9525" spans="13:13" x14ac:dyDescent="0.25">
      <c r="M9525" s="21"/>
    </row>
    <row r="9526" spans="13:13" x14ac:dyDescent="0.25">
      <c r="M9526" s="21"/>
    </row>
    <row r="9527" spans="13:13" x14ac:dyDescent="0.25">
      <c r="M9527" s="21"/>
    </row>
    <row r="9528" spans="13:13" x14ac:dyDescent="0.25">
      <c r="M9528" s="21"/>
    </row>
    <row r="9529" spans="13:13" x14ac:dyDescent="0.25">
      <c r="M9529" s="21"/>
    </row>
    <row r="9530" spans="13:13" x14ac:dyDescent="0.25">
      <c r="M9530" s="21"/>
    </row>
    <row r="9531" spans="13:13" x14ac:dyDescent="0.25">
      <c r="M9531" s="21"/>
    </row>
    <row r="9532" spans="13:13" x14ac:dyDescent="0.25">
      <c r="M9532" s="21"/>
    </row>
    <row r="9533" spans="13:13" x14ac:dyDescent="0.25">
      <c r="M9533" s="21"/>
    </row>
    <row r="9534" spans="13:13" x14ac:dyDescent="0.25">
      <c r="M9534" s="21"/>
    </row>
    <row r="9535" spans="13:13" x14ac:dyDescent="0.25">
      <c r="M9535" s="21"/>
    </row>
    <row r="9536" spans="13:13" x14ac:dyDescent="0.25">
      <c r="M9536" s="21"/>
    </row>
    <row r="9537" spans="13:13" x14ac:dyDescent="0.25">
      <c r="M9537" s="21"/>
    </row>
    <row r="9538" spans="13:13" x14ac:dyDescent="0.25">
      <c r="M9538" s="21"/>
    </row>
    <row r="9539" spans="13:13" x14ac:dyDescent="0.25">
      <c r="M9539" s="21"/>
    </row>
    <row r="9540" spans="13:13" x14ac:dyDescent="0.25">
      <c r="M9540" s="21"/>
    </row>
    <row r="9541" spans="13:13" x14ac:dyDescent="0.25">
      <c r="M9541" s="21"/>
    </row>
    <row r="9542" spans="13:13" x14ac:dyDescent="0.25">
      <c r="M9542" s="21"/>
    </row>
    <row r="9543" spans="13:13" x14ac:dyDescent="0.25">
      <c r="M9543" s="21"/>
    </row>
    <row r="9544" spans="13:13" x14ac:dyDescent="0.25">
      <c r="M9544" s="21"/>
    </row>
    <row r="9545" spans="13:13" x14ac:dyDescent="0.25">
      <c r="M9545" s="21"/>
    </row>
    <row r="9546" spans="13:13" x14ac:dyDescent="0.25">
      <c r="M9546" s="21"/>
    </row>
    <row r="9547" spans="13:13" x14ac:dyDescent="0.25">
      <c r="M9547" s="21"/>
    </row>
    <row r="9548" spans="13:13" x14ac:dyDescent="0.25">
      <c r="M9548" s="21"/>
    </row>
    <row r="9549" spans="13:13" x14ac:dyDescent="0.25">
      <c r="M9549" s="21"/>
    </row>
    <row r="9550" spans="13:13" x14ac:dyDescent="0.25">
      <c r="M9550" s="21"/>
    </row>
    <row r="9551" spans="13:13" x14ac:dyDescent="0.25">
      <c r="M9551" s="21"/>
    </row>
    <row r="9552" spans="13:13" x14ac:dyDescent="0.25">
      <c r="M9552" s="21"/>
    </row>
    <row r="9553" spans="13:13" x14ac:dyDescent="0.25">
      <c r="M9553" s="21"/>
    </row>
    <row r="9554" spans="13:13" x14ac:dyDescent="0.25">
      <c r="M9554" s="21"/>
    </row>
    <row r="9555" spans="13:13" x14ac:dyDescent="0.25">
      <c r="M9555" s="21"/>
    </row>
    <row r="9556" spans="13:13" x14ac:dyDescent="0.25">
      <c r="M9556" s="21"/>
    </row>
    <row r="9557" spans="13:13" x14ac:dyDescent="0.25">
      <c r="M9557" s="21"/>
    </row>
    <row r="9558" spans="13:13" x14ac:dyDescent="0.25">
      <c r="M9558" s="21"/>
    </row>
    <row r="9559" spans="13:13" x14ac:dyDescent="0.25">
      <c r="M9559" s="21"/>
    </row>
    <row r="9560" spans="13:13" x14ac:dyDescent="0.25">
      <c r="M9560" s="21"/>
    </row>
    <row r="9561" spans="13:13" x14ac:dyDescent="0.25">
      <c r="M9561" s="21"/>
    </row>
    <row r="9562" spans="13:13" x14ac:dyDescent="0.25">
      <c r="M9562" s="21"/>
    </row>
    <row r="9563" spans="13:13" x14ac:dyDescent="0.25">
      <c r="M9563" s="21"/>
    </row>
    <row r="9564" spans="13:13" x14ac:dyDescent="0.25">
      <c r="M9564" s="21"/>
    </row>
    <row r="9565" spans="13:13" x14ac:dyDescent="0.25">
      <c r="M9565" s="21"/>
    </row>
    <row r="9566" spans="13:13" x14ac:dyDescent="0.25">
      <c r="M9566" s="21"/>
    </row>
    <row r="9567" spans="13:13" x14ac:dyDescent="0.25">
      <c r="M9567" s="21"/>
    </row>
    <row r="9568" spans="13:13" x14ac:dyDescent="0.25">
      <c r="M9568" s="21"/>
    </row>
    <row r="9569" spans="13:13" x14ac:dyDescent="0.25">
      <c r="M9569" s="21"/>
    </row>
    <row r="9570" spans="13:13" x14ac:dyDescent="0.25">
      <c r="M9570" s="21"/>
    </row>
    <row r="9571" spans="13:13" x14ac:dyDescent="0.25">
      <c r="M9571" s="21"/>
    </row>
    <row r="9572" spans="13:13" x14ac:dyDescent="0.25">
      <c r="M9572" s="21"/>
    </row>
    <row r="9573" spans="13:13" x14ac:dyDescent="0.25">
      <c r="M9573" s="21"/>
    </row>
    <row r="9574" spans="13:13" x14ac:dyDescent="0.25">
      <c r="M9574" s="21"/>
    </row>
    <row r="9575" spans="13:13" x14ac:dyDescent="0.25">
      <c r="M9575" s="21"/>
    </row>
    <row r="9576" spans="13:13" x14ac:dyDescent="0.25">
      <c r="M9576" s="21"/>
    </row>
    <row r="9577" spans="13:13" x14ac:dyDescent="0.25">
      <c r="M9577" s="21"/>
    </row>
    <row r="9578" spans="13:13" x14ac:dyDescent="0.25">
      <c r="M9578" s="21"/>
    </row>
    <row r="9579" spans="13:13" x14ac:dyDescent="0.25">
      <c r="M9579" s="21"/>
    </row>
    <row r="9580" spans="13:13" x14ac:dyDescent="0.25">
      <c r="M9580" s="21"/>
    </row>
    <row r="9581" spans="13:13" x14ac:dyDescent="0.25">
      <c r="M9581" s="21"/>
    </row>
    <row r="9582" spans="13:13" x14ac:dyDescent="0.25">
      <c r="M9582" s="21"/>
    </row>
    <row r="9583" spans="13:13" x14ac:dyDescent="0.25">
      <c r="M9583" s="21"/>
    </row>
    <row r="9584" spans="13:13" x14ac:dyDescent="0.25">
      <c r="M9584" s="21"/>
    </row>
    <row r="9585" spans="13:13" x14ac:dyDescent="0.25">
      <c r="M9585" s="21"/>
    </row>
    <row r="9586" spans="13:13" x14ac:dyDescent="0.25">
      <c r="M9586" s="21"/>
    </row>
    <row r="9587" spans="13:13" x14ac:dyDescent="0.25">
      <c r="M9587" s="21"/>
    </row>
    <row r="9588" spans="13:13" x14ac:dyDescent="0.25">
      <c r="M9588" s="21"/>
    </row>
    <row r="9589" spans="13:13" x14ac:dyDescent="0.25">
      <c r="M9589" s="21"/>
    </row>
    <row r="9590" spans="13:13" x14ac:dyDescent="0.25">
      <c r="M9590" s="21"/>
    </row>
    <row r="9591" spans="13:13" x14ac:dyDescent="0.25">
      <c r="M9591" s="21"/>
    </row>
    <row r="9592" spans="13:13" x14ac:dyDescent="0.25">
      <c r="M9592" s="21"/>
    </row>
    <row r="9593" spans="13:13" x14ac:dyDescent="0.25">
      <c r="M9593" s="21"/>
    </row>
    <row r="9594" spans="13:13" x14ac:dyDescent="0.25">
      <c r="M9594" s="21"/>
    </row>
    <row r="9595" spans="13:13" x14ac:dyDescent="0.25">
      <c r="M9595" s="21"/>
    </row>
    <row r="9596" spans="13:13" x14ac:dyDescent="0.25">
      <c r="M9596" s="21"/>
    </row>
    <row r="9597" spans="13:13" x14ac:dyDescent="0.25">
      <c r="M9597" s="21"/>
    </row>
    <row r="9598" spans="13:13" x14ac:dyDescent="0.25">
      <c r="M9598" s="21"/>
    </row>
    <row r="9599" spans="13:13" x14ac:dyDescent="0.25">
      <c r="M9599" s="21"/>
    </row>
    <row r="9600" spans="13:13" x14ac:dyDescent="0.25">
      <c r="M9600" s="21"/>
    </row>
    <row r="9601" spans="13:13" x14ac:dyDescent="0.25">
      <c r="M9601" s="21"/>
    </row>
    <row r="9602" spans="13:13" x14ac:dyDescent="0.25">
      <c r="M9602" s="21"/>
    </row>
    <row r="9603" spans="13:13" x14ac:dyDescent="0.25">
      <c r="M9603" s="21"/>
    </row>
    <row r="9604" spans="13:13" x14ac:dyDescent="0.25">
      <c r="M9604" s="21"/>
    </row>
    <row r="9605" spans="13:13" x14ac:dyDescent="0.25">
      <c r="M9605" s="21"/>
    </row>
    <row r="9606" spans="13:13" x14ac:dyDescent="0.25">
      <c r="M9606" s="21"/>
    </row>
    <row r="9607" spans="13:13" x14ac:dyDescent="0.25">
      <c r="M9607" s="21"/>
    </row>
    <row r="9608" spans="13:13" x14ac:dyDescent="0.25">
      <c r="M9608" s="21"/>
    </row>
    <row r="9609" spans="13:13" x14ac:dyDescent="0.25">
      <c r="M9609" s="21"/>
    </row>
    <row r="9610" spans="13:13" x14ac:dyDescent="0.25">
      <c r="M9610" s="21"/>
    </row>
    <row r="9611" spans="13:13" x14ac:dyDescent="0.25">
      <c r="M9611" s="21"/>
    </row>
    <row r="9612" spans="13:13" x14ac:dyDescent="0.25">
      <c r="M9612" s="21"/>
    </row>
    <row r="9613" spans="13:13" x14ac:dyDescent="0.25">
      <c r="M9613" s="21"/>
    </row>
    <row r="9614" spans="13:13" x14ac:dyDescent="0.25">
      <c r="M9614" s="21"/>
    </row>
    <row r="9615" spans="13:13" x14ac:dyDescent="0.25">
      <c r="M9615" s="21"/>
    </row>
    <row r="9616" spans="13:13" x14ac:dyDescent="0.25">
      <c r="M9616" s="21"/>
    </row>
    <row r="9617" spans="13:13" x14ac:dyDescent="0.25">
      <c r="M9617" s="21"/>
    </row>
    <row r="9618" spans="13:13" x14ac:dyDescent="0.25">
      <c r="M9618" s="21"/>
    </row>
    <row r="9619" spans="13:13" x14ac:dyDescent="0.25">
      <c r="M9619" s="21"/>
    </row>
    <row r="9620" spans="13:13" x14ac:dyDescent="0.25">
      <c r="M9620" s="21"/>
    </row>
    <row r="9621" spans="13:13" x14ac:dyDescent="0.25">
      <c r="M9621" s="21"/>
    </row>
    <row r="9622" spans="13:13" x14ac:dyDescent="0.25">
      <c r="M9622" s="21"/>
    </row>
    <row r="9623" spans="13:13" x14ac:dyDescent="0.25">
      <c r="M9623" s="21"/>
    </row>
    <row r="9624" spans="13:13" x14ac:dyDescent="0.25">
      <c r="M9624" s="21"/>
    </row>
    <row r="9625" spans="13:13" x14ac:dyDescent="0.25">
      <c r="M9625" s="21"/>
    </row>
    <row r="9626" spans="13:13" x14ac:dyDescent="0.25">
      <c r="M9626" s="21"/>
    </row>
    <row r="9627" spans="13:13" x14ac:dyDescent="0.25">
      <c r="M9627" s="21"/>
    </row>
    <row r="9628" spans="13:13" x14ac:dyDescent="0.25">
      <c r="M9628" s="21"/>
    </row>
    <row r="9629" spans="13:13" x14ac:dyDescent="0.25">
      <c r="M9629" s="21"/>
    </row>
    <row r="9630" spans="13:13" x14ac:dyDescent="0.25">
      <c r="M9630" s="21"/>
    </row>
    <row r="9631" spans="13:13" x14ac:dyDescent="0.25">
      <c r="M9631" s="21"/>
    </row>
    <row r="9632" spans="13:13" x14ac:dyDescent="0.25">
      <c r="M9632" s="21"/>
    </row>
    <row r="9633" spans="13:13" x14ac:dyDescent="0.25">
      <c r="M9633" s="21"/>
    </row>
    <row r="9634" spans="13:13" x14ac:dyDescent="0.25">
      <c r="M9634" s="21"/>
    </row>
    <row r="9635" spans="13:13" x14ac:dyDescent="0.25">
      <c r="M9635" s="21"/>
    </row>
    <row r="9636" spans="13:13" x14ac:dyDescent="0.25">
      <c r="M9636" s="21"/>
    </row>
    <row r="9637" spans="13:13" x14ac:dyDescent="0.25">
      <c r="M9637" s="21"/>
    </row>
    <row r="9638" spans="13:13" x14ac:dyDescent="0.25">
      <c r="M9638" s="21"/>
    </row>
    <row r="9639" spans="13:13" x14ac:dyDescent="0.25">
      <c r="M9639" s="21"/>
    </row>
    <row r="9640" spans="13:13" x14ac:dyDescent="0.25">
      <c r="M9640" s="21"/>
    </row>
    <row r="9641" spans="13:13" x14ac:dyDescent="0.25">
      <c r="M9641" s="21"/>
    </row>
    <row r="9642" spans="13:13" x14ac:dyDescent="0.25">
      <c r="M9642" s="21"/>
    </row>
    <row r="9643" spans="13:13" x14ac:dyDescent="0.25">
      <c r="M9643" s="21"/>
    </row>
    <row r="9644" spans="13:13" x14ac:dyDescent="0.25">
      <c r="M9644" s="21"/>
    </row>
    <row r="9645" spans="13:13" x14ac:dyDescent="0.25">
      <c r="M9645" s="21"/>
    </row>
    <row r="9646" spans="13:13" x14ac:dyDescent="0.25">
      <c r="M9646" s="21"/>
    </row>
    <row r="9647" spans="13:13" x14ac:dyDescent="0.25">
      <c r="M9647" s="21"/>
    </row>
    <row r="9648" spans="13:13" x14ac:dyDescent="0.25">
      <c r="M9648" s="21"/>
    </row>
    <row r="9649" spans="13:13" x14ac:dyDescent="0.25">
      <c r="M9649" s="21"/>
    </row>
    <row r="9650" spans="13:13" x14ac:dyDescent="0.25">
      <c r="M9650" s="21"/>
    </row>
    <row r="9651" spans="13:13" x14ac:dyDescent="0.25">
      <c r="M9651" s="21"/>
    </row>
    <row r="9652" spans="13:13" x14ac:dyDescent="0.25">
      <c r="M9652" s="21"/>
    </row>
    <row r="9653" spans="13:13" x14ac:dyDescent="0.25">
      <c r="M9653" s="21"/>
    </row>
    <row r="9654" spans="13:13" x14ac:dyDescent="0.25">
      <c r="M9654" s="21"/>
    </row>
    <row r="9655" spans="13:13" x14ac:dyDescent="0.25">
      <c r="M9655" s="21"/>
    </row>
    <row r="9656" spans="13:13" x14ac:dyDescent="0.25">
      <c r="M9656" s="21"/>
    </row>
    <row r="9657" spans="13:13" x14ac:dyDescent="0.25">
      <c r="M9657" s="21"/>
    </row>
    <row r="9658" spans="13:13" x14ac:dyDescent="0.25">
      <c r="M9658" s="21"/>
    </row>
    <row r="9659" spans="13:13" x14ac:dyDescent="0.25">
      <c r="M9659" s="21"/>
    </row>
    <row r="9660" spans="13:13" x14ac:dyDescent="0.25">
      <c r="M9660" s="21"/>
    </row>
    <row r="9661" spans="13:13" x14ac:dyDescent="0.25">
      <c r="M9661" s="21"/>
    </row>
    <row r="9662" spans="13:13" x14ac:dyDescent="0.25">
      <c r="M9662" s="21"/>
    </row>
    <row r="9663" spans="13:13" x14ac:dyDescent="0.25">
      <c r="M9663" s="21"/>
    </row>
    <row r="9664" spans="13:13" x14ac:dyDescent="0.25">
      <c r="M9664" s="21"/>
    </row>
    <row r="9665" spans="13:13" x14ac:dyDescent="0.25">
      <c r="M9665" s="21"/>
    </row>
    <row r="9666" spans="13:13" x14ac:dyDescent="0.25">
      <c r="M9666" s="21"/>
    </row>
    <row r="9667" spans="13:13" x14ac:dyDescent="0.25">
      <c r="M9667" s="21"/>
    </row>
    <row r="9668" spans="13:13" x14ac:dyDescent="0.25">
      <c r="M9668" s="21"/>
    </row>
    <row r="9669" spans="13:13" x14ac:dyDescent="0.25">
      <c r="M9669" s="21"/>
    </row>
    <row r="9670" spans="13:13" x14ac:dyDescent="0.25">
      <c r="M9670" s="21"/>
    </row>
    <row r="9671" spans="13:13" x14ac:dyDescent="0.25">
      <c r="M9671" s="21"/>
    </row>
    <row r="9672" spans="13:13" x14ac:dyDescent="0.25">
      <c r="M9672" s="21"/>
    </row>
    <row r="9673" spans="13:13" x14ac:dyDescent="0.25">
      <c r="M9673" s="21"/>
    </row>
    <row r="9674" spans="13:13" x14ac:dyDescent="0.25">
      <c r="M9674" s="21"/>
    </row>
    <row r="9675" spans="13:13" x14ac:dyDescent="0.25">
      <c r="M9675" s="21"/>
    </row>
    <row r="9676" spans="13:13" x14ac:dyDescent="0.25">
      <c r="M9676" s="21"/>
    </row>
    <row r="9677" spans="13:13" x14ac:dyDescent="0.25">
      <c r="M9677" s="21"/>
    </row>
    <row r="9678" spans="13:13" x14ac:dyDescent="0.25">
      <c r="M9678" s="21"/>
    </row>
    <row r="9679" spans="13:13" x14ac:dyDescent="0.25">
      <c r="M9679" s="21"/>
    </row>
    <row r="9680" spans="13:13" x14ac:dyDescent="0.25">
      <c r="M9680" s="21"/>
    </row>
    <row r="9681" spans="13:13" x14ac:dyDescent="0.25">
      <c r="M9681" s="21"/>
    </row>
    <row r="9682" spans="13:13" x14ac:dyDescent="0.25">
      <c r="M9682" s="21"/>
    </row>
    <row r="9683" spans="13:13" x14ac:dyDescent="0.25">
      <c r="M9683" s="21"/>
    </row>
    <row r="9684" spans="13:13" x14ac:dyDescent="0.25">
      <c r="M9684" s="21"/>
    </row>
    <row r="9685" spans="13:13" x14ac:dyDescent="0.25">
      <c r="M9685" s="21"/>
    </row>
    <row r="9686" spans="13:13" x14ac:dyDescent="0.25">
      <c r="M9686" s="21"/>
    </row>
    <row r="9687" spans="13:13" x14ac:dyDescent="0.25">
      <c r="M9687" s="21"/>
    </row>
    <row r="9688" spans="13:13" x14ac:dyDescent="0.25">
      <c r="M9688" s="21"/>
    </row>
    <row r="9689" spans="13:13" x14ac:dyDescent="0.25">
      <c r="M9689" s="21"/>
    </row>
    <row r="9690" spans="13:13" x14ac:dyDescent="0.25">
      <c r="M9690" s="21"/>
    </row>
    <row r="9691" spans="13:13" x14ac:dyDescent="0.25">
      <c r="M9691" s="21"/>
    </row>
    <row r="9692" spans="13:13" x14ac:dyDescent="0.25">
      <c r="M9692" s="21"/>
    </row>
    <row r="9693" spans="13:13" x14ac:dyDescent="0.25">
      <c r="M9693" s="21"/>
    </row>
    <row r="9694" spans="13:13" x14ac:dyDescent="0.25">
      <c r="M9694" s="21"/>
    </row>
    <row r="9695" spans="13:13" x14ac:dyDescent="0.25">
      <c r="M9695" s="21"/>
    </row>
    <row r="9696" spans="13:13" x14ac:dyDescent="0.25">
      <c r="M9696" s="21"/>
    </row>
    <row r="9697" spans="13:13" x14ac:dyDescent="0.25">
      <c r="M9697" s="21"/>
    </row>
    <row r="9698" spans="13:13" x14ac:dyDescent="0.25">
      <c r="M9698" s="21"/>
    </row>
    <row r="9699" spans="13:13" x14ac:dyDescent="0.25">
      <c r="M9699" s="21"/>
    </row>
    <row r="9700" spans="13:13" x14ac:dyDescent="0.25">
      <c r="M9700" s="21"/>
    </row>
    <row r="9701" spans="13:13" x14ac:dyDescent="0.25">
      <c r="M9701" s="21"/>
    </row>
    <row r="9702" spans="13:13" x14ac:dyDescent="0.25">
      <c r="M9702" s="21"/>
    </row>
    <row r="9703" spans="13:13" x14ac:dyDescent="0.25">
      <c r="M9703" s="21"/>
    </row>
    <row r="9704" spans="13:13" x14ac:dyDescent="0.25">
      <c r="M9704" s="21"/>
    </row>
    <row r="9705" spans="13:13" x14ac:dyDescent="0.25">
      <c r="M9705" s="21"/>
    </row>
    <row r="9706" spans="13:13" x14ac:dyDescent="0.25">
      <c r="M9706" s="21"/>
    </row>
    <row r="9707" spans="13:13" x14ac:dyDescent="0.25">
      <c r="M9707" s="21"/>
    </row>
    <row r="9708" spans="13:13" x14ac:dyDescent="0.25">
      <c r="M9708" s="21"/>
    </row>
    <row r="9709" spans="13:13" x14ac:dyDescent="0.25">
      <c r="M9709" s="21"/>
    </row>
    <row r="9710" spans="13:13" x14ac:dyDescent="0.25">
      <c r="M9710" s="21"/>
    </row>
    <row r="9711" spans="13:13" x14ac:dyDescent="0.25">
      <c r="M9711" s="21"/>
    </row>
    <row r="9712" spans="13:13" x14ac:dyDescent="0.25">
      <c r="M9712" s="21"/>
    </row>
    <row r="9713" spans="13:13" x14ac:dyDescent="0.25">
      <c r="M9713" s="21"/>
    </row>
    <row r="9714" spans="13:13" x14ac:dyDescent="0.25">
      <c r="M9714" s="21"/>
    </row>
    <row r="9715" spans="13:13" x14ac:dyDescent="0.25">
      <c r="M9715" s="21"/>
    </row>
    <row r="9716" spans="13:13" x14ac:dyDescent="0.25">
      <c r="M9716" s="21"/>
    </row>
    <row r="9717" spans="13:13" x14ac:dyDescent="0.25">
      <c r="M9717" s="21"/>
    </row>
    <row r="9718" spans="13:13" x14ac:dyDescent="0.25">
      <c r="M9718" s="21"/>
    </row>
    <row r="9719" spans="13:13" x14ac:dyDescent="0.25">
      <c r="M9719" s="21"/>
    </row>
    <row r="9720" spans="13:13" x14ac:dyDescent="0.25">
      <c r="M9720" s="21"/>
    </row>
    <row r="9721" spans="13:13" x14ac:dyDescent="0.25">
      <c r="M9721" s="21"/>
    </row>
    <row r="9722" spans="13:13" x14ac:dyDescent="0.25">
      <c r="M9722" s="21"/>
    </row>
    <row r="9723" spans="13:13" x14ac:dyDescent="0.25">
      <c r="M9723" s="21"/>
    </row>
    <row r="9724" spans="13:13" x14ac:dyDescent="0.25">
      <c r="M9724" s="21"/>
    </row>
    <row r="9725" spans="13:13" x14ac:dyDescent="0.25">
      <c r="M9725" s="21"/>
    </row>
    <row r="9726" spans="13:13" x14ac:dyDescent="0.25">
      <c r="M9726" s="21"/>
    </row>
    <row r="9727" spans="13:13" x14ac:dyDescent="0.25">
      <c r="M9727" s="21"/>
    </row>
    <row r="9728" spans="13:13" x14ac:dyDescent="0.25">
      <c r="M9728" s="21"/>
    </row>
    <row r="9729" spans="13:13" x14ac:dyDescent="0.25">
      <c r="M9729" s="21"/>
    </row>
    <row r="9730" spans="13:13" x14ac:dyDescent="0.25">
      <c r="M9730" s="21"/>
    </row>
    <row r="9731" spans="13:13" x14ac:dyDescent="0.25">
      <c r="M9731" s="21"/>
    </row>
    <row r="9732" spans="13:13" x14ac:dyDescent="0.25">
      <c r="M9732" s="21"/>
    </row>
    <row r="9733" spans="13:13" x14ac:dyDescent="0.25">
      <c r="M9733" s="21"/>
    </row>
    <row r="9734" spans="13:13" x14ac:dyDescent="0.25">
      <c r="M9734" s="21"/>
    </row>
    <row r="9735" spans="13:13" x14ac:dyDescent="0.25">
      <c r="M9735" s="21"/>
    </row>
    <row r="9736" spans="13:13" x14ac:dyDescent="0.25">
      <c r="M9736" s="21"/>
    </row>
    <row r="9737" spans="13:13" x14ac:dyDescent="0.25">
      <c r="M9737" s="21"/>
    </row>
    <row r="9738" spans="13:13" x14ac:dyDescent="0.25">
      <c r="M9738" s="21"/>
    </row>
    <row r="9739" spans="13:13" x14ac:dyDescent="0.25">
      <c r="M9739" s="21"/>
    </row>
    <row r="9740" spans="13:13" x14ac:dyDescent="0.25">
      <c r="M9740" s="21"/>
    </row>
    <row r="9741" spans="13:13" x14ac:dyDescent="0.25">
      <c r="M9741" s="21"/>
    </row>
    <row r="9742" spans="13:13" x14ac:dyDescent="0.25">
      <c r="M9742" s="21"/>
    </row>
    <row r="9743" spans="13:13" x14ac:dyDescent="0.25">
      <c r="M9743" s="21"/>
    </row>
    <row r="9744" spans="13:13" x14ac:dyDescent="0.25">
      <c r="M9744" s="21"/>
    </row>
    <row r="9745" spans="13:13" x14ac:dyDescent="0.25">
      <c r="M9745" s="21"/>
    </row>
    <row r="9746" spans="13:13" x14ac:dyDescent="0.25">
      <c r="M9746" s="21"/>
    </row>
    <row r="9747" spans="13:13" x14ac:dyDescent="0.25">
      <c r="M9747" s="21"/>
    </row>
    <row r="9748" spans="13:13" x14ac:dyDescent="0.25">
      <c r="M9748" s="21"/>
    </row>
    <row r="9749" spans="13:13" x14ac:dyDescent="0.25">
      <c r="M9749" s="21"/>
    </row>
    <row r="9750" spans="13:13" x14ac:dyDescent="0.25">
      <c r="M9750" s="21"/>
    </row>
    <row r="9751" spans="13:13" x14ac:dyDescent="0.25">
      <c r="M9751" s="21"/>
    </row>
    <row r="9752" spans="13:13" x14ac:dyDescent="0.25">
      <c r="M9752" s="21"/>
    </row>
    <row r="9753" spans="13:13" x14ac:dyDescent="0.25">
      <c r="M9753" s="21"/>
    </row>
    <row r="9754" spans="13:13" x14ac:dyDescent="0.25">
      <c r="M9754" s="21"/>
    </row>
    <row r="9755" spans="13:13" x14ac:dyDescent="0.25">
      <c r="M9755" s="21"/>
    </row>
    <row r="9756" spans="13:13" x14ac:dyDescent="0.25">
      <c r="M9756" s="21"/>
    </row>
    <row r="9757" spans="13:13" x14ac:dyDescent="0.25">
      <c r="M9757" s="21"/>
    </row>
    <row r="9758" spans="13:13" x14ac:dyDescent="0.25">
      <c r="M9758" s="21"/>
    </row>
    <row r="9759" spans="13:13" x14ac:dyDescent="0.25">
      <c r="M9759" s="21"/>
    </row>
    <row r="9760" spans="13:13" x14ac:dyDescent="0.25">
      <c r="M9760" s="21"/>
    </row>
    <row r="9761" spans="13:13" x14ac:dyDescent="0.25">
      <c r="M9761" s="21"/>
    </row>
    <row r="9762" spans="13:13" x14ac:dyDescent="0.25">
      <c r="M9762" s="21"/>
    </row>
    <row r="9763" spans="13:13" x14ac:dyDescent="0.25">
      <c r="M9763" s="21"/>
    </row>
    <row r="9764" spans="13:13" x14ac:dyDescent="0.25">
      <c r="M9764" s="21"/>
    </row>
    <row r="9765" spans="13:13" x14ac:dyDescent="0.25">
      <c r="M9765" s="21"/>
    </row>
    <row r="9766" spans="13:13" x14ac:dyDescent="0.25">
      <c r="M9766" s="21"/>
    </row>
    <row r="9767" spans="13:13" x14ac:dyDescent="0.25">
      <c r="M9767" s="21"/>
    </row>
    <row r="9768" spans="13:13" x14ac:dyDescent="0.25">
      <c r="M9768" s="21"/>
    </row>
    <row r="9769" spans="13:13" x14ac:dyDescent="0.25">
      <c r="M9769" s="21"/>
    </row>
    <row r="9770" spans="13:13" x14ac:dyDescent="0.25">
      <c r="M9770" s="21"/>
    </row>
    <row r="9771" spans="13:13" x14ac:dyDescent="0.25">
      <c r="M9771" s="21"/>
    </row>
    <row r="9772" spans="13:13" x14ac:dyDescent="0.25">
      <c r="M9772" s="21"/>
    </row>
    <row r="9773" spans="13:13" x14ac:dyDescent="0.25">
      <c r="M9773" s="21"/>
    </row>
    <row r="9774" spans="13:13" x14ac:dyDescent="0.25">
      <c r="M9774" s="21"/>
    </row>
    <row r="9775" spans="13:13" x14ac:dyDescent="0.25">
      <c r="M9775" s="21"/>
    </row>
    <row r="9776" spans="13:13" x14ac:dyDescent="0.25">
      <c r="M9776" s="21"/>
    </row>
    <row r="9777" spans="13:13" x14ac:dyDescent="0.25">
      <c r="M9777" s="21"/>
    </row>
    <row r="9778" spans="13:13" x14ac:dyDescent="0.25">
      <c r="M9778" s="21"/>
    </row>
    <row r="9779" spans="13:13" x14ac:dyDescent="0.25">
      <c r="M9779" s="21"/>
    </row>
    <row r="9780" spans="13:13" x14ac:dyDescent="0.25">
      <c r="M9780" s="21"/>
    </row>
    <row r="9781" spans="13:13" x14ac:dyDescent="0.25">
      <c r="M9781" s="21"/>
    </row>
    <row r="9782" spans="13:13" x14ac:dyDescent="0.25">
      <c r="M9782" s="21"/>
    </row>
    <row r="9783" spans="13:13" x14ac:dyDescent="0.25">
      <c r="M9783" s="21"/>
    </row>
    <row r="9784" spans="13:13" x14ac:dyDescent="0.25">
      <c r="M9784" s="21"/>
    </row>
    <row r="9785" spans="13:13" x14ac:dyDescent="0.25">
      <c r="M9785" s="21"/>
    </row>
    <row r="9786" spans="13:13" x14ac:dyDescent="0.25">
      <c r="M9786" s="21"/>
    </row>
    <row r="9787" spans="13:13" x14ac:dyDescent="0.25">
      <c r="M9787" s="21"/>
    </row>
    <row r="9788" spans="13:13" x14ac:dyDescent="0.25">
      <c r="M9788" s="21"/>
    </row>
    <row r="9789" spans="13:13" x14ac:dyDescent="0.25">
      <c r="M9789" s="21"/>
    </row>
    <row r="9790" spans="13:13" x14ac:dyDescent="0.25">
      <c r="M9790" s="21"/>
    </row>
    <row r="9791" spans="13:13" x14ac:dyDescent="0.25">
      <c r="M9791" s="21"/>
    </row>
    <row r="9792" spans="13:13" x14ac:dyDescent="0.25">
      <c r="M9792" s="21"/>
    </row>
    <row r="9793" spans="13:13" x14ac:dyDescent="0.25">
      <c r="M9793" s="21"/>
    </row>
    <row r="9794" spans="13:13" x14ac:dyDescent="0.25">
      <c r="M9794" s="21"/>
    </row>
    <row r="9795" spans="13:13" x14ac:dyDescent="0.25">
      <c r="M9795" s="21"/>
    </row>
    <row r="9796" spans="13:13" x14ac:dyDescent="0.25">
      <c r="M9796" s="21"/>
    </row>
    <row r="9797" spans="13:13" x14ac:dyDescent="0.25">
      <c r="M9797" s="21"/>
    </row>
    <row r="9798" spans="13:13" x14ac:dyDescent="0.25">
      <c r="M9798" s="21"/>
    </row>
    <row r="9799" spans="13:13" x14ac:dyDescent="0.25">
      <c r="M9799" s="21"/>
    </row>
    <row r="9800" spans="13:13" x14ac:dyDescent="0.25">
      <c r="M9800" s="21"/>
    </row>
    <row r="9801" spans="13:13" x14ac:dyDescent="0.25">
      <c r="M9801" s="21"/>
    </row>
    <row r="9802" spans="13:13" x14ac:dyDescent="0.25">
      <c r="M9802" s="21"/>
    </row>
    <row r="9803" spans="13:13" x14ac:dyDescent="0.25">
      <c r="M9803" s="21"/>
    </row>
    <row r="9804" spans="13:13" x14ac:dyDescent="0.25">
      <c r="M9804" s="21"/>
    </row>
    <row r="9805" spans="13:13" x14ac:dyDescent="0.25">
      <c r="M9805" s="21"/>
    </row>
    <row r="9806" spans="13:13" x14ac:dyDescent="0.25">
      <c r="M9806" s="21"/>
    </row>
    <row r="9807" spans="13:13" x14ac:dyDescent="0.25">
      <c r="M9807" s="21"/>
    </row>
    <row r="9808" spans="13:13" x14ac:dyDescent="0.25">
      <c r="M9808" s="21"/>
    </row>
    <row r="9809" spans="13:13" x14ac:dyDescent="0.25">
      <c r="M9809" s="21"/>
    </row>
    <row r="9810" spans="13:13" x14ac:dyDescent="0.25">
      <c r="M9810" s="21"/>
    </row>
    <row r="9811" spans="13:13" x14ac:dyDescent="0.25">
      <c r="M9811" s="21"/>
    </row>
    <row r="9812" spans="13:13" x14ac:dyDescent="0.25">
      <c r="M9812" s="21"/>
    </row>
    <row r="9813" spans="13:13" x14ac:dyDescent="0.25">
      <c r="M9813" s="21"/>
    </row>
    <row r="9814" spans="13:13" x14ac:dyDescent="0.25">
      <c r="M9814" s="21"/>
    </row>
    <row r="9815" spans="13:13" x14ac:dyDescent="0.25">
      <c r="M9815" s="21"/>
    </row>
    <row r="9816" spans="13:13" x14ac:dyDescent="0.25">
      <c r="M9816" s="21"/>
    </row>
    <row r="9817" spans="13:13" x14ac:dyDescent="0.25">
      <c r="M9817" s="21"/>
    </row>
    <row r="9818" spans="13:13" x14ac:dyDescent="0.25">
      <c r="M9818" s="21"/>
    </row>
    <row r="9819" spans="13:13" x14ac:dyDescent="0.25">
      <c r="M9819" s="21"/>
    </row>
    <row r="9820" spans="13:13" x14ac:dyDescent="0.25">
      <c r="M9820" s="21"/>
    </row>
    <row r="9821" spans="13:13" x14ac:dyDescent="0.25">
      <c r="M9821" s="21"/>
    </row>
    <row r="9822" spans="13:13" x14ac:dyDescent="0.25">
      <c r="M9822" s="21"/>
    </row>
    <row r="9823" spans="13:13" x14ac:dyDescent="0.25">
      <c r="M9823" s="21"/>
    </row>
    <row r="9824" spans="13:13" x14ac:dyDescent="0.25">
      <c r="M9824" s="21"/>
    </row>
    <row r="9825" spans="13:13" x14ac:dyDescent="0.25">
      <c r="M9825" s="21"/>
    </row>
    <row r="9826" spans="13:13" x14ac:dyDescent="0.25">
      <c r="M9826" s="21"/>
    </row>
    <row r="9827" spans="13:13" x14ac:dyDescent="0.25">
      <c r="M9827" s="21"/>
    </row>
    <row r="9828" spans="13:13" x14ac:dyDescent="0.25">
      <c r="M9828" s="21"/>
    </row>
    <row r="9829" spans="13:13" x14ac:dyDescent="0.25">
      <c r="M9829" s="21"/>
    </row>
    <row r="9830" spans="13:13" x14ac:dyDescent="0.25">
      <c r="M9830" s="21"/>
    </row>
    <row r="9831" spans="13:13" x14ac:dyDescent="0.25">
      <c r="M9831" s="21"/>
    </row>
    <row r="9832" spans="13:13" x14ac:dyDescent="0.25">
      <c r="M9832" s="21"/>
    </row>
    <row r="9833" spans="13:13" x14ac:dyDescent="0.25">
      <c r="M9833" s="21"/>
    </row>
    <row r="9834" spans="13:13" x14ac:dyDescent="0.25">
      <c r="M9834" s="21"/>
    </row>
    <row r="9835" spans="13:13" x14ac:dyDescent="0.25">
      <c r="M9835" s="21"/>
    </row>
    <row r="9836" spans="13:13" x14ac:dyDescent="0.25">
      <c r="M9836" s="21"/>
    </row>
    <row r="9837" spans="13:13" x14ac:dyDescent="0.25">
      <c r="M9837" s="21"/>
    </row>
    <row r="9838" spans="13:13" x14ac:dyDescent="0.25">
      <c r="M9838" s="21"/>
    </row>
    <row r="9839" spans="13:13" x14ac:dyDescent="0.25">
      <c r="M9839" s="21"/>
    </row>
    <row r="9840" spans="13:13" x14ac:dyDescent="0.25">
      <c r="M9840" s="21"/>
    </row>
    <row r="9841" spans="13:13" x14ac:dyDescent="0.25">
      <c r="M9841" s="21"/>
    </row>
    <row r="9842" spans="13:13" x14ac:dyDescent="0.25">
      <c r="M9842" s="21"/>
    </row>
    <row r="9843" spans="13:13" x14ac:dyDescent="0.25">
      <c r="M9843" s="21"/>
    </row>
    <row r="9844" spans="13:13" x14ac:dyDescent="0.25">
      <c r="M9844" s="21"/>
    </row>
    <row r="9845" spans="13:13" x14ac:dyDescent="0.25">
      <c r="M9845" s="21"/>
    </row>
    <row r="9846" spans="13:13" x14ac:dyDescent="0.25">
      <c r="M9846" s="21"/>
    </row>
    <row r="9847" spans="13:13" x14ac:dyDescent="0.25">
      <c r="M9847" s="21"/>
    </row>
    <row r="9848" spans="13:13" x14ac:dyDescent="0.25">
      <c r="M9848" s="21"/>
    </row>
    <row r="9849" spans="13:13" x14ac:dyDescent="0.25">
      <c r="M9849" s="21"/>
    </row>
    <row r="9850" spans="13:13" x14ac:dyDescent="0.25">
      <c r="M9850" s="21"/>
    </row>
    <row r="9851" spans="13:13" x14ac:dyDescent="0.25">
      <c r="M9851" s="21"/>
    </row>
    <row r="9852" spans="13:13" x14ac:dyDescent="0.25">
      <c r="M9852" s="21"/>
    </row>
    <row r="9853" spans="13:13" x14ac:dyDescent="0.25">
      <c r="M9853" s="21"/>
    </row>
    <row r="9854" spans="13:13" x14ac:dyDescent="0.25">
      <c r="M9854" s="21"/>
    </row>
    <row r="9855" spans="13:13" x14ac:dyDescent="0.25">
      <c r="M9855" s="21"/>
    </row>
    <row r="9856" spans="13:13" x14ac:dyDescent="0.25">
      <c r="M9856" s="21"/>
    </row>
    <row r="9857" spans="13:13" x14ac:dyDescent="0.25">
      <c r="M9857" s="21"/>
    </row>
    <row r="9858" spans="13:13" x14ac:dyDescent="0.25">
      <c r="M9858" s="21"/>
    </row>
    <row r="9859" spans="13:13" x14ac:dyDescent="0.25">
      <c r="M9859" s="21"/>
    </row>
    <row r="9860" spans="13:13" x14ac:dyDescent="0.25">
      <c r="M9860" s="21"/>
    </row>
    <row r="9861" spans="13:13" x14ac:dyDescent="0.25">
      <c r="M9861" s="21"/>
    </row>
    <row r="9862" spans="13:13" x14ac:dyDescent="0.25">
      <c r="M9862" s="21"/>
    </row>
    <row r="9863" spans="13:13" x14ac:dyDescent="0.25">
      <c r="M9863" s="21"/>
    </row>
    <row r="9864" spans="13:13" x14ac:dyDescent="0.25">
      <c r="M9864" s="21"/>
    </row>
    <row r="9865" spans="13:13" x14ac:dyDescent="0.25">
      <c r="M9865" s="21"/>
    </row>
    <row r="9866" spans="13:13" x14ac:dyDescent="0.25">
      <c r="M9866" s="21"/>
    </row>
    <row r="9867" spans="13:13" x14ac:dyDescent="0.25">
      <c r="M9867" s="21"/>
    </row>
    <row r="9868" spans="13:13" x14ac:dyDescent="0.25">
      <c r="M9868" s="21"/>
    </row>
    <row r="9869" spans="13:13" x14ac:dyDescent="0.25">
      <c r="M9869" s="21"/>
    </row>
    <row r="9870" spans="13:13" x14ac:dyDescent="0.25">
      <c r="M9870" s="21"/>
    </row>
    <row r="9871" spans="13:13" x14ac:dyDescent="0.25">
      <c r="M9871" s="21"/>
    </row>
    <row r="9872" spans="13:13" x14ac:dyDescent="0.25">
      <c r="M9872" s="21"/>
    </row>
    <row r="9873" spans="13:13" x14ac:dyDescent="0.25">
      <c r="M9873" s="21"/>
    </row>
    <row r="9874" spans="13:13" x14ac:dyDescent="0.25">
      <c r="M9874" s="21"/>
    </row>
    <row r="9875" spans="13:13" x14ac:dyDescent="0.25">
      <c r="M9875" s="21"/>
    </row>
    <row r="9876" spans="13:13" x14ac:dyDescent="0.25">
      <c r="M9876" s="21"/>
    </row>
    <row r="9877" spans="13:13" x14ac:dyDescent="0.25">
      <c r="M9877" s="21"/>
    </row>
    <row r="9878" spans="13:13" x14ac:dyDescent="0.25">
      <c r="M9878" s="21"/>
    </row>
    <row r="9879" spans="13:13" x14ac:dyDescent="0.25">
      <c r="M9879" s="21"/>
    </row>
    <row r="9880" spans="13:13" x14ac:dyDescent="0.25">
      <c r="M9880" s="21"/>
    </row>
    <row r="9881" spans="13:13" x14ac:dyDescent="0.25">
      <c r="M9881" s="21"/>
    </row>
    <row r="9882" spans="13:13" x14ac:dyDescent="0.25">
      <c r="M9882" s="21"/>
    </row>
    <row r="9883" spans="13:13" x14ac:dyDescent="0.25">
      <c r="M9883" s="21"/>
    </row>
    <row r="9884" spans="13:13" x14ac:dyDescent="0.25">
      <c r="M9884" s="21"/>
    </row>
    <row r="9885" spans="13:13" x14ac:dyDescent="0.25">
      <c r="M9885" s="21"/>
    </row>
    <row r="9886" spans="13:13" x14ac:dyDescent="0.25">
      <c r="M9886" s="21"/>
    </row>
    <row r="9887" spans="13:13" x14ac:dyDescent="0.25">
      <c r="M9887" s="21"/>
    </row>
    <row r="9888" spans="13:13" x14ac:dyDescent="0.25">
      <c r="M9888" s="21"/>
    </row>
    <row r="9889" spans="13:13" x14ac:dyDescent="0.25">
      <c r="M9889" s="21"/>
    </row>
    <row r="9890" spans="13:13" x14ac:dyDescent="0.25">
      <c r="M9890" s="21"/>
    </row>
    <row r="9891" spans="13:13" x14ac:dyDescent="0.25">
      <c r="M9891" s="21"/>
    </row>
    <row r="9892" spans="13:13" x14ac:dyDescent="0.25">
      <c r="M9892" s="21"/>
    </row>
    <row r="9893" spans="13:13" x14ac:dyDescent="0.25">
      <c r="M9893" s="21"/>
    </row>
    <row r="9894" spans="13:13" x14ac:dyDescent="0.25">
      <c r="M9894" s="21"/>
    </row>
    <row r="9895" spans="13:13" x14ac:dyDescent="0.25">
      <c r="M9895" s="21"/>
    </row>
    <row r="9896" spans="13:13" x14ac:dyDescent="0.25">
      <c r="M9896" s="21"/>
    </row>
    <row r="9897" spans="13:13" x14ac:dyDescent="0.25">
      <c r="M9897" s="21"/>
    </row>
    <row r="9898" spans="13:13" x14ac:dyDescent="0.25">
      <c r="M9898" s="21"/>
    </row>
    <row r="9899" spans="13:13" x14ac:dyDescent="0.25">
      <c r="M9899" s="21"/>
    </row>
    <row r="9900" spans="13:13" x14ac:dyDescent="0.25">
      <c r="M9900" s="21"/>
    </row>
    <row r="9901" spans="13:13" x14ac:dyDescent="0.25">
      <c r="M9901" s="21"/>
    </row>
    <row r="9902" spans="13:13" x14ac:dyDescent="0.25">
      <c r="M9902" s="21"/>
    </row>
    <row r="9903" spans="13:13" x14ac:dyDescent="0.25">
      <c r="M9903" s="21"/>
    </row>
    <row r="9904" spans="13:13" x14ac:dyDescent="0.25">
      <c r="M9904" s="21"/>
    </row>
    <row r="9905" spans="13:13" x14ac:dyDescent="0.25">
      <c r="M9905" s="21"/>
    </row>
    <row r="9906" spans="13:13" x14ac:dyDescent="0.25">
      <c r="M9906" s="21"/>
    </row>
    <row r="9907" spans="13:13" x14ac:dyDescent="0.25">
      <c r="M9907" s="21"/>
    </row>
    <row r="9908" spans="13:13" x14ac:dyDescent="0.25">
      <c r="M9908" s="21"/>
    </row>
    <row r="9909" spans="13:13" x14ac:dyDescent="0.25">
      <c r="M9909" s="21"/>
    </row>
    <row r="9910" spans="13:13" x14ac:dyDescent="0.25">
      <c r="M9910" s="21"/>
    </row>
    <row r="9911" spans="13:13" x14ac:dyDescent="0.25">
      <c r="M9911" s="21"/>
    </row>
    <row r="9912" spans="13:13" x14ac:dyDescent="0.25">
      <c r="M9912" s="21"/>
    </row>
    <row r="9913" spans="13:13" x14ac:dyDescent="0.25">
      <c r="M9913" s="21"/>
    </row>
    <row r="9914" spans="13:13" x14ac:dyDescent="0.25">
      <c r="M9914" s="21"/>
    </row>
    <row r="9915" spans="13:13" x14ac:dyDescent="0.25">
      <c r="M9915" s="21"/>
    </row>
    <row r="9916" spans="13:13" x14ac:dyDescent="0.25">
      <c r="M9916" s="21"/>
    </row>
    <row r="9917" spans="13:13" x14ac:dyDescent="0.25">
      <c r="M9917" s="21"/>
    </row>
    <row r="9918" spans="13:13" x14ac:dyDescent="0.25">
      <c r="M9918" s="21"/>
    </row>
    <row r="9919" spans="13:13" x14ac:dyDescent="0.25">
      <c r="M9919" s="21"/>
    </row>
    <row r="9920" spans="13:13" x14ac:dyDescent="0.25">
      <c r="M9920" s="21"/>
    </row>
    <row r="9921" spans="13:13" x14ac:dyDescent="0.25">
      <c r="M9921" s="21"/>
    </row>
    <row r="9922" spans="13:13" x14ac:dyDescent="0.25">
      <c r="M9922" s="21"/>
    </row>
    <row r="9923" spans="13:13" x14ac:dyDescent="0.25">
      <c r="M9923" s="21"/>
    </row>
    <row r="9924" spans="13:13" x14ac:dyDescent="0.25">
      <c r="M9924" s="21"/>
    </row>
    <row r="9925" spans="13:13" x14ac:dyDescent="0.25">
      <c r="M9925" s="21"/>
    </row>
    <row r="9926" spans="13:13" x14ac:dyDescent="0.25">
      <c r="M9926" s="21"/>
    </row>
    <row r="9927" spans="13:13" x14ac:dyDescent="0.25">
      <c r="M9927" s="21"/>
    </row>
    <row r="9928" spans="13:13" x14ac:dyDescent="0.25">
      <c r="M9928" s="21"/>
    </row>
    <row r="9929" spans="13:13" x14ac:dyDescent="0.25">
      <c r="M9929" s="21"/>
    </row>
    <row r="9930" spans="13:13" x14ac:dyDescent="0.25">
      <c r="M9930" s="21"/>
    </row>
    <row r="9931" spans="13:13" x14ac:dyDescent="0.25">
      <c r="M9931" s="21"/>
    </row>
    <row r="9932" spans="13:13" x14ac:dyDescent="0.25">
      <c r="M9932" s="21"/>
    </row>
    <row r="9933" spans="13:13" x14ac:dyDescent="0.25">
      <c r="M9933" s="21"/>
    </row>
    <row r="9934" spans="13:13" x14ac:dyDescent="0.25">
      <c r="M9934" s="21"/>
    </row>
    <row r="9935" spans="13:13" x14ac:dyDescent="0.25">
      <c r="M9935" s="21"/>
    </row>
    <row r="9936" spans="13:13" x14ac:dyDescent="0.25">
      <c r="M9936" s="21"/>
    </row>
    <row r="9937" spans="13:13" x14ac:dyDescent="0.25">
      <c r="M9937" s="21"/>
    </row>
    <row r="9938" spans="13:13" x14ac:dyDescent="0.25">
      <c r="M9938" s="21"/>
    </row>
    <row r="9939" spans="13:13" x14ac:dyDescent="0.25">
      <c r="M9939" s="21"/>
    </row>
    <row r="9940" spans="13:13" x14ac:dyDescent="0.25">
      <c r="M9940" s="21"/>
    </row>
    <row r="9941" spans="13:13" x14ac:dyDescent="0.25">
      <c r="M9941" s="21"/>
    </row>
    <row r="9942" spans="13:13" x14ac:dyDescent="0.25">
      <c r="M9942" s="21"/>
    </row>
    <row r="9943" spans="13:13" x14ac:dyDescent="0.25">
      <c r="M9943" s="21"/>
    </row>
    <row r="9944" spans="13:13" x14ac:dyDescent="0.25">
      <c r="M9944" s="21"/>
    </row>
    <row r="9945" spans="13:13" x14ac:dyDescent="0.25">
      <c r="M9945" s="21"/>
    </row>
    <row r="9946" spans="13:13" x14ac:dyDescent="0.25">
      <c r="M9946" s="21"/>
    </row>
    <row r="9947" spans="13:13" x14ac:dyDescent="0.25">
      <c r="M9947" s="21"/>
    </row>
    <row r="9948" spans="13:13" x14ac:dyDescent="0.25">
      <c r="M9948" s="21"/>
    </row>
    <row r="9949" spans="13:13" x14ac:dyDescent="0.25">
      <c r="M9949" s="21"/>
    </row>
    <row r="9950" spans="13:13" x14ac:dyDescent="0.25">
      <c r="M9950" s="21"/>
    </row>
    <row r="9951" spans="13:13" x14ac:dyDescent="0.25">
      <c r="M9951" s="21"/>
    </row>
    <row r="9952" spans="13:13" x14ac:dyDescent="0.25">
      <c r="M9952" s="21"/>
    </row>
    <row r="9953" spans="13:13" x14ac:dyDescent="0.25">
      <c r="M9953" s="21"/>
    </row>
    <row r="9954" spans="13:13" x14ac:dyDescent="0.25">
      <c r="M9954" s="21"/>
    </row>
    <row r="9955" spans="13:13" x14ac:dyDescent="0.25">
      <c r="M9955" s="21"/>
    </row>
    <row r="9956" spans="13:13" x14ac:dyDescent="0.25">
      <c r="M9956" s="21"/>
    </row>
    <row r="9957" spans="13:13" x14ac:dyDescent="0.25">
      <c r="M9957" s="21"/>
    </row>
    <row r="9958" spans="13:13" x14ac:dyDescent="0.25">
      <c r="M9958" s="21"/>
    </row>
    <row r="9959" spans="13:13" x14ac:dyDescent="0.25">
      <c r="M9959" s="21"/>
    </row>
    <row r="9960" spans="13:13" x14ac:dyDescent="0.25">
      <c r="M9960" s="21"/>
    </row>
    <row r="9961" spans="13:13" x14ac:dyDescent="0.25">
      <c r="M9961" s="21"/>
    </row>
    <row r="9962" spans="13:13" x14ac:dyDescent="0.25">
      <c r="M9962" s="21"/>
    </row>
    <row r="9963" spans="13:13" x14ac:dyDescent="0.25">
      <c r="M9963" s="21"/>
    </row>
    <row r="9964" spans="13:13" x14ac:dyDescent="0.25">
      <c r="M9964" s="21"/>
    </row>
    <row r="9965" spans="13:13" x14ac:dyDescent="0.25">
      <c r="M9965" s="21"/>
    </row>
    <row r="9966" spans="13:13" x14ac:dyDescent="0.25">
      <c r="M9966" s="21"/>
    </row>
    <row r="9967" spans="13:13" x14ac:dyDescent="0.25">
      <c r="M9967" s="21"/>
    </row>
    <row r="9968" spans="13:13" x14ac:dyDescent="0.25">
      <c r="M9968" s="21"/>
    </row>
    <row r="9969" spans="13:13" x14ac:dyDescent="0.25">
      <c r="M9969" s="21"/>
    </row>
    <row r="9970" spans="13:13" x14ac:dyDescent="0.25">
      <c r="M9970" s="21"/>
    </row>
    <row r="9971" spans="13:13" x14ac:dyDescent="0.25">
      <c r="M9971" s="21"/>
    </row>
    <row r="9972" spans="13:13" x14ac:dyDescent="0.25">
      <c r="M9972" s="21"/>
    </row>
    <row r="9973" spans="13:13" x14ac:dyDescent="0.25">
      <c r="M9973" s="21"/>
    </row>
    <row r="9974" spans="13:13" x14ac:dyDescent="0.25">
      <c r="M9974" s="21"/>
    </row>
    <row r="9975" spans="13:13" x14ac:dyDescent="0.25">
      <c r="M9975" s="21"/>
    </row>
    <row r="9976" spans="13:13" x14ac:dyDescent="0.25">
      <c r="M9976" s="21"/>
    </row>
    <row r="9977" spans="13:13" x14ac:dyDescent="0.25">
      <c r="M9977" s="21"/>
    </row>
    <row r="9978" spans="13:13" x14ac:dyDescent="0.25">
      <c r="M9978" s="21"/>
    </row>
    <row r="9979" spans="13:13" x14ac:dyDescent="0.25">
      <c r="M9979" s="21"/>
    </row>
    <row r="9980" spans="13:13" x14ac:dyDescent="0.25">
      <c r="M9980" s="21"/>
    </row>
    <row r="9981" spans="13:13" x14ac:dyDescent="0.25">
      <c r="M9981" s="21"/>
    </row>
    <row r="9982" spans="13:13" x14ac:dyDescent="0.25">
      <c r="M9982" s="21"/>
    </row>
    <row r="9983" spans="13:13" x14ac:dyDescent="0.25">
      <c r="M9983" s="21"/>
    </row>
    <row r="9984" spans="13:13" x14ac:dyDescent="0.25">
      <c r="M9984" s="21"/>
    </row>
    <row r="9985" spans="13:13" x14ac:dyDescent="0.25">
      <c r="M9985" s="21"/>
    </row>
    <row r="9986" spans="13:13" x14ac:dyDescent="0.25">
      <c r="M9986" s="21"/>
    </row>
    <row r="9987" spans="13:13" x14ac:dyDescent="0.25">
      <c r="M9987" s="21"/>
    </row>
    <row r="9988" spans="13:13" x14ac:dyDescent="0.25">
      <c r="M9988" s="21"/>
    </row>
    <row r="9989" spans="13:13" x14ac:dyDescent="0.25">
      <c r="M9989" s="21"/>
    </row>
    <row r="9990" spans="13:13" x14ac:dyDescent="0.25">
      <c r="M9990" s="21"/>
    </row>
    <row r="9991" spans="13:13" x14ac:dyDescent="0.25">
      <c r="M9991" s="21"/>
    </row>
    <row r="9992" spans="13:13" x14ac:dyDescent="0.25">
      <c r="M9992" s="21"/>
    </row>
    <row r="9993" spans="13:13" x14ac:dyDescent="0.25">
      <c r="M9993" s="21"/>
    </row>
    <row r="9994" spans="13:13" x14ac:dyDescent="0.25">
      <c r="M9994" s="21"/>
    </row>
    <row r="9995" spans="13:13" x14ac:dyDescent="0.25">
      <c r="M9995" s="21"/>
    </row>
    <row r="9996" spans="13:13" x14ac:dyDescent="0.25">
      <c r="M9996" s="21"/>
    </row>
    <row r="9997" spans="13:13" x14ac:dyDescent="0.25">
      <c r="M9997" s="21"/>
    </row>
    <row r="9998" spans="13:13" x14ac:dyDescent="0.25">
      <c r="M9998" s="21"/>
    </row>
    <row r="9999" spans="13:13" x14ac:dyDescent="0.25">
      <c r="M9999" s="21"/>
    </row>
    <row r="10000" spans="13:13" x14ac:dyDescent="0.25">
      <c r="M10000" s="21"/>
    </row>
    <row r="10001" spans="13:13" x14ac:dyDescent="0.25">
      <c r="M10001" s="21"/>
    </row>
    <row r="10002" spans="13:13" x14ac:dyDescent="0.25">
      <c r="M10002" s="21"/>
    </row>
    <row r="10003" spans="13:13" x14ac:dyDescent="0.25">
      <c r="M10003" s="21"/>
    </row>
    <row r="10004" spans="13:13" x14ac:dyDescent="0.25">
      <c r="M10004" s="2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9D635-BC40-44FC-9DDD-08EA9980979F}">
  <sheetPr codeName="Sheet10"/>
  <dimension ref="A1:H12"/>
  <sheetViews>
    <sheetView workbookViewId="0">
      <selection activeCell="B7" sqref="B7:D12"/>
    </sheetView>
  </sheetViews>
  <sheetFormatPr defaultRowHeight="12.5" x14ac:dyDescent="0.25"/>
  <cols>
    <col min="6" max="8" width="8.7265625" style="65"/>
  </cols>
  <sheetData>
    <row r="1" spans="1:8" x14ac:dyDescent="0.25">
      <c r="B1" s="16" t="s">
        <v>145</v>
      </c>
      <c r="C1" s="16" t="s">
        <v>146</v>
      </c>
      <c r="D1" s="16" t="s">
        <v>147</v>
      </c>
      <c r="E1" s="16" t="s">
        <v>144</v>
      </c>
      <c r="F1" s="66" t="s">
        <v>113</v>
      </c>
      <c r="G1" s="66" t="s">
        <v>114</v>
      </c>
      <c r="H1" s="66" t="s">
        <v>152</v>
      </c>
    </row>
    <row r="2" spans="1:8" ht="13" thickBot="1" x14ac:dyDescent="0.3">
      <c r="A2" s="16" t="s">
        <v>148</v>
      </c>
      <c r="B2" s="62">
        <v>12</v>
      </c>
      <c r="C2" s="62">
        <v>4</v>
      </c>
      <c r="D2" s="62">
        <v>0</v>
      </c>
      <c r="E2" s="63">
        <v>0.75</v>
      </c>
      <c r="F2" s="66" t="s">
        <v>116</v>
      </c>
      <c r="G2" s="66" t="s">
        <v>121</v>
      </c>
      <c r="H2" s="66" t="s">
        <v>153</v>
      </c>
    </row>
    <row r="3" spans="1:8" ht="13" thickBot="1" x14ac:dyDescent="0.3">
      <c r="A3" s="16" t="s">
        <v>149</v>
      </c>
      <c r="B3" s="62">
        <v>11</v>
      </c>
      <c r="C3" s="62">
        <v>5</v>
      </c>
      <c r="D3" s="62">
        <v>0</v>
      </c>
      <c r="E3" s="62">
        <v>0.68799999999999994</v>
      </c>
      <c r="F3" s="66" t="s">
        <v>121</v>
      </c>
      <c r="G3" s="66" t="s">
        <v>117</v>
      </c>
      <c r="H3" s="66" t="s">
        <v>153</v>
      </c>
    </row>
    <row r="4" spans="1:8" ht="13" thickBot="1" x14ac:dyDescent="0.3">
      <c r="A4" s="16" t="s">
        <v>150</v>
      </c>
      <c r="B4" s="62">
        <v>11</v>
      </c>
      <c r="C4" s="62">
        <v>5</v>
      </c>
      <c r="D4" s="62">
        <v>0</v>
      </c>
      <c r="E4" s="62">
        <v>0.68799999999999994</v>
      </c>
      <c r="F4" s="66" t="s">
        <v>117</v>
      </c>
      <c r="G4" s="66" t="s">
        <v>121</v>
      </c>
      <c r="H4" s="66" t="s">
        <v>122</v>
      </c>
    </row>
    <row r="5" spans="1:8" ht="13" thickBot="1" x14ac:dyDescent="0.3">
      <c r="A5" s="16" t="s">
        <v>151</v>
      </c>
      <c r="B5" s="62">
        <v>4</v>
      </c>
      <c r="C5" s="62">
        <v>11</v>
      </c>
      <c r="D5" s="62">
        <v>1</v>
      </c>
      <c r="E5" s="63">
        <v>0.28100000000000003</v>
      </c>
      <c r="F5" s="66" t="s">
        <v>154</v>
      </c>
      <c r="G5" s="66" t="s">
        <v>155</v>
      </c>
      <c r="H5" s="66" t="s">
        <v>156</v>
      </c>
    </row>
    <row r="6" spans="1:8" ht="13" thickBot="1" x14ac:dyDescent="0.3"/>
    <row r="7" spans="1:8" ht="14.5" x14ac:dyDescent="0.35">
      <c r="B7" s="48" t="s">
        <v>129</v>
      </c>
      <c r="C7" s="49"/>
      <c r="D7" s="50"/>
    </row>
    <row r="8" spans="1:8" ht="14.5" x14ac:dyDescent="0.35">
      <c r="B8" s="51" t="s">
        <v>130</v>
      </c>
      <c r="C8" s="52" t="s">
        <v>131</v>
      </c>
      <c r="D8" s="53"/>
    </row>
    <row r="9" spans="1:8" ht="14.5" x14ac:dyDescent="0.35">
      <c r="B9" s="54">
        <v>4</v>
      </c>
      <c r="C9" s="52">
        <v>3</v>
      </c>
      <c r="D9" s="53"/>
    </row>
    <row r="10" spans="1:8" ht="14.5" x14ac:dyDescent="0.35">
      <c r="B10" s="54">
        <v>4</v>
      </c>
      <c r="C10" s="52">
        <v>3</v>
      </c>
      <c r="D10" s="53"/>
    </row>
    <row r="11" spans="1:8" ht="14.5" x14ac:dyDescent="0.35">
      <c r="B11" s="54">
        <v>3</v>
      </c>
      <c r="C11" s="52">
        <v>3</v>
      </c>
      <c r="D11" s="53"/>
    </row>
    <row r="12" spans="1:8" ht="15" thickBot="1" x14ac:dyDescent="0.4">
      <c r="B12" s="55">
        <v>1</v>
      </c>
      <c r="C12" s="56">
        <v>3</v>
      </c>
      <c r="D12" s="57">
        <f>CHITEST(B9:B12,C9:C12)</f>
        <v>0.57240670447087982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C5474-2105-4209-A5B8-59E229075ED4}">
  <sheetPr codeName="Sheet13"/>
  <dimension ref="B2:Q10004"/>
  <sheetViews>
    <sheetView zoomScale="83" workbookViewId="0">
      <selection activeCell="L4" sqref="L4"/>
    </sheetView>
  </sheetViews>
  <sheetFormatPr defaultRowHeight="12.5" x14ac:dyDescent="0.25"/>
  <cols>
    <col min="3" max="3" width="9.81640625" customWidth="1"/>
    <col min="5" max="5" width="11.36328125" customWidth="1"/>
    <col min="6" max="6" width="12.08984375" bestFit="1" customWidth="1"/>
    <col min="15" max="15" width="29.453125" customWidth="1"/>
  </cols>
  <sheetData>
    <row r="2" spans="2:17" x14ac:dyDescent="0.25">
      <c r="B2" s="17" t="s">
        <v>28</v>
      </c>
      <c r="C2" s="17" t="s">
        <v>38</v>
      </c>
      <c r="D2" t="s">
        <v>0</v>
      </c>
      <c r="E2" t="s">
        <v>0</v>
      </c>
      <c r="F2" t="s">
        <v>1</v>
      </c>
      <c r="G2" t="s">
        <v>1</v>
      </c>
      <c r="H2" t="s">
        <v>2</v>
      </c>
      <c r="I2" t="s">
        <v>2</v>
      </c>
      <c r="J2" t="s">
        <v>3</v>
      </c>
      <c r="K2" t="s">
        <v>3</v>
      </c>
      <c r="L2" s="16" t="s">
        <v>159</v>
      </c>
      <c r="M2" s="16" t="s">
        <v>159</v>
      </c>
      <c r="O2" s="16" t="s">
        <v>32</v>
      </c>
    </row>
    <row r="3" spans="2:17" x14ac:dyDescent="0.25">
      <c r="O3" s="22">
        <f>AVERAGE(O5:O10004)</f>
        <v>4.4710141776421501</v>
      </c>
      <c r="P3" s="18" t="s">
        <v>34</v>
      </c>
      <c r="Q3" s="19"/>
    </row>
    <row r="4" spans="2:17" x14ac:dyDescent="0.25">
      <c r="C4" t="s">
        <v>4</v>
      </c>
      <c r="D4">
        <f ca="1">RAND()</f>
        <v>0.62829572232380115</v>
      </c>
      <c r="E4" s="19">
        <f ca="1">IF(D5&gt;0.5,1,0)</f>
        <v>1</v>
      </c>
      <c r="F4">
        <f t="shared" ref="F4:L4" ca="1" si="0">RAND()</f>
        <v>0.55319216418903283</v>
      </c>
      <c r="G4" s="19">
        <f ca="1">1-E4</f>
        <v>0</v>
      </c>
      <c r="H4">
        <f ca="1">RAND()</f>
        <v>0.85012234493375261</v>
      </c>
      <c r="I4" s="61">
        <f ca="1">IF(H4&gt;0.5,1,0)</f>
        <v>1</v>
      </c>
      <c r="J4">
        <f t="shared" ca="1" si="0"/>
        <v>1.8769891721719723E-2</v>
      </c>
      <c r="K4" s="61">
        <f ca="1">1-I4</f>
        <v>0</v>
      </c>
      <c r="L4">
        <f t="shared" ca="1" si="0"/>
        <v>0.95494088369326247</v>
      </c>
      <c r="M4">
        <f t="shared" ref="M4:M67" ca="1" si="1">IF(L4&gt;0.5,1,0)</f>
        <v>1</v>
      </c>
      <c r="O4" s="21">
        <v>1.2909944487358056</v>
      </c>
    </row>
    <row r="5" spans="2:17" x14ac:dyDescent="0.25">
      <c r="C5" t="s">
        <v>5</v>
      </c>
      <c r="D5">
        <f t="shared" ref="D5:L21" ca="1" si="2">RAND()</f>
        <v>0.98781318240419336</v>
      </c>
      <c r="E5" s="19">
        <f t="shared" ref="E5:E35" ca="1" si="3">IF(D6&gt;0.5,1,0)</f>
        <v>1</v>
      </c>
      <c r="F5">
        <f t="shared" ca="1" si="2"/>
        <v>0.74473130086430461</v>
      </c>
      <c r="G5" s="19">
        <f t="shared" ref="G5:G11" ca="1" si="4">1-E5</f>
        <v>0</v>
      </c>
      <c r="H5">
        <f t="shared" ca="1" si="2"/>
        <v>0.64898662528514717</v>
      </c>
      <c r="I5" s="61">
        <f t="shared" ref="I5:I19" ca="1" si="5">IF(H5&gt;0.5,1,0)</f>
        <v>1</v>
      </c>
      <c r="J5">
        <f t="shared" ca="1" si="2"/>
        <v>0.73041198599311519</v>
      </c>
      <c r="K5" s="61">
        <f t="shared" ref="K5:K11" ca="1" si="6">1-I5</f>
        <v>0</v>
      </c>
      <c r="L5">
        <f t="shared" ca="1" si="2"/>
        <v>0.38330188231978068</v>
      </c>
      <c r="M5">
        <f t="shared" ca="1" si="1"/>
        <v>0</v>
      </c>
      <c r="O5" s="21">
        <v>2.7748873851023212</v>
      </c>
    </row>
    <row r="6" spans="2:17" x14ac:dyDescent="0.25">
      <c r="C6" t="s">
        <v>6</v>
      </c>
      <c r="D6">
        <f t="shared" ca="1" si="2"/>
        <v>0.64017537744067787</v>
      </c>
      <c r="E6" s="19">
        <f t="shared" ca="1" si="3"/>
        <v>1</v>
      </c>
      <c r="F6">
        <f t="shared" ca="1" si="2"/>
        <v>0.47342282957430204</v>
      </c>
      <c r="G6" s="19">
        <f t="shared" ca="1" si="4"/>
        <v>0</v>
      </c>
      <c r="H6">
        <f t="shared" ca="1" si="2"/>
        <v>0.324442860446992</v>
      </c>
      <c r="I6" s="61">
        <f t="shared" ca="1" si="5"/>
        <v>0</v>
      </c>
      <c r="J6">
        <f t="shared" ca="1" si="2"/>
        <v>2.512297145843001E-2</v>
      </c>
      <c r="K6" s="61">
        <f t="shared" ca="1" si="6"/>
        <v>1</v>
      </c>
      <c r="L6">
        <f t="shared" ca="1" si="2"/>
        <v>0.64843157281683284</v>
      </c>
      <c r="M6">
        <f t="shared" ca="1" si="1"/>
        <v>1</v>
      </c>
      <c r="O6" s="21">
        <v>6.3087241182350162</v>
      </c>
    </row>
    <row r="7" spans="2:17" x14ac:dyDescent="0.25">
      <c r="C7" t="s">
        <v>7</v>
      </c>
      <c r="D7">
        <f t="shared" ca="1" si="2"/>
        <v>0.65632858500690439</v>
      </c>
      <c r="E7" s="19">
        <f t="shared" ca="1" si="3"/>
        <v>1</v>
      </c>
      <c r="F7">
        <f t="shared" ca="1" si="2"/>
        <v>0.19788053033549913</v>
      </c>
      <c r="G7" s="19">
        <f t="shared" ca="1" si="4"/>
        <v>0</v>
      </c>
      <c r="H7">
        <f t="shared" ca="1" si="2"/>
        <v>0.46082020181086414</v>
      </c>
      <c r="I7" s="61">
        <f t="shared" ca="1" si="5"/>
        <v>0</v>
      </c>
      <c r="J7">
        <f t="shared" ca="1" si="2"/>
        <v>0.63003911906282961</v>
      </c>
      <c r="K7" s="61">
        <f t="shared" ca="1" si="6"/>
        <v>1</v>
      </c>
      <c r="L7">
        <f t="shared" ca="1" si="2"/>
        <v>1.2975959442939056E-3</v>
      </c>
      <c r="M7">
        <f t="shared" ca="1" si="1"/>
        <v>0</v>
      </c>
      <c r="O7" s="21">
        <v>4.1593268686170841</v>
      </c>
    </row>
    <row r="8" spans="2:17" x14ac:dyDescent="0.25">
      <c r="C8" t="s">
        <v>8</v>
      </c>
      <c r="D8">
        <f t="shared" ca="1" si="2"/>
        <v>0.87800872499624705</v>
      </c>
      <c r="E8" s="19">
        <f ca="1">IF(D9&gt;0.5,1,0)</f>
        <v>0</v>
      </c>
      <c r="F8">
        <f t="shared" ca="1" si="2"/>
        <v>0.67559227923622411</v>
      </c>
      <c r="G8" s="19">
        <f t="shared" ca="1" si="4"/>
        <v>1</v>
      </c>
      <c r="H8">
        <f t="shared" ca="1" si="2"/>
        <v>0.62140769716127753</v>
      </c>
      <c r="I8" s="61">
        <f t="shared" ca="1" si="5"/>
        <v>1</v>
      </c>
      <c r="J8">
        <f t="shared" ca="1" si="2"/>
        <v>0.71134328935340974</v>
      </c>
      <c r="K8" s="61">
        <f t="shared" ca="1" si="6"/>
        <v>0</v>
      </c>
      <c r="L8">
        <f t="shared" ca="1" si="2"/>
        <v>7.806146898002686E-2</v>
      </c>
      <c r="M8">
        <f t="shared" ca="1" si="1"/>
        <v>0</v>
      </c>
      <c r="O8" s="21">
        <v>5.0199601592044578</v>
      </c>
    </row>
    <row r="9" spans="2:17" x14ac:dyDescent="0.25">
      <c r="C9" t="s">
        <v>9</v>
      </c>
      <c r="D9">
        <f t="shared" ca="1" si="2"/>
        <v>0.35235627492273425</v>
      </c>
      <c r="E9" s="19">
        <f t="shared" ca="1" si="3"/>
        <v>1</v>
      </c>
      <c r="F9">
        <f t="shared" ca="1" si="2"/>
        <v>0.75831920667492758</v>
      </c>
      <c r="G9" s="19">
        <f t="shared" ca="1" si="4"/>
        <v>0</v>
      </c>
      <c r="H9">
        <f t="shared" ca="1" si="2"/>
        <v>0.95396085265343378</v>
      </c>
      <c r="I9" s="61">
        <f t="shared" ca="1" si="5"/>
        <v>1</v>
      </c>
      <c r="J9">
        <f t="shared" ca="1" si="2"/>
        <v>0.45017224856234395</v>
      </c>
      <c r="K9" s="61">
        <f t="shared" ca="1" si="6"/>
        <v>0</v>
      </c>
      <c r="L9">
        <f t="shared" ca="1" si="2"/>
        <v>0.24968123343476145</v>
      </c>
      <c r="M9">
        <f t="shared" ca="1" si="1"/>
        <v>0</v>
      </c>
      <c r="O9" s="21">
        <v>3.4928498393145961</v>
      </c>
    </row>
    <row r="10" spans="2:17" x14ac:dyDescent="0.25">
      <c r="C10" t="s">
        <v>10</v>
      </c>
      <c r="D10">
        <f t="shared" ca="1" si="2"/>
        <v>0.77651577930934523</v>
      </c>
      <c r="E10" s="19">
        <f t="shared" ca="1" si="3"/>
        <v>0</v>
      </c>
      <c r="F10">
        <f t="shared" ca="1" si="2"/>
        <v>9.3117605691111827E-2</v>
      </c>
      <c r="G10" s="19">
        <f t="shared" ca="1" si="4"/>
        <v>1</v>
      </c>
      <c r="H10">
        <f t="shared" ca="1" si="2"/>
        <v>9.5738694340820274E-2</v>
      </c>
      <c r="I10" s="61">
        <f t="shared" ca="1" si="5"/>
        <v>0</v>
      </c>
      <c r="J10">
        <f t="shared" ca="1" si="2"/>
        <v>0.94654901744856934</v>
      </c>
      <c r="K10" s="61">
        <f t="shared" ca="1" si="6"/>
        <v>1</v>
      </c>
      <c r="L10">
        <f t="shared" ca="1" si="2"/>
        <v>0.48463095089489971</v>
      </c>
      <c r="M10">
        <f t="shared" ca="1" si="1"/>
        <v>0</v>
      </c>
      <c r="O10" s="21">
        <v>4.9799598391955113</v>
      </c>
    </row>
    <row r="11" spans="2:17" x14ac:dyDescent="0.25">
      <c r="C11" t="s">
        <v>11</v>
      </c>
      <c r="D11">
        <f t="shared" ca="1" si="2"/>
        <v>0.38647718679442533</v>
      </c>
      <c r="E11" s="19">
        <f t="shared" ca="1" si="3"/>
        <v>0</v>
      </c>
      <c r="F11">
        <f t="shared" ca="1" si="2"/>
        <v>0.40534005039598497</v>
      </c>
      <c r="G11" s="19">
        <f t="shared" ca="1" si="4"/>
        <v>1</v>
      </c>
      <c r="H11">
        <f t="shared" ca="1" si="2"/>
        <v>0.57055604283450367</v>
      </c>
      <c r="I11" s="61">
        <f t="shared" ca="1" si="5"/>
        <v>1</v>
      </c>
      <c r="J11">
        <f t="shared" ca="1" si="2"/>
        <v>0.74235730195548877</v>
      </c>
      <c r="K11" s="61">
        <f t="shared" ca="1" si="6"/>
        <v>0</v>
      </c>
      <c r="L11">
        <f t="shared" ca="1" si="2"/>
        <v>5.2488967584351731E-2</v>
      </c>
      <c r="M11">
        <f t="shared" ca="1" si="1"/>
        <v>0</v>
      </c>
      <c r="O11" s="21">
        <v>7.2318738927058304</v>
      </c>
    </row>
    <row r="12" spans="2:17" x14ac:dyDescent="0.25">
      <c r="C12" t="s">
        <v>12</v>
      </c>
      <c r="D12">
        <f t="shared" ca="1" si="2"/>
        <v>0.47613430726485273</v>
      </c>
      <c r="E12" s="19">
        <f ca="1">IF(D13&gt;0.5,1,0)</f>
        <v>1</v>
      </c>
      <c r="F12">
        <f t="shared" ca="1" si="2"/>
        <v>0.90741153917564077</v>
      </c>
      <c r="G12" s="74">
        <f t="shared" ref="G8:G71" ca="1" si="7">IF(F12&gt;0.5,1,0)</f>
        <v>1</v>
      </c>
      <c r="H12">
        <f t="shared" ca="1" si="2"/>
        <v>0.53418362625000826</v>
      </c>
      <c r="I12" s="19">
        <f t="shared" ref="I9:K20" ca="1" si="8">1-E12</f>
        <v>0</v>
      </c>
      <c r="J12">
        <f t="shared" ca="1" si="2"/>
        <v>0.11046497811965872</v>
      </c>
      <c r="K12" s="74">
        <f ca="1">1-G12</f>
        <v>0</v>
      </c>
      <c r="L12">
        <f t="shared" ca="1" si="2"/>
        <v>0.4432593133089533</v>
      </c>
      <c r="M12">
        <f t="shared" ca="1" si="1"/>
        <v>0</v>
      </c>
      <c r="O12" s="21">
        <v>1.5811388300841898</v>
      </c>
    </row>
    <row r="13" spans="2:17" x14ac:dyDescent="0.25">
      <c r="C13" t="s">
        <v>13</v>
      </c>
      <c r="D13">
        <f t="shared" ca="1" si="2"/>
        <v>0.89959192933164744</v>
      </c>
      <c r="E13" s="19">
        <f t="shared" ca="1" si="3"/>
        <v>0</v>
      </c>
      <c r="F13">
        <f t="shared" ca="1" si="2"/>
        <v>0.66857518633340229</v>
      </c>
      <c r="G13" s="74">
        <f t="shared" ca="1" si="7"/>
        <v>1</v>
      </c>
      <c r="H13">
        <f t="shared" ca="1" si="2"/>
        <v>0.42669697860097922</v>
      </c>
      <c r="I13" s="19">
        <f t="shared" ca="1" si="8"/>
        <v>1</v>
      </c>
      <c r="J13">
        <f t="shared" ca="1" si="2"/>
        <v>0.56857713100326546</v>
      </c>
      <c r="K13" s="74">
        <f t="shared" ref="K13:K19" ca="1" si="9">1-G13</f>
        <v>0</v>
      </c>
      <c r="L13">
        <f t="shared" ca="1" si="2"/>
        <v>0.95239387450408164</v>
      </c>
      <c r="M13">
        <f t="shared" ca="1" si="1"/>
        <v>1</v>
      </c>
      <c r="O13" s="21">
        <v>4.8166378315168989</v>
      </c>
    </row>
    <row r="14" spans="2:17" x14ac:dyDescent="0.25">
      <c r="C14" t="s">
        <v>14</v>
      </c>
      <c r="D14">
        <f t="shared" ca="1" si="2"/>
        <v>0.41033787201263017</v>
      </c>
      <c r="E14" s="19">
        <f t="shared" ca="1" si="3"/>
        <v>0</v>
      </c>
      <c r="F14">
        <f t="shared" ca="1" si="2"/>
        <v>0.83619360386250974</v>
      </c>
      <c r="G14" s="74">
        <f t="shared" ca="1" si="7"/>
        <v>1</v>
      </c>
      <c r="H14">
        <f t="shared" ca="1" si="2"/>
        <v>0.62109909561964582</v>
      </c>
      <c r="I14" s="19">
        <f t="shared" ca="1" si="8"/>
        <v>1</v>
      </c>
      <c r="J14">
        <f t="shared" ca="1" si="2"/>
        <v>0.45767793064317563</v>
      </c>
      <c r="K14" s="74">
        <f t="shared" ca="1" si="9"/>
        <v>0</v>
      </c>
      <c r="L14">
        <f t="shared" ca="1" si="2"/>
        <v>0.82585346678175819</v>
      </c>
      <c r="M14">
        <f t="shared" ca="1" si="1"/>
        <v>1</v>
      </c>
      <c r="O14" s="21">
        <v>1.6733200530681511</v>
      </c>
    </row>
    <row r="15" spans="2:17" x14ac:dyDescent="0.25">
      <c r="C15" t="s">
        <v>15</v>
      </c>
      <c r="D15">
        <f t="shared" ca="1" si="2"/>
        <v>0.39633645217366864</v>
      </c>
      <c r="E15" s="19">
        <f t="shared" ca="1" si="3"/>
        <v>0</v>
      </c>
      <c r="F15">
        <f t="shared" ca="1" si="2"/>
        <v>0.30095402972982455</v>
      </c>
      <c r="G15" s="74">
        <f t="shared" ca="1" si="7"/>
        <v>0</v>
      </c>
      <c r="H15">
        <f t="shared" ca="1" si="2"/>
        <v>0.6620265653935925</v>
      </c>
      <c r="I15" s="19">
        <f t="shared" ca="1" si="8"/>
        <v>1</v>
      </c>
      <c r="J15">
        <f t="shared" ca="1" si="2"/>
        <v>0.18670892672455064</v>
      </c>
      <c r="K15" s="74">
        <f t="shared" ca="1" si="9"/>
        <v>1</v>
      </c>
      <c r="L15">
        <f t="shared" ca="1" si="2"/>
        <v>1.3918849716326842E-2</v>
      </c>
      <c r="M15">
        <f t="shared" ca="1" si="1"/>
        <v>0</v>
      </c>
      <c r="O15" s="21">
        <v>1.6733200530681511</v>
      </c>
    </row>
    <row r="16" spans="2:17" x14ac:dyDescent="0.25">
      <c r="C16" t="s">
        <v>16</v>
      </c>
      <c r="D16">
        <f t="shared" ca="1" si="2"/>
        <v>0.38302510836083414</v>
      </c>
      <c r="E16" s="19">
        <f ca="1">IF(D17&gt;0.5,1,0)</f>
        <v>1</v>
      </c>
      <c r="F16">
        <f t="shared" ca="1" si="2"/>
        <v>0.10281418241435836</v>
      </c>
      <c r="G16" s="74">
        <f t="shared" ca="1" si="7"/>
        <v>0</v>
      </c>
      <c r="H16">
        <f t="shared" ca="1" si="2"/>
        <v>0.37307968104111988</v>
      </c>
      <c r="I16" s="19">
        <f t="shared" ca="1" si="8"/>
        <v>0</v>
      </c>
      <c r="J16">
        <f t="shared" ca="1" si="2"/>
        <v>0.98459593313546179</v>
      </c>
      <c r="K16" s="74">
        <f t="shared" ca="1" si="9"/>
        <v>1</v>
      </c>
      <c r="L16">
        <f t="shared" ca="1" si="2"/>
        <v>0.14781770133711891</v>
      </c>
      <c r="M16">
        <f t="shared" ca="1" si="1"/>
        <v>0</v>
      </c>
      <c r="O16" s="21">
        <v>6.6858058601786983</v>
      </c>
    </row>
    <row r="17" spans="3:15" x14ac:dyDescent="0.25">
      <c r="C17" t="s">
        <v>17</v>
      </c>
      <c r="D17">
        <f t="shared" ca="1" si="2"/>
        <v>0.93788963264592229</v>
      </c>
      <c r="E17" s="19">
        <f t="shared" ca="1" si="3"/>
        <v>1</v>
      </c>
      <c r="F17">
        <f t="shared" ca="1" si="2"/>
        <v>0.88734307502833099</v>
      </c>
      <c r="G17" s="74">
        <f t="shared" ca="1" si="7"/>
        <v>1</v>
      </c>
      <c r="H17">
        <f t="shared" ca="1" si="2"/>
        <v>3.1714676211940462E-2</v>
      </c>
      <c r="I17" s="19">
        <f t="shared" ca="1" si="8"/>
        <v>0</v>
      </c>
      <c r="J17">
        <f t="shared" ca="1" si="2"/>
        <v>0.10586040311089007</v>
      </c>
      <c r="K17" s="74">
        <f t="shared" ca="1" si="9"/>
        <v>0</v>
      </c>
      <c r="L17">
        <f t="shared" ca="1" si="2"/>
        <v>6.6350972461971636E-2</v>
      </c>
      <c r="M17">
        <f t="shared" ca="1" si="1"/>
        <v>0</v>
      </c>
      <c r="O17" s="21">
        <v>4.9799598391955113</v>
      </c>
    </row>
    <row r="18" spans="3:15" x14ac:dyDescent="0.25">
      <c r="C18" t="s">
        <v>18</v>
      </c>
      <c r="D18">
        <f t="shared" ca="1" si="2"/>
        <v>0.52525953753154586</v>
      </c>
      <c r="E18" s="19">
        <f t="shared" ca="1" si="3"/>
        <v>0</v>
      </c>
      <c r="F18">
        <f t="shared" ca="1" si="2"/>
        <v>0.34716810718300095</v>
      </c>
      <c r="G18" s="74">
        <f t="shared" ca="1" si="7"/>
        <v>0</v>
      </c>
      <c r="H18">
        <f t="shared" ca="1" si="2"/>
        <v>0.9034447384101717</v>
      </c>
      <c r="I18" s="19">
        <f t="shared" ca="1" si="8"/>
        <v>1</v>
      </c>
      <c r="J18">
        <f t="shared" ca="1" si="2"/>
        <v>0.9416541790201719</v>
      </c>
      <c r="K18" s="74">
        <f t="shared" ca="1" si="9"/>
        <v>1</v>
      </c>
      <c r="L18">
        <f t="shared" ca="1" si="2"/>
        <v>0.65471286801879425</v>
      </c>
      <c r="M18">
        <f t="shared" ca="1" si="1"/>
        <v>1</v>
      </c>
      <c r="O18" s="21">
        <v>2.1908902300206647</v>
      </c>
    </row>
    <row r="19" spans="3:15" x14ac:dyDescent="0.25">
      <c r="C19" t="s">
        <v>19</v>
      </c>
      <c r="D19">
        <f t="shared" ca="1" si="2"/>
        <v>0.10253670389853053</v>
      </c>
      <c r="E19" s="19">
        <f t="shared" ca="1" si="3"/>
        <v>0</v>
      </c>
      <c r="F19">
        <f t="shared" ca="1" si="2"/>
        <v>0.71437630011664832</v>
      </c>
      <c r="G19" s="74">
        <f t="shared" ca="1" si="7"/>
        <v>1</v>
      </c>
      <c r="H19">
        <f t="shared" ca="1" si="2"/>
        <v>0.54505802926770142</v>
      </c>
      <c r="I19" s="19">
        <f t="shared" ca="1" si="8"/>
        <v>1</v>
      </c>
      <c r="J19">
        <f t="shared" ca="1" si="2"/>
        <v>0.45067455433215931</v>
      </c>
      <c r="K19" s="74">
        <f t="shared" ca="1" si="9"/>
        <v>0</v>
      </c>
      <c r="L19">
        <f t="shared" ca="1" si="2"/>
        <v>0.64880079560856119</v>
      </c>
      <c r="M19">
        <f t="shared" ca="1" si="1"/>
        <v>1</v>
      </c>
      <c r="O19" s="21">
        <v>4.9799598391954882</v>
      </c>
    </row>
    <row r="20" spans="3:15" x14ac:dyDescent="0.25">
      <c r="C20" t="s">
        <v>165</v>
      </c>
      <c r="D20">
        <f ca="1">RAND()</f>
        <v>0.21980532686624188</v>
      </c>
      <c r="E20" s="19">
        <f t="shared" ca="1" si="3"/>
        <v>0</v>
      </c>
      <c r="F20">
        <f t="shared" ca="1" si="2"/>
        <v>0.80642495750680454</v>
      </c>
      <c r="G20" s="74">
        <f t="shared" ca="1" si="7"/>
        <v>1</v>
      </c>
      <c r="H20">
        <f ca="1">RAND()</f>
        <v>0.51067474558255121</v>
      </c>
      <c r="I20">
        <f ca="1">IF(H20&gt;0.5,1,0)</f>
        <v>1</v>
      </c>
      <c r="J20">
        <f t="shared" ca="1" si="2"/>
        <v>4.8473737095195091E-2</v>
      </c>
      <c r="K20" s="19">
        <f ca="1">1-E20</f>
        <v>1</v>
      </c>
      <c r="L20">
        <f t="shared" ca="1" si="2"/>
        <v>0.33171230985714972</v>
      </c>
      <c r="M20" s="74">
        <f ca="1">1-G20</f>
        <v>0</v>
      </c>
      <c r="N20" s="70"/>
      <c r="O20" s="21">
        <v>2.2803508501982761</v>
      </c>
    </row>
    <row r="21" spans="3:15" x14ac:dyDescent="0.25">
      <c r="C21" t="s">
        <v>166</v>
      </c>
      <c r="D21">
        <f t="shared" ca="1" si="2"/>
        <v>0.22104598762279204</v>
      </c>
      <c r="E21" s="19">
        <f t="shared" ca="1" si="3"/>
        <v>0</v>
      </c>
      <c r="F21">
        <f t="shared" ca="1" si="2"/>
        <v>0.59471065334185191</v>
      </c>
      <c r="G21" s="74">
        <f t="shared" ca="1" si="7"/>
        <v>1</v>
      </c>
      <c r="H21">
        <f t="shared" ca="1" si="2"/>
        <v>0.702337426263552</v>
      </c>
      <c r="I21">
        <f t="shared" ref="I21:I35" ca="1" si="10">IF(H21&gt;0.5,1,0)</f>
        <v>1</v>
      </c>
      <c r="J21">
        <f t="shared" ca="1" si="2"/>
        <v>0.55935194593014259</v>
      </c>
      <c r="K21" s="19">
        <f t="shared" ref="K21:M28" ca="1" si="11">1-E21</f>
        <v>1</v>
      </c>
      <c r="L21">
        <f t="shared" ca="1" si="2"/>
        <v>0.18681336436579621</v>
      </c>
      <c r="M21" s="74">
        <f t="shared" ref="M21:M27" ca="1" si="12">1-G21</f>
        <v>0</v>
      </c>
      <c r="N21" s="73"/>
      <c r="O21" s="21">
        <v>4.0865633483405102</v>
      </c>
    </row>
    <row r="22" spans="3:15" x14ac:dyDescent="0.25">
      <c r="C22" t="s">
        <v>167</v>
      </c>
      <c r="D22">
        <f t="shared" ref="D22:L38" ca="1" si="13">RAND()</f>
        <v>0.38797571168361777</v>
      </c>
      <c r="E22" s="19">
        <f t="shared" ca="1" si="3"/>
        <v>0</v>
      </c>
      <c r="F22">
        <f t="shared" ca="1" si="13"/>
        <v>9.1625345438394623E-2</v>
      </c>
      <c r="G22" s="74">
        <f t="shared" ca="1" si="7"/>
        <v>0</v>
      </c>
      <c r="H22">
        <f t="shared" ca="1" si="13"/>
        <v>0.822453765471997</v>
      </c>
      <c r="I22">
        <f t="shared" ca="1" si="10"/>
        <v>1</v>
      </c>
      <c r="J22">
        <f t="shared" ca="1" si="13"/>
        <v>2.5690504043065832E-2</v>
      </c>
      <c r="K22" s="19">
        <f t="shared" ca="1" si="11"/>
        <v>1</v>
      </c>
      <c r="L22">
        <f t="shared" ca="1" si="13"/>
        <v>0.89395670964721985</v>
      </c>
      <c r="M22" s="74">
        <f t="shared" ca="1" si="12"/>
        <v>1</v>
      </c>
      <c r="O22" s="21">
        <v>3.714835124201342</v>
      </c>
    </row>
    <row r="23" spans="3:15" x14ac:dyDescent="0.25">
      <c r="C23" t="s">
        <v>168</v>
      </c>
      <c r="D23">
        <f t="shared" ca="1" si="13"/>
        <v>0.26097660194618755</v>
      </c>
      <c r="E23" s="19">
        <f t="shared" ca="1" si="3"/>
        <v>0</v>
      </c>
      <c r="F23">
        <f t="shared" ca="1" si="13"/>
        <v>0.28338413445392974</v>
      </c>
      <c r="G23" s="74">
        <f t="shared" ca="1" si="7"/>
        <v>0</v>
      </c>
      <c r="H23">
        <f t="shared" ca="1" si="13"/>
        <v>0.925163676104092</v>
      </c>
      <c r="I23">
        <f t="shared" ca="1" si="10"/>
        <v>1</v>
      </c>
      <c r="J23">
        <f t="shared" ca="1" si="13"/>
        <v>0.74951054905859038</v>
      </c>
      <c r="K23" s="19">
        <f t="shared" ca="1" si="11"/>
        <v>1</v>
      </c>
      <c r="L23">
        <f t="shared" ca="1" si="13"/>
        <v>0.50497488820708103</v>
      </c>
      <c r="M23" s="74">
        <f t="shared" ca="1" si="12"/>
        <v>1</v>
      </c>
      <c r="O23" s="21">
        <v>7.3006848993775888</v>
      </c>
    </row>
    <row r="24" spans="3:15" x14ac:dyDescent="0.25">
      <c r="C24" t="s">
        <v>169</v>
      </c>
      <c r="D24">
        <f t="shared" ca="1" si="13"/>
        <v>0.34145236348633179</v>
      </c>
      <c r="E24" s="19">
        <f t="shared" ca="1" si="3"/>
        <v>1</v>
      </c>
      <c r="F24">
        <f t="shared" ca="1" si="13"/>
        <v>0.46208930685059912</v>
      </c>
      <c r="G24" s="74">
        <f t="shared" ca="1" si="7"/>
        <v>0</v>
      </c>
      <c r="H24">
        <f t="shared" ca="1" si="13"/>
        <v>0.84432415173087316</v>
      </c>
      <c r="I24">
        <f t="shared" ca="1" si="10"/>
        <v>1</v>
      </c>
      <c r="J24">
        <f t="shared" ca="1" si="13"/>
        <v>3.8119311966110181E-2</v>
      </c>
      <c r="K24" s="19">
        <f t="shared" ca="1" si="11"/>
        <v>0</v>
      </c>
      <c r="L24">
        <f t="shared" ca="1" si="13"/>
        <v>0.14015420335765783</v>
      </c>
      <c r="M24" s="74">
        <f t="shared" ca="1" si="12"/>
        <v>1</v>
      </c>
      <c r="O24" s="21">
        <v>4.2190046219457971</v>
      </c>
    </row>
    <row r="25" spans="3:15" x14ac:dyDescent="0.25">
      <c r="C25" t="s">
        <v>170</v>
      </c>
      <c r="D25">
        <f t="shared" ca="1" si="13"/>
        <v>0.61313284934549894</v>
      </c>
      <c r="E25" s="19">
        <f t="shared" ca="1" si="3"/>
        <v>1</v>
      </c>
      <c r="F25">
        <f t="shared" ca="1" si="13"/>
        <v>0.86654637016606983</v>
      </c>
      <c r="G25" s="74">
        <f t="shared" ca="1" si="7"/>
        <v>1</v>
      </c>
      <c r="H25">
        <f t="shared" ca="1" si="13"/>
        <v>2.4845334116864293E-2</v>
      </c>
      <c r="I25">
        <f t="shared" ca="1" si="10"/>
        <v>0</v>
      </c>
      <c r="J25">
        <f t="shared" ca="1" si="13"/>
        <v>0.91966073187639741</v>
      </c>
      <c r="K25" s="19">
        <f t="shared" ca="1" si="11"/>
        <v>0</v>
      </c>
      <c r="L25">
        <f t="shared" ca="1" si="13"/>
        <v>0.210249777363544</v>
      </c>
      <c r="M25" s="74">
        <f t="shared" ca="1" si="12"/>
        <v>0</v>
      </c>
      <c r="O25" s="21">
        <v>1.9493588689617927</v>
      </c>
    </row>
    <row r="26" spans="3:15" x14ac:dyDescent="0.25">
      <c r="C26" t="s">
        <v>171</v>
      </c>
      <c r="D26">
        <f t="shared" ca="1" si="13"/>
        <v>0.89393739330278676</v>
      </c>
      <c r="E26" s="19">
        <f t="shared" ca="1" si="3"/>
        <v>1</v>
      </c>
      <c r="F26">
        <f t="shared" ca="1" si="13"/>
        <v>0.53959370696356446</v>
      </c>
      <c r="G26" s="74">
        <f t="shared" ca="1" si="7"/>
        <v>1</v>
      </c>
      <c r="H26">
        <f t="shared" ca="1" si="13"/>
        <v>5.79649128178642E-2</v>
      </c>
      <c r="I26">
        <f t="shared" ca="1" si="10"/>
        <v>0</v>
      </c>
      <c r="J26">
        <f t="shared" ca="1" si="13"/>
        <v>0.43723965779069329</v>
      </c>
      <c r="K26" s="19">
        <f t="shared" ca="1" si="11"/>
        <v>0</v>
      </c>
      <c r="L26">
        <f t="shared" ca="1" si="13"/>
        <v>3.6233340762176103E-2</v>
      </c>
      <c r="M26" s="74">
        <f t="shared" ca="1" si="12"/>
        <v>0</v>
      </c>
      <c r="O26" s="21">
        <v>2.8809720581775866</v>
      </c>
    </row>
    <row r="27" spans="3:15" x14ac:dyDescent="0.25">
      <c r="C27" t="s">
        <v>172</v>
      </c>
      <c r="D27">
        <f t="shared" ca="1" si="13"/>
        <v>0.61570205472015394</v>
      </c>
      <c r="E27" s="19">
        <f t="shared" ca="1" si="3"/>
        <v>0</v>
      </c>
      <c r="F27">
        <f t="shared" ca="1" si="13"/>
        <v>0.23707664814806606</v>
      </c>
      <c r="G27" s="74">
        <f t="shared" ca="1" si="7"/>
        <v>0</v>
      </c>
      <c r="H27">
        <f t="shared" ca="1" si="13"/>
        <v>0.63446769661548885</v>
      </c>
      <c r="I27">
        <f t="shared" ca="1" si="10"/>
        <v>1</v>
      </c>
      <c r="J27">
        <f t="shared" ca="1" si="13"/>
        <v>0.28457637929349155</v>
      </c>
      <c r="K27" s="19">
        <f t="shared" ca="1" si="11"/>
        <v>1</v>
      </c>
      <c r="L27">
        <f t="shared" ca="1" si="13"/>
        <v>0.7598497816761528</v>
      </c>
      <c r="M27" s="74">
        <f t="shared" ca="1" si="12"/>
        <v>1</v>
      </c>
      <c r="O27" s="21">
        <v>4.3931765272977596</v>
      </c>
    </row>
    <row r="28" spans="3:15" x14ac:dyDescent="0.25">
      <c r="C28" t="s">
        <v>173</v>
      </c>
      <c r="D28">
        <f t="shared" ca="1" si="13"/>
        <v>5.0155004867278752E-2</v>
      </c>
      <c r="E28" s="19">
        <f t="shared" ca="1" si="3"/>
        <v>0</v>
      </c>
      <c r="F28">
        <f t="shared" ca="1" si="13"/>
        <v>0.34586819031080662</v>
      </c>
      <c r="G28" s="74">
        <f t="shared" ca="1" si="7"/>
        <v>0</v>
      </c>
      <c r="H28">
        <f t="shared" ca="1" si="13"/>
        <v>0.65073795331161399</v>
      </c>
      <c r="I28" s="74">
        <f ca="1">1-G28</f>
        <v>1</v>
      </c>
      <c r="J28">
        <f t="shared" ca="1" si="13"/>
        <v>0.97030999781177996</v>
      </c>
      <c r="K28">
        <f t="shared" ref="K16:K79" ca="1" si="14">IF(J28&gt;0.5,1,0)</f>
        <v>1</v>
      </c>
      <c r="L28">
        <f t="shared" ca="1" si="13"/>
        <v>0.66060658236464331</v>
      </c>
      <c r="M28" s="19">
        <f ca="1">1-E28</f>
        <v>1</v>
      </c>
      <c r="O28" s="21">
        <v>2.7018512172212592</v>
      </c>
    </row>
    <row r="29" spans="3:15" x14ac:dyDescent="0.25">
      <c r="C29" t="s">
        <v>174</v>
      </c>
      <c r="D29">
        <f t="shared" ca="1" si="13"/>
        <v>0.16999800621356642</v>
      </c>
      <c r="E29" s="19">
        <f t="shared" ca="1" si="3"/>
        <v>0</v>
      </c>
      <c r="F29">
        <f t="shared" ca="1" si="13"/>
        <v>0.30362535961287418</v>
      </c>
      <c r="G29" s="74">
        <f t="shared" ca="1" si="7"/>
        <v>0</v>
      </c>
      <c r="H29">
        <f t="shared" ca="1" si="13"/>
        <v>0.24692012374264505</v>
      </c>
      <c r="I29" s="74">
        <f t="shared" ref="I29:I35" ca="1" si="15">1-G29</f>
        <v>1</v>
      </c>
      <c r="J29">
        <f t="shared" ca="1" si="13"/>
        <v>0.7872142653902664</v>
      </c>
      <c r="K29">
        <f t="shared" ca="1" si="14"/>
        <v>1</v>
      </c>
      <c r="L29">
        <f t="shared" ca="1" si="13"/>
        <v>0.32754110449726703</v>
      </c>
      <c r="M29" s="19">
        <f t="shared" ref="M29:M35" ca="1" si="16">1-E29</f>
        <v>1</v>
      </c>
      <c r="O29" s="21">
        <v>7.1274118724821971</v>
      </c>
    </row>
    <row r="30" spans="3:15" x14ac:dyDescent="0.25">
      <c r="C30" t="s">
        <v>175</v>
      </c>
      <c r="D30">
        <f t="shared" ca="1" si="13"/>
        <v>0.36633701010735831</v>
      </c>
      <c r="E30" s="19">
        <f t="shared" ca="1" si="3"/>
        <v>1</v>
      </c>
      <c r="F30">
        <f t="shared" ca="1" si="13"/>
        <v>0.55887509730429907</v>
      </c>
      <c r="G30" s="74">
        <f t="shared" ca="1" si="7"/>
        <v>1</v>
      </c>
      <c r="H30">
        <f t="shared" ca="1" si="13"/>
        <v>0.92882293142942862</v>
      </c>
      <c r="I30" s="74">
        <f t="shared" ca="1" si="15"/>
        <v>0</v>
      </c>
      <c r="J30">
        <f t="shared" ca="1" si="13"/>
        <v>0.48139578060031019</v>
      </c>
      <c r="K30">
        <f t="shared" ca="1" si="14"/>
        <v>0</v>
      </c>
      <c r="L30">
        <f t="shared" ca="1" si="13"/>
        <v>0.48192842350416865</v>
      </c>
      <c r="M30" s="19">
        <f t="shared" ca="1" si="16"/>
        <v>0</v>
      </c>
      <c r="O30" s="21">
        <v>2.9664793948382653</v>
      </c>
    </row>
    <row r="31" spans="3:15" x14ac:dyDescent="0.25">
      <c r="C31" t="s">
        <v>176</v>
      </c>
      <c r="D31">
        <f t="shared" ca="1" si="13"/>
        <v>0.50380926856405417</v>
      </c>
      <c r="E31" s="19">
        <f t="shared" ca="1" si="3"/>
        <v>1</v>
      </c>
      <c r="F31">
        <f t="shared" ca="1" si="13"/>
        <v>0.42395886305195718</v>
      </c>
      <c r="G31" s="74">
        <f t="shared" ca="1" si="7"/>
        <v>0</v>
      </c>
      <c r="H31">
        <f t="shared" ca="1" si="13"/>
        <v>0.81283765070572822</v>
      </c>
      <c r="I31" s="74">
        <f t="shared" ca="1" si="15"/>
        <v>1</v>
      </c>
      <c r="J31">
        <f t="shared" ca="1" si="13"/>
        <v>0.30634964525379582</v>
      </c>
      <c r="K31">
        <f t="shared" ca="1" si="14"/>
        <v>0</v>
      </c>
      <c r="L31">
        <f t="shared" ca="1" si="13"/>
        <v>0.17442965593761561</v>
      </c>
      <c r="M31" s="19">
        <f t="shared" ca="1" si="16"/>
        <v>0</v>
      </c>
      <c r="O31" s="21">
        <v>3.5637059362410923</v>
      </c>
    </row>
    <row r="32" spans="3:15" x14ac:dyDescent="0.25">
      <c r="C32" t="s">
        <v>177</v>
      </c>
      <c r="D32">
        <f t="shared" ca="1" si="13"/>
        <v>0.61065328043073375</v>
      </c>
      <c r="E32" s="19">
        <f t="shared" ca="1" si="3"/>
        <v>1</v>
      </c>
      <c r="F32">
        <f t="shared" ca="1" si="13"/>
        <v>0.7535981513380452</v>
      </c>
      <c r="G32" s="74">
        <f t="shared" ca="1" si="7"/>
        <v>1</v>
      </c>
      <c r="H32">
        <f t="shared" ca="1" si="13"/>
        <v>0.1557813680493032</v>
      </c>
      <c r="I32" s="74">
        <f t="shared" ca="1" si="15"/>
        <v>0</v>
      </c>
      <c r="J32">
        <f t="shared" ca="1" si="13"/>
        <v>0.44687049277455759</v>
      </c>
      <c r="K32">
        <f t="shared" ca="1" si="14"/>
        <v>0</v>
      </c>
      <c r="L32">
        <f t="shared" ca="1" si="13"/>
        <v>0.44027396904262428</v>
      </c>
      <c r="M32" s="19">
        <f t="shared" ca="1" si="16"/>
        <v>0</v>
      </c>
      <c r="O32" s="21">
        <v>3.3615472627943221</v>
      </c>
    </row>
    <row r="33" spans="3:15" x14ac:dyDescent="0.25">
      <c r="C33" t="s">
        <v>178</v>
      </c>
      <c r="D33">
        <f t="shared" ca="1" si="13"/>
        <v>0.96872620737635429</v>
      </c>
      <c r="E33" s="19">
        <f t="shared" ca="1" si="3"/>
        <v>1</v>
      </c>
      <c r="F33">
        <f t="shared" ca="1" si="13"/>
        <v>0.73253758039038908</v>
      </c>
      <c r="G33" s="74">
        <f t="shared" ca="1" si="7"/>
        <v>1</v>
      </c>
      <c r="H33">
        <f t="shared" ca="1" si="13"/>
        <v>0.73163059429813193</v>
      </c>
      <c r="I33" s="74">
        <f t="shared" ca="1" si="15"/>
        <v>0</v>
      </c>
      <c r="J33">
        <f t="shared" ca="1" si="13"/>
        <v>0.35046410998938204</v>
      </c>
      <c r="K33">
        <f t="shared" ca="1" si="14"/>
        <v>0</v>
      </c>
      <c r="L33">
        <f t="shared" ca="1" si="13"/>
        <v>0.62249795970678168</v>
      </c>
      <c r="M33" s="19">
        <f t="shared" ca="1" si="16"/>
        <v>0</v>
      </c>
      <c r="O33" s="21">
        <v>5.7183913821983028</v>
      </c>
    </row>
    <row r="34" spans="3:15" x14ac:dyDescent="0.25">
      <c r="C34" t="s">
        <v>179</v>
      </c>
      <c r="D34">
        <f t="shared" ca="1" si="13"/>
        <v>0.56618541640891729</v>
      </c>
      <c r="E34" s="19">
        <f t="shared" ca="1" si="3"/>
        <v>0</v>
      </c>
      <c r="F34">
        <f t="shared" ca="1" si="13"/>
        <v>7.4133046841993844E-2</v>
      </c>
      <c r="G34" s="74">
        <f t="shared" ca="1" si="7"/>
        <v>0</v>
      </c>
      <c r="H34">
        <f t="shared" ca="1" si="13"/>
        <v>0.41134571581890145</v>
      </c>
      <c r="I34" s="74">
        <f t="shared" ca="1" si="15"/>
        <v>1</v>
      </c>
      <c r="J34">
        <f t="shared" ca="1" si="13"/>
        <v>0.8051518498897996</v>
      </c>
      <c r="K34">
        <f t="shared" ca="1" si="14"/>
        <v>1</v>
      </c>
      <c r="L34">
        <f t="shared" ca="1" si="13"/>
        <v>0.56595680924251257</v>
      </c>
      <c r="M34" s="19">
        <f t="shared" ca="1" si="16"/>
        <v>1</v>
      </c>
      <c r="O34" s="21">
        <v>2.7928480087537881</v>
      </c>
    </row>
    <row r="35" spans="3:15" x14ac:dyDescent="0.25">
      <c r="C35" t="s">
        <v>180</v>
      </c>
      <c r="D35">
        <f t="shared" ca="1" si="13"/>
        <v>0.12878132244778795</v>
      </c>
      <c r="E35" s="19">
        <f t="shared" ca="1" si="3"/>
        <v>1</v>
      </c>
      <c r="F35">
        <f t="shared" ca="1" si="13"/>
        <v>4.889395831440968E-2</v>
      </c>
      <c r="G35" s="74">
        <f t="shared" ca="1" si="7"/>
        <v>0</v>
      </c>
      <c r="H35">
        <f t="shared" ca="1" si="13"/>
        <v>0.33141963467261115</v>
      </c>
      <c r="I35" s="74">
        <f t="shared" ca="1" si="15"/>
        <v>1</v>
      </c>
      <c r="J35">
        <f t="shared" ca="1" si="13"/>
        <v>0.70852884538378225</v>
      </c>
      <c r="K35">
        <f t="shared" ca="1" si="14"/>
        <v>1</v>
      </c>
      <c r="L35">
        <f t="shared" ca="1" si="13"/>
        <v>0.42925644101087879</v>
      </c>
      <c r="M35" s="19">
        <f t="shared" ca="1" si="16"/>
        <v>0</v>
      </c>
      <c r="O35" s="21">
        <v>5.5856960175075603</v>
      </c>
    </row>
    <row r="36" spans="3:15" x14ac:dyDescent="0.25">
      <c r="C36" t="s">
        <v>181</v>
      </c>
      <c r="D36">
        <f ca="1">RAND()</f>
        <v>0.67842029868330767</v>
      </c>
      <c r="E36">
        <f t="shared" ref="E20:E83" ca="1" si="17">IF(D36&gt;0.5,1,0)</f>
        <v>1</v>
      </c>
      <c r="F36">
        <f t="shared" ca="1" si="13"/>
        <v>0.68739144436696742</v>
      </c>
      <c r="G36">
        <f t="shared" ca="1" si="7"/>
        <v>1</v>
      </c>
      <c r="H36">
        <f ca="1">RAND()</f>
        <v>0.22788862436331758</v>
      </c>
      <c r="I36" s="61">
        <f ca="1">IF(H36&gt;0.5,1,0)</f>
        <v>0</v>
      </c>
      <c r="J36">
        <f t="shared" ca="1" si="13"/>
        <v>0.79906085646891456</v>
      </c>
      <c r="K36">
        <f t="shared" ca="1" si="14"/>
        <v>1</v>
      </c>
      <c r="L36">
        <f t="shared" ca="1" si="13"/>
        <v>0.95586284528448917</v>
      </c>
      <c r="M36" s="61">
        <f ca="1">1-I36</f>
        <v>1</v>
      </c>
      <c r="O36" s="21">
        <v>6.5802735505448542</v>
      </c>
    </row>
    <row r="37" spans="3:15" x14ac:dyDescent="0.25">
      <c r="C37" t="s">
        <v>182</v>
      </c>
      <c r="D37">
        <f t="shared" ca="1" si="13"/>
        <v>0.12491485079312203</v>
      </c>
      <c r="E37">
        <f t="shared" ca="1" si="17"/>
        <v>0</v>
      </c>
      <c r="F37">
        <f t="shared" ca="1" si="13"/>
        <v>0.90476062397064705</v>
      </c>
      <c r="G37">
        <f t="shared" ca="1" si="7"/>
        <v>1</v>
      </c>
      <c r="H37">
        <f t="shared" ca="1" si="13"/>
        <v>7.5677379760352603E-2</v>
      </c>
      <c r="I37" s="61">
        <f t="shared" ref="I37:I43" ca="1" si="18">IF(H37&gt;0.5,1,0)</f>
        <v>0</v>
      </c>
      <c r="J37">
        <f t="shared" ca="1" si="13"/>
        <v>4.5730425425479782E-3</v>
      </c>
      <c r="K37">
        <f t="shared" ca="1" si="14"/>
        <v>0</v>
      </c>
      <c r="L37">
        <f t="shared" ca="1" si="13"/>
        <v>0.81726085784943203</v>
      </c>
      <c r="M37" s="61">
        <f t="shared" ref="M37:M43" ca="1" si="19">1-I37</f>
        <v>1</v>
      </c>
      <c r="O37" s="21">
        <v>9.3701654200979796</v>
      </c>
    </row>
    <row r="38" spans="3:15" x14ac:dyDescent="0.25">
      <c r="C38" t="s">
        <v>183</v>
      </c>
      <c r="D38">
        <f t="shared" ca="1" si="13"/>
        <v>0.81243019348718282</v>
      </c>
      <c r="E38">
        <f t="shared" ca="1" si="17"/>
        <v>1</v>
      </c>
      <c r="F38">
        <f t="shared" ca="1" si="13"/>
        <v>0.34887407897319911</v>
      </c>
      <c r="G38">
        <f t="shared" ca="1" si="7"/>
        <v>0</v>
      </c>
      <c r="H38">
        <f t="shared" ca="1" si="13"/>
        <v>0.48375311451846792</v>
      </c>
      <c r="I38" s="61">
        <f t="shared" ca="1" si="18"/>
        <v>0</v>
      </c>
      <c r="J38">
        <f t="shared" ca="1" si="13"/>
        <v>0.93962287161346647</v>
      </c>
      <c r="K38">
        <f t="shared" ca="1" si="14"/>
        <v>1</v>
      </c>
      <c r="L38">
        <f t="shared" ca="1" si="13"/>
        <v>6.157628925185743E-2</v>
      </c>
      <c r="M38" s="61">
        <f t="shared" ca="1" si="19"/>
        <v>1</v>
      </c>
      <c r="O38" s="21">
        <v>6.1073725938409842</v>
      </c>
    </row>
    <row r="39" spans="3:15" x14ac:dyDescent="0.25">
      <c r="C39" t="s">
        <v>184</v>
      </c>
      <c r="D39">
        <f t="shared" ref="D39:L55" ca="1" si="20">RAND()</f>
        <v>0.94074542678086215</v>
      </c>
      <c r="E39">
        <f t="shared" ca="1" si="17"/>
        <v>1</v>
      </c>
      <c r="F39">
        <f t="shared" ca="1" si="20"/>
        <v>1.5305658944125056E-2</v>
      </c>
      <c r="G39">
        <f t="shared" ca="1" si="7"/>
        <v>0</v>
      </c>
      <c r="H39">
        <f t="shared" ca="1" si="20"/>
        <v>0.15828404884269798</v>
      </c>
      <c r="I39" s="61">
        <f t="shared" ca="1" si="18"/>
        <v>0</v>
      </c>
      <c r="J39">
        <f t="shared" ca="1" si="20"/>
        <v>0.71045978456627001</v>
      </c>
      <c r="K39">
        <f t="shared" ca="1" si="14"/>
        <v>1</v>
      </c>
      <c r="L39">
        <f t="shared" ca="1" si="20"/>
        <v>0.23908581775219684</v>
      </c>
      <c r="M39" s="61">
        <f t="shared" ca="1" si="19"/>
        <v>1</v>
      </c>
      <c r="O39" s="21">
        <v>5.1768716422179093</v>
      </c>
    </row>
    <row r="40" spans="3:15" x14ac:dyDescent="0.25">
      <c r="C40" t="s">
        <v>185</v>
      </c>
      <c r="D40">
        <f t="shared" ca="1" si="20"/>
        <v>0.50208180651689016</v>
      </c>
      <c r="E40">
        <f t="shared" ca="1" si="17"/>
        <v>1</v>
      </c>
      <c r="F40">
        <f t="shared" ca="1" si="20"/>
        <v>0.23879231608743223</v>
      </c>
      <c r="G40">
        <f t="shared" ca="1" si="7"/>
        <v>0</v>
      </c>
      <c r="H40">
        <f t="shared" ca="1" si="20"/>
        <v>0.99509063268353493</v>
      </c>
      <c r="I40" s="61">
        <f t="shared" ca="1" si="18"/>
        <v>1</v>
      </c>
      <c r="J40">
        <f t="shared" ca="1" si="20"/>
        <v>0.95326696553891521</v>
      </c>
      <c r="K40">
        <f t="shared" ca="1" si="14"/>
        <v>1</v>
      </c>
      <c r="L40">
        <f t="shared" ca="1" si="20"/>
        <v>7.3376505090918975E-2</v>
      </c>
      <c r="M40" s="61">
        <f t="shared" ca="1" si="19"/>
        <v>0</v>
      </c>
      <c r="O40" s="21">
        <v>5.3103672189406845</v>
      </c>
    </row>
    <row r="41" spans="3:15" x14ac:dyDescent="0.25">
      <c r="C41" t="s">
        <v>186</v>
      </c>
      <c r="D41">
        <f t="shared" ca="1" si="20"/>
        <v>0.96129209172335794</v>
      </c>
      <c r="E41">
        <f t="shared" ca="1" si="17"/>
        <v>1</v>
      </c>
      <c r="F41">
        <f t="shared" ca="1" si="20"/>
        <v>0.47964779555700865</v>
      </c>
      <c r="G41">
        <f t="shared" ca="1" si="7"/>
        <v>0</v>
      </c>
      <c r="H41">
        <f t="shared" ca="1" si="20"/>
        <v>2.1979148606732224E-3</v>
      </c>
      <c r="I41" s="61">
        <f t="shared" ca="1" si="18"/>
        <v>0</v>
      </c>
      <c r="J41">
        <f t="shared" ca="1" si="20"/>
        <v>0.21986477257426851</v>
      </c>
      <c r="K41">
        <f t="shared" ca="1" si="14"/>
        <v>0</v>
      </c>
      <c r="L41">
        <f t="shared" ca="1" si="20"/>
        <v>0.77977365021156975</v>
      </c>
      <c r="M41" s="61">
        <f t="shared" ca="1" si="19"/>
        <v>1</v>
      </c>
      <c r="O41" s="21">
        <v>2.2360679774997898</v>
      </c>
    </row>
    <row r="42" spans="3:15" x14ac:dyDescent="0.25">
      <c r="C42" t="s">
        <v>187</v>
      </c>
      <c r="D42">
        <f t="shared" ca="1" si="20"/>
        <v>4.1311093751694838E-2</v>
      </c>
      <c r="E42">
        <f t="shared" ca="1" si="17"/>
        <v>0</v>
      </c>
      <c r="F42">
        <f t="shared" ca="1" si="20"/>
        <v>0.60644418165035519</v>
      </c>
      <c r="G42">
        <f t="shared" ca="1" si="7"/>
        <v>1</v>
      </c>
      <c r="H42">
        <f t="shared" ca="1" si="20"/>
        <v>0.20468727718460955</v>
      </c>
      <c r="I42" s="61">
        <f t="shared" ca="1" si="18"/>
        <v>0</v>
      </c>
      <c r="J42">
        <f t="shared" ca="1" si="20"/>
        <v>0.80488456061358193</v>
      </c>
      <c r="K42">
        <f t="shared" ca="1" si="14"/>
        <v>1</v>
      </c>
      <c r="L42">
        <f t="shared" ca="1" si="20"/>
        <v>0.19887554586483336</v>
      </c>
      <c r="M42" s="61">
        <f t="shared" ca="1" si="19"/>
        <v>1</v>
      </c>
      <c r="O42" s="21">
        <v>4.5825756949558398</v>
      </c>
    </row>
    <row r="43" spans="3:15" x14ac:dyDescent="0.25">
      <c r="C43" t="s">
        <v>188</v>
      </c>
      <c r="D43">
        <f t="shared" ca="1" si="20"/>
        <v>0.53286957552601444</v>
      </c>
      <c r="E43">
        <f t="shared" ca="1" si="17"/>
        <v>1</v>
      </c>
      <c r="F43">
        <f t="shared" ca="1" si="20"/>
        <v>0.10548040633721401</v>
      </c>
      <c r="G43">
        <f t="shared" ca="1" si="7"/>
        <v>0</v>
      </c>
      <c r="H43">
        <f t="shared" ca="1" si="20"/>
        <v>0.47952478829637302</v>
      </c>
      <c r="I43" s="61">
        <f t="shared" ca="1" si="18"/>
        <v>0</v>
      </c>
      <c r="J43">
        <f t="shared" ca="1" si="20"/>
        <v>0.88217700573378388</v>
      </c>
      <c r="K43">
        <f t="shared" ca="1" si="14"/>
        <v>1</v>
      </c>
      <c r="L43">
        <f t="shared" ca="1" si="20"/>
        <v>0.53984102342143103</v>
      </c>
      <c r="M43" s="61">
        <f t="shared" ca="1" si="19"/>
        <v>1</v>
      </c>
      <c r="O43" s="21">
        <v>5.2630789467763108</v>
      </c>
    </row>
    <row r="44" spans="3:15" x14ac:dyDescent="0.25">
      <c r="C44" t="s">
        <v>189</v>
      </c>
      <c r="D44">
        <f t="shared" ca="1" si="20"/>
        <v>0.98883328962338746</v>
      </c>
      <c r="E44">
        <f t="shared" ca="1" si="17"/>
        <v>1</v>
      </c>
      <c r="F44">
        <f t="shared" ca="1" si="20"/>
        <v>0.47015214876845646</v>
      </c>
      <c r="G44">
        <f t="shared" ca="1" si="7"/>
        <v>0</v>
      </c>
      <c r="H44">
        <f t="shared" ca="1" si="20"/>
        <v>0.97434397593214561</v>
      </c>
      <c r="I44">
        <f t="shared" ref="I37:I51" ca="1" si="21">IF(H44&gt;0.5,1,0)</f>
        <v>1</v>
      </c>
      <c r="J44">
        <f t="shared" ca="1" si="20"/>
        <v>0.19654065132846898</v>
      </c>
      <c r="K44" s="75">
        <f t="shared" ca="1" si="14"/>
        <v>0</v>
      </c>
      <c r="L44">
        <f t="shared" ca="1" si="20"/>
        <v>0.78110310117512427</v>
      </c>
      <c r="M44" s="75">
        <f ca="1">1-K44</f>
        <v>1</v>
      </c>
      <c r="O44" s="21">
        <v>3.271085446759225</v>
      </c>
    </row>
    <row r="45" spans="3:15" x14ac:dyDescent="0.25">
      <c r="C45" t="s">
        <v>190</v>
      </c>
      <c r="D45">
        <f t="shared" ca="1" si="20"/>
        <v>0.64957506754960204</v>
      </c>
      <c r="E45">
        <f t="shared" ca="1" si="17"/>
        <v>1</v>
      </c>
      <c r="F45">
        <f t="shared" ca="1" si="20"/>
        <v>0.88445837720770382</v>
      </c>
      <c r="G45">
        <f t="shared" ca="1" si="7"/>
        <v>1</v>
      </c>
      <c r="H45">
        <f t="shared" ca="1" si="20"/>
        <v>0.84617479131581219</v>
      </c>
      <c r="I45">
        <f t="shared" ca="1" si="21"/>
        <v>1</v>
      </c>
      <c r="J45">
        <f t="shared" ca="1" si="20"/>
        <v>0.73162234938007675</v>
      </c>
      <c r="K45" s="75">
        <f t="shared" ca="1" si="14"/>
        <v>1</v>
      </c>
      <c r="L45">
        <f t="shared" ca="1" si="20"/>
        <v>0.75815589762760582</v>
      </c>
      <c r="M45" s="75">
        <f t="shared" ref="M45:M51" ca="1" si="22">1-K45</f>
        <v>0</v>
      </c>
      <c r="O45" s="21">
        <v>5.7008771254956896</v>
      </c>
    </row>
    <row r="46" spans="3:15" x14ac:dyDescent="0.25">
      <c r="C46" t="s">
        <v>191</v>
      </c>
      <c r="D46">
        <f t="shared" ca="1" si="20"/>
        <v>0.44046186227976047</v>
      </c>
      <c r="E46">
        <f t="shared" ca="1" si="17"/>
        <v>0</v>
      </c>
      <c r="F46">
        <f t="shared" ca="1" si="20"/>
        <v>0.66876473897024691</v>
      </c>
      <c r="G46">
        <f t="shared" ca="1" si="7"/>
        <v>1</v>
      </c>
      <c r="H46">
        <f t="shared" ca="1" si="20"/>
        <v>0.18985495610751302</v>
      </c>
      <c r="I46">
        <f t="shared" ca="1" si="21"/>
        <v>0</v>
      </c>
      <c r="J46">
        <f t="shared" ca="1" si="20"/>
        <v>0.14299047292097466</v>
      </c>
      <c r="K46" s="75">
        <f t="shared" ca="1" si="14"/>
        <v>0</v>
      </c>
      <c r="L46">
        <f t="shared" ca="1" si="20"/>
        <v>0.91426748014284065</v>
      </c>
      <c r="M46" s="75">
        <f t="shared" ca="1" si="22"/>
        <v>1</v>
      </c>
      <c r="O46" s="21">
        <v>4.4944410108488517</v>
      </c>
    </row>
    <row r="47" spans="3:15" x14ac:dyDescent="0.25">
      <c r="C47" t="s">
        <v>192</v>
      </c>
      <c r="D47">
        <f t="shared" ca="1" si="20"/>
        <v>0.87104483405460953</v>
      </c>
      <c r="E47">
        <f t="shared" ca="1" si="17"/>
        <v>1</v>
      </c>
      <c r="F47">
        <f t="shared" ca="1" si="20"/>
        <v>0.18066597124482331</v>
      </c>
      <c r="G47">
        <f t="shared" ca="1" si="7"/>
        <v>0</v>
      </c>
      <c r="H47">
        <f t="shared" ca="1" si="20"/>
        <v>0.74627714027942105</v>
      </c>
      <c r="I47">
        <f t="shared" ca="1" si="21"/>
        <v>1</v>
      </c>
      <c r="J47">
        <f t="shared" ca="1" si="20"/>
        <v>0.45030487344010062</v>
      </c>
      <c r="K47" s="75">
        <f t="shared" ca="1" si="14"/>
        <v>0</v>
      </c>
      <c r="L47">
        <f t="shared" ca="1" si="20"/>
        <v>0.75149514243376436</v>
      </c>
      <c r="M47" s="75">
        <f t="shared" ca="1" si="22"/>
        <v>1</v>
      </c>
      <c r="O47" s="21">
        <v>6.5421708935184473</v>
      </c>
    </row>
    <row r="48" spans="3:15" x14ac:dyDescent="0.25">
      <c r="C48" t="s">
        <v>193</v>
      </c>
      <c r="D48">
        <f t="shared" ca="1" si="20"/>
        <v>0.16489235618550846</v>
      </c>
      <c r="E48">
        <f t="shared" ca="1" si="17"/>
        <v>0</v>
      </c>
      <c r="F48">
        <f t="shared" ca="1" si="20"/>
        <v>4.6749518248312638E-2</v>
      </c>
      <c r="G48">
        <f t="shared" ca="1" si="7"/>
        <v>0</v>
      </c>
      <c r="H48">
        <f t="shared" ca="1" si="20"/>
        <v>1.274397810100103E-2</v>
      </c>
      <c r="I48">
        <f t="shared" ca="1" si="21"/>
        <v>0</v>
      </c>
      <c r="J48">
        <f t="shared" ca="1" si="20"/>
        <v>0.65780395968390792</v>
      </c>
      <c r="K48" s="75">
        <f t="shared" ca="1" si="14"/>
        <v>1</v>
      </c>
      <c r="L48">
        <f t="shared" ca="1" si="20"/>
        <v>0.43202337202020968</v>
      </c>
      <c r="M48" s="75">
        <f t="shared" ca="1" si="22"/>
        <v>0</v>
      </c>
      <c r="O48" s="21">
        <v>3.4928498393145961</v>
      </c>
    </row>
    <row r="49" spans="3:15" x14ac:dyDescent="0.25">
      <c r="C49" t="s">
        <v>194</v>
      </c>
      <c r="D49">
        <f t="shared" ca="1" si="20"/>
        <v>0.40946355799600131</v>
      </c>
      <c r="E49">
        <f t="shared" ca="1" si="17"/>
        <v>0</v>
      </c>
      <c r="F49">
        <f t="shared" ca="1" si="20"/>
        <v>0.77457518264501157</v>
      </c>
      <c r="G49">
        <f t="shared" ca="1" si="7"/>
        <v>1</v>
      </c>
      <c r="H49">
        <f t="shared" ca="1" si="20"/>
        <v>0.41006755104305936</v>
      </c>
      <c r="I49">
        <f t="shared" ca="1" si="21"/>
        <v>0</v>
      </c>
      <c r="J49">
        <f t="shared" ca="1" si="20"/>
        <v>0.7887192416446529</v>
      </c>
      <c r="K49" s="75">
        <f t="shared" ca="1" si="14"/>
        <v>1</v>
      </c>
      <c r="L49">
        <f t="shared" ca="1" si="20"/>
        <v>0.35848352563256669</v>
      </c>
      <c r="M49" s="75">
        <f t="shared" ca="1" si="22"/>
        <v>0</v>
      </c>
      <c r="O49" s="21">
        <v>4.0373258476372698</v>
      </c>
    </row>
    <row r="50" spans="3:15" x14ac:dyDescent="0.25">
      <c r="C50" t="s">
        <v>195</v>
      </c>
      <c r="D50">
        <f t="shared" ca="1" si="20"/>
        <v>0.49420252841313383</v>
      </c>
      <c r="E50">
        <f t="shared" ca="1" si="17"/>
        <v>0</v>
      </c>
      <c r="F50">
        <f t="shared" ca="1" si="20"/>
        <v>0.61093587090145141</v>
      </c>
      <c r="G50">
        <f t="shared" ca="1" si="7"/>
        <v>1</v>
      </c>
      <c r="H50">
        <f t="shared" ca="1" si="20"/>
        <v>0.82811640797140285</v>
      </c>
      <c r="I50">
        <f t="shared" ca="1" si="21"/>
        <v>1</v>
      </c>
      <c r="J50">
        <f t="shared" ca="1" si="20"/>
        <v>0.38763765417999618</v>
      </c>
      <c r="K50" s="75">
        <f t="shared" ca="1" si="14"/>
        <v>0</v>
      </c>
      <c r="L50">
        <f t="shared" ca="1" si="20"/>
        <v>0.77556164105536607</v>
      </c>
      <c r="M50" s="75">
        <f t="shared" ca="1" si="22"/>
        <v>1</v>
      </c>
      <c r="O50" s="21">
        <v>3.271085446759225</v>
      </c>
    </row>
    <row r="51" spans="3:15" x14ac:dyDescent="0.25">
      <c r="C51" t="s">
        <v>196</v>
      </c>
      <c r="D51">
        <f t="shared" ca="1" si="20"/>
        <v>0.97679847517157425</v>
      </c>
      <c r="E51">
        <f t="shared" ca="1" si="17"/>
        <v>1</v>
      </c>
      <c r="F51">
        <f t="shared" ca="1" si="20"/>
        <v>0.39482691520976776</v>
      </c>
      <c r="G51">
        <f t="shared" ca="1" si="7"/>
        <v>0</v>
      </c>
      <c r="H51">
        <f t="shared" ca="1" si="20"/>
        <v>0.22196149191492098</v>
      </c>
      <c r="I51">
        <f t="shared" ca="1" si="21"/>
        <v>0</v>
      </c>
      <c r="J51">
        <f t="shared" ca="1" si="20"/>
        <v>0.92085689804235926</v>
      </c>
      <c r="K51" s="75">
        <f t="shared" ca="1" si="14"/>
        <v>1</v>
      </c>
      <c r="L51">
        <f t="shared" ca="1" si="20"/>
        <v>0.85780951390410698</v>
      </c>
      <c r="M51" s="75">
        <f t="shared" ca="1" si="22"/>
        <v>0</v>
      </c>
      <c r="O51" s="21">
        <v>5.2725705305856225</v>
      </c>
    </row>
    <row r="52" spans="3:15" x14ac:dyDescent="0.25">
      <c r="C52" t="s">
        <v>197</v>
      </c>
      <c r="D52">
        <f ca="1">RAND()</f>
        <v>2.9701281113283073E-2</v>
      </c>
      <c r="E52">
        <f t="shared" ca="1" si="17"/>
        <v>0</v>
      </c>
      <c r="F52">
        <f t="shared" ca="1" si="20"/>
        <v>0.4405293145388306</v>
      </c>
      <c r="G52">
        <f t="shared" ca="1" si="7"/>
        <v>0</v>
      </c>
      <c r="H52">
        <f ca="1">RAND()</f>
        <v>7.4256372991409969E-2</v>
      </c>
      <c r="I52">
        <f ca="1">IF(H52&gt;0.5,1,0)</f>
        <v>0</v>
      </c>
      <c r="J52">
        <f t="shared" ca="1" si="20"/>
        <v>0.81025815703690562</v>
      </c>
      <c r="K52">
        <f t="shared" ca="1" si="14"/>
        <v>1</v>
      </c>
      <c r="L52">
        <f t="shared" ca="1" si="20"/>
        <v>0.19384231967429477</v>
      </c>
      <c r="M52">
        <f t="shared" ca="1" si="1"/>
        <v>0</v>
      </c>
      <c r="O52" s="21">
        <v>2.5099800796022267</v>
      </c>
    </row>
    <row r="53" spans="3:15" x14ac:dyDescent="0.25">
      <c r="C53" t="s">
        <v>198</v>
      </c>
      <c r="D53">
        <f t="shared" ca="1" si="20"/>
        <v>0.53692271002870884</v>
      </c>
      <c r="E53">
        <f t="shared" ca="1" si="17"/>
        <v>1</v>
      </c>
      <c r="F53">
        <f t="shared" ca="1" si="20"/>
        <v>0.34607741071746567</v>
      </c>
      <c r="G53">
        <f t="shared" ca="1" si="7"/>
        <v>0</v>
      </c>
      <c r="H53">
        <f t="shared" ca="1" si="20"/>
        <v>0.39021806056378894</v>
      </c>
      <c r="I53">
        <f t="shared" ref="I53:I67" ca="1" si="23">IF(H53&gt;0.5,1,0)</f>
        <v>0</v>
      </c>
      <c r="J53">
        <f t="shared" ca="1" si="20"/>
        <v>0.14819907800304133</v>
      </c>
      <c r="K53">
        <f t="shared" ca="1" si="14"/>
        <v>0</v>
      </c>
      <c r="L53">
        <f t="shared" ca="1" si="20"/>
        <v>0.93488095205934685</v>
      </c>
      <c r="M53">
        <f t="shared" ca="1" si="1"/>
        <v>1</v>
      </c>
      <c r="O53" s="21">
        <v>3.7815340802378077</v>
      </c>
    </row>
    <row r="54" spans="3:15" x14ac:dyDescent="0.25">
      <c r="C54" t="s">
        <v>199</v>
      </c>
      <c r="D54">
        <f t="shared" ca="1" si="20"/>
        <v>0.65979280440905785</v>
      </c>
      <c r="E54">
        <f t="shared" ca="1" si="17"/>
        <v>1</v>
      </c>
      <c r="F54">
        <f t="shared" ca="1" si="20"/>
        <v>0.5311583573118791</v>
      </c>
      <c r="G54">
        <f t="shared" ca="1" si="7"/>
        <v>1</v>
      </c>
      <c r="H54">
        <f t="shared" ca="1" si="20"/>
        <v>0.45197786428841558</v>
      </c>
      <c r="I54">
        <f t="shared" ca="1" si="23"/>
        <v>0</v>
      </c>
      <c r="J54">
        <f t="shared" ca="1" si="20"/>
        <v>0.73499939945154946</v>
      </c>
      <c r="K54">
        <f t="shared" ca="1" si="14"/>
        <v>1</v>
      </c>
      <c r="L54">
        <f t="shared" ca="1" si="20"/>
        <v>0.1210258757445053</v>
      </c>
      <c r="M54">
        <f t="shared" ca="1" si="1"/>
        <v>0</v>
      </c>
      <c r="O54" s="21">
        <v>5.7879184513951127</v>
      </c>
    </row>
    <row r="55" spans="3:15" x14ac:dyDescent="0.25">
      <c r="C55" t="s">
        <v>200</v>
      </c>
      <c r="D55">
        <f t="shared" ca="1" si="20"/>
        <v>0.12101599532645146</v>
      </c>
      <c r="E55">
        <f t="shared" ca="1" si="17"/>
        <v>0</v>
      </c>
      <c r="F55">
        <f t="shared" ca="1" si="20"/>
        <v>0.31029345073129633</v>
      </c>
      <c r="G55">
        <f t="shared" ca="1" si="7"/>
        <v>0</v>
      </c>
      <c r="H55">
        <f t="shared" ca="1" si="20"/>
        <v>0.43886326215216909</v>
      </c>
      <c r="I55">
        <f t="shared" ca="1" si="23"/>
        <v>0</v>
      </c>
      <c r="J55">
        <f t="shared" ca="1" si="20"/>
        <v>0.90888091380209912</v>
      </c>
      <c r="K55">
        <f t="shared" ca="1" si="14"/>
        <v>1</v>
      </c>
      <c r="L55">
        <f t="shared" ca="1" si="20"/>
        <v>6.9668909002035595E-2</v>
      </c>
      <c r="M55">
        <f t="shared" ca="1" si="1"/>
        <v>0</v>
      </c>
      <c r="O55" s="21">
        <v>3.3615472627943221</v>
      </c>
    </row>
    <row r="56" spans="3:15" x14ac:dyDescent="0.25">
      <c r="C56" t="s">
        <v>201</v>
      </c>
      <c r="D56">
        <f t="shared" ref="D56:L71" ca="1" si="24">RAND()</f>
        <v>1.0692119456779281E-2</v>
      </c>
      <c r="E56">
        <f t="shared" ca="1" si="17"/>
        <v>0</v>
      </c>
      <c r="F56">
        <f t="shared" ca="1" si="24"/>
        <v>9.189909151994724E-2</v>
      </c>
      <c r="G56">
        <f t="shared" ca="1" si="7"/>
        <v>0</v>
      </c>
      <c r="H56">
        <f t="shared" ca="1" si="24"/>
        <v>0.363587728532069</v>
      </c>
      <c r="I56">
        <f t="shared" ca="1" si="23"/>
        <v>0</v>
      </c>
      <c r="J56">
        <f t="shared" ca="1" si="24"/>
        <v>0.15235430502728242</v>
      </c>
      <c r="K56">
        <f t="shared" ca="1" si="14"/>
        <v>0</v>
      </c>
      <c r="L56">
        <f t="shared" ca="1" si="24"/>
        <v>0.71528462036988083</v>
      </c>
      <c r="M56">
        <f t="shared" ca="1" si="1"/>
        <v>1</v>
      </c>
      <c r="O56" s="21">
        <v>3.7013511046643495</v>
      </c>
    </row>
    <row r="57" spans="3:15" x14ac:dyDescent="0.25">
      <c r="C57" t="s">
        <v>202</v>
      </c>
      <c r="D57">
        <f t="shared" ca="1" si="24"/>
        <v>0.82007274412742293</v>
      </c>
      <c r="E57">
        <f t="shared" ca="1" si="17"/>
        <v>1</v>
      </c>
      <c r="F57">
        <f t="shared" ca="1" si="24"/>
        <v>0.52916922069973893</v>
      </c>
      <c r="G57">
        <f t="shared" ca="1" si="7"/>
        <v>1</v>
      </c>
      <c r="H57">
        <f t="shared" ca="1" si="24"/>
        <v>0.33377349557317604</v>
      </c>
      <c r="I57">
        <f t="shared" ca="1" si="23"/>
        <v>0</v>
      </c>
      <c r="J57">
        <f t="shared" ca="1" si="24"/>
        <v>0.52595164607119205</v>
      </c>
      <c r="K57">
        <f t="shared" ca="1" si="14"/>
        <v>1</v>
      </c>
      <c r="L57">
        <f t="shared" ca="1" si="24"/>
        <v>0.35584518713883551</v>
      </c>
      <c r="M57">
        <f t="shared" ca="1" si="1"/>
        <v>0</v>
      </c>
      <c r="O57" s="21">
        <v>3.9115214431215892</v>
      </c>
    </row>
    <row r="58" spans="3:15" x14ac:dyDescent="0.25">
      <c r="C58" t="s">
        <v>203</v>
      </c>
      <c r="D58">
        <f t="shared" ca="1" si="24"/>
        <v>0.18444754929425167</v>
      </c>
      <c r="E58">
        <f t="shared" ca="1" si="17"/>
        <v>0</v>
      </c>
      <c r="F58">
        <f t="shared" ca="1" si="24"/>
        <v>0.40282481235381273</v>
      </c>
      <c r="G58">
        <f t="shared" ca="1" si="7"/>
        <v>0</v>
      </c>
      <c r="H58">
        <f t="shared" ca="1" si="24"/>
        <v>0.35901538559107304</v>
      </c>
      <c r="I58">
        <f t="shared" ca="1" si="23"/>
        <v>0</v>
      </c>
      <c r="J58">
        <f t="shared" ca="1" si="24"/>
        <v>0.90658307263992044</v>
      </c>
      <c r="K58">
        <f t="shared" ca="1" si="14"/>
        <v>1</v>
      </c>
      <c r="L58">
        <f t="shared" ca="1" si="24"/>
        <v>0.42779018216847331</v>
      </c>
      <c r="M58">
        <f t="shared" ca="1" si="1"/>
        <v>0</v>
      </c>
      <c r="O58" s="21">
        <v>5.4037024344425229</v>
      </c>
    </row>
    <row r="59" spans="3:15" x14ac:dyDescent="0.25">
      <c r="C59" t="s">
        <v>204</v>
      </c>
      <c r="D59">
        <f t="shared" ca="1" si="24"/>
        <v>0.39119531727074974</v>
      </c>
      <c r="E59">
        <f t="shared" ca="1" si="17"/>
        <v>0</v>
      </c>
      <c r="F59">
        <f t="shared" ca="1" si="24"/>
        <v>0.81524360020376885</v>
      </c>
      <c r="G59">
        <f t="shared" ca="1" si="7"/>
        <v>1</v>
      </c>
      <c r="H59">
        <f t="shared" ca="1" si="24"/>
        <v>0.82473657693279379</v>
      </c>
      <c r="I59">
        <f t="shared" ca="1" si="23"/>
        <v>1</v>
      </c>
      <c r="J59">
        <f t="shared" ca="1" si="24"/>
        <v>0.14882422396944384</v>
      </c>
      <c r="K59">
        <f t="shared" ca="1" si="14"/>
        <v>0</v>
      </c>
      <c r="L59">
        <f t="shared" ca="1" si="24"/>
        <v>0.12089348400210942</v>
      </c>
      <c r="M59">
        <f t="shared" ca="1" si="1"/>
        <v>0</v>
      </c>
      <c r="O59" s="21">
        <v>3.9749213828703582</v>
      </c>
    </row>
    <row r="60" spans="3:15" x14ac:dyDescent="0.25">
      <c r="C60" t="s">
        <v>205</v>
      </c>
      <c r="D60">
        <f t="shared" ca="1" si="24"/>
        <v>0.34603473427310105</v>
      </c>
      <c r="E60">
        <f t="shared" ca="1" si="17"/>
        <v>0</v>
      </c>
      <c r="F60">
        <f t="shared" ca="1" si="24"/>
        <v>0.57878080217468053</v>
      </c>
      <c r="G60">
        <f t="shared" ca="1" si="7"/>
        <v>1</v>
      </c>
      <c r="H60">
        <f t="shared" ca="1" si="24"/>
        <v>0.84835077421050364</v>
      </c>
      <c r="I60">
        <f t="shared" ca="1" si="23"/>
        <v>1</v>
      </c>
      <c r="J60">
        <f t="shared" ca="1" si="24"/>
        <v>0.15579275121954772</v>
      </c>
      <c r="K60">
        <f t="shared" ca="1" si="14"/>
        <v>0</v>
      </c>
      <c r="L60">
        <f t="shared" ca="1" si="24"/>
        <v>0.31229578164757998</v>
      </c>
      <c r="M60">
        <f t="shared" ca="1" si="1"/>
        <v>0</v>
      </c>
      <c r="O60" s="21">
        <v>4.3931765272977596</v>
      </c>
    </row>
    <row r="61" spans="3:15" x14ac:dyDescent="0.25">
      <c r="C61" t="s">
        <v>206</v>
      </c>
      <c r="D61">
        <f t="shared" ca="1" si="24"/>
        <v>0.69353926289483803</v>
      </c>
      <c r="E61">
        <f t="shared" ca="1" si="17"/>
        <v>1</v>
      </c>
      <c r="F61">
        <f t="shared" ca="1" si="24"/>
        <v>0.99367597426924814</v>
      </c>
      <c r="G61">
        <f t="shared" ca="1" si="7"/>
        <v>1</v>
      </c>
      <c r="H61">
        <f t="shared" ca="1" si="24"/>
        <v>0.78417003113910255</v>
      </c>
      <c r="I61">
        <f t="shared" ca="1" si="23"/>
        <v>1</v>
      </c>
      <c r="J61">
        <f t="shared" ca="1" si="24"/>
        <v>0.36251709265750187</v>
      </c>
      <c r="K61">
        <f t="shared" ca="1" si="14"/>
        <v>0</v>
      </c>
      <c r="L61">
        <f t="shared" ca="1" si="24"/>
        <v>0.78604249436064466</v>
      </c>
      <c r="M61">
        <f t="shared" ca="1" si="1"/>
        <v>1</v>
      </c>
      <c r="O61" s="21">
        <v>4.4384682042344297</v>
      </c>
    </row>
    <row r="62" spans="3:15" x14ac:dyDescent="0.25">
      <c r="C62" t="s">
        <v>207</v>
      </c>
      <c r="D62">
        <f t="shared" ca="1" si="24"/>
        <v>0.34673673075906508</v>
      </c>
      <c r="E62">
        <f t="shared" ca="1" si="17"/>
        <v>0</v>
      </c>
      <c r="F62">
        <f t="shared" ca="1" si="24"/>
        <v>0.96695524806766708</v>
      </c>
      <c r="G62">
        <f t="shared" ca="1" si="7"/>
        <v>1</v>
      </c>
      <c r="H62">
        <f t="shared" ca="1" si="24"/>
        <v>0.15143935470724923</v>
      </c>
      <c r="I62">
        <f t="shared" ca="1" si="23"/>
        <v>0</v>
      </c>
      <c r="J62">
        <f t="shared" ca="1" si="24"/>
        <v>0.14501875509967888</v>
      </c>
      <c r="K62">
        <f t="shared" ca="1" si="14"/>
        <v>0</v>
      </c>
      <c r="L62">
        <f t="shared" ca="1" si="24"/>
        <v>0.57907540150396153</v>
      </c>
      <c r="M62">
        <f t="shared" ca="1" si="1"/>
        <v>1</v>
      </c>
      <c r="O62" s="21">
        <v>0.89442719099991586</v>
      </c>
    </row>
    <row r="63" spans="3:15" x14ac:dyDescent="0.25">
      <c r="C63" t="s">
        <v>208</v>
      </c>
      <c r="D63">
        <f t="shared" ca="1" si="24"/>
        <v>0.52702869980519851</v>
      </c>
      <c r="E63">
        <f t="shared" ca="1" si="17"/>
        <v>1</v>
      </c>
      <c r="F63">
        <f t="shared" ca="1" si="24"/>
        <v>0.27120864547049184</v>
      </c>
      <c r="G63">
        <f t="shared" ca="1" si="7"/>
        <v>0</v>
      </c>
      <c r="H63">
        <f t="shared" ca="1" si="24"/>
        <v>0.43200361969469914</v>
      </c>
      <c r="I63">
        <f t="shared" ca="1" si="23"/>
        <v>0</v>
      </c>
      <c r="J63">
        <f t="shared" ca="1" si="24"/>
        <v>0.33221742406905319</v>
      </c>
      <c r="K63">
        <f t="shared" ca="1" si="14"/>
        <v>0</v>
      </c>
      <c r="L63">
        <f t="shared" ca="1" si="24"/>
        <v>0.70329752309075921</v>
      </c>
      <c r="M63">
        <f t="shared" ca="1" si="1"/>
        <v>1</v>
      </c>
      <c r="O63" s="21">
        <v>4.5276925690687087</v>
      </c>
    </row>
    <row r="64" spans="3:15" x14ac:dyDescent="0.25">
      <c r="C64" t="s">
        <v>209</v>
      </c>
      <c r="D64">
        <f t="shared" ca="1" si="24"/>
        <v>0.17288930738253161</v>
      </c>
      <c r="E64">
        <f t="shared" ca="1" si="17"/>
        <v>0</v>
      </c>
      <c r="F64">
        <f t="shared" ca="1" si="24"/>
        <v>0.7184122116404047</v>
      </c>
      <c r="G64">
        <f t="shared" ca="1" si="7"/>
        <v>1</v>
      </c>
      <c r="H64">
        <f t="shared" ca="1" si="24"/>
        <v>0.62118833350111291</v>
      </c>
      <c r="I64">
        <f t="shared" ca="1" si="23"/>
        <v>1</v>
      </c>
      <c r="J64">
        <f t="shared" ca="1" si="24"/>
        <v>0.46770878577637565</v>
      </c>
      <c r="K64">
        <f t="shared" ca="1" si="14"/>
        <v>0</v>
      </c>
      <c r="L64">
        <f t="shared" ca="1" si="24"/>
        <v>0.42641846574362929</v>
      </c>
      <c r="M64">
        <f t="shared" ca="1" si="1"/>
        <v>0</v>
      </c>
      <c r="O64" s="21">
        <v>3.8340579025361627</v>
      </c>
    </row>
    <row r="65" spans="3:15" x14ac:dyDescent="0.25">
      <c r="C65" t="s">
        <v>210</v>
      </c>
      <c r="D65">
        <f t="shared" ca="1" si="24"/>
        <v>0.51560044609496036</v>
      </c>
      <c r="E65">
        <f t="shared" ca="1" si="17"/>
        <v>1</v>
      </c>
      <c r="F65">
        <f t="shared" ca="1" si="24"/>
        <v>0.32624137797328634</v>
      </c>
      <c r="G65">
        <f t="shared" ca="1" si="7"/>
        <v>0</v>
      </c>
      <c r="H65">
        <f t="shared" ca="1" si="24"/>
        <v>0.55142288537749473</v>
      </c>
      <c r="I65">
        <f t="shared" ca="1" si="23"/>
        <v>1</v>
      </c>
      <c r="J65">
        <f t="shared" ca="1" si="24"/>
        <v>0.91302306548989598</v>
      </c>
      <c r="K65">
        <f t="shared" ca="1" si="14"/>
        <v>1</v>
      </c>
      <c r="L65">
        <f t="shared" ca="1" si="24"/>
        <v>0.44329901733701804</v>
      </c>
      <c r="M65">
        <f t="shared" ca="1" si="1"/>
        <v>0</v>
      </c>
      <c r="O65" s="21">
        <v>4.0865633483405102</v>
      </c>
    </row>
    <row r="66" spans="3:15" x14ac:dyDescent="0.25">
      <c r="C66" t="s">
        <v>211</v>
      </c>
      <c r="D66">
        <f t="shared" ca="1" si="24"/>
        <v>4.9826642669475896E-2</v>
      </c>
      <c r="E66">
        <f t="shared" ca="1" si="17"/>
        <v>0</v>
      </c>
      <c r="F66">
        <f t="shared" ca="1" si="24"/>
        <v>0.60979010616894536</v>
      </c>
      <c r="G66">
        <f t="shared" ca="1" si="7"/>
        <v>1</v>
      </c>
      <c r="H66">
        <f t="shared" ca="1" si="24"/>
        <v>0.21448169989557553</v>
      </c>
      <c r="I66">
        <f t="shared" ca="1" si="23"/>
        <v>0</v>
      </c>
      <c r="J66">
        <f t="shared" ca="1" si="24"/>
        <v>0.34497203331639936</v>
      </c>
      <c r="K66">
        <f t="shared" ca="1" si="14"/>
        <v>0</v>
      </c>
      <c r="L66">
        <f t="shared" ca="1" si="24"/>
        <v>0.10862806731400954</v>
      </c>
      <c r="M66">
        <f t="shared" ca="1" si="1"/>
        <v>0</v>
      </c>
      <c r="O66" s="21">
        <v>2.7928480087537881</v>
      </c>
    </row>
    <row r="67" spans="3:15" x14ac:dyDescent="0.25">
      <c r="C67" t="s">
        <v>212</v>
      </c>
      <c r="D67">
        <f t="shared" ca="1" si="24"/>
        <v>0.11031037798326637</v>
      </c>
      <c r="E67">
        <f t="shared" ca="1" si="17"/>
        <v>0</v>
      </c>
      <c r="F67">
        <f t="shared" ca="1" si="24"/>
        <v>0.62281241283957856</v>
      </c>
      <c r="G67">
        <f t="shared" ca="1" si="7"/>
        <v>1</v>
      </c>
      <c r="H67">
        <f t="shared" ca="1" si="24"/>
        <v>0.30607224018416712</v>
      </c>
      <c r="I67">
        <f t="shared" ca="1" si="23"/>
        <v>0</v>
      </c>
      <c r="J67">
        <f t="shared" ca="1" si="24"/>
        <v>0.69336489866516893</v>
      </c>
      <c r="K67">
        <f t="shared" ca="1" si="14"/>
        <v>1</v>
      </c>
      <c r="L67">
        <f t="shared" ca="1" si="24"/>
        <v>0.34103712881748505</v>
      </c>
      <c r="M67">
        <f t="shared" ca="1" si="1"/>
        <v>0</v>
      </c>
      <c r="O67" s="21">
        <v>7.1624018317880056</v>
      </c>
    </row>
    <row r="68" spans="3:15" x14ac:dyDescent="0.25">
      <c r="C68" t="s">
        <v>213</v>
      </c>
      <c r="D68">
        <f ca="1">RAND()</f>
        <v>0.96682147464784107</v>
      </c>
      <c r="E68">
        <f t="shared" ca="1" si="17"/>
        <v>1</v>
      </c>
      <c r="F68">
        <f t="shared" ca="1" si="24"/>
        <v>0.59322375145217632</v>
      </c>
      <c r="G68">
        <f t="shared" ca="1" si="7"/>
        <v>1</v>
      </c>
      <c r="H68">
        <f ca="1">RAND()</f>
        <v>0.50929774675980632</v>
      </c>
      <c r="I68">
        <f ca="1">IF(H68&gt;0.5,1,0)</f>
        <v>1</v>
      </c>
      <c r="J68">
        <f t="shared" ca="1" si="24"/>
        <v>7.0266427097780859E-2</v>
      </c>
      <c r="K68">
        <f t="shared" ca="1" si="14"/>
        <v>0</v>
      </c>
      <c r="L68">
        <f t="shared" ca="1" si="24"/>
        <v>0.85598492437336249</v>
      </c>
      <c r="M68">
        <f t="shared" ref="M68:M85" ca="1" si="25">IF(L68&gt;0.5,1,0)</f>
        <v>1</v>
      </c>
      <c r="O68" s="21">
        <v>4.1231056256176606</v>
      </c>
    </row>
    <row r="69" spans="3:15" x14ac:dyDescent="0.25">
      <c r="C69" t="s">
        <v>214</v>
      </c>
      <c r="D69">
        <f t="shared" ca="1" si="24"/>
        <v>0.73845462215109892</v>
      </c>
      <c r="E69">
        <f t="shared" ca="1" si="17"/>
        <v>1</v>
      </c>
      <c r="F69">
        <f t="shared" ca="1" si="24"/>
        <v>0.71915467619995121</v>
      </c>
      <c r="G69">
        <f t="shared" ca="1" si="7"/>
        <v>1</v>
      </c>
      <c r="H69">
        <f t="shared" ca="1" si="24"/>
        <v>2.5123086926102989E-2</v>
      </c>
      <c r="I69">
        <f t="shared" ref="I69:I85" ca="1" si="26">IF(H69&gt;0.5,1,0)</f>
        <v>0</v>
      </c>
      <c r="J69">
        <f t="shared" ca="1" si="24"/>
        <v>0.96656765058152405</v>
      </c>
      <c r="K69">
        <f t="shared" ca="1" si="14"/>
        <v>1</v>
      </c>
      <c r="L69">
        <f t="shared" ca="1" si="24"/>
        <v>0.1778900139398375</v>
      </c>
      <c r="M69">
        <f t="shared" ca="1" si="25"/>
        <v>0</v>
      </c>
      <c r="O69" s="21">
        <v>2.9495762407505248</v>
      </c>
    </row>
    <row r="70" spans="3:15" x14ac:dyDescent="0.25">
      <c r="C70" t="s">
        <v>215</v>
      </c>
      <c r="D70">
        <f t="shared" ca="1" si="24"/>
        <v>0.78011126600886993</v>
      </c>
      <c r="E70">
        <f t="shared" ca="1" si="17"/>
        <v>1</v>
      </c>
      <c r="F70">
        <f t="shared" ca="1" si="24"/>
        <v>0.32329598977293761</v>
      </c>
      <c r="G70">
        <f t="shared" ca="1" si="7"/>
        <v>0</v>
      </c>
      <c r="H70">
        <f t="shared" ca="1" si="24"/>
        <v>0.9953162577194643</v>
      </c>
      <c r="I70">
        <f t="shared" ca="1" si="26"/>
        <v>1</v>
      </c>
      <c r="J70">
        <f t="shared" ca="1" si="24"/>
        <v>0.19037756179025533</v>
      </c>
      <c r="K70">
        <f t="shared" ca="1" si="14"/>
        <v>0</v>
      </c>
      <c r="L70">
        <f t="shared" ca="1" si="24"/>
        <v>0.20786352719867673</v>
      </c>
      <c r="M70">
        <f t="shared" ca="1" si="25"/>
        <v>0</v>
      </c>
      <c r="O70" s="21">
        <v>6.4961527075646899</v>
      </c>
    </row>
    <row r="71" spans="3:15" x14ac:dyDescent="0.25">
      <c r="C71" t="s">
        <v>216</v>
      </c>
      <c r="D71">
        <f t="shared" ca="1" si="24"/>
        <v>2.3198090388620862E-3</v>
      </c>
      <c r="E71">
        <f t="shared" ca="1" si="17"/>
        <v>0</v>
      </c>
      <c r="F71">
        <f t="shared" ca="1" si="24"/>
        <v>3.2268029810704313E-2</v>
      </c>
      <c r="G71">
        <f t="shared" ca="1" si="7"/>
        <v>0</v>
      </c>
      <c r="H71">
        <f t="shared" ca="1" si="24"/>
        <v>0.58002067552185854</v>
      </c>
      <c r="I71">
        <f t="shared" ca="1" si="26"/>
        <v>1</v>
      </c>
      <c r="J71">
        <f t="shared" ca="1" si="24"/>
        <v>0.87347311749417067</v>
      </c>
      <c r="K71">
        <f t="shared" ca="1" si="14"/>
        <v>1</v>
      </c>
      <c r="L71">
        <f t="shared" ca="1" si="24"/>
        <v>0.82695326483028186</v>
      </c>
      <c r="M71">
        <f t="shared" ca="1" si="25"/>
        <v>1</v>
      </c>
      <c r="O71" s="21">
        <v>6.387487769068521</v>
      </c>
    </row>
    <row r="72" spans="3:15" x14ac:dyDescent="0.25">
      <c r="C72" t="s">
        <v>217</v>
      </c>
      <c r="D72">
        <f t="shared" ref="D72:L85" ca="1" si="27">RAND()</f>
        <v>5.8226691439583145E-2</v>
      </c>
      <c r="E72">
        <f t="shared" ca="1" si="17"/>
        <v>0</v>
      </c>
      <c r="F72">
        <f t="shared" ca="1" si="27"/>
        <v>0.21713178773699859</v>
      </c>
      <c r="G72">
        <f t="shared" ref="G72:G135" ca="1" si="28">IF(F72&gt;0.5,1,0)</f>
        <v>0</v>
      </c>
      <c r="H72">
        <f t="shared" ca="1" si="27"/>
        <v>0.27264280433162247</v>
      </c>
      <c r="I72">
        <f t="shared" ca="1" si="26"/>
        <v>0</v>
      </c>
      <c r="J72">
        <f t="shared" ca="1" si="27"/>
        <v>0.60384555083105529</v>
      </c>
      <c r="K72">
        <f t="shared" ca="1" si="14"/>
        <v>1</v>
      </c>
      <c r="L72">
        <f t="shared" ca="1" si="27"/>
        <v>0.85716811145481386</v>
      </c>
      <c r="M72">
        <f t="shared" ca="1" si="25"/>
        <v>1</v>
      </c>
      <c r="O72" s="21">
        <v>5.7619441163551572</v>
      </c>
    </row>
    <row r="73" spans="3:15" x14ac:dyDescent="0.25">
      <c r="C73" t="s">
        <v>218</v>
      </c>
      <c r="D73">
        <f t="shared" ca="1" si="27"/>
        <v>0.34711976052162197</v>
      </c>
      <c r="E73">
        <f t="shared" ca="1" si="17"/>
        <v>0</v>
      </c>
      <c r="F73">
        <f t="shared" ca="1" si="27"/>
        <v>0.4328327439260754</v>
      </c>
      <c r="G73">
        <f t="shared" ca="1" si="28"/>
        <v>0</v>
      </c>
      <c r="H73">
        <f t="shared" ca="1" si="27"/>
        <v>0.82379775994840054</v>
      </c>
      <c r="I73">
        <f t="shared" ca="1" si="26"/>
        <v>1</v>
      </c>
      <c r="J73">
        <f t="shared" ca="1" si="27"/>
        <v>0.56651295051129258</v>
      </c>
      <c r="K73">
        <f t="shared" ca="1" si="14"/>
        <v>1</v>
      </c>
      <c r="L73">
        <f t="shared" ca="1" si="27"/>
        <v>0.22060705879296061</v>
      </c>
      <c r="M73">
        <f t="shared" ca="1" si="25"/>
        <v>0</v>
      </c>
      <c r="O73" s="21">
        <v>2.0493901531919199</v>
      </c>
    </row>
    <row r="74" spans="3:15" x14ac:dyDescent="0.25">
      <c r="C74" t="s">
        <v>219</v>
      </c>
      <c r="D74">
        <f t="shared" ca="1" si="27"/>
        <v>0.90833764375285531</v>
      </c>
      <c r="E74">
        <f t="shared" ca="1" si="17"/>
        <v>1</v>
      </c>
      <c r="F74">
        <f t="shared" ca="1" si="27"/>
        <v>0.75498397109021886</v>
      </c>
      <c r="G74">
        <f t="shared" ca="1" si="28"/>
        <v>1</v>
      </c>
      <c r="H74">
        <f t="shared" ca="1" si="27"/>
        <v>0.77484126112593266</v>
      </c>
      <c r="I74">
        <f t="shared" ca="1" si="26"/>
        <v>1</v>
      </c>
      <c r="J74">
        <f t="shared" ca="1" si="27"/>
        <v>0.24550209621697194</v>
      </c>
      <c r="K74">
        <f t="shared" ca="1" si="14"/>
        <v>0</v>
      </c>
      <c r="L74">
        <f t="shared" ca="1" si="27"/>
        <v>0.10675218754108518</v>
      </c>
      <c r="M74">
        <f t="shared" ca="1" si="25"/>
        <v>0</v>
      </c>
      <c r="O74" s="21">
        <v>4.0620192023179804</v>
      </c>
    </row>
    <row r="75" spans="3:15" x14ac:dyDescent="0.25">
      <c r="C75" t="s">
        <v>220</v>
      </c>
      <c r="D75">
        <f t="shared" ca="1" si="27"/>
        <v>0.20790121600023448</v>
      </c>
      <c r="E75">
        <f t="shared" ca="1" si="17"/>
        <v>0</v>
      </c>
      <c r="F75">
        <f t="shared" ca="1" si="27"/>
        <v>0.40084312089248442</v>
      </c>
      <c r="G75">
        <f t="shared" ca="1" si="28"/>
        <v>0</v>
      </c>
      <c r="H75">
        <f t="shared" ca="1" si="27"/>
        <v>0.86973919207219386</v>
      </c>
      <c r="I75">
        <f t="shared" ca="1" si="26"/>
        <v>1</v>
      </c>
      <c r="J75">
        <f t="shared" ca="1" si="27"/>
        <v>0.91607894538881074</v>
      </c>
      <c r="K75">
        <f t="shared" ca="1" si="14"/>
        <v>1</v>
      </c>
      <c r="L75">
        <f t="shared" ca="1" si="27"/>
        <v>0.39279944611227435</v>
      </c>
      <c r="M75">
        <f t="shared" ca="1" si="25"/>
        <v>0</v>
      </c>
      <c r="O75" s="21">
        <v>2.7748873851023217</v>
      </c>
    </row>
    <row r="76" spans="3:15" x14ac:dyDescent="0.25">
      <c r="C76" t="s">
        <v>221</v>
      </c>
      <c r="D76">
        <f t="shared" ca="1" si="27"/>
        <v>0.1285136399933221</v>
      </c>
      <c r="E76">
        <f t="shared" ca="1" si="17"/>
        <v>0</v>
      </c>
      <c r="F76">
        <f t="shared" ca="1" si="27"/>
        <v>0.11354066250759454</v>
      </c>
      <c r="G76">
        <f t="shared" ca="1" si="28"/>
        <v>0</v>
      </c>
      <c r="H76">
        <f t="shared" ca="1" si="27"/>
        <v>0.9063730409909605</v>
      </c>
      <c r="I76">
        <f t="shared" ca="1" si="26"/>
        <v>1</v>
      </c>
      <c r="J76">
        <f t="shared" ca="1" si="27"/>
        <v>0.20562349263895396</v>
      </c>
      <c r="K76">
        <f t="shared" ca="1" si="14"/>
        <v>0</v>
      </c>
      <c r="L76">
        <f t="shared" ca="1" si="27"/>
        <v>0.53553406410432691</v>
      </c>
      <c r="M76">
        <f t="shared" ca="1" si="25"/>
        <v>1</v>
      </c>
      <c r="O76" s="21">
        <v>4.4944410108488464</v>
      </c>
    </row>
    <row r="77" spans="3:15" x14ac:dyDescent="0.25">
      <c r="C77" t="s">
        <v>222</v>
      </c>
      <c r="D77">
        <f t="shared" ca="1" si="27"/>
        <v>0.19362068732974602</v>
      </c>
      <c r="E77">
        <f t="shared" ca="1" si="17"/>
        <v>0</v>
      </c>
      <c r="F77">
        <f t="shared" ca="1" si="27"/>
        <v>7.2271100618489736E-2</v>
      </c>
      <c r="G77">
        <f t="shared" ca="1" si="28"/>
        <v>0</v>
      </c>
      <c r="H77">
        <f t="shared" ca="1" si="27"/>
        <v>0.18432898002665588</v>
      </c>
      <c r="I77">
        <f t="shared" ca="1" si="26"/>
        <v>0</v>
      </c>
      <c r="J77">
        <f t="shared" ca="1" si="27"/>
        <v>0.40978416426194486</v>
      </c>
      <c r="K77">
        <f t="shared" ca="1" si="14"/>
        <v>0</v>
      </c>
      <c r="L77">
        <f t="shared" ca="1" si="27"/>
        <v>0.54576418146054528</v>
      </c>
      <c r="M77">
        <f t="shared" ca="1" si="25"/>
        <v>1</v>
      </c>
      <c r="O77" s="21">
        <v>3.4205262752974139</v>
      </c>
    </row>
    <row r="78" spans="3:15" x14ac:dyDescent="0.25">
      <c r="C78" t="s">
        <v>223</v>
      </c>
      <c r="D78">
        <f t="shared" ca="1" si="27"/>
        <v>0.74298837851827271</v>
      </c>
      <c r="E78">
        <f t="shared" ca="1" si="17"/>
        <v>1</v>
      </c>
      <c r="F78">
        <f t="shared" ca="1" si="27"/>
        <v>0.31295736031554755</v>
      </c>
      <c r="G78">
        <f t="shared" ca="1" si="28"/>
        <v>0</v>
      </c>
      <c r="H78">
        <f t="shared" ca="1" si="27"/>
        <v>0.2632485527241476</v>
      </c>
      <c r="I78">
        <f t="shared" ca="1" si="26"/>
        <v>0</v>
      </c>
      <c r="J78">
        <f t="shared" ca="1" si="27"/>
        <v>0.52569482668572631</v>
      </c>
      <c r="K78">
        <f t="shared" ca="1" si="14"/>
        <v>1</v>
      </c>
      <c r="L78">
        <f t="shared" ca="1" si="27"/>
        <v>0.58523400863656971</v>
      </c>
      <c r="M78">
        <f t="shared" ca="1" si="25"/>
        <v>1</v>
      </c>
      <c r="O78" s="21">
        <v>2.0736441353327719</v>
      </c>
    </row>
    <row r="79" spans="3:15" x14ac:dyDescent="0.25">
      <c r="C79" t="s">
        <v>224</v>
      </c>
      <c r="D79">
        <f t="shared" ca="1" si="27"/>
        <v>0.52356894687553091</v>
      </c>
      <c r="E79">
        <f t="shared" ca="1" si="17"/>
        <v>1</v>
      </c>
      <c r="F79">
        <f t="shared" ca="1" si="27"/>
        <v>0.69065401291148765</v>
      </c>
      <c r="G79">
        <f t="shared" ca="1" si="28"/>
        <v>1</v>
      </c>
      <c r="H79">
        <f t="shared" ca="1" si="27"/>
        <v>5.6601154578532653E-2</v>
      </c>
      <c r="I79">
        <f t="shared" ca="1" si="26"/>
        <v>0</v>
      </c>
      <c r="J79">
        <f t="shared" ca="1" si="27"/>
        <v>0.85392894344526182</v>
      </c>
      <c r="K79">
        <f t="shared" ca="1" si="14"/>
        <v>1</v>
      </c>
      <c r="L79">
        <f t="shared" ca="1" si="27"/>
        <v>0.74997308502566329</v>
      </c>
      <c r="M79">
        <f t="shared" ca="1" si="25"/>
        <v>1</v>
      </c>
      <c r="O79" s="21">
        <v>4.1593268686170841</v>
      </c>
    </row>
    <row r="80" spans="3:15" x14ac:dyDescent="0.25">
      <c r="C80" t="s">
        <v>225</v>
      </c>
      <c r="D80">
        <f t="shared" ca="1" si="27"/>
        <v>0.27516325441077405</v>
      </c>
      <c r="E80">
        <f t="shared" ca="1" si="17"/>
        <v>0</v>
      </c>
      <c r="F80">
        <f t="shared" ca="1" si="27"/>
        <v>0.72918055855605257</v>
      </c>
      <c r="G80">
        <f t="shared" ca="1" si="28"/>
        <v>1</v>
      </c>
      <c r="H80">
        <f t="shared" ca="1" si="27"/>
        <v>0.43651745457717728</v>
      </c>
      <c r="I80">
        <f t="shared" ca="1" si="26"/>
        <v>0</v>
      </c>
      <c r="J80">
        <f t="shared" ca="1" si="27"/>
        <v>0.65382715510045697</v>
      </c>
      <c r="K80">
        <f t="shared" ref="K80:K111" ca="1" si="29">IF(J80&gt;0.5,1,0)</f>
        <v>1</v>
      </c>
      <c r="L80">
        <f t="shared" ca="1" si="27"/>
        <v>0.27300964918375614</v>
      </c>
      <c r="M80">
        <f t="shared" ca="1" si="25"/>
        <v>0</v>
      </c>
      <c r="O80" s="21">
        <v>4.9799598391955113</v>
      </c>
    </row>
    <row r="81" spans="2:15" x14ac:dyDescent="0.25">
      <c r="C81" t="s">
        <v>226</v>
      </c>
      <c r="D81">
        <f t="shared" ca="1" si="27"/>
        <v>0.42685934342993204</v>
      </c>
      <c r="E81">
        <f t="shared" ca="1" si="17"/>
        <v>0</v>
      </c>
      <c r="F81">
        <f t="shared" ca="1" si="27"/>
        <v>0.21315630303229793</v>
      </c>
      <c r="G81">
        <f t="shared" ca="1" si="28"/>
        <v>0</v>
      </c>
      <c r="H81">
        <f t="shared" ca="1" si="27"/>
        <v>0.17535509147657513</v>
      </c>
      <c r="I81">
        <f t="shared" ca="1" si="26"/>
        <v>0</v>
      </c>
      <c r="J81">
        <f t="shared" ca="1" si="27"/>
        <v>0.44088856657747411</v>
      </c>
      <c r="K81">
        <f t="shared" ca="1" si="29"/>
        <v>0</v>
      </c>
      <c r="L81">
        <f t="shared" ca="1" si="27"/>
        <v>0.50613076240376809</v>
      </c>
      <c r="M81">
        <f t="shared" ca="1" si="25"/>
        <v>1</v>
      </c>
      <c r="O81" s="21">
        <v>5.5946402922797622</v>
      </c>
    </row>
    <row r="82" spans="2:15" x14ac:dyDescent="0.25">
      <c r="C82" t="s">
        <v>227</v>
      </c>
      <c r="D82">
        <f t="shared" ca="1" si="27"/>
        <v>0.72848662898962036</v>
      </c>
      <c r="E82">
        <f t="shared" ca="1" si="17"/>
        <v>1</v>
      </c>
      <c r="F82">
        <f t="shared" ca="1" si="27"/>
        <v>0.38898130911908624</v>
      </c>
      <c r="G82">
        <f t="shared" ca="1" si="28"/>
        <v>0</v>
      </c>
      <c r="H82">
        <f t="shared" ca="1" si="27"/>
        <v>0.64066576789054042</v>
      </c>
      <c r="I82">
        <f t="shared" ca="1" si="26"/>
        <v>1</v>
      </c>
      <c r="J82">
        <f t="shared" ca="1" si="27"/>
        <v>0.43881701906633164</v>
      </c>
      <c r="K82">
        <f t="shared" ca="1" si="29"/>
        <v>0</v>
      </c>
      <c r="L82">
        <f t="shared" ca="1" si="27"/>
        <v>0.52184490929645266</v>
      </c>
      <c r="M82">
        <f t="shared" ca="1" si="25"/>
        <v>1</v>
      </c>
      <c r="O82" s="21">
        <v>5.5407580708780317</v>
      </c>
    </row>
    <row r="83" spans="2:15" x14ac:dyDescent="0.25">
      <c r="B83" s="70"/>
      <c r="C83" t="s">
        <v>228</v>
      </c>
      <c r="D83">
        <f t="shared" ca="1" si="27"/>
        <v>0.98575188280705994</v>
      </c>
      <c r="E83">
        <f t="shared" ca="1" si="17"/>
        <v>1</v>
      </c>
      <c r="F83">
        <f t="shared" ca="1" si="27"/>
        <v>0.24735114270916136</v>
      </c>
      <c r="G83">
        <f t="shared" ca="1" si="28"/>
        <v>0</v>
      </c>
      <c r="H83">
        <f t="shared" ca="1" si="27"/>
        <v>0.49215283391260078</v>
      </c>
      <c r="I83">
        <f t="shared" ca="1" si="26"/>
        <v>0</v>
      </c>
      <c r="J83">
        <f t="shared" ca="1" si="27"/>
        <v>0.18512852126011015</v>
      </c>
      <c r="K83">
        <f t="shared" ca="1" si="29"/>
        <v>0</v>
      </c>
      <c r="L83">
        <f t="shared" ca="1" si="27"/>
        <v>0.55987535043827363</v>
      </c>
      <c r="M83">
        <f t="shared" ca="1" si="25"/>
        <v>1</v>
      </c>
      <c r="O83" s="21">
        <v>6.164414002968976</v>
      </c>
    </row>
    <row r="84" spans="2:15" x14ac:dyDescent="0.25">
      <c r="C84" t="s">
        <v>229</v>
      </c>
      <c r="D84">
        <f t="shared" ca="1" si="27"/>
        <v>6.3856542185257381E-2</v>
      </c>
      <c r="E84">
        <f t="shared" ref="E84:E85" ca="1" si="30">IF(D84&gt;0.5,1,0)</f>
        <v>0</v>
      </c>
      <c r="F84">
        <f t="shared" ca="1" si="27"/>
        <v>0.81855586723644058</v>
      </c>
      <c r="G84">
        <f t="shared" ca="1" si="28"/>
        <v>1</v>
      </c>
      <c r="H84">
        <f t="shared" ca="1" si="27"/>
        <v>0.99693978256434534</v>
      </c>
      <c r="I84">
        <f t="shared" ca="1" si="26"/>
        <v>1</v>
      </c>
      <c r="J84">
        <f t="shared" ca="1" si="27"/>
        <v>0.99757821915600675</v>
      </c>
      <c r="K84">
        <f t="shared" ca="1" si="29"/>
        <v>1</v>
      </c>
      <c r="L84">
        <f t="shared" ca="1" si="27"/>
        <v>0.72825595003340671</v>
      </c>
      <c r="M84">
        <f t="shared" ca="1" si="25"/>
        <v>1</v>
      </c>
      <c r="O84" s="21">
        <v>3.7815340802378072</v>
      </c>
    </row>
    <row r="85" spans="2:15" x14ac:dyDescent="0.25">
      <c r="C85" t="s">
        <v>230</v>
      </c>
      <c r="D85">
        <f t="shared" ca="1" si="27"/>
        <v>9.4726499859224766E-2</v>
      </c>
      <c r="E85">
        <f t="shared" ca="1" si="30"/>
        <v>0</v>
      </c>
      <c r="F85">
        <f t="shared" ca="1" si="27"/>
        <v>0.40666683636476231</v>
      </c>
      <c r="G85">
        <f t="shared" ca="1" si="28"/>
        <v>0</v>
      </c>
      <c r="H85">
        <f t="shared" ca="1" si="27"/>
        <v>0.96536784552084232</v>
      </c>
      <c r="I85">
        <f t="shared" ca="1" si="26"/>
        <v>1</v>
      </c>
      <c r="J85">
        <f t="shared" ca="1" si="27"/>
        <v>0.97018544144408991</v>
      </c>
      <c r="K85">
        <f t="shared" ca="1" si="29"/>
        <v>1</v>
      </c>
      <c r="L85">
        <f t="shared" ca="1" si="27"/>
        <v>0.45555479708837077</v>
      </c>
      <c r="M85">
        <f t="shared" ca="1" si="25"/>
        <v>0</v>
      </c>
      <c r="O85" s="21">
        <v>2.7386127875258306</v>
      </c>
    </row>
    <row r="86" spans="2:15" x14ac:dyDescent="0.25">
      <c r="B86" s="5"/>
      <c r="C86" s="71"/>
      <c r="N86" s="18" t="s">
        <v>33</v>
      </c>
      <c r="O86" s="21">
        <v>5.2440442408507577</v>
      </c>
    </row>
    <row r="87" spans="2:15" x14ac:dyDescent="0.25">
      <c r="B87" s="5"/>
      <c r="C87" s="71"/>
      <c r="D87" s="1"/>
      <c r="E87" s="1">
        <f ca="1">SUM(E4:E85)</f>
        <v>40</v>
      </c>
      <c r="F87" s="1"/>
      <c r="G87" s="1">
        <f ca="1">SUM(G4:G85)</f>
        <v>37</v>
      </c>
      <c r="H87" s="1"/>
      <c r="I87" s="1">
        <f ca="1">SUM(I4:I85)</f>
        <v>41</v>
      </c>
      <c r="J87" s="1"/>
      <c r="K87" s="1">
        <f ca="1">SUM(K4:K85)</f>
        <v>42</v>
      </c>
      <c r="L87" s="1"/>
      <c r="M87" s="1">
        <f ca="1">SUM(M4:M85)</f>
        <v>40</v>
      </c>
      <c r="N87" s="23">
        <f ca="1">STDEV(E87:M87)</f>
        <v>1.8708286933869707</v>
      </c>
      <c r="O87" s="21">
        <v>5.0299105359837348</v>
      </c>
    </row>
    <row r="88" spans="2:15" x14ac:dyDescent="0.25">
      <c r="B88" s="5"/>
      <c r="C88" s="71"/>
      <c r="K88" s="16" t="s">
        <v>37</v>
      </c>
      <c r="L88" s="16"/>
      <c r="M88" s="16"/>
      <c r="N88" s="73"/>
      <c r="O88" s="21">
        <v>3.646916505762094</v>
      </c>
    </row>
    <row r="89" spans="2:15" ht="13" thickBot="1" x14ac:dyDescent="0.3">
      <c r="B89" s="5"/>
      <c r="C89" s="5"/>
      <c r="K89" s="16" t="s">
        <v>36</v>
      </c>
      <c r="L89" s="16"/>
      <c r="M89" s="16"/>
      <c r="O89" s="21">
        <v>6.324555320336759</v>
      </c>
    </row>
    <row r="90" spans="2:15" ht="13" thickBot="1" x14ac:dyDescent="0.3">
      <c r="B90" s="17" t="s">
        <v>27</v>
      </c>
      <c r="C90" s="72" t="s">
        <v>20</v>
      </c>
      <c r="D90" s="2"/>
      <c r="E90" s="3"/>
      <c r="K90" s="16" t="s">
        <v>110</v>
      </c>
      <c r="L90" s="16"/>
      <c r="M90" s="16"/>
      <c r="O90" s="21">
        <v>2.8809720581775866</v>
      </c>
    </row>
    <row r="91" spans="2:15" x14ac:dyDescent="0.25">
      <c r="B91" s="70"/>
      <c r="C91" s="4"/>
      <c r="D91" s="71" t="s">
        <v>231</v>
      </c>
      <c r="E91" s="6" t="s">
        <v>22</v>
      </c>
      <c r="F91" s="16" t="s">
        <v>35</v>
      </c>
      <c r="O91" s="21">
        <v>1.8708286933869707</v>
      </c>
    </row>
    <row r="92" spans="2:15" ht="13" thickBot="1" x14ac:dyDescent="0.3">
      <c r="C92" s="68" t="s">
        <v>160</v>
      </c>
      <c r="D92" s="14">
        <v>58</v>
      </c>
      <c r="E92" s="15">
        <v>41</v>
      </c>
      <c r="F92">
        <f>(D92-E92)^2</f>
        <v>289</v>
      </c>
      <c r="I92" s="16"/>
      <c r="O92" s="21">
        <v>1.3416407864998738</v>
      </c>
    </row>
    <row r="93" spans="2:15" ht="13" thickBot="1" x14ac:dyDescent="0.3">
      <c r="C93" s="68" t="s">
        <v>161</v>
      </c>
      <c r="D93" s="14">
        <v>51</v>
      </c>
      <c r="E93" s="15">
        <v>41</v>
      </c>
      <c r="F93">
        <f t="shared" ref="F93:F96" si="31">(D93-E93)^2</f>
        <v>100</v>
      </c>
      <c r="O93" s="21">
        <v>3.2093613071762426</v>
      </c>
    </row>
    <row r="94" spans="2:15" ht="13" thickBot="1" x14ac:dyDescent="0.3">
      <c r="C94" s="68" t="s">
        <v>162</v>
      </c>
      <c r="D94" s="14">
        <v>49</v>
      </c>
      <c r="E94" s="15">
        <v>41</v>
      </c>
      <c r="F94">
        <f t="shared" si="31"/>
        <v>64</v>
      </c>
      <c r="O94" s="21">
        <v>5.9329587896765155</v>
      </c>
    </row>
    <row r="95" spans="2:15" ht="13" thickBot="1" x14ac:dyDescent="0.3">
      <c r="C95" s="68" t="s">
        <v>163</v>
      </c>
      <c r="D95" s="14">
        <v>42</v>
      </c>
      <c r="E95" s="15">
        <v>41</v>
      </c>
      <c r="F95">
        <f t="shared" si="31"/>
        <v>1</v>
      </c>
      <c r="I95" s="25"/>
      <c r="O95" s="21">
        <v>4.9799598391954882</v>
      </c>
    </row>
    <row r="96" spans="2:15" ht="13" thickBot="1" x14ac:dyDescent="0.3">
      <c r="C96" s="68" t="s">
        <v>164</v>
      </c>
      <c r="D96" s="69">
        <v>17</v>
      </c>
      <c r="E96" s="15">
        <v>41</v>
      </c>
      <c r="F96">
        <f t="shared" si="31"/>
        <v>576</v>
      </c>
      <c r="O96" s="21">
        <v>3.9115214431215892</v>
      </c>
    </row>
    <row r="97" spans="3:15" ht="13" thickBot="1" x14ac:dyDescent="0.3">
      <c r="C97" s="7"/>
      <c r="D97" s="8"/>
      <c r="E97" s="9"/>
      <c r="F97">
        <f>SUM(F92:F95)/41</f>
        <v>11.073170731707316</v>
      </c>
      <c r="O97" s="21">
        <v>3.2863353450309964</v>
      </c>
    </row>
    <row r="98" spans="3:15" x14ac:dyDescent="0.25">
      <c r="E98" s="18" t="s">
        <v>30</v>
      </c>
      <c r="F98" s="19">
        <f>CHIDIST(F97,3)</f>
        <v>1.1336722564759916E-2</v>
      </c>
      <c r="G98" s="16" t="s">
        <v>31</v>
      </c>
      <c r="O98" s="21">
        <v>4.0865633483405102</v>
      </c>
    </row>
    <row r="99" spans="3:15" x14ac:dyDescent="0.25">
      <c r="O99" s="21">
        <v>6.6181568431097322</v>
      </c>
    </row>
    <row r="100" spans="3:15" x14ac:dyDescent="0.25">
      <c r="E100" s="18" t="s">
        <v>29</v>
      </c>
      <c r="F100" s="19">
        <f>CHITEST(D92:D96,E92:E96)</f>
        <v>4.7547593401486515E-5</v>
      </c>
      <c r="O100" s="21">
        <v>8.2945765413311001</v>
      </c>
    </row>
    <row r="101" spans="3:15" x14ac:dyDescent="0.25">
      <c r="O101" s="21">
        <v>5.7879184513951127</v>
      </c>
    </row>
    <row r="102" spans="3:15" x14ac:dyDescent="0.25">
      <c r="O102" s="21">
        <v>5.1478150704935004</v>
      </c>
    </row>
    <row r="103" spans="3:15" x14ac:dyDescent="0.25">
      <c r="O103" s="21">
        <v>4.6151923036857303</v>
      </c>
    </row>
    <row r="104" spans="3:15" x14ac:dyDescent="0.25">
      <c r="O104" s="21">
        <v>3.3615472627943221</v>
      </c>
    </row>
    <row r="105" spans="3:15" x14ac:dyDescent="0.25">
      <c r="O105" s="21">
        <v>6.1400325732034853</v>
      </c>
    </row>
    <row r="106" spans="3:15" x14ac:dyDescent="0.25">
      <c r="O106" s="21">
        <v>3.8078865529319543</v>
      </c>
    </row>
    <row r="107" spans="3:15" x14ac:dyDescent="0.25">
      <c r="O107" s="21">
        <v>5.4129474410897602</v>
      </c>
    </row>
    <row r="108" spans="3:15" x14ac:dyDescent="0.25">
      <c r="O108" s="21">
        <v>8.8713020464867398</v>
      </c>
    </row>
    <row r="109" spans="3:15" x14ac:dyDescent="0.25">
      <c r="O109" s="21">
        <v>5.5407580708780113</v>
      </c>
    </row>
    <row r="110" spans="3:15" x14ac:dyDescent="0.25">
      <c r="O110" s="21">
        <v>4.5276925690687087</v>
      </c>
    </row>
    <row r="111" spans="3:15" x14ac:dyDescent="0.25">
      <c r="O111" s="21">
        <v>1.9493588689617927</v>
      </c>
    </row>
    <row r="112" spans="3:15" x14ac:dyDescent="0.25">
      <c r="O112" s="21">
        <v>3.6331804249169899</v>
      </c>
    </row>
    <row r="113" spans="15:15" x14ac:dyDescent="0.25">
      <c r="O113" s="21">
        <v>1.7320508075688772</v>
      </c>
    </row>
    <row r="114" spans="15:15" x14ac:dyDescent="0.25">
      <c r="O114" s="21">
        <v>3.646916505762094</v>
      </c>
    </row>
    <row r="115" spans="15:15" x14ac:dyDescent="0.25">
      <c r="O115" s="21">
        <v>3.2710854467592254</v>
      </c>
    </row>
    <row r="116" spans="15:15" x14ac:dyDescent="0.25">
      <c r="O116" s="21">
        <v>5.8051701094800006</v>
      </c>
    </row>
    <row r="117" spans="15:15" x14ac:dyDescent="0.25">
      <c r="O117" s="21">
        <v>5.9413803110051946</v>
      </c>
    </row>
    <row r="118" spans="15:15" x14ac:dyDescent="0.25">
      <c r="O118" s="21">
        <v>2.5099800796022267</v>
      </c>
    </row>
    <row r="119" spans="15:15" x14ac:dyDescent="0.25">
      <c r="O119" s="21">
        <v>2.9495762407505253</v>
      </c>
    </row>
    <row r="120" spans="15:15" x14ac:dyDescent="0.25">
      <c r="O120" s="21">
        <v>3.4205262752974139</v>
      </c>
    </row>
    <row r="121" spans="15:15" x14ac:dyDescent="0.25">
      <c r="O121" s="21">
        <v>5.9833101206606329</v>
      </c>
    </row>
    <row r="122" spans="15:15" x14ac:dyDescent="0.25">
      <c r="O122" s="21">
        <v>2.2803508501982757</v>
      </c>
    </row>
    <row r="123" spans="15:15" x14ac:dyDescent="0.25">
      <c r="O123" s="21">
        <v>5.2440442408507577</v>
      </c>
    </row>
    <row r="124" spans="15:15" x14ac:dyDescent="0.25">
      <c r="O124" s="21">
        <v>3.271085446759225</v>
      </c>
    </row>
    <row r="125" spans="15:15" x14ac:dyDescent="0.25">
      <c r="O125" s="21">
        <v>2.3021728866442679</v>
      </c>
    </row>
    <row r="126" spans="15:15" x14ac:dyDescent="0.25">
      <c r="O126" s="21">
        <v>2.3452078799117149</v>
      </c>
    </row>
    <row r="127" spans="15:15" x14ac:dyDescent="0.25">
      <c r="O127" s="21">
        <v>5.7271284253105375</v>
      </c>
    </row>
    <row r="128" spans="15:15" x14ac:dyDescent="0.25">
      <c r="O128" s="21">
        <v>2.4494897427831779</v>
      </c>
    </row>
    <row r="129" spans="15:15" x14ac:dyDescent="0.25">
      <c r="O129" s="21">
        <v>4.7116875957559037</v>
      </c>
    </row>
    <row r="130" spans="15:15" x14ac:dyDescent="0.25">
      <c r="O130" s="21">
        <v>4.7222875812470573</v>
      </c>
    </row>
    <row r="131" spans="15:15" x14ac:dyDescent="0.25">
      <c r="O131" s="21">
        <v>4.7644516998286432</v>
      </c>
    </row>
    <row r="132" spans="15:15" x14ac:dyDescent="0.25">
      <c r="O132" s="21">
        <v>7.6681158050723228</v>
      </c>
    </row>
    <row r="133" spans="15:15" x14ac:dyDescent="0.25">
      <c r="O133" s="21">
        <v>6.4420493633625631</v>
      </c>
    </row>
    <row r="134" spans="15:15" x14ac:dyDescent="0.25">
      <c r="O134" s="21">
        <v>5.4129474410897389</v>
      </c>
    </row>
    <row r="135" spans="15:15" x14ac:dyDescent="0.25">
      <c r="O135" s="21">
        <v>5.5045435778091498</v>
      </c>
    </row>
    <row r="136" spans="15:15" x14ac:dyDescent="0.25">
      <c r="O136" s="21">
        <v>6.6858058601787151</v>
      </c>
    </row>
    <row r="137" spans="15:15" x14ac:dyDescent="0.25">
      <c r="O137" s="21">
        <v>3.9370039370059056</v>
      </c>
    </row>
    <row r="138" spans="15:15" x14ac:dyDescent="0.25">
      <c r="O138" s="21">
        <v>5.3197744313081721</v>
      </c>
    </row>
    <row r="139" spans="15:15" x14ac:dyDescent="0.25">
      <c r="O139" s="21">
        <v>4.5497252664309302</v>
      </c>
    </row>
    <row r="140" spans="15:15" x14ac:dyDescent="0.25">
      <c r="O140" s="21">
        <v>4.3358966777357599</v>
      </c>
    </row>
    <row r="141" spans="15:15" x14ac:dyDescent="0.25">
      <c r="O141" s="21">
        <v>4.4384682042344297</v>
      </c>
    </row>
    <row r="142" spans="15:15" x14ac:dyDescent="0.25">
      <c r="O142" s="21">
        <v>5.8309518948453007</v>
      </c>
    </row>
    <row r="143" spans="15:15" x14ac:dyDescent="0.25">
      <c r="O143" s="21">
        <v>2</v>
      </c>
    </row>
    <row r="144" spans="15:15" x14ac:dyDescent="0.25">
      <c r="O144" s="21">
        <v>2.5495097567963922</v>
      </c>
    </row>
    <row r="145" spans="15:15" x14ac:dyDescent="0.25">
      <c r="O145" s="21">
        <v>1.1401754250991381</v>
      </c>
    </row>
    <row r="146" spans="15:15" x14ac:dyDescent="0.25">
      <c r="O146" s="21">
        <v>6.1400325732034853</v>
      </c>
    </row>
    <row r="147" spans="15:15" x14ac:dyDescent="0.25">
      <c r="O147" s="21">
        <v>3.714835124201342</v>
      </c>
    </row>
    <row r="148" spans="15:15" x14ac:dyDescent="0.25">
      <c r="O148" s="21">
        <v>6.0580524923443688</v>
      </c>
    </row>
    <row r="149" spans="15:15" x14ac:dyDescent="0.25">
      <c r="O149" s="21">
        <v>3.9115214431215888</v>
      </c>
    </row>
    <row r="150" spans="15:15" x14ac:dyDescent="0.25">
      <c r="O150" s="21">
        <v>3.1304951684997055</v>
      </c>
    </row>
    <row r="151" spans="15:15" x14ac:dyDescent="0.25">
      <c r="O151" s="21">
        <v>3.7013511046643495</v>
      </c>
    </row>
    <row r="152" spans="15:15" x14ac:dyDescent="0.25">
      <c r="O152" s="21">
        <v>3.8987177379235853</v>
      </c>
    </row>
    <row r="153" spans="15:15" x14ac:dyDescent="0.25">
      <c r="O153" s="21">
        <v>4.8166378315169229</v>
      </c>
    </row>
    <row r="154" spans="15:15" x14ac:dyDescent="0.25">
      <c r="O154" s="21">
        <v>6.6708320320631671</v>
      </c>
    </row>
    <row r="155" spans="15:15" x14ac:dyDescent="0.25">
      <c r="O155" s="21">
        <v>6.3087241182349985</v>
      </c>
    </row>
    <row r="156" spans="15:15" x14ac:dyDescent="0.25">
      <c r="O156" s="21">
        <v>3.4205262752974139</v>
      </c>
    </row>
    <row r="157" spans="15:15" x14ac:dyDescent="0.25">
      <c r="O157" s="21">
        <v>7.3959448348402264</v>
      </c>
    </row>
    <row r="158" spans="15:15" x14ac:dyDescent="0.25">
      <c r="O158" s="21">
        <v>6.9426219830838996</v>
      </c>
    </row>
    <row r="159" spans="15:15" x14ac:dyDescent="0.25">
      <c r="O159" s="21">
        <v>5.0199601592044578</v>
      </c>
    </row>
    <row r="160" spans="15:15" x14ac:dyDescent="0.25">
      <c r="O160" s="21">
        <v>5.6833088953531448</v>
      </c>
    </row>
    <row r="161" spans="15:15" x14ac:dyDescent="0.25">
      <c r="O161" s="21">
        <v>6.7675697262754486</v>
      </c>
    </row>
    <row r="162" spans="15:15" x14ac:dyDescent="0.25">
      <c r="O162" s="21">
        <v>3.2710854467592254</v>
      </c>
    </row>
    <row r="163" spans="15:15" x14ac:dyDescent="0.25">
      <c r="O163" s="21">
        <v>5.2249401910452695</v>
      </c>
    </row>
    <row r="164" spans="15:15" x14ac:dyDescent="0.25">
      <c r="O164" s="21">
        <v>6.4575537163851795</v>
      </c>
    </row>
    <row r="165" spans="15:15" x14ac:dyDescent="0.25">
      <c r="O165" s="21">
        <v>1.5165750888103102</v>
      </c>
    </row>
    <row r="166" spans="15:15" x14ac:dyDescent="0.25">
      <c r="O166" s="21">
        <v>8.443932733033817</v>
      </c>
    </row>
    <row r="167" spans="15:15" x14ac:dyDescent="0.25">
      <c r="O167" s="21">
        <v>3.2710854467592254</v>
      </c>
    </row>
    <row r="168" spans="15:15" x14ac:dyDescent="0.25">
      <c r="O168" s="21">
        <v>4.7222875812470333</v>
      </c>
    </row>
    <row r="169" spans="15:15" x14ac:dyDescent="0.25">
      <c r="O169" s="21">
        <v>3.7815340802378077</v>
      </c>
    </row>
    <row r="170" spans="15:15" x14ac:dyDescent="0.25">
      <c r="O170" s="21">
        <v>3.2093613071762426</v>
      </c>
    </row>
    <row r="171" spans="15:15" x14ac:dyDescent="0.25">
      <c r="O171" s="21">
        <v>4.7644516998286193</v>
      </c>
    </row>
    <row r="172" spans="15:15" x14ac:dyDescent="0.25">
      <c r="O172" s="21">
        <v>4.4384682042344297</v>
      </c>
    </row>
    <row r="173" spans="15:15" x14ac:dyDescent="0.25">
      <c r="O173" s="21">
        <v>3.7416573867739413</v>
      </c>
    </row>
    <row r="174" spans="15:15" x14ac:dyDescent="0.25">
      <c r="O174" s="21">
        <v>4.8476798574163293</v>
      </c>
    </row>
    <row r="175" spans="15:15" x14ac:dyDescent="0.25">
      <c r="O175" s="21">
        <v>2.9154759474226504</v>
      </c>
    </row>
    <row r="176" spans="15:15" x14ac:dyDescent="0.25">
      <c r="O176" s="21">
        <v>5.6391488719486897</v>
      </c>
    </row>
    <row r="177" spans="15:15" x14ac:dyDescent="0.25">
      <c r="O177" s="21">
        <v>5.8137767414994492</v>
      </c>
    </row>
    <row r="178" spans="15:15" x14ac:dyDescent="0.25">
      <c r="O178" s="21">
        <v>6.4807406984078604</v>
      </c>
    </row>
    <row r="179" spans="15:15" x14ac:dyDescent="0.25">
      <c r="O179" s="21">
        <v>4.3817804600413286</v>
      </c>
    </row>
    <row r="180" spans="15:15" x14ac:dyDescent="0.25">
      <c r="O180" s="21">
        <v>5.8309518948453007</v>
      </c>
    </row>
    <row r="181" spans="15:15" x14ac:dyDescent="0.25">
      <c r="O181" s="21">
        <v>5.1283525619832515</v>
      </c>
    </row>
    <row r="182" spans="15:15" x14ac:dyDescent="0.25">
      <c r="O182" s="21">
        <v>4.3817804600413286</v>
      </c>
    </row>
    <row r="183" spans="15:15" x14ac:dyDescent="0.25">
      <c r="O183" s="21">
        <v>5.9749476985158658</v>
      </c>
    </row>
    <row r="184" spans="15:15" x14ac:dyDescent="0.25">
      <c r="O184" s="21">
        <v>7.0569115057509526</v>
      </c>
    </row>
    <row r="185" spans="15:15" x14ac:dyDescent="0.25">
      <c r="O185" s="21">
        <v>4.7958315233127191</v>
      </c>
    </row>
    <row r="186" spans="15:15" x14ac:dyDescent="0.25">
      <c r="O186" s="21">
        <v>4.8476798574163293</v>
      </c>
    </row>
    <row r="187" spans="15:15" x14ac:dyDescent="0.25">
      <c r="O187" s="21">
        <v>4.7749345545253474</v>
      </c>
    </row>
    <row r="188" spans="15:15" x14ac:dyDescent="0.25">
      <c r="O188" s="21">
        <v>7.3143694191638966</v>
      </c>
    </row>
    <row r="189" spans="15:15" x14ac:dyDescent="0.25">
      <c r="O189" s="21">
        <v>7.1624018317879896</v>
      </c>
    </row>
    <row r="190" spans="15:15" x14ac:dyDescent="0.25">
      <c r="O190" s="21">
        <v>4.7749345545253243</v>
      </c>
    </row>
    <row r="191" spans="15:15" x14ac:dyDescent="0.25">
      <c r="O191" s="21">
        <v>3.9623225512317899</v>
      </c>
    </row>
    <row r="192" spans="15:15" x14ac:dyDescent="0.25">
      <c r="O192" s="21">
        <v>5.4037024344425229</v>
      </c>
    </row>
    <row r="193" spans="15:15" x14ac:dyDescent="0.25">
      <c r="O193" s="21">
        <v>2.3021728866442679</v>
      </c>
    </row>
    <row r="194" spans="15:15" x14ac:dyDescent="0.25">
      <c r="O194" s="21">
        <v>5.5407580708780113</v>
      </c>
    </row>
    <row r="195" spans="15:15" x14ac:dyDescent="0.25">
      <c r="O195" s="21">
        <v>3.9370039370059056</v>
      </c>
    </row>
    <row r="196" spans="15:15" x14ac:dyDescent="0.25">
      <c r="O196" s="21">
        <v>0.83666002653407556</v>
      </c>
    </row>
    <row r="197" spans="15:15" x14ac:dyDescent="0.25">
      <c r="O197" s="21">
        <v>2.8809720581775866</v>
      </c>
    </row>
    <row r="198" spans="15:15" x14ac:dyDescent="0.25">
      <c r="O198" s="21">
        <v>2.2803508501982761</v>
      </c>
    </row>
    <row r="199" spans="15:15" x14ac:dyDescent="0.25">
      <c r="O199" s="21">
        <v>4.5497252664309356</v>
      </c>
    </row>
    <row r="200" spans="15:15" x14ac:dyDescent="0.25">
      <c r="O200" s="21">
        <v>4.3358966777357599</v>
      </c>
    </row>
    <row r="201" spans="15:15" x14ac:dyDescent="0.25">
      <c r="O201" s="21">
        <v>6.6858058601786983</v>
      </c>
    </row>
    <row r="202" spans="15:15" x14ac:dyDescent="0.25">
      <c r="O202" s="21">
        <v>4.8785243670602059</v>
      </c>
    </row>
    <row r="203" spans="15:15" x14ac:dyDescent="0.25">
      <c r="O203" s="21">
        <v>5.4313902456001077</v>
      </c>
    </row>
    <row r="204" spans="15:15" x14ac:dyDescent="0.25">
      <c r="O204" s="21">
        <v>4.5825756949558398</v>
      </c>
    </row>
    <row r="205" spans="15:15" x14ac:dyDescent="0.25">
      <c r="O205" s="21">
        <v>2.5884358211089573</v>
      </c>
    </row>
    <row r="206" spans="15:15" x14ac:dyDescent="0.25">
      <c r="O206" s="21">
        <v>5.4129474410897389</v>
      </c>
    </row>
    <row r="207" spans="15:15" x14ac:dyDescent="0.25">
      <c r="O207" s="21">
        <v>6.0249481325568421</v>
      </c>
    </row>
    <row r="208" spans="15:15" x14ac:dyDescent="0.25">
      <c r="O208" s="21">
        <v>3.271085446759225</v>
      </c>
    </row>
    <row r="209" spans="15:15" x14ac:dyDescent="0.25">
      <c r="O209" s="21">
        <v>4.0865633483405102</v>
      </c>
    </row>
    <row r="210" spans="15:15" x14ac:dyDescent="0.25">
      <c r="O210" s="21">
        <v>6.9282032302755088</v>
      </c>
    </row>
    <row r="211" spans="15:15" x14ac:dyDescent="0.25">
      <c r="O211" s="21">
        <v>6.723094525588631</v>
      </c>
    </row>
    <row r="212" spans="15:15" x14ac:dyDescent="0.25">
      <c r="O212" s="21">
        <v>3.1144823004794877</v>
      </c>
    </row>
    <row r="213" spans="15:15" x14ac:dyDescent="0.25">
      <c r="O213" s="21">
        <v>1.9235384061671343</v>
      </c>
    </row>
    <row r="214" spans="15:15" x14ac:dyDescent="0.25">
      <c r="O214" s="21">
        <v>5.3665631459995122</v>
      </c>
    </row>
    <row r="215" spans="15:15" x14ac:dyDescent="0.25">
      <c r="O215" s="21">
        <v>4.5055521304275237</v>
      </c>
    </row>
    <row r="216" spans="15:15" x14ac:dyDescent="0.25">
      <c r="O216" s="21">
        <v>7.1972216861786453</v>
      </c>
    </row>
    <row r="217" spans="15:15" x14ac:dyDescent="0.25">
      <c r="O217" s="21">
        <v>6.8702256149270537</v>
      </c>
    </row>
    <row r="218" spans="15:15" x14ac:dyDescent="0.25">
      <c r="O218" s="21">
        <v>4.0865633483405102</v>
      </c>
    </row>
    <row r="219" spans="15:15" x14ac:dyDescent="0.25">
      <c r="O219" s="21">
        <v>3.082207001484488</v>
      </c>
    </row>
    <row r="220" spans="15:15" x14ac:dyDescent="0.25">
      <c r="O220" s="21">
        <v>4.4944410108488464</v>
      </c>
    </row>
    <row r="221" spans="15:15" x14ac:dyDescent="0.25">
      <c r="O221" s="21">
        <v>4.9497474683058327</v>
      </c>
    </row>
    <row r="222" spans="15:15" x14ac:dyDescent="0.25">
      <c r="O222" s="21">
        <v>8.848728722251586</v>
      </c>
    </row>
    <row r="223" spans="15:15" x14ac:dyDescent="0.25">
      <c r="O223" s="21">
        <v>5.2630789467762895</v>
      </c>
    </row>
    <row r="224" spans="15:15" x14ac:dyDescent="0.25">
      <c r="O224" s="21">
        <v>4.7222875812470333</v>
      </c>
    </row>
    <row r="225" spans="15:15" x14ac:dyDescent="0.25">
      <c r="O225" s="21">
        <v>6.1073725938410028</v>
      </c>
    </row>
    <row r="226" spans="15:15" x14ac:dyDescent="0.25">
      <c r="O226" s="21">
        <v>2.5495097567963922</v>
      </c>
    </row>
    <row r="227" spans="15:15" x14ac:dyDescent="0.25">
      <c r="O227" s="21">
        <v>6.6932802122726009</v>
      </c>
    </row>
    <row r="228" spans="15:15" x14ac:dyDescent="0.25">
      <c r="O228" s="21">
        <v>4.2071367935925261</v>
      </c>
    </row>
    <row r="229" spans="15:15" x14ac:dyDescent="0.25">
      <c r="O229" s="21">
        <v>1.9235384061671343</v>
      </c>
    </row>
    <row r="230" spans="15:15" x14ac:dyDescent="0.25">
      <c r="O230" s="21">
        <v>4.1593268686170841</v>
      </c>
    </row>
    <row r="231" spans="15:15" x14ac:dyDescent="0.25">
      <c r="O231" s="21">
        <v>5.1478150704935004</v>
      </c>
    </row>
    <row r="232" spans="15:15" x14ac:dyDescent="0.25">
      <c r="O232" s="21">
        <v>5.3197744313081721</v>
      </c>
    </row>
    <row r="233" spans="15:15" x14ac:dyDescent="0.25">
      <c r="O233" s="21">
        <v>2.4083189157584592</v>
      </c>
    </row>
    <row r="234" spans="15:15" x14ac:dyDescent="0.25">
      <c r="O234" s="21">
        <v>5.6391488719486897</v>
      </c>
    </row>
    <row r="235" spans="15:15" x14ac:dyDescent="0.25">
      <c r="O235" s="21">
        <v>3.1304951684997055</v>
      </c>
    </row>
    <row r="236" spans="15:15" x14ac:dyDescent="0.25">
      <c r="O236" s="21">
        <v>1.4832396974191324</v>
      </c>
    </row>
    <row r="237" spans="15:15" x14ac:dyDescent="0.25">
      <c r="O237" s="21">
        <v>6.4265076052238479</v>
      </c>
    </row>
    <row r="238" spans="15:15" x14ac:dyDescent="0.25">
      <c r="O238" s="21">
        <v>5.1768716422179315</v>
      </c>
    </row>
    <row r="239" spans="15:15" x14ac:dyDescent="0.25">
      <c r="O239" s="21">
        <v>2.4899799195977463</v>
      </c>
    </row>
    <row r="240" spans="15:15" x14ac:dyDescent="0.25">
      <c r="O240" s="21">
        <v>2.2360679774997898</v>
      </c>
    </row>
    <row r="241" spans="15:15" x14ac:dyDescent="0.25">
      <c r="O241" s="21">
        <v>4.0865633483405102</v>
      </c>
    </row>
    <row r="242" spans="15:15" x14ac:dyDescent="0.25">
      <c r="O242" s="21">
        <v>4.7644516998286432</v>
      </c>
    </row>
    <row r="243" spans="15:15" x14ac:dyDescent="0.25">
      <c r="O243" s="21">
        <v>6.4961527075646721</v>
      </c>
    </row>
    <row r="244" spans="15:15" x14ac:dyDescent="0.25">
      <c r="O244" s="21">
        <v>5.3103672189406845</v>
      </c>
    </row>
    <row r="245" spans="15:15" x14ac:dyDescent="0.25">
      <c r="O245" s="21">
        <v>3.4205262752974139</v>
      </c>
    </row>
    <row r="246" spans="15:15" x14ac:dyDescent="0.25">
      <c r="O246" s="21">
        <v>1.9493588689617927</v>
      </c>
    </row>
    <row r="247" spans="15:15" x14ac:dyDescent="0.25">
      <c r="O247" s="21">
        <v>2.9664793948382653</v>
      </c>
    </row>
    <row r="248" spans="15:15" x14ac:dyDescent="0.25">
      <c r="O248" s="21">
        <v>3.5637059362410923</v>
      </c>
    </row>
    <row r="249" spans="15:15" x14ac:dyDescent="0.25">
      <c r="O249" s="21">
        <v>7.8612976028134156</v>
      </c>
    </row>
    <row r="250" spans="15:15" x14ac:dyDescent="0.25">
      <c r="O250" s="21">
        <v>1.6733200530681511</v>
      </c>
    </row>
    <row r="251" spans="15:15" x14ac:dyDescent="0.25">
      <c r="O251" s="21">
        <v>3.1144823004794873</v>
      </c>
    </row>
    <row r="252" spans="15:15" x14ac:dyDescent="0.25">
      <c r="O252" s="21">
        <v>2.4494897427831779</v>
      </c>
    </row>
    <row r="253" spans="15:15" x14ac:dyDescent="0.25">
      <c r="O253" s="21">
        <v>7.7265775088327464</v>
      </c>
    </row>
    <row r="254" spans="15:15" x14ac:dyDescent="0.25">
      <c r="O254" s="21">
        <v>5.8480766068853631</v>
      </c>
    </row>
    <row r="255" spans="15:15" x14ac:dyDescent="0.25">
      <c r="O255" s="21">
        <v>3.3166247903553998</v>
      </c>
    </row>
    <row r="256" spans="15:15" x14ac:dyDescent="0.25">
      <c r="O256" s="21">
        <v>5.7619441163551572</v>
      </c>
    </row>
    <row r="257" spans="15:15" x14ac:dyDescent="0.25">
      <c r="O257" s="21">
        <v>1.9235384061671343</v>
      </c>
    </row>
    <row r="258" spans="15:15" x14ac:dyDescent="0.25">
      <c r="O258" s="21">
        <v>5.2630789467763108</v>
      </c>
    </row>
    <row r="259" spans="15:15" x14ac:dyDescent="0.25">
      <c r="O259" s="21">
        <v>5.2630789467762895</v>
      </c>
    </row>
    <row r="260" spans="15:15" x14ac:dyDescent="0.25">
      <c r="O260" s="21">
        <v>5.6302753041037032</v>
      </c>
    </row>
    <row r="261" spans="15:15" x14ac:dyDescent="0.25">
      <c r="O261" s="21">
        <v>7.7974354758471831</v>
      </c>
    </row>
    <row r="262" spans="15:15" x14ac:dyDescent="0.25">
      <c r="O262" s="21">
        <v>6.5038450166036537</v>
      </c>
    </row>
    <row r="263" spans="15:15" x14ac:dyDescent="0.25">
      <c r="O263" s="21">
        <v>3.1622776601683795</v>
      </c>
    </row>
    <row r="264" spans="15:15" x14ac:dyDescent="0.25">
      <c r="O264" s="21">
        <v>3.1937438845342623</v>
      </c>
    </row>
    <row r="265" spans="15:15" x14ac:dyDescent="0.25">
      <c r="O265" s="21">
        <v>2.6076809620810599</v>
      </c>
    </row>
    <row r="266" spans="15:15" x14ac:dyDescent="0.25">
      <c r="O266" s="21">
        <v>6.5345237010818202</v>
      </c>
    </row>
    <row r="267" spans="15:15" x14ac:dyDescent="0.25">
      <c r="O267" s="21">
        <v>4.2778499272414878</v>
      </c>
    </row>
    <row r="268" spans="15:15" x14ac:dyDescent="0.25">
      <c r="O268" s="21">
        <v>4.9699094559156523</v>
      </c>
    </row>
    <row r="269" spans="15:15" x14ac:dyDescent="0.25">
      <c r="O269" s="21">
        <v>4.3358966777357599</v>
      </c>
    </row>
    <row r="270" spans="15:15" x14ac:dyDescent="0.25">
      <c r="O270" s="21">
        <v>5.3197744313081508</v>
      </c>
    </row>
    <row r="271" spans="15:15" x14ac:dyDescent="0.25">
      <c r="O271" s="21">
        <v>5.4129474410897389</v>
      </c>
    </row>
    <row r="272" spans="15:15" x14ac:dyDescent="0.25">
      <c r="O272" s="21">
        <v>1.0954451150103321</v>
      </c>
    </row>
    <row r="273" spans="15:15" x14ac:dyDescent="0.25">
      <c r="O273" s="21">
        <v>3.5637059362410923</v>
      </c>
    </row>
    <row r="274" spans="15:15" x14ac:dyDescent="0.25">
      <c r="O274" s="21">
        <v>7.1203932475671463</v>
      </c>
    </row>
    <row r="275" spans="15:15" x14ac:dyDescent="0.25">
      <c r="O275" s="21">
        <v>3.271085446759225</v>
      </c>
    </row>
    <row r="276" spans="15:15" x14ac:dyDescent="0.25">
      <c r="O276" s="21">
        <v>3.1144823004794877</v>
      </c>
    </row>
    <row r="277" spans="15:15" x14ac:dyDescent="0.25">
      <c r="O277" s="21">
        <v>4.4384682042344297</v>
      </c>
    </row>
    <row r="278" spans="15:15" x14ac:dyDescent="0.25">
      <c r="O278" s="21">
        <v>7.3006848993776048</v>
      </c>
    </row>
    <row r="279" spans="15:15" x14ac:dyDescent="0.25">
      <c r="O279" s="21">
        <v>3.2093613071762421</v>
      </c>
    </row>
    <row r="280" spans="15:15" x14ac:dyDescent="0.25">
      <c r="O280" s="21">
        <v>3.1144823004794877</v>
      </c>
    </row>
    <row r="281" spans="15:15" x14ac:dyDescent="0.25">
      <c r="O281" s="21">
        <v>6.7305274681855494</v>
      </c>
    </row>
    <row r="282" spans="15:15" x14ac:dyDescent="0.25">
      <c r="O282" s="21">
        <v>2.8635642126552705</v>
      </c>
    </row>
    <row r="283" spans="15:15" x14ac:dyDescent="0.25">
      <c r="O283" s="21">
        <v>8.6197447758039907</v>
      </c>
    </row>
    <row r="284" spans="15:15" x14ac:dyDescent="0.25">
      <c r="O284" s="21">
        <v>7.5033325929216401</v>
      </c>
    </row>
    <row r="285" spans="15:15" x14ac:dyDescent="0.25">
      <c r="O285" s="21">
        <v>2.7386127875258306</v>
      </c>
    </row>
    <row r="286" spans="15:15" x14ac:dyDescent="0.25">
      <c r="O286" s="21">
        <v>4.7644516998286193</v>
      </c>
    </row>
    <row r="287" spans="15:15" x14ac:dyDescent="0.25">
      <c r="O287" s="21">
        <v>4.2190046219457971</v>
      </c>
    </row>
    <row r="288" spans="15:15" x14ac:dyDescent="0.25">
      <c r="O288" s="21">
        <v>3.1144823004794873</v>
      </c>
    </row>
    <row r="289" spans="15:15" x14ac:dyDescent="0.25">
      <c r="O289" s="21">
        <v>4.5497252664309302</v>
      </c>
    </row>
    <row r="290" spans="15:15" x14ac:dyDescent="0.25">
      <c r="O290" s="21">
        <v>4.6043457732885402</v>
      </c>
    </row>
    <row r="291" spans="15:15" x14ac:dyDescent="0.25">
      <c r="O291" s="21">
        <v>4.5055521304275237</v>
      </c>
    </row>
    <row r="292" spans="15:15" x14ac:dyDescent="0.25">
      <c r="O292" s="21">
        <v>7.3348483283568964</v>
      </c>
    </row>
    <row r="293" spans="15:15" x14ac:dyDescent="0.25">
      <c r="O293" s="21">
        <v>5.3572380943915325</v>
      </c>
    </row>
    <row r="294" spans="15:15" x14ac:dyDescent="0.25">
      <c r="O294" s="21">
        <v>2.0736441353327719</v>
      </c>
    </row>
    <row r="295" spans="15:15" x14ac:dyDescent="0.25">
      <c r="O295" s="21">
        <v>6.6105975524153671</v>
      </c>
    </row>
    <row r="296" spans="15:15" x14ac:dyDescent="0.25">
      <c r="O296" s="21">
        <v>3.03315017762062</v>
      </c>
    </row>
    <row r="297" spans="15:15" x14ac:dyDescent="0.25">
      <c r="O297" s="21">
        <v>4.8785243670601828</v>
      </c>
    </row>
    <row r="298" spans="15:15" x14ac:dyDescent="0.25">
      <c r="O298" s="21">
        <v>3.1144823004794873</v>
      </c>
    </row>
    <row r="299" spans="15:15" x14ac:dyDescent="0.25">
      <c r="O299" s="21">
        <v>4.3931765272977596</v>
      </c>
    </row>
    <row r="300" spans="15:15" x14ac:dyDescent="0.25">
      <c r="O300" s="21">
        <v>6.0580524923443688</v>
      </c>
    </row>
    <row r="301" spans="15:15" x14ac:dyDescent="0.25">
      <c r="O301" s="21">
        <v>3.872983346207417</v>
      </c>
    </row>
    <row r="302" spans="15:15" x14ac:dyDescent="0.25">
      <c r="O302" s="21">
        <v>7.1902712048990232</v>
      </c>
    </row>
    <row r="303" spans="15:15" x14ac:dyDescent="0.25">
      <c r="O303" s="21">
        <v>4</v>
      </c>
    </row>
    <row r="304" spans="15:15" x14ac:dyDescent="0.25">
      <c r="O304" s="21">
        <v>1.3416407864998738</v>
      </c>
    </row>
    <row r="305" spans="15:15" x14ac:dyDescent="0.25">
      <c r="O305" s="21">
        <v>5.2249401910452695</v>
      </c>
    </row>
    <row r="306" spans="15:15" x14ac:dyDescent="0.25">
      <c r="O306" s="21">
        <v>3.2093613071762426</v>
      </c>
    </row>
    <row r="307" spans="15:15" x14ac:dyDescent="0.25">
      <c r="O307" s="21">
        <v>2.5884358211089569</v>
      </c>
    </row>
    <row r="308" spans="15:15" x14ac:dyDescent="0.25">
      <c r="O308" s="21">
        <v>2.7748873851023217</v>
      </c>
    </row>
    <row r="309" spans="15:15" x14ac:dyDescent="0.25">
      <c r="O309" s="21">
        <v>4.7644516998286432</v>
      </c>
    </row>
    <row r="310" spans="15:15" x14ac:dyDescent="0.25">
      <c r="O310" s="21">
        <v>4.9193495504995424</v>
      </c>
    </row>
    <row r="311" spans="15:15" x14ac:dyDescent="0.25">
      <c r="O311" s="21">
        <v>2.8635642126552709</v>
      </c>
    </row>
    <row r="312" spans="15:15" x14ac:dyDescent="0.25">
      <c r="O312" s="21">
        <v>2.4899799195977463</v>
      </c>
    </row>
    <row r="313" spans="15:15" x14ac:dyDescent="0.25">
      <c r="O313" s="21">
        <v>5.3572380943915325</v>
      </c>
    </row>
    <row r="314" spans="15:15" x14ac:dyDescent="0.25">
      <c r="O314" s="21">
        <v>3.1144823004794873</v>
      </c>
    </row>
    <row r="315" spans="15:15" x14ac:dyDescent="0.25">
      <c r="O315" s="21">
        <v>2.4899799195977463</v>
      </c>
    </row>
    <row r="316" spans="15:15" x14ac:dyDescent="0.25">
      <c r="O316" s="21">
        <v>4.2071367935925261</v>
      </c>
    </row>
    <row r="317" spans="15:15" x14ac:dyDescent="0.25">
      <c r="O317" s="21">
        <v>3.5355339059327378</v>
      </c>
    </row>
    <row r="318" spans="15:15" x14ac:dyDescent="0.25">
      <c r="O318" s="21">
        <v>4.6043457732885154</v>
      </c>
    </row>
    <row r="319" spans="15:15" x14ac:dyDescent="0.25">
      <c r="O319" s="21">
        <v>3.9623225512317899</v>
      </c>
    </row>
    <row r="320" spans="15:15" x14ac:dyDescent="0.25">
      <c r="O320" s="21">
        <v>5.6302753041036828</v>
      </c>
    </row>
    <row r="321" spans="15:15" x14ac:dyDescent="0.25">
      <c r="O321" s="21">
        <v>4.8270073544588632</v>
      </c>
    </row>
    <row r="322" spans="15:15" x14ac:dyDescent="0.25">
      <c r="O322" s="21">
        <v>5.2630789467763108</v>
      </c>
    </row>
    <row r="323" spans="15:15" x14ac:dyDescent="0.25">
      <c r="O323" s="21">
        <v>5.6745043836444271</v>
      </c>
    </row>
    <row r="324" spans="15:15" x14ac:dyDescent="0.25">
      <c r="O324" s="21">
        <v>3.1144823004794873</v>
      </c>
    </row>
    <row r="325" spans="15:15" x14ac:dyDescent="0.25">
      <c r="O325" s="21">
        <v>3.646916505762094</v>
      </c>
    </row>
    <row r="326" spans="15:15" x14ac:dyDescent="0.25">
      <c r="O326" s="21">
        <v>4.2778499272414878</v>
      </c>
    </row>
    <row r="327" spans="15:15" x14ac:dyDescent="0.25">
      <c r="O327" s="21">
        <v>4.8270073544588872</v>
      </c>
    </row>
    <row r="328" spans="15:15" x14ac:dyDescent="0.25">
      <c r="O328" s="21">
        <v>4.6583258795408264</v>
      </c>
    </row>
    <row r="329" spans="15:15" x14ac:dyDescent="0.25">
      <c r="O329" s="21">
        <v>3.7815340802378072</v>
      </c>
    </row>
    <row r="330" spans="15:15" x14ac:dyDescent="0.25">
      <c r="O330" s="21">
        <v>3.1622776601683795</v>
      </c>
    </row>
    <row r="331" spans="15:15" x14ac:dyDescent="0.25">
      <c r="O331" s="21">
        <v>2.3021728866442679</v>
      </c>
    </row>
    <row r="332" spans="15:15" x14ac:dyDescent="0.25">
      <c r="O332" s="21">
        <v>3.1144823004794873</v>
      </c>
    </row>
    <row r="333" spans="15:15" x14ac:dyDescent="0.25">
      <c r="O333" s="21">
        <v>4.7434164902525691</v>
      </c>
    </row>
    <row r="334" spans="15:15" x14ac:dyDescent="0.25">
      <c r="O334" s="21">
        <v>4.1833001326703778</v>
      </c>
    </row>
    <row r="335" spans="15:15" x14ac:dyDescent="0.25">
      <c r="O335" s="21">
        <v>3.082207001484488</v>
      </c>
    </row>
    <row r="336" spans="15:15" x14ac:dyDescent="0.25">
      <c r="O336" s="21">
        <v>4.4497190922573981</v>
      </c>
    </row>
    <row r="337" spans="15:15" x14ac:dyDescent="0.25">
      <c r="O337" s="21">
        <v>0.89442719099991586</v>
      </c>
    </row>
    <row r="338" spans="15:15" x14ac:dyDescent="0.25">
      <c r="O338" s="21">
        <v>4.7222875812470573</v>
      </c>
    </row>
    <row r="339" spans="15:15" x14ac:dyDescent="0.25">
      <c r="O339" s="21">
        <v>5.5407580708780113</v>
      </c>
    </row>
    <row r="340" spans="15:15" x14ac:dyDescent="0.25">
      <c r="O340" s="21">
        <v>3.8340579025361627</v>
      </c>
    </row>
    <row r="341" spans="15:15" x14ac:dyDescent="0.25">
      <c r="O341" s="21">
        <v>3.5071355833500366</v>
      </c>
    </row>
    <row r="342" spans="15:15" x14ac:dyDescent="0.25">
      <c r="O342" s="21">
        <v>5.1283525619832515</v>
      </c>
    </row>
    <row r="343" spans="15:15" x14ac:dyDescent="0.25">
      <c r="O343" s="21">
        <v>3.9115214431215888</v>
      </c>
    </row>
    <row r="344" spans="15:15" x14ac:dyDescent="0.25">
      <c r="O344" s="21">
        <v>4.6583258795408264</v>
      </c>
    </row>
    <row r="345" spans="15:15" x14ac:dyDescent="0.25">
      <c r="O345" s="21">
        <v>3.5777087639996634</v>
      </c>
    </row>
    <row r="346" spans="15:15" x14ac:dyDescent="0.25">
      <c r="O346" s="21">
        <v>6.6483080554378677</v>
      </c>
    </row>
    <row r="347" spans="15:15" x14ac:dyDescent="0.25">
      <c r="O347" s="21">
        <v>3.4205262752974139</v>
      </c>
    </row>
    <row r="348" spans="15:15" x14ac:dyDescent="0.25">
      <c r="O348" s="21">
        <v>6.3639610306789276</v>
      </c>
    </row>
    <row r="349" spans="15:15" x14ac:dyDescent="0.25">
      <c r="O349" s="21">
        <v>4.6690470119715002</v>
      </c>
    </row>
    <row r="350" spans="15:15" x14ac:dyDescent="0.25">
      <c r="O350" s="21">
        <v>4.6043457732885154</v>
      </c>
    </row>
    <row r="351" spans="15:15" x14ac:dyDescent="0.25">
      <c r="O351" s="21">
        <v>4.1593268686170841</v>
      </c>
    </row>
    <row r="352" spans="15:15" x14ac:dyDescent="0.25">
      <c r="O352" s="21">
        <v>4.358898943540674</v>
      </c>
    </row>
    <row r="353" spans="15:15" x14ac:dyDescent="0.25">
      <c r="O353" s="21">
        <v>2.9664793948382653</v>
      </c>
    </row>
    <row r="354" spans="15:15" x14ac:dyDescent="0.25">
      <c r="O354" s="21">
        <v>3.2863353450309964</v>
      </c>
    </row>
    <row r="355" spans="15:15" x14ac:dyDescent="0.25">
      <c r="O355" s="21">
        <v>5.1478150704935004</v>
      </c>
    </row>
    <row r="356" spans="15:15" x14ac:dyDescent="0.25">
      <c r="O356" s="21">
        <v>2.9154759474226504</v>
      </c>
    </row>
    <row r="357" spans="15:15" x14ac:dyDescent="0.25">
      <c r="O357" s="21">
        <v>4.6904157598234297</v>
      </c>
    </row>
    <row r="358" spans="15:15" x14ac:dyDescent="0.25">
      <c r="O358" s="21">
        <v>3.8987177379235853</v>
      </c>
    </row>
    <row r="359" spans="15:15" x14ac:dyDescent="0.25">
      <c r="O359" s="21">
        <v>4.92950301754649</v>
      </c>
    </row>
    <row r="360" spans="15:15" x14ac:dyDescent="0.25">
      <c r="O360" s="21">
        <v>5.1672042731055079</v>
      </c>
    </row>
    <row r="361" spans="15:15" x14ac:dyDescent="0.25">
      <c r="O361" s="21">
        <v>3.7815340802378072</v>
      </c>
    </row>
    <row r="362" spans="15:15" x14ac:dyDescent="0.25">
      <c r="O362" s="21">
        <v>5.7879184513951127</v>
      </c>
    </row>
    <row r="363" spans="15:15" x14ac:dyDescent="0.25">
      <c r="O363" s="21">
        <v>6.4187226143524887</v>
      </c>
    </row>
    <row r="364" spans="15:15" x14ac:dyDescent="0.25">
      <c r="O364" s="21">
        <v>6.8044103344816138</v>
      </c>
    </row>
    <row r="365" spans="15:15" x14ac:dyDescent="0.25">
      <c r="O365" s="21">
        <v>3.082207001484488</v>
      </c>
    </row>
    <row r="366" spans="15:15" x14ac:dyDescent="0.25">
      <c r="O366" s="21">
        <v>2.5495097567963922</v>
      </c>
    </row>
    <row r="367" spans="15:15" x14ac:dyDescent="0.25">
      <c r="O367" s="21">
        <v>4.3931765272977588</v>
      </c>
    </row>
    <row r="368" spans="15:15" x14ac:dyDescent="0.25">
      <c r="O368" s="21">
        <v>3.3466401061363018</v>
      </c>
    </row>
    <row r="369" spans="15:15" x14ac:dyDescent="0.25">
      <c r="O369" s="21">
        <v>5.1283525619832515</v>
      </c>
    </row>
    <row r="370" spans="15:15" x14ac:dyDescent="0.25">
      <c r="O370" s="21">
        <v>8.3666002653407556</v>
      </c>
    </row>
    <row r="371" spans="15:15" x14ac:dyDescent="0.25">
      <c r="O371" s="21">
        <v>3.2863353450309969</v>
      </c>
    </row>
    <row r="372" spans="15:15" x14ac:dyDescent="0.25">
      <c r="O372" s="21">
        <v>6.7601775124622314</v>
      </c>
    </row>
    <row r="373" spans="15:15" x14ac:dyDescent="0.25">
      <c r="O373" s="21">
        <v>3.0495901363953815</v>
      </c>
    </row>
    <row r="374" spans="15:15" x14ac:dyDescent="0.25">
      <c r="O374" s="21">
        <v>3.8340579025361627</v>
      </c>
    </row>
    <row r="375" spans="15:15" x14ac:dyDescent="0.25">
      <c r="O375" s="21">
        <v>2.8635642126552705</v>
      </c>
    </row>
    <row r="376" spans="15:15" x14ac:dyDescent="0.25">
      <c r="O376" s="21">
        <v>4.7644516998286379</v>
      </c>
    </row>
    <row r="377" spans="15:15" x14ac:dyDescent="0.25">
      <c r="O377" s="21">
        <v>4.1472882706655438</v>
      </c>
    </row>
    <row r="378" spans="15:15" x14ac:dyDescent="0.25">
      <c r="O378" s="21">
        <v>5.0497524691810387</v>
      </c>
    </row>
    <row r="379" spans="15:15" x14ac:dyDescent="0.25">
      <c r="O379" s="21">
        <v>2.7748873851023217</v>
      </c>
    </row>
    <row r="380" spans="15:15" x14ac:dyDescent="0.25">
      <c r="O380" s="21">
        <v>2.2803508501982757</v>
      </c>
    </row>
    <row r="381" spans="15:15" x14ac:dyDescent="0.25">
      <c r="O381" s="21">
        <v>4.3243496620879309</v>
      </c>
    </row>
    <row r="382" spans="15:15" x14ac:dyDescent="0.25">
      <c r="O382" s="21">
        <v>3.7682887362833544</v>
      </c>
    </row>
    <row r="383" spans="15:15" x14ac:dyDescent="0.25">
      <c r="O383" s="21">
        <v>1.6431676725154982</v>
      </c>
    </row>
    <row r="384" spans="15:15" x14ac:dyDescent="0.25">
      <c r="O384" s="21">
        <v>6.2048368229954285</v>
      </c>
    </row>
    <row r="385" spans="15:15" x14ac:dyDescent="0.25">
      <c r="O385" s="21">
        <v>5.9833101206606516</v>
      </c>
    </row>
    <row r="386" spans="15:15" x14ac:dyDescent="0.25">
      <c r="O386" s="21">
        <v>4.2426406871192848</v>
      </c>
    </row>
    <row r="387" spans="15:15" x14ac:dyDescent="0.25">
      <c r="O387" s="21">
        <v>2.4899799195977463</v>
      </c>
    </row>
    <row r="388" spans="15:15" x14ac:dyDescent="0.25">
      <c r="O388" s="21">
        <v>6.0991802727907478</v>
      </c>
    </row>
    <row r="389" spans="15:15" x14ac:dyDescent="0.25">
      <c r="O389" s="21">
        <v>2.2803508501982757</v>
      </c>
    </row>
    <row r="390" spans="15:15" x14ac:dyDescent="0.25">
      <c r="O390" s="21">
        <v>4.1231056256176606</v>
      </c>
    </row>
    <row r="391" spans="15:15" x14ac:dyDescent="0.25">
      <c r="O391" s="21">
        <v>5.0695167422546126</v>
      </c>
    </row>
    <row r="392" spans="15:15" x14ac:dyDescent="0.25">
      <c r="O392" s="21">
        <v>5.2630789467763108</v>
      </c>
    </row>
    <row r="393" spans="15:15" x14ac:dyDescent="0.25">
      <c r="O393" s="21">
        <v>4.5276925690687087</v>
      </c>
    </row>
    <row r="394" spans="15:15" x14ac:dyDescent="0.25">
      <c r="O394" s="21">
        <v>4.0620192023179804</v>
      </c>
    </row>
    <row r="395" spans="15:15" x14ac:dyDescent="0.25">
      <c r="O395" s="21">
        <v>4.0373258476372698</v>
      </c>
    </row>
    <row r="396" spans="15:15" x14ac:dyDescent="0.25">
      <c r="O396" s="21">
        <v>1.1401754250991381</v>
      </c>
    </row>
    <row r="397" spans="15:15" x14ac:dyDescent="0.25">
      <c r="O397" s="21">
        <v>3.9623225512317899</v>
      </c>
    </row>
    <row r="398" spans="15:15" x14ac:dyDescent="0.25">
      <c r="O398" s="21">
        <v>5.8309518948453007</v>
      </c>
    </row>
    <row r="399" spans="15:15" x14ac:dyDescent="0.25">
      <c r="O399" s="21">
        <v>2.5884358211089569</v>
      </c>
    </row>
    <row r="400" spans="15:15" x14ac:dyDescent="0.25">
      <c r="O400" s="21">
        <v>5.8137767414994492</v>
      </c>
    </row>
    <row r="401" spans="15:15" x14ac:dyDescent="0.25">
      <c r="O401" s="21">
        <v>3.082207001484488</v>
      </c>
    </row>
    <row r="402" spans="15:15" x14ac:dyDescent="0.25">
      <c r="O402" s="21">
        <v>2.4083189157584592</v>
      </c>
    </row>
    <row r="403" spans="15:15" x14ac:dyDescent="0.25">
      <c r="O403" s="21">
        <v>4.3817804600413339</v>
      </c>
    </row>
    <row r="404" spans="15:15" x14ac:dyDescent="0.25">
      <c r="O404" s="21">
        <v>1.8165902124584949</v>
      </c>
    </row>
    <row r="405" spans="15:15" x14ac:dyDescent="0.25">
      <c r="O405" s="21">
        <v>4.2778499272414825</v>
      </c>
    </row>
    <row r="406" spans="15:15" x14ac:dyDescent="0.25">
      <c r="O406" s="21">
        <v>3.5071355833500366</v>
      </c>
    </row>
    <row r="407" spans="15:15" x14ac:dyDescent="0.25">
      <c r="O407" s="21">
        <v>4.7749345545253474</v>
      </c>
    </row>
    <row r="408" spans="15:15" x14ac:dyDescent="0.25">
      <c r="O408" s="21">
        <v>5.3197744313081721</v>
      </c>
    </row>
    <row r="409" spans="15:15" x14ac:dyDescent="0.25">
      <c r="O409" s="21">
        <v>4.8785243670601828</v>
      </c>
    </row>
    <row r="410" spans="15:15" x14ac:dyDescent="0.25">
      <c r="O410" s="21">
        <v>6.1073725938410028</v>
      </c>
    </row>
    <row r="411" spans="15:15" x14ac:dyDescent="0.25">
      <c r="O411" s="21">
        <v>5.4037024344425015</v>
      </c>
    </row>
    <row r="412" spans="15:15" x14ac:dyDescent="0.25">
      <c r="O412" s="21">
        <v>4.5497252664309356</v>
      </c>
    </row>
    <row r="413" spans="15:15" x14ac:dyDescent="0.25">
      <c r="O413" s="21">
        <v>5.770615218501419</v>
      </c>
    </row>
    <row r="414" spans="15:15" x14ac:dyDescent="0.25">
      <c r="O414" s="21">
        <v>5.4037024344425015</v>
      </c>
    </row>
    <row r="415" spans="15:15" x14ac:dyDescent="0.25">
      <c r="O415" s="21">
        <v>3.082207001484488</v>
      </c>
    </row>
    <row r="416" spans="15:15" x14ac:dyDescent="0.25">
      <c r="O416" s="21">
        <v>6.5802735505448542</v>
      </c>
    </row>
    <row r="417" spans="15:15" x14ac:dyDescent="0.25">
      <c r="O417" s="21">
        <v>7.1414284285428504</v>
      </c>
    </row>
    <row r="418" spans="15:15" x14ac:dyDescent="0.25">
      <c r="O418" s="21">
        <v>4.3931765272977543</v>
      </c>
    </row>
    <row r="419" spans="15:15" x14ac:dyDescent="0.25">
      <c r="O419" s="21">
        <v>3.9115214431215892</v>
      </c>
    </row>
    <row r="420" spans="15:15" x14ac:dyDescent="0.25">
      <c r="O420" s="21">
        <v>5.0299105359837348</v>
      </c>
    </row>
    <row r="421" spans="15:15" x14ac:dyDescent="0.25">
      <c r="O421" s="21">
        <v>4.3358966777357599</v>
      </c>
    </row>
    <row r="422" spans="15:15" x14ac:dyDescent="0.25">
      <c r="O422" s="21">
        <v>7.8549347546621959</v>
      </c>
    </row>
    <row r="423" spans="15:15" x14ac:dyDescent="0.25">
      <c r="O423" s="21">
        <v>3.3615472627943221</v>
      </c>
    </row>
    <row r="424" spans="15:15" x14ac:dyDescent="0.25">
      <c r="O424" s="21">
        <v>6.0663003552412365</v>
      </c>
    </row>
    <row r="425" spans="15:15" x14ac:dyDescent="0.25">
      <c r="O425" s="21">
        <v>3.03315017762062</v>
      </c>
    </row>
    <row r="426" spans="15:15" x14ac:dyDescent="0.25">
      <c r="O426" s="21">
        <v>8.532291603080628</v>
      </c>
    </row>
    <row r="427" spans="15:15" x14ac:dyDescent="0.25">
      <c r="O427" s="21">
        <v>3.7013511046643495</v>
      </c>
    </row>
    <row r="428" spans="15:15" x14ac:dyDescent="0.25">
      <c r="O428" s="21">
        <v>2.9495762407505248</v>
      </c>
    </row>
    <row r="429" spans="15:15" x14ac:dyDescent="0.25">
      <c r="O429" s="21">
        <v>2.8284271247461903</v>
      </c>
    </row>
    <row r="430" spans="15:15" x14ac:dyDescent="0.25">
      <c r="O430" s="21">
        <v>4.6151923036857259</v>
      </c>
    </row>
    <row r="431" spans="15:15" x14ac:dyDescent="0.25">
      <c r="O431" s="21">
        <v>3.4351128074635335</v>
      </c>
    </row>
    <row r="432" spans="15:15" x14ac:dyDescent="0.25">
      <c r="O432" s="21">
        <v>3.5777087639996634</v>
      </c>
    </row>
    <row r="433" spans="15:15" x14ac:dyDescent="0.25">
      <c r="O433" s="21">
        <v>4.8682645778552152</v>
      </c>
    </row>
    <row r="434" spans="15:15" x14ac:dyDescent="0.25">
      <c r="O434" s="21">
        <v>5.5045435778091498</v>
      </c>
    </row>
    <row r="435" spans="15:15" x14ac:dyDescent="0.25">
      <c r="O435" s="21">
        <v>2.3021728866442679</v>
      </c>
    </row>
    <row r="436" spans="15:15" x14ac:dyDescent="0.25">
      <c r="O436" s="21">
        <v>6.2849025449882676</v>
      </c>
    </row>
    <row r="437" spans="15:15" x14ac:dyDescent="0.25">
      <c r="O437" s="21">
        <v>4.1472882706655438</v>
      </c>
    </row>
    <row r="438" spans="15:15" x14ac:dyDescent="0.25">
      <c r="O438" s="21">
        <v>5.2153619241621012</v>
      </c>
    </row>
    <row r="439" spans="15:15" x14ac:dyDescent="0.25">
      <c r="O439" s="21">
        <v>3.5071355833500362</v>
      </c>
    </row>
    <row r="440" spans="15:15" x14ac:dyDescent="0.25">
      <c r="O440" s="21">
        <v>4.4497190922573981</v>
      </c>
    </row>
    <row r="441" spans="15:15" x14ac:dyDescent="0.25">
      <c r="O441" s="21">
        <v>3.1937438845342623</v>
      </c>
    </row>
    <row r="442" spans="15:15" x14ac:dyDescent="0.25">
      <c r="O442" s="21">
        <v>4.3243496620879309</v>
      </c>
    </row>
    <row r="443" spans="15:15" x14ac:dyDescent="0.25">
      <c r="O443" s="21">
        <v>3.9623225512317894</v>
      </c>
    </row>
    <row r="444" spans="15:15" x14ac:dyDescent="0.25">
      <c r="O444" s="21">
        <v>5.4129474410897389</v>
      </c>
    </row>
    <row r="445" spans="15:15" x14ac:dyDescent="0.25">
      <c r="O445" s="21">
        <v>4.2661458015403086</v>
      </c>
    </row>
    <row r="446" spans="15:15" x14ac:dyDescent="0.25">
      <c r="O446" s="21">
        <v>3.8987177379235858</v>
      </c>
    </row>
    <row r="447" spans="15:15" x14ac:dyDescent="0.25">
      <c r="O447" s="21">
        <v>2.3874672772626644</v>
      </c>
    </row>
    <row r="448" spans="15:15" x14ac:dyDescent="0.25">
      <c r="O448" s="21">
        <v>1.9235384061671343</v>
      </c>
    </row>
    <row r="449" spans="15:15" x14ac:dyDescent="0.25">
      <c r="O449" s="21">
        <v>3.9623225512317894</v>
      </c>
    </row>
    <row r="450" spans="15:15" x14ac:dyDescent="0.25">
      <c r="O450" s="21">
        <v>5.9749476985158472</v>
      </c>
    </row>
    <row r="451" spans="15:15" x14ac:dyDescent="0.25">
      <c r="O451" s="21">
        <v>3.8987177379235853</v>
      </c>
    </row>
    <row r="452" spans="15:15" x14ac:dyDescent="0.25">
      <c r="O452" s="21">
        <v>0.89442719099991586</v>
      </c>
    </row>
    <row r="453" spans="15:15" x14ac:dyDescent="0.25">
      <c r="O453" s="21">
        <v>6.9426219830838996</v>
      </c>
    </row>
    <row r="454" spans="15:15" x14ac:dyDescent="0.25">
      <c r="O454" s="21">
        <v>2.7018512172212592</v>
      </c>
    </row>
    <row r="455" spans="15:15" x14ac:dyDescent="0.25">
      <c r="O455" s="21">
        <v>7.2318738927058144</v>
      </c>
    </row>
    <row r="456" spans="15:15" x14ac:dyDescent="0.25">
      <c r="O456" s="21">
        <v>4.1472882706655438</v>
      </c>
    </row>
    <row r="457" spans="15:15" x14ac:dyDescent="0.25">
      <c r="O457" s="21">
        <v>1.9235384061671343</v>
      </c>
    </row>
    <row r="458" spans="15:15" x14ac:dyDescent="0.25">
      <c r="O458" s="21">
        <v>3.7682887362833539</v>
      </c>
    </row>
    <row r="459" spans="15:15" x14ac:dyDescent="0.25">
      <c r="O459" s="21">
        <v>4.9699094559156753</v>
      </c>
    </row>
    <row r="460" spans="15:15" x14ac:dyDescent="0.25">
      <c r="O460" s="21">
        <v>7.6615925237511693</v>
      </c>
    </row>
    <row r="461" spans="15:15" x14ac:dyDescent="0.25">
      <c r="O461" s="21">
        <v>2.7018512172212592</v>
      </c>
    </row>
    <row r="462" spans="15:15" x14ac:dyDescent="0.25">
      <c r="O462" s="21">
        <v>5.6833088953531243</v>
      </c>
    </row>
    <row r="463" spans="15:15" x14ac:dyDescent="0.25">
      <c r="O463" s="21">
        <v>3.2093613071762426</v>
      </c>
    </row>
    <row r="464" spans="15:15" x14ac:dyDescent="0.25">
      <c r="O464" s="21">
        <v>3.9115214431215892</v>
      </c>
    </row>
    <row r="465" spans="15:15" x14ac:dyDescent="0.25">
      <c r="O465" s="21">
        <v>1.8165902124584952</v>
      </c>
    </row>
    <row r="466" spans="15:15" x14ac:dyDescent="0.25">
      <c r="O466" s="21">
        <v>3.9115214431215888</v>
      </c>
    </row>
    <row r="467" spans="15:15" x14ac:dyDescent="0.25">
      <c r="O467" s="21">
        <v>5.3385391260156556</v>
      </c>
    </row>
    <row r="468" spans="15:15" x14ac:dyDescent="0.25">
      <c r="O468" s="21">
        <v>4.5607017003965469</v>
      </c>
    </row>
    <row r="469" spans="15:15" x14ac:dyDescent="0.25">
      <c r="O469" s="21">
        <v>5.0695167422546348</v>
      </c>
    </row>
    <row r="470" spans="15:15" x14ac:dyDescent="0.25">
      <c r="O470" s="21">
        <v>7.362064927722388</v>
      </c>
    </row>
    <row r="471" spans="15:15" x14ac:dyDescent="0.25">
      <c r="O471" s="21">
        <v>1.2247448713915889</v>
      </c>
    </row>
    <row r="472" spans="15:15" x14ac:dyDescent="0.25">
      <c r="O472" s="21">
        <v>4.4497190922573981</v>
      </c>
    </row>
    <row r="473" spans="15:15" x14ac:dyDescent="0.25">
      <c r="O473" s="21">
        <v>6.3796551630946183</v>
      </c>
    </row>
    <row r="474" spans="15:15" x14ac:dyDescent="0.25">
      <c r="O474" s="21">
        <v>3.4928498393145961</v>
      </c>
    </row>
    <row r="475" spans="15:15" x14ac:dyDescent="0.25">
      <c r="O475" s="21">
        <v>5.5497747702046389</v>
      </c>
    </row>
    <row r="476" spans="15:15" x14ac:dyDescent="0.25">
      <c r="O476" s="21">
        <v>6.0415229867972862</v>
      </c>
    </row>
    <row r="477" spans="15:15" x14ac:dyDescent="0.25">
      <c r="O477" s="21">
        <v>4.6151923036857303</v>
      </c>
    </row>
    <row r="478" spans="15:15" x14ac:dyDescent="0.25">
      <c r="O478" s="21">
        <v>1.5811388300841898</v>
      </c>
    </row>
    <row r="479" spans="15:15" x14ac:dyDescent="0.25">
      <c r="O479" s="21">
        <v>6.8190908484929276</v>
      </c>
    </row>
    <row r="480" spans="15:15" x14ac:dyDescent="0.25">
      <c r="O480" s="21">
        <v>6.9065186599327895</v>
      </c>
    </row>
    <row r="481" spans="15:15" x14ac:dyDescent="0.25">
      <c r="O481" s="21">
        <v>2.3874672772626644</v>
      </c>
    </row>
    <row r="482" spans="15:15" x14ac:dyDescent="0.25">
      <c r="O482" s="21">
        <v>3.8078865529319543</v>
      </c>
    </row>
    <row r="483" spans="15:15" x14ac:dyDescent="0.25">
      <c r="O483" s="21">
        <v>4.6583258795408513</v>
      </c>
    </row>
    <row r="484" spans="15:15" x14ac:dyDescent="0.25">
      <c r="O484" s="21">
        <v>6.4187226143524709</v>
      </c>
    </row>
    <row r="485" spans="15:15" x14ac:dyDescent="0.25">
      <c r="O485" s="21">
        <v>5.5407580708780113</v>
      </c>
    </row>
    <row r="486" spans="15:15" x14ac:dyDescent="0.25">
      <c r="O486" s="21">
        <v>2.5099800796022267</v>
      </c>
    </row>
    <row r="487" spans="15:15" x14ac:dyDescent="0.25">
      <c r="O487" s="21">
        <v>3.6742346141747673</v>
      </c>
    </row>
    <row r="488" spans="15:15" x14ac:dyDescent="0.25">
      <c r="O488" s="21">
        <v>2.2803508501982757</v>
      </c>
    </row>
    <row r="489" spans="15:15" x14ac:dyDescent="0.25">
      <c r="O489" s="21">
        <v>4.7222875812470573</v>
      </c>
    </row>
    <row r="490" spans="15:15" x14ac:dyDescent="0.25">
      <c r="O490" s="21">
        <v>3.3615472627943221</v>
      </c>
    </row>
    <row r="491" spans="15:15" x14ac:dyDescent="0.25">
      <c r="O491" s="21">
        <v>2.6076809620810595</v>
      </c>
    </row>
    <row r="492" spans="15:15" x14ac:dyDescent="0.25">
      <c r="O492" s="21">
        <v>5.6833088953531448</v>
      </c>
    </row>
    <row r="493" spans="15:15" x14ac:dyDescent="0.25">
      <c r="O493" s="21">
        <v>4.1593268686170841</v>
      </c>
    </row>
    <row r="494" spans="15:15" x14ac:dyDescent="0.25">
      <c r="O494" s="21">
        <v>5.6391488719486693</v>
      </c>
    </row>
    <row r="495" spans="15:15" x14ac:dyDescent="0.25">
      <c r="O495" s="21">
        <v>3.1304951684997055</v>
      </c>
    </row>
    <row r="496" spans="15:15" x14ac:dyDescent="0.25">
      <c r="O496" s="21">
        <v>3.2093613071762421</v>
      </c>
    </row>
    <row r="497" spans="15:15" x14ac:dyDescent="0.25">
      <c r="O497" s="21">
        <v>4.1472882706655438</v>
      </c>
    </row>
    <row r="498" spans="15:15" x14ac:dyDescent="0.25">
      <c r="O498" s="21">
        <v>2</v>
      </c>
    </row>
    <row r="499" spans="15:15" x14ac:dyDescent="0.25">
      <c r="O499" s="21">
        <v>2.5099800796022267</v>
      </c>
    </row>
    <row r="500" spans="15:15" x14ac:dyDescent="0.25">
      <c r="O500" s="21">
        <v>1.5165750888103102</v>
      </c>
    </row>
    <row r="501" spans="15:15" x14ac:dyDescent="0.25">
      <c r="O501" s="21">
        <v>3.6331804249169899</v>
      </c>
    </row>
    <row r="502" spans="15:15" x14ac:dyDescent="0.25">
      <c r="O502" s="21">
        <v>7.8930349042684576</v>
      </c>
    </row>
    <row r="503" spans="15:15" x14ac:dyDescent="0.25">
      <c r="O503" s="21">
        <v>5.2153619241621012</v>
      </c>
    </row>
    <row r="504" spans="15:15" x14ac:dyDescent="0.25">
      <c r="O504" s="21">
        <v>1.8165902124584952</v>
      </c>
    </row>
    <row r="505" spans="15:15" x14ac:dyDescent="0.25">
      <c r="O505" s="21">
        <v>3.8987177379235853</v>
      </c>
    </row>
    <row r="506" spans="15:15" x14ac:dyDescent="0.25">
      <c r="O506" s="21">
        <v>4.9295030175465131</v>
      </c>
    </row>
    <row r="507" spans="15:15" x14ac:dyDescent="0.25">
      <c r="O507" s="21">
        <v>4.4384682042344297</v>
      </c>
    </row>
    <row r="508" spans="15:15" x14ac:dyDescent="0.25">
      <c r="O508" s="21">
        <v>3.03315017762062</v>
      </c>
    </row>
    <row r="509" spans="15:15" x14ac:dyDescent="0.25">
      <c r="O509" s="21">
        <v>2.0736441353327724</v>
      </c>
    </row>
    <row r="510" spans="15:15" x14ac:dyDescent="0.25">
      <c r="O510" s="21">
        <v>5.9833101206606516</v>
      </c>
    </row>
    <row r="511" spans="15:15" x14ac:dyDescent="0.25">
      <c r="O511" s="21">
        <v>8.6197447758039907</v>
      </c>
    </row>
    <row r="512" spans="15:15" x14ac:dyDescent="0.25">
      <c r="O512" s="21">
        <v>4.8785243670601828</v>
      </c>
    </row>
    <row r="513" spans="15:15" x14ac:dyDescent="0.25">
      <c r="O513" s="21">
        <v>3.7815340802378072</v>
      </c>
    </row>
    <row r="514" spans="15:15" x14ac:dyDescent="0.25">
      <c r="O514" s="21">
        <v>3.1304951684997055</v>
      </c>
    </row>
    <row r="515" spans="15:15" x14ac:dyDescent="0.25">
      <c r="O515" s="21">
        <v>3.4928498393145961</v>
      </c>
    </row>
    <row r="516" spans="15:15" x14ac:dyDescent="0.25">
      <c r="O516" s="21">
        <v>6.3482280992415658</v>
      </c>
    </row>
    <row r="517" spans="15:15" x14ac:dyDescent="0.25">
      <c r="O517" s="21">
        <v>2.7748873851023217</v>
      </c>
    </row>
    <row r="518" spans="15:15" x14ac:dyDescent="0.25">
      <c r="O518" s="21">
        <v>2.8809720581775866</v>
      </c>
    </row>
    <row r="519" spans="15:15" x14ac:dyDescent="0.25">
      <c r="O519" s="21">
        <v>3.271085446759225</v>
      </c>
    </row>
    <row r="520" spans="15:15" x14ac:dyDescent="0.25">
      <c r="O520" s="21">
        <v>6.3007936008093308</v>
      </c>
    </row>
    <row r="521" spans="15:15" x14ac:dyDescent="0.25">
      <c r="O521" s="21">
        <v>5.8137767414994688</v>
      </c>
    </row>
    <row r="522" spans="15:15" x14ac:dyDescent="0.25">
      <c r="O522" s="21">
        <v>2.6832815729997477</v>
      </c>
    </row>
    <row r="523" spans="15:15" x14ac:dyDescent="0.25">
      <c r="O523" s="21">
        <v>6.9785385289471478</v>
      </c>
    </row>
    <row r="524" spans="15:15" x14ac:dyDescent="0.25">
      <c r="O524" s="21">
        <v>2.6832815729997477</v>
      </c>
    </row>
    <row r="525" spans="15:15" x14ac:dyDescent="0.25">
      <c r="O525" s="21">
        <v>4.9699094559156523</v>
      </c>
    </row>
    <row r="526" spans="15:15" x14ac:dyDescent="0.25">
      <c r="O526" s="21">
        <v>2.5884358211089569</v>
      </c>
    </row>
    <row r="527" spans="15:15" x14ac:dyDescent="0.25">
      <c r="O527" s="21">
        <v>1.9235384061671343</v>
      </c>
    </row>
    <row r="528" spans="15:15" x14ac:dyDescent="0.25">
      <c r="O528" s="21">
        <v>5.9413803110051946</v>
      </c>
    </row>
    <row r="529" spans="15:15" x14ac:dyDescent="0.25">
      <c r="O529" s="21">
        <v>3.7416573867739413</v>
      </c>
    </row>
    <row r="530" spans="15:15" x14ac:dyDescent="0.25">
      <c r="O530" s="21">
        <v>6.2048368229954285</v>
      </c>
    </row>
    <row r="531" spans="15:15" x14ac:dyDescent="0.25">
      <c r="O531" s="21">
        <v>6.3007936008093495</v>
      </c>
    </row>
    <row r="532" spans="15:15" x14ac:dyDescent="0.25">
      <c r="O532" s="21">
        <v>5.9413803110051946</v>
      </c>
    </row>
    <row r="533" spans="15:15" x14ac:dyDescent="0.25">
      <c r="O533" s="21">
        <v>3.0495901363953815</v>
      </c>
    </row>
    <row r="534" spans="15:15" x14ac:dyDescent="0.25">
      <c r="O534" s="21">
        <v>5.0695167422546126</v>
      </c>
    </row>
    <row r="535" spans="15:15" x14ac:dyDescent="0.25">
      <c r="O535" s="21">
        <v>3.0495901363953815</v>
      </c>
    </row>
    <row r="536" spans="15:15" x14ac:dyDescent="0.25">
      <c r="O536" s="21">
        <v>4.8270073544588632</v>
      </c>
    </row>
    <row r="537" spans="15:15" x14ac:dyDescent="0.25">
      <c r="O537" s="21">
        <v>3.271085446759225</v>
      </c>
    </row>
    <row r="538" spans="15:15" x14ac:dyDescent="0.25">
      <c r="O538" s="21">
        <v>6.4265076052238479</v>
      </c>
    </row>
    <row r="539" spans="15:15" x14ac:dyDescent="0.25">
      <c r="O539" s="21">
        <v>4.6151923036857498</v>
      </c>
    </row>
    <row r="540" spans="15:15" x14ac:dyDescent="0.25">
      <c r="O540" s="21">
        <v>5.4129474410897602</v>
      </c>
    </row>
    <row r="541" spans="15:15" x14ac:dyDescent="0.25">
      <c r="O541" s="21">
        <v>1.5811388300841898</v>
      </c>
    </row>
    <row r="542" spans="15:15" x14ac:dyDescent="0.25">
      <c r="O542" s="21">
        <v>3.7682887362833544</v>
      </c>
    </row>
    <row r="543" spans="15:15" x14ac:dyDescent="0.25">
      <c r="O543" s="21">
        <v>7.8549347546621808</v>
      </c>
    </row>
    <row r="544" spans="15:15" x14ac:dyDescent="0.25">
      <c r="O544" s="21">
        <v>5.0695167422546126</v>
      </c>
    </row>
    <row r="545" spans="15:15" x14ac:dyDescent="0.25">
      <c r="O545" s="21">
        <v>1.3038404810405297</v>
      </c>
    </row>
    <row r="546" spans="15:15" x14ac:dyDescent="0.25">
      <c r="O546" s="21">
        <v>5.8906705900092406</v>
      </c>
    </row>
    <row r="547" spans="15:15" x14ac:dyDescent="0.25">
      <c r="O547" s="21">
        <v>4.3243496620879309</v>
      </c>
    </row>
    <row r="548" spans="15:15" x14ac:dyDescent="0.25">
      <c r="O548" s="21">
        <v>6.0663003552412365</v>
      </c>
    </row>
    <row r="549" spans="15:15" x14ac:dyDescent="0.25">
      <c r="O549" s="21">
        <v>5.4129474410897602</v>
      </c>
    </row>
    <row r="550" spans="15:15" x14ac:dyDescent="0.25">
      <c r="O550" s="21">
        <v>7.1763500472036617</v>
      </c>
    </row>
    <row r="551" spans="15:15" x14ac:dyDescent="0.25">
      <c r="O551" s="21">
        <v>2.1679483388678804</v>
      </c>
    </row>
    <row r="552" spans="15:15" x14ac:dyDescent="0.25">
      <c r="O552" s="21">
        <v>4.3931765272977596</v>
      </c>
    </row>
    <row r="553" spans="15:15" x14ac:dyDescent="0.25">
      <c r="O553" s="21">
        <v>5.2153619241621012</v>
      </c>
    </row>
    <row r="554" spans="15:15" x14ac:dyDescent="0.25">
      <c r="O554" s="21">
        <v>2.3874672772626648</v>
      </c>
    </row>
    <row r="555" spans="15:15" x14ac:dyDescent="0.25">
      <c r="O555" s="21">
        <v>2.8809720581775866</v>
      </c>
    </row>
    <row r="556" spans="15:15" x14ac:dyDescent="0.25">
      <c r="O556" s="21">
        <v>6.3482280992415481</v>
      </c>
    </row>
    <row r="557" spans="15:15" x14ac:dyDescent="0.25">
      <c r="O557" s="21">
        <v>3.1622776601683795</v>
      </c>
    </row>
    <row r="558" spans="15:15" x14ac:dyDescent="0.25">
      <c r="O558" s="21">
        <v>4.7644516998286388</v>
      </c>
    </row>
    <row r="559" spans="15:15" x14ac:dyDescent="0.25">
      <c r="O559" s="21">
        <v>4.8270073544588632</v>
      </c>
    </row>
    <row r="560" spans="15:15" x14ac:dyDescent="0.25">
      <c r="O560" s="21">
        <v>3.4205262752974139</v>
      </c>
    </row>
    <row r="561" spans="15:15" x14ac:dyDescent="0.25">
      <c r="O561" s="21">
        <v>7.368853370776228</v>
      </c>
    </row>
    <row r="562" spans="15:15" x14ac:dyDescent="0.25">
      <c r="O562" s="21">
        <v>5.2153619241621234</v>
      </c>
    </row>
    <row r="563" spans="15:15" x14ac:dyDescent="0.25">
      <c r="O563" s="21">
        <v>7.5828754440515507</v>
      </c>
    </row>
    <row r="564" spans="15:15" x14ac:dyDescent="0.25">
      <c r="O564" s="21">
        <v>6.5192024052026492</v>
      </c>
    </row>
    <row r="565" spans="15:15" x14ac:dyDescent="0.25">
      <c r="O565" s="21">
        <v>4.7644516998286388</v>
      </c>
    </row>
    <row r="566" spans="15:15" x14ac:dyDescent="0.25">
      <c r="O566" s="21">
        <v>4.0987803063838397</v>
      </c>
    </row>
    <row r="567" spans="15:15" x14ac:dyDescent="0.25">
      <c r="O567" s="21">
        <v>4.0620192023179804</v>
      </c>
    </row>
    <row r="568" spans="15:15" x14ac:dyDescent="0.25">
      <c r="O568" s="21">
        <v>3.2093613071762426</v>
      </c>
    </row>
    <row r="569" spans="15:15" x14ac:dyDescent="0.25">
      <c r="O569" s="21">
        <v>6.7453687816160208</v>
      </c>
    </row>
    <row r="570" spans="15:15" x14ac:dyDescent="0.25">
      <c r="O570" s="21">
        <v>9.1268833672837175</v>
      </c>
    </row>
    <row r="571" spans="15:15" x14ac:dyDescent="0.25">
      <c r="O571" s="21">
        <v>5.449770637375468</v>
      </c>
    </row>
    <row r="572" spans="15:15" x14ac:dyDescent="0.25">
      <c r="O572" s="21">
        <v>3.9115214431215892</v>
      </c>
    </row>
    <row r="573" spans="15:15" x14ac:dyDescent="0.25">
      <c r="O573" s="21">
        <v>5.2630789467763108</v>
      </c>
    </row>
    <row r="574" spans="15:15" x14ac:dyDescent="0.25">
      <c r="O574" s="21">
        <v>6.2289646009589896</v>
      </c>
    </row>
    <row r="575" spans="15:15" x14ac:dyDescent="0.25">
      <c r="O575" s="21">
        <v>3.0495901363953815</v>
      </c>
    </row>
    <row r="576" spans="15:15" x14ac:dyDescent="0.25">
      <c r="O576" s="21">
        <v>4.1593268686170841</v>
      </c>
    </row>
    <row r="577" spans="15:15" x14ac:dyDescent="0.25">
      <c r="O577" s="21">
        <v>1.5165750888103102</v>
      </c>
    </row>
    <row r="578" spans="15:15" x14ac:dyDescent="0.25">
      <c r="O578" s="21">
        <v>4.0865633483405102</v>
      </c>
    </row>
    <row r="579" spans="15:15" x14ac:dyDescent="0.25">
      <c r="O579" s="21">
        <v>6.0663003552412551</v>
      </c>
    </row>
    <row r="580" spans="15:15" x14ac:dyDescent="0.25">
      <c r="O580" s="21">
        <v>4.7644516998286193</v>
      </c>
    </row>
    <row r="581" spans="15:15" x14ac:dyDescent="0.25">
      <c r="O581" s="21">
        <v>3.5637059362410923</v>
      </c>
    </row>
    <row r="582" spans="15:15" x14ac:dyDescent="0.25">
      <c r="O582" s="21">
        <v>7.8866976612521444</v>
      </c>
    </row>
    <row r="583" spans="15:15" x14ac:dyDescent="0.25">
      <c r="O583" s="21">
        <v>5.3197744313081721</v>
      </c>
    </row>
    <row r="584" spans="15:15" x14ac:dyDescent="0.25">
      <c r="O584" s="21">
        <v>2.6076809620810595</v>
      </c>
    </row>
    <row r="585" spans="15:15" x14ac:dyDescent="0.25">
      <c r="O585" s="21">
        <v>4.7116875957558797</v>
      </c>
    </row>
    <row r="586" spans="15:15" x14ac:dyDescent="0.25">
      <c r="O586" s="21">
        <v>1.6733200530681511</v>
      </c>
    </row>
    <row r="587" spans="15:15" x14ac:dyDescent="0.25">
      <c r="O587" s="21">
        <v>3.271085446759225</v>
      </c>
    </row>
    <row r="588" spans="15:15" x14ac:dyDescent="0.25">
      <c r="O588" s="21">
        <v>6.9785385289471478</v>
      </c>
    </row>
    <row r="589" spans="15:15" x14ac:dyDescent="0.25">
      <c r="O589" s="21">
        <v>2.3021728866442674</v>
      </c>
    </row>
    <row r="590" spans="15:15" x14ac:dyDescent="0.25">
      <c r="O590" s="21">
        <v>5.3572380943915325</v>
      </c>
    </row>
    <row r="591" spans="15:15" x14ac:dyDescent="0.25">
      <c r="O591" s="21">
        <v>4.8785243670602059</v>
      </c>
    </row>
    <row r="592" spans="15:15" x14ac:dyDescent="0.25">
      <c r="O592" s="21">
        <v>4.8682645778552152</v>
      </c>
    </row>
    <row r="593" spans="15:15" x14ac:dyDescent="0.25">
      <c r="O593" s="21">
        <v>4.3243496620879309</v>
      </c>
    </row>
    <row r="594" spans="15:15" x14ac:dyDescent="0.25">
      <c r="O594" s="21">
        <v>1.51657508881031</v>
      </c>
    </row>
    <row r="595" spans="15:15" x14ac:dyDescent="0.25">
      <c r="O595" s="21">
        <v>4.5055521304275237</v>
      </c>
    </row>
    <row r="596" spans="15:15" x14ac:dyDescent="0.25">
      <c r="O596" s="21">
        <v>3.03315017762062</v>
      </c>
    </row>
    <row r="597" spans="15:15" x14ac:dyDescent="0.25">
      <c r="O597" s="21">
        <v>2.0736441353327724</v>
      </c>
    </row>
    <row r="598" spans="15:15" x14ac:dyDescent="0.25">
      <c r="O598" s="21">
        <v>3.4928498393145961</v>
      </c>
    </row>
    <row r="599" spans="15:15" x14ac:dyDescent="0.25">
      <c r="O599" s="21">
        <v>3.5637059362410923</v>
      </c>
    </row>
    <row r="600" spans="15:15" x14ac:dyDescent="0.25">
      <c r="O600" s="21">
        <v>2.2803508501982761</v>
      </c>
    </row>
    <row r="601" spans="15:15" x14ac:dyDescent="0.25">
      <c r="O601" s="21">
        <v>3.2093613071762426</v>
      </c>
    </row>
    <row r="602" spans="15:15" x14ac:dyDescent="0.25">
      <c r="O602" s="21">
        <v>4.3931765272977596</v>
      </c>
    </row>
    <row r="603" spans="15:15" x14ac:dyDescent="0.25">
      <c r="O603" s="21">
        <v>3.9115214431215892</v>
      </c>
    </row>
    <row r="604" spans="15:15" x14ac:dyDescent="0.25">
      <c r="O604" s="21">
        <v>4.0620192023179804</v>
      </c>
    </row>
    <row r="605" spans="15:15" x14ac:dyDescent="0.25">
      <c r="O605" s="21">
        <v>7.0922492905988701</v>
      </c>
    </row>
    <row r="606" spans="15:15" x14ac:dyDescent="0.25">
      <c r="O606" s="21">
        <v>4.1833001326703778</v>
      </c>
    </row>
    <row r="607" spans="15:15" x14ac:dyDescent="0.25">
      <c r="O607" s="21">
        <v>6.7601775124622314</v>
      </c>
    </row>
    <row r="608" spans="15:15" x14ac:dyDescent="0.25">
      <c r="O608" s="21">
        <v>2.9154759474226504</v>
      </c>
    </row>
    <row r="609" spans="15:15" x14ac:dyDescent="0.25">
      <c r="O609" s="21">
        <v>7.4296702484026715</v>
      </c>
    </row>
    <row r="610" spans="15:15" x14ac:dyDescent="0.25">
      <c r="O610" s="21">
        <v>3.3615472627943221</v>
      </c>
    </row>
    <row r="611" spans="15:15" x14ac:dyDescent="0.25">
      <c r="O611" s="21">
        <v>3.7416573867739413</v>
      </c>
    </row>
    <row r="612" spans="15:15" x14ac:dyDescent="0.25">
      <c r="O612" s="21">
        <v>5.2153619241621012</v>
      </c>
    </row>
    <row r="613" spans="15:15" x14ac:dyDescent="0.25">
      <c r="O613" s="21">
        <v>2.5099800796022267</v>
      </c>
    </row>
    <row r="614" spans="15:15" x14ac:dyDescent="0.25">
      <c r="O614" s="21">
        <v>7.4027022093287114</v>
      </c>
    </row>
    <row r="615" spans="15:15" x14ac:dyDescent="0.25">
      <c r="O615" s="21">
        <v>4.4721359549995796</v>
      </c>
    </row>
    <row r="616" spans="15:15" x14ac:dyDescent="0.25">
      <c r="O616" s="21">
        <v>9.0388052307813229</v>
      </c>
    </row>
    <row r="617" spans="15:15" x14ac:dyDescent="0.25">
      <c r="O617" s="21">
        <v>3.271085446759225</v>
      </c>
    </row>
    <row r="618" spans="15:15" x14ac:dyDescent="0.25">
      <c r="O618" s="21">
        <v>3.1304951684997055</v>
      </c>
    </row>
    <row r="619" spans="15:15" x14ac:dyDescent="0.25">
      <c r="O619" s="21">
        <v>4.0620192023179804</v>
      </c>
    </row>
    <row r="620" spans="15:15" x14ac:dyDescent="0.25">
      <c r="O620" s="21">
        <v>5.8906705900092602</v>
      </c>
    </row>
    <row r="621" spans="15:15" x14ac:dyDescent="0.25">
      <c r="O621" s="21">
        <v>3.7815340802378077</v>
      </c>
    </row>
    <row r="622" spans="15:15" x14ac:dyDescent="0.25">
      <c r="O622" s="21">
        <v>3.7815340802378072</v>
      </c>
    </row>
    <row r="623" spans="15:15" x14ac:dyDescent="0.25">
      <c r="O623" s="21">
        <v>1.5165750888103102</v>
      </c>
    </row>
    <row r="624" spans="15:15" x14ac:dyDescent="0.25">
      <c r="O624" s="21">
        <v>3.9749213828703582</v>
      </c>
    </row>
    <row r="625" spans="15:15" x14ac:dyDescent="0.25">
      <c r="O625" s="21">
        <v>6.3482280992415658</v>
      </c>
    </row>
    <row r="626" spans="15:15" x14ac:dyDescent="0.25">
      <c r="O626" s="21">
        <v>5.5946402922797418</v>
      </c>
    </row>
    <row r="627" spans="15:15" x14ac:dyDescent="0.25">
      <c r="O627" s="21">
        <v>4.2778499272414869</v>
      </c>
    </row>
    <row r="628" spans="15:15" x14ac:dyDescent="0.25">
      <c r="O628" s="21">
        <v>6.2048368229954285</v>
      </c>
    </row>
    <row r="629" spans="15:15" x14ac:dyDescent="0.25">
      <c r="O629" s="21">
        <v>5.1768716422179093</v>
      </c>
    </row>
    <row r="630" spans="15:15" x14ac:dyDescent="0.25">
      <c r="O630" s="21">
        <v>3.2863353450309964</v>
      </c>
    </row>
    <row r="631" spans="15:15" x14ac:dyDescent="0.25">
      <c r="O631" s="21">
        <v>4.5497252664309356</v>
      </c>
    </row>
    <row r="632" spans="15:15" x14ac:dyDescent="0.25">
      <c r="O632" s="21">
        <v>4.0373258476372698</v>
      </c>
    </row>
    <row r="633" spans="15:15" x14ac:dyDescent="0.25">
      <c r="O633" s="21">
        <v>5.0497524691810387</v>
      </c>
    </row>
    <row r="634" spans="15:15" x14ac:dyDescent="0.25">
      <c r="O634" s="21">
        <v>2.7748873851023217</v>
      </c>
    </row>
    <row r="635" spans="15:15" x14ac:dyDescent="0.25">
      <c r="O635" s="21">
        <v>5.8480766068853631</v>
      </c>
    </row>
    <row r="636" spans="15:15" x14ac:dyDescent="0.25">
      <c r="O636" s="21">
        <v>3.6331804249169903</v>
      </c>
    </row>
    <row r="637" spans="15:15" x14ac:dyDescent="0.25">
      <c r="O637" s="21">
        <v>2.5884358211089569</v>
      </c>
    </row>
    <row r="638" spans="15:15" x14ac:dyDescent="0.25">
      <c r="O638" s="21">
        <v>4.0373258476372698</v>
      </c>
    </row>
    <row r="639" spans="15:15" x14ac:dyDescent="0.25">
      <c r="O639" s="21">
        <v>2.1908902300206643</v>
      </c>
    </row>
    <row r="640" spans="15:15" x14ac:dyDescent="0.25">
      <c r="O640" s="21">
        <v>3.1937438845342627</v>
      </c>
    </row>
    <row r="641" spans="15:15" x14ac:dyDescent="0.25">
      <c r="O641" s="21">
        <v>3.9623225512317899</v>
      </c>
    </row>
    <row r="642" spans="15:15" x14ac:dyDescent="0.25">
      <c r="O642" s="21">
        <v>5.9413803110051946</v>
      </c>
    </row>
    <row r="643" spans="15:15" x14ac:dyDescent="0.25">
      <c r="O643" s="21">
        <v>3.7815340802378077</v>
      </c>
    </row>
    <row r="644" spans="15:15" x14ac:dyDescent="0.25">
      <c r="O644" s="21">
        <v>7.4966659255965125</v>
      </c>
    </row>
    <row r="645" spans="15:15" x14ac:dyDescent="0.25">
      <c r="O645" s="21">
        <v>4.7958315233127191</v>
      </c>
    </row>
    <row r="646" spans="15:15" x14ac:dyDescent="0.25">
      <c r="O646" s="21">
        <v>3.271085446759225</v>
      </c>
    </row>
    <row r="647" spans="15:15" x14ac:dyDescent="0.25">
      <c r="O647" s="21">
        <v>6.7305274681855494</v>
      </c>
    </row>
    <row r="648" spans="15:15" x14ac:dyDescent="0.25">
      <c r="O648" s="21">
        <v>5.4129474410897602</v>
      </c>
    </row>
    <row r="649" spans="15:15" x14ac:dyDescent="0.25">
      <c r="O649" s="21">
        <v>6.3639610306789276</v>
      </c>
    </row>
    <row r="650" spans="15:15" x14ac:dyDescent="0.25">
      <c r="O650" s="21">
        <v>5.2630789467762895</v>
      </c>
    </row>
    <row r="651" spans="15:15" x14ac:dyDescent="0.25">
      <c r="O651" s="21">
        <v>1.7888543819998317</v>
      </c>
    </row>
    <row r="652" spans="15:15" x14ac:dyDescent="0.25">
      <c r="O652" s="21">
        <v>4.0865633483405102</v>
      </c>
    </row>
    <row r="653" spans="15:15" x14ac:dyDescent="0.25">
      <c r="O653" s="21">
        <v>4.9799598391955113</v>
      </c>
    </row>
    <row r="654" spans="15:15" x14ac:dyDescent="0.25">
      <c r="O654" s="21">
        <v>5.1768716422179315</v>
      </c>
    </row>
    <row r="655" spans="15:15" x14ac:dyDescent="0.25">
      <c r="O655" s="21">
        <v>6.8410525505948243</v>
      </c>
    </row>
    <row r="656" spans="15:15" x14ac:dyDescent="0.25">
      <c r="O656" s="21">
        <v>4.3358966777357599</v>
      </c>
    </row>
    <row r="657" spans="15:15" x14ac:dyDescent="0.25">
      <c r="O657" s="21">
        <v>6.6708320320631671</v>
      </c>
    </row>
    <row r="658" spans="15:15" x14ac:dyDescent="0.25">
      <c r="O658" s="21">
        <v>4.3358966777357599</v>
      </c>
    </row>
    <row r="659" spans="15:15" x14ac:dyDescent="0.25">
      <c r="O659" s="21">
        <v>7.4363969770312952</v>
      </c>
    </row>
    <row r="660" spans="15:15" x14ac:dyDescent="0.25">
      <c r="O660" s="21">
        <v>3.03315017762062</v>
      </c>
    </row>
    <row r="661" spans="15:15" x14ac:dyDescent="0.25">
      <c r="O661" s="21">
        <v>6.5726706900619964</v>
      </c>
    </row>
    <row r="662" spans="15:15" x14ac:dyDescent="0.25">
      <c r="O662" s="21">
        <v>3.5637059362410923</v>
      </c>
    </row>
    <row r="663" spans="15:15" x14ac:dyDescent="0.25">
      <c r="O663" s="21">
        <v>5.0695167422546126</v>
      </c>
    </row>
    <row r="664" spans="15:15" x14ac:dyDescent="0.25">
      <c r="O664" s="21">
        <v>2.16794833886788</v>
      </c>
    </row>
    <row r="665" spans="15:15" x14ac:dyDescent="0.25">
      <c r="O665" s="21">
        <v>3.8470768123342691</v>
      </c>
    </row>
    <row r="666" spans="15:15" x14ac:dyDescent="0.25">
      <c r="O666" s="21">
        <v>6.220932405998302</v>
      </c>
    </row>
    <row r="667" spans="15:15" x14ac:dyDescent="0.25">
      <c r="O667" s="21">
        <v>4.3011626335213133</v>
      </c>
    </row>
    <row r="668" spans="15:15" x14ac:dyDescent="0.25">
      <c r="O668" s="21">
        <v>7.713624310270756</v>
      </c>
    </row>
    <row r="669" spans="15:15" x14ac:dyDescent="0.25">
      <c r="O669" s="21">
        <v>6.1073725938409842</v>
      </c>
    </row>
    <row r="670" spans="15:15" x14ac:dyDescent="0.25">
      <c r="O670" s="21">
        <v>4.2190046219457971</v>
      </c>
    </row>
    <row r="671" spans="15:15" x14ac:dyDescent="0.25">
      <c r="O671" s="21">
        <v>2.7748873851023212</v>
      </c>
    </row>
    <row r="672" spans="15:15" x14ac:dyDescent="0.25">
      <c r="O672" s="21">
        <v>4.1593268686170841</v>
      </c>
    </row>
    <row r="673" spans="15:15" x14ac:dyDescent="0.25">
      <c r="O673" s="21">
        <v>3.4205262752974139</v>
      </c>
    </row>
    <row r="674" spans="15:15" x14ac:dyDescent="0.25">
      <c r="O674" s="21">
        <v>5.6745043836444466</v>
      </c>
    </row>
    <row r="675" spans="15:15" x14ac:dyDescent="0.25">
      <c r="O675" s="21">
        <v>4.3358966777357599</v>
      </c>
    </row>
    <row r="676" spans="15:15" x14ac:dyDescent="0.25">
      <c r="O676" s="21">
        <v>5.6302753041036828</v>
      </c>
    </row>
    <row r="677" spans="15:15" x14ac:dyDescent="0.25">
      <c r="O677" s="21">
        <v>5.2153619241621234</v>
      </c>
    </row>
    <row r="678" spans="15:15" x14ac:dyDescent="0.25">
      <c r="O678" s="21">
        <v>4.1472882706655438</v>
      </c>
    </row>
    <row r="679" spans="15:15" x14ac:dyDescent="0.25">
      <c r="O679" s="21">
        <v>3.3615472627943221</v>
      </c>
    </row>
    <row r="680" spans="15:15" x14ac:dyDescent="0.25">
      <c r="O680" s="21">
        <v>4.636809247747852</v>
      </c>
    </row>
    <row r="681" spans="15:15" x14ac:dyDescent="0.25">
      <c r="O681" s="21">
        <v>8.555699854482965</v>
      </c>
    </row>
    <row r="682" spans="15:15" x14ac:dyDescent="0.25">
      <c r="O682" s="21">
        <v>5.1185935568278955</v>
      </c>
    </row>
    <row r="683" spans="15:15" x14ac:dyDescent="0.25">
      <c r="O683" s="21">
        <v>2.8635642126552705</v>
      </c>
    </row>
    <row r="684" spans="15:15" x14ac:dyDescent="0.25">
      <c r="O684" s="21">
        <v>6.5345237010818025</v>
      </c>
    </row>
    <row r="685" spans="15:15" x14ac:dyDescent="0.25">
      <c r="O685" s="21">
        <v>9.0388052307813371</v>
      </c>
    </row>
    <row r="686" spans="15:15" x14ac:dyDescent="0.25">
      <c r="O686" s="21">
        <v>4.6043457732885402</v>
      </c>
    </row>
    <row r="687" spans="15:15" x14ac:dyDescent="0.25">
      <c r="O687" s="21">
        <v>4.2071367935925261</v>
      </c>
    </row>
    <row r="688" spans="15:15" x14ac:dyDescent="0.25">
      <c r="O688" s="21">
        <v>2.7748873851023217</v>
      </c>
    </row>
    <row r="689" spans="15:15" x14ac:dyDescent="0.25">
      <c r="O689" s="21">
        <v>4.3243496620879309</v>
      </c>
    </row>
    <row r="690" spans="15:15" x14ac:dyDescent="0.25">
      <c r="O690" s="21">
        <v>3.1144823004794873</v>
      </c>
    </row>
    <row r="691" spans="15:15" x14ac:dyDescent="0.25">
      <c r="O691" s="21">
        <v>2.7748873851023217</v>
      </c>
    </row>
    <row r="692" spans="15:15" x14ac:dyDescent="0.25">
      <c r="O692" s="21">
        <v>6.0249481325568421</v>
      </c>
    </row>
    <row r="693" spans="15:15" x14ac:dyDescent="0.25">
      <c r="O693" s="21">
        <v>3.5355339059327378</v>
      </c>
    </row>
    <row r="694" spans="15:15" x14ac:dyDescent="0.25">
      <c r="O694" s="21">
        <v>3.646916505762094</v>
      </c>
    </row>
    <row r="695" spans="15:15" x14ac:dyDescent="0.25">
      <c r="O695" s="21">
        <v>3.9749213828703582</v>
      </c>
    </row>
    <row r="696" spans="15:15" x14ac:dyDescent="0.25">
      <c r="O696" s="21">
        <v>4.8270073544588632</v>
      </c>
    </row>
    <row r="697" spans="15:15" x14ac:dyDescent="0.25">
      <c r="O697" s="21">
        <v>8.2280009722896743</v>
      </c>
    </row>
    <row r="698" spans="15:15" x14ac:dyDescent="0.25">
      <c r="O698" s="21">
        <v>4.3931765272977596</v>
      </c>
    </row>
    <row r="699" spans="15:15" x14ac:dyDescent="0.25">
      <c r="O699" s="21">
        <v>1.9493588689617927</v>
      </c>
    </row>
    <row r="700" spans="15:15" x14ac:dyDescent="0.25">
      <c r="O700" s="21">
        <v>5.6833088953531243</v>
      </c>
    </row>
    <row r="701" spans="15:15" x14ac:dyDescent="0.25">
      <c r="O701" s="21">
        <v>4.6151923036857303</v>
      </c>
    </row>
    <row r="702" spans="15:15" x14ac:dyDescent="0.25">
      <c r="O702" s="21">
        <v>5.3572380943915325</v>
      </c>
    </row>
    <row r="703" spans="15:15" x14ac:dyDescent="0.25">
      <c r="O703" s="21">
        <v>7.0498226928058143</v>
      </c>
    </row>
    <row r="704" spans="15:15" x14ac:dyDescent="0.25">
      <c r="O704" s="21">
        <v>6.2849025449882676</v>
      </c>
    </row>
    <row r="705" spans="15:15" x14ac:dyDescent="0.25">
      <c r="O705" s="21">
        <v>4.2071367935925261</v>
      </c>
    </row>
    <row r="706" spans="15:15" x14ac:dyDescent="0.25">
      <c r="O706" s="21">
        <v>1.9493588689617927</v>
      </c>
    </row>
    <row r="707" spans="15:15" x14ac:dyDescent="0.25">
      <c r="O707" s="21">
        <v>4.5607017003965513</v>
      </c>
    </row>
    <row r="708" spans="15:15" x14ac:dyDescent="0.25">
      <c r="O708" s="21">
        <v>8.642916174532763</v>
      </c>
    </row>
    <row r="709" spans="15:15" x14ac:dyDescent="0.25">
      <c r="O709" s="21">
        <v>3.701351104664349</v>
      </c>
    </row>
    <row r="710" spans="15:15" x14ac:dyDescent="0.25">
      <c r="O710" s="21">
        <v>2.3021728866442674</v>
      </c>
    </row>
    <row r="711" spans="15:15" x14ac:dyDescent="0.25">
      <c r="O711" s="21">
        <v>6.9785385289471638</v>
      </c>
    </row>
    <row r="712" spans="15:15" x14ac:dyDescent="0.25">
      <c r="O712" s="21">
        <v>0.54772255750516607</v>
      </c>
    </row>
    <row r="713" spans="15:15" x14ac:dyDescent="0.25">
      <c r="O713" s="21">
        <v>4.4384682042344297</v>
      </c>
    </row>
    <row r="714" spans="15:15" x14ac:dyDescent="0.25">
      <c r="O714" s="21">
        <v>3.5071355833500366</v>
      </c>
    </row>
    <row r="715" spans="15:15" x14ac:dyDescent="0.25">
      <c r="O715" s="21">
        <v>3.3615472627943221</v>
      </c>
    </row>
    <row r="716" spans="15:15" x14ac:dyDescent="0.25">
      <c r="O716" s="21">
        <v>5.1768716422179315</v>
      </c>
    </row>
    <row r="717" spans="15:15" x14ac:dyDescent="0.25">
      <c r="O717" s="21">
        <v>1.5811388300841898</v>
      </c>
    </row>
    <row r="718" spans="15:15" x14ac:dyDescent="0.25">
      <c r="O718" s="21">
        <v>3.3615472627943221</v>
      </c>
    </row>
    <row r="719" spans="15:15" x14ac:dyDescent="0.25">
      <c r="O719" s="21">
        <v>5.6745043836444466</v>
      </c>
    </row>
    <row r="720" spans="15:15" x14ac:dyDescent="0.25">
      <c r="O720" s="21">
        <v>3.2863353450309964</v>
      </c>
    </row>
    <row r="721" spans="15:15" x14ac:dyDescent="0.25">
      <c r="O721" s="21">
        <v>6.7675697262754655</v>
      </c>
    </row>
    <row r="722" spans="15:15" x14ac:dyDescent="0.25">
      <c r="O722" s="21">
        <v>3.0495901363953815</v>
      </c>
    </row>
    <row r="723" spans="15:15" x14ac:dyDescent="0.25">
      <c r="O723" s="21">
        <v>4.8682645778552391</v>
      </c>
    </row>
    <row r="724" spans="15:15" x14ac:dyDescent="0.25">
      <c r="O724" s="21">
        <v>2.2803508501982761</v>
      </c>
    </row>
    <row r="725" spans="15:15" x14ac:dyDescent="0.25">
      <c r="O725" s="21">
        <v>7.9686887252546139</v>
      </c>
    </row>
    <row r="726" spans="15:15" x14ac:dyDescent="0.25">
      <c r="O726" s="21">
        <v>2.0736441353327724</v>
      </c>
    </row>
    <row r="727" spans="15:15" x14ac:dyDescent="0.25">
      <c r="O727" s="21">
        <v>5.1768716422179315</v>
      </c>
    </row>
    <row r="728" spans="15:15" x14ac:dyDescent="0.25">
      <c r="O728" s="21">
        <v>6.6332495807107996</v>
      </c>
    </row>
    <row r="729" spans="15:15" x14ac:dyDescent="0.25">
      <c r="O729" s="21">
        <v>3.8340579025361627</v>
      </c>
    </row>
    <row r="730" spans="15:15" x14ac:dyDescent="0.25">
      <c r="O730" s="21">
        <v>4.4944410108488464</v>
      </c>
    </row>
    <row r="731" spans="15:15" x14ac:dyDescent="0.25">
      <c r="O731" s="21">
        <v>4.1593268686170841</v>
      </c>
    </row>
    <row r="732" spans="15:15" x14ac:dyDescent="0.25">
      <c r="O732" s="21">
        <v>3.6331804249169903</v>
      </c>
    </row>
    <row r="733" spans="15:15" x14ac:dyDescent="0.25">
      <c r="O733" s="21">
        <v>3.5637059362410928</v>
      </c>
    </row>
    <row r="734" spans="15:15" x14ac:dyDescent="0.25">
      <c r="O734" s="21">
        <v>5.8480766068853827</v>
      </c>
    </row>
    <row r="735" spans="15:15" x14ac:dyDescent="0.25">
      <c r="O735" s="21">
        <v>3.271085446759225</v>
      </c>
    </row>
    <row r="736" spans="15:15" x14ac:dyDescent="0.25">
      <c r="O736" s="21">
        <v>3.3911649915626341</v>
      </c>
    </row>
    <row r="737" spans="15:15" x14ac:dyDescent="0.25">
      <c r="O737" s="21">
        <v>6.6932802122726009</v>
      </c>
    </row>
    <row r="738" spans="15:15" x14ac:dyDescent="0.25">
      <c r="O738" s="21">
        <v>3.7682887362833544</v>
      </c>
    </row>
    <row r="739" spans="15:15" x14ac:dyDescent="0.25">
      <c r="O739" s="21">
        <v>3.8340579025361623</v>
      </c>
    </row>
    <row r="740" spans="15:15" x14ac:dyDescent="0.25">
      <c r="O740" s="21">
        <v>4.0620192023179804</v>
      </c>
    </row>
    <row r="741" spans="15:15" x14ac:dyDescent="0.25">
      <c r="O741" s="21">
        <v>4.2190046219457971</v>
      </c>
    </row>
    <row r="742" spans="15:15" x14ac:dyDescent="0.25">
      <c r="O742" s="21">
        <v>5.4129474410897602</v>
      </c>
    </row>
    <row r="743" spans="15:15" x14ac:dyDescent="0.25">
      <c r="O743" s="21">
        <v>4.6690470119714957</v>
      </c>
    </row>
    <row r="744" spans="15:15" x14ac:dyDescent="0.25">
      <c r="O744" s="21">
        <v>6.6558245169175079</v>
      </c>
    </row>
    <row r="745" spans="15:15" x14ac:dyDescent="0.25">
      <c r="O745" s="21">
        <v>2.2803508501982761</v>
      </c>
    </row>
    <row r="746" spans="15:15" x14ac:dyDescent="0.25">
      <c r="O746" s="21">
        <v>3.6469165057620936</v>
      </c>
    </row>
    <row r="747" spans="15:15" x14ac:dyDescent="0.25">
      <c r="O747" s="21">
        <v>4.6583258795408513</v>
      </c>
    </row>
    <row r="748" spans="15:15" x14ac:dyDescent="0.25">
      <c r="O748" s="21">
        <v>5.6302753041036828</v>
      </c>
    </row>
    <row r="749" spans="15:15" x14ac:dyDescent="0.25">
      <c r="O749" s="21">
        <v>5.6568542494923806</v>
      </c>
    </row>
    <row r="750" spans="15:15" x14ac:dyDescent="0.25">
      <c r="O750" s="21">
        <v>4.7644516998286193</v>
      </c>
    </row>
    <row r="751" spans="15:15" x14ac:dyDescent="0.25">
      <c r="O751" s="21">
        <v>3.7013511046643495</v>
      </c>
    </row>
    <row r="752" spans="15:15" x14ac:dyDescent="0.25">
      <c r="O752" s="21">
        <v>2.9664793948382648</v>
      </c>
    </row>
    <row r="753" spans="15:15" x14ac:dyDescent="0.25">
      <c r="O753" s="21">
        <v>4.4721359549995796</v>
      </c>
    </row>
    <row r="754" spans="15:15" x14ac:dyDescent="0.25">
      <c r="O754" s="21">
        <v>5.1768716422179315</v>
      </c>
    </row>
    <row r="755" spans="15:15" x14ac:dyDescent="0.25">
      <c r="O755" s="21">
        <v>3.6055512754639891</v>
      </c>
    </row>
    <row r="756" spans="15:15" x14ac:dyDescent="0.25">
      <c r="O756" s="21">
        <v>6.8337398253079584</v>
      </c>
    </row>
    <row r="757" spans="15:15" x14ac:dyDescent="0.25">
      <c r="O757" s="21">
        <v>2.5099800796022267</v>
      </c>
    </row>
    <row r="758" spans="15:15" x14ac:dyDescent="0.25">
      <c r="O758" s="21">
        <v>5.4589376255824886</v>
      </c>
    </row>
    <row r="759" spans="15:15" x14ac:dyDescent="0.25">
      <c r="O759" s="21">
        <v>3.7013511046643495</v>
      </c>
    </row>
    <row r="760" spans="15:15" x14ac:dyDescent="0.25">
      <c r="O760" s="21">
        <v>5.5497747702046594</v>
      </c>
    </row>
    <row r="761" spans="15:15" x14ac:dyDescent="0.25">
      <c r="O761" s="21">
        <v>3.7815340802378072</v>
      </c>
    </row>
    <row r="762" spans="15:15" x14ac:dyDescent="0.25">
      <c r="O762" s="21">
        <v>4.0865633483405102</v>
      </c>
    </row>
    <row r="763" spans="15:15" x14ac:dyDescent="0.25">
      <c r="O763" s="21">
        <v>8.4439327330338312</v>
      </c>
    </row>
    <row r="764" spans="15:15" x14ac:dyDescent="0.25">
      <c r="O764" s="21">
        <v>3.271085446759225</v>
      </c>
    </row>
    <row r="765" spans="15:15" x14ac:dyDescent="0.25">
      <c r="O765" s="21">
        <v>0.89442719099991586</v>
      </c>
    </row>
    <row r="766" spans="15:15" x14ac:dyDescent="0.25">
      <c r="O766" s="21">
        <v>5.2440442408507577</v>
      </c>
    </row>
    <row r="767" spans="15:15" x14ac:dyDescent="0.25">
      <c r="O767" s="21">
        <v>1.1401754250991381</v>
      </c>
    </row>
    <row r="768" spans="15:15" x14ac:dyDescent="0.25">
      <c r="O768" s="21">
        <v>4.5497252664309302</v>
      </c>
    </row>
    <row r="769" spans="15:15" x14ac:dyDescent="0.25">
      <c r="O769" s="21">
        <v>4.7116875957558992</v>
      </c>
    </row>
    <row r="770" spans="15:15" x14ac:dyDescent="0.25">
      <c r="O770" s="21">
        <v>4.5825756949558398</v>
      </c>
    </row>
    <row r="771" spans="15:15" x14ac:dyDescent="0.25">
      <c r="O771" s="21">
        <v>3.3466401061363023</v>
      </c>
    </row>
    <row r="772" spans="15:15" x14ac:dyDescent="0.25">
      <c r="O772" s="21">
        <v>3.1144823004794873</v>
      </c>
    </row>
    <row r="773" spans="15:15" x14ac:dyDescent="0.25">
      <c r="O773" s="21">
        <v>3.7416573867739413</v>
      </c>
    </row>
    <row r="774" spans="15:15" x14ac:dyDescent="0.25">
      <c r="O774" s="21">
        <v>2.0493901531919194</v>
      </c>
    </row>
    <row r="775" spans="15:15" x14ac:dyDescent="0.25">
      <c r="O775" s="21">
        <v>8.3486525858967102</v>
      </c>
    </row>
    <row r="776" spans="15:15" x14ac:dyDescent="0.25">
      <c r="O776" s="21">
        <v>4.7644516998286193</v>
      </c>
    </row>
    <row r="777" spans="15:15" x14ac:dyDescent="0.25">
      <c r="O777" s="21">
        <v>5.0199601592044578</v>
      </c>
    </row>
    <row r="778" spans="15:15" x14ac:dyDescent="0.25">
      <c r="O778" s="21">
        <v>3.3615472627943221</v>
      </c>
    </row>
    <row r="779" spans="15:15" x14ac:dyDescent="0.25">
      <c r="O779" s="21">
        <v>3.7682887362833544</v>
      </c>
    </row>
    <row r="780" spans="15:15" x14ac:dyDescent="0.25">
      <c r="O780" s="21">
        <v>3.8470768123342691</v>
      </c>
    </row>
    <row r="781" spans="15:15" x14ac:dyDescent="0.25">
      <c r="O781" s="21">
        <v>5.0990195135927845</v>
      </c>
    </row>
    <row r="782" spans="15:15" x14ac:dyDescent="0.25">
      <c r="O782" s="21">
        <v>2.5099800796022267</v>
      </c>
    </row>
    <row r="783" spans="15:15" x14ac:dyDescent="0.25">
      <c r="O783" s="21">
        <v>7.1063352017759476</v>
      </c>
    </row>
    <row r="784" spans="15:15" x14ac:dyDescent="0.25">
      <c r="O784" s="21">
        <v>6.8920243760451108</v>
      </c>
    </row>
    <row r="785" spans="15:15" x14ac:dyDescent="0.25">
      <c r="O785" s="21">
        <v>3.7416573867739413</v>
      </c>
    </row>
    <row r="786" spans="15:15" x14ac:dyDescent="0.25">
      <c r="O786" s="21">
        <v>3.9623225512317894</v>
      </c>
    </row>
    <row r="787" spans="15:15" x14ac:dyDescent="0.25">
      <c r="O787" s="21">
        <v>3.5355339059327378</v>
      </c>
    </row>
    <row r="788" spans="15:15" x14ac:dyDescent="0.25">
      <c r="O788" s="21">
        <v>5.3197744313081721</v>
      </c>
    </row>
    <row r="789" spans="15:15" x14ac:dyDescent="0.25">
      <c r="O789" s="21">
        <v>3.9623225512317899</v>
      </c>
    </row>
    <row r="790" spans="15:15" x14ac:dyDescent="0.25">
      <c r="O790" s="21">
        <v>4.5055521304275237</v>
      </c>
    </row>
    <row r="791" spans="15:15" x14ac:dyDescent="0.25">
      <c r="O791" s="21">
        <v>3.271085446759225</v>
      </c>
    </row>
    <row r="792" spans="15:15" x14ac:dyDescent="0.25">
      <c r="O792" s="21">
        <v>5.8309518948453007</v>
      </c>
    </row>
    <row r="793" spans="15:15" x14ac:dyDescent="0.25">
      <c r="O793" s="21">
        <v>5.7008771254956896</v>
      </c>
    </row>
    <row r="794" spans="15:15" x14ac:dyDescent="0.25">
      <c r="O794" s="21">
        <v>6.5802735505448542</v>
      </c>
    </row>
    <row r="795" spans="15:15" x14ac:dyDescent="0.25">
      <c r="O795" s="21">
        <v>3.9623225512317899</v>
      </c>
    </row>
    <row r="796" spans="15:15" x14ac:dyDescent="0.25">
      <c r="O796" s="21">
        <v>5.2630789467762895</v>
      </c>
    </row>
    <row r="797" spans="15:15" x14ac:dyDescent="0.25">
      <c r="O797" s="21">
        <v>3.1937438845342627</v>
      </c>
    </row>
    <row r="798" spans="15:15" x14ac:dyDescent="0.25">
      <c r="O798" s="21">
        <v>5.8480766068853827</v>
      </c>
    </row>
    <row r="799" spans="15:15" x14ac:dyDescent="0.25">
      <c r="O799" s="21">
        <v>2.3452078799117149</v>
      </c>
    </row>
    <row r="800" spans="15:15" x14ac:dyDescent="0.25">
      <c r="O800" s="21">
        <v>4.7222875812470333</v>
      </c>
    </row>
    <row r="801" spans="15:15" x14ac:dyDescent="0.25">
      <c r="O801" s="21">
        <v>3</v>
      </c>
    </row>
    <row r="802" spans="15:15" x14ac:dyDescent="0.25">
      <c r="O802" s="21">
        <v>3.2403703492039302</v>
      </c>
    </row>
    <row r="803" spans="15:15" x14ac:dyDescent="0.25">
      <c r="O803" s="21">
        <v>3.1304951684997055</v>
      </c>
    </row>
    <row r="804" spans="15:15" x14ac:dyDescent="0.25">
      <c r="O804" s="21">
        <v>3.7013511046643495</v>
      </c>
    </row>
    <row r="805" spans="15:15" x14ac:dyDescent="0.25">
      <c r="O805" s="21">
        <v>5.727128425310557</v>
      </c>
    </row>
    <row r="806" spans="15:15" x14ac:dyDescent="0.25">
      <c r="O806" s="21">
        <v>4.0373258476372698</v>
      </c>
    </row>
    <row r="807" spans="15:15" x14ac:dyDescent="0.25">
      <c r="O807" s="21">
        <v>3.5777087639996634</v>
      </c>
    </row>
    <row r="808" spans="15:15" x14ac:dyDescent="0.25">
      <c r="O808" s="21">
        <v>5.8309518948453007</v>
      </c>
    </row>
    <row r="809" spans="15:15" x14ac:dyDescent="0.25">
      <c r="O809" s="21">
        <v>5.2630789467762895</v>
      </c>
    </row>
    <row r="810" spans="15:15" x14ac:dyDescent="0.25">
      <c r="O810" s="21">
        <v>2.5884358211089569</v>
      </c>
    </row>
    <row r="811" spans="15:15" x14ac:dyDescent="0.25">
      <c r="O811" s="21">
        <v>5.6391488719486693</v>
      </c>
    </row>
    <row r="812" spans="15:15" x14ac:dyDescent="0.25">
      <c r="O812" s="21">
        <v>4.5497252664309356</v>
      </c>
    </row>
    <row r="813" spans="15:15" x14ac:dyDescent="0.25">
      <c r="O813" s="21">
        <v>3.4205262752974139</v>
      </c>
    </row>
    <row r="814" spans="15:15" x14ac:dyDescent="0.25">
      <c r="O814" s="21">
        <v>4.0620192023179804</v>
      </c>
    </row>
    <row r="815" spans="15:15" x14ac:dyDescent="0.25">
      <c r="O815" s="21">
        <v>3.03315017762062</v>
      </c>
    </row>
    <row r="816" spans="15:15" x14ac:dyDescent="0.25">
      <c r="O816" s="21">
        <v>2.2803508501982757</v>
      </c>
    </row>
    <row r="817" spans="15:15" x14ac:dyDescent="0.25">
      <c r="O817" s="21">
        <v>6.723094525588631</v>
      </c>
    </row>
    <row r="818" spans="15:15" x14ac:dyDescent="0.25">
      <c r="O818" s="21">
        <v>4.0373258476372698</v>
      </c>
    </row>
    <row r="819" spans="15:15" x14ac:dyDescent="0.25">
      <c r="O819" s="21">
        <v>7.4966659255965125</v>
      </c>
    </row>
    <row r="820" spans="15:15" x14ac:dyDescent="0.25">
      <c r="O820" s="21">
        <v>3.5355339059327378</v>
      </c>
    </row>
    <row r="821" spans="15:15" x14ac:dyDescent="0.25">
      <c r="O821" s="21">
        <v>5.8906705900092406</v>
      </c>
    </row>
    <row r="822" spans="15:15" x14ac:dyDescent="0.25">
      <c r="O822" s="21">
        <v>6.0249481325568235</v>
      </c>
    </row>
    <row r="823" spans="15:15" x14ac:dyDescent="0.25">
      <c r="O823" s="21">
        <v>2.9154759474226504</v>
      </c>
    </row>
    <row r="824" spans="15:15" x14ac:dyDescent="0.25">
      <c r="O824" s="21">
        <v>2.7018512172212592</v>
      </c>
    </row>
    <row r="825" spans="15:15" x14ac:dyDescent="0.25">
      <c r="O825" s="21">
        <v>4.8785243670602059</v>
      </c>
    </row>
    <row r="826" spans="15:15" x14ac:dyDescent="0.25">
      <c r="O826" s="21">
        <v>5.2440442408507577</v>
      </c>
    </row>
    <row r="827" spans="15:15" x14ac:dyDescent="0.25">
      <c r="O827" s="21">
        <v>6.6105975524153502</v>
      </c>
    </row>
    <row r="828" spans="15:15" x14ac:dyDescent="0.25">
      <c r="O828" s="21">
        <v>5.770615218501419</v>
      </c>
    </row>
    <row r="829" spans="15:15" x14ac:dyDescent="0.25">
      <c r="O829" s="21">
        <v>3.2093613071762421</v>
      </c>
    </row>
    <row r="830" spans="15:15" x14ac:dyDescent="0.25">
      <c r="O830" s="21">
        <v>1.3416407864998738</v>
      </c>
    </row>
    <row r="831" spans="15:15" x14ac:dyDescent="0.25">
      <c r="O831" s="21">
        <v>7.9561297123664314</v>
      </c>
    </row>
    <row r="832" spans="15:15" x14ac:dyDescent="0.25">
      <c r="O832" s="21">
        <v>4.5497252664309356</v>
      </c>
    </row>
    <row r="833" spans="15:15" x14ac:dyDescent="0.25">
      <c r="O833" s="21">
        <v>4.0249223594996213</v>
      </c>
    </row>
    <row r="834" spans="15:15" x14ac:dyDescent="0.25">
      <c r="O834" s="21">
        <v>7.1554175279993144</v>
      </c>
    </row>
    <row r="835" spans="15:15" x14ac:dyDescent="0.25">
      <c r="O835" s="21">
        <v>5.6124860801609122</v>
      </c>
    </row>
    <row r="836" spans="15:15" x14ac:dyDescent="0.25">
      <c r="O836" s="21">
        <v>2.16794833886788</v>
      </c>
    </row>
    <row r="837" spans="15:15" x14ac:dyDescent="0.25">
      <c r="O837" s="21">
        <v>4.6043457732885154</v>
      </c>
    </row>
    <row r="838" spans="15:15" x14ac:dyDescent="0.25">
      <c r="O838" s="21">
        <v>5.1283525619832515</v>
      </c>
    </row>
    <row r="839" spans="15:15" x14ac:dyDescent="0.25">
      <c r="O839" s="21">
        <v>4.636809247747852</v>
      </c>
    </row>
    <row r="840" spans="15:15" x14ac:dyDescent="0.25">
      <c r="O840" s="21">
        <v>4.9193495504995193</v>
      </c>
    </row>
    <row r="841" spans="15:15" x14ac:dyDescent="0.25">
      <c r="O841" s="21">
        <v>5.3385391260156556</v>
      </c>
    </row>
    <row r="842" spans="15:15" x14ac:dyDescent="0.25">
      <c r="O842" s="21">
        <v>3.082207001484488</v>
      </c>
    </row>
    <row r="843" spans="15:15" x14ac:dyDescent="0.25">
      <c r="O843" s="21">
        <v>4.9497474683058327</v>
      </c>
    </row>
    <row r="844" spans="15:15" x14ac:dyDescent="0.25">
      <c r="O844" s="21">
        <v>2.7748873851023212</v>
      </c>
    </row>
    <row r="845" spans="15:15" x14ac:dyDescent="0.25">
      <c r="O845" s="21">
        <v>5.8566201857385254</v>
      </c>
    </row>
    <row r="846" spans="15:15" x14ac:dyDescent="0.25">
      <c r="O846" s="21">
        <v>6.4652919500978596</v>
      </c>
    </row>
    <row r="847" spans="15:15" x14ac:dyDescent="0.25">
      <c r="O847" s="21">
        <v>3.0495901363953815</v>
      </c>
    </row>
    <row r="848" spans="15:15" x14ac:dyDescent="0.25">
      <c r="O848" s="21">
        <v>2.7748873851023217</v>
      </c>
    </row>
    <row r="849" spans="15:15" x14ac:dyDescent="0.25">
      <c r="O849" s="21">
        <v>5.3197744313081508</v>
      </c>
    </row>
    <row r="850" spans="15:15" x14ac:dyDescent="0.25">
      <c r="O850" s="21">
        <v>3.1937438845342627</v>
      </c>
    </row>
    <row r="851" spans="15:15" x14ac:dyDescent="0.25">
      <c r="O851" s="21">
        <v>1.4832396974191324</v>
      </c>
    </row>
    <row r="852" spans="15:15" x14ac:dyDescent="0.25">
      <c r="O852" s="21">
        <v>7.7006493232713797</v>
      </c>
    </row>
    <row r="853" spans="15:15" x14ac:dyDescent="0.25">
      <c r="O853" s="21">
        <v>5.9833101206606329</v>
      </c>
    </row>
    <row r="854" spans="15:15" x14ac:dyDescent="0.25">
      <c r="O854" s="21">
        <v>5.1672042731055079</v>
      </c>
    </row>
    <row r="855" spans="15:15" x14ac:dyDescent="0.25">
      <c r="O855" s="21">
        <v>3.4205262752974139</v>
      </c>
    </row>
    <row r="856" spans="15:15" x14ac:dyDescent="0.25">
      <c r="O856" s="21">
        <v>4.0373258476372698</v>
      </c>
    </row>
    <row r="857" spans="15:15" x14ac:dyDescent="0.25">
      <c r="O857" s="21">
        <v>2.3021728866442679</v>
      </c>
    </row>
    <row r="858" spans="15:15" x14ac:dyDescent="0.25">
      <c r="O858" s="21">
        <v>4.6690470119715002</v>
      </c>
    </row>
    <row r="859" spans="15:15" x14ac:dyDescent="0.25">
      <c r="O859" s="21">
        <v>2.0736441353327724</v>
      </c>
    </row>
    <row r="860" spans="15:15" x14ac:dyDescent="0.25">
      <c r="O860" s="21">
        <v>2.6832815729997477</v>
      </c>
    </row>
    <row r="861" spans="15:15" x14ac:dyDescent="0.25">
      <c r="O861" s="21">
        <v>4.8682645778552152</v>
      </c>
    </row>
    <row r="862" spans="15:15" x14ac:dyDescent="0.25">
      <c r="O862" s="21">
        <v>5.2630789467762895</v>
      </c>
    </row>
    <row r="863" spans="15:15" x14ac:dyDescent="0.25">
      <c r="O863" s="21">
        <v>5.7183913821983232</v>
      </c>
    </row>
    <row r="864" spans="15:15" x14ac:dyDescent="0.25">
      <c r="O864" s="21">
        <v>6.8337398253079416</v>
      </c>
    </row>
    <row r="865" spans="15:15" x14ac:dyDescent="0.25">
      <c r="O865" s="21">
        <v>4.2190046219457971</v>
      </c>
    </row>
    <row r="866" spans="15:15" x14ac:dyDescent="0.25">
      <c r="O866" s="21">
        <v>3.4928498393145957</v>
      </c>
    </row>
    <row r="867" spans="15:15" x14ac:dyDescent="0.25">
      <c r="O867" s="21">
        <v>5.4129474410897389</v>
      </c>
    </row>
    <row r="868" spans="15:15" x14ac:dyDescent="0.25">
      <c r="O868" s="21">
        <v>6.3796551630946361</v>
      </c>
    </row>
    <row r="869" spans="15:15" x14ac:dyDescent="0.25">
      <c r="O869" s="21">
        <v>5.7619441163551572</v>
      </c>
    </row>
    <row r="870" spans="15:15" x14ac:dyDescent="0.25">
      <c r="O870" s="21">
        <v>5.9581876439064922</v>
      </c>
    </row>
    <row r="871" spans="15:15" x14ac:dyDescent="0.25">
      <c r="O871" s="21">
        <v>3.9623225512317899</v>
      </c>
    </row>
    <row r="872" spans="15:15" x14ac:dyDescent="0.25">
      <c r="O872" s="21">
        <v>4.0373258476372698</v>
      </c>
    </row>
    <row r="873" spans="15:15" x14ac:dyDescent="0.25">
      <c r="O873" s="21">
        <v>3.5637059362410923</v>
      </c>
    </row>
    <row r="874" spans="15:15" x14ac:dyDescent="0.25">
      <c r="O874" s="21">
        <v>6.8337398253079416</v>
      </c>
    </row>
    <row r="875" spans="15:15" x14ac:dyDescent="0.25">
      <c r="O875" s="21">
        <v>1.1401754250991378</v>
      </c>
    </row>
    <row r="876" spans="15:15" x14ac:dyDescent="0.25">
      <c r="O876" s="21">
        <v>2.0736441353327724</v>
      </c>
    </row>
    <row r="877" spans="15:15" x14ac:dyDescent="0.25">
      <c r="O877" s="21">
        <v>3.8470768123342687</v>
      </c>
    </row>
    <row r="878" spans="15:15" x14ac:dyDescent="0.25">
      <c r="O878" s="21">
        <v>3.0495901363953815</v>
      </c>
    </row>
    <row r="879" spans="15:15" x14ac:dyDescent="0.25">
      <c r="O879" s="21">
        <v>5.0695167422546126</v>
      </c>
    </row>
    <row r="880" spans="15:15" x14ac:dyDescent="0.25">
      <c r="O880" s="21">
        <v>2.3874672772626648</v>
      </c>
    </row>
    <row r="881" spans="15:15" x14ac:dyDescent="0.25">
      <c r="O881" s="21">
        <v>5.9749476985158658</v>
      </c>
    </row>
    <row r="882" spans="15:15" x14ac:dyDescent="0.25">
      <c r="O882" s="21">
        <v>4.92950301754649</v>
      </c>
    </row>
    <row r="883" spans="15:15" x14ac:dyDescent="0.25">
      <c r="O883" s="21">
        <v>4.5276925690687087</v>
      </c>
    </row>
    <row r="884" spans="15:15" x14ac:dyDescent="0.25">
      <c r="O884" s="21">
        <v>4.3358966777357599</v>
      </c>
    </row>
    <row r="885" spans="15:15" x14ac:dyDescent="0.25">
      <c r="O885" s="21">
        <v>8.6775572599666653</v>
      </c>
    </row>
    <row r="886" spans="15:15" x14ac:dyDescent="0.25">
      <c r="O886" s="21">
        <v>2.3021728866442674</v>
      </c>
    </row>
    <row r="887" spans="15:15" x14ac:dyDescent="0.25">
      <c r="O887" s="21">
        <v>5.2440442408507577</v>
      </c>
    </row>
    <row r="888" spans="15:15" x14ac:dyDescent="0.25">
      <c r="O888" s="21">
        <v>5.5407580708780317</v>
      </c>
    </row>
    <row r="889" spans="15:15" x14ac:dyDescent="0.25">
      <c r="O889" s="21">
        <v>3.2403703492039302</v>
      </c>
    </row>
    <row r="890" spans="15:15" x14ac:dyDescent="0.25">
      <c r="O890" s="21">
        <v>4.3817804600413286</v>
      </c>
    </row>
    <row r="891" spans="15:15" x14ac:dyDescent="0.25">
      <c r="O891" s="21">
        <v>6.4187226143524709</v>
      </c>
    </row>
    <row r="892" spans="15:15" x14ac:dyDescent="0.25">
      <c r="O892" s="21">
        <v>6.0663003552412551</v>
      </c>
    </row>
    <row r="893" spans="15:15" x14ac:dyDescent="0.25">
      <c r="O893" s="21">
        <v>5.7008771254956896</v>
      </c>
    </row>
    <row r="894" spans="15:15" x14ac:dyDescent="0.25">
      <c r="O894" s="21">
        <v>4.5497252664309302</v>
      </c>
    </row>
    <row r="895" spans="15:15" x14ac:dyDescent="0.25">
      <c r="O895" s="21">
        <v>5.0695167422546348</v>
      </c>
    </row>
    <row r="896" spans="15:15" x14ac:dyDescent="0.25">
      <c r="O896" s="21">
        <v>1.4142135623730951</v>
      </c>
    </row>
    <row r="897" spans="15:15" x14ac:dyDescent="0.25">
      <c r="O897" s="21">
        <v>5.1185935568278955</v>
      </c>
    </row>
    <row r="898" spans="15:15" x14ac:dyDescent="0.25">
      <c r="O898" s="21">
        <v>5.5946402922797622</v>
      </c>
    </row>
    <row r="899" spans="15:15" x14ac:dyDescent="0.25">
      <c r="O899" s="21">
        <v>3.5637059362410923</v>
      </c>
    </row>
    <row r="900" spans="15:15" x14ac:dyDescent="0.25">
      <c r="O900" s="21">
        <v>1.4142135623730951</v>
      </c>
    </row>
    <row r="901" spans="15:15" x14ac:dyDescent="0.25">
      <c r="O901" s="21">
        <v>6.3796551630946361</v>
      </c>
    </row>
    <row r="902" spans="15:15" x14ac:dyDescent="0.25">
      <c r="O902" s="21">
        <v>6.8337398253079416</v>
      </c>
    </row>
    <row r="903" spans="15:15" x14ac:dyDescent="0.25">
      <c r="O903" s="21">
        <v>1.9493588689617927</v>
      </c>
    </row>
    <row r="904" spans="15:15" x14ac:dyDescent="0.25">
      <c r="O904" s="21">
        <v>7.0498226928058303</v>
      </c>
    </row>
    <row r="905" spans="15:15" x14ac:dyDescent="0.25">
      <c r="O905" s="21">
        <v>2.0736441353327719</v>
      </c>
    </row>
    <row r="906" spans="15:15" x14ac:dyDescent="0.25">
      <c r="O906" s="21">
        <v>2.5495097567963922</v>
      </c>
    </row>
    <row r="907" spans="15:15" x14ac:dyDescent="0.25">
      <c r="O907" s="21">
        <v>2.8635642126552705</v>
      </c>
    </row>
    <row r="908" spans="15:15" x14ac:dyDescent="0.25">
      <c r="O908" s="21">
        <v>5.8906705900092602</v>
      </c>
    </row>
    <row r="909" spans="15:15" x14ac:dyDescent="0.25">
      <c r="O909" s="21">
        <v>4.2190046219457971</v>
      </c>
    </row>
    <row r="910" spans="15:15" x14ac:dyDescent="0.25">
      <c r="O910" s="21">
        <v>3.8470768123342691</v>
      </c>
    </row>
    <row r="911" spans="15:15" x14ac:dyDescent="0.25">
      <c r="O911" s="21">
        <v>7.9246451024635913</v>
      </c>
    </row>
    <row r="912" spans="15:15" x14ac:dyDescent="0.25">
      <c r="O912" s="21">
        <v>7.2318738927058304</v>
      </c>
    </row>
    <row r="913" spans="15:15" x14ac:dyDescent="0.25">
      <c r="O913" s="21">
        <v>2.5884358211089569</v>
      </c>
    </row>
    <row r="914" spans="15:15" x14ac:dyDescent="0.25">
      <c r="O914" s="21">
        <v>4.4721359549995796</v>
      </c>
    </row>
    <row r="915" spans="15:15" x14ac:dyDescent="0.25">
      <c r="O915" s="21">
        <v>4.9295030175465131</v>
      </c>
    </row>
    <row r="916" spans="15:15" x14ac:dyDescent="0.25">
      <c r="O916" s="21">
        <v>6.5421708935184641</v>
      </c>
    </row>
    <row r="917" spans="15:15" x14ac:dyDescent="0.25">
      <c r="O917" s="21">
        <v>5.2915026221291814</v>
      </c>
    </row>
    <row r="918" spans="15:15" x14ac:dyDescent="0.25">
      <c r="O918" s="21">
        <v>4.9699094559156523</v>
      </c>
    </row>
    <row r="919" spans="15:15" x14ac:dyDescent="0.25">
      <c r="O919" s="21">
        <v>2.5495097567963922</v>
      </c>
    </row>
    <row r="920" spans="15:15" x14ac:dyDescent="0.25">
      <c r="O920" s="21">
        <v>5.0695167422546348</v>
      </c>
    </row>
    <row r="921" spans="15:15" x14ac:dyDescent="0.25">
      <c r="O921" s="21">
        <v>2.7018512172212592</v>
      </c>
    </row>
    <row r="922" spans="15:15" x14ac:dyDescent="0.25">
      <c r="O922" s="21">
        <v>5.0299105359837117</v>
      </c>
    </row>
    <row r="923" spans="15:15" x14ac:dyDescent="0.25">
      <c r="O923" s="21">
        <v>8.3964278118733322</v>
      </c>
    </row>
    <row r="924" spans="15:15" x14ac:dyDescent="0.25">
      <c r="O924" s="21">
        <v>7.3959448348402415</v>
      </c>
    </row>
    <row r="925" spans="15:15" x14ac:dyDescent="0.25">
      <c r="O925" s="21">
        <v>6.5954529791364598</v>
      </c>
    </row>
    <row r="926" spans="15:15" x14ac:dyDescent="0.25">
      <c r="O926" s="21">
        <v>4.3243496620879309</v>
      </c>
    </row>
    <row r="927" spans="15:15" x14ac:dyDescent="0.25">
      <c r="O927" s="21">
        <v>3.7682887362833544</v>
      </c>
    </row>
    <row r="928" spans="15:15" x14ac:dyDescent="0.25">
      <c r="O928" s="21">
        <v>3.7013511046643495</v>
      </c>
    </row>
    <row r="929" spans="15:15" x14ac:dyDescent="0.25">
      <c r="O929" s="21">
        <v>1.9493588689617927</v>
      </c>
    </row>
    <row r="930" spans="15:15" x14ac:dyDescent="0.25">
      <c r="O930" s="21">
        <v>4.9295030175465131</v>
      </c>
    </row>
    <row r="931" spans="15:15" x14ac:dyDescent="0.25">
      <c r="O931" s="21">
        <v>6.5954529791364598</v>
      </c>
    </row>
    <row r="932" spans="15:15" x14ac:dyDescent="0.25">
      <c r="O932" s="21">
        <v>3.2710854467592259</v>
      </c>
    </row>
    <row r="933" spans="15:15" x14ac:dyDescent="0.25">
      <c r="O933" s="21">
        <v>4.1593268686170841</v>
      </c>
    </row>
    <row r="934" spans="15:15" x14ac:dyDescent="0.25">
      <c r="O934" s="21">
        <v>2.5495097567963922</v>
      </c>
    </row>
    <row r="935" spans="15:15" x14ac:dyDescent="0.25">
      <c r="O935" s="21">
        <v>3.4351128074635335</v>
      </c>
    </row>
    <row r="936" spans="15:15" x14ac:dyDescent="0.25">
      <c r="O936" s="21">
        <v>3.2863353450309964</v>
      </c>
    </row>
    <row r="937" spans="15:15" x14ac:dyDescent="0.25">
      <c r="O937" s="21">
        <v>2.7928480087537886</v>
      </c>
    </row>
    <row r="938" spans="15:15" x14ac:dyDescent="0.25">
      <c r="O938" s="21">
        <v>3.7416573867739413</v>
      </c>
    </row>
    <row r="939" spans="15:15" x14ac:dyDescent="0.25">
      <c r="O939" s="21">
        <v>3.7682887362833544</v>
      </c>
    </row>
    <row r="940" spans="15:15" x14ac:dyDescent="0.25">
      <c r="O940" s="21">
        <v>6.7970581871865745</v>
      </c>
    </row>
    <row r="941" spans="15:15" x14ac:dyDescent="0.25">
      <c r="O941" s="21">
        <v>2.3452078799117149</v>
      </c>
    </row>
    <row r="942" spans="15:15" x14ac:dyDescent="0.25">
      <c r="O942" s="21">
        <v>5.2440442408507577</v>
      </c>
    </row>
    <row r="943" spans="15:15" x14ac:dyDescent="0.25">
      <c r="O943" s="21">
        <v>2.3021728866442679</v>
      </c>
    </row>
    <row r="944" spans="15:15" x14ac:dyDescent="0.25">
      <c r="O944" s="21">
        <v>3.5637059362410919</v>
      </c>
    </row>
    <row r="945" spans="15:15" x14ac:dyDescent="0.25">
      <c r="O945" s="21">
        <v>5.5407580708780317</v>
      </c>
    </row>
    <row r="946" spans="15:15" x14ac:dyDescent="0.25">
      <c r="O946" s="21">
        <v>5.0695167422546348</v>
      </c>
    </row>
    <row r="947" spans="15:15" x14ac:dyDescent="0.25">
      <c r="O947" s="21">
        <v>6.0991802727907665</v>
      </c>
    </row>
    <row r="948" spans="15:15" x14ac:dyDescent="0.25">
      <c r="O948" s="21">
        <v>6.0991802727907478</v>
      </c>
    </row>
    <row r="949" spans="15:15" x14ac:dyDescent="0.25">
      <c r="O949" s="21">
        <v>3.3615472627943221</v>
      </c>
    </row>
    <row r="950" spans="15:15" x14ac:dyDescent="0.25">
      <c r="O950" s="21">
        <v>4.3817804600413286</v>
      </c>
    </row>
    <row r="951" spans="15:15" x14ac:dyDescent="0.25">
      <c r="O951" s="21">
        <v>5.5677643628300215</v>
      </c>
    </row>
    <row r="952" spans="15:15" x14ac:dyDescent="0.25">
      <c r="O952" s="21">
        <v>4.6043457732885402</v>
      </c>
    </row>
    <row r="953" spans="15:15" x14ac:dyDescent="0.25">
      <c r="O953" s="21">
        <v>2.7018512172212592</v>
      </c>
    </row>
    <row r="954" spans="15:15" x14ac:dyDescent="0.25">
      <c r="O954" s="21">
        <v>6.3087241182350162</v>
      </c>
    </row>
    <row r="955" spans="15:15" x14ac:dyDescent="0.25">
      <c r="O955" s="21">
        <v>3.2863353450309969</v>
      </c>
    </row>
    <row r="956" spans="15:15" x14ac:dyDescent="0.25">
      <c r="O956" s="21">
        <v>4.1593268686170841</v>
      </c>
    </row>
    <row r="957" spans="15:15" x14ac:dyDescent="0.25">
      <c r="O957" s="21">
        <v>3.6742346141747673</v>
      </c>
    </row>
    <row r="958" spans="15:15" x14ac:dyDescent="0.25">
      <c r="O958" s="21">
        <v>4.9295030175465131</v>
      </c>
    </row>
    <row r="959" spans="15:15" x14ac:dyDescent="0.25">
      <c r="O959" s="21">
        <v>3.6742346141747673</v>
      </c>
    </row>
    <row r="960" spans="15:15" x14ac:dyDescent="0.25">
      <c r="O960" s="21">
        <v>5.9581876439064922</v>
      </c>
    </row>
    <row r="961" spans="15:15" x14ac:dyDescent="0.25">
      <c r="O961" s="21">
        <v>5.2915026221291814</v>
      </c>
    </row>
    <row r="962" spans="15:15" x14ac:dyDescent="0.25">
      <c r="O962" s="21">
        <v>3.082207001484488</v>
      </c>
    </row>
    <row r="963" spans="15:15" x14ac:dyDescent="0.25">
      <c r="O963" s="21">
        <v>5.0199601592044356</v>
      </c>
    </row>
    <row r="964" spans="15:15" x14ac:dyDescent="0.25">
      <c r="O964" s="21">
        <v>6.0580524923443688</v>
      </c>
    </row>
    <row r="965" spans="15:15" x14ac:dyDescent="0.25">
      <c r="O965" s="21">
        <v>6.1400325732035039</v>
      </c>
    </row>
    <row r="966" spans="15:15" x14ac:dyDescent="0.25">
      <c r="O966" s="21">
        <v>5.5497747702046389</v>
      </c>
    </row>
    <row r="967" spans="15:15" x14ac:dyDescent="0.25">
      <c r="O967" s="21">
        <v>3.3615472627943221</v>
      </c>
    </row>
    <row r="968" spans="15:15" x14ac:dyDescent="0.25">
      <c r="O968" s="21">
        <v>4.8270073544588632</v>
      </c>
    </row>
    <row r="969" spans="15:15" x14ac:dyDescent="0.25">
      <c r="O969" s="21">
        <v>3.5637059362410923</v>
      </c>
    </row>
    <row r="970" spans="15:15" x14ac:dyDescent="0.25">
      <c r="O970" s="21">
        <v>8.7005746936624853</v>
      </c>
    </row>
    <row r="971" spans="15:15" x14ac:dyDescent="0.25">
      <c r="O971" s="21">
        <v>4.4384682042344341</v>
      </c>
    </row>
    <row r="972" spans="15:15" x14ac:dyDescent="0.25">
      <c r="O972" s="21">
        <v>6.3796551630946183</v>
      </c>
    </row>
    <row r="973" spans="15:15" x14ac:dyDescent="0.25">
      <c r="O973" s="21">
        <v>4.8682645778552152</v>
      </c>
    </row>
    <row r="974" spans="15:15" x14ac:dyDescent="0.25">
      <c r="O974" s="21">
        <v>2.4083189157584592</v>
      </c>
    </row>
    <row r="975" spans="15:15" x14ac:dyDescent="0.25">
      <c r="O975" s="21">
        <v>3.8340579025361627</v>
      </c>
    </row>
    <row r="976" spans="15:15" x14ac:dyDescent="0.25">
      <c r="O976" s="21">
        <v>5.4589376255824682</v>
      </c>
    </row>
    <row r="977" spans="15:15" x14ac:dyDescent="0.25">
      <c r="O977" s="21">
        <v>4.1593268686170841</v>
      </c>
    </row>
    <row r="978" spans="15:15" x14ac:dyDescent="0.25">
      <c r="O978" s="21">
        <v>3.5355339059327378</v>
      </c>
    </row>
    <row r="979" spans="15:15" x14ac:dyDescent="0.25">
      <c r="O979" s="21">
        <v>3.03315017762062</v>
      </c>
    </row>
    <row r="980" spans="15:15" x14ac:dyDescent="0.25">
      <c r="O980" s="21">
        <v>5.3665631459994909</v>
      </c>
    </row>
    <row r="981" spans="15:15" x14ac:dyDescent="0.25">
      <c r="O981" s="21">
        <v>3.8078865529319543</v>
      </c>
    </row>
    <row r="982" spans="15:15" x14ac:dyDescent="0.25">
      <c r="O982" s="21">
        <v>4.1593268686170841</v>
      </c>
    </row>
    <row r="983" spans="15:15" x14ac:dyDescent="0.25">
      <c r="O983" s="21">
        <v>4.4384682042344297</v>
      </c>
    </row>
    <row r="984" spans="15:15" x14ac:dyDescent="0.25">
      <c r="O984" s="21">
        <v>2.7018512172212592</v>
      </c>
    </row>
    <row r="985" spans="15:15" x14ac:dyDescent="0.25">
      <c r="O985" s="21">
        <v>7.0922492905988701</v>
      </c>
    </row>
    <row r="986" spans="15:15" x14ac:dyDescent="0.25">
      <c r="O986" s="21">
        <v>5.3572380943915325</v>
      </c>
    </row>
    <row r="987" spans="15:15" x14ac:dyDescent="0.25">
      <c r="O987" s="21">
        <v>4.2190046219457971</v>
      </c>
    </row>
    <row r="988" spans="15:15" x14ac:dyDescent="0.25">
      <c r="O988" s="21">
        <v>3.1622776601683795</v>
      </c>
    </row>
    <row r="989" spans="15:15" x14ac:dyDescent="0.25">
      <c r="O989" s="21">
        <v>5.5407580708780113</v>
      </c>
    </row>
    <row r="990" spans="15:15" x14ac:dyDescent="0.25">
      <c r="O990" s="21">
        <v>3.9623225512317899</v>
      </c>
    </row>
    <row r="991" spans="15:15" x14ac:dyDescent="0.25">
      <c r="O991" s="21">
        <v>4.0249223594996213</v>
      </c>
    </row>
    <row r="992" spans="15:15" x14ac:dyDescent="0.25">
      <c r="O992" s="21">
        <v>2.5099800796022267</v>
      </c>
    </row>
    <row r="993" spans="15:15" x14ac:dyDescent="0.25">
      <c r="O993" s="21">
        <v>4.8270073544588872</v>
      </c>
    </row>
    <row r="994" spans="15:15" x14ac:dyDescent="0.25">
      <c r="O994" s="21">
        <v>6.5802735505448542</v>
      </c>
    </row>
    <row r="995" spans="15:15" x14ac:dyDescent="0.25">
      <c r="O995" s="21">
        <v>2.1213203435596424</v>
      </c>
    </row>
    <row r="996" spans="15:15" x14ac:dyDescent="0.25">
      <c r="O996" s="21">
        <v>1.3038404810405297</v>
      </c>
    </row>
    <row r="997" spans="15:15" x14ac:dyDescent="0.25">
      <c r="O997" s="21">
        <v>3.271085446759225</v>
      </c>
    </row>
    <row r="998" spans="15:15" x14ac:dyDescent="0.25">
      <c r="O998" s="21">
        <v>4.9699094559156523</v>
      </c>
    </row>
    <row r="999" spans="15:15" x14ac:dyDescent="0.25">
      <c r="O999" s="21">
        <v>4.6151923036857303</v>
      </c>
    </row>
    <row r="1000" spans="15:15" x14ac:dyDescent="0.25">
      <c r="O1000" s="21">
        <v>4.9699094559156753</v>
      </c>
    </row>
    <row r="1001" spans="15:15" x14ac:dyDescent="0.25">
      <c r="O1001" s="21">
        <v>3.9623225512317899</v>
      </c>
    </row>
    <row r="1002" spans="15:15" x14ac:dyDescent="0.25">
      <c r="O1002" s="21">
        <v>4.0373258476372698</v>
      </c>
    </row>
    <row r="1003" spans="15:15" x14ac:dyDescent="0.25">
      <c r="O1003" s="21">
        <v>7.4363969770312952</v>
      </c>
    </row>
    <row r="1004" spans="15:15" x14ac:dyDescent="0.25">
      <c r="O1004" s="21">
        <v>6.4575537163851617</v>
      </c>
    </row>
    <row r="1005" spans="15:15" x14ac:dyDescent="0.25">
      <c r="O1005" s="21"/>
    </row>
    <row r="1006" spans="15:15" x14ac:dyDescent="0.25">
      <c r="O1006" s="21"/>
    </row>
    <row r="1007" spans="15:15" x14ac:dyDescent="0.25">
      <c r="O1007" s="21"/>
    </row>
    <row r="1008" spans="15:15" x14ac:dyDescent="0.25">
      <c r="O1008" s="21"/>
    </row>
    <row r="1009" spans="15:15" x14ac:dyDescent="0.25">
      <c r="O1009" s="21"/>
    </row>
    <row r="1010" spans="15:15" x14ac:dyDescent="0.25">
      <c r="O1010" s="21"/>
    </row>
    <row r="1011" spans="15:15" x14ac:dyDescent="0.25">
      <c r="O1011" s="21"/>
    </row>
    <row r="1012" spans="15:15" x14ac:dyDescent="0.25">
      <c r="O1012" s="21"/>
    </row>
    <row r="1013" spans="15:15" x14ac:dyDescent="0.25">
      <c r="O1013" s="21"/>
    </row>
    <row r="1014" spans="15:15" x14ac:dyDescent="0.25">
      <c r="O1014" s="21"/>
    </row>
    <row r="1015" spans="15:15" x14ac:dyDescent="0.25">
      <c r="O1015" s="21"/>
    </row>
    <row r="1016" spans="15:15" x14ac:dyDescent="0.25">
      <c r="O1016" s="21"/>
    </row>
    <row r="1017" spans="15:15" x14ac:dyDescent="0.25">
      <c r="O1017" s="21"/>
    </row>
    <row r="1018" spans="15:15" x14ac:dyDescent="0.25">
      <c r="O1018" s="21"/>
    </row>
    <row r="1019" spans="15:15" x14ac:dyDescent="0.25">
      <c r="O1019" s="21"/>
    </row>
    <row r="1020" spans="15:15" x14ac:dyDescent="0.25">
      <c r="O1020" s="21"/>
    </row>
    <row r="1021" spans="15:15" x14ac:dyDescent="0.25">
      <c r="O1021" s="21"/>
    </row>
    <row r="1022" spans="15:15" x14ac:dyDescent="0.25">
      <c r="O1022" s="21"/>
    </row>
    <row r="1023" spans="15:15" x14ac:dyDescent="0.25">
      <c r="O1023" s="21"/>
    </row>
    <row r="1024" spans="15:15" x14ac:dyDescent="0.25">
      <c r="O1024" s="21"/>
    </row>
    <row r="1025" spans="15:15" x14ac:dyDescent="0.25">
      <c r="O1025" s="21"/>
    </row>
    <row r="1026" spans="15:15" x14ac:dyDescent="0.25">
      <c r="O1026" s="21"/>
    </row>
    <row r="1027" spans="15:15" x14ac:dyDescent="0.25">
      <c r="O1027" s="21"/>
    </row>
    <row r="1028" spans="15:15" x14ac:dyDescent="0.25">
      <c r="O1028" s="21"/>
    </row>
    <row r="1029" spans="15:15" x14ac:dyDescent="0.25">
      <c r="O1029" s="21"/>
    </row>
    <row r="1030" spans="15:15" x14ac:dyDescent="0.25">
      <c r="O1030" s="21"/>
    </row>
    <row r="1031" spans="15:15" x14ac:dyDescent="0.25">
      <c r="O1031" s="21"/>
    </row>
    <row r="1032" spans="15:15" x14ac:dyDescent="0.25">
      <c r="O1032" s="21"/>
    </row>
    <row r="1033" spans="15:15" x14ac:dyDescent="0.25">
      <c r="O1033" s="21"/>
    </row>
    <row r="1034" spans="15:15" x14ac:dyDescent="0.25">
      <c r="O1034" s="21"/>
    </row>
    <row r="1035" spans="15:15" x14ac:dyDescent="0.25">
      <c r="O1035" s="21"/>
    </row>
    <row r="1036" spans="15:15" x14ac:dyDescent="0.25">
      <c r="O1036" s="21"/>
    </row>
    <row r="1037" spans="15:15" x14ac:dyDescent="0.25">
      <c r="O1037" s="21"/>
    </row>
    <row r="1038" spans="15:15" x14ac:dyDescent="0.25">
      <c r="O1038" s="21"/>
    </row>
    <row r="1039" spans="15:15" x14ac:dyDescent="0.25">
      <c r="O1039" s="21"/>
    </row>
    <row r="1040" spans="15:15" x14ac:dyDescent="0.25">
      <c r="O1040" s="21"/>
    </row>
    <row r="1041" spans="15:15" x14ac:dyDescent="0.25">
      <c r="O1041" s="21"/>
    </row>
    <row r="1042" spans="15:15" x14ac:dyDescent="0.25">
      <c r="O1042" s="21"/>
    </row>
    <row r="1043" spans="15:15" x14ac:dyDescent="0.25">
      <c r="O1043" s="21"/>
    </row>
    <row r="1044" spans="15:15" x14ac:dyDescent="0.25">
      <c r="O1044" s="21"/>
    </row>
    <row r="1045" spans="15:15" x14ac:dyDescent="0.25">
      <c r="O1045" s="21"/>
    </row>
    <row r="1046" spans="15:15" x14ac:dyDescent="0.25">
      <c r="O1046" s="21"/>
    </row>
    <row r="1047" spans="15:15" x14ac:dyDescent="0.25">
      <c r="O1047" s="21"/>
    </row>
    <row r="1048" spans="15:15" x14ac:dyDescent="0.25">
      <c r="O1048" s="21"/>
    </row>
    <row r="1049" spans="15:15" x14ac:dyDescent="0.25">
      <c r="O1049" s="21"/>
    </row>
    <row r="1050" spans="15:15" x14ac:dyDescent="0.25">
      <c r="O1050" s="21"/>
    </row>
    <row r="1051" spans="15:15" x14ac:dyDescent="0.25">
      <c r="O1051" s="21"/>
    </row>
    <row r="1052" spans="15:15" x14ac:dyDescent="0.25">
      <c r="O1052" s="21"/>
    </row>
    <row r="1053" spans="15:15" x14ac:dyDescent="0.25">
      <c r="O1053" s="21"/>
    </row>
    <row r="1054" spans="15:15" x14ac:dyDescent="0.25">
      <c r="O1054" s="21"/>
    </row>
    <row r="1055" spans="15:15" x14ac:dyDescent="0.25">
      <c r="O1055" s="21"/>
    </row>
    <row r="1056" spans="15:15" x14ac:dyDescent="0.25">
      <c r="O1056" s="21"/>
    </row>
    <row r="1057" spans="15:15" x14ac:dyDescent="0.25">
      <c r="O1057" s="21"/>
    </row>
    <row r="1058" spans="15:15" x14ac:dyDescent="0.25">
      <c r="O1058" s="21"/>
    </row>
    <row r="1059" spans="15:15" x14ac:dyDescent="0.25">
      <c r="O1059" s="21"/>
    </row>
    <row r="1060" spans="15:15" x14ac:dyDescent="0.25">
      <c r="O1060" s="21"/>
    </row>
    <row r="1061" spans="15:15" x14ac:dyDescent="0.25">
      <c r="O1061" s="21"/>
    </row>
    <row r="1062" spans="15:15" x14ac:dyDescent="0.25">
      <c r="O1062" s="21"/>
    </row>
    <row r="1063" spans="15:15" x14ac:dyDescent="0.25">
      <c r="O1063" s="21"/>
    </row>
    <row r="1064" spans="15:15" x14ac:dyDescent="0.25">
      <c r="O1064" s="21"/>
    </row>
    <row r="1065" spans="15:15" x14ac:dyDescent="0.25">
      <c r="O1065" s="21"/>
    </row>
    <row r="1066" spans="15:15" x14ac:dyDescent="0.25">
      <c r="O1066" s="21"/>
    </row>
    <row r="1067" spans="15:15" x14ac:dyDescent="0.25">
      <c r="O1067" s="21"/>
    </row>
    <row r="1068" spans="15:15" x14ac:dyDescent="0.25">
      <c r="O1068" s="21"/>
    </row>
    <row r="1069" spans="15:15" x14ac:dyDescent="0.25">
      <c r="O1069" s="21"/>
    </row>
    <row r="1070" spans="15:15" x14ac:dyDescent="0.25">
      <c r="O1070" s="21"/>
    </row>
    <row r="1071" spans="15:15" x14ac:dyDescent="0.25">
      <c r="O1071" s="21"/>
    </row>
    <row r="1072" spans="15:15" x14ac:dyDescent="0.25">
      <c r="O1072" s="21"/>
    </row>
    <row r="1073" spans="15:15" x14ac:dyDescent="0.25">
      <c r="O1073" s="21"/>
    </row>
    <row r="1074" spans="15:15" x14ac:dyDescent="0.25">
      <c r="O1074" s="21"/>
    </row>
    <row r="1075" spans="15:15" x14ac:dyDescent="0.25">
      <c r="O1075" s="21"/>
    </row>
    <row r="1076" spans="15:15" x14ac:dyDescent="0.25">
      <c r="O1076" s="21"/>
    </row>
    <row r="1077" spans="15:15" x14ac:dyDescent="0.25">
      <c r="O1077" s="21"/>
    </row>
    <row r="1078" spans="15:15" x14ac:dyDescent="0.25">
      <c r="O1078" s="21"/>
    </row>
    <row r="1079" spans="15:15" x14ac:dyDescent="0.25">
      <c r="O1079" s="21"/>
    </row>
    <row r="1080" spans="15:15" x14ac:dyDescent="0.25">
      <c r="O1080" s="21"/>
    </row>
    <row r="1081" spans="15:15" x14ac:dyDescent="0.25">
      <c r="O1081" s="21"/>
    </row>
    <row r="1082" spans="15:15" x14ac:dyDescent="0.25">
      <c r="O1082" s="21"/>
    </row>
    <row r="1083" spans="15:15" x14ac:dyDescent="0.25">
      <c r="O1083" s="21"/>
    </row>
    <row r="1084" spans="15:15" x14ac:dyDescent="0.25">
      <c r="O1084" s="21"/>
    </row>
    <row r="1085" spans="15:15" x14ac:dyDescent="0.25">
      <c r="O1085" s="21"/>
    </row>
    <row r="1086" spans="15:15" x14ac:dyDescent="0.25">
      <c r="O1086" s="21"/>
    </row>
    <row r="1087" spans="15:15" x14ac:dyDescent="0.25">
      <c r="O1087" s="21"/>
    </row>
    <row r="1088" spans="15:15" x14ac:dyDescent="0.25">
      <c r="O1088" s="21"/>
    </row>
    <row r="1089" spans="15:15" x14ac:dyDescent="0.25">
      <c r="O1089" s="21"/>
    </row>
    <row r="1090" spans="15:15" x14ac:dyDescent="0.25">
      <c r="O1090" s="21"/>
    </row>
    <row r="1091" spans="15:15" x14ac:dyDescent="0.25">
      <c r="O1091" s="21"/>
    </row>
    <row r="1092" spans="15:15" x14ac:dyDescent="0.25">
      <c r="O1092" s="21"/>
    </row>
    <row r="1093" spans="15:15" x14ac:dyDescent="0.25">
      <c r="O1093" s="21"/>
    </row>
    <row r="1094" spans="15:15" x14ac:dyDescent="0.25">
      <c r="O1094" s="21"/>
    </row>
    <row r="1095" spans="15:15" x14ac:dyDescent="0.25">
      <c r="O1095" s="21"/>
    </row>
    <row r="1096" spans="15:15" x14ac:dyDescent="0.25">
      <c r="O1096" s="21"/>
    </row>
    <row r="1097" spans="15:15" x14ac:dyDescent="0.25">
      <c r="O1097" s="21"/>
    </row>
    <row r="1098" spans="15:15" x14ac:dyDescent="0.25">
      <c r="O1098" s="21"/>
    </row>
    <row r="1099" spans="15:15" x14ac:dyDescent="0.25">
      <c r="O1099" s="21"/>
    </row>
    <row r="1100" spans="15:15" x14ac:dyDescent="0.25">
      <c r="O1100" s="21"/>
    </row>
    <row r="1101" spans="15:15" x14ac:dyDescent="0.25">
      <c r="O1101" s="21"/>
    </row>
    <row r="1102" spans="15:15" x14ac:dyDescent="0.25">
      <c r="O1102" s="21"/>
    </row>
    <row r="1103" spans="15:15" x14ac:dyDescent="0.25">
      <c r="O1103" s="21"/>
    </row>
    <row r="1104" spans="15:15" x14ac:dyDescent="0.25">
      <c r="O1104" s="21"/>
    </row>
    <row r="1105" spans="15:15" x14ac:dyDescent="0.25">
      <c r="O1105" s="21"/>
    </row>
    <row r="1106" spans="15:15" x14ac:dyDescent="0.25">
      <c r="O1106" s="21"/>
    </row>
    <row r="1107" spans="15:15" x14ac:dyDescent="0.25">
      <c r="O1107" s="21"/>
    </row>
    <row r="1108" spans="15:15" x14ac:dyDescent="0.25">
      <c r="O1108" s="21"/>
    </row>
    <row r="1109" spans="15:15" x14ac:dyDescent="0.25">
      <c r="O1109" s="21"/>
    </row>
    <row r="1110" spans="15:15" x14ac:dyDescent="0.25">
      <c r="O1110" s="21"/>
    </row>
    <row r="1111" spans="15:15" x14ac:dyDescent="0.25">
      <c r="O1111" s="21"/>
    </row>
    <row r="1112" spans="15:15" x14ac:dyDescent="0.25">
      <c r="O1112" s="21"/>
    </row>
    <row r="1113" spans="15:15" x14ac:dyDescent="0.25">
      <c r="O1113" s="21"/>
    </row>
    <row r="1114" spans="15:15" x14ac:dyDescent="0.25">
      <c r="O1114" s="21"/>
    </row>
    <row r="1115" spans="15:15" x14ac:dyDescent="0.25">
      <c r="O1115" s="21"/>
    </row>
    <row r="1116" spans="15:15" x14ac:dyDescent="0.25">
      <c r="O1116" s="21"/>
    </row>
    <row r="1117" spans="15:15" x14ac:dyDescent="0.25">
      <c r="O1117" s="21"/>
    </row>
    <row r="1118" spans="15:15" x14ac:dyDescent="0.25">
      <c r="O1118" s="21"/>
    </row>
    <row r="1119" spans="15:15" x14ac:dyDescent="0.25">
      <c r="O1119" s="21"/>
    </row>
    <row r="1120" spans="15:15" x14ac:dyDescent="0.25">
      <c r="O1120" s="21"/>
    </row>
    <row r="1121" spans="15:15" x14ac:dyDescent="0.25">
      <c r="O1121" s="21"/>
    </row>
    <row r="1122" spans="15:15" x14ac:dyDescent="0.25">
      <c r="O1122" s="21"/>
    </row>
    <row r="1123" spans="15:15" x14ac:dyDescent="0.25">
      <c r="O1123" s="21"/>
    </row>
    <row r="1124" spans="15:15" x14ac:dyDescent="0.25">
      <c r="O1124" s="21"/>
    </row>
    <row r="1125" spans="15:15" x14ac:dyDescent="0.25">
      <c r="O1125" s="21"/>
    </row>
    <row r="1126" spans="15:15" x14ac:dyDescent="0.25">
      <c r="O1126" s="21"/>
    </row>
    <row r="1127" spans="15:15" x14ac:dyDescent="0.25">
      <c r="O1127" s="21"/>
    </row>
    <row r="1128" spans="15:15" x14ac:dyDescent="0.25">
      <c r="O1128" s="21"/>
    </row>
    <row r="1129" spans="15:15" x14ac:dyDescent="0.25">
      <c r="O1129" s="21"/>
    </row>
    <row r="1130" spans="15:15" x14ac:dyDescent="0.25">
      <c r="O1130" s="21"/>
    </row>
    <row r="1131" spans="15:15" x14ac:dyDescent="0.25">
      <c r="O1131" s="21"/>
    </row>
    <row r="1132" spans="15:15" x14ac:dyDescent="0.25">
      <c r="O1132" s="21"/>
    </row>
    <row r="1133" spans="15:15" x14ac:dyDescent="0.25">
      <c r="O1133" s="21"/>
    </row>
    <row r="1134" spans="15:15" x14ac:dyDescent="0.25">
      <c r="O1134" s="21"/>
    </row>
    <row r="1135" spans="15:15" x14ac:dyDescent="0.25">
      <c r="O1135" s="21"/>
    </row>
    <row r="1136" spans="15:15" x14ac:dyDescent="0.25">
      <c r="O1136" s="21"/>
    </row>
    <row r="1137" spans="15:15" x14ac:dyDescent="0.25">
      <c r="O1137" s="21"/>
    </row>
    <row r="1138" spans="15:15" x14ac:dyDescent="0.25">
      <c r="O1138" s="21"/>
    </row>
    <row r="1139" spans="15:15" x14ac:dyDescent="0.25">
      <c r="O1139" s="21"/>
    </row>
    <row r="1140" spans="15:15" x14ac:dyDescent="0.25">
      <c r="O1140" s="21"/>
    </row>
    <row r="1141" spans="15:15" x14ac:dyDescent="0.25">
      <c r="O1141" s="21"/>
    </row>
    <row r="1142" spans="15:15" x14ac:dyDescent="0.25">
      <c r="O1142" s="21"/>
    </row>
    <row r="1143" spans="15:15" x14ac:dyDescent="0.25">
      <c r="O1143" s="21"/>
    </row>
    <row r="1144" spans="15:15" x14ac:dyDescent="0.25">
      <c r="O1144" s="21"/>
    </row>
    <row r="1145" spans="15:15" x14ac:dyDescent="0.25">
      <c r="O1145" s="21"/>
    </row>
    <row r="1146" spans="15:15" x14ac:dyDescent="0.25">
      <c r="O1146" s="21"/>
    </row>
    <row r="1147" spans="15:15" x14ac:dyDescent="0.25">
      <c r="O1147" s="21"/>
    </row>
    <row r="1148" spans="15:15" x14ac:dyDescent="0.25">
      <c r="O1148" s="21"/>
    </row>
    <row r="1149" spans="15:15" x14ac:dyDescent="0.25">
      <c r="O1149" s="21"/>
    </row>
    <row r="1150" spans="15:15" x14ac:dyDescent="0.25">
      <c r="O1150" s="21"/>
    </row>
    <row r="1151" spans="15:15" x14ac:dyDescent="0.25">
      <c r="O1151" s="21"/>
    </row>
    <row r="1152" spans="15:15" x14ac:dyDescent="0.25">
      <c r="O1152" s="21"/>
    </row>
    <row r="1153" spans="15:15" x14ac:dyDescent="0.25">
      <c r="O1153" s="21"/>
    </row>
    <row r="1154" spans="15:15" x14ac:dyDescent="0.25">
      <c r="O1154" s="21"/>
    </row>
    <row r="1155" spans="15:15" x14ac:dyDescent="0.25">
      <c r="O1155" s="21"/>
    </row>
    <row r="1156" spans="15:15" x14ac:dyDescent="0.25">
      <c r="O1156" s="21"/>
    </row>
    <row r="1157" spans="15:15" x14ac:dyDescent="0.25">
      <c r="O1157" s="21"/>
    </row>
    <row r="1158" spans="15:15" x14ac:dyDescent="0.25">
      <c r="O1158" s="21"/>
    </row>
    <row r="1159" spans="15:15" x14ac:dyDescent="0.25">
      <c r="O1159" s="21"/>
    </row>
    <row r="1160" spans="15:15" x14ac:dyDescent="0.25">
      <c r="O1160" s="21"/>
    </row>
    <row r="1161" spans="15:15" x14ac:dyDescent="0.25">
      <c r="O1161" s="21"/>
    </row>
    <row r="1162" spans="15:15" x14ac:dyDescent="0.25">
      <c r="O1162" s="21"/>
    </row>
    <row r="1163" spans="15:15" x14ac:dyDescent="0.25">
      <c r="O1163" s="21"/>
    </row>
    <row r="1164" spans="15:15" x14ac:dyDescent="0.25">
      <c r="O1164" s="21"/>
    </row>
    <row r="1165" spans="15:15" x14ac:dyDescent="0.25">
      <c r="O1165" s="21"/>
    </row>
    <row r="1166" spans="15:15" x14ac:dyDescent="0.25">
      <c r="O1166" s="21"/>
    </row>
    <row r="1167" spans="15:15" x14ac:dyDescent="0.25">
      <c r="O1167" s="21"/>
    </row>
    <row r="1168" spans="15:15" x14ac:dyDescent="0.25">
      <c r="O1168" s="21"/>
    </row>
    <row r="1169" spans="15:15" x14ac:dyDescent="0.25">
      <c r="O1169" s="21"/>
    </row>
    <row r="1170" spans="15:15" x14ac:dyDescent="0.25">
      <c r="O1170" s="21"/>
    </row>
    <row r="1171" spans="15:15" x14ac:dyDescent="0.25">
      <c r="O1171" s="21"/>
    </row>
    <row r="1172" spans="15:15" x14ac:dyDescent="0.25">
      <c r="O1172" s="21"/>
    </row>
    <row r="1173" spans="15:15" x14ac:dyDescent="0.25">
      <c r="O1173" s="21"/>
    </row>
    <row r="1174" spans="15:15" x14ac:dyDescent="0.25">
      <c r="O1174" s="21"/>
    </row>
    <row r="1175" spans="15:15" x14ac:dyDescent="0.25">
      <c r="O1175" s="21"/>
    </row>
    <row r="1176" spans="15:15" x14ac:dyDescent="0.25">
      <c r="O1176" s="21"/>
    </row>
    <row r="1177" spans="15:15" x14ac:dyDescent="0.25">
      <c r="O1177" s="21"/>
    </row>
    <row r="1178" spans="15:15" x14ac:dyDescent="0.25">
      <c r="O1178" s="21"/>
    </row>
    <row r="1179" spans="15:15" x14ac:dyDescent="0.25">
      <c r="O1179" s="21"/>
    </row>
    <row r="1180" spans="15:15" x14ac:dyDescent="0.25">
      <c r="O1180" s="21"/>
    </row>
    <row r="1181" spans="15:15" x14ac:dyDescent="0.25">
      <c r="O1181" s="21"/>
    </row>
    <row r="1182" spans="15:15" x14ac:dyDescent="0.25">
      <c r="O1182" s="21"/>
    </row>
    <row r="1183" spans="15:15" x14ac:dyDescent="0.25">
      <c r="O1183" s="21"/>
    </row>
    <row r="1184" spans="15:15" x14ac:dyDescent="0.25">
      <c r="O1184" s="21"/>
    </row>
    <row r="1185" spans="15:15" x14ac:dyDescent="0.25">
      <c r="O1185" s="21"/>
    </row>
    <row r="1186" spans="15:15" x14ac:dyDescent="0.25">
      <c r="O1186" s="21"/>
    </row>
    <row r="1187" spans="15:15" x14ac:dyDescent="0.25">
      <c r="O1187" s="21"/>
    </row>
    <row r="1188" spans="15:15" x14ac:dyDescent="0.25">
      <c r="O1188" s="21"/>
    </row>
    <row r="1189" spans="15:15" x14ac:dyDescent="0.25">
      <c r="O1189" s="21"/>
    </row>
    <row r="1190" spans="15:15" x14ac:dyDescent="0.25">
      <c r="O1190" s="21"/>
    </row>
    <row r="1191" spans="15:15" x14ac:dyDescent="0.25">
      <c r="O1191" s="21"/>
    </row>
    <row r="1192" spans="15:15" x14ac:dyDescent="0.25">
      <c r="O1192" s="21"/>
    </row>
    <row r="1193" spans="15:15" x14ac:dyDescent="0.25">
      <c r="O1193" s="21"/>
    </row>
    <row r="1194" spans="15:15" x14ac:dyDescent="0.25">
      <c r="O1194" s="21"/>
    </row>
    <row r="1195" spans="15:15" x14ac:dyDescent="0.25">
      <c r="O1195" s="21"/>
    </row>
    <row r="1196" spans="15:15" x14ac:dyDescent="0.25">
      <c r="O1196" s="21"/>
    </row>
    <row r="1197" spans="15:15" x14ac:dyDescent="0.25">
      <c r="O1197" s="21"/>
    </row>
    <row r="1198" spans="15:15" x14ac:dyDescent="0.25">
      <c r="O1198" s="21"/>
    </row>
    <row r="1199" spans="15:15" x14ac:dyDescent="0.25">
      <c r="O1199" s="21"/>
    </row>
    <row r="1200" spans="15:15" x14ac:dyDescent="0.25">
      <c r="O1200" s="21"/>
    </row>
    <row r="1201" spans="15:15" x14ac:dyDescent="0.25">
      <c r="O1201" s="21"/>
    </row>
    <row r="1202" spans="15:15" x14ac:dyDescent="0.25">
      <c r="O1202" s="21"/>
    </row>
    <row r="1203" spans="15:15" x14ac:dyDescent="0.25">
      <c r="O1203" s="21"/>
    </row>
    <row r="1204" spans="15:15" x14ac:dyDescent="0.25">
      <c r="O1204" s="21"/>
    </row>
    <row r="1205" spans="15:15" x14ac:dyDescent="0.25">
      <c r="O1205" s="21"/>
    </row>
    <row r="1206" spans="15:15" x14ac:dyDescent="0.25">
      <c r="O1206" s="21"/>
    </row>
    <row r="1207" spans="15:15" x14ac:dyDescent="0.25">
      <c r="O1207" s="21"/>
    </row>
    <row r="1208" spans="15:15" x14ac:dyDescent="0.25">
      <c r="O1208" s="21"/>
    </row>
    <row r="1209" spans="15:15" x14ac:dyDescent="0.25">
      <c r="O1209" s="21"/>
    </row>
    <row r="1210" spans="15:15" x14ac:dyDescent="0.25">
      <c r="O1210" s="21"/>
    </row>
    <row r="1211" spans="15:15" x14ac:dyDescent="0.25">
      <c r="O1211" s="21"/>
    </row>
    <row r="1212" spans="15:15" x14ac:dyDescent="0.25">
      <c r="O1212" s="21"/>
    </row>
    <row r="1213" spans="15:15" x14ac:dyDescent="0.25">
      <c r="O1213" s="21"/>
    </row>
    <row r="1214" spans="15:15" x14ac:dyDescent="0.25">
      <c r="O1214" s="21"/>
    </row>
    <row r="1215" spans="15:15" x14ac:dyDescent="0.25">
      <c r="O1215" s="21"/>
    </row>
    <row r="1216" spans="15:15" x14ac:dyDescent="0.25">
      <c r="O1216" s="21"/>
    </row>
    <row r="1217" spans="15:15" x14ac:dyDescent="0.25">
      <c r="O1217" s="21"/>
    </row>
    <row r="1218" spans="15:15" x14ac:dyDescent="0.25">
      <c r="O1218" s="21"/>
    </row>
    <row r="1219" spans="15:15" x14ac:dyDescent="0.25">
      <c r="O1219" s="21"/>
    </row>
    <row r="1220" spans="15:15" x14ac:dyDescent="0.25">
      <c r="O1220" s="21"/>
    </row>
    <row r="1221" spans="15:15" x14ac:dyDescent="0.25">
      <c r="O1221" s="21"/>
    </row>
    <row r="1222" spans="15:15" x14ac:dyDescent="0.25">
      <c r="O1222" s="21"/>
    </row>
    <row r="1223" spans="15:15" x14ac:dyDescent="0.25">
      <c r="O1223" s="21"/>
    </row>
    <row r="1224" spans="15:15" x14ac:dyDescent="0.25">
      <c r="O1224" s="21"/>
    </row>
    <row r="1225" spans="15:15" x14ac:dyDescent="0.25">
      <c r="O1225" s="21"/>
    </row>
    <row r="1226" spans="15:15" x14ac:dyDescent="0.25">
      <c r="O1226" s="21"/>
    </row>
    <row r="1227" spans="15:15" x14ac:dyDescent="0.25">
      <c r="O1227" s="21"/>
    </row>
    <row r="1228" spans="15:15" x14ac:dyDescent="0.25">
      <c r="O1228" s="21"/>
    </row>
    <row r="1229" spans="15:15" x14ac:dyDescent="0.25">
      <c r="O1229" s="21"/>
    </row>
    <row r="1230" spans="15:15" x14ac:dyDescent="0.25">
      <c r="O1230" s="21"/>
    </row>
    <row r="1231" spans="15:15" x14ac:dyDescent="0.25">
      <c r="O1231" s="21"/>
    </row>
    <row r="1232" spans="15:15" x14ac:dyDescent="0.25">
      <c r="O1232" s="21"/>
    </row>
    <row r="1233" spans="15:15" x14ac:dyDescent="0.25">
      <c r="O1233" s="21"/>
    </row>
    <row r="1234" spans="15:15" x14ac:dyDescent="0.25">
      <c r="O1234" s="21"/>
    </row>
    <row r="1235" spans="15:15" x14ac:dyDescent="0.25">
      <c r="O1235" s="21"/>
    </row>
    <row r="1236" spans="15:15" x14ac:dyDescent="0.25">
      <c r="O1236" s="21"/>
    </row>
    <row r="1237" spans="15:15" x14ac:dyDescent="0.25">
      <c r="O1237" s="21"/>
    </row>
    <row r="1238" spans="15:15" x14ac:dyDescent="0.25">
      <c r="O1238" s="21"/>
    </row>
    <row r="1239" spans="15:15" x14ac:dyDescent="0.25">
      <c r="O1239" s="21"/>
    </row>
    <row r="1240" spans="15:15" x14ac:dyDescent="0.25">
      <c r="O1240" s="21"/>
    </row>
    <row r="1241" spans="15:15" x14ac:dyDescent="0.25">
      <c r="O1241" s="21"/>
    </row>
    <row r="1242" spans="15:15" x14ac:dyDescent="0.25">
      <c r="O1242" s="21"/>
    </row>
    <row r="1243" spans="15:15" x14ac:dyDescent="0.25">
      <c r="O1243" s="21"/>
    </row>
    <row r="1244" spans="15:15" x14ac:dyDescent="0.25">
      <c r="O1244" s="21"/>
    </row>
    <row r="1245" spans="15:15" x14ac:dyDescent="0.25">
      <c r="O1245" s="21"/>
    </row>
    <row r="1246" spans="15:15" x14ac:dyDescent="0.25">
      <c r="O1246" s="21"/>
    </row>
    <row r="1247" spans="15:15" x14ac:dyDescent="0.25">
      <c r="O1247" s="21"/>
    </row>
    <row r="1248" spans="15:15" x14ac:dyDescent="0.25">
      <c r="O1248" s="21"/>
    </row>
    <row r="1249" spans="15:15" x14ac:dyDescent="0.25">
      <c r="O1249" s="21"/>
    </row>
    <row r="1250" spans="15:15" x14ac:dyDescent="0.25">
      <c r="O1250" s="21"/>
    </row>
    <row r="1251" spans="15:15" x14ac:dyDescent="0.25">
      <c r="O1251" s="21"/>
    </row>
    <row r="1252" spans="15:15" x14ac:dyDescent="0.25">
      <c r="O1252" s="21"/>
    </row>
    <row r="1253" spans="15:15" x14ac:dyDescent="0.25">
      <c r="O1253" s="21"/>
    </row>
    <row r="1254" spans="15:15" x14ac:dyDescent="0.25">
      <c r="O1254" s="21"/>
    </row>
    <row r="1255" spans="15:15" x14ac:dyDescent="0.25">
      <c r="O1255" s="21"/>
    </row>
    <row r="1256" spans="15:15" x14ac:dyDescent="0.25">
      <c r="O1256" s="21"/>
    </row>
    <row r="1257" spans="15:15" x14ac:dyDescent="0.25">
      <c r="O1257" s="21"/>
    </row>
    <row r="1258" spans="15:15" x14ac:dyDescent="0.25">
      <c r="O1258" s="21"/>
    </row>
    <row r="1259" spans="15:15" x14ac:dyDescent="0.25">
      <c r="O1259" s="21"/>
    </row>
    <row r="1260" spans="15:15" x14ac:dyDescent="0.25">
      <c r="O1260" s="21"/>
    </row>
    <row r="1261" spans="15:15" x14ac:dyDescent="0.25">
      <c r="O1261" s="21"/>
    </row>
    <row r="1262" spans="15:15" x14ac:dyDescent="0.25">
      <c r="O1262" s="21"/>
    </row>
    <row r="1263" spans="15:15" x14ac:dyDescent="0.25">
      <c r="O1263" s="21"/>
    </row>
    <row r="1264" spans="15:15" x14ac:dyDescent="0.25">
      <c r="O1264" s="21"/>
    </row>
    <row r="1265" spans="15:15" x14ac:dyDescent="0.25">
      <c r="O1265" s="21"/>
    </row>
    <row r="1266" spans="15:15" x14ac:dyDescent="0.25">
      <c r="O1266" s="21"/>
    </row>
    <row r="1267" spans="15:15" x14ac:dyDescent="0.25">
      <c r="O1267" s="21"/>
    </row>
    <row r="1268" spans="15:15" x14ac:dyDescent="0.25">
      <c r="O1268" s="21"/>
    </row>
    <row r="1269" spans="15:15" x14ac:dyDescent="0.25">
      <c r="O1269" s="21"/>
    </row>
    <row r="1270" spans="15:15" x14ac:dyDescent="0.25">
      <c r="O1270" s="21"/>
    </row>
    <row r="1271" spans="15:15" x14ac:dyDescent="0.25">
      <c r="O1271" s="21"/>
    </row>
    <row r="1272" spans="15:15" x14ac:dyDescent="0.25">
      <c r="O1272" s="21"/>
    </row>
    <row r="1273" spans="15:15" x14ac:dyDescent="0.25">
      <c r="O1273" s="21"/>
    </row>
    <row r="1274" spans="15:15" x14ac:dyDescent="0.25">
      <c r="O1274" s="21"/>
    </row>
    <row r="1275" spans="15:15" x14ac:dyDescent="0.25">
      <c r="O1275" s="21"/>
    </row>
    <row r="1276" spans="15:15" x14ac:dyDescent="0.25">
      <c r="O1276" s="21"/>
    </row>
    <row r="1277" spans="15:15" x14ac:dyDescent="0.25">
      <c r="O1277" s="21"/>
    </row>
    <row r="1278" spans="15:15" x14ac:dyDescent="0.25">
      <c r="O1278" s="21"/>
    </row>
    <row r="1279" spans="15:15" x14ac:dyDescent="0.25">
      <c r="O1279" s="21"/>
    </row>
    <row r="1280" spans="15:15" x14ac:dyDescent="0.25">
      <c r="O1280" s="21"/>
    </row>
    <row r="1281" spans="15:15" x14ac:dyDescent="0.25">
      <c r="O1281" s="21"/>
    </row>
    <row r="1282" spans="15:15" x14ac:dyDescent="0.25">
      <c r="O1282" s="21"/>
    </row>
    <row r="1283" spans="15:15" x14ac:dyDescent="0.25">
      <c r="O1283" s="21"/>
    </row>
    <row r="1284" spans="15:15" x14ac:dyDescent="0.25">
      <c r="O1284" s="21"/>
    </row>
    <row r="1285" spans="15:15" x14ac:dyDescent="0.25">
      <c r="O1285" s="21"/>
    </row>
    <row r="1286" spans="15:15" x14ac:dyDescent="0.25">
      <c r="O1286" s="21"/>
    </row>
    <row r="1287" spans="15:15" x14ac:dyDescent="0.25">
      <c r="O1287" s="21"/>
    </row>
    <row r="1288" spans="15:15" x14ac:dyDescent="0.25">
      <c r="O1288" s="21"/>
    </row>
    <row r="1289" spans="15:15" x14ac:dyDescent="0.25">
      <c r="O1289" s="21"/>
    </row>
    <row r="1290" spans="15:15" x14ac:dyDescent="0.25">
      <c r="O1290" s="21"/>
    </row>
    <row r="1291" spans="15:15" x14ac:dyDescent="0.25">
      <c r="O1291" s="21"/>
    </row>
    <row r="1292" spans="15:15" x14ac:dyDescent="0.25">
      <c r="O1292" s="21"/>
    </row>
    <row r="1293" spans="15:15" x14ac:dyDescent="0.25">
      <c r="O1293" s="21"/>
    </row>
    <row r="1294" spans="15:15" x14ac:dyDescent="0.25">
      <c r="O1294" s="21"/>
    </row>
    <row r="1295" spans="15:15" x14ac:dyDescent="0.25">
      <c r="O1295" s="21"/>
    </row>
    <row r="1296" spans="15:15" x14ac:dyDescent="0.25">
      <c r="O1296" s="21"/>
    </row>
    <row r="1297" spans="15:15" x14ac:dyDescent="0.25">
      <c r="O1297" s="21"/>
    </row>
    <row r="1298" spans="15:15" x14ac:dyDescent="0.25">
      <c r="O1298" s="21"/>
    </row>
    <row r="1299" spans="15:15" x14ac:dyDescent="0.25">
      <c r="O1299" s="21"/>
    </row>
    <row r="1300" spans="15:15" x14ac:dyDescent="0.25">
      <c r="O1300" s="21"/>
    </row>
    <row r="1301" spans="15:15" x14ac:dyDescent="0.25">
      <c r="O1301" s="21"/>
    </row>
    <row r="1302" spans="15:15" x14ac:dyDescent="0.25">
      <c r="O1302" s="21"/>
    </row>
    <row r="1303" spans="15:15" x14ac:dyDescent="0.25">
      <c r="O1303" s="21"/>
    </row>
    <row r="1304" spans="15:15" x14ac:dyDescent="0.25">
      <c r="O1304" s="21"/>
    </row>
    <row r="1305" spans="15:15" x14ac:dyDescent="0.25">
      <c r="O1305" s="21"/>
    </row>
    <row r="1306" spans="15:15" x14ac:dyDescent="0.25">
      <c r="O1306" s="21"/>
    </row>
    <row r="1307" spans="15:15" x14ac:dyDescent="0.25">
      <c r="O1307" s="21"/>
    </row>
    <row r="1308" spans="15:15" x14ac:dyDescent="0.25">
      <c r="O1308" s="21"/>
    </row>
    <row r="1309" spans="15:15" x14ac:dyDescent="0.25">
      <c r="O1309" s="21"/>
    </row>
    <row r="1310" spans="15:15" x14ac:dyDescent="0.25">
      <c r="O1310" s="21"/>
    </row>
    <row r="1311" spans="15:15" x14ac:dyDescent="0.25">
      <c r="O1311" s="21"/>
    </row>
    <row r="1312" spans="15:15" x14ac:dyDescent="0.25">
      <c r="O1312" s="21"/>
    </row>
    <row r="1313" spans="15:15" x14ac:dyDescent="0.25">
      <c r="O1313" s="21"/>
    </row>
    <row r="1314" spans="15:15" x14ac:dyDescent="0.25">
      <c r="O1314" s="21"/>
    </row>
    <row r="1315" spans="15:15" x14ac:dyDescent="0.25">
      <c r="O1315" s="21"/>
    </row>
    <row r="1316" spans="15:15" x14ac:dyDescent="0.25">
      <c r="O1316" s="21"/>
    </row>
    <row r="1317" spans="15:15" x14ac:dyDescent="0.25">
      <c r="O1317" s="21"/>
    </row>
    <row r="1318" spans="15:15" x14ac:dyDescent="0.25">
      <c r="O1318" s="21"/>
    </row>
    <row r="1319" spans="15:15" x14ac:dyDescent="0.25">
      <c r="O1319" s="21"/>
    </row>
    <row r="1320" spans="15:15" x14ac:dyDescent="0.25">
      <c r="O1320" s="21"/>
    </row>
    <row r="1321" spans="15:15" x14ac:dyDescent="0.25">
      <c r="O1321" s="21"/>
    </row>
    <row r="1322" spans="15:15" x14ac:dyDescent="0.25">
      <c r="O1322" s="21"/>
    </row>
    <row r="1323" spans="15:15" x14ac:dyDescent="0.25">
      <c r="O1323" s="21"/>
    </row>
    <row r="1324" spans="15:15" x14ac:dyDescent="0.25">
      <c r="O1324" s="21"/>
    </row>
    <row r="1325" spans="15:15" x14ac:dyDescent="0.25">
      <c r="O1325" s="21"/>
    </row>
    <row r="1326" spans="15:15" x14ac:dyDescent="0.25">
      <c r="O1326" s="21"/>
    </row>
    <row r="1327" spans="15:15" x14ac:dyDescent="0.25">
      <c r="O1327" s="21"/>
    </row>
    <row r="1328" spans="15:15" x14ac:dyDescent="0.25">
      <c r="O1328" s="21"/>
    </row>
    <row r="1329" spans="15:15" x14ac:dyDescent="0.25">
      <c r="O1329" s="21"/>
    </row>
    <row r="1330" spans="15:15" x14ac:dyDescent="0.25">
      <c r="O1330" s="21"/>
    </row>
    <row r="1331" spans="15:15" x14ac:dyDescent="0.25">
      <c r="O1331" s="21"/>
    </row>
    <row r="1332" spans="15:15" x14ac:dyDescent="0.25">
      <c r="O1332" s="21"/>
    </row>
    <row r="1333" spans="15:15" x14ac:dyDescent="0.25">
      <c r="O1333" s="21"/>
    </row>
    <row r="1334" spans="15:15" x14ac:dyDescent="0.25">
      <c r="O1334" s="21"/>
    </row>
    <row r="1335" spans="15:15" x14ac:dyDescent="0.25">
      <c r="O1335" s="21"/>
    </row>
    <row r="1336" spans="15:15" x14ac:dyDescent="0.25">
      <c r="O1336" s="21"/>
    </row>
    <row r="1337" spans="15:15" x14ac:dyDescent="0.25">
      <c r="O1337" s="21"/>
    </row>
    <row r="1338" spans="15:15" x14ac:dyDescent="0.25">
      <c r="O1338" s="21"/>
    </row>
    <row r="1339" spans="15:15" x14ac:dyDescent="0.25">
      <c r="O1339" s="21"/>
    </row>
    <row r="1340" spans="15:15" x14ac:dyDescent="0.25">
      <c r="O1340" s="21"/>
    </row>
    <row r="1341" spans="15:15" x14ac:dyDescent="0.25">
      <c r="O1341" s="21"/>
    </row>
    <row r="1342" spans="15:15" x14ac:dyDescent="0.25">
      <c r="O1342" s="21"/>
    </row>
    <row r="1343" spans="15:15" x14ac:dyDescent="0.25">
      <c r="O1343" s="21"/>
    </row>
    <row r="1344" spans="15:15" x14ac:dyDescent="0.25">
      <c r="O1344" s="21"/>
    </row>
    <row r="1345" spans="15:15" x14ac:dyDescent="0.25">
      <c r="O1345" s="21"/>
    </row>
    <row r="1346" spans="15:15" x14ac:dyDescent="0.25">
      <c r="O1346" s="21"/>
    </row>
    <row r="1347" spans="15:15" x14ac:dyDescent="0.25">
      <c r="O1347" s="21"/>
    </row>
    <row r="1348" spans="15:15" x14ac:dyDescent="0.25">
      <c r="O1348" s="21"/>
    </row>
    <row r="1349" spans="15:15" x14ac:dyDescent="0.25">
      <c r="O1349" s="21"/>
    </row>
    <row r="1350" spans="15:15" x14ac:dyDescent="0.25">
      <c r="O1350" s="21"/>
    </row>
    <row r="1351" spans="15:15" x14ac:dyDescent="0.25">
      <c r="O1351" s="21"/>
    </row>
    <row r="1352" spans="15:15" x14ac:dyDescent="0.25">
      <c r="O1352" s="21"/>
    </row>
    <row r="1353" spans="15:15" x14ac:dyDescent="0.25">
      <c r="O1353" s="21"/>
    </row>
    <row r="1354" spans="15:15" x14ac:dyDescent="0.25">
      <c r="O1354" s="21"/>
    </row>
    <row r="1355" spans="15:15" x14ac:dyDescent="0.25">
      <c r="O1355" s="21"/>
    </row>
    <row r="1356" spans="15:15" x14ac:dyDescent="0.25">
      <c r="O1356" s="21"/>
    </row>
    <row r="1357" spans="15:15" x14ac:dyDescent="0.25">
      <c r="O1357" s="21"/>
    </row>
    <row r="1358" spans="15:15" x14ac:dyDescent="0.25">
      <c r="O1358" s="21"/>
    </row>
    <row r="1359" spans="15:15" x14ac:dyDescent="0.25">
      <c r="O1359" s="21"/>
    </row>
    <row r="1360" spans="15:15" x14ac:dyDescent="0.25">
      <c r="O1360" s="21"/>
    </row>
    <row r="1361" spans="15:15" x14ac:dyDescent="0.25">
      <c r="O1361" s="21"/>
    </row>
    <row r="1362" spans="15:15" x14ac:dyDescent="0.25">
      <c r="O1362" s="21"/>
    </row>
    <row r="1363" spans="15:15" x14ac:dyDescent="0.25">
      <c r="O1363" s="21"/>
    </row>
    <row r="1364" spans="15:15" x14ac:dyDescent="0.25">
      <c r="O1364" s="21"/>
    </row>
    <row r="1365" spans="15:15" x14ac:dyDescent="0.25">
      <c r="O1365" s="21"/>
    </row>
    <row r="1366" spans="15:15" x14ac:dyDescent="0.25">
      <c r="O1366" s="21"/>
    </row>
    <row r="1367" spans="15:15" x14ac:dyDescent="0.25">
      <c r="O1367" s="21"/>
    </row>
    <row r="1368" spans="15:15" x14ac:dyDescent="0.25">
      <c r="O1368" s="21"/>
    </row>
    <row r="1369" spans="15:15" x14ac:dyDescent="0.25">
      <c r="O1369" s="21"/>
    </row>
    <row r="1370" spans="15:15" x14ac:dyDescent="0.25">
      <c r="O1370" s="21"/>
    </row>
    <row r="1371" spans="15:15" x14ac:dyDescent="0.25">
      <c r="O1371" s="21"/>
    </row>
    <row r="1372" spans="15:15" x14ac:dyDescent="0.25">
      <c r="O1372" s="21"/>
    </row>
    <row r="1373" spans="15:15" x14ac:dyDescent="0.25">
      <c r="O1373" s="21"/>
    </row>
    <row r="1374" spans="15:15" x14ac:dyDescent="0.25">
      <c r="O1374" s="21"/>
    </row>
    <row r="1375" spans="15:15" x14ac:dyDescent="0.25">
      <c r="O1375" s="21"/>
    </row>
    <row r="1376" spans="15:15" x14ac:dyDescent="0.25">
      <c r="O1376" s="21"/>
    </row>
    <row r="1377" spans="15:15" x14ac:dyDescent="0.25">
      <c r="O1377" s="21"/>
    </row>
    <row r="1378" spans="15:15" x14ac:dyDescent="0.25">
      <c r="O1378" s="21"/>
    </row>
    <row r="1379" spans="15:15" x14ac:dyDescent="0.25">
      <c r="O1379" s="21"/>
    </row>
    <row r="1380" spans="15:15" x14ac:dyDescent="0.25">
      <c r="O1380" s="21"/>
    </row>
    <row r="1381" spans="15:15" x14ac:dyDescent="0.25">
      <c r="O1381" s="21"/>
    </row>
    <row r="1382" spans="15:15" x14ac:dyDescent="0.25">
      <c r="O1382" s="21"/>
    </row>
    <row r="1383" spans="15:15" x14ac:dyDescent="0.25">
      <c r="O1383" s="21"/>
    </row>
    <row r="1384" spans="15:15" x14ac:dyDescent="0.25">
      <c r="O1384" s="21"/>
    </row>
    <row r="1385" spans="15:15" x14ac:dyDescent="0.25">
      <c r="O1385" s="21"/>
    </row>
    <row r="1386" spans="15:15" x14ac:dyDescent="0.25">
      <c r="O1386" s="21"/>
    </row>
    <row r="1387" spans="15:15" x14ac:dyDescent="0.25">
      <c r="O1387" s="21"/>
    </row>
    <row r="1388" spans="15:15" x14ac:dyDescent="0.25">
      <c r="O1388" s="21"/>
    </row>
    <row r="1389" spans="15:15" x14ac:dyDescent="0.25">
      <c r="O1389" s="21"/>
    </row>
    <row r="1390" spans="15:15" x14ac:dyDescent="0.25">
      <c r="O1390" s="21"/>
    </row>
    <row r="1391" spans="15:15" x14ac:dyDescent="0.25">
      <c r="O1391" s="21"/>
    </row>
    <row r="1392" spans="15:15" x14ac:dyDescent="0.25">
      <c r="O1392" s="21"/>
    </row>
    <row r="1393" spans="15:15" x14ac:dyDescent="0.25">
      <c r="O1393" s="21"/>
    </row>
    <row r="1394" spans="15:15" x14ac:dyDescent="0.25">
      <c r="O1394" s="21"/>
    </row>
    <row r="1395" spans="15:15" x14ac:dyDescent="0.25">
      <c r="O1395" s="21"/>
    </row>
    <row r="1396" spans="15:15" x14ac:dyDescent="0.25">
      <c r="O1396" s="21"/>
    </row>
    <row r="1397" spans="15:15" x14ac:dyDescent="0.25">
      <c r="O1397" s="21"/>
    </row>
    <row r="1398" spans="15:15" x14ac:dyDescent="0.25">
      <c r="O1398" s="21"/>
    </row>
    <row r="1399" spans="15:15" x14ac:dyDescent="0.25">
      <c r="O1399" s="21"/>
    </row>
    <row r="1400" spans="15:15" x14ac:dyDescent="0.25">
      <c r="O1400" s="21"/>
    </row>
    <row r="1401" spans="15:15" x14ac:dyDescent="0.25">
      <c r="O1401" s="21"/>
    </row>
    <row r="1402" spans="15:15" x14ac:dyDescent="0.25">
      <c r="O1402" s="21"/>
    </row>
    <row r="1403" spans="15:15" x14ac:dyDescent="0.25">
      <c r="O1403" s="21"/>
    </row>
    <row r="1404" spans="15:15" x14ac:dyDescent="0.25">
      <c r="O1404" s="21"/>
    </row>
    <row r="1405" spans="15:15" x14ac:dyDescent="0.25">
      <c r="O1405" s="21"/>
    </row>
    <row r="1406" spans="15:15" x14ac:dyDescent="0.25">
      <c r="O1406" s="21"/>
    </row>
    <row r="1407" spans="15:15" x14ac:dyDescent="0.25">
      <c r="O1407" s="21"/>
    </row>
    <row r="1408" spans="15:15" x14ac:dyDescent="0.25">
      <c r="O1408" s="21"/>
    </row>
    <row r="1409" spans="15:15" x14ac:dyDescent="0.25">
      <c r="O1409" s="21"/>
    </row>
    <row r="1410" spans="15:15" x14ac:dyDescent="0.25">
      <c r="O1410" s="21"/>
    </row>
    <row r="1411" spans="15:15" x14ac:dyDescent="0.25">
      <c r="O1411" s="21"/>
    </row>
    <row r="1412" spans="15:15" x14ac:dyDescent="0.25">
      <c r="O1412" s="21"/>
    </row>
    <row r="1413" spans="15:15" x14ac:dyDescent="0.25">
      <c r="O1413" s="21"/>
    </row>
    <row r="1414" spans="15:15" x14ac:dyDescent="0.25">
      <c r="O1414" s="21"/>
    </row>
    <row r="1415" spans="15:15" x14ac:dyDescent="0.25">
      <c r="O1415" s="21"/>
    </row>
    <row r="1416" spans="15:15" x14ac:dyDescent="0.25">
      <c r="O1416" s="21"/>
    </row>
    <row r="1417" spans="15:15" x14ac:dyDescent="0.25">
      <c r="O1417" s="21"/>
    </row>
    <row r="1418" spans="15:15" x14ac:dyDescent="0.25">
      <c r="O1418" s="21"/>
    </row>
    <row r="1419" spans="15:15" x14ac:dyDescent="0.25">
      <c r="O1419" s="21"/>
    </row>
    <row r="1420" spans="15:15" x14ac:dyDescent="0.25">
      <c r="O1420" s="21"/>
    </row>
    <row r="1421" spans="15:15" x14ac:dyDescent="0.25">
      <c r="O1421" s="21"/>
    </row>
    <row r="1422" spans="15:15" x14ac:dyDescent="0.25">
      <c r="O1422" s="21"/>
    </row>
    <row r="1423" spans="15:15" x14ac:dyDescent="0.25">
      <c r="O1423" s="21"/>
    </row>
    <row r="1424" spans="15:15" x14ac:dyDescent="0.25">
      <c r="O1424" s="21"/>
    </row>
    <row r="1425" spans="15:15" x14ac:dyDescent="0.25">
      <c r="O1425" s="21"/>
    </row>
    <row r="1426" spans="15:15" x14ac:dyDescent="0.25">
      <c r="O1426" s="21"/>
    </row>
    <row r="1427" spans="15:15" x14ac:dyDescent="0.25">
      <c r="O1427" s="21"/>
    </row>
    <row r="1428" spans="15:15" x14ac:dyDescent="0.25">
      <c r="O1428" s="21"/>
    </row>
    <row r="1429" spans="15:15" x14ac:dyDescent="0.25">
      <c r="O1429" s="21"/>
    </row>
    <row r="1430" spans="15:15" x14ac:dyDescent="0.25">
      <c r="O1430" s="21"/>
    </row>
    <row r="1431" spans="15:15" x14ac:dyDescent="0.25">
      <c r="O1431" s="21"/>
    </row>
    <row r="1432" spans="15:15" x14ac:dyDescent="0.25">
      <c r="O1432" s="21"/>
    </row>
    <row r="1433" spans="15:15" x14ac:dyDescent="0.25">
      <c r="O1433" s="21"/>
    </row>
    <row r="1434" spans="15:15" x14ac:dyDescent="0.25">
      <c r="O1434" s="21"/>
    </row>
    <row r="1435" spans="15:15" x14ac:dyDescent="0.25">
      <c r="O1435" s="21"/>
    </row>
    <row r="1436" spans="15:15" x14ac:dyDescent="0.25">
      <c r="O1436" s="21"/>
    </row>
    <row r="1437" spans="15:15" x14ac:dyDescent="0.25">
      <c r="O1437" s="21"/>
    </row>
    <row r="1438" spans="15:15" x14ac:dyDescent="0.25">
      <c r="O1438" s="21"/>
    </row>
    <row r="1439" spans="15:15" x14ac:dyDescent="0.25">
      <c r="O1439" s="21"/>
    </row>
    <row r="1440" spans="15:15" x14ac:dyDescent="0.25">
      <c r="O1440" s="21"/>
    </row>
    <row r="1441" spans="15:15" x14ac:dyDescent="0.25">
      <c r="O1441" s="21"/>
    </row>
    <row r="1442" spans="15:15" x14ac:dyDescent="0.25">
      <c r="O1442" s="21"/>
    </row>
    <row r="1443" spans="15:15" x14ac:dyDescent="0.25">
      <c r="O1443" s="21"/>
    </row>
    <row r="1444" spans="15:15" x14ac:dyDescent="0.25">
      <c r="O1444" s="21"/>
    </row>
    <row r="1445" spans="15:15" x14ac:dyDescent="0.25">
      <c r="O1445" s="21"/>
    </row>
    <row r="1446" spans="15:15" x14ac:dyDescent="0.25">
      <c r="O1446" s="21"/>
    </row>
    <row r="1447" spans="15:15" x14ac:dyDescent="0.25">
      <c r="O1447" s="21"/>
    </row>
    <row r="1448" spans="15:15" x14ac:dyDescent="0.25">
      <c r="O1448" s="21"/>
    </row>
    <row r="1449" spans="15:15" x14ac:dyDescent="0.25">
      <c r="O1449" s="21"/>
    </row>
    <row r="1450" spans="15:15" x14ac:dyDescent="0.25">
      <c r="O1450" s="21"/>
    </row>
    <row r="1451" spans="15:15" x14ac:dyDescent="0.25">
      <c r="O1451" s="21"/>
    </row>
    <row r="1452" spans="15:15" x14ac:dyDescent="0.25">
      <c r="O1452" s="21"/>
    </row>
    <row r="1453" spans="15:15" x14ac:dyDescent="0.25">
      <c r="O1453" s="21"/>
    </row>
    <row r="1454" spans="15:15" x14ac:dyDescent="0.25">
      <c r="O1454" s="21"/>
    </row>
    <row r="1455" spans="15:15" x14ac:dyDescent="0.25">
      <c r="O1455" s="21"/>
    </row>
    <row r="1456" spans="15:15" x14ac:dyDescent="0.25">
      <c r="O1456" s="21"/>
    </row>
    <row r="1457" spans="15:15" x14ac:dyDescent="0.25">
      <c r="O1457" s="21"/>
    </row>
    <row r="1458" spans="15:15" x14ac:dyDescent="0.25">
      <c r="O1458" s="21"/>
    </row>
    <row r="1459" spans="15:15" x14ac:dyDescent="0.25">
      <c r="O1459" s="21"/>
    </row>
    <row r="1460" spans="15:15" x14ac:dyDescent="0.25">
      <c r="O1460" s="21"/>
    </row>
    <row r="1461" spans="15:15" x14ac:dyDescent="0.25">
      <c r="O1461" s="21"/>
    </row>
    <row r="1462" spans="15:15" x14ac:dyDescent="0.25">
      <c r="O1462" s="21"/>
    </row>
    <row r="1463" spans="15:15" x14ac:dyDescent="0.25">
      <c r="O1463" s="21"/>
    </row>
    <row r="1464" spans="15:15" x14ac:dyDescent="0.25">
      <c r="O1464" s="21"/>
    </row>
    <row r="1465" spans="15:15" x14ac:dyDescent="0.25">
      <c r="O1465" s="21"/>
    </row>
    <row r="1466" spans="15:15" x14ac:dyDescent="0.25">
      <c r="O1466" s="21"/>
    </row>
    <row r="1467" spans="15:15" x14ac:dyDescent="0.25">
      <c r="O1467" s="21"/>
    </row>
    <row r="1468" spans="15:15" x14ac:dyDescent="0.25">
      <c r="O1468" s="21"/>
    </row>
    <row r="1469" spans="15:15" x14ac:dyDescent="0.25">
      <c r="O1469" s="21"/>
    </row>
    <row r="1470" spans="15:15" x14ac:dyDescent="0.25">
      <c r="O1470" s="21"/>
    </row>
    <row r="1471" spans="15:15" x14ac:dyDescent="0.25">
      <c r="O1471" s="21"/>
    </row>
    <row r="1472" spans="15:15" x14ac:dyDescent="0.25">
      <c r="O1472" s="21"/>
    </row>
    <row r="1473" spans="15:15" x14ac:dyDescent="0.25">
      <c r="O1473" s="21"/>
    </row>
    <row r="1474" spans="15:15" x14ac:dyDescent="0.25">
      <c r="O1474" s="21"/>
    </row>
    <row r="1475" spans="15:15" x14ac:dyDescent="0.25">
      <c r="O1475" s="21"/>
    </row>
    <row r="1476" spans="15:15" x14ac:dyDescent="0.25">
      <c r="O1476" s="21"/>
    </row>
    <row r="1477" spans="15:15" x14ac:dyDescent="0.25">
      <c r="O1477" s="21"/>
    </row>
    <row r="1478" spans="15:15" x14ac:dyDescent="0.25">
      <c r="O1478" s="21"/>
    </row>
    <row r="1479" spans="15:15" x14ac:dyDescent="0.25">
      <c r="O1479" s="21"/>
    </row>
    <row r="1480" spans="15:15" x14ac:dyDescent="0.25">
      <c r="O1480" s="21"/>
    </row>
    <row r="1481" spans="15:15" x14ac:dyDescent="0.25">
      <c r="O1481" s="21"/>
    </row>
    <row r="1482" spans="15:15" x14ac:dyDescent="0.25">
      <c r="O1482" s="21"/>
    </row>
    <row r="1483" spans="15:15" x14ac:dyDescent="0.25">
      <c r="O1483" s="21"/>
    </row>
    <row r="1484" spans="15:15" x14ac:dyDescent="0.25">
      <c r="O1484" s="21"/>
    </row>
    <row r="1485" spans="15:15" x14ac:dyDescent="0.25">
      <c r="O1485" s="21"/>
    </row>
    <row r="1486" spans="15:15" x14ac:dyDescent="0.25">
      <c r="O1486" s="21"/>
    </row>
    <row r="1487" spans="15:15" x14ac:dyDescent="0.25">
      <c r="O1487" s="21"/>
    </row>
    <row r="1488" spans="15:15" x14ac:dyDescent="0.25">
      <c r="O1488" s="21"/>
    </row>
    <row r="1489" spans="15:15" x14ac:dyDescent="0.25">
      <c r="O1489" s="21"/>
    </row>
    <row r="1490" spans="15:15" x14ac:dyDescent="0.25">
      <c r="O1490" s="21"/>
    </row>
    <row r="1491" spans="15:15" x14ac:dyDescent="0.25">
      <c r="O1491" s="21"/>
    </row>
    <row r="1492" spans="15:15" x14ac:dyDescent="0.25">
      <c r="O1492" s="21"/>
    </row>
    <row r="1493" spans="15:15" x14ac:dyDescent="0.25">
      <c r="O1493" s="21"/>
    </row>
    <row r="1494" spans="15:15" x14ac:dyDescent="0.25">
      <c r="O1494" s="21"/>
    </row>
    <row r="1495" spans="15:15" x14ac:dyDescent="0.25">
      <c r="O1495" s="21"/>
    </row>
    <row r="1496" spans="15:15" x14ac:dyDescent="0.25">
      <c r="O1496" s="21"/>
    </row>
    <row r="1497" spans="15:15" x14ac:dyDescent="0.25">
      <c r="O1497" s="21"/>
    </row>
    <row r="1498" spans="15:15" x14ac:dyDescent="0.25">
      <c r="O1498" s="21"/>
    </row>
    <row r="1499" spans="15:15" x14ac:dyDescent="0.25">
      <c r="O1499" s="21"/>
    </row>
    <row r="1500" spans="15:15" x14ac:dyDescent="0.25">
      <c r="O1500" s="21"/>
    </row>
    <row r="1501" spans="15:15" x14ac:dyDescent="0.25">
      <c r="O1501" s="21"/>
    </row>
    <row r="1502" spans="15:15" x14ac:dyDescent="0.25">
      <c r="O1502" s="21"/>
    </row>
    <row r="1503" spans="15:15" x14ac:dyDescent="0.25">
      <c r="O1503" s="21"/>
    </row>
    <row r="1504" spans="15:15" x14ac:dyDescent="0.25">
      <c r="O1504" s="21"/>
    </row>
    <row r="1505" spans="15:15" x14ac:dyDescent="0.25">
      <c r="O1505" s="21"/>
    </row>
    <row r="1506" spans="15:15" x14ac:dyDescent="0.25">
      <c r="O1506" s="21"/>
    </row>
    <row r="1507" spans="15:15" x14ac:dyDescent="0.25">
      <c r="O1507" s="21"/>
    </row>
    <row r="1508" spans="15:15" x14ac:dyDescent="0.25">
      <c r="O1508" s="21"/>
    </row>
    <row r="1509" spans="15:15" x14ac:dyDescent="0.25">
      <c r="O1509" s="21"/>
    </row>
    <row r="1510" spans="15:15" x14ac:dyDescent="0.25">
      <c r="O1510" s="21"/>
    </row>
    <row r="1511" spans="15:15" x14ac:dyDescent="0.25">
      <c r="O1511" s="21"/>
    </row>
    <row r="1512" spans="15:15" x14ac:dyDescent="0.25">
      <c r="O1512" s="21"/>
    </row>
    <row r="1513" spans="15:15" x14ac:dyDescent="0.25">
      <c r="O1513" s="21"/>
    </row>
    <row r="1514" spans="15:15" x14ac:dyDescent="0.25">
      <c r="O1514" s="21"/>
    </row>
    <row r="1515" spans="15:15" x14ac:dyDescent="0.25">
      <c r="O1515" s="21"/>
    </row>
    <row r="1516" spans="15:15" x14ac:dyDescent="0.25">
      <c r="O1516" s="21"/>
    </row>
    <row r="1517" spans="15:15" x14ac:dyDescent="0.25">
      <c r="O1517" s="21"/>
    </row>
    <row r="1518" spans="15:15" x14ac:dyDescent="0.25">
      <c r="O1518" s="21"/>
    </row>
    <row r="1519" spans="15:15" x14ac:dyDescent="0.25">
      <c r="O1519" s="21"/>
    </row>
    <row r="1520" spans="15:15" x14ac:dyDescent="0.25">
      <c r="O1520" s="21"/>
    </row>
    <row r="1521" spans="15:15" x14ac:dyDescent="0.25">
      <c r="O1521" s="21"/>
    </row>
    <row r="1522" spans="15:15" x14ac:dyDescent="0.25">
      <c r="O1522" s="21"/>
    </row>
    <row r="1523" spans="15:15" x14ac:dyDescent="0.25">
      <c r="O1523" s="21"/>
    </row>
    <row r="1524" spans="15:15" x14ac:dyDescent="0.25">
      <c r="O1524" s="21"/>
    </row>
    <row r="1525" spans="15:15" x14ac:dyDescent="0.25">
      <c r="O1525" s="21"/>
    </row>
    <row r="1526" spans="15:15" x14ac:dyDescent="0.25">
      <c r="O1526" s="21"/>
    </row>
    <row r="1527" spans="15:15" x14ac:dyDescent="0.25">
      <c r="O1527" s="21"/>
    </row>
    <row r="1528" spans="15:15" x14ac:dyDescent="0.25">
      <c r="O1528" s="21"/>
    </row>
    <row r="1529" spans="15:15" x14ac:dyDescent="0.25">
      <c r="O1529" s="21"/>
    </row>
    <row r="1530" spans="15:15" x14ac:dyDescent="0.25">
      <c r="O1530" s="21"/>
    </row>
    <row r="1531" spans="15:15" x14ac:dyDescent="0.25">
      <c r="O1531" s="21"/>
    </row>
    <row r="1532" spans="15:15" x14ac:dyDescent="0.25">
      <c r="O1532" s="21"/>
    </row>
    <row r="1533" spans="15:15" x14ac:dyDescent="0.25">
      <c r="O1533" s="21"/>
    </row>
    <row r="1534" spans="15:15" x14ac:dyDescent="0.25">
      <c r="O1534" s="21"/>
    </row>
    <row r="1535" spans="15:15" x14ac:dyDescent="0.25">
      <c r="O1535" s="21"/>
    </row>
    <row r="1536" spans="15:15" x14ac:dyDescent="0.25">
      <c r="O1536" s="21"/>
    </row>
    <row r="1537" spans="15:15" x14ac:dyDescent="0.25">
      <c r="O1537" s="21"/>
    </row>
    <row r="1538" spans="15:15" x14ac:dyDescent="0.25">
      <c r="O1538" s="21"/>
    </row>
    <row r="1539" spans="15:15" x14ac:dyDescent="0.25">
      <c r="O1539" s="21"/>
    </row>
    <row r="1540" spans="15:15" x14ac:dyDescent="0.25">
      <c r="O1540" s="21"/>
    </row>
    <row r="1541" spans="15:15" x14ac:dyDescent="0.25">
      <c r="O1541" s="21"/>
    </row>
    <row r="1542" spans="15:15" x14ac:dyDescent="0.25">
      <c r="O1542" s="21"/>
    </row>
    <row r="1543" spans="15:15" x14ac:dyDescent="0.25">
      <c r="O1543" s="21"/>
    </row>
    <row r="1544" spans="15:15" x14ac:dyDescent="0.25">
      <c r="O1544" s="21"/>
    </row>
    <row r="1545" spans="15:15" x14ac:dyDescent="0.25">
      <c r="O1545" s="21"/>
    </row>
    <row r="1546" spans="15:15" x14ac:dyDescent="0.25">
      <c r="O1546" s="21"/>
    </row>
    <row r="1547" spans="15:15" x14ac:dyDescent="0.25">
      <c r="O1547" s="21"/>
    </row>
    <row r="1548" spans="15:15" x14ac:dyDescent="0.25">
      <c r="O1548" s="21"/>
    </row>
    <row r="1549" spans="15:15" x14ac:dyDescent="0.25">
      <c r="O1549" s="21"/>
    </row>
    <row r="1550" spans="15:15" x14ac:dyDescent="0.25">
      <c r="O1550" s="21"/>
    </row>
    <row r="1551" spans="15:15" x14ac:dyDescent="0.25">
      <c r="O1551" s="21"/>
    </row>
    <row r="1552" spans="15:15" x14ac:dyDescent="0.25">
      <c r="O1552" s="21"/>
    </row>
    <row r="1553" spans="15:15" x14ac:dyDescent="0.25">
      <c r="O1553" s="21"/>
    </row>
    <row r="1554" spans="15:15" x14ac:dyDescent="0.25">
      <c r="O1554" s="21"/>
    </row>
    <row r="1555" spans="15:15" x14ac:dyDescent="0.25">
      <c r="O1555" s="21"/>
    </row>
    <row r="1556" spans="15:15" x14ac:dyDescent="0.25">
      <c r="O1556" s="21"/>
    </row>
    <row r="1557" spans="15:15" x14ac:dyDescent="0.25">
      <c r="O1557" s="21"/>
    </row>
    <row r="1558" spans="15:15" x14ac:dyDescent="0.25">
      <c r="O1558" s="21"/>
    </row>
    <row r="1559" spans="15:15" x14ac:dyDescent="0.25">
      <c r="O1559" s="21"/>
    </row>
    <row r="1560" spans="15:15" x14ac:dyDescent="0.25">
      <c r="O1560" s="21"/>
    </row>
    <row r="1561" spans="15:15" x14ac:dyDescent="0.25">
      <c r="O1561" s="21"/>
    </row>
    <row r="1562" spans="15:15" x14ac:dyDescent="0.25">
      <c r="O1562" s="21"/>
    </row>
    <row r="1563" spans="15:15" x14ac:dyDescent="0.25">
      <c r="O1563" s="21"/>
    </row>
    <row r="1564" spans="15:15" x14ac:dyDescent="0.25">
      <c r="O1564" s="21"/>
    </row>
    <row r="1565" spans="15:15" x14ac:dyDescent="0.25">
      <c r="O1565" s="21"/>
    </row>
    <row r="1566" spans="15:15" x14ac:dyDescent="0.25">
      <c r="O1566" s="21"/>
    </row>
    <row r="1567" spans="15:15" x14ac:dyDescent="0.25">
      <c r="O1567" s="21"/>
    </row>
    <row r="1568" spans="15:15" x14ac:dyDescent="0.25">
      <c r="O1568" s="21"/>
    </row>
    <row r="1569" spans="15:15" x14ac:dyDescent="0.25">
      <c r="O1569" s="21"/>
    </row>
    <row r="1570" spans="15:15" x14ac:dyDescent="0.25">
      <c r="O1570" s="21"/>
    </row>
    <row r="1571" spans="15:15" x14ac:dyDescent="0.25">
      <c r="O1571" s="21"/>
    </row>
    <row r="1572" spans="15:15" x14ac:dyDescent="0.25">
      <c r="O1572" s="21"/>
    </row>
    <row r="1573" spans="15:15" x14ac:dyDescent="0.25">
      <c r="O1573" s="21"/>
    </row>
    <row r="1574" spans="15:15" x14ac:dyDescent="0.25">
      <c r="O1574" s="21"/>
    </row>
    <row r="1575" spans="15:15" x14ac:dyDescent="0.25">
      <c r="O1575" s="21"/>
    </row>
    <row r="1576" spans="15:15" x14ac:dyDescent="0.25">
      <c r="O1576" s="21"/>
    </row>
    <row r="1577" spans="15:15" x14ac:dyDescent="0.25">
      <c r="O1577" s="21"/>
    </row>
    <row r="1578" spans="15:15" x14ac:dyDescent="0.25">
      <c r="O1578" s="21"/>
    </row>
    <row r="1579" spans="15:15" x14ac:dyDescent="0.25">
      <c r="O1579" s="21"/>
    </row>
    <row r="1580" spans="15:15" x14ac:dyDescent="0.25">
      <c r="O1580" s="21"/>
    </row>
    <row r="1581" spans="15:15" x14ac:dyDescent="0.25">
      <c r="O1581" s="21"/>
    </row>
    <row r="1582" spans="15:15" x14ac:dyDescent="0.25">
      <c r="O1582" s="21"/>
    </row>
    <row r="1583" spans="15:15" x14ac:dyDescent="0.25">
      <c r="O1583" s="21"/>
    </row>
    <row r="1584" spans="15:15" x14ac:dyDescent="0.25">
      <c r="O1584" s="21"/>
    </row>
    <row r="1585" spans="15:15" x14ac:dyDescent="0.25">
      <c r="O1585" s="21"/>
    </row>
    <row r="1586" spans="15:15" x14ac:dyDescent="0.25">
      <c r="O1586" s="21"/>
    </row>
    <row r="1587" spans="15:15" x14ac:dyDescent="0.25">
      <c r="O1587" s="21"/>
    </row>
    <row r="1588" spans="15:15" x14ac:dyDescent="0.25">
      <c r="O1588" s="21"/>
    </row>
    <row r="1589" spans="15:15" x14ac:dyDescent="0.25">
      <c r="O1589" s="21"/>
    </row>
    <row r="1590" spans="15:15" x14ac:dyDescent="0.25">
      <c r="O1590" s="21"/>
    </row>
    <row r="1591" spans="15:15" x14ac:dyDescent="0.25">
      <c r="O1591" s="21"/>
    </row>
    <row r="1592" spans="15:15" x14ac:dyDescent="0.25">
      <c r="O1592" s="21"/>
    </row>
    <row r="1593" spans="15:15" x14ac:dyDescent="0.25">
      <c r="O1593" s="21"/>
    </row>
    <row r="1594" spans="15:15" x14ac:dyDescent="0.25">
      <c r="O1594" s="21"/>
    </row>
    <row r="1595" spans="15:15" x14ac:dyDescent="0.25">
      <c r="O1595" s="21"/>
    </row>
    <row r="1596" spans="15:15" x14ac:dyDescent="0.25">
      <c r="O1596" s="21"/>
    </row>
    <row r="1597" spans="15:15" x14ac:dyDescent="0.25">
      <c r="O1597" s="21"/>
    </row>
    <row r="1598" spans="15:15" x14ac:dyDescent="0.25">
      <c r="O1598" s="21"/>
    </row>
    <row r="1599" spans="15:15" x14ac:dyDescent="0.25">
      <c r="O1599" s="21"/>
    </row>
    <row r="1600" spans="15:15" x14ac:dyDescent="0.25">
      <c r="O1600" s="21"/>
    </row>
    <row r="1601" spans="15:15" x14ac:dyDescent="0.25">
      <c r="O1601" s="21"/>
    </row>
    <row r="1602" spans="15:15" x14ac:dyDescent="0.25">
      <c r="O1602" s="21"/>
    </row>
    <row r="1603" spans="15:15" x14ac:dyDescent="0.25">
      <c r="O1603" s="21"/>
    </row>
    <row r="1604" spans="15:15" x14ac:dyDescent="0.25">
      <c r="O1604" s="21"/>
    </row>
    <row r="1605" spans="15:15" x14ac:dyDescent="0.25">
      <c r="O1605" s="21"/>
    </row>
    <row r="1606" spans="15:15" x14ac:dyDescent="0.25">
      <c r="O1606" s="21"/>
    </row>
    <row r="1607" spans="15:15" x14ac:dyDescent="0.25">
      <c r="O1607" s="21"/>
    </row>
    <row r="1608" spans="15:15" x14ac:dyDescent="0.25">
      <c r="O1608" s="21"/>
    </row>
    <row r="1609" spans="15:15" x14ac:dyDescent="0.25">
      <c r="O1609" s="21"/>
    </row>
    <row r="1610" spans="15:15" x14ac:dyDescent="0.25">
      <c r="O1610" s="21"/>
    </row>
    <row r="1611" spans="15:15" x14ac:dyDescent="0.25">
      <c r="O1611" s="21"/>
    </row>
    <row r="1612" spans="15:15" x14ac:dyDescent="0.25">
      <c r="O1612" s="21"/>
    </row>
    <row r="1613" spans="15:15" x14ac:dyDescent="0.25">
      <c r="O1613" s="21"/>
    </row>
    <row r="1614" spans="15:15" x14ac:dyDescent="0.25">
      <c r="O1614" s="21"/>
    </row>
    <row r="1615" spans="15:15" x14ac:dyDescent="0.25">
      <c r="O1615" s="21"/>
    </row>
    <row r="1616" spans="15:15" x14ac:dyDescent="0.25">
      <c r="O1616" s="21"/>
    </row>
    <row r="1617" spans="15:15" x14ac:dyDescent="0.25">
      <c r="O1617" s="21"/>
    </row>
    <row r="1618" spans="15:15" x14ac:dyDescent="0.25">
      <c r="O1618" s="21"/>
    </row>
    <row r="1619" spans="15:15" x14ac:dyDescent="0.25">
      <c r="O1619" s="21"/>
    </row>
    <row r="1620" spans="15:15" x14ac:dyDescent="0.25">
      <c r="O1620" s="21"/>
    </row>
    <row r="1621" spans="15:15" x14ac:dyDescent="0.25">
      <c r="O1621" s="21"/>
    </row>
    <row r="1622" spans="15:15" x14ac:dyDescent="0.25">
      <c r="O1622" s="21"/>
    </row>
    <row r="1623" spans="15:15" x14ac:dyDescent="0.25">
      <c r="O1623" s="21"/>
    </row>
    <row r="1624" spans="15:15" x14ac:dyDescent="0.25">
      <c r="O1624" s="21"/>
    </row>
    <row r="1625" spans="15:15" x14ac:dyDescent="0.25">
      <c r="O1625" s="21"/>
    </row>
    <row r="1626" spans="15:15" x14ac:dyDescent="0.25">
      <c r="O1626" s="21"/>
    </row>
    <row r="1627" spans="15:15" x14ac:dyDescent="0.25">
      <c r="O1627" s="21"/>
    </row>
    <row r="1628" spans="15:15" x14ac:dyDescent="0.25">
      <c r="O1628" s="21"/>
    </row>
    <row r="1629" spans="15:15" x14ac:dyDescent="0.25">
      <c r="O1629" s="21"/>
    </row>
    <row r="1630" spans="15:15" x14ac:dyDescent="0.25">
      <c r="O1630" s="21"/>
    </row>
    <row r="1631" spans="15:15" x14ac:dyDescent="0.25">
      <c r="O1631" s="21"/>
    </row>
    <row r="1632" spans="15:15" x14ac:dyDescent="0.25">
      <c r="O1632" s="21"/>
    </row>
    <row r="1633" spans="15:15" x14ac:dyDescent="0.25">
      <c r="O1633" s="21"/>
    </row>
    <row r="1634" spans="15:15" x14ac:dyDescent="0.25">
      <c r="O1634" s="21"/>
    </row>
    <row r="1635" spans="15:15" x14ac:dyDescent="0.25">
      <c r="O1635" s="21"/>
    </row>
    <row r="1636" spans="15:15" x14ac:dyDescent="0.25">
      <c r="O1636" s="21"/>
    </row>
    <row r="1637" spans="15:15" x14ac:dyDescent="0.25">
      <c r="O1637" s="21"/>
    </row>
    <row r="1638" spans="15:15" x14ac:dyDescent="0.25">
      <c r="O1638" s="21"/>
    </row>
    <row r="1639" spans="15:15" x14ac:dyDescent="0.25">
      <c r="O1639" s="21"/>
    </row>
    <row r="1640" spans="15:15" x14ac:dyDescent="0.25">
      <c r="O1640" s="21"/>
    </row>
    <row r="1641" spans="15:15" x14ac:dyDescent="0.25">
      <c r="O1641" s="21"/>
    </row>
    <row r="1642" spans="15:15" x14ac:dyDescent="0.25">
      <c r="O1642" s="21"/>
    </row>
    <row r="1643" spans="15:15" x14ac:dyDescent="0.25">
      <c r="O1643" s="21"/>
    </row>
    <row r="1644" spans="15:15" x14ac:dyDescent="0.25">
      <c r="O1644" s="21"/>
    </row>
    <row r="1645" spans="15:15" x14ac:dyDescent="0.25">
      <c r="O1645" s="21"/>
    </row>
    <row r="1646" spans="15:15" x14ac:dyDescent="0.25">
      <c r="O1646" s="21"/>
    </row>
    <row r="1647" spans="15:15" x14ac:dyDescent="0.25">
      <c r="O1647" s="21"/>
    </row>
    <row r="1648" spans="15:15" x14ac:dyDescent="0.25">
      <c r="O1648" s="21"/>
    </row>
    <row r="1649" spans="15:15" x14ac:dyDescent="0.25">
      <c r="O1649" s="21"/>
    </row>
    <row r="1650" spans="15:15" x14ac:dyDescent="0.25">
      <c r="O1650" s="21"/>
    </row>
    <row r="1651" spans="15:15" x14ac:dyDescent="0.25">
      <c r="O1651" s="21"/>
    </row>
    <row r="1652" spans="15:15" x14ac:dyDescent="0.25">
      <c r="O1652" s="21"/>
    </row>
    <row r="1653" spans="15:15" x14ac:dyDescent="0.25">
      <c r="O1653" s="21"/>
    </row>
    <row r="1654" spans="15:15" x14ac:dyDescent="0.25">
      <c r="O1654" s="21"/>
    </row>
    <row r="1655" spans="15:15" x14ac:dyDescent="0.25">
      <c r="O1655" s="21"/>
    </row>
    <row r="1656" spans="15:15" x14ac:dyDescent="0.25">
      <c r="O1656" s="21"/>
    </row>
    <row r="1657" spans="15:15" x14ac:dyDescent="0.25">
      <c r="O1657" s="21"/>
    </row>
    <row r="1658" spans="15:15" x14ac:dyDescent="0.25">
      <c r="O1658" s="21"/>
    </row>
    <row r="1659" spans="15:15" x14ac:dyDescent="0.25">
      <c r="O1659" s="21"/>
    </row>
    <row r="1660" spans="15:15" x14ac:dyDescent="0.25">
      <c r="O1660" s="21"/>
    </row>
    <row r="1661" spans="15:15" x14ac:dyDescent="0.25">
      <c r="O1661" s="21"/>
    </row>
    <row r="1662" spans="15:15" x14ac:dyDescent="0.25">
      <c r="O1662" s="21"/>
    </row>
    <row r="1663" spans="15:15" x14ac:dyDescent="0.25">
      <c r="O1663" s="21"/>
    </row>
    <row r="1664" spans="15:15" x14ac:dyDescent="0.25">
      <c r="O1664" s="21"/>
    </row>
    <row r="1665" spans="15:15" x14ac:dyDescent="0.25">
      <c r="O1665" s="21"/>
    </row>
    <row r="1666" spans="15:15" x14ac:dyDescent="0.25">
      <c r="O1666" s="21"/>
    </row>
    <row r="1667" spans="15:15" x14ac:dyDescent="0.25">
      <c r="O1667" s="21"/>
    </row>
    <row r="1668" spans="15:15" x14ac:dyDescent="0.25">
      <c r="O1668" s="21"/>
    </row>
    <row r="1669" spans="15:15" x14ac:dyDescent="0.25">
      <c r="O1669" s="21"/>
    </row>
    <row r="1670" spans="15:15" x14ac:dyDescent="0.25">
      <c r="O1670" s="21"/>
    </row>
    <row r="1671" spans="15:15" x14ac:dyDescent="0.25">
      <c r="O1671" s="21"/>
    </row>
    <row r="1672" spans="15:15" x14ac:dyDescent="0.25">
      <c r="O1672" s="21"/>
    </row>
    <row r="1673" spans="15:15" x14ac:dyDescent="0.25">
      <c r="O1673" s="21"/>
    </row>
    <row r="1674" spans="15:15" x14ac:dyDescent="0.25">
      <c r="O1674" s="21"/>
    </row>
    <row r="1675" spans="15:15" x14ac:dyDescent="0.25">
      <c r="O1675" s="21"/>
    </row>
    <row r="1676" spans="15:15" x14ac:dyDescent="0.25">
      <c r="O1676" s="21"/>
    </row>
    <row r="1677" spans="15:15" x14ac:dyDescent="0.25">
      <c r="O1677" s="21"/>
    </row>
    <row r="1678" spans="15:15" x14ac:dyDescent="0.25">
      <c r="O1678" s="21"/>
    </row>
    <row r="1679" spans="15:15" x14ac:dyDescent="0.25">
      <c r="O1679" s="21"/>
    </row>
    <row r="1680" spans="15:15" x14ac:dyDescent="0.25">
      <c r="O1680" s="21"/>
    </row>
    <row r="1681" spans="15:15" x14ac:dyDescent="0.25">
      <c r="O1681" s="21"/>
    </row>
    <row r="1682" spans="15:15" x14ac:dyDescent="0.25">
      <c r="O1682" s="21"/>
    </row>
    <row r="1683" spans="15:15" x14ac:dyDescent="0.25">
      <c r="O1683" s="21"/>
    </row>
    <row r="1684" spans="15:15" x14ac:dyDescent="0.25">
      <c r="O1684" s="21"/>
    </row>
    <row r="1685" spans="15:15" x14ac:dyDescent="0.25">
      <c r="O1685" s="21"/>
    </row>
    <row r="1686" spans="15:15" x14ac:dyDescent="0.25">
      <c r="O1686" s="21"/>
    </row>
    <row r="1687" spans="15:15" x14ac:dyDescent="0.25">
      <c r="O1687" s="21"/>
    </row>
    <row r="1688" spans="15:15" x14ac:dyDescent="0.25">
      <c r="O1688" s="21"/>
    </row>
    <row r="1689" spans="15:15" x14ac:dyDescent="0.25">
      <c r="O1689" s="21"/>
    </row>
    <row r="1690" spans="15:15" x14ac:dyDescent="0.25">
      <c r="O1690" s="21"/>
    </row>
    <row r="1691" spans="15:15" x14ac:dyDescent="0.25">
      <c r="O1691" s="21"/>
    </row>
    <row r="1692" spans="15:15" x14ac:dyDescent="0.25">
      <c r="O1692" s="21"/>
    </row>
    <row r="1693" spans="15:15" x14ac:dyDescent="0.25">
      <c r="O1693" s="21"/>
    </row>
    <row r="1694" spans="15:15" x14ac:dyDescent="0.25">
      <c r="O1694" s="21"/>
    </row>
    <row r="1695" spans="15:15" x14ac:dyDescent="0.25">
      <c r="O1695" s="21"/>
    </row>
    <row r="1696" spans="15:15" x14ac:dyDescent="0.25">
      <c r="O1696" s="21"/>
    </row>
    <row r="1697" spans="15:15" x14ac:dyDescent="0.25">
      <c r="O1697" s="21"/>
    </row>
    <row r="1698" spans="15:15" x14ac:dyDescent="0.25">
      <c r="O1698" s="21"/>
    </row>
    <row r="1699" spans="15:15" x14ac:dyDescent="0.25">
      <c r="O1699" s="21"/>
    </row>
    <row r="1700" spans="15:15" x14ac:dyDescent="0.25">
      <c r="O1700" s="21"/>
    </row>
    <row r="1701" spans="15:15" x14ac:dyDescent="0.25">
      <c r="O1701" s="21"/>
    </row>
    <row r="1702" spans="15:15" x14ac:dyDescent="0.25">
      <c r="O1702" s="21"/>
    </row>
    <row r="1703" spans="15:15" x14ac:dyDescent="0.25">
      <c r="O1703" s="21"/>
    </row>
    <row r="1704" spans="15:15" x14ac:dyDescent="0.25">
      <c r="O1704" s="21"/>
    </row>
    <row r="1705" spans="15:15" x14ac:dyDescent="0.25">
      <c r="O1705" s="21"/>
    </row>
    <row r="1706" spans="15:15" x14ac:dyDescent="0.25">
      <c r="O1706" s="21"/>
    </row>
    <row r="1707" spans="15:15" x14ac:dyDescent="0.25">
      <c r="O1707" s="21"/>
    </row>
    <row r="1708" spans="15:15" x14ac:dyDescent="0.25">
      <c r="O1708" s="21"/>
    </row>
    <row r="1709" spans="15:15" x14ac:dyDescent="0.25">
      <c r="O1709" s="21"/>
    </row>
    <row r="1710" spans="15:15" x14ac:dyDescent="0.25">
      <c r="O1710" s="21"/>
    </row>
    <row r="1711" spans="15:15" x14ac:dyDescent="0.25">
      <c r="O1711" s="21"/>
    </row>
    <row r="1712" spans="15:15" x14ac:dyDescent="0.25">
      <c r="O1712" s="21"/>
    </row>
    <row r="1713" spans="15:15" x14ac:dyDescent="0.25">
      <c r="O1713" s="21"/>
    </row>
    <row r="1714" spans="15:15" x14ac:dyDescent="0.25">
      <c r="O1714" s="21"/>
    </row>
    <row r="1715" spans="15:15" x14ac:dyDescent="0.25">
      <c r="O1715" s="21"/>
    </row>
    <row r="1716" spans="15:15" x14ac:dyDescent="0.25">
      <c r="O1716" s="21"/>
    </row>
    <row r="1717" spans="15:15" x14ac:dyDescent="0.25">
      <c r="O1717" s="21"/>
    </row>
    <row r="1718" spans="15:15" x14ac:dyDescent="0.25">
      <c r="O1718" s="21"/>
    </row>
    <row r="1719" spans="15:15" x14ac:dyDescent="0.25">
      <c r="O1719" s="21"/>
    </row>
    <row r="1720" spans="15:15" x14ac:dyDescent="0.25">
      <c r="O1720" s="21"/>
    </row>
    <row r="1721" spans="15:15" x14ac:dyDescent="0.25">
      <c r="O1721" s="21"/>
    </row>
    <row r="1722" spans="15:15" x14ac:dyDescent="0.25">
      <c r="O1722" s="21"/>
    </row>
    <row r="1723" spans="15:15" x14ac:dyDescent="0.25">
      <c r="O1723" s="21"/>
    </row>
    <row r="1724" spans="15:15" x14ac:dyDescent="0.25">
      <c r="O1724" s="21"/>
    </row>
    <row r="1725" spans="15:15" x14ac:dyDescent="0.25">
      <c r="O1725" s="21"/>
    </row>
    <row r="1726" spans="15:15" x14ac:dyDescent="0.25">
      <c r="O1726" s="21"/>
    </row>
    <row r="1727" spans="15:15" x14ac:dyDescent="0.25">
      <c r="O1727" s="21"/>
    </row>
    <row r="1728" spans="15:15" x14ac:dyDescent="0.25">
      <c r="O1728" s="21"/>
    </row>
    <row r="1729" spans="15:15" x14ac:dyDescent="0.25">
      <c r="O1729" s="21"/>
    </row>
    <row r="1730" spans="15:15" x14ac:dyDescent="0.25">
      <c r="O1730" s="21"/>
    </row>
    <row r="1731" spans="15:15" x14ac:dyDescent="0.25">
      <c r="O1731" s="21"/>
    </row>
    <row r="1732" spans="15:15" x14ac:dyDescent="0.25">
      <c r="O1732" s="21"/>
    </row>
    <row r="1733" spans="15:15" x14ac:dyDescent="0.25">
      <c r="O1733" s="21"/>
    </row>
    <row r="1734" spans="15:15" x14ac:dyDescent="0.25">
      <c r="O1734" s="21"/>
    </row>
    <row r="1735" spans="15:15" x14ac:dyDescent="0.25">
      <c r="O1735" s="21"/>
    </row>
    <row r="1736" spans="15:15" x14ac:dyDescent="0.25">
      <c r="O1736" s="21"/>
    </row>
    <row r="1737" spans="15:15" x14ac:dyDescent="0.25">
      <c r="O1737" s="21"/>
    </row>
    <row r="1738" spans="15:15" x14ac:dyDescent="0.25">
      <c r="O1738" s="21"/>
    </row>
    <row r="1739" spans="15:15" x14ac:dyDescent="0.25">
      <c r="O1739" s="21"/>
    </row>
    <row r="1740" spans="15:15" x14ac:dyDescent="0.25">
      <c r="O1740" s="21"/>
    </row>
    <row r="1741" spans="15:15" x14ac:dyDescent="0.25">
      <c r="O1741" s="21"/>
    </row>
    <row r="1742" spans="15:15" x14ac:dyDescent="0.25">
      <c r="O1742" s="21"/>
    </row>
    <row r="1743" spans="15:15" x14ac:dyDescent="0.25">
      <c r="O1743" s="21"/>
    </row>
    <row r="1744" spans="15:15" x14ac:dyDescent="0.25">
      <c r="O1744" s="21"/>
    </row>
    <row r="1745" spans="15:15" x14ac:dyDescent="0.25">
      <c r="O1745" s="21"/>
    </row>
    <row r="1746" spans="15:15" x14ac:dyDescent="0.25">
      <c r="O1746" s="21"/>
    </row>
    <row r="1747" spans="15:15" x14ac:dyDescent="0.25">
      <c r="O1747" s="21"/>
    </row>
    <row r="1748" spans="15:15" x14ac:dyDescent="0.25">
      <c r="O1748" s="21"/>
    </row>
    <row r="1749" spans="15:15" x14ac:dyDescent="0.25">
      <c r="O1749" s="21"/>
    </row>
    <row r="1750" spans="15:15" x14ac:dyDescent="0.25">
      <c r="O1750" s="21"/>
    </row>
    <row r="1751" spans="15:15" x14ac:dyDescent="0.25">
      <c r="O1751" s="21"/>
    </row>
    <row r="1752" spans="15:15" x14ac:dyDescent="0.25">
      <c r="O1752" s="21"/>
    </row>
    <row r="1753" spans="15:15" x14ac:dyDescent="0.25">
      <c r="O1753" s="21"/>
    </row>
    <row r="1754" spans="15:15" x14ac:dyDescent="0.25">
      <c r="O1754" s="21"/>
    </row>
    <row r="1755" spans="15:15" x14ac:dyDescent="0.25">
      <c r="O1755" s="21"/>
    </row>
    <row r="1756" spans="15:15" x14ac:dyDescent="0.25">
      <c r="O1756" s="21"/>
    </row>
    <row r="1757" spans="15:15" x14ac:dyDescent="0.25">
      <c r="O1757" s="21"/>
    </row>
    <row r="1758" spans="15:15" x14ac:dyDescent="0.25">
      <c r="O1758" s="21"/>
    </row>
    <row r="1759" spans="15:15" x14ac:dyDescent="0.25">
      <c r="O1759" s="21"/>
    </row>
    <row r="1760" spans="15:15" x14ac:dyDescent="0.25">
      <c r="O1760" s="21"/>
    </row>
    <row r="1761" spans="15:15" x14ac:dyDescent="0.25">
      <c r="O1761" s="21"/>
    </row>
    <row r="1762" spans="15:15" x14ac:dyDescent="0.25">
      <c r="O1762" s="21"/>
    </row>
    <row r="1763" spans="15:15" x14ac:dyDescent="0.25">
      <c r="O1763" s="21"/>
    </row>
    <row r="1764" spans="15:15" x14ac:dyDescent="0.25">
      <c r="O1764" s="21"/>
    </row>
    <row r="1765" spans="15:15" x14ac:dyDescent="0.25">
      <c r="O1765" s="21"/>
    </row>
    <row r="1766" spans="15:15" x14ac:dyDescent="0.25">
      <c r="O1766" s="21"/>
    </row>
    <row r="1767" spans="15:15" x14ac:dyDescent="0.25">
      <c r="O1767" s="21"/>
    </row>
    <row r="1768" spans="15:15" x14ac:dyDescent="0.25">
      <c r="O1768" s="21"/>
    </row>
    <row r="1769" spans="15:15" x14ac:dyDescent="0.25">
      <c r="O1769" s="21"/>
    </row>
    <row r="1770" spans="15:15" x14ac:dyDescent="0.25">
      <c r="O1770" s="21"/>
    </row>
    <row r="1771" spans="15:15" x14ac:dyDescent="0.25">
      <c r="O1771" s="21"/>
    </row>
    <row r="1772" spans="15:15" x14ac:dyDescent="0.25">
      <c r="O1772" s="21"/>
    </row>
    <row r="1773" spans="15:15" x14ac:dyDescent="0.25">
      <c r="O1773" s="21"/>
    </row>
    <row r="1774" spans="15:15" x14ac:dyDescent="0.25">
      <c r="O1774" s="21"/>
    </row>
    <row r="1775" spans="15:15" x14ac:dyDescent="0.25">
      <c r="O1775" s="21"/>
    </row>
    <row r="1776" spans="15:15" x14ac:dyDescent="0.25">
      <c r="O1776" s="21"/>
    </row>
    <row r="1777" spans="15:15" x14ac:dyDescent="0.25">
      <c r="O1777" s="21"/>
    </row>
    <row r="1778" spans="15:15" x14ac:dyDescent="0.25">
      <c r="O1778" s="21"/>
    </row>
    <row r="1779" spans="15:15" x14ac:dyDescent="0.25">
      <c r="O1779" s="21"/>
    </row>
    <row r="1780" spans="15:15" x14ac:dyDescent="0.25">
      <c r="O1780" s="21"/>
    </row>
    <row r="1781" spans="15:15" x14ac:dyDescent="0.25">
      <c r="O1781" s="21"/>
    </row>
    <row r="1782" spans="15:15" x14ac:dyDescent="0.25">
      <c r="O1782" s="21"/>
    </row>
    <row r="1783" spans="15:15" x14ac:dyDescent="0.25">
      <c r="O1783" s="21"/>
    </row>
    <row r="1784" spans="15:15" x14ac:dyDescent="0.25">
      <c r="O1784" s="21"/>
    </row>
    <row r="1785" spans="15:15" x14ac:dyDescent="0.25">
      <c r="O1785" s="21"/>
    </row>
    <row r="1786" spans="15:15" x14ac:dyDescent="0.25">
      <c r="O1786" s="21"/>
    </row>
    <row r="1787" spans="15:15" x14ac:dyDescent="0.25">
      <c r="O1787" s="21"/>
    </row>
    <row r="1788" spans="15:15" x14ac:dyDescent="0.25">
      <c r="O1788" s="21"/>
    </row>
    <row r="1789" spans="15:15" x14ac:dyDescent="0.25">
      <c r="O1789" s="21"/>
    </row>
    <row r="1790" spans="15:15" x14ac:dyDescent="0.25">
      <c r="O1790" s="21"/>
    </row>
    <row r="1791" spans="15:15" x14ac:dyDescent="0.25">
      <c r="O1791" s="21"/>
    </row>
    <row r="1792" spans="15:15" x14ac:dyDescent="0.25">
      <c r="O1792" s="21"/>
    </row>
    <row r="1793" spans="15:15" x14ac:dyDescent="0.25">
      <c r="O1793" s="21"/>
    </row>
    <row r="1794" spans="15:15" x14ac:dyDescent="0.25">
      <c r="O1794" s="21"/>
    </row>
    <row r="1795" spans="15:15" x14ac:dyDescent="0.25">
      <c r="O1795" s="21"/>
    </row>
    <row r="1796" spans="15:15" x14ac:dyDescent="0.25">
      <c r="O1796" s="21"/>
    </row>
    <row r="1797" spans="15:15" x14ac:dyDescent="0.25">
      <c r="O1797" s="21"/>
    </row>
    <row r="1798" spans="15:15" x14ac:dyDescent="0.25">
      <c r="O1798" s="21"/>
    </row>
    <row r="1799" spans="15:15" x14ac:dyDescent="0.25">
      <c r="O1799" s="21"/>
    </row>
    <row r="1800" spans="15:15" x14ac:dyDescent="0.25">
      <c r="O1800" s="21"/>
    </row>
    <row r="1801" spans="15:15" x14ac:dyDescent="0.25">
      <c r="O1801" s="21"/>
    </row>
    <row r="1802" spans="15:15" x14ac:dyDescent="0.25">
      <c r="O1802" s="21"/>
    </row>
    <row r="1803" spans="15:15" x14ac:dyDescent="0.25">
      <c r="O1803" s="21"/>
    </row>
    <row r="1804" spans="15:15" x14ac:dyDescent="0.25">
      <c r="O1804" s="21"/>
    </row>
    <row r="1805" spans="15:15" x14ac:dyDescent="0.25">
      <c r="O1805" s="21"/>
    </row>
    <row r="1806" spans="15:15" x14ac:dyDescent="0.25">
      <c r="O1806" s="21"/>
    </row>
    <row r="1807" spans="15:15" x14ac:dyDescent="0.25">
      <c r="O1807" s="21"/>
    </row>
    <row r="1808" spans="15:15" x14ac:dyDescent="0.25">
      <c r="O1808" s="21"/>
    </row>
    <row r="1809" spans="15:15" x14ac:dyDescent="0.25">
      <c r="O1809" s="21"/>
    </row>
    <row r="1810" spans="15:15" x14ac:dyDescent="0.25">
      <c r="O1810" s="21"/>
    </row>
    <row r="1811" spans="15:15" x14ac:dyDescent="0.25">
      <c r="O1811" s="21"/>
    </row>
    <row r="1812" spans="15:15" x14ac:dyDescent="0.25">
      <c r="O1812" s="21"/>
    </row>
    <row r="1813" spans="15:15" x14ac:dyDescent="0.25">
      <c r="O1813" s="21"/>
    </row>
    <row r="1814" spans="15:15" x14ac:dyDescent="0.25">
      <c r="O1814" s="21"/>
    </row>
    <row r="1815" spans="15:15" x14ac:dyDescent="0.25">
      <c r="O1815" s="21"/>
    </row>
    <row r="1816" spans="15:15" x14ac:dyDescent="0.25">
      <c r="O1816" s="21"/>
    </row>
    <row r="1817" spans="15:15" x14ac:dyDescent="0.25">
      <c r="O1817" s="21"/>
    </row>
    <row r="1818" spans="15:15" x14ac:dyDescent="0.25">
      <c r="O1818" s="21"/>
    </row>
    <row r="1819" spans="15:15" x14ac:dyDescent="0.25">
      <c r="O1819" s="21"/>
    </row>
    <row r="1820" spans="15:15" x14ac:dyDescent="0.25">
      <c r="O1820" s="21"/>
    </row>
    <row r="1821" spans="15:15" x14ac:dyDescent="0.25">
      <c r="O1821" s="21"/>
    </row>
    <row r="1822" spans="15:15" x14ac:dyDescent="0.25">
      <c r="O1822" s="21"/>
    </row>
    <row r="1823" spans="15:15" x14ac:dyDescent="0.25">
      <c r="O1823" s="21"/>
    </row>
    <row r="1824" spans="15:15" x14ac:dyDescent="0.25">
      <c r="O1824" s="21"/>
    </row>
    <row r="1825" spans="15:15" x14ac:dyDescent="0.25">
      <c r="O1825" s="21"/>
    </row>
    <row r="1826" spans="15:15" x14ac:dyDescent="0.25">
      <c r="O1826" s="21"/>
    </row>
    <row r="1827" spans="15:15" x14ac:dyDescent="0.25">
      <c r="O1827" s="21"/>
    </row>
    <row r="1828" spans="15:15" x14ac:dyDescent="0.25">
      <c r="O1828" s="21"/>
    </row>
    <row r="1829" spans="15:15" x14ac:dyDescent="0.25">
      <c r="O1829" s="21"/>
    </row>
    <row r="1830" spans="15:15" x14ac:dyDescent="0.25">
      <c r="O1830" s="21"/>
    </row>
    <row r="1831" spans="15:15" x14ac:dyDescent="0.25">
      <c r="O1831" s="21"/>
    </row>
    <row r="1832" spans="15:15" x14ac:dyDescent="0.25">
      <c r="O1832" s="21"/>
    </row>
    <row r="1833" spans="15:15" x14ac:dyDescent="0.25">
      <c r="O1833" s="21"/>
    </row>
    <row r="1834" spans="15:15" x14ac:dyDescent="0.25">
      <c r="O1834" s="21"/>
    </row>
    <row r="1835" spans="15:15" x14ac:dyDescent="0.25">
      <c r="O1835" s="21"/>
    </row>
    <row r="1836" spans="15:15" x14ac:dyDescent="0.25">
      <c r="O1836" s="21"/>
    </row>
    <row r="1837" spans="15:15" x14ac:dyDescent="0.25">
      <c r="O1837" s="21"/>
    </row>
    <row r="1838" spans="15:15" x14ac:dyDescent="0.25">
      <c r="O1838" s="21"/>
    </row>
    <row r="1839" spans="15:15" x14ac:dyDescent="0.25">
      <c r="O1839" s="21"/>
    </row>
    <row r="1840" spans="15:15" x14ac:dyDescent="0.25">
      <c r="O1840" s="21"/>
    </row>
    <row r="1841" spans="15:15" x14ac:dyDescent="0.25">
      <c r="O1841" s="21"/>
    </row>
    <row r="1842" spans="15:15" x14ac:dyDescent="0.25">
      <c r="O1842" s="21"/>
    </row>
    <row r="1843" spans="15:15" x14ac:dyDescent="0.25">
      <c r="O1843" s="21"/>
    </row>
    <row r="1844" spans="15:15" x14ac:dyDescent="0.25">
      <c r="O1844" s="21"/>
    </row>
    <row r="1845" spans="15:15" x14ac:dyDescent="0.25">
      <c r="O1845" s="21"/>
    </row>
    <row r="1846" spans="15:15" x14ac:dyDescent="0.25">
      <c r="O1846" s="21"/>
    </row>
    <row r="1847" spans="15:15" x14ac:dyDescent="0.25">
      <c r="O1847" s="21"/>
    </row>
    <row r="1848" spans="15:15" x14ac:dyDescent="0.25">
      <c r="O1848" s="21"/>
    </row>
    <row r="1849" spans="15:15" x14ac:dyDescent="0.25">
      <c r="O1849" s="21"/>
    </row>
    <row r="1850" spans="15:15" x14ac:dyDescent="0.25">
      <c r="O1850" s="21"/>
    </row>
    <row r="1851" spans="15:15" x14ac:dyDescent="0.25">
      <c r="O1851" s="21"/>
    </row>
    <row r="1852" spans="15:15" x14ac:dyDescent="0.25">
      <c r="O1852" s="21"/>
    </row>
    <row r="1853" spans="15:15" x14ac:dyDescent="0.25">
      <c r="O1853" s="21"/>
    </row>
    <row r="1854" spans="15:15" x14ac:dyDescent="0.25">
      <c r="O1854" s="21"/>
    </row>
    <row r="1855" spans="15:15" x14ac:dyDescent="0.25">
      <c r="O1855" s="21"/>
    </row>
    <row r="1856" spans="15:15" x14ac:dyDescent="0.25">
      <c r="O1856" s="21"/>
    </row>
    <row r="1857" spans="15:15" x14ac:dyDescent="0.25">
      <c r="O1857" s="21"/>
    </row>
    <row r="1858" spans="15:15" x14ac:dyDescent="0.25">
      <c r="O1858" s="21"/>
    </row>
    <row r="1859" spans="15:15" x14ac:dyDescent="0.25">
      <c r="O1859" s="21"/>
    </row>
    <row r="1860" spans="15:15" x14ac:dyDescent="0.25">
      <c r="O1860" s="21"/>
    </row>
    <row r="1861" spans="15:15" x14ac:dyDescent="0.25">
      <c r="O1861" s="21"/>
    </row>
    <row r="1862" spans="15:15" x14ac:dyDescent="0.25">
      <c r="O1862" s="21"/>
    </row>
    <row r="1863" spans="15:15" x14ac:dyDescent="0.25">
      <c r="O1863" s="21"/>
    </row>
    <row r="1864" spans="15:15" x14ac:dyDescent="0.25">
      <c r="O1864" s="21"/>
    </row>
    <row r="1865" spans="15:15" x14ac:dyDescent="0.25">
      <c r="O1865" s="21"/>
    </row>
    <row r="1866" spans="15:15" x14ac:dyDescent="0.25">
      <c r="O1866" s="21"/>
    </row>
    <row r="1867" spans="15:15" x14ac:dyDescent="0.25">
      <c r="O1867" s="21"/>
    </row>
    <row r="1868" spans="15:15" x14ac:dyDescent="0.25">
      <c r="O1868" s="21"/>
    </row>
    <row r="1869" spans="15:15" x14ac:dyDescent="0.25">
      <c r="O1869" s="21"/>
    </row>
    <row r="1870" spans="15:15" x14ac:dyDescent="0.25">
      <c r="O1870" s="21"/>
    </row>
    <row r="1871" spans="15:15" x14ac:dyDescent="0.25">
      <c r="O1871" s="21"/>
    </row>
    <row r="1872" spans="15:15" x14ac:dyDescent="0.25">
      <c r="O1872" s="21"/>
    </row>
    <row r="1873" spans="15:15" x14ac:dyDescent="0.25">
      <c r="O1873" s="21"/>
    </row>
    <row r="1874" spans="15:15" x14ac:dyDescent="0.25">
      <c r="O1874" s="21"/>
    </row>
    <row r="1875" spans="15:15" x14ac:dyDescent="0.25">
      <c r="O1875" s="21"/>
    </row>
    <row r="1876" spans="15:15" x14ac:dyDescent="0.25">
      <c r="O1876" s="21"/>
    </row>
    <row r="1877" spans="15:15" x14ac:dyDescent="0.25">
      <c r="O1877" s="21"/>
    </row>
    <row r="1878" spans="15:15" x14ac:dyDescent="0.25">
      <c r="O1878" s="21"/>
    </row>
    <row r="1879" spans="15:15" x14ac:dyDescent="0.25">
      <c r="O1879" s="21"/>
    </row>
    <row r="1880" spans="15:15" x14ac:dyDescent="0.25">
      <c r="O1880" s="21"/>
    </row>
    <row r="1881" spans="15:15" x14ac:dyDescent="0.25">
      <c r="O1881" s="21"/>
    </row>
    <row r="1882" spans="15:15" x14ac:dyDescent="0.25">
      <c r="O1882" s="21"/>
    </row>
    <row r="1883" spans="15:15" x14ac:dyDescent="0.25">
      <c r="O1883" s="21"/>
    </row>
    <row r="1884" spans="15:15" x14ac:dyDescent="0.25">
      <c r="O1884" s="21"/>
    </row>
    <row r="1885" spans="15:15" x14ac:dyDescent="0.25">
      <c r="O1885" s="21"/>
    </row>
    <row r="1886" spans="15:15" x14ac:dyDescent="0.25">
      <c r="O1886" s="21"/>
    </row>
    <row r="1887" spans="15:15" x14ac:dyDescent="0.25">
      <c r="O1887" s="21"/>
    </row>
    <row r="1888" spans="15:15" x14ac:dyDescent="0.25">
      <c r="O1888" s="21"/>
    </row>
    <row r="1889" spans="15:15" x14ac:dyDescent="0.25">
      <c r="O1889" s="21"/>
    </row>
    <row r="1890" spans="15:15" x14ac:dyDescent="0.25">
      <c r="O1890" s="21"/>
    </row>
    <row r="1891" spans="15:15" x14ac:dyDescent="0.25">
      <c r="O1891" s="21"/>
    </row>
    <row r="1892" spans="15:15" x14ac:dyDescent="0.25">
      <c r="O1892" s="21"/>
    </row>
    <row r="1893" spans="15:15" x14ac:dyDescent="0.25">
      <c r="O1893" s="21"/>
    </row>
    <row r="1894" spans="15:15" x14ac:dyDescent="0.25">
      <c r="O1894" s="21"/>
    </row>
    <row r="1895" spans="15:15" x14ac:dyDescent="0.25">
      <c r="O1895" s="21"/>
    </row>
    <row r="1896" spans="15:15" x14ac:dyDescent="0.25">
      <c r="O1896" s="21"/>
    </row>
    <row r="1897" spans="15:15" x14ac:dyDescent="0.25">
      <c r="O1897" s="21"/>
    </row>
    <row r="1898" spans="15:15" x14ac:dyDescent="0.25">
      <c r="O1898" s="21"/>
    </row>
    <row r="1899" spans="15:15" x14ac:dyDescent="0.25">
      <c r="O1899" s="21"/>
    </row>
    <row r="1900" spans="15:15" x14ac:dyDescent="0.25">
      <c r="O1900" s="21"/>
    </row>
    <row r="1901" spans="15:15" x14ac:dyDescent="0.25">
      <c r="O1901" s="21"/>
    </row>
    <row r="1902" spans="15:15" x14ac:dyDescent="0.25">
      <c r="O1902" s="21"/>
    </row>
    <row r="1903" spans="15:15" x14ac:dyDescent="0.25">
      <c r="O1903" s="21"/>
    </row>
    <row r="1904" spans="15:15" x14ac:dyDescent="0.25">
      <c r="O1904" s="21"/>
    </row>
    <row r="1905" spans="15:15" x14ac:dyDescent="0.25">
      <c r="O1905" s="21"/>
    </row>
    <row r="1906" spans="15:15" x14ac:dyDescent="0.25">
      <c r="O1906" s="21"/>
    </row>
    <row r="1907" spans="15:15" x14ac:dyDescent="0.25">
      <c r="O1907" s="21"/>
    </row>
    <row r="1908" spans="15:15" x14ac:dyDescent="0.25">
      <c r="O1908" s="21"/>
    </row>
    <row r="1909" spans="15:15" x14ac:dyDescent="0.25">
      <c r="O1909" s="21"/>
    </row>
    <row r="1910" spans="15:15" x14ac:dyDescent="0.25">
      <c r="O1910" s="21"/>
    </row>
    <row r="1911" spans="15:15" x14ac:dyDescent="0.25">
      <c r="O1911" s="21"/>
    </row>
    <row r="1912" spans="15:15" x14ac:dyDescent="0.25">
      <c r="O1912" s="21"/>
    </row>
    <row r="1913" spans="15:15" x14ac:dyDescent="0.25">
      <c r="O1913" s="21"/>
    </row>
    <row r="1914" spans="15:15" x14ac:dyDescent="0.25">
      <c r="O1914" s="21"/>
    </row>
    <row r="1915" spans="15:15" x14ac:dyDescent="0.25">
      <c r="O1915" s="21"/>
    </row>
    <row r="1916" spans="15:15" x14ac:dyDescent="0.25">
      <c r="O1916" s="21"/>
    </row>
    <row r="1917" spans="15:15" x14ac:dyDescent="0.25">
      <c r="O1917" s="21"/>
    </row>
    <row r="1918" spans="15:15" x14ac:dyDescent="0.25">
      <c r="O1918" s="21"/>
    </row>
    <row r="1919" spans="15:15" x14ac:dyDescent="0.25">
      <c r="O1919" s="21"/>
    </row>
    <row r="1920" spans="15:15" x14ac:dyDescent="0.25">
      <c r="O1920" s="21"/>
    </row>
    <row r="1921" spans="15:15" x14ac:dyDescent="0.25">
      <c r="O1921" s="21"/>
    </row>
    <row r="1922" spans="15:15" x14ac:dyDescent="0.25">
      <c r="O1922" s="21"/>
    </row>
    <row r="1923" spans="15:15" x14ac:dyDescent="0.25">
      <c r="O1923" s="21"/>
    </row>
    <row r="1924" spans="15:15" x14ac:dyDescent="0.25">
      <c r="O1924" s="21"/>
    </row>
    <row r="1925" spans="15:15" x14ac:dyDescent="0.25">
      <c r="O1925" s="21"/>
    </row>
    <row r="1926" spans="15:15" x14ac:dyDescent="0.25">
      <c r="O1926" s="21"/>
    </row>
    <row r="1927" spans="15:15" x14ac:dyDescent="0.25">
      <c r="O1927" s="21"/>
    </row>
    <row r="1928" spans="15:15" x14ac:dyDescent="0.25">
      <c r="O1928" s="21"/>
    </row>
    <row r="1929" spans="15:15" x14ac:dyDescent="0.25">
      <c r="O1929" s="21"/>
    </row>
    <row r="1930" spans="15:15" x14ac:dyDescent="0.25">
      <c r="O1930" s="21"/>
    </row>
    <row r="1931" spans="15:15" x14ac:dyDescent="0.25">
      <c r="O1931" s="21"/>
    </row>
    <row r="1932" spans="15:15" x14ac:dyDescent="0.25">
      <c r="O1932" s="21"/>
    </row>
    <row r="1933" spans="15:15" x14ac:dyDescent="0.25">
      <c r="O1933" s="21"/>
    </row>
    <row r="1934" spans="15:15" x14ac:dyDescent="0.25">
      <c r="O1934" s="21"/>
    </row>
    <row r="1935" spans="15:15" x14ac:dyDescent="0.25">
      <c r="O1935" s="21"/>
    </row>
    <row r="1936" spans="15:15" x14ac:dyDescent="0.25">
      <c r="O1936" s="21"/>
    </row>
    <row r="1937" spans="15:15" x14ac:dyDescent="0.25">
      <c r="O1937" s="21"/>
    </row>
    <row r="1938" spans="15:15" x14ac:dyDescent="0.25">
      <c r="O1938" s="21"/>
    </row>
    <row r="1939" spans="15:15" x14ac:dyDescent="0.25">
      <c r="O1939" s="21"/>
    </row>
    <row r="1940" spans="15:15" x14ac:dyDescent="0.25">
      <c r="O1940" s="21"/>
    </row>
    <row r="1941" spans="15:15" x14ac:dyDescent="0.25">
      <c r="O1941" s="21"/>
    </row>
    <row r="1942" spans="15:15" x14ac:dyDescent="0.25">
      <c r="O1942" s="21"/>
    </row>
    <row r="1943" spans="15:15" x14ac:dyDescent="0.25">
      <c r="O1943" s="21"/>
    </row>
    <row r="1944" spans="15:15" x14ac:dyDescent="0.25">
      <c r="O1944" s="21"/>
    </row>
    <row r="1945" spans="15:15" x14ac:dyDescent="0.25">
      <c r="O1945" s="21"/>
    </row>
    <row r="1946" spans="15:15" x14ac:dyDescent="0.25">
      <c r="O1946" s="21"/>
    </row>
    <row r="1947" spans="15:15" x14ac:dyDescent="0.25">
      <c r="O1947" s="21"/>
    </row>
    <row r="1948" spans="15:15" x14ac:dyDescent="0.25">
      <c r="O1948" s="21"/>
    </row>
    <row r="1949" spans="15:15" x14ac:dyDescent="0.25">
      <c r="O1949" s="21"/>
    </row>
    <row r="1950" spans="15:15" x14ac:dyDescent="0.25">
      <c r="O1950" s="21"/>
    </row>
    <row r="1951" spans="15:15" x14ac:dyDescent="0.25">
      <c r="O1951" s="21"/>
    </row>
    <row r="1952" spans="15:15" x14ac:dyDescent="0.25">
      <c r="O1952" s="21"/>
    </row>
    <row r="1953" spans="15:15" x14ac:dyDescent="0.25">
      <c r="O1953" s="21"/>
    </row>
    <row r="1954" spans="15:15" x14ac:dyDescent="0.25">
      <c r="O1954" s="21"/>
    </row>
    <row r="1955" spans="15:15" x14ac:dyDescent="0.25">
      <c r="O1955" s="21"/>
    </row>
    <row r="1956" spans="15:15" x14ac:dyDescent="0.25">
      <c r="O1956" s="21"/>
    </row>
    <row r="1957" spans="15:15" x14ac:dyDescent="0.25">
      <c r="O1957" s="21"/>
    </row>
    <row r="1958" spans="15:15" x14ac:dyDescent="0.25">
      <c r="O1958" s="21"/>
    </row>
    <row r="1959" spans="15:15" x14ac:dyDescent="0.25">
      <c r="O1959" s="21"/>
    </row>
    <row r="1960" spans="15:15" x14ac:dyDescent="0.25">
      <c r="O1960" s="21"/>
    </row>
    <row r="1961" spans="15:15" x14ac:dyDescent="0.25">
      <c r="O1961" s="21"/>
    </row>
    <row r="1962" spans="15:15" x14ac:dyDescent="0.25">
      <c r="O1962" s="21"/>
    </row>
    <row r="1963" spans="15:15" x14ac:dyDescent="0.25">
      <c r="O1963" s="21"/>
    </row>
    <row r="1964" spans="15:15" x14ac:dyDescent="0.25">
      <c r="O1964" s="21"/>
    </row>
    <row r="1965" spans="15:15" x14ac:dyDescent="0.25">
      <c r="O1965" s="21"/>
    </row>
    <row r="1966" spans="15:15" x14ac:dyDescent="0.25">
      <c r="O1966" s="21"/>
    </row>
    <row r="1967" spans="15:15" x14ac:dyDescent="0.25">
      <c r="O1967" s="21"/>
    </row>
    <row r="1968" spans="15:15" x14ac:dyDescent="0.25">
      <c r="O1968" s="21"/>
    </row>
    <row r="1969" spans="15:15" x14ac:dyDescent="0.25">
      <c r="O1969" s="21"/>
    </row>
    <row r="1970" spans="15:15" x14ac:dyDescent="0.25">
      <c r="O1970" s="21"/>
    </row>
    <row r="1971" spans="15:15" x14ac:dyDescent="0.25">
      <c r="O1971" s="21"/>
    </row>
    <row r="1972" spans="15:15" x14ac:dyDescent="0.25">
      <c r="O1972" s="21"/>
    </row>
    <row r="1973" spans="15:15" x14ac:dyDescent="0.25">
      <c r="O1973" s="21"/>
    </row>
    <row r="1974" spans="15:15" x14ac:dyDescent="0.25">
      <c r="O1974" s="21"/>
    </row>
    <row r="1975" spans="15:15" x14ac:dyDescent="0.25">
      <c r="O1975" s="21"/>
    </row>
    <row r="1976" spans="15:15" x14ac:dyDescent="0.25">
      <c r="O1976" s="21"/>
    </row>
    <row r="1977" spans="15:15" x14ac:dyDescent="0.25">
      <c r="O1977" s="21"/>
    </row>
    <row r="1978" spans="15:15" x14ac:dyDescent="0.25">
      <c r="O1978" s="21"/>
    </row>
    <row r="1979" spans="15:15" x14ac:dyDescent="0.25">
      <c r="O1979" s="21"/>
    </row>
    <row r="1980" spans="15:15" x14ac:dyDescent="0.25">
      <c r="O1980" s="21"/>
    </row>
    <row r="1981" spans="15:15" x14ac:dyDescent="0.25">
      <c r="O1981" s="21"/>
    </row>
    <row r="1982" spans="15:15" x14ac:dyDescent="0.25">
      <c r="O1982" s="21"/>
    </row>
    <row r="1983" spans="15:15" x14ac:dyDescent="0.25">
      <c r="O1983" s="21"/>
    </row>
    <row r="1984" spans="15:15" x14ac:dyDescent="0.25">
      <c r="O1984" s="21"/>
    </row>
    <row r="1985" spans="15:15" x14ac:dyDescent="0.25">
      <c r="O1985" s="21"/>
    </row>
    <row r="1986" spans="15:15" x14ac:dyDescent="0.25">
      <c r="O1986" s="21"/>
    </row>
    <row r="1987" spans="15:15" x14ac:dyDescent="0.25">
      <c r="O1987" s="21"/>
    </row>
    <row r="1988" spans="15:15" x14ac:dyDescent="0.25">
      <c r="O1988" s="21"/>
    </row>
    <row r="1989" spans="15:15" x14ac:dyDescent="0.25">
      <c r="O1989" s="21"/>
    </row>
    <row r="1990" spans="15:15" x14ac:dyDescent="0.25">
      <c r="O1990" s="21"/>
    </row>
    <row r="1991" spans="15:15" x14ac:dyDescent="0.25">
      <c r="O1991" s="21"/>
    </row>
    <row r="1992" spans="15:15" x14ac:dyDescent="0.25">
      <c r="O1992" s="21"/>
    </row>
    <row r="1993" spans="15:15" x14ac:dyDescent="0.25">
      <c r="O1993" s="21"/>
    </row>
    <row r="1994" spans="15:15" x14ac:dyDescent="0.25">
      <c r="O1994" s="21"/>
    </row>
    <row r="1995" spans="15:15" x14ac:dyDescent="0.25">
      <c r="O1995" s="21"/>
    </row>
    <row r="1996" spans="15:15" x14ac:dyDescent="0.25">
      <c r="O1996" s="21"/>
    </row>
    <row r="1997" spans="15:15" x14ac:dyDescent="0.25">
      <c r="O1997" s="21"/>
    </row>
    <row r="1998" spans="15:15" x14ac:dyDescent="0.25">
      <c r="O1998" s="21"/>
    </row>
    <row r="1999" spans="15:15" x14ac:dyDescent="0.25">
      <c r="O1999" s="21"/>
    </row>
    <row r="2000" spans="15:15" x14ac:dyDescent="0.25">
      <c r="O2000" s="21"/>
    </row>
    <row r="2001" spans="15:15" x14ac:dyDescent="0.25">
      <c r="O2001" s="21"/>
    </row>
    <row r="2002" spans="15:15" x14ac:dyDescent="0.25">
      <c r="O2002" s="21"/>
    </row>
    <row r="2003" spans="15:15" x14ac:dyDescent="0.25">
      <c r="O2003" s="21"/>
    </row>
    <row r="2004" spans="15:15" x14ac:dyDescent="0.25">
      <c r="O2004" s="21"/>
    </row>
    <row r="2005" spans="15:15" x14ac:dyDescent="0.25">
      <c r="O2005" s="21"/>
    </row>
    <row r="2006" spans="15:15" x14ac:dyDescent="0.25">
      <c r="O2006" s="21"/>
    </row>
    <row r="2007" spans="15:15" x14ac:dyDescent="0.25">
      <c r="O2007" s="21"/>
    </row>
    <row r="2008" spans="15:15" x14ac:dyDescent="0.25">
      <c r="O2008" s="21"/>
    </row>
    <row r="2009" spans="15:15" x14ac:dyDescent="0.25">
      <c r="O2009" s="21"/>
    </row>
    <row r="2010" spans="15:15" x14ac:dyDescent="0.25">
      <c r="O2010" s="21"/>
    </row>
    <row r="2011" spans="15:15" x14ac:dyDescent="0.25">
      <c r="O2011" s="21"/>
    </row>
    <row r="2012" spans="15:15" x14ac:dyDescent="0.25">
      <c r="O2012" s="21"/>
    </row>
    <row r="2013" spans="15:15" x14ac:dyDescent="0.25">
      <c r="O2013" s="21"/>
    </row>
    <row r="2014" spans="15:15" x14ac:dyDescent="0.25">
      <c r="O2014" s="21"/>
    </row>
    <row r="2015" spans="15:15" x14ac:dyDescent="0.25">
      <c r="O2015" s="21"/>
    </row>
    <row r="2016" spans="15:15" x14ac:dyDescent="0.25">
      <c r="O2016" s="21"/>
    </row>
    <row r="2017" spans="15:15" x14ac:dyDescent="0.25">
      <c r="O2017" s="21"/>
    </row>
    <row r="2018" spans="15:15" x14ac:dyDescent="0.25">
      <c r="O2018" s="21"/>
    </row>
    <row r="2019" spans="15:15" x14ac:dyDescent="0.25">
      <c r="O2019" s="21"/>
    </row>
    <row r="2020" spans="15:15" x14ac:dyDescent="0.25">
      <c r="O2020" s="21"/>
    </row>
    <row r="2021" spans="15:15" x14ac:dyDescent="0.25">
      <c r="O2021" s="21"/>
    </row>
    <row r="2022" spans="15:15" x14ac:dyDescent="0.25">
      <c r="O2022" s="21"/>
    </row>
    <row r="2023" spans="15:15" x14ac:dyDescent="0.25">
      <c r="O2023" s="21"/>
    </row>
    <row r="2024" spans="15:15" x14ac:dyDescent="0.25">
      <c r="O2024" s="21"/>
    </row>
    <row r="2025" spans="15:15" x14ac:dyDescent="0.25">
      <c r="O2025" s="21"/>
    </row>
    <row r="2026" spans="15:15" x14ac:dyDescent="0.25">
      <c r="O2026" s="21"/>
    </row>
    <row r="2027" spans="15:15" x14ac:dyDescent="0.25">
      <c r="O2027" s="21"/>
    </row>
    <row r="2028" spans="15:15" x14ac:dyDescent="0.25">
      <c r="O2028" s="21"/>
    </row>
    <row r="2029" spans="15:15" x14ac:dyDescent="0.25">
      <c r="O2029" s="21"/>
    </row>
    <row r="2030" spans="15:15" x14ac:dyDescent="0.25">
      <c r="O2030" s="21"/>
    </row>
    <row r="2031" spans="15:15" x14ac:dyDescent="0.25">
      <c r="O2031" s="21"/>
    </row>
    <row r="2032" spans="15:15" x14ac:dyDescent="0.25">
      <c r="O2032" s="21"/>
    </row>
    <row r="2033" spans="15:15" x14ac:dyDescent="0.25">
      <c r="O2033" s="21"/>
    </row>
    <row r="2034" spans="15:15" x14ac:dyDescent="0.25">
      <c r="O2034" s="21"/>
    </row>
    <row r="2035" spans="15:15" x14ac:dyDescent="0.25">
      <c r="O2035" s="21"/>
    </row>
    <row r="2036" spans="15:15" x14ac:dyDescent="0.25">
      <c r="O2036" s="21"/>
    </row>
    <row r="2037" spans="15:15" x14ac:dyDescent="0.25">
      <c r="O2037" s="21"/>
    </row>
    <row r="2038" spans="15:15" x14ac:dyDescent="0.25">
      <c r="O2038" s="21"/>
    </row>
    <row r="2039" spans="15:15" x14ac:dyDescent="0.25">
      <c r="O2039" s="21"/>
    </row>
    <row r="2040" spans="15:15" x14ac:dyDescent="0.25">
      <c r="O2040" s="21"/>
    </row>
    <row r="2041" spans="15:15" x14ac:dyDescent="0.25">
      <c r="O2041" s="21"/>
    </row>
    <row r="2042" spans="15:15" x14ac:dyDescent="0.25">
      <c r="O2042" s="21"/>
    </row>
    <row r="2043" spans="15:15" x14ac:dyDescent="0.25">
      <c r="O2043" s="21"/>
    </row>
    <row r="2044" spans="15:15" x14ac:dyDescent="0.25">
      <c r="O2044" s="21"/>
    </row>
    <row r="2045" spans="15:15" x14ac:dyDescent="0.25">
      <c r="O2045" s="21"/>
    </row>
    <row r="2046" spans="15:15" x14ac:dyDescent="0.25">
      <c r="O2046" s="21"/>
    </row>
    <row r="2047" spans="15:15" x14ac:dyDescent="0.25">
      <c r="O2047" s="21"/>
    </row>
    <row r="2048" spans="15:15" x14ac:dyDescent="0.25">
      <c r="O2048" s="21"/>
    </row>
    <row r="2049" spans="15:15" x14ac:dyDescent="0.25">
      <c r="O2049" s="21"/>
    </row>
    <row r="2050" spans="15:15" x14ac:dyDescent="0.25">
      <c r="O2050" s="21"/>
    </row>
    <row r="2051" spans="15:15" x14ac:dyDescent="0.25">
      <c r="O2051" s="21"/>
    </row>
    <row r="2052" spans="15:15" x14ac:dyDescent="0.25">
      <c r="O2052" s="21"/>
    </row>
    <row r="2053" spans="15:15" x14ac:dyDescent="0.25">
      <c r="O2053" s="21"/>
    </row>
    <row r="2054" spans="15:15" x14ac:dyDescent="0.25">
      <c r="O2054" s="21"/>
    </row>
    <row r="2055" spans="15:15" x14ac:dyDescent="0.25">
      <c r="O2055" s="21"/>
    </row>
    <row r="2056" spans="15:15" x14ac:dyDescent="0.25">
      <c r="O2056" s="21"/>
    </row>
    <row r="2057" spans="15:15" x14ac:dyDescent="0.25">
      <c r="O2057" s="21"/>
    </row>
    <row r="2058" spans="15:15" x14ac:dyDescent="0.25">
      <c r="O2058" s="21"/>
    </row>
    <row r="2059" spans="15:15" x14ac:dyDescent="0.25">
      <c r="O2059" s="21"/>
    </row>
    <row r="2060" spans="15:15" x14ac:dyDescent="0.25">
      <c r="O2060" s="21"/>
    </row>
    <row r="2061" spans="15:15" x14ac:dyDescent="0.25">
      <c r="O2061" s="21"/>
    </row>
    <row r="2062" spans="15:15" x14ac:dyDescent="0.25">
      <c r="O2062" s="21"/>
    </row>
    <row r="2063" spans="15:15" x14ac:dyDescent="0.25">
      <c r="O2063" s="21"/>
    </row>
    <row r="2064" spans="15:15" x14ac:dyDescent="0.25">
      <c r="O2064" s="21"/>
    </row>
    <row r="2065" spans="15:15" x14ac:dyDescent="0.25">
      <c r="O2065" s="21"/>
    </row>
    <row r="2066" spans="15:15" x14ac:dyDescent="0.25">
      <c r="O2066" s="21"/>
    </row>
    <row r="2067" spans="15:15" x14ac:dyDescent="0.25">
      <c r="O2067" s="21"/>
    </row>
    <row r="2068" spans="15:15" x14ac:dyDescent="0.25">
      <c r="O2068" s="21"/>
    </row>
    <row r="2069" spans="15:15" x14ac:dyDescent="0.25">
      <c r="O2069" s="21"/>
    </row>
    <row r="2070" spans="15:15" x14ac:dyDescent="0.25">
      <c r="O2070" s="21"/>
    </row>
    <row r="2071" spans="15:15" x14ac:dyDescent="0.25">
      <c r="O2071" s="21"/>
    </row>
    <row r="2072" spans="15:15" x14ac:dyDescent="0.25">
      <c r="O2072" s="21"/>
    </row>
    <row r="2073" spans="15:15" x14ac:dyDescent="0.25">
      <c r="O2073" s="21"/>
    </row>
    <row r="2074" spans="15:15" x14ac:dyDescent="0.25">
      <c r="O2074" s="21"/>
    </row>
    <row r="2075" spans="15:15" x14ac:dyDescent="0.25">
      <c r="O2075" s="21"/>
    </row>
    <row r="2076" spans="15:15" x14ac:dyDescent="0.25">
      <c r="O2076" s="21"/>
    </row>
    <row r="2077" spans="15:15" x14ac:dyDescent="0.25">
      <c r="O2077" s="21"/>
    </row>
    <row r="2078" spans="15:15" x14ac:dyDescent="0.25">
      <c r="O2078" s="21"/>
    </row>
    <row r="2079" spans="15:15" x14ac:dyDescent="0.25">
      <c r="O2079" s="21"/>
    </row>
    <row r="2080" spans="15:15" x14ac:dyDescent="0.25">
      <c r="O2080" s="21"/>
    </row>
    <row r="2081" spans="15:15" x14ac:dyDescent="0.25">
      <c r="O2081" s="21"/>
    </row>
    <row r="2082" spans="15:15" x14ac:dyDescent="0.25">
      <c r="O2082" s="21"/>
    </row>
    <row r="2083" spans="15:15" x14ac:dyDescent="0.25">
      <c r="O2083" s="21"/>
    </row>
    <row r="2084" spans="15:15" x14ac:dyDescent="0.25">
      <c r="O2084" s="21"/>
    </row>
    <row r="2085" spans="15:15" x14ac:dyDescent="0.25">
      <c r="O2085" s="21"/>
    </row>
    <row r="2086" spans="15:15" x14ac:dyDescent="0.25">
      <c r="O2086" s="21"/>
    </row>
    <row r="2087" spans="15:15" x14ac:dyDescent="0.25">
      <c r="O2087" s="21"/>
    </row>
    <row r="2088" spans="15:15" x14ac:dyDescent="0.25">
      <c r="O2088" s="21"/>
    </row>
    <row r="2089" spans="15:15" x14ac:dyDescent="0.25">
      <c r="O2089" s="21"/>
    </row>
    <row r="2090" spans="15:15" x14ac:dyDescent="0.25">
      <c r="O2090" s="21"/>
    </row>
    <row r="2091" spans="15:15" x14ac:dyDescent="0.25">
      <c r="O2091" s="21"/>
    </row>
    <row r="2092" spans="15:15" x14ac:dyDescent="0.25">
      <c r="O2092" s="21"/>
    </row>
    <row r="2093" spans="15:15" x14ac:dyDescent="0.25">
      <c r="O2093" s="21"/>
    </row>
    <row r="2094" spans="15:15" x14ac:dyDescent="0.25">
      <c r="O2094" s="21"/>
    </row>
    <row r="2095" spans="15:15" x14ac:dyDescent="0.25">
      <c r="O2095" s="21"/>
    </row>
    <row r="2096" spans="15:15" x14ac:dyDescent="0.25">
      <c r="O2096" s="21"/>
    </row>
    <row r="2097" spans="15:15" x14ac:dyDescent="0.25">
      <c r="O2097" s="21"/>
    </row>
    <row r="2098" spans="15:15" x14ac:dyDescent="0.25">
      <c r="O2098" s="21"/>
    </row>
    <row r="2099" spans="15:15" x14ac:dyDescent="0.25">
      <c r="O2099" s="21"/>
    </row>
    <row r="2100" spans="15:15" x14ac:dyDescent="0.25">
      <c r="O2100" s="21"/>
    </row>
    <row r="2101" spans="15:15" x14ac:dyDescent="0.25">
      <c r="O2101" s="21"/>
    </row>
    <row r="2102" spans="15:15" x14ac:dyDescent="0.25">
      <c r="O2102" s="21"/>
    </row>
    <row r="2103" spans="15:15" x14ac:dyDescent="0.25">
      <c r="O2103" s="21"/>
    </row>
    <row r="2104" spans="15:15" x14ac:dyDescent="0.25">
      <c r="O2104" s="21"/>
    </row>
    <row r="2105" spans="15:15" x14ac:dyDescent="0.25">
      <c r="O2105" s="21"/>
    </row>
    <row r="2106" spans="15:15" x14ac:dyDescent="0.25">
      <c r="O2106" s="21"/>
    </row>
    <row r="2107" spans="15:15" x14ac:dyDescent="0.25">
      <c r="O2107" s="21"/>
    </row>
    <row r="2108" spans="15:15" x14ac:dyDescent="0.25">
      <c r="O2108" s="21"/>
    </row>
    <row r="2109" spans="15:15" x14ac:dyDescent="0.25">
      <c r="O2109" s="21"/>
    </row>
    <row r="2110" spans="15:15" x14ac:dyDescent="0.25">
      <c r="O2110" s="21"/>
    </row>
    <row r="2111" spans="15:15" x14ac:dyDescent="0.25">
      <c r="O2111" s="21"/>
    </row>
    <row r="2112" spans="15:15" x14ac:dyDescent="0.25">
      <c r="O2112" s="21"/>
    </row>
    <row r="2113" spans="15:15" x14ac:dyDescent="0.25">
      <c r="O2113" s="21"/>
    </row>
    <row r="2114" spans="15:15" x14ac:dyDescent="0.25">
      <c r="O2114" s="21"/>
    </row>
    <row r="2115" spans="15:15" x14ac:dyDescent="0.25">
      <c r="O2115" s="21"/>
    </row>
    <row r="2116" spans="15:15" x14ac:dyDescent="0.25">
      <c r="O2116" s="21"/>
    </row>
    <row r="2117" spans="15:15" x14ac:dyDescent="0.25">
      <c r="O2117" s="21"/>
    </row>
    <row r="2118" spans="15:15" x14ac:dyDescent="0.25">
      <c r="O2118" s="21"/>
    </row>
    <row r="2119" spans="15:15" x14ac:dyDescent="0.25">
      <c r="O2119" s="21"/>
    </row>
    <row r="2120" spans="15:15" x14ac:dyDescent="0.25">
      <c r="O2120" s="21"/>
    </row>
    <row r="2121" spans="15:15" x14ac:dyDescent="0.25">
      <c r="O2121" s="21"/>
    </row>
    <row r="2122" spans="15:15" x14ac:dyDescent="0.25">
      <c r="O2122" s="21"/>
    </row>
    <row r="2123" spans="15:15" x14ac:dyDescent="0.25">
      <c r="O2123" s="21"/>
    </row>
    <row r="2124" spans="15:15" x14ac:dyDescent="0.25">
      <c r="O2124" s="21"/>
    </row>
    <row r="2125" spans="15:15" x14ac:dyDescent="0.25">
      <c r="O2125" s="21"/>
    </row>
    <row r="2126" spans="15:15" x14ac:dyDescent="0.25">
      <c r="O2126" s="21"/>
    </row>
    <row r="2127" spans="15:15" x14ac:dyDescent="0.25">
      <c r="O2127" s="21"/>
    </row>
    <row r="2128" spans="15:15" x14ac:dyDescent="0.25">
      <c r="O2128" s="21"/>
    </row>
    <row r="2129" spans="15:15" x14ac:dyDescent="0.25">
      <c r="O2129" s="21"/>
    </row>
    <row r="2130" spans="15:15" x14ac:dyDescent="0.25">
      <c r="O2130" s="21"/>
    </row>
    <row r="2131" spans="15:15" x14ac:dyDescent="0.25">
      <c r="O2131" s="21"/>
    </row>
    <row r="2132" spans="15:15" x14ac:dyDescent="0.25">
      <c r="O2132" s="21"/>
    </row>
    <row r="2133" spans="15:15" x14ac:dyDescent="0.25">
      <c r="O2133" s="21"/>
    </row>
    <row r="2134" spans="15:15" x14ac:dyDescent="0.25">
      <c r="O2134" s="21"/>
    </row>
    <row r="2135" spans="15:15" x14ac:dyDescent="0.25">
      <c r="O2135" s="21"/>
    </row>
    <row r="2136" spans="15:15" x14ac:dyDescent="0.25">
      <c r="O2136" s="21"/>
    </row>
    <row r="2137" spans="15:15" x14ac:dyDescent="0.25">
      <c r="O2137" s="21"/>
    </row>
    <row r="2138" spans="15:15" x14ac:dyDescent="0.25">
      <c r="O2138" s="21"/>
    </row>
    <row r="2139" spans="15:15" x14ac:dyDescent="0.25">
      <c r="O2139" s="21"/>
    </row>
    <row r="2140" spans="15:15" x14ac:dyDescent="0.25">
      <c r="O2140" s="21"/>
    </row>
    <row r="2141" spans="15:15" x14ac:dyDescent="0.25">
      <c r="O2141" s="21"/>
    </row>
    <row r="2142" spans="15:15" x14ac:dyDescent="0.25">
      <c r="O2142" s="21"/>
    </row>
    <row r="2143" spans="15:15" x14ac:dyDescent="0.25">
      <c r="O2143" s="21"/>
    </row>
    <row r="2144" spans="15:15" x14ac:dyDescent="0.25">
      <c r="O2144" s="21"/>
    </row>
    <row r="2145" spans="15:15" x14ac:dyDescent="0.25">
      <c r="O2145" s="21"/>
    </row>
    <row r="2146" spans="15:15" x14ac:dyDescent="0.25">
      <c r="O2146" s="21"/>
    </row>
    <row r="2147" spans="15:15" x14ac:dyDescent="0.25">
      <c r="O2147" s="21"/>
    </row>
    <row r="2148" spans="15:15" x14ac:dyDescent="0.25">
      <c r="O2148" s="21"/>
    </row>
    <row r="2149" spans="15:15" x14ac:dyDescent="0.25">
      <c r="O2149" s="21"/>
    </row>
    <row r="2150" spans="15:15" x14ac:dyDescent="0.25">
      <c r="O2150" s="21"/>
    </row>
    <row r="2151" spans="15:15" x14ac:dyDescent="0.25">
      <c r="O2151" s="21"/>
    </row>
    <row r="2152" spans="15:15" x14ac:dyDescent="0.25">
      <c r="O2152" s="21"/>
    </row>
    <row r="2153" spans="15:15" x14ac:dyDescent="0.25">
      <c r="O2153" s="21"/>
    </row>
    <row r="2154" spans="15:15" x14ac:dyDescent="0.25">
      <c r="O2154" s="21"/>
    </row>
    <row r="2155" spans="15:15" x14ac:dyDescent="0.25">
      <c r="O2155" s="21"/>
    </row>
    <row r="2156" spans="15:15" x14ac:dyDescent="0.25">
      <c r="O2156" s="21"/>
    </row>
    <row r="2157" spans="15:15" x14ac:dyDescent="0.25">
      <c r="O2157" s="21"/>
    </row>
    <row r="2158" spans="15:15" x14ac:dyDescent="0.25">
      <c r="O2158" s="21"/>
    </row>
    <row r="2159" spans="15:15" x14ac:dyDescent="0.25">
      <c r="O2159" s="21"/>
    </row>
    <row r="2160" spans="15:15" x14ac:dyDescent="0.25">
      <c r="O2160" s="21"/>
    </row>
    <row r="2161" spans="15:15" x14ac:dyDescent="0.25">
      <c r="O2161" s="21"/>
    </row>
    <row r="2162" spans="15:15" x14ac:dyDescent="0.25">
      <c r="O2162" s="21"/>
    </row>
    <row r="2163" spans="15:15" x14ac:dyDescent="0.25">
      <c r="O2163" s="21"/>
    </row>
    <row r="2164" spans="15:15" x14ac:dyDescent="0.25">
      <c r="O2164" s="21"/>
    </row>
    <row r="2165" spans="15:15" x14ac:dyDescent="0.25">
      <c r="O2165" s="21"/>
    </row>
    <row r="2166" spans="15:15" x14ac:dyDescent="0.25">
      <c r="O2166" s="21"/>
    </row>
    <row r="2167" spans="15:15" x14ac:dyDescent="0.25">
      <c r="O2167" s="21"/>
    </row>
    <row r="2168" spans="15:15" x14ac:dyDescent="0.25">
      <c r="O2168" s="21"/>
    </row>
    <row r="2169" spans="15:15" x14ac:dyDescent="0.25">
      <c r="O2169" s="21"/>
    </row>
    <row r="2170" spans="15:15" x14ac:dyDescent="0.25">
      <c r="O2170" s="21"/>
    </row>
    <row r="2171" spans="15:15" x14ac:dyDescent="0.25">
      <c r="O2171" s="21"/>
    </row>
    <row r="2172" spans="15:15" x14ac:dyDescent="0.25">
      <c r="O2172" s="21"/>
    </row>
    <row r="2173" spans="15:15" x14ac:dyDescent="0.25">
      <c r="O2173" s="21"/>
    </row>
    <row r="2174" spans="15:15" x14ac:dyDescent="0.25">
      <c r="O2174" s="21"/>
    </row>
    <row r="2175" spans="15:15" x14ac:dyDescent="0.25">
      <c r="O2175" s="21"/>
    </row>
    <row r="2176" spans="15:15" x14ac:dyDescent="0.25">
      <c r="O2176" s="21"/>
    </row>
    <row r="2177" spans="15:15" x14ac:dyDescent="0.25">
      <c r="O2177" s="21"/>
    </row>
    <row r="2178" spans="15:15" x14ac:dyDescent="0.25">
      <c r="O2178" s="21"/>
    </row>
    <row r="2179" spans="15:15" x14ac:dyDescent="0.25">
      <c r="O2179" s="21"/>
    </row>
    <row r="2180" spans="15:15" x14ac:dyDescent="0.25">
      <c r="O2180" s="21"/>
    </row>
    <row r="2181" spans="15:15" x14ac:dyDescent="0.25">
      <c r="O2181" s="21"/>
    </row>
    <row r="2182" spans="15:15" x14ac:dyDescent="0.25">
      <c r="O2182" s="21"/>
    </row>
    <row r="2183" spans="15:15" x14ac:dyDescent="0.25">
      <c r="O2183" s="21"/>
    </row>
    <row r="2184" spans="15:15" x14ac:dyDescent="0.25">
      <c r="O2184" s="21"/>
    </row>
    <row r="2185" spans="15:15" x14ac:dyDescent="0.25">
      <c r="O2185" s="21"/>
    </row>
    <row r="2186" spans="15:15" x14ac:dyDescent="0.25">
      <c r="O2186" s="21"/>
    </row>
    <row r="2187" spans="15:15" x14ac:dyDescent="0.25">
      <c r="O2187" s="21"/>
    </row>
    <row r="2188" spans="15:15" x14ac:dyDescent="0.25">
      <c r="O2188" s="21"/>
    </row>
    <row r="2189" spans="15:15" x14ac:dyDescent="0.25">
      <c r="O2189" s="21"/>
    </row>
    <row r="2190" spans="15:15" x14ac:dyDescent="0.25">
      <c r="O2190" s="21"/>
    </row>
    <row r="2191" spans="15:15" x14ac:dyDescent="0.25">
      <c r="O2191" s="21"/>
    </row>
    <row r="2192" spans="15:15" x14ac:dyDescent="0.25">
      <c r="O2192" s="21"/>
    </row>
    <row r="2193" spans="15:15" x14ac:dyDescent="0.25">
      <c r="O2193" s="21"/>
    </row>
    <row r="2194" spans="15:15" x14ac:dyDescent="0.25">
      <c r="O2194" s="21"/>
    </row>
    <row r="2195" spans="15:15" x14ac:dyDescent="0.25">
      <c r="O2195" s="21"/>
    </row>
    <row r="2196" spans="15:15" x14ac:dyDescent="0.25">
      <c r="O2196" s="21"/>
    </row>
    <row r="2197" spans="15:15" x14ac:dyDescent="0.25">
      <c r="O2197" s="21"/>
    </row>
    <row r="2198" spans="15:15" x14ac:dyDescent="0.25">
      <c r="O2198" s="21"/>
    </row>
    <row r="2199" spans="15:15" x14ac:dyDescent="0.25">
      <c r="O2199" s="21"/>
    </row>
    <row r="2200" spans="15:15" x14ac:dyDescent="0.25">
      <c r="O2200" s="21"/>
    </row>
    <row r="2201" spans="15:15" x14ac:dyDescent="0.25">
      <c r="O2201" s="21"/>
    </row>
    <row r="2202" spans="15:15" x14ac:dyDescent="0.25">
      <c r="O2202" s="21"/>
    </row>
    <row r="2203" spans="15:15" x14ac:dyDescent="0.25">
      <c r="O2203" s="21"/>
    </row>
    <row r="2204" spans="15:15" x14ac:dyDescent="0.25">
      <c r="O2204" s="21"/>
    </row>
    <row r="2205" spans="15:15" x14ac:dyDescent="0.25">
      <c r="O2205" s="21"/>
    </row>
    <row r="2206" spans="15:15" x14ac:dyDescent="0.25">
      <c r="O2206" s="21"/>
    </row>
    <row r="2207" spans="15:15" x14ac:dyDescent="0.25">
      <c r="O2207" s="21"/>
    </row>
    <row r="2208" spans="15:15" x14ac:dyDescent="0.25">
      <c r="O2208" s="21"/>
    </row>
    <row r="2209" spans="15:15" x14ac:dyDescent="0.25">
      <c r="O2209" s="21"/>
    </row>
    <row r="2210" spans="15:15" x14ac:dyDescent="0.25">
      <c r="O2210" s="21"/>
    </row>
    <row r="2211" spans="15:15" x14ac:dyDescent="0.25">
      <c r="O2211" s="21"/>
    </row>
    <row r="2212" spans="15:15" x14ac:dyDescent="0.25">
      <c r="O2212" s="21"/>
    </row>
    <row r="2213" spans="15:15" x14ac:dyDescent="0.25">
      <c r="O2213" s="21"/>
    </row>
    <row r="2214" spans="15:15" x14ac:dyDescent="0.25">
      <c r="O2214" s="21"/>
    </row>
    <row r="2215" spans="15:15" x14ac:dyDescent="0.25">
      <c r="O2215" s="21"/>
    </row>
    <row r="2216" spans="15:15" x14ac:dyDescent="0.25">
      <c r="O2216" s="21"/>
    </row>
    <row r="2217" spans="15:15" x14ac:dyDescent="0.25">
      <c r="O2217" s="21"/>
    </row>
    <row r="2218" spans="15:15" x14ac:dyDescent="0.25">
      <c r="O2218" s="21"/>
    </row>
    <row r="2219" spans="15:15" x14ac:dyDescent="0.25">
      <c r="O2219" s="21"/>
    </row>
    <row r="2220" spans="15:15" x14ac:dyDescent="0.25">
      <c r="O2220" s="21"/>
    </row>
    <row r="2221" spans="15:15" x14ac:dyDescent="0.25">
      <c r="O2221" s="21"/>
    </row>
    <row r="2222" spans="15:15" x14ac:dyDescent="0.25">
      <c r="O2222" s="21"/>
    </row>
    <row r="2223" spans="15:15" x14ac:dyDescent="0.25">
      <c r="O2223" s="21"/>
    </row>
    <row r="2224" spans="15:15" x14ac:dyDescent="0.25">
      <c r="O2224" s="21"/>
    </row>
    <row r="2225" spans="15:15" x14ac:dyDescent="0.25">
      <c r="O2225" s="21"/>
    </row>
    <row r="2226" spans="15:15" x14ac:dyDescent="0.25">
      <c r="O2226" s="21"/>
    </row>
    <row r="2227" spans="15:15" x14ac:dyDescent="0.25">
      <c r="O2227" s="21"/>
    </row>
    <row r="2228" spans="15:15" x14ac:dyDescent="0.25">
      <c r="O2228" s="21"/>
    </row>
    <row r="2229" spans="15:15" x14ac:dyDescent="0.25">
      <c r="O2229" s="21"/>
    </row>
    <row r="2230" spans="15:15" x14ac:dyDescent="0.25">
      <c r="O2230" s="21"/>
    </row>
    <row r="2231" spans="15:15" x14ac:dyDescent="0.25">
      <c r="O2231" s="21"/>
    </row>
    <row r="2232" spans="15:15" x14ac:dyDescent="0.25">
      <c r="O2232" s="21"/>
    </row>
    <row r="2233" spans="15:15" x14ac:dyDescent="0.25">
      <c r="O2233" s="21"/>
    </row>
    <row r="2234" spans="15:15" x14ac:dyDescent="0.25">
      <c r="O2234" s="21"/>
    </row>
    <row r="2235" spans="15:15" x14ac:dyDescent="0.25">
      <c r="O2235" s="21"/>
    </row>
    <row r="2236" spans="15:15" x14ac:dyDescent="0.25">
      <c r="O2236" s="21"/>
    </row>
    <row r="2237" spans="15:15" x14ac:dyDescent="0.25">
      <c r="O2237" s="21"/>
    </row>
    <row r="2238" spans="15:15" x14ac:dyDescent="0.25">
      <c r="O2238" s="21"/>
    </row>
    <row r="2239" spans="15:15" x14ac:dyDescent="0.25">
      <c r="O2239" s="21"/>
    </row>
    <row r="2240" spans="15:15" x14ac:dyDescent="0.25">
      <c r="O2240" s="21"/>
    </row>
    <row r="2241" spans="15:15" x14ac:dyDescent="0.25">
      <c r="O2241" s="21"/>
    </row>
    <row r="2242" spans="15:15" x14ac:dyDescent="0.25">
      <c r="O2242" s="21"/>
    </row>
    <row r="2243" spans="15:15" x14ac:dyDescent="0.25">
      <c r="O2243" s="21"/>
    </row>
    <row r="2244" spans="15:15" x14ac:dyDescent="0.25">
      <c r="O2244" s="21"/>
    </row>
    <row r="2245" spans="15:15" x14ac:dyDescent="0.25">
      <c r="O2245" s="21"/>
    </row>
    <row r="2246" spans="15:15" x14ac:dyDescent="0.25">
      <c r="O2246" s="21"/>
    </row>
    <row r="2247" spans="15:15" x14ac:dyDescent="0.25">
      <c r="O2247" s="21"/>
    </row>
    <row r="2248" spans="15:15" x14ac:dyDescent="0.25">
      <c r="O2248" s="21"/>
    </row>
    <row r="2249" spans="15:15" x14ac:dyDescent="0.25">
      <c r="O2249" s="21"/>
    </row>
    <row r="2250" spans="15:15" x14ac:dyDescent="0.25">
      <c r="O2250" s="21"/>
    </row>
    <row r="2251" spans="15:15" x14ac:dyDescent="0.25">
      <c r="O2251" s="21"/>
    </row>
    <row r="2252" spans="15:15" x14ac:dyDescent="0.25">
      <c r="O2252" s="21"/>
    </row>
    <row r="2253" spans="15:15" x14ac:dyDescent="0.25">
      <c r="O2253" s="21"/>
    </row>
    <row r="2254" spans="15:15" x14ac:dyDescent="0.25">
      <c r="O2254" s="21"/>
    </row>
    <row r="2255" spans="15:15" x14ac:dyDescent="0.25">
      <c r="O2255" s="21"/>
    </row>
    <row r="2256" spans="15:15" x14ac:dyDescent="0.25">
      <c r="O2256" s="21"/>
    </row>
    <row r="2257" spans="15:15" x14ac:dyDescent="0.25">
      <c r="O2257" s="21"/>
    </row>
    <row r="2258" spans="15:15" x14ac:dyDescent="0.25">
      <c r="O2258" s="21"/>
    </row>
    <row r="2259" spans="15:15" x14ac:dyDescent="0.25">
      <c r="O2259" s="21"/>
    </row>
    <row r="2260" spans="15:15" x14ac:dyDescent="0.25">
      <c r="O2260" s="21"/>
    </row>
    <row r="2261" spans="15:15" x14ac:dyDescent="0.25">
      <c r="O2261" s="21"/>
    </row>
    <row r="2262" spans="15:15" x14ac:dyDescent="0.25">
      <c r="O2262" s="21"/>
    </row>
    <row r="2263" spans="15:15" x14ac:dyDescent="0.25">
      <c r="O2263" s="21"/>
    </row>
    <row r="2264" spans="15:15" x14ac:dyDescent="0.25">
      <c r="O2264" s="21"/>
    </row>
    <row r="2265" spans="15:15" x14ac:dyDescent="0.25">
      <c r="O2265" s="21"/>
    </row>
    <row r="2266" spans="15:15" x14ac:dyDescent="0.25">
      <c r="O2266" s="21"/>
    </row>
    <row r="2267" spans="15:15" x14ac:dyDescent="0.25">
      <c r="O2267" s="21"/>
    </row>
    <row r="2268" spans="15:15" x14ac:dyDescent="0.25">
      <c r="O2268" s="21"/>
    </row>
    <row r="2269" spans="15:15" x14ac:dyDescent="0.25">
      <c r="O2269" s="21"/>
    </row>
    <row r="2270" spans="15:15" x14ac:dyDescent="0.25">
      <c r="O2270" s="21"/>
    </row>
    <row r="2271" spans="15:15" x14ac:dyDescent="0.25">
      <c r="O2271" s="21"/>
    </row>
    <row r="2272" spans="15:15" x14ac:dyDescent="0.25">
      <c r="O2272" s="21"/>
    </row>
    <row r="2273" spans="15:15" x14ac:dyDescent="0.25">
      <c r="O2273" s="21"/>
    </row>
    <row r="2274" spans="15:15" x14ac:dyDescent="0.25">
      <c r="O2274" s="21"/>
    </row>
    <row r="2275" spans="15:15" x14ac:dyDescent="0.25">
      <c r="O2275" s="21"/>
    </row>
    <row r="2276" spans="15:15" x14ac:dyDescent="0.25">
      <c r="O2276" s="21"/>
    </row>
    <row r="2277" spans="15:15" x14ac:dyDescent="0.25">
      <c r="O2277" s="21"/>
    </row>
    <row r="2278" spans="15:15" x14ac:dyDescent="0.25">
      <c r="O2278" s="21"/>
    </row>
    <row r="2279" spans="15:15" x14ac:dyDescent="0.25">
      <c r="O2279" s="21"/>
    </row>
    <row r="2280" spans="15:15" x14ac:dyDescent="0.25">
      <c r="O2280" s="21"/>
    </row>
    <row r="2281" spans="15:15" x14ac:dyDescent="0.25">
      <c r="O2281" s="21"/>
    </row>
    <row r="2282" spans="15:15" x14ac:dyDescent="0.25">
      <c r="O2282" s="21"/>
    </row>
    <row r="2283" spans="15:15" x14ac:dyDescent="0.25">
      <c r="O2283" s="21"/>
    </row>
    <row r="2284" spans="15:15" x14ac:dyDescent="0.25">
      <c r="O2284" s="21"/>
    </row>
    <row r="2285" spans="15:15" x14ac:dyDescent="0.25">
      <c r="O2285" s="21"/>
    </row>
    <row r="2286" spans="15:15" x14ac:dyDescent="0.25">
      <c r="O2286" s="21"/>
    </row>
    <row r="2287" spans="15:15" x14ac:dyDescent="0.25">
      <c r="O2287" s="21"/>
    </row>
    <row r="2288" spans="15:15" x14ac:dyDescent="0.25">
      <c r="O2288" s="21"/>
    </row>
    <row r="2289" spans="15:15" x14ac:dyDescent="0.25">
      <c r="O2289" s="21"/>
    </row>
    <row r="2290" spans="15:15" x14ac:dyDescent="0.25">
      <c r="O2290" s="21"/>
    </row>
    <row r="2291" spans="15:15" x14ac:dyDescent="0.25">
      <c r="O2291" s="21"/>
    </row>
    <row r="2292" spans="15:15" x14ac:dyDescent="0.25">
      <c r="O2292" s="21"/>
    </row>
    <row r="2293" spans="15:15" x14ac:dyDescent="0.25">
      <c r="O2293" s="21"/>
    </row>
    <row r="2294" spans="15:15" x14ac:dyDescent="0.25">
      <c r="O2294" s="21"/>
    </row>
    <row r="2295" spans="15:15" x14ac:dyDescent="0.25">
      <c r="O2295" s="21"/>
    </row>
    <row r="2296" spans="15:15" x14ac:dyDescent="0.25">
      <c r="O2296" s="21"/>
    </row>
    <row r="2297" spans="15:15" x14ac:dyDescent="0.25">
      <c r="O2297" s="21"/>
    </row>
    <row r="2298" spans="15:15" x14ac:dyDescent="0.25">
      <c r="O2298" s="21"/>
    </row>
    <row r="2299" spans="15:15" x14ac:dyDescent="0.25">
      <c r="O2299" s="21"/>
    </row>
    <row r="2300" spans="15:15" x14ac:dyDescent="0.25">
      <c r="O2300" s="21"/>
    </row>
    <row r="2301" spans="15:15" x14ac:dyDescent="0.25">
      <c r="O2301" s="21"/>
    </row>
    <row r="2302" spans="15:15" x14ac:dyDescent="0.25">
      <c r="O2302" s="21"/>
    </row>
    <row r="2303" spans="15:15" x14ac:dyDescent="0.25">
      <c r="O2303" s="21"/>
    </row>
    <row r="2304" spans="15:15" x14ac:dyDescent="0.25">
      <c r="O2304" s="21"/>
    </row>
    <row r="2305" spans="15:15" x14ac:dyDescent="0.25">
      <c r="O2305" s="21"/>
    </row>
    <row r="2306" spans="15:15" x14ac:dyDescent="0.25">
      <c r="O2306" s="21"/>
    </row>
    <row r="2307" spans="15:15" x14ac:dyDescent="0.25">
      <c r="O2307" s="21"/>
    </row>
    <row r="2308" spans="15:15" x14ac:dyDescent="0.25">
      <c r="O2308" s="21"/>
    </row>
    <row r="2309" spans="15:15" x14ac:dyDescent="0.25">
      <c r="O2309" s="21"/>
    </row>
    <row r="2310" spans="15:15" x14ac:dyDescent="0.25">
      <c r="O2310" s="21"/>
    </row>
    <row r="2311" spans="15:15" x14ac:dyDescent="0.25">
      <c r="O2311" s="21"/>
    </row>
    <row r="2312" spans="15:15" x14ac:dyDescent="0.25">
      <c r="O2312" s="21"/>
    </row>
    <row r="2313" spans="15:15" x14ac:dyDescent="0.25">
      <c r="O2313" s="21"/>
    </row>
    <row r="2314" spans="15:15" x14ac:dyDescent="0.25">
      <c r="O2314" s="21"/>
    </row>
    <row r="2315" spans="15:15" x14ac:dyDescent="0.25">
      <c r="O2315" s="21"/>
    </row>
    <row r="2316" spans="15:15" x14ac:dyDescent="0.25">
      <c r="O2316" s="21"/>
    </row>
    <row r="2317" spans="15:15" x14ac:dyDescent="0.25">
      <c r="O2317" s="21"/>
    </row>
    <row r="2318" spans="15:15" x14ac:dyDescent="0.25">
      <c r="O2318" s="21"/>
    </row>
    <row r="2319" spans="15:15" x14ac:dyDescent="0.25">
      <c r="O2319" s="21"/>
    </row>
    <row r="2320" spans="15:15" x14ac:dyDescent="0.25">
      <c r="O2320" s="21"/>
    </row>
    <row r="2321" spans="15:15" x14ac:dyDescent="0.25">
      <c r="O2321" s="21"/>
    </row>
    <row r="2322" spans="15:15" x14ac:dyDescent="0.25">
      <c r="O2322" s="21"/>
    </row>
    <row r="2323" spans="15:15" x14ac:dyDescent="0.25">
      <c r="O2323" s="21"/>
    </row>
    <row r="2324" spans="15:15" x14ac:dyDescent="0.25">
      <c r="O2324" s="21"/>
    </row>
    <row r="2325" spans="15:15" x14ac:dyDescent="0.25">
      <c r="O2325" s="21"/>
    </row>
    <row r="2326" spans="15:15" x14ac:dyDescent="0.25">
      <c r="O2326" s="21"/>
    </row>
    <row r="2327" spans="15:15" x14ac:dyDescent="0.25">
      <c r="O2327" s="21"/>
    </row>
    <row r="2328" spans="15:15" x14ac:dyDescent="0.25">
      <c r="O2328" s="21"/>
    </row>
    <row r="2329" spans="15:15" x14ac:dyDescent="0.25">
      <c r="O2329" s="21"/>
    </row>
    <row r="2330" spans="15:15" x14ac:dyDescent="0.25">
      <c r="O2330" s="21"/>
    </row>
    <row r="2331" spans="15:15" x14ac:dyDescent="0.25">
      <c r="O2331" s="21"/>
    </row>
    <row r="2332" spans="15:15" x14ac:dyDescent="0.25">
      <c r="O2332" s="21"/>
    </row>
    <row r="2333" spans="15:15" x14ac:dyDescent="0.25">
      <c r="O2333" s="21"/>
    </row>
    <row r="2334" spans="15:15" x14ac:dyDescent="0.25">
      <c r="O2334" s="21"/>
    </row>
    <row r="2335" spans="15:15" x14ac:dyDescent="0.25">
      <c r="O2335" s="21"/>
    </row>
    <row r="2336" spans="15:15" x14ac:dyDescent="0.25">
      <c r="O2336" s="21"/>
    </row>
    <row r="2337" spans="15:15" x14ac:dyDescent="0.25">
      <c r="O2337" s="21"/>
    </row>
    <row r="2338" spans="15:15" x14ac:dyDescent="0.25">
      <c r="O2338" s="21"/>
    </row>
    <row r="2339" spans="15:15" x14ac:dyDescent="0.25">
      <c r="O2339" s="21"/>
    </row>
    <row r="2340" spans="15:15" x14ac:dyDescent="0.25">
      <c r="O2340" s="21"/>
    </row>
    <row r="2341" spans="15:15" x14ac:dyDescent="0.25">
      <c r="O2341" s="21"/>
    </row>
    <row r="2342" spans="15:15" x14ac:dyDescent="0.25">
      <c r="O2342" s="21"/>
    </row>
    <row r="2343" spans="15:15" x14ac:dyDescent="0.25">
      <c r="O2343" s="21"/>
    </row>
    <row r="2344" spans="15:15" x14ac:dyDescent="0.25">
      <c r="O2344" s="21"/>
    </row>
    <row r="2345" spans="15:15" x14ac:dyDescent="0.25">
      <c r="O2345" s="21"/>
    </row>
    <row r="2346" spans="15:15" x14ac:dyDescent="0.25">
      <c r="O2346" s="21"/>
    </row>
    <row r="2347" spans="15:15" x14ac:dyDescent="0.25">
      <c r="O2347" s="21"/>
    </row>
    <row r="2348" spans="15:15" x14ac:dyDescent="0.25">
      <c r="O2348" s="21"/>
    </row>
    <row r="2349" spans="15:15" x14ac:dyDescent="0.25">
      <c r="O2349" s="21"/>
    </row>
    <row r="2350" spans="15:15" x14ac:dyDescent="0.25">
      <c r="O2350" s="21"/>
    </row>
    <row r="2351" spans="15:15" x14ac:dyDescent="0.25">
      <c r="O2351" s="21"/>
    </row>
    <row r="2352" spans="15:15" x14ac:dyDescent="0.25">
      <c r="O2352" s="21"/>
    </row>
    <row r="2353" spans="15:15" x14ac:dyDescent="0.25">
      <c r="O2353" s="21"/>
    </row>
    <row r="2354" spans="15:15" x14ac:dyDescent="0.25">
      <c r="O2354" s="21"/>
    </row>
    <row r="2355" spans="15:15" x14ac:dyDescent="0.25">
      <c r="O2355" s="21"/>
    </row>
    <row r="2356" spans="15:15" x14ac:dyDescent="0.25">
      <c r="O2356" s="21"/>
    </row>
    <row r="2357" spans="15:15" x14ac:dyDescent="0.25">
      <c r="O2357" s="21"/>
    </row>
    <row r="2358" spans="15:15" x14ac:dyDescent="0.25">
      <c r="O2358" s="21"/>
    </row>
    <row r="2359" spans="15:15" x14ac:dyDescent="0.25">
      <c r="O2359" s="21"/>
    </row>
    <row r="2360" spans="15:15" x14ac:dyDescent="0.25">
      <c r="O2360" s="21"/>
    </row>
    <row r="2361" spans="15:15" x14ac:dyDescent="0.25">
      <c r="O2361" s="21"/>
    </row>
    <row r="2362" spans="15:15" x14ac:dyDescent="0.25">
      <c r="O2362" s="21"/>
    </row>
    <row r="2363" spans="15:15" x14ac:dyDescent="0.25">
      <c r="O2363" s="21"/>
    </row>
    <row r="2364" spans="15:15" x14ac:dyDescent="0.25">
      <c r="O2364" s="21"/>
    </row>
    <row r="2365" spans="15:15" x14ac:dyDescent="0.25">
      <c r="O2365" s="21"/>
    </row>
    <row r="2366" spans="15:15" x14ac:dyDescent="0.25">
      <c r="O2366" s="21"/>
    </row>
    <row r="2367" spans="15:15" x14ac:dyDescent="0.25">
      <c r="O2367" s="21"/>
    </row>
    <row r="2368" spans="15:15" x14ac:dyDescent="0.25">
      <c r="O2368" s="21"/>
    </row>
    <row r="2369" spans="15:15" x14ac:dyDescent="0.25">
      <c r="O2369" s="21"/>
    </row>
    <row r="2370" spans="15:15" x14ac:dyDescent="0.25">
      <c r="O2370" s="21"/>
    </row>
    <row r="2371" spans="15:15" x14ac:dyDescent="0.25">
      <c r="O2371" s="21"/>
    </row>
    <row r="2372" spans="15:15" x14ac:dyDescent="0.25">
      <c r="O2372" s="21"/>
    </row>
    <row r="2373" spans="15:15" x14ac:dyDescent="0.25">
      <c r="O2373" s="21"/>
    </row>
    <row r="2374" spans="15:15" x14ac:dyDescent="0.25">
      <c r="O2374" s="21"/>
    </row>
    <row r="2375" spans="15:15" x14ac:dyDescent="0.25">
      <c r="O2375" s="21"/>
    </row>
    <row r="2376" spans="15:15" x14ac:dyDescent="0.25">
      <c r="O2376" s="21"/>
    </row>
    <row r="2377" spans="15:15" x14ac:dyDescent="0.25">
      <c r="O2377" s="21"/>
    </row>
    <row r="2378" spans="15:15" x14ac:dyDescent="0.25">
      <c r="O2378" s="21"/>
    </row>
    <row r="2379" spans="15:15" x14ac:dyDescent="0.25">
      <c r="O2379" s="21"/>
    </row>
    <row r="2380" spans="15:15" x14ac:dyDescent="0.25">
      <c r="O2380" s="21"/>
    </row>
    <row r="2381" spans="15:15" x14ac:dyDescent="0.25">
      <c r="O2381" s="21"/>
    </row>
    <row r="2382" spans="15:15" x14ac:dyDescent="0.25">
      <c r="O2382" s="21"/>
    </row>
    <row r="2383" spans="15:15" x14ac:dyDescent="0.25">
      <c r="O2383" s="21"/>
    </row>
    <row r="2384" spans="15:15" x14ac:dyDescent="0.25">
      <c r="O2384" s="21"/>
    </row>
    <row r="2385" spans="15:15" x14ac:dyDescent="0.25">
      <c r="O2385" s="21"/>
    </row>
    <row r="2386" spans="15:15" x14ac:dyDescent="0.25">
      <c r="O2386" s="21"/>
    </row>
    <row r="2387" spans="15:15" x14ac:dyDescent="0.25">
      <c r="O2387" s="21"/>
    </row>
    <row r="2388" spans="15:15" x14ac:dyDescent="0.25">
      <c r="O2388" s="21"/>
    </row>
    <row r="2389" spans="15:15" x14ac:dyDescent="0.25">
      <c r="O2389" s="21"/>
    </row>
    <row r="2390" spans="15:15" x14ac:dyDescent="0.25">
      <c r="O2390" s="21"/>
    </row>
    <row r="2391" spans="15:15" x14ac:dyDescent="0.25">
      <c r="O2391" s="21"/>
    </row>
    <row r="2392" spans="15:15" x14ac:dyDescent="0.25">
      <c r="O2392" s="21"/>
    </row>
    <row r="2393" spans="15:15" x14ac:dyDescent="0.25">
      <c r="O2393" s="21"/>
    </row>
    <row r="2394" spans="15:15" x14ac:dyDescent="0.25">
      <c r="O2394" s="21"/>
    </row>
    <row r="2395" spans="15:15" x14ac:dyDescent="0.25">
      <c r="O2395" s="21"/>
    </row>
    <row r="2396" spans="15:15" x14ac:dyDescent="0.25">
      <c r="O2396" s="21"/>
    </row>
    <row r="2397" spans="15:15" x14ac:dyDescent="0.25">
      <c r="O2397" s="21"/>
    </row>
    <row r="2398" spans="15:15" x14ac:dyDescent="0.25">
      <c r="O2398" s="21"/>
    </row>
    <row r="2399" spans="15:15" x14ac:dyDescent="0.25">
      <c r="O2399" s="21"/>
    </row>
    <row r="2400" spans="15:15" x14ac:dyDescent="0.25">
      <c r="O2400" s="21"/>
    </row>
    <row r="2401" spans="15:15" x14ac:dyDescent="0.25">
      <c r="O2401" s="21"/>
    </row>
    <row r="2402" spans="15:15" x14ac:dyDescent="0.25">
      <c r="O2402" s="21"/>
    </row>
    <row r="2403" spans="15:15" x14ac:dyDescent="0.25">
      <c r="O2403" s="21"/>
    </row>
    <row r="2404" spans="15:15" x14ac:dyDescent="0.25">
      <c r="O2404" s="21"/>
    </row>
    <row r="2405" spans="15:15" x14ac:dyDescent="0.25">
      <c r="O2405" s="21"/>
    </row>
    <row r="2406" spans="15:15" x14ac:dyDescent="0.25">
      <c r="O2406" s="21"/>
    </row>
    <row r="2407" spans="15:15" x14ac:dyDescent="0.25">
      <c r="O2407" s="21"/>
    </row>
    <row r="2408" spans="15:15" x14ac:dyDescent="0.25">
      <c r="O2408" s="21"/>
    </row>
    <row r="2409" spans="15:15" x14ac:dyDescent="0.25">
      <c r="O2409" s="21"/>
    </row>
    <row r="2410" spans="15:15" x14ac:dyDescent="0.25">
      <c r="O2410" s="21"/>
    </row>
    <row r="2411" spans="15:15" x14ac:dyDescent="0.25">
      <c r="O2411" s="21"/>
    </row>
    <row r="2412" spans="15:15" x14ac:dyDescent="0.25">
      <c r="O2412" s="21"/>
    </row>
    <row r="2413" spans="15:15" x14ac:dyDescent="0.25">
      <c r="O2413" s="21"/>
    </row>
    <row r="2414" spans="15:15" x14ac:dyDescent="0.25">
      <c r="O2414" s="21"/>
    </row>
    <row r="2415" spans="15:15" x14ac:dyDescent="0.25">
      <c r="O2415" s="21"/>
    </row>
    <row r="2416" spans="15:15" x14ac:dyDescent="0.25">
      <c r="O2416" s="21"/>
    </row>
    <row r="2417" spans="15:15" x14ac:dyDescent="0.25">
      <c r="O2417" s="21"/>
    </row>
    <row r="2418" spans="15:15" x14ac:dyDescent="0.25">
      <c r="O2418" s="21"/>
    </row>
    <row r="2419" spans="15:15" x14ac:dyDescent="0.25">
      <c r="O2419" s="21"/>
    </row>
    <row r="2420" spans="15:15" x14ac:dyDescent="0.25">
      <c r="O2420" s="21"/>
    </row>
    <row r="2421" spans="15:15" x14ac:dyDescent="0.25">
      <c r="O2421" s="21"/>
    </row>
    <row r="2422" spans="15:15" x14ac:dyDescent="0.25">
      <c r="O2422" s="21"/>
    </row>
    <row r="2423" spans="15:15" x14ac:dyDescent="0.25">
      <c r="O2423" s="21"/>
    </row>
    <row r="2424" spans="15:15" x14ac:dyDescent="0.25">
      <c r="O2424" s="21"/>
    </row>
    <row r="2425" spans="15:15" x14ac:dyDescent="0.25">
      <c r="O2425" s="21"/>
    </row>
    <row r="2426" spans="15:15" x14ac:dyDescent="0.25">
      <c r="O2426" s="21"/>
    </row>
    <row r="2427" spans="15:15" x14ac:dyDescent="0.25">
      <c r="O2427" s="21"/>
    </row>
    <row r="2428" spans="15:15" x14ac:dyDescent="0.25">
      <c r="O2428" s="21"/>
    </row>
    <row r="2429" spans="15:15" x14ac:dyDescent="0.25">
      <c r="O2429" s="21"/>
    </row>
    <row r="2430" spans="15:15" x14ac:dyDescent="0.25">
      <c r="O2430" s="21"/>
    </row>
    <row r="2431" spans="15:15" x14ac:dyDescent="0.25">
      <c r="O2431" s="21"/>
    </row>
    <row r="2432" spans="15:15" x14ac:dyDescent="0.25">
      <c r="O2432" s="21"/>
    </row>
    <row r="2433" spans="15:15" x14ac:dyDescent="0.25">
      <c r="O2433" s="21"/>
    </row>
    <row r="2434" spans="15:15" x14ac:dyDescent="0.25">
      <c r="O2434" s="21"/>
    </row>
    <row r="2435" spans="15:15" x14ac:dyDescent="0.25">
      <c r="O2435" s="21"/>
    </row>
    <row r="2436" spans="15:15" x14ac:dyDescent="0.25">
      <c r="O2436" s="21"/>
    </row>
    <row r="2437" spans="15:15" x14ac:dyDescent="0.25">
      <c r="O2437" s="21"/>
    </row>
    <row r="2438" spans="15:15" x14ac:dyDescent="0.25">
      <c r="O2438" s="21"/>
    </row>
    <row r="2439" spans="15:15" x14ac:dyDescent="0.25">
      <c r="O2439" s="21"/>
    </row>
    <row r="2440" spans="15:15" x14ac:dyDescent="0.25">
      <c r="O2440" s="21"/>
    </row>
    <row r="2441" spans="15:15" x14ac:dyDescent="0.25">
      <c r="O2441" s="21"/>
    </row>
    <row r="2442" spans="15:15" x14ac:dyDescent="0.25">
      <c r="O2442" s="21"/>
    </row>
    <row r="2443" spans="15:15" x14ac:dyDescent="0.25">
      <c r="O2443" s="21"/>
    </row>
    <row r="2444" spans="15:15" x14ac:dyDescent="0.25">
      <c r="O2444" s="21"/>
    </row>
    <row r="2445" spans="15:15" x14ac:dyDescent="0.25">
      <c r="O2445" s="21"/>
    </row>
    <row r="2446" spans="15:15" x14ac:dyDescent="0.25">
      <c r="O2446" s="21"/>
    </row>
    <row r="2447" spans="15:15" x14ac:dyDescent="0.25">
      <c r="O2447" s="21"/>
    </row>
    <row r="2448" spans="15:15" x14ac:dyDescent="0.25">
      <c r="O2448" s="21"/>
    </row>
    <row r="2449" spans="15:15" x14ac:dyDescent="0.25">
      <c r="O2449" s="21"/>
    </row>
    <row r="2450" spans="15:15" x14ac:dyDescent="0.25">
      <c r="O2450" s="21"/>
    </row>
    <row r="2451" spans="15:15" x14ac:dyDescent="0.25">
      <c r="O2451" s="21"/>
    </row>
    <row r="2452" spans="15:15" x14ac:dyDescent="0.25">
      <c r="O2452" s="21"/>
    </row>
    <row r="2453" spans="15:15" x14ac:dyDescent="0.25">
      <c r="O2453" s="21"/>
    </row>
    <row r="2454" spans="15:15" x14ac:dyDescent="0.25">
      <c r="O2454" s="21"/>
    </row>
    <row r="2455" spans="15:15" x14ac:dyDescent="0.25">
      <c r="O2455" s="21"/>
    </row>
    <row r="2456" spans="15:15" x14ac:dyDescent="0.25">
      <c r="O2456" s="21"/>
    </row>
    <row r="2457" spans="15:15" x14ac:dyDescent="0.25">
      <c r="O2457" s="21"/>
    </row>
    <row r="2458" spans="15:15" x14ac:dyDescent="0.25">
      <c r="O2458" s="21"/>
    </row>
    <row r="2459" spans="15:15" x14ac:dyDescent="0.25">
      <c r="O2459" s="21"/>
    </row>
    <row r="2460" spans="15:15" x14ac:dyDescent="0.25">
      <c r="O2460" s="21"/>
    </row>
    <row r="2461" spans="15:15" x14ac:dyDescent="0.25">
      <c r="O2461" s="21"/>
    </row>
    <row r="2462" spans="15:15" x14ac:dyDescent="0.25">
      <c r="O2462" s="21"/>
    </row>
    <row r="2463" spans="15:15" x14ac:dyDescent="0.25">
      <c r="O2463" s="21"/>
    </row>
    <row r="2464" spans="15:15" x14ac:dyDescent="0.25">
      <c r="O2464" s="21"/>
    </row>
    <row r="2465" spans="15:15" x14ac:dyDescent="0.25">
      <c r="O2465" s="21"/>
    </row>
    <row r="2466" spans="15:15" x14ac:dyDescent="0.25">
      <c r="O2466" s="21"/>
    </row>
    <row r="2467" spans="15:15" x14ac:dyDescent="0.25">
      <c r="O2467" s="21"/>
    </row>
    <row r="2468" spans="15:15" x14ac:dyDescent="0.25">
      <c r="O2468" s="21"/>
    </row>
    <row r="2469" spans="15:15" x14ac:dyDescent="0.25">
      <c r="O2469" s="21"/>
    </row>
    <row r="2470" spans="15:15" x14ac:dyDescent="0.25">
      <c r="O2470" s="21"/>
    </row>
    <row r="2471" spans="15:15" x14ac:dyDescent="0.25">
      <c r="O2471" s="21"/>
    </row>
    <row r="2472" spans="15:15" x14ac:dyDescent="0.25">
      <c r="O2472" s="21"/>
    </row>
    <row r="2473" spans="15:15" x14ac:dyDescent="0.25">
      <c r="O2473" s="21"/>
    </row>
    <row r="2474" spans="15:15" x14ac:dyDescent="0.25">
      <c r="O2474" s="21"/>
    </row>
    <row r="2475" spans="15:15" x14ac:dyDescent="0.25">
      <c r="O2475" s="21"/>
    </row>
    <row r="2476" spans="15:15" x14ac:dyDescent="0.25">
      <c r="O2476" s="21"/>
    </row>
    <row r="2477" spans="15:15" x14ac:dyDescent="0.25">
      <c r="O2477" s="21"/>
    </row>
    <row r="2478" spans="15:15" x14ac:dyDescent="0.25">
      <c r="O2478" s="21"/>
    </row>
    <row r="2479" spans="15:15" x14ac:dyDescent="0.25">
      <c r="O2479" s="21"/>
    </row>
    <row r="2480" spans="15:15" x14ac:dyDescent="0.25">
      <c r="O2480" s="21"/>
    </row>
    <row r="2481" spans="15:15" x14ac:dyDescent="0.25">
      <c r="O2481" s="21"/>
    </row>
    <row r="2482" spans="15:15" x14ac:dyDescent="0.25">
      <c r="O2482" s="21"/>
    </row>
    <row r="2483" spans="15:15" x14ac:dyDescent="0.25">
      <c r="O2483" s="21"/>
    </row>
    <row r="2484" spans="15:15" x14ac:dyDescent="0.25">
      <c r="O2484" s="21"/>
    </row>
    <row r="2485" spans="15:15" x14ac:dyDescent="0.25">
      <c r="O2485" s="21"/>
    </row>
    <row r="2486" spans="15:15" x14ac:dyDescent="0.25">
      <c r="O2486" s="21"/>
    </row>
    <row r="2487" spans="15:15" x14ac:dyDescent="0.25">
      <c r="O2487" s="21"/>
    </row>
    <row r="2488" spans="15:15" x14ac:dyDescent="0.25">
      <c r="O2488" s="21"/>
    </row>
    <row r="2489" spans="15:15" x14ac:dyDescent="0.25">
      <c r="O2489" s="21"/>
    </row>
    <row r="2490" spans="15:15" x14ac:dyDescent="0.25">
      <c r="O2490" s="21"/>
    </row>
    <row r="2491" spans="15:15" x14ac:dyDescent="0.25">
      <c r="O2491" s="21"/>
    </row>
    <row r="2492" spans="15:15" x14ac:dyDescent="0.25">
      <c r="O2492" s="21"/>
    </row>
    <row r="2493" spans="15:15" x14ac:dyDescent="0.25">
      <c r="O2493" s="21"/>
    </row>
    <row r="2494" spans="15:15" x14ac:dyDescent="0.25">
      <c r="O2494" s="21"/>
    </row>
    <row r="2495" spans="15:15" x14ac:dyDescent="0.25">
      <c r="O2495" s="21"/>
    </row>
    <row r="2496" spans="15:15" x14ac:dyDescent="0.25">
      <c r="O2496" s="21"/>
    </row>
    <row r="2497" spans="15:15" x14ac:dyDescent="0.25">
      <c r="O2497" s="21"/>
    </row>
    <row r="2498" spans="15:15" x14ac:dyDescent="0.25">
      <c r="O2498" s="21"/>
    </row>
    <row r="2499" spans="15:15" x14ac:dyDescent="0.25">
      <c r="O2499" s="21"/>
    </row>
    <row r="2500" spans="15:15" x14ac:dyDescent="0.25">
      <c r="O2500" s="21"/>
    </row>
    <row r="2501" spans="15:15" x14ac:dyDescent="0.25">
      <c r="O2501" s="21"/>
    </row>
    <row r="2502" spans="15:15" x14ac:dyDescent="0.25">
      <c r="O2502" s="21"/>
    </row>
    <row r="2503" spans="15:15" x14ac:dyDescent="0.25">
      <c r="O2503" s="21"/>
    </row>
    <row r="2504" spans="15:15" x14ac:dyDescent="0.25">
      <c r="O2504" s="21"/>
    </row>
    <row r="2505" spans="15:15" x14ac:dyDescent="0.25">
      <c r="O2505" s="21"/>
    </row>
    <row r="2506" spans="15:15" x14ac:dyDescent="0.25">
      <c r="O2506" s="21"/>
    </row>
    <row r="2507" spans="15:15" x14ac:dyDescent="0.25">
      <c r="O2507" s="21"/>
    </row>
    <row r="2508" spans="15:15" x14ac:dyDescent="0.25">
      <c r="O2508" s="21"/>
    </row>
    <row r="2509" spans="15:15" x14ac:dyDescent="0.25">
      <c r="O2509" s="21"/>
    </row>
    <row r="2510" spans="15:15" x14ac:dyDescent="0.25">
      <c r="O2510" s="21"/>
    </row>
    <row r="2511" spans="15:15" x14ac:dyDescent="0.25">
      <c r="O2511" s="21"/>
    </row>
    <row r="2512" spans="15:15" x14ac:dyDescent="0.25">
      <c r="O2512" s="21"/>
    </row>
    <row r="2513" spans="15:15" x14ac:dyDescent="0.25">
      <c r="O2513" s="21"/>
    </row>
    <row r="2514" spans="15:15" x14ac:dyDescent="0.25">
      <c r="O2514" s="21"/>
    </row>
    <row r="2515" spans="15:15" x14ac:dyDescent="0.25">
      <c r="O2515" s="21"/>
    </row>
    <row r="2516" spans="15:15" x14ac:dyDescent="0.25">
      <c r="O2516" s="21"/>
    </row>
    <row r="2517" spans="15:15" x14ac:dyDescent="0.25">
      <c r="O2517" s="21"/>
    </row>
    <row r="2518" spans="15:15" x14ac:dyDescent="0.25">
      <c r="O2518" s="21"/>
    </row>
    <row r="2519" spans="15:15" x14ac:dyDescent="0.25">
      <c r="O2519" s="21"/>
    </row>
    <row r="2520" spans="15:15" x14ac:dyDescent="0.25">
      <c r="O2520" s="21"/>
    </row>
    <row r="2521" spans="15:15" x14ac:dyDescent="0.25">
      <c r="O2521" s="21"/>
    </row>
    <row r="2522" spans="15:15" x14ac:dyDescent="0.25">
      <c r="O2522" s="21"/>
    </row>
    <row r="2523" spans="15:15" x14ac:dyDescent="0.25">
      <c r="O2523" s="21"/>
    </row>
    <row r="2524" spans="15:15" x14ac:dyDescent="0.25">
      <c r="O2524" s="21"/>
    </row>
    <row r="2525" spans="15:15" x14ac:dyDescent="0.25">
      <c r="O2525" s="21"/>
    </row>
    <row r="2526" spans="15:15" x14ac:dyDescent="0.25">
      <c r="O2526" s="21"/>
    </row>
    <row r="2527" spans="15:15" x14ac:dyDescent="0.25">
      <c r="O2527" s="21"/>
    </row>
    <row r="2528" spans="15:15" x14ac:dyDescent="0.25">
      <c r="O2528" s="21"/>
    </row>
    <row r="2529" spans="15:15" x14ac:dyDescent="0.25">
      <c r="O2529" s="21"/>
    </row>
    <row r="2530" spans="15:15" x14ac:dyDescent="0.25">
      <c r="O2530" s="21"/>
    </row>
    <row r="2531" spans="15:15" x14ac:dyDescent="0.25">
      <c r="O2531" s="21"/>
    </row>
    <row r="2532" spans="15:15" x14ac:dyDescent="0.25">
      <c r="O2532" s="21"/>
    </row>
    <row r="2533" spans="15:15" x14ac:dyDescent="0.25">
      <c r="O2533" s="21"/>
    </row>
    <row r="2534" spans="15:15" x14ac:dyDescent="0.25">
      <c r="O2534" s="21"/>
    </row>
    <row r="2535" spans="15:15" x14ac:dyDescent="0.25">
      <c r="O2535" s="21"/>
    </row>
    <row r="2536" spans="15:15" x14ac:dyDescent="0.25">
      <c r="O2536" s="21"/>
    </row>
    <row r="2537" spans="15:15" x14ac:dyDescent="0.25">
      <c r="O2537" s="21"/>
    </row>
    <row r="2538" spans="15:15" x14ac:dyDescent="0.25">
      <c r="O2538" s="21"/>
    </row>
    <row r="2539" spans="15:15" x14ac:dyDescent="0.25">
      <c r="O2539" s="21"/>
    </row>
    <row r="2540" spans="15:15" x14ac:dyDescent="0.25">
      <c r="O2540" s="21"/>
    </row>
    <row r="2541" spans="15:15" x14ac:dyDescent="0.25">
      <c r="O2541" s="21"/>
    </row>
    <row r="2542" spans="15:15" x14ac:dyDescent="0.25">
      <c r="O2542" s="21"/>
    </row>
    <row r="2543" spans="15:15" x14ac:dyDescent="0.25">
      <c r="O2543" s="21"/>
    </row>
    <row r="2544" spans="15:15" x14ac:dyDescent="0.25">
      <c r="O2544" s="21"/>
    </row>
    <row r="2545" spans="15:15" x14ac:dyDescent="0.25">
      <c r="O2545" s="21"/>
    </row>
    <row r="2546" spans="15:15" x14ac:dyDescent="0.25">
      <c r="O2546" s="21"/>
    </row>
    <row r="2547" spans="15:15" x14ac:dyDescent="0.25">
      <c r="O2547" s="21"/>
    </row>
    <row r="2548" spans="15:15" x14ac:dyDescent="0.25">
      <c r="O2548" s="21"/>
    </row>
    <row r="2549" spans="15:15" x14ac:dyDescent="0.25">
      <c r="O2549" s="21"/>
    </row>
    <row r="2550" spans="15:15" x14ac:dyDescent="0.25">
      <c r="O2550" s="21"/>
    </row>
    <row r="2551" spans="15:15" x14ac:dyDescent="0.25">
      <c r="O2551" s="21"/>
    </row>
    <row r="2552" spans="15:15" x14ac:dyDescent="0.25">
      <c r="O2552" s="21"/>
    </row>
    <row r="2553" spans="15:15" x14ac:dyDescent="0.25">
      <c r="O2553" s="21"/>
    </row>
    <row r="2554" spans="15:15" x14ac:dyDescent="0.25">
      <c r="O2554" s="21"/>
    </row>
    <row r="2555" spans="15:15" x14ac:dyDescent="0.25">
      <c r="O2555" s="21"/>
    </row>
    <row r="2556" spans="15:15" x14ac:dyDescent="0.25">
      <c r="O2556" s="21"/>
    </row>
    <row r="2557" spans="15:15" x14ac:dyDescent="0.25">
      <c r="O2557" s="21"/>
    </row>
    <row r="2558" spans="15:15" x14ac:dyDescent="0.25">
      <c r="O2558" s="21"/>
    </row>
    <row r="2559" spans="15:15" x14ac:dyDescent="0.25">
      <c r="O2559" s="21"/>
    </row>
    <row r="2560" spans="15:15" x14ac:dyDescent="0.25">
      <c r="O2560" s="21"/>
    </row>
    <row r="2561" spans="15:15" x14ac:dyDescent="0.25">
      <c r="O2561" s="21"/>
    </row>
    <row r="2562" spans="15:15" x14ac:dyDescent="0.25">
      <c r="O2562" s="21"/>
    </row>
    <row r="2563" spans="15:15" x14ac:dyDescent="0.25">
      <c r="O2563" s="21"/>
    </row>
    <row r="2564" spans="15:15" x14ac:dyDescent="0.25">
      <c r="O2564" s="21"/>
    </row>
    <row r="2565" spans="15:15" x14ac:dyDescent="0.25">
      <c r="O2565" s="21"/>
    </row>
    <row r="2566" spans="15:15" x14ac:dyDescent="0.25">
      <c r="O2566" s="21"/>
    </row>
    <row r="2567" spans="15:15" x14ac:dyDescent="0.25">
      <c r="O2567" s="21"/>
    </row>
    <row r="2568" spans="15:15" x14ac:dyDescent="0.25">
      <c r="O2568" s="21"/>
    </row>
    <row r="2569" spans="15:15" x14ac:dyDescent="0.25">
      <c r="O2569" s="21"/>
    </row>
    <row r="2570" spans="15:15" x14ac:dyDescent="0.25">
      <c r="O2570" s="21"/>
    </row>
    <row r="2571" spans="15:15" x14ac:dyDescent="0.25">
      <c r="O2571" s="21"/>
    </row>
    <row r="2572" spans="15:15" x14ac:dyDescent="0.25">
      <c r="O2572" s="21"/>
    </row>
    <row r="2573" spans="15:15" x14ac:dyDescent="0.25">
      <c r="O2573" s="21"/>
    </row>
    <row r="2574" spans="15:15" x14ac:dyDescent="0.25">
      <c r="O2574" s="21"/>
    </row>
    <row r="2575" spans="15:15" x14ac:dyDescent="0.25">
      <c r="O2575" s="21"/>
    </row>
    <row r="2576" spans="15:15" x14ac:dyDescent="0.25">
      <c r="O2576" s="21"/>
    </row>
    <row r="2577" spans="15:15" x14ac:dyDescent="0.25">
      <c r="O2577" s="21"/>
    </row>
    <row r="2578" spans="15:15" x14ac:dyDescent="0.25">
      <c r="O2578" s="21"/>
    </row>
    <row r="2579" spans="15:15" x14ac:dyDescent="0.25">
      <c r="O2579" s="21"/>
    </row>
    <row r="2580" spans="15:15" x14ac:dyDescent="0.25">
      <c r="O2580" s="21"/>
    </row>
    <row r="2581" spans="15:15" x14ac:dyDescent="0.25">
      <c r="O2581" s="21"/>
    </row>
    <row r="2582" spans="15:15" x14ac:dyDescent="0.25">
      <c r="O2582" s="21"/>
    </row>
    <row r="2583" spans="15:15" x14ac:dyDescent="0.25">
      <c r="O2583" s="21"/>
    </row>
    <row r="2584" spans="15:15" x14ac:dyDescent="0.25">
      <c r="O2584" s="21"/>
    </row>
    <row r="2585" spans="15:15" x14ac:dyDescent="0.25">
      <c r="O2585" s="21"/>
    </row>
    <row r="2586" spans="15:15" x14ac:dyDescent="0.25">
      <c r="O2586" s="21"/>
    </row>
    <row r="2587" spans="15:15" x14ac:dyDescent="0.25">
      <c r="O2587" s="21"/>
    </row>
    <row r="2588" spans="15:15" x14ac:dyDescent="0.25">
      <c r="O2588" s="21"/>
    </row>
    <row r="2589" spans="15:15" x14ac:dyDescent="0.25">
      <c r="O2589" s="21"/>
    </row>
    <row r="2590" spans="15:15" x14ac:dyDescent="0.25">
      <c r="O2590" s="21"/>
    </row>
    <row r="2591" spans="15:15" x14ac:dyDescent="0.25">
      <c r="O2591" s="21"/>
    </row>
    <row r="2592" spans="15:15" x14ac:dyDescent="0.25">
      <c r="O2592" s="21"/>
    </row>
    <row r="2593" spans="15:15" x14ac:dyDescent="0.25">
      <c r="O2593" s="21"/>
    </row>
    <row r="2594" spans="15:15" x14ac:dyDescent="0.25">
      <c r="O2594" s="21"/>
    </row>
    <row r="2595" spans="15:15" x14ac:dyDescent="0.25">
      <c r="O2595" s="21"/>
    </row>
    <row r="2596" spans="15:15" x14ac:dyDescent="0.25">
      <c r="O2596" s="21"/>
    </row>
    <row r="2597" spans="15:15" x14ac:dyDescent="0.25">
      <c r="O2597" s="21"/>
    </row>
    <row r="2598" spans="15:15" x14ac:dyDescent="0.25">
      <c r="O2598" s="21"/>
    </row>
    <row r="2599" spans="15:15" x14ac:dyDescent="0.25">
      <c r="O2599" s="21"/>
    </row>
    <row r="2600" spans="15:15" x14ac:dyDescent="0.25">
      <c r="O2600" s="21"/>
    </row>
    <row r="2601" spans="15:15" x14ac:dyDescent="0.25">
      <c r="O2601" s="21"/>
    </row>
    <row r="2602" spans="15:15" x14ac:dyDescent="0.25">
      <c r="O2602" s="21"/>
    </row>
    <row r="2603" spans="15:15" x14ac:dyDescent="0.25">
      <c r="O2603" s="21"/>
    </row>
    <row r="2604" spans="15:15" x14ac:dyDescent="0.25">
      <c r="O2604" s="21"/>
    </row>
    <row r="2605" spans="15:15" x14ac:dyDescent="0.25">
      <c r="O2605" s="21"/>
    </row>
    <row r="2606" spans="15:15" x14ac:dyDescent="0.25">
      <c r="O2606" s="21"/>
    </row>
    <row r="2607" spans="15:15" x14ac:dyDescent="0.25">
      <c r="O2607" s="21"/>
    </row>
    <row r="2608" spans="15:15" x14ac:dyDescent="0.25">
      <c r="O2608" s="21"/>
    </row>
    <row r="2609" spans="15:15" x14ac:dyDescent="0.25">
      <c r="O2609" s="21"/>
    </row>
    <row r="2610" spans="15:15" x14ac:dyDescent="0.25">
      <c r="O2610" s="21"/>
    </row>
    <row r="2611" spans="15:15" x14ac:dyDescent="0.25">
      <c r="O2611" s="21"/>
    </row>
    <row r="2612" spans="15:15" x14ac:dyDescent="0.25">
      <c r="O2612" s="21"/>
    </row>
    <row r="2613" spans="15:15" x14ac:dyDescent="0.25">
      <c r="O2613" s="21"/>
    </row>
    <row r="2614" spans="15:15" x14ac:dyDescent="0.25">
      <c r="O2614" s="21"/>
    </row>
    <row r="2615" spans="15:15" x14ac:dyDescent="0.25">
      <c r="O2615" s="21"/>
    </row>
    <row r="2616" spans="15:15" x14ac:dyDescent="0.25">
      <c r="O2616" s="21"/>
    </row>
    <row r="2617" spans="15:15" x14ac:dyDescent="0.25">
      <c r="O2617" s="21"/>
    </row>
    <row r="2618" spans="15:15" x14ac:dyDescent="0.25">
      <c r="O2618" s="21"/>
    </row>
    <row r="2619" spans="15:15" x14ac:dyDescent="0.25">
      <c r="O2619" s="21"/>
    </row>
    <row r="2620" spans="15:15" x14ac:dyDescent="0.25">
      <c r="O2620" s="21"/>
    </row>
    <row r="2621" spans="15:15" x14ac:dyDescent="0.25">
      <c r="O2621" s="21"/>
    </row>
    <row r="2622" spans="15:15" x14ac:dyDescent="0.25">
      <c r="O2622" s="21"/>
    </row>
    <row r="2623" spans="15:15" x14ac:dyDescent="0.25">
      <c r="O2623" s="21"/>
    </row>
    <row r="2624" spans="15:15" x14ac:dyDescent="0.25">
      <c r="O2624" s="21"/>
    </row>
    <row r="2625" spans="15:15" x14ac:dyDescent="0.25">
      <c r="O2625" s="21"/>
    </row>
    <row r="2626" spans="15:15" x14ac:dyDescent="0.25">
      <c r="O2626" s="21"/>
    </row>
    <row r="2627" spans="15:15" x14ac:dyDescent="0.25">
      <c r="O2627" s="21"/>
    </row>
    <row r="2628" spans="15:15" x14ac:dyDescent="0.25">
      <c r="O2628" s="21"/>
    </row>
    <row r="2629" spans="15:15" x14ac:dyDescent="0.25">
      <c r="O2629" s="21"/>
    </row>
    <row r="2630" spans="15:15" x14ac:dyDescent="0.25">
      <c r="O2630" s="21"/>
    </row>
    <row r="2631" spans="15:15" x14ac:dyDescent="0.25">
      <c r="O2631" s="21"/>
    </row>
    <row r="2632" spans="15:15" x14ac:dyDescent="0.25">
      <c r="O2632" s="21"/>
    </row>
    <row r="2633" spans="15:15" x14ac:dyDescent="0.25">
      <c r="O2633" s="21"/>
    </row>
    <row r="2634" spans="15:15" x14ac:dyDescent="0.25">
      <c r="O2634" s="21"/>
    </row>
    <row r="2635" spans="15:15" x14ac:dyDescent="0.25">
      <c r="O2635" s="21"/>
    </row>
    <row r="2636" spans="15:15" x14ac:dyDescent="0.25">
      <c r="O2636" s="21"/>
    </row>
    <row r="2637" spans="15:15" x14ac:dyDescent="0.25">
      <c r="O2637" s="21"/>
    </row>
    <row r="2638" spans="15:15" x14ac:dyDescent="0.25">
      <c r="O2638" s="21"/>
    </row>
    <row r="2639" spans="15:15" x14ac:dyDescent="0.25">
      <c r="O2639" s="21"/>
    </row>
    <row r="2640" spans="15:15" x14ac:dyDescent="0.25">
      <c r="O2640" s="21"/>
    </row>
    <row r="2641" spans="15:15" x14ac:dyDescent="0.25">
      <c r="O2641" s="21"/>
    </row>
    <row r="2642" spans="15:15" x14ac:dyDescent="0.25">
      <c r="O2642" s="21"/>
    </row>
    <row r="2643" spans="15:15" x14ac:dyDescent="0.25">
      <c r="O2643" s="21"/>
    </row>
    <row r="2644" spans="15:15" x14ac:dyDescent="0.25">
      <c r="O2644" s="21"/>
    </row>
    <row r="2645" spans="15:15" x14ac:dyDescent="0.25">
      <c r="O2645" s="21"/>
    </row>
    <row r="2646" spans="15:15" x14ac:dyDescent="0.25">
      <c r="O2646" s="21"/>
    </row>
    <row r="2647" spans="15:15" x14ac:dyDescent="0.25">
      <c r="O2647" s="21"/>
    </row>
    <row r="2648" spans="15:15" x14ac:dyDescent="0.25">
      <c r="O2648" s="21"/>
    </row>
    <row r="2649" spans="15:15" x14ac:dyDescent="0.25">
      <c r="O2649" s="21"/>
    </row>
    <row r="2650" spans="15:15" x14ac:dyDescent="0.25">
      <c r="O2650" s="21"/>
    </row>
    <row r="2651" spans="15:15" x14ac:dyDescent="0.25">
      <c r="O2651" s="21"/>
    </row>
    <row r="2652" spans="15:15" x14ac:dyDescent="0.25">
      <c r="O2652" s="21"/>
    </row>
    <row r="2653" spans="15:15" x14ac:dyDescent="0.25">
      <c r="O2653" s="21"/>
    </row>
    <row r="2654" spans="15:15" x14ac:dyDescent="0.25">
      <c r="O2654" s="21"/>
    </row>
    <row r="2655" spans="15:15" x14ac:dyDescent="0.25">
      <c r="O2655" s="21"/>
    </row>
    <row r="2656" spans="15:15" x14ac:dyDescent="0.25">
      <c r="O2656" s="21"/>
    </row>
    <row r="2657" spans="15:15" x14ac:dyDescent="0.25">
      <c r="O2657" s="21"/>
    </row>
    <row r="2658" spans="15:15" x14ac:dyDescent="0.25">
      <c r="O2658" s="21"/>
    </row>
    <row r="2659" spans="15:15" x14ac:dyDescent="0.25">
      <c r="O2659" s="21"/>
    </row>
    <row r="2660" spans="15:15" x14ac:dyDescent="0.25">
      <c r="O2660" s="21"/>
    </row>
    <row r="2661" spans="15:15" x14ac:dyDescent="0.25">
      <c r="O2661" s="21"/>
    </row>
    <row r="2662" spans="15:15" x14ac:dyDescent="0.25">
      <c r="O2662" s="21"/>
    </row>
    <row r="2663" spans="15:15" x14ac:dyDescent="0.25">
      <c r="O2663" s="21"/>
    </row>
    <row r="2664" spans="15:15" x14ac:dyDescent="0.25">
      <c r="O2664" s="21"/>
    </row>
    <row r="2665" spans="15:15" x14ac:dyDescent="0.25">
      <c r="O2665" s="21"/>
    </row>
    <row r="2666" spans="15:15" x14ac:dyDescent="0.25">
      <c r="O2666" s="21"/>
    </row>
    <row r="2667" spans="15:15" x14ac:dyDescent="0.25">
      <c r="O2667" s="21"/>
    </row>
    <row r="2668" spans="15:15" x14ac:dyDescent="0.25">
      <c r="O2668" s="21"/>
    </row>
    <row r="2669" spans="15:15" x14ac:dyDescent="0.25">
      <c r="O2669" s="21"/>
    </row>
    <row r="2670" spans="15:15" x14ac:dyDescent="0.25">
      <c r="O2670" s="21"/>
    </row>
    <row r="2671" spans="15:15" x14ac:dyDescent="0.25">
      <c r="O2671" s="21"/>
    </row>
    <row r="2672" spans="15:15" x14ac:dyDescent="0.25">
      <c r="O2672" s="21"/>
    </row>
    <row r="2673" spans="15:15" x14ac:dyDescent="0.25">
      <c r="O2673" s="21"/>
    </row>
    <row r="2674" spans="15:15" x14ac:dyDescent="0.25">
      <c r="O2674" s="21"/>
    </row>
    <row r="2675" spans="15:15" x14ac:dyDescent="0.25">
      <c r="O2675" s="21"/>
    </row>
    <row r="2676" spans="15:15" x14ac:dyDescent="0.25">
      <c r="O2676" s="21"/>
    </row>
    <row r="2677" spans="15:15" x14ac:dyDescent="0.25">
      <c r="O2677" s="21"/>
    </row>
    <row r="2678" spans="15:15" x14ac:dyDescent="0.25">
      <c r="O2678" s="21"/>
    </row>
    <row r="2679" spans="15:15" x14ac:dyDescent="0.25">
      <c r="O2679" s="21"/>
    </row>
    <row r="2680" spans="15:15" x14ac:dyDescent="0.25">
      <c r="O2680" s="21"/>
    </row>
    <row r="2681" spans="15:15" x14ac:dyDescent="0.25">
      <c r="O2681" s="21"/>
    </row>
    <row r="2682" spans="15:15" x14ac:dyDescent="0.25">
      <c r="O2682" s="21"/>
    </row>
    <row r="2683" spans="15:15" x14ac:dyDescent="0.25">
      <c r="O2683" s="21"/>
    </row>
    <row r="2684" spans="15:15" x14ac:dyDescent="0.25">
      <c r="O2684" s="21"/>
    </row>
    <row r="2685" spans="15:15" x14ac:dyDescent="0.25">
      <c r="O2685" s="21"/>
    </row>
    <row r="2686" spans="15:15" x14ac:dyDescent="0.25">
      <c r="O2686" s="21"/>
    </row>
    <row r="2687" spans="15:15" x14ac:dyDescent="0.25">
      <c r="O2687" s="21"/>
    </row>
    <row r="2688" spans="15:15" x14ac:dyDescent="0.25">
      <c r="O2688" s="21"/>
    </row>
    <row r="2689" spans="15:15" x14ac:dyDescent="0.25">
      <c r="O2689" s="21"/>
    </row>
    <row r="2690" spans="15:15" x14ac:dyDescent="0.25">
      <c r="O2690" s="21"/>
    </row>
    <row r="2691" spans="15:15" x14ac:dyDescent="0.25">
      <c r="O2691" s="21"/>
    </row>
    <row r="2692" spans="15:15" x14ac:dyDescent="0.25">
      <c r="O2692" s="21"/>
    </row>
    <row r="2693" spans="15:15" x14ac:dyDescent="0.25">
      <c r="O2693" s="21"/>
    </row>
    <row r="2694" spans="15:15" x14ac:dyDescent="0.25">
      <c r="O2694" s="21"/>
    </row>
    <row r="2695" spans="15:15" x14ac:dyDescent="0.25">
      <c r="O2695" s="21"/>
    </row>
    <row r="2696" spans="15:15" x14ac:dyDescent="0.25">
      <c r="O2696" s="21"/>
    </row>
    <row r="2697" spans="15:15" x14ac:dyDescent="0.25">
      <c r="O2697" s="21"/>
    </row>
    <row r="2698" spans="15:15" x14ac:dyDescent="0.25">
      <c r="O2698" s="21"/>
    </row>
    <row r="2699" spans="15:15" x14ac:dyDescent="0.25">
      <c r="O2699" s="21"/>
    </row>
    <row r="2700" spans="15:15" x14ac:dyDescent="0.25">
      <c r="O2700" s="21"/>
    </row>
    <row r="2701" spans="15:15" x14ac:dyDescent="0.25">
      <c r="O2701" s="21"/>
    </row>
    <row r="2702" spans="15:15" x14ac:dyDescent="0.25">
      <c r="O2702" s="21"/>
    </row>
    <row r="2703" spans="15:15" x14ac:dyDescent="0.25">
      <c r="O2703" s="21"/>
    </row>
    <row r="2704" spans="15:15" x14ac:dyDescent="0.25">
      <c r="O2704" s="21"/>
    </row>
    <row r="2705" spans="15:15" x14ac:dyDescent="0.25">
      <c r="O2705" s="21"/>
    </row>
    <row r="2706" spans="15:15" x14ac:dyDescent="0.25">
      <c r="O2706" s="21"/>
    </row>
    <row r="2707" spans="15:15" x14ac:dyDescent="0.25">
      <c r="O2707" s="21"/>
    </row>
    <row r="2708" spans="15:15" x14ac:dyDescent="0.25">
      <c r="O2708" s="21"/>
    </row>
    <row r="2709" spans="15:15" x14ac:dyDescent="0.25">
      <c r="O2709" s="21"/>
    </row>
    <row r="2710" spans="15:15" x14ac:dyDescent="0.25">
      <c r="O2710" s="21"/>
    </row>
    <row r="2711" spans="15:15" x14ac:dyDescent="0.25">
      <c r="O2711" s="21"/>
    </row>
    <row r="2712" spans="15:15" x14ac:dyDescent="0.25">
      <c r="O2712" s="21"/>
    </row>
    <row r="2713" spans="15:15" x14ac:dyDescent="0.25">
      <c r="O2713" s="21"/>
    </row>
    <row r="2714" spans="15:15" x14ac:dyDescent="0.25">
      <c r="O2714" s="21"/>
    </row>
    <row r="2715" spans="15:15" x14ac:dyDescent="0.25">
      <c r="O2715" s="21"/>
    </row>
    <row r="2716" spans="15:15" x14ac:dyDescent="0.25">
      <c r="O2716" s="21"/>
    </row>
    <row r="2717" spans="15:15" x14ac:dyDescent="0.25">
      <c r="O2717" s="21"/>
    </row>
    <row r="2718" spans="15:15" x14ac:dyDescent="0.25">
      <c r="O2718" s="21"/>
    </row>
    <row r="2719" spans="15:15" x14ac:dyDescent="0.25">
      <c r="O2719" s="21"/>
    </row>
    <row r="2720" spans="15:15" x14ac:dyDescent="0.25">
      <c r="O2720" s="21"/>
    </row>
    <row r="2721" spans="15:15" x14ac:dyDescent="0.25">
      <c r="O2721" s="21"/>
    </row>
    <row r="2722" spans="15:15" x14ac:dyDescent="0.25">
      <c r="O2722" s="21"/>
    </row>
    <row r="2723" spans="15:15" x14ac:dyDescent="0.25">
      <c r="O2723" s="21"/>
    </row>
    <row r="2724" spans="15:15" x14ac:dyDescent="0.25">
      <c r="O2724" s="21"/>
    </row>
    <row r="2725" spans="15:15" x14ac:dyDescent="0.25">
      <c r="O2725" s="21"/>
    </row>
    <row r="2726" spans="15:15" x14ac:dyDescent="0.25">
      <c r="O2726" s="21"/>
    </row>
    <row r="2727" spans="15:15" x14ac:dyDescent="0.25">
      <c r="O2727" s="21"/>
    </row>
    <row r="2728" spans="15:15" x14ac:dyDescent="0.25">
      <c r="O2728" s="21"/>
    </row>
    <row r="2729" spans="15:15" x14ac:dyDescent="0.25">
      <c r="O2729" s="21"/>
    </row>
    <row r="2730" spans="15:15" x14ac:dyDescent="0.25">
      <c r="O2730" s="21"/>
    </row>
    <row r="2731" spans="15:15" x14ac:dyDescent="0.25">
      <c r="O2731" s="21"/>
    </row>
    <row r="2732" spans="15:15" x14ac:dyDescent="0.25">
      <c r="O2732" s="21"/>
    </row>
    <row r="2733" spans="15:15" x14ac:dyDescent="0.25">
      <c r="O2733" s="21"/>
    </row>
    <row r="2734" spans="15:15" x14ac:dyDescent="0.25">
      <c r="O2734" s="21"/>
    </row>
    <row r="2735" spans="15:15" x14ac:dyDescent="0.25">
      <c r="O2735" s="21"/>
    </row>
    <row r="2736" spans="15:15" x14ac:dyDescent="0.25">
      <c r="O2736" s="21"/>
    </row>
    <row r="2737" spans="15:15" x14ac:dyDescent="0.25">
      <c r="O2737" s="21"/>
    </row>
    <row r="2738" spans="15:15" x14ac:dyDescent="0.25">
      <c r="O2738" s="21"/>
    </row>
    <row r="2739" spans="15:15" x14ac:dyDescent="0.25">
      <c r="O2739" s="21"/>
    </row>
    <row r="2740" spans="15:15" x14ac:dyDescent="0.25">
      <c r="O2740" s="21"/>
    </row>
    <row r="2741" spans="15:15" x14ac:dyDescent="0.25">
      <c r="O2741" s="21"/>
    </row>
    <row r="2742" spans="15:15" x14ac:dyDescent="0.25">
      <c r="O2742" s="21"/>
    </row>
    <row r="2743" spans="15:15" x14ac:dyDescent="0.25">
      <c r="O2743" s="21"/>
    </row>
    <row r="2744" spans="15:15" x14ac:dyDescent="0.25">
      <c r="O2744" s="21"/>
    </row>
    <row r="2745" spans="15:15" x14ac:dyDescent="0.25">
      <c r="O2745" s="21"/>
    </row>
    <row r="2746" spans="15:15" x14ac:dyDescent="0.25">
      <c r="O2746" s="21"/>
    </row>
    <row r="2747" spans="15:15" x14ac:dyDescent="0.25">
      <c r="O2747" s="21"/>
    </row>
    <row r="2748" spans="15:15" x14ac:dyDescent="0.25">
      <c r="O2748" s="21"/>
    </row>
    <row r="2749" spans="15:15" x14ac:dyDescent="0.25">
      <c r="O2749" s="21"/>
    </row>
    <row r="2750" spans="15:15" x14ac:dyDescent="0.25">
      <c r="O2750" s="21"/>
    </row>
    <row r="2751" spans="15:15" x14ac:dyDescent="0.25">
      <c r="O2751" s="21"/>
    </row>
    <row r="2752" spans="15:15" x14ac:dyDescent="0.25">
      <c r="O2752" s="21"/>
    </row>
    <row r="2753" spans="15:15" x14ac:dyDescent="0.25">
      <c r="O2753" s="21"/>
    </row>
    <row r="2754" spans="15:15" x14ac:dyDescent="0.25">
      <c r="O2754" s="21"/>
    </row>
    <row r="2755" spans="15:15" x14ac:dyDescent="0.25">
      <c r="O2755" s="21"/>
    </row>
    <row r="2756" spans="15:15" x14ac:dyDescent="0.25">
      <c r="O2756" s="21"/>
    </row>
    <row r="2757" spans="15:15" x14ac:dyDescent="0.25">
      <c r="O2757" s="21"/>
    </row>
    <row r="2758" spans="15:15" x14ac:dyDescent="0.25">
      <c r="O2758" s="21"/>
    </row>
    <row r="2759" spans="15:15" x14ac:dyDescent="0.25">
      <c r="O2759" s="21"/>
    </row>
    <row r="2760" spans="15:15" x14ac:dyDescent="0.25">
      <c r="O2760" s="21"/>
    </row>
    <row r="2761" spans="15:15" x14ac:dyDescent="0.25">
      <c r="O2761" s="21"/>
    </row>
    <row r="2762" spans="15:15" x14ac:dyDescent="0.25">
      <c r="O2762" s="21"/>
    </row>
    <row r="2763" spans="15:15" x14ac:dyDescent="0.25">
      <c r="O2763" s="21"/>
    </row>
    <row r="2764" spans="15:15" x14ac:dyDescent="0.25">
      <c r="O2764" s="21"/>
    </row>
    <row r="2765" spans="15:15" x14ac:dyDescent="0.25">
      <c r="O2765" s="21"/>
    </row>
    <row r="2766" spans="15:15" x14ac:dyDescent="0.25">
      <c r="O2766" s="21"/>
    </row>
    <row r="2767" spans="15:15" x14ac:dyDescent="0.25">
      <c r="O2767" s="21"/>
    </row>
    <row r="2768" spans="15:15" x14ac:dyDescent="0.25">
      <c r="O2768" s="21"/>
    </row>
    <row r="2769" spans="15:15" x14ac:dyDescent="0.25">
      <c r="O2769" s="21"/>
    </row>
    <row r="2770" spans="15:15" x14ac:dyDescent="0.25">
      <c r="O2770" s="21"/>
    </row>
    <row r="2771" spans="15:15" x14ac:dyDescent="0.25">
      <c r="O2771" s="21"/>
    </row>
    <row r="2772" spans="15:15" x14ac:dyDescent="0.25">
      <c r="O2772" s="21"/>
    </row>
    <row r="2773" spans="15:15" x14ac:dyDescent="0.25">
      <c r="O2773" s="21"/>
    </row>
    <row r="2774" spans="15:15" x14ac:dyDescent="0.25">
      <c r="O2774" s="21"/>
    </row>
    <row r="2775" spans="15:15" x14ac:dyDescent="0.25">
      <c r="O2775" s="21"/>
    </row>
    <row r="2776" spans="15:15" x14ac:dyDescent="0.25">
      <c r="O2776" s="21"/>
    </row>
    <row r="2777" spans="15:15" x14ac:dyDescent="0.25">
      <c r="O2777" s="21"/>
    </row>
    <row r="2778" spans="15:15" x14ac:dyDescent="0.25">
      <c r="O2778" s="21"/>
    </row>
    <row r="2779" spans="15:15" x14ac:dyDescent="0.25">
      <c r="O2779" s="21"/>
    </row>
    <row r="2780" spans="15:15" x14ac:dyDescent="0.25">
      <c r="O2780" s="21"/>
    </row>
    <row r="2781" spans="15:15" x14ac:dyDescent="0.25">
      <c r="O2781" s="21"/>
    </row>
    <row r="2782" spans="15:15" x14ac:dyDescent="0.25">
      <c r="O2782" s="21"/>
    </row>
    <row r="2783" spans="15:15" x14ac:dyDescent="0.25">
      <c r="O2783" s="21"/>
    </row>
    <row r="2784" spans="15:15" x14ac:dyDescent="0.25">
      <c r="O2784" s="21"/>
    </row>
    <row r="2785" spans="15:15" x14ac:dyDescent="0.25">
      <c r="O2785" s="21"/>
    </row>
    <row r="2786" spans="15:15" x14ac:dyDescent="0.25">
      <c r="O2786" s="21"/>
    </row>
    <row r="2787" spans="15:15" x14ac:dyDescent="0.25">
      <c r="O2787" s="21"/>
    </row>
    <row r="2788" spans="15:15" x14ac:dyDescent="0.25">
      <c r="O2788" s="21"/>
    </row>
    <row r="2789" spans="15:15" x14ac:dyDescent="0.25">
      <c r="O2789" s="21"/>
    </row>
    <row r="2790" spans="15:15" x14ac:dyDescent="0.25">
      <c r="O2790" s="21"/>
    </row>
    <row r="2791" spans="15:15" x14ac:dyDescent="0.25">
      <c r="O2791" s="21"/>
    </row>
    <row r="2792" spans="15:15" x14ac:dyDescent="0.25">
      <c r="O2792" s="21"/>
    </row>
    <row r="2793" spans="15:15" x14ac:dyDescent="0.25">
      <c r="O2793" s="21"/>
    </row>
    <row r="2794" spans="15:15" x14ac:dyDescent="0.25">
      <c r="O2794" s="21"/>
    </row>
    <row r="2795" spans="15:15" x14ac:dyDescent="0.25">
      <c r="O2795" s="21"/>
    </row>
    <row r="2796" spans="15:15" x14ac:dyDescent="0.25">
      <c r="O2796" s="21"/>
    </row>
    <row r="2797" spans="15:15" x14ac:dyDescent="0.25">
      <c r="O2797" s="21"/>
    </row>
    <row r="2798" spans="15:15" x14ac:dyDescent="0.25">
      <c r="O2798" s="21"/>
    </row>
    <row r="2799" spans="15:15" x14ac:dyDescent="0.25">
      <c r="O2799" s="21"/>
    </row>
    <row r="2800" spans="15:15" x14ac:dyDescent="0.25">
      <c r="O2800" s="21"/>
    </row>
    <row r="2801" spans="15:15" x14ac:dyDescent="0.25">
      <c r="O2801" s="21"/>
    </row>
    <row r="2802" spans="15:15" x14ac:dyDescent="0.25">
      <c r="O2802" s="21"/>
    </row>
    <row r="2803" spans="15:15" x14ac:dyDescent="0.25">
      <c r="O2803" s="21"/>
    </row>
    <row r="2804" spans="15:15" x14ac:dyDescent="0.25">
      <c r="O2804" s="21"/>
    </row>
    <row r="2805" spans="15:15" x14ac:dyDescent="0.25">
      <c r="O2805" s="21"/>
    </row>
    <row r="2806" spans="15:15" x14ac:dyDescent="0.25">
      <c r="O2806" s="21"/>
    </row>
    <row r="2807" spans="15:15" x14ac:dyDescent="0.25">
      <c r="O2807" s="21"/>
    </row>
    <row r="2808" spans="15:15" x14ac:dyDescent="0.25">
      <c r="O2808" s="21"/>
    </row>
    <row r="2809" spans="15:15" x14ac:dyDescent="0.25">
      <c r="O2809" s="21"/>
    </row>
    <row r="2810" spans="15:15" x14ac:dyDescent="0.25">
      <c r="O2810" s="21"/>
    </row>
    <row r="2811" spans="15:15" x14ac:dyDescent="0.25">
      <c r="O2811" s="21"/>
    </row>
    <row r="2812" spans="15:15" x14ac:dyDescent="0.25">
      <c r="O2812" s="21"/>
    </row>
    <row r="2813" spans="15:15" x14ac:dyDescent="0.25">
      <c r="O2813" s="21"/>
    </row>
    <row r="2814" spans="15:15" x14ac:dyDescent="0.25">
      <c r="O2814" s="21"/>
    </row>
    <row r="2815" spans="15:15" x14ac:dyDescent="0.25">
      <c r="O2815" s="21"/>
    </row>
    <row r="2816" spans="15:15" x14ac:dyDescent="0.25">
      <c r="O2816" s="21"/>
    </row>
    <row r="2817" spans="15:15" x14ac:dyDescent="0.25">
      <c r="O2817" s="21"/>
    </row>
    <row r="2818" spans="15:15" x14ac:dyDescent="0.25">
      <c r="O2818" s="21"/>
    </row>
    <row r="2819" spans="15:15" x14ac:dyDescent="0.25">
      <c r="O2819" s="21"/>
    </row>
    <row r="2820" spans="15:15" x14ac:dyDescent="0.25">
      <c r="O2820" s="21"/>
    </row>
    <row r="2821" spans="15:15" x14ac:dyDescent="0.25">
      <c r="O2821" s="21"/>
    </row>
    <row r="2822" spans="15:15" x14ac:dyDescent="0.25">
      <c r="O2822" s="21"/>
    </row>
    <row r="2823" spans="15:15" x14ac:dyDescent="0.25">
      <c r="O2823" s="21"/>
    </row>
    <row r="2824" spans="15:15" x14ac:dyDescent="0.25">
      <c r="O2824" s="21"/>
    </row>
    <row r="2825" spans="15:15" x14ac:dyDescent="0.25">
      <c r="O2825" s="21"/>
    </row>
    <row r="2826" spans="15:15" x14ac:dyDescent="0.25">
      <c r="O2826" s="21"/>
    </row>
    <row r="2827" spans="15:15" x14ac:dyDescent="0.25">
      <c r="O2827" s="21"/>
    </row>
    <row r="2828" spans="15:15" x14ac:dyDescent="0.25">
      <c r="O2828" s="21"/>
    </row>
    <row r="2829" spans="15:15" x14ac:dyDescent="0.25">
      <c r="O2829" s="21"/>
    </row>
    <row r="2830" spans="15:15" x14ac:dyDescent="0.25">
      <c r="O2830" s="21"/>
    </row>
    <row r="2831" spans="15:15" x14ac:dyDescent="0.25">
      <c r="O2831" s="21"/>
    </row>
    <row r="2832" spans="15:15" x14ac:dyDescent="0.25">
      <c r="O2832" s="21"/>
    </row>
    <row r="2833" spans="15:15" x14ac:dyDescent="0.25">
      <c r="O2833" s="21"/>
    </row>
    <row r="2834" spans="15:15" x14ac:dyDescent="0.25">
      <c r="O2834" s="21"/>
    </row>
    <row r="2835" spans="15:15" x14ac:dyDescent="0.25">
      <c r="O2835" s="21"/>
    </row>
    <row r="2836" spans="15:15" x14ac:dyDescent="0.25">
      <c r="O2836" s="21"/>
    </row>
    <row r="2837" spans="15:15" x14ac:dyDescent="0.25">
      <c r="O2837" s="21"/>
    </row>
    <row r="2838" spans="15:15" x14ac:dyDescent="0.25">
      <c r="O2838" s="21"/>
    </row>
    <row r="2839" spans="15:15" x14ac:dyDescent="0.25">
      <c r="O2839" s="21"/>
    </row>
    <row r="2840" spans="15:15" x14ac:dyDescent="0.25">
      <c r="O2840" s="21"/>
    </row>
    <row r="2841" spans="15:15" x14ac:dyDescent="0.25">
      <c r="O2841" s="21"/>
    </row>
    <row r="2842" spans="15:15" x14ac:dyDescent="0.25">
      <c r="O2842" s="21"/>
    </row>
    <row r="2843" spans="15:15" x14ac:dyDescent="0.25">
      <c r="O2843" s="21"/>
    </row>
    <row r="2844" spans="15:15" x14ac:dyDescent="0.25">
      <c r="O2844" s="21"/>
    </row>
    <row r="2845" spans="15:15" x14ac:dyDescent="0.25">
      <c r="O2845" s="21"/>
    </row>
    <row r="2846" spans="15:15" x14ac:dyDescent="0.25">
      <c r="O2846" s="21"/>
    </row>
    <row r="2847" spans="15:15" x14ac:dyDescent="0.25">
      <c r="O2847" s="21"/>
    </row>
    <row r="2848" spans="15:15" x14ac:dyDescent="0.25">
      <c r="O2848" s="21"/>
    </row>
    <row r="2849" spans="15:15" x14ac:dyDescent="0.25">
      <c r="O2849" s="21"/>
    </row>
    <row r="2850" spans="15:15" x14ac:dyDescent="0.25">
      <c r="O2850" s="21"/>
    </row>
    <row r="2851" spans="15:15" x14ac:dyDescent="0.25">
      <c r="O2851" s="21"/>
    </row>
    <row r="2852" spans="15:15" x14ac:dyDescent="0.25">
      <c r="O2852" s="21"/>
    </row>
    <row r="2853" spans="15:15" x14ac:dyDescent="0.25">
      <c r="O2853" s="21"/>
    </row>
    <row r="2854" spans="15:15" x14ac:dyDescent="0.25">
      <c r="O2854" s="21"/>
    </row>
    <row r="2855" spans="15:15" x14ac:dyDescent="0.25">
      <c r="O2855" s="21"/>
    </row>
    <row r="2856" spans="15:15" x14ac:dyDescent="0.25">
      <c r="O2856" s="21"/>
    </row>
    <row r="2857" spans="15:15" x14ac:dyDescent="0.25">
      <c r="O2857" s="21"/>
    </row>
    <row r="2858" spans="15:15" x14ac:dyDescent="0.25">
      <c r="O2858" s="21"/>
    </row>
    <row r="2859" spans="15:15" x14ac:dyDescent="0.25">
      <c r="O2859" s="21"/>
    </row>
    <row r="2860" spans="15:15" x14ac:dyDescent="0.25">
      <c r="O2860" s="21"/>
    </row>
    <row r="2861" spans="15:15" x14ac:dyDescent="0.25">
      <c r="O2861" s="21"/>
    </row>
    <row r="2862" spans="15:15" x14ac:dyDescent="0.25">
      <c r="O2862" s="21"/>
    </row>
    <row r="2863" spans="15:15" x14ac:dyDescent="0.25">
      <c r="O2863" s="21"/>
    </row>
    <row r="2864" spans="15:15" x14ac:dyDescent="0.25">
      <c r="O2864" s="21"/>
    </row>
    <row r="2865" spans="15:15" x14ac:dyDescent="0.25">
      <c r="O2865" s="21"/>
    </row>
    <row r="2866" spans="15:15" x14ac:dyDescent="0.25">
      <c r="O2866" s="21"/>
    </row>
    <row r="2867" spans="15:15" x14ac:dyDescent="0.25">
      <c r="O2867" s="21"/>
    </row>
    <row r="2868" spans="15:15" x14ac:dyDescent="0.25">
      <c r="O2868" s="21"/>
    </row>
    <row r="2869" spans="15:15" x14ac:dyDescent="0.25">
      <c r="O2869" s="21"/>
    </row>
    <row r="2870" spans="15:15" x14ac:dyDescent="0.25">
      <c r="O2870" s="21"/>
    </row>
    <row r="2871" spans="15:15" x14ac:dyDescent="0.25">
      <c r="O2871" s="21"/>
    </row>
    <row r="2872" spans="15:15" x14ac:dyDescent="0.25">
      <c r="O2872" s="21"/>
    </row>
    <row r="2873" spans="15:15" x14ac:dyDescent="0.25">
      <c r="O2873" s="21"/>
    </row>
    <row r="2874" spans="15:15" x14ac:dyDescent="0.25">
      <c r="O2874" s="21"/>
    </row>
    <row r="2875" spans="15:15" x14ac:dyDescent="0.25">
      <c r="O2875" s="21"/>
    </row>
    <row r="2876" spans="15:15" x14ac:dyDescent="0.25">
      <c r="O2876" s="21"/>
    </row>
    <row r="2877" spans="15:15" x14ac:dyDescent="0.25">
      <c r="O2877" s="21"/>
    </row>
    <row r="2878" spans="15:15" x14ac:dyDescent="0.25">
      <c r="O2878" s="21"/>
    </row>
    <row r="2879" spans="15:15" x14ac:dyDescent="0.25">
      <c r="O2879" s="21"/>
    </row>
    <row r="2880" spans="15:15" x14ac:dyDescent="0.25">
      <c r="O2880" s="21"/>
    </row>
    <row r="2881" spans="15:15" x14ac:dyDescent="0.25">
      <c r="O2881" s="21"/>
    </row>
    <row r="2882" spans="15:15" x14ac:dyDescent="0.25">
      <c r="O2882" s="21"/>
    </row>
    <row r="2883" spans="15:15" x14ac:dyDescent="0.25">
      <c r="O2883" s="21"/>
    </row>
    <row r="2884" spans="15:15" x14ac:dyDescent="0.25">
      <c r="O2884" s="21"/>
    </row>
    <row r="2885" spans="15:15" x14ac:dyDescent="0.25">
      <c r="O2885" s="21"/>
    </row>
    <row r="2886" spans="15:15" x14ac:dyDescent="0.25">
      <c r="O2886" s="21"/>
    </row>
    <row r="2887" spans="15:15" x14ac:dyDescent="0.25">
      <c r="O2887" s="21"/>
    </row>
    <row r="2888" spans="15:15" x14ac:dyDescent="0.25">
      <c r="O2888" s="21"/>
    </row>
    <row r="2889" spans="15:15" x14ac:dyDescent="0.25">
      <c r="O2889" s="21"/>
    </row>
    <row r="2890" spans="15:15" x14ac:dyDescent="0.25">
      <c r="O2890" s="21"/>
    </row>
    <row r="2891" spans="15:15" x14ac:dyDescent="0.25">
      <c r="O2891" s="21"/>
    </row>
    <row r="2892" spans="15:15" x14ac:dyDescent="0.25">
      <c r="O2892" s="21"/>
    </row>
    <row r="2893" spans="15:15" x14ac:dyDescent="0.25">
      <c r="O2893" s="21"/>
    </row>
    <row r="2894" spans="15:15" x14ac:dyDescent="0.25">
      <c r="O2894" s="21"/>
    </row>
    <row r="2895" spans="15:15" x14ac:dyDescent="0.25">
      <c r="O2895" s="21"/>
    </row>
    <row r="2896" spans="15:15" x14ac:dyDescent="0.25">
      <c r="O2896" s="21"/>
    </row>
    <row r="2897" spans="15:15" x14ac:dyDescent="0.25">
      <c r="O2897" s="21"/>
    </row>
    <row r="2898" spans="15:15" x14ac:dyDescent="0.25">
      <c r="O2898" s="21"/>
    </row>
    <row r="2899" spans="15:15" x14ac:dyDescent="0.25">
      <c r="O2899" s="21"/>
    </row>
    <row r="2900" spans="15:15" x14ac:dyDescent="0.25">
      <c r="O2900" s="21"/>
    </row>
    <row r="2901" spans="15:15" x14ac:dyDescent="0.25">
      <c r="O2901" s="21"/>
    </row>
    <row r="2902" spans="15:15" x14ac:dyDescent="0.25">
      <c r="O2902" s="21"/>
    </row>
    <row r="2903" spans="15:15" x14ac:dyDescent="0.25">
      <c r="O2903" s="21"/>
    </row>
    <row r="2904" spans="15:15" x14ac:dyDescent="0.25">
      <c r="O2904" s="21"/>
    </row>
    <row r="2905" spans="15:15" x14ac:dyDescent="0.25">
      <c r="O2905" s="21"/>
    </row>
    <row r="2906" spans="15:15" x14ac:dyDescent="0.25">
      <c r="O2906" s="21"/>
    </row>
    <row r="2907" spans="15:15" x14ac:dyDescent="0.25">
      <c r="O2907" s="21"/>
    </row>
    <row r="2908" spans="15:15" x14ac:dyDescent="0.25">
      <c r="O2908" s="21"/>
    </row>
    <row r="2909" spans="15:15" x14ac:dyDescent="0.25">
      <c r="O2909" s="21"/>
    </row>
    <row r="2910" spans="15:15" x14ac:dyDescent="0.25">
      <c r="O2910" s="21"/>
    </row>
    <row r="2911" spans="15:15" x14ac:dyDescent="0.25">
      <c r="O2911" s="21"/>
    </row>
    <row r="2912" spans="15:15" x14ac:dyDescent="0.25">
      <c r="O2912" s="21"/>
    </row>
    <row r="2913" spans="15:15" x14ac:dyDescent="0.25">
      <c r="O2913" s="21"/>
    </row>
    <row r="2914" spans="15:15" x14ac:dyDescent="0.25">
      <c r="O2914" s="21"/>
    </row>
    <row r="2915" spans="15:15" x14ac:dyDescent="0.25">
      <c r="O2915" s="21"/>
    </row>
    <row r="2916" spans="15:15" x14ac:dyDescent="0.25">
      <c r="O2916" s="21"/>
    </row>
    <row r="2917" spans="15:15" x14ac:dyDescent="0.25">
      <c r="O2917" s="21"/>
    </row>
    <row r="2918" spans="15:15" x14ac:dyDescent="0.25">
      <c r="O2918" s="21"/>
    </row>
    <row r="2919" spans="15:15" x14ac:dyDescent="0.25">
      <c r="O2919" s="21"/>
    </row>
    <row r="2920" spans="15:15" x14ac:dyDescent="0.25">
      <c r="O2920" s="21"/>
    </row>
    <row r="2921" spans="15:15" x14ac:dyDescent="0.25">
      <c r="O2921" s="21"/>
    </row>
    <row r="2922" spans="15:15" x14ac:dyDescent="0.25">
      <c r="O2922" s="21"/>
    </row>
    <row r="2923" spans="15:15" x14ac:dyDescent="0.25">
      <c r="O2923" s="21"/>
    </row>
    <row r="2924" spans="15:15" x14ac:dyDescent="0.25">
      <c r="O2924" s="21"/>
    </row>
    <row r="2925" spans="15:15" x14ac:dyDescent="0.25">
      <c r="O2925" s="21"/>
    </row>
    <row r="2926" spans="15:15" x14ac:dyDescent="0.25">
      <c r="O2926" s="21"/>
    </row>
    <row r="2927" spans="15:15" x14ac:dyDescent="0.25">
      <c r="O2927" s="21"/>
    </row>
    <row r="2928" spans="15:15" x14ac:dyDescent="0.25">
      <c r="O2928" s="21"/>
    </row>
    <row r="2929" spans="15:15" x14ac:dyDescent="0.25">
      <c r="O2929" s="21"/>
    </row>
    <row r="2930" spans="15:15" x14ac:dyDescent="0.25">
      <c r="O2930" s="21"/>
    </row>
    <row r="2931" spans="15:15" x14ac:dyDescent="0.25">
      <c r="O2931" s="21"/>
    </row>
    <row r="2932" spans="15:15" x14ac:dyDescent="0.25">
      <c r="O2932" s="21"/>
    </row>
    <row r="2933" spans="15:15" x14ac:dyDescent="0.25">
      <c r="O2933" s="21"/>
    </row>
    <row r="2934" spans="15:15" x14ac:dyDescent="0.25">
      <c r="O2934" s="21"/>
    </row>
    <row r="2935" spans="15:15" x14ac:dyDescent="0.25">
      <c r="O2935" s="21"/>
    </row>
    <row r="2936" spans="15:15" x14ac:dyDescent="0.25">
      <c r="O2936" s="21"/>
    </row>
    <row r="2937" spans="15:15" x14ac:dyDescent="0.25">
      <c r="O2937" s="21"/>
    </row>
    <row r="2938" spans="15:15" x14ac:dyDescent="0.25">
      <c r="O2938" s="21"/>
    </row>
    <row r="2939" spans="15:15" x14ac:dyDescent="0.25">
      <c r="O2939" s="21"/>
    </row>
    <row r="2940" spans="15:15" x14ac:dyDescent="0.25">
      <c r="O2940" s="21"/>
    </row>
    <row r="2941" spans="15:15" x14ac:dyDescent="0.25">
      <c r="O2941" s="21"/>
    </row>
    <row r="2942" spans="15:15" x14ac:dyDescent="0.25">
      <c r="O2942" s="21"/>
    </row>
    <row r="2943" spans="15:15" x14ac:dyDescent="0.25">
      <c r="O2943" s="21"/>
    </row>
    <row r="2944" spans="15:15" x14ac:dyDescent="0.25">
      <c r="O2944" s="21"/>
    </row>
    <row r="2945" spans="15:15" x14ac:dyDescent="0.25">
      <c r="O2945" s="21"/>
    </row>
    <row r="2946" spans="15:15" x14ac:dyDescent="0.25">
      <c r="O2946" s="21"/>
    </row>
    <row r="2947" spans="15:15" x14ac:dyDescent="0.25">
      <c r="O2947" s="21"/>
    </row>
    <row r="2948" spans="15:15" x14ac:dyDescent="0.25">
      <c r="O2948" s="21"/>
    </row>
    <row r="2949" spans="15:15" x14ac:dyDescent="0.25">
      <c r="O2949" s="21"/>
    </row>
    <row r="2950" spans="15:15" x14ac:dyDescent="0.25">
      <c r="O2950" s="21"/>
    </row>
    <row r="2951" spans="15:15" x14ac:dyDescent="0.25">
      <c r="O2951" s="21"/>
    </row>
    <row r="2952" spans="15:15" x14ac:dyDescent="0.25">
      <c r="O2952" s="21"/>
    </row>
    <row r="2953" spans="15:15" x14ac:dyDescent="0.25">
      <c r="O2953" s="21"/>
    </row>
    <row r="2954" spans="15:15" x14ac:dyDescent="0.25">
      <c r="O2954" s="21"/>
    </row>
    <row r="2955" spans="15:15" x14ac:dyDescent="0.25">
      <c r="O2955" s="21"/>
    </row>
    <row r="2956" spans="15:15" x14ac:dyDescent="0.25">
      <c r="O2956" s="21"/>
    </row>
    <row r="2957" spans="15:15" x14ac:dyDescent="0.25">
      <c r="O2957" s="21"/>
    </row>
    <row r="2958" spans="15:15" x14ac:dyDescent="0.25">
      <c r="O2958" s="21"/>
    </row>
    <row r="2959" spans="15:15" x14ac:dyDescent="0.25">
      <c r="O2959" s="21"/>
    </row>
    <row r="2960" spans="15:15" x14ac:dyDescent="0.25">
      <c r="O2960" s="21"/>
    </row>
    <row r="2961" spans="15:15" x14ac:dyDescent="0.25">
      <c r="O2961" s="21"/>
    </row>
    <row r="2962" spans="15:15" x14ac:dyDescent="0.25">
      <c r="O2962" s="21"/>
    </row>
    <row r="2963" spans="15:15" x14ac:dyDescent="0.25">
      <c r="O2963" s="21"/>
    </row>
    <row r="2964" spans="15:15" x14ac:dyDescent="0.25">
      <c r="O2964" s="21"/>
    </row>
    <row r="2965" spans="15:15" x14ac:dyDescent="0.25">
      <c r="O2965" s="21"/>
    </row>
    <row r="2966" spans="15:15" x14ac:dyDescent="0.25">
      <c r="O2966" s="21"/>
    </row>
    <row r="2967" spans="15:15" x14ac:dyDescent="0.25">
      <c r="O2967" s="21"/>
    </row>
    <row r="2968" spans="15:15" x14ac:dyDescent="0.25">
      <c r="O2968" s="21"/>
    </row>
    <row r="2969" spans="15:15" x14ac:dyDescent="0.25">
      <c r="O2969" s="21"/>
    </row>
    <row r="2970" spans="15:15" x14ac:dyDescent="0.25">
      <c r="O2970" s="21"/>
    </row>
    <row r="2971" spans="15:15" x14ac:dyDescent="0.25">
      <c r="O2971" s="21"/>
    </row>
    <row r="2972" spans="15:15" x14ac:dyDescent="0.25">
      <c r="O2972" s="21"/>
    </row>
    <row r="2973" spans="15:15" x14ac:dyDescent="0.25">
      <c r="O2973" s="21"/>
    </row>
    <row r="2974" spans="15:15" x14ac:dyDescent="0.25">
      <c r="O2974" s="21"/>
    </row>
    <row r="2975" spans="15:15" x14ac:dyDescent="0.25">
      <c r="O2975" s="21"/>
    </row>
    <row r="2976" spans="15:15" x14ac:dyDescent="0.25">
      <c r="O2976" s="21"/>
    </row>
    <row r="2977" spans="15:15" x14ac:dyDescent="0.25">
      <c r="O2977" s="21"/>
    </row>
    <row r="2978" spans="15:15" x14ac:dyDescent="0.25">
      <c r="O2978" s="21"/>
    </row>
    <row r="2979" spans="15:15" x14ac:dyDescent="0.25">
      <c r="O2979" s="21"/>
    </row>
    <row r="2980" spans="15:15" x14ac:dyDescent="0.25">
      <c r="O2980" s="21"/>
    </row>
    <row r="2981" spans="15:15" x14ac:dyDescent="0.25">
      <c r="O2981" s="21"/>
    </row>
    <row r="2982" spans="15:15" x14ac:dyDescent="0.25">
      <c r="O2982" s="21"/>
    </row>
    <row r="2983" spans="15:15" x14ac:dyDescent="0.25">
      <c r="O2983" s="21"/>
    </row>
    <row r="2984" spans="15:15" x14ac:dyDescent="0.25">
      <c r="O2984" s="21"/>
    </row>
    <row r="2985" spans="15:15" x14ac:dyDescent="0.25">
      <c r="O2985" s="21"/>
    </row>
    <row r="2986" spans="15:15" x14ac:dyDescent="0.25">
      <c r="O2986" s="21"/>
    </row>
    <row r="2987" spans="15:15" x14ac:dyDescent="0.25">
      <c r="O2987" s="21"/>
    </row>
    <row r="2988" spans="15:15" x14ac:dyDescent="0.25">
      <c r="O2988" s="21"/>
    </row>
    <row r="2989" spans="15:15" x14ac:dyDescent="0.25">
      <c r="O2989" s="21"/>
    </row>
    <row r="2990" spans="15:15" x14ac:dyDescent="0.25">
      <c r="O2990" s="21"/>
    </row>
    <row r="2991" spans="15:15" x14ac:dyDescent="0.25">
      <c r="O2991" s="21"/>
    </row>
    <row r="2992" spans="15:15" x14ac:dyDescent="0.25">
      <c r="O2992" s="21"/>
    </row>
    <row r="2993" spans="15:15" x14ac:dyDescent="0.25">
      <c r="O2993" s="21"/>
    </row>
    <row r="2994" spans="15:15" x14ac:dyDescent="0.25">
      <c r="O2994" s="21"/>
    </row>
    <row r="2995" spans="15:15" x14ac:dyDescent="0.25">
      <c r="O2995" s="21"/>
    </row>
    <row r="2996" spans="15:15" x14ac:dyDescent="0.25">
      <c r="O2996" s="21"/>
    </row>
    <row r="2997" spans="15:15" x14ac:dyDescent="0.25">
      <c r="O2997" s="21"/>
    </row>
    <row r="2998" spans="15:15" x14ac:dyDescent="0.25">
      <c r="O2998" s="21"/>
    </row>
    <row r="2999" spans="15:15" x14ac:dyDescent="0.25">
      <c r="O2999" s="21"/>
    </row>
    <row r="3000" spans="15:15" x14ac:dyDescent="0.25">
      <c r="O3000" s="21"/>
    </row>
    <row r="3001" spans="15:15" x14ac:dyDescent="0.25">
      <c r="O3001" s="21"/>
    </row>
    <row r="3002" spans="15:15" x14ac:dyDescent="0.25">
      <c r="O3002" s="21"/>
    </row>
    <row r="3003" spans="15:15" x14ac:dyDescent="0.25">
      <c r="O3003" s="21"/>
    </row>
    <row r="3004" spans="15:15" x14ac:dyDescent="0.25">
      <c r="O3004" s="21"/>
    </row>
    <row r="3005" spans="15:15" x14ac:dyDescent="0.25">
      <c r="O3005" s="21"/>
    </row>
    <row r="3006" spans="15:15" x14ac:dyDescent="0.25">
      <c r="O3006" s="21"/>
    </row>
    <row r="3007" spans="15:15" x14ac:dyDescent="0.25">
      <c r="O3007" s="21"/>
    </row>
    <row r="3008" spans="15:15" x14ac:dyDescent="0.25">
      <c r="O3008" s="21"/>
    </row>
    <row r="3009" spans="15:15" x14ac:dyDescent="0.25">
      <c r="O3009" s="21"/>
    </row>
    <row r="3010" spans="15:15" x14ac:dyDescent="0.25">
      <c r="O3010" s="21"/>
    </row>
    <row r="3011" spans="15:15" x14ac:dyDescent="0.25">
      <c r="O3011" s="21"/>
    </row>
    <row r="3012" spans="15:15" x14ac:dyDescent="0.25">
      <c r="O3012" s="21"/>
    </row>
    <row r="3013" spans="15:15" x14ac:dyDescent="0.25">
      <c r="O3013" s="21"/>
    </row>
    <row r="3014" spans="15:15" x14ac:dyDescent="0.25">
      <c r="O3014" s="21"/>
    </row>
    <row r="3015" spans="15:15" x14ac:dyDescent="0.25">
      <c r="O3015" s="21"/>
    </row>
    <row r="3016" spans="15:15" x14ac:dyDescent="0.25">
      <c r="O3016" s="21"/>
    </row>
    <row r="3017" spans="15:15" x14ac:dyDescent="0.25">
      <c r="O3017" s="21"/>
    </row>
    <row r="3018" spans="15:15" x14ac:dyDescent="0.25">
      <c r="O3018" s="21"/>
    </row>
    <row r="3019" spans="15:15" x14ac:dyDescent="0.25">
      <c r="O3019" s="21"/>
    </row>
    <row r="3020" spans="15:15" x14ac:dyDescent="0.25">
      <c r="O3020" s="21"/>
    </row>
    <row r="3021" spans="15:15" x14ac:dyDescent="0.25">
      <c r="O3021" s="21"/>
    </row>
    <row r="3022" spans="15:15" x14ac:dyDescent="0.25">
      <c r="O3022" s="21"/>
    </row>
    <row r="3023" spans="15:15" x14ac:dyDescent="0.25">
      <c r="O3023" s="21"/>
    </row>
    <row r="3024" spans="15:15" x14ac:dyDescent="0.25">
      <c r="O3024" s="21"/>
    </row>
    <row r="3025" spans="15:15" x14ac:dyDescent="0.25">
      <c r="O3025" s="21"/>
    </row>
    <row r="3026" spans="15:15" x14ac:dyDescent="0.25">
      <c r="O3026" s="21"/>
    </row>
    <row r="3027" spans="15:15" x14ac:dyDescent="0.25">
      <c r="O3027" s="21"/>
    </row>
    <row r="3028" spans="15:15" x14ac:dyDescent="0.25">
      <c r="O3028" s="21"/>
    </row>
    <row r="3029" spans="15:15" x14ac:dyDescent="0.25">
      <c r="O3029" s="21"/>
    </row>
    <row r="3030" spans="15:15" x14ac:dyDescent="0.25">
      <c r="O3030" s="21"/>
    </row>
    <row r="3031" spans="15:15" x14ac:dyDescent="0.25">
      <c r="O3031" s="21"/>
    </row>
    <row r="3032" spans="15:15" x14ac:dyDescent="0.25">
      <c r="O3032" s="21"/>
    </row>
    <row r="3033" spans="15:15" x14ac:dyDescent="0.25">
      <c r="O3033" s="21"/>
    </row>
    <row r="3034" spans="15:15" x14ac:dyDescent="0.25">
      <c r="O3034" s="21"/>
    </row>
    <row r="3035" spans="15:15" x14ac:dyDescent="0.25">
      <c r="O3035" s="21"/>
    </row>
    <row r="3036" spans="15:15" x14ac:dyDescent="0.25">
      <c r="O3036" s="21"/>
    </row>
    <row r="3037" spans="15:15" x14ac:dyDescent="0.25">
      <c r="O3037" s="21"/>
    </row>
    <row r="3038" spans="15:15" x14ac:dyDescent="0.25">
      <c r="O3038" s="21"/>
    </row>
    <row r="3039" spans="15:15" x14ac:dyDescent="0.25">
      <c r="O3039" s="21"/>
    </row>
    <row r="3040" spans="15:15" x14ac:dyDescent="0.25">
      <c r="O3040" s="21"/>
    </row>
    <row r="3041" spans="15:15" x14ac:dyDescent="0.25">
      <c r="O3041" s="21"/>
    </row>
    <row r="3042" spans="15:15" x14ac:dyDescent="0.25">
      <c r="O3042" s="21"/>
    </row>
    <row r="3043" spans="15:15" x14ac:dyDescent="0.25">
      <c r="O3043" s="21"/>
    </row>
    <row r="3044" spans="15:15" x14ac:dyDescent="0.25">
      <c r="O3044" s="21"/>
    </row>
    <row r="3045" spans="15:15" x14ac:dyDescent="0.25">
      <c r="O3045" s="21"/>
    </row>
    <row r="3046" spans="15:15" x14ac:dyDescent="0.25">
      <c r="O3046" s="21"/>
    </row>
    <row r="3047" spans="15:15" x14ac:dyDescent="0.25">
      <c r="O3047" s="21"/>
    </row>
    <row r="3048" spans="15:15" x14ac:dyDescent="0.25">
      <c r="O3048" s="21"/>
    </row>
    <row r="3049" spans="15:15" x14ac:dyDescent="0.25">
      <c r="O3049" s="21"/>
    </row>
    <row r="3050" spans="15:15" x14ac:dyDescent="0.25">
      <c r="O3050" s="21"/>
    </row>
    <row r="3051" spans="15:15" x14ac:dyDescent="0.25">
      <c r="O3051" s="21"/>
    </row>
    <row r="3052" spans="15:15" x14ac:dyDescent="0.25">
      <c r="O3052" s="21"/>
    </row>
    <row r="3053" spans="15:15" x14ac:dyDescent="0.25">
      <c r="O3053" s="21"/>
    </row>
    <row r="3054" spans="15:15" x14ac:dyDescent="0.25">
      <c r="O3054" s="21"/>
    </row>
    <row r="3055" spans="15:15" x14ac:dyDescent="0.25">
      <c r="O3055" s="21"/>
    </row>
    <row r="3056" spans="15:15" x14ac:dyDescent="0.25">
      <c r="O3056" s="21"/>
    </row>
    <row r="3057" spans="15:15" x14ac:dyDescent="0.25">
      <c r="O3057" s="21"/>
    </row>
    <row r="3058" spans="15:15" x14ac:dyDescent="0.25">
      <c r="O3058" s="21"/>
    </row>
    <row r="3059" spans="15:15" x14ac:dyDescent="0.25">
      <c r="O3059" s="21"/>
    </row>
    <row r="3060" spans="15:15" x14ac:dyDescent="0.25">
      <c r="O3060" s="21"/>
    </row>
    <row r="3061" spans="15:15" x14ac:dyDescent="0.25">
      <c r="O3061" s="21"/>
    </row>
    <row r="3062" spans="15:15" x14ac:dyDescent="0.25">
      <c r="O3062" s="21"/>
    </row>
    <row r="3063" spans="15:15" x14ac:dyDescent="0.25">
      <c r="O3063" s="21"/>
    </row>
    <row r="3064" spans="15:15" x14ac:dyDescent="0.25">
      <c r="O3064" s="21"/>
    </row>
    <row r="3065" spans="15:15" x14ac:dyDescent="0.25">
      <c r="O3065" s="21"/>
    </row>
    <row r="3066" spans="15:15" x14ac:dyDescent="0.25">
      <c r="O3066" s="21"/>
    </row>
    <row r="3067" spans="15:15" x14ac:dyDescent="0.25">
      <c r="O3067" s="21"/>
    </row>
    <row r="3068" spans="15:15" x14ac:dyDescent="0.25">
      <c r="O3068" s="21"/>
    </row>
    <row r="3069" spans="15:15" x14ac:dyDescent="0.25">
      <c r="O3069" s="21"/>
    </row>
    <row r="3070" spans="15:15" x14ac:dyDescent="0.25">
      <c r="O3070" s="21"/>
    </row>
    <row r="3071" spans="15:15" x14ac:dyDescent="0.25">
      <c r="O3071" s="21"/>
    </row>
    <row r="3072" spans="15:15" x14ac:dyDescent="0.25">
      <c r="O3072" s="21"/>
    </row>
    <row r="3073" spans="15:15" x14ac:dyDescent="0.25">
      <c r="O3073" s="21"/>
    </row>
    <row r="3074" spans="15:15" x14ac:dyDescent="0.25">
      <c r="O3074" s="21"/>
    </row>
    <row r="3075" spans="15:15" x14ac:dyDescent="0.25">
      <c r="O3075" s="21"/>
    </row>
    <row r="3076" spans="15:15" x14ac:dyDescent="0.25">
      <c r="O3076" s="21"/>
    </row>
    <row r="3077" spans="15:15" x14ac:dyDescent="0.25">
      <c r="O3077" s="21"/>
    </row>
    <row r="3078" spans="15:15" x14ac:dyDescent="0.25">
      <c r="O3078" s="21"/>
    </row>
    <row r="3079" spans="15:15" x14ac:dyDescent="0.25">
      <c r="O3079" s="21"/>
    </row>
    <row r="3080" spans="15:15" x14ac:dyDescent="0.25">
      <c r="O3080" s="21"/>
    </row>
    <row r="3081" spans="15:15" x14ac:dyDescent="0.25">
      <c r="O3081" s="21"/>
    </row>
    <row r="3082" spans="15:15" x14ac:dyDescent="0.25">
      <c r="O3082" s="21"/>
    </row>
    <row r="3083" spans="15:15" x14ac:dyDescent="0.25">
      <c r="O3083" s="21"/>
    </row>
    <row r="3084" spans="15:15" x14ac:dyDescent="0.25">
      <c r="O3084" s="21"/>
    </row>
    <row r="3085" spans="15:15" x14ac:dyDescent="0.25">
      <c r="O3085" s="21"/>
    </row>
    <row r="3086" spans="15:15" x14ac:dyDescent="0.25">
      <c r="O3086" s="21"/>
    </row>
    <row r="3087" spans="15:15" x14ac:dyDescent="0.25">
      <c r="O3087" s="21"/>
    </row>
    <row r="3088" spans="15:15" x14ac:dyDescent="0.25">
      <c r="O3088" s="21"/>
    </row>
    <row r="3089" spans="15:15" x14ac:dyDescent="0.25">
      <c r="O3089" s="21"/>
    </row>
    <row r="3090" spans="15:15" x14ac:dyDescent="0.25">
      <c r="O3090" s="21"/>
    </row>
    <row r="3091" spans="15:15" x14ac:dyDescent="0.25">
      <c r="O3091" s="21"/>
    </row>
    <row r="3092" spans="15:15" x14ac:dyDescent="0.25">
      <c r="O3092" s="21"/>
    </row>
    <row r="3093" spans="15:15" x14ac:dyDescent="0.25">
      <c r="O3093" s="21"/>
    </row>
    <row r="3094" spans="15:15" x14ac:dyDescent="0.25">
      <c r="O3094" s="21"/>
    </row>
    <row r="3095" spans="15:15" x14ac:dyDescent="0.25">
      <c r="O3095" s="21"/>
    </row>
    <row r="3096" spans="15:15" x14ac:dyDescent="0.25">
      <c r="O3096" s="21"/>
    </row>
    <row r="3097" spans="15:15" x14ac:dyDescent="0.25">
      <c r="O3097" s="21"/>
    </row>
    <row r="3098" spans="15:15" x14ac:dyDescent="0.25">
      <c r="O3098" s="21"/>
    </row>
    <row r="3099" spans="15:15" x14ac:dyDescent="0.25">
      <c r="O3099" s="21"/>
    </row>
    <row r="3100" spans="15:15" x14ac:dyDescent="0.25">
      <c r="O3100" s="21"/>
    </row>
    <row r="3101" spans="15:15" x14ac:dyDescent="0.25">
      <c r="O3101" s="21"/>
    </row>
    <row r="3102" spans="15:15" x14ac:dyDescent="0.25">
      <c r="O3102" s="21"/>
    </row>
    <row r="3103" spans="15:15" x14ac:dyDescent="0.25">
      <c r="O3103" s="21"/>
    </row>
    <row r="3104" spans="15:15" x14ac:dyDescent="0.25">
      <c r="O3104" s="21"/>
    </row>
    <row r="3105" spans="15:15" x14ac:dyDescent="0.25">
      <c r="O3105" s="21"/>
    </row>
    <row r="3106" spans="15:15" x14ac:dyDescent="0.25">
      <c r="O3106" s="21"/>
    </row>
    <row r="3107" spans="15:15" x14ac:dyDescent="0.25">
      <c r="O3107" s="21"/>
    </row>
    <row r="3108" spans="15:15" x14ac:dyDescent="0.25">
      <c r="O3108" s="21"/>
    </row>
    <row r="3109" spans="15:15" x14ac:dyDescent="0.25">
      <c r="O3109" s="21"/>
    </row>
    <row r="3110" spans="15:15" x14ac:dyDescent="0.25">
      <c r="O3110" s="21"/>
    </row>
    <row r="3111" spans="15:15" x14ac:dyDescent="0.25">
      <c r="O3111" s="21"/>
    </row>
    <row r="3112" spans="15:15" x14ac:dyDescent="0.25">
      <c r="O3112" s="21"/>
    </row>
    <row r="3113" spans="15:15" x14ac:dyDescent="0.25">
      <c r="O3113" s="21"/>
    </row>
    <row r="3114" spans="15:15" x14ac:dyDescent="0.25">
      <c r="O3114" s="21"/>
    </row>
    <row r="3115" spans="15:15" x14ac:dyDescent="0.25">
      <c r="O3115" s="21"/>
    </row>
    <row r="3116" spans="15:15" x14ac:dyDescent="0.25">
      <c r="O3116" s="21"/>
    </row>
    <row r="3117" spans="15:15" x14ac:dyDescent="0.25">
      <c r="O3117" s="21"/>
    </row>
    <row r="3118" spans="15:15" x14ac:dyDescent="0.25">
      <c r="O3118" s="21"/>
    </row>
    <row r="3119" spans="15:15" x14ac:dyDescent="0.25">
      <c r="O3119" s="21"/>
    </row>
    <row r="3120" spans="15:15" x14ac:dyDescent="0.25">
      <c r="O3120" s="21"/>
    </row>
    <row r="3121" spans="15:15" x14ac:dyDescent="0.25">
      <c r="O3121" s="21"/>
    </row>
    <row r="3122" spans="15:15" x14ac:dyDescent="0.25">
      <c r="O3122" s="21"/>
    </row>
    <row r="3123" spans="15:15" x14ac:dyDescent="0.25">
      <c r="O3123" s="21"/>
    </row>
    <row r="3124" spans="15:15" x14ac:dyDescent="0.25">
      <c r="O3124" s="21"/>
    </row>
    <row r="3125" spans="15:15" x14ac:dyDescent="0.25">
      <c r="O3125" s="21"/>
    </row>
    <row r="3126" spans="15:15" x14ac:dyDescent="0.25">
      <c r="O3126" s="21"/>
    </row>
    <row r="3127" spans="15:15" x14ac:dyDescent="0.25">
      <c r="O3127" s="21"/>
    </row>
    <row r="3128" spans="15:15" x14ac:dyDescent="0.25">
      <c r="O3128" s="21"/>
    </row>
    <row r="3129" spans="15:15" x14ac:dyDescent="0.25">
      <c r="O3129" s="21"/>
    </row>
    <row r="3130" spans="15:15" x14ac:dyDescent="0.25">
      <c r="O3130" s="21"/>
    </row>
    <row r="3131" spans="15:15" x14ac:dyDescent="0.25">
      <c r="O3131" s="21"/>
    </row>
    <row r="3132" spans="15:15" x14ac:dyDescent="0.25">
      <c r="O3132" s="21"/>
    </row>
    <row r="3133" spans="15:15" x14ac:dyDescent="0.25">
      <c r="O3133" s="21"/>
    </row>
    <row r="3134" spans="15:15" x14ac:dyDescent="0.25">
      <c r="O3134" s="21"/>
    </row>
    <row r="3135" spans="15:15" x14ac:dyDescent="0.25">
      <c r="O3135" s="21"/>
    </row>
    <row r="3136" spans="15:15" x14ac:dyDescent="0.25">
      <c r="O3136" s="21"/>
    </row>
    <row r="3137" spans="15:15" x14ac:dyDescent="0.25">
      <c r="O3137" s="21"/>
    </row>
    <row r="3138" spans="15:15" x14ac:dyDescent="0.25">
      <c r="O3138" s="21"/>
    </row>
    <row r="3139" spans="15:15" x14ac:dyDescent="0.25">
      <c r="O3139" s="21"/>
    </row>
    <row r="3140" spans="15:15" x14ac:dyDescent="0.25">
      <c r="O3140" s="21"/>
    </row>
    <row r="3141" spans="15:15" x14ac:dyDescent="0.25">
      <c r="O3141" s="21"/>
    </row>
    <row r="3142" spans="15:15" x14ac:dyDescent="0.25">
      <c r="O3142" s="21"/>
    </row>
    <row r="3143" spans="15:15" x14ac:dyDescent="0.25">
      <c r="O3143" s="21"/>
    </row>
    <row r="3144" spans="15:15" x14ac:dyDescent="0.25">
      <c r="O3144" s="21"/>
    </row>
    <row r="3145" spans="15:15" x14ac:dyDescent="0.25">
      <c r="O3145" s="21"/>
    </row>
    <row r="3146" spans="15:15" x14ac:dyDescent="0.25">
      <c r="O3146" s="21"/>
    </row>
    <row r="3147" spans="15:15" x14ac:dyDescent="0.25">
      <c r="O3147" s="21"/>
    </row>
    <row r="3148" spans="15:15" x14ac:dyDescent="0.25">
      <c r="O3148" s="21"/>
    </row>
    <row r="3149" spans="15:15" x14ac:dyDescent="0.25">
      <c r="O3149" s="21"/>
    </row>
    <row r="3150" spans="15:15" x14ac:dyDescent="0.25">
      <c r="O3150" s="21"/>
    </row>
    <row r="3151" spans="15:15" x14ac:dyDescent="0.25">
      <c r="O3151" s="21"/>
    </row>
    <row r="3152" spans="15:15" x14ac:dyDescent="0.25">
      <c r="O3152" s="21"/>
    </row>
    <row r="3153" spans="15:15" x14ac:dyDescent="0.25">
      <c r="O3153" s="21"/>
    </row>
    <row r="3154" spans="15:15" x14ac:dyDescent="0.25">
      <c r="O3154" s="21"/>
    </row>
    <row r="3155" spans="15:15" x14ac:dyDescent="0.25">
      <c r="O3155" s="21"/>
    </row>
    <row r="3156" spans="15:15" x14ac:dyDescent="0.25">
      <c r="O3156" s="21"/>
    </row>
    <row r="3157" spans="15:15" x14ac:dyDescent="0.25">
      <c r="O3157" s="21"/>
    </row>
    <row r="3158" spans="15:15" x14ac:dyDescent="0.25">
      <c r="O3158" s="21"/>
    </row>
    <row r="3159" spans="15:15" x14ac:dyDescent="0.25">
      <c r="O3159" s="21"/>
    </row>
    <row r="3160" spans="15:15" x14ac:dyDescent="0.25">
      <c r="O3160" s="21"/>
    </row>
    <row r="3161" spans="15:15" x14ac:dyDescent="0.25">
      <c r="O3161" s="21"/>
    </row>
    <row r="3162" spans="15:15" x14ac:dyDescent="0.25">
      <c r="O3162" s="21"/>
    </row>
    <row r="3163" spans="15:15" x14ac:dyDescent="0.25">
      <c r="O3163" s="21"/>
    </row>
    <row r="3164" spans="15:15" x14ac:dyDescent="0.25">
      <c r="O3164" s="21"/>
    </row>
    <row r="3165" spans="15:15" x14ac:dyDescent="0.25">
      <c r="O3165" s="21"/>
    </row>
    <row r="3166" spans="15:15" x14ac:dyDescent="0.25">
      <c r="O3166" s="21"/>
    </row>
    <row r="3167" spans="15:15" x14ac:dyDescent="0.25">
      <c r="O3167" s="21"/>
    </row>
    <row r="3168" spans="15:15" x14ac:dyDescent="0.25">
      <c r="O3168" s="21"/>
    </row>
    <row r="3169" spans="15:15" x14ac:dyDescent="0.25">
      <c r="O3169" s="21"/>
    </row>
    <row r="3170" spans="15:15" x14ac:dyDescent="0.25">
      <c r="O3170" s="21"/>
    </row>
    <row r="3171" spans="15:15" x14ac:dyDescent="0.25">
      <c r="O3171" s="21"/>
    </row>
    <row r="3172" spans="15:15" x14ac:dyDescent="0.25">
      <c r="O3172" s="21"/>
    </row>
    <row r="3173" spans="15:15" x14ac:dyDescent="0.25">
      <c r="O3173" s="21"/>
    </row>
    <row r="3174" spans="15:15" x14ac:dyDescent="0.25">
      <c r="O3174" s="21"/>
    </row>
    <row r="3175" spans="15:15" x14ac:dyDescent="0.25">
      <c r="O3175" s="21"/>
    </row>
    <row r="3176" spans="15:15" x14ac:dyDescent="0.25">
      <c r="O3176" s="21"/>
    </row>
    <row r="3177" spans="15:15" x14ac:dyDescent="0.25">
      <c r="O3177" s="21"/>
    </row>
    <row r="3178" spans="15:15" x14ac:dyDescent="0.25">
      <c r="O3178" s="21"/>
    </row>
    <row r="3179" spans="15:15" x14ac:dyDescent="0.25">
      <c r="O3179" s="21"/>
    </row>
    <row r="3180" spans="15:15" x14ac:dyDescent="0.25">
      <c r="O3180" s="21"/>
    </row>
    <row r="3181" spans="15:15" x14ac:dyDescent="0.25">
      <c r="O3181" s="21"/>
    </row>
    <row r="3182" spans="15:15" x14ac:dyDescent="0.25">
      <c r="O3182" s="21"/>
    </row>
    <row r="3183" spans="15:15" x14ac:dyDescent="0.25">
      <c r="O3183" s="21"/>
    </row>
    <row r="3184" spans="15:15" x14ac:dyDescent="0.25">
      <c r="O3184" s="21"/>
    </row>
    <row r="3185" spans="15:15" x14ac:dyDescent="0.25">
      <c r="O3185" s="21"/>
    </row>
    <row r="3186" spans="15:15" x14ac:dyDescent="0.25">
      <c r="O3186" s="21"/>
    </row>
    <row r="3187" spans="15:15" x14ac:dyDescent="0.25">
      <c r="O3187" s="21"/>
    </row>
    <row r="3188" spans="15:15" x14ac:dyDescent="0.25">
      <c r="O3188" s="21"/>
    </row>
    <row r="3189" spans="15:15" x14ac:dyDescent="0.25">
      <c r="O3189" s="21"/>
    </row>
    <row r="3190" spans="15:15" x14ac:dyDescent="0.25">
      <c r="O3190" s="21"/>
    </row>
    <row r="3191" spans="15:15" x14ac:dyDescent="0.25">
      <c r="O3191" s="21"/>
    </row>
    <row r="3192" spans="15:15" x14ac:dyDescent="0.25">
      <c r="O3192" s="21"/>
    </row>
    <row r="3193" spans="15:15" x14ac:dyDescent="0.25">
      <c r="O3193" s="21"/>
    </row>
    <row r="3194" spans="15:15" x14ac:dyDescent="0.25">
      <c r="O3194" s="21"/>
    </row>
    <row r="3195" spans="15:15" x14ac:dyDescent="0.25">
      <c r="O3195" s="21"/>
    </row>
    <row r="3196" spans="15:15" x14ac:dyDescent="0.25">
      <c r="O3196" s="21"/>
    </row>
    <row r="3197" spans="15:15" x14ac:dyDescent="0.25">
      <c r="O3197" s="21"/>
    </row>
    <row r="3198" spans="15:15" x14ac:dyDescent="0.25">
      <c r="O3198" s="21"/>
    </row>
    <row r="3199" spans="15:15" x14ac:dyDescent="0.25">
      <c r="O3199" s="21"/>
    </row>
    <row r="3200" spans="15:15" x14ac:dyDescent="0.25">
      <c r="O3200" s="21"/>
    </row>
    <row r="3201" spans="15:15" x14ac:dyDescent="0.25">
      <c r="O3201" s="21"/>
    </row>
    <row r="3202" spans="15:15" x14ac:dyDescent="0.25">
      <c r="O3202" s="21"/>
    </row>
    <row r="3203" spans="15:15" x14ac:dyDescent="0.25">
      <c r="O3203" s="21"/>
    </row>
    <row r="3204" spans="15:15" x14ac:dyDescent="0.25">
      <c r="O3204" s="21"/>
    </row>
    <row r="3205" spans="15:15" x14ac:dyDescent="0.25">
      <c r="O3205" s="21"/>
    </row>
    <row r="3206" spans="15:15" x14ac:dyDescent="0.25">
      <c r="O3206" s="21"/>
    </row>
    <row r="3207" spans="15:15" x14ac:dyDescent="0.25">
      <c r="O3207" s="21"/>
    </row>
    <row r="3208" spans="15:15" x14ac:dyDescent="0.25">
      <c r="O3208" s="21"/>
    </row>
    <row r="3209" spans="15:15" x14ac:dyDescent="0.25">
      <c r="O3209" s="21"/>
    </row>
    <row r="3210" spans="15:15" x14ac:dyDescent="0.25">
      <c r="O3210" s="21"/>
    </row>
    <row r="3211" spans="15:15" x14ac:dyDescent="0.25">
      <c r="O3211" s="21"/>
    </row>
    <row r="3212" spans="15:15" x14ac:dyDescent="0.25">
      <c r="O3212" s="21"/>
    </row>
    <row r="3213" spans="15:15" x14ac:dyDescent="0.25">
      <c r="O3213" s="21"/>
    </row>
    <row r="3214" spans="15:15" x14ac:dyDescent="0.25">
      <c r="O3214" s="21"/>
    </row>
    <row r="3215" spans="15:15" x14ac:dyDescent="0.25">
      <c r="O3215" s="21"/>
    </row>
    <row r="3216" spans="15:15" x14ac:dyDescent="0.25">
      <c r="O3216" s="21"/>
    </row>
    <row r="3217" spans="15:15" x14ac:dyDescent="0.25">
      <c r="O3217" s="21"/>
    </row>
    <row r="3218" spans="15:15" x14ac:dyDescent="0.25">
      <c r="O3218" s="21"/>
    </row>
    <row r="3219" spans="15:15" x14ac:dyDescent="0.25">
      <c r="O3219" s="21"/>
    </row>
    <row r="3220" spans="15:15" x14ac:dyDescent="0.25">
      <c r="O3220" s="21"/>
    </row>
    <row r="3221" spans="15:15" x14ac:dyDescent="0.25">
      <c r="O3221" s="21"/>
    </row>
    <row r="3222" spans="15:15" x14ac:dyDescent="0.25">
      <c r="O3222" s="21"/>
    </row>
    <row r="3223" spans="15:15" x14ac:dyDescent="0.25">
      <c r="O3223" s="21"/>
    </row>
    <row r="3224" spans="15:15" x14ac:dyDescent="0.25">
      <c r="O3224" s="21"/>
    </row>
    <row r="3225" spans="15:15" x14ac:dyDescent="0.25">
      <c r="O3225" s="21"/>
    </row>
    <row r="3226" spans="15:15" x14ac:dyDescent="0.25">
      <c r="O3226" s="21"/>
    </row>
    <row r="3227" spans="15:15" x14ac:dyDescent="0.25">
      <c r="O3227" s="21"/>
    </row>
    <row r="3228" spans="15:15" x14ac:dyDescent="0.25">
      <c r="O3228" s="21"/>
    </row>
    <row r="3229" spans="15:15" x14ac:dyDescent="0.25">
      <c r="O3229" s="21"/>
    </row>
    <row r="3230" spans="15:15" x14ac:dyDescent="0.25">
      <c r="O3230" s="21"/>
    </row>
    <row r="3231" spans="15:15" x14ac:dyDescent="0.25">
      <c r="O3231" s="21"/>
    </row>
    <row r="3232" spans="15:15" x14ac:dyDescent="0.25">
      <c r="O3232" s="21"/>
    </row>
    <row r="3233" spans="15:15" x14ac:dyDescent="0.25">
      <c r="O3233" s="21"/>
    </row>
    <row r="3234" spans="15:15" x14ac:dyDescent="0.25">
      <c r="O3234" s="21"/>
    </row>
    <row r="3235" spans="15:15" x14ac:dyDescent="0.25">
      <c r="O3235" s="21"/>
    </row>
    <row r="3236" spans="15:15" x14ac:dyDescent="0.25">
      <c r="O3236" s="21"/>
    </row>
    <row r="3237" spans="15:15" x14ac:dyDescent="0.25">
      <c r="O3237" s="21"/>
    </row>
    <row r="3238" spans="15:15" x14ac:dyDescent="0.25">
      <c r="O3238" s="21"/>
    </row>
    <row r="3239" spans="15:15" x14ac:dyDescent="0.25">
      <c r="O3239" s="21"/>
    </row>
    <row r="3240" spans="15:15" x14ac:dyDescent="0.25">
      <c r="O3240" s="21"/>
    </row>
    <row r="3241" spans="15:15" x14ac:dyDescent="0.25">
      <c r="O3241" s="21"/>
    </row>
    <row r="3242" spans="15:15" x14ac:dyDescent="0.25">
      <c r="O3242" s="21"/>
    </row>
    <row r="3243" spans="15:15" x14ac:dyDescent="0.25">
      <c r="O3243" s="21"/>
    </row>
    <row r="3244" spans="15:15" x14ac:dyDescent="0.25">
      <c r="O3244" s="21"/>
    </row>
    <row r="3245" spans="15:15" x14ac:dyDescent="0.25">
      <c r="O3245" s="21"/>
    </row>
    <row r="3246" spans="15:15" x14ac:dyDescent="0.25">
      <c r="O3246" s="21"/>
    </row>
    <row r="3247" spans="15:15" x14ac:dyDescent="0.25">
      <c r="O3247" s="21"/>
    </row>
    <row r="3248" spans="15:15" x14ac:dyDescent="0.25">
      <c r="O3248" s="21"/>
    </row>
    <row r="3249" spans="15:15" x14ac:dyDescent="0.25">
      <c r="O3249" s="21"/>
    </row>
    <row r="3250" spans="15:15" x14ac:dyDescent="0.25">
      <c r="O3250" s="21"/>
    </row>
    <row r="3251" spans="15:15" x14ac:dyDescent="0.25">
      <c r="O3251" s="21"/>
    </row>
    <row r="3252" spans="15:15" x14ac:dyDescent="0.25">
      <c r="O3252" s="21"/>
    </row>
    <row r="3253" spans="15:15" x14ac:dyDescent="0.25">
      <c r="O3253" s="21"/>
    </row>
    <row r="3254" spans="15:15" x14ac:dyDescent="0.25">
      <c r="O3254" s="21"/>
    </row>
    <row r="3255" spans="15:15" x14ac:dyDescent="0.25">
      <c r="O3255" s="21"/>
    </row>
    <row r="3256" spans="15:15" x14ac:dyDescent="0.25">
      <c r="O3256" s="21"/>
    </row>
    <row r="3257" spans="15:15" x14ac:dyDescent="0.25">
      <c r="O3257" s="21"/>
    </row>
    <row r="3258" spans="15:15" x14ac:dyDescent="0.25">
      <c r="O3258" s="21"/>
    </row>
    <row r="3259" spans="15:15" x14ac:dyDescent="0.25">
      <c r="O3259" s="21"/>
    </row>
    <row r="3260" spans="15:15" x14ac:dyDescent="0.25">
      <c r="O3260" s="21"/>
    </row>
    <row r="3261" spans="15:15" x14ac:dyDescent="0.25">
      <c r="O3261" s="21"/>
    </row>
    <row r="3262" spans="15:15" x14ac:dyDescent="0.25">
      <c r="O3262" s="21"/>
    </row>
    <row r="3263" spans="15:15" x14ac:dyDescent="0.25">
      <c r="O3263" s="21"/>
    </row>
    <row r="3264" spans="15:15" x14ac:dyDescent="0.25">
      <c r="O3264" s="21"/>
    </row>
    <row r="3265" spans="15:15" x14ac:dyDescent="0.25">
      <c r="O3265" s="21"/>
    </row>
    <row r="3266" spans="15:15" x14ac:dyDescent="0.25">
      <c r="O3266" s="21"/>
    </row>
    <row r="3267" spans="15:15" x14ac:dyDescent="0.25">
      <c r="O3267" s="21"/>
    </row>
    <row r="3268" spans="15:15" x14ac:dyDescent="0.25">
      <c r="O3268" s="21"/>
    </row>
    <row r="3269" spans="15:15" x14ac:dyDescent="0.25">
      <c r="O3269" s="21"/>
    </row>
    <row r="3270" spans="15:15" x14ac:dyDescent="0.25">
      <c r="O3270" s="21"/>
    </row>
    <row r="3271" spans="15:15" x14ac:dyDescent="0.25">
      <c r="O3271" s="21"/>
    </row>
    <row r="3272" spans="15:15" x14ac:dyDescent="0.25">
      <c r="O3272" s="21"/>
    </row>
    <row r="3273" spans="15:15" x14ac:dyDescent="0.25">
      <c r="O3273" s="21"/>
    </row>
    <row r="3274" spans="15:15" x14ac:dyDescent="0.25">
      <c r="O3274" s="21"/>
    </row>
    <row r="3275" spans="15:15" x14ac:dyDescent="0.25">
      <c r="O3275" s="21"/>
    </row>
    <row r="3276" spans="15:15" x14ac:dyDescent="0.25">
      <c r="O3276" s="21"/>
    </row>
    <row r="3277" spans="15:15" x14ac:dyDescent="0.25">
      <c r="O3277" s="21"/>
    </row>
    <row r="3278" spans="15:15" x14ac:dyDescent="0.25">
      <c r="O3278" s="21"/>
    </row>
    <row r="3279" spans="15:15" x14ac:dyDescent="0.25">
      <c r="O3279" s="21"/>
    </row>
    <row r="3280" spans="15:15" x14ac:dyDescent="0.25">
      <c r="O3280" s="21"/>
    </row>
    <row r="3281" spans="15:15" x14ac:dyDescent="0.25">
      <c r="O3281" s="21"/>
    </row>
    <row r="3282" spans="15:15" x14ac:dyDescent="0.25">
      <c r="O3282" s="21"/>
    </row>
    <row r="3283" spans="15:15" x14ac:dyDescent="0.25">
      <c r="O3283" s="21"/>
    </row>
    <row r="3284" spans="15:15" x14ac:dyDescent="0.25">
      <c r="O3284" s="21"/>
    </row>
    <row r="3285" spans="15:15" x14ac:dyDescent="0.25">
      <c r="O3285" s="21"/>
    </row>
    <row r="3286" spans="15:15" x14ac:dyDescent="0.25">
      <c r="O3286" s="21"/>
    </row>
    <row r="3287" spans="15:15" x14ac:dyDescent="0.25">
      <c r="O3287" s="21"/>
    </row>
    <row r="3288" spans="15:15" x14ac:dyDescent="0.25">
      <c r="O3288" s="21"/>
    </row>
    <row r="3289" spans="15:15" x14ac:dyDescent="0.25">
      <c r="O3289" s="21"/>
    </row>
    <row r="3290" spans="15:15" x14ac:dyDescent="0.25">
      <c r="O3290" s="21"/>
    </row>
    <row r="3291" spans="15:15" x14ac:dyDescent="0.25">
      <c r="O3291" s="21"/>
    </row>
    <row r="3292" spans="15:15" x14ac:dyDescent="0.25">
      <c r="O3292" s="21"/>
    </row>
    <row r="3293" spans="15:15" x14ac:dyDescent="0.25">
      <c r="O3293" s="21"/>
    </row>
    <row r="3294" spans="15:15" x14ac:dyDescent="0.25">
      <c r="O3294" s="21"/>
    </row>
    <row r="3295" spans="15:15" x14ac:dyDescent="0.25">
      <c r="O3295" s="21"/>
    </row>
    <row r="3296" spans="15:15" x14ac:dyDescent="0.25">
      <c r="O3296" s="21"/>
    </row>
    <row r="3297" spans="15:15" x14ac:dyDescent="0.25">
      <c r="O3297" s="21"/>
    </row>
    <row r="3298" spans="15:15" x14ac:dyDescent="0.25">
      <c r="O3298" s="21"/>
    </row>
    <row r="3299" spans="15:15" x14ac:dyDescent="0.25">
      <c r="O3299" s="21"/>
    </row>
    <row r="3300" spans="15:15" x14ac:dyDescent="0.25">
      <c r="O3300" s="21"/>
    </row>
    <row r="3301" spans="15:15" x14ac:dyDescent="0.25">
      <c r="O3301" s="21"/>
    </row>
    <row r="3302" spans="15:15" x14ac:dyDescent="0.25">
      <c r="O3302" s="21"/>
    </row>
    <row r="3303" spans="15:15" x14ac:dyDescent="0.25">
      <c r="O3303" s="21"/>
    </row>
    <row r="3304" spans="15:15" x14ac:dyDescent="0.25">
      <c r="O3304" s="21"/>
    </row>
    <row r="3305" spans="15:15" x14ac:dyDescent="0.25">
      <c r="O3305" s="21"/>
    </row>
    <row r="3306" spans="15:15" x14ac:dyDescent="0.25">
      <c r="O3306" s="21"/>
    </row>
    <row r="3307" spans="15:15" x14ac:dyDescent="0.25">
      <c r="O3307" s="21"/>
    </row>
    <row r="3308" spans="15:15" x14ac:dyDescent="0.25">
      <c r="O3308" s="21"/>
    </row>
    <row r="3309" spans="15:15" x14ac:dyDescent="0.25">
      <c r="O3309" s="21"/>
    </row>
    <row r="3310" spans="15:15" x14ac:dyDescent="0.25">
      <c r="O3310" s="21"/>
    </row>
    <row r="3311" spans="15:15" x14ac:dyDescent="0.25">
      <c r="O3311" s="21"/>
    </row>
    <row r="3312" spans="15:15" x14ac:dyDescent="0.25">
      <c r="O3312" s="21"/>
    </row>
    <row r="3313" spans="15:15" x14ac:dyDescent="0.25">
      <c r="O3313" s="21"/>
    </row>
    <row r="3314" spans="15:15" x14ac:dyDescent="0.25">
      <c r="O3314" s="21"/>
    </row>
    <row r="3315" spans="15:15" x14ac:dyDescent="0.25">
      <c r="O3315" s="21"/>
    </row>
    <row r="3316" spans="15:15" x14ac:dyDescent="0.25">
      <c r="O3316" s="21"/>
    </row>
    <row r="3317" spans="15:15" x14ac:dyDescent="0.25">
      <c r="O3317" s="21"/>
    </row>
    <row r="3318" spans="15:15" x14ac:dyDescent="0.25">
      <c r="O3318" s="21"/>
    </row>
    <row r="3319" spans="15:15" x14ac:dyDescent="0.25">
      <c r="O3319" s="21"/>
    </row>
    <row r="3320" spans="15:15" x14ac:dyDescent="0.25">
      <c r="O3320" s="21"/>
    </row>
    <row r="3321" spans="15:15" x14ac:dyDescent="0.25">
      <c r="O3321" s="21"/>
    </row>
    <row r="3322" spans="15:15" x14ac:dyDescent="0.25">
      <c r="O3322" s="21"/>
    </row>
    <row r="3323" spans="15:15" x14ac:dyDescent="0.25">
      <c r="O3323" s="21"/>
    </row>
    <row r="3324" spans="15:15" x14ac:dyDescent="0.25">
      <c r="O3324" s="21"/>
    </row>
    <row r="3325" spans="15:15" x14ac:dyDescent="0.25">
      <c r="O3325" s="21"/>
    </row>
    <row r="3326" spans="15:15" x14ac:dyDescent="0.25">
      <c r="O3326" s="21"/>
    </row>
    <row r="3327" spans="15:15" x14ac:dyDescent="0.25">
      <c r="O3327" s="21"/>
    </row>
    <row r="3328" spans="15:15" x14ac:dyDescent="0.25">
      <c r="O3328" s="21"/>
    </row>
    <row r="3329" spans="15:15" x14ac:dyDescent="0.25">
      <c r="O3329" s="21"/>
    </row>
    <row r="3330" spans="15:15" x14ac:dyDescent="0.25">
      <c r="O3330" s="21"/>
    </row>
    <row r="3331" spans="15:15" x14ac:dyDescent="0.25">
      <c r="O3331" s="21"/>
    </row>
    <row r="3332" spans="15:15" x14ac:dyDescent="0.25">
      <c r="O3332" s="21"/>
    </row>
    <row r="3333" spans="15:15" x14ac:dyDescent="0.25">
      <c r="O3333" s="21"/>
    </row>
    <row r="3334" spans="15:15" x14ac:dyDescent="0.25">
      <c r="O3334" s="21"/>
    </row>
    <row r="3335" spans="15:15" x14ac:dyDescent="0.25">
      <c r="O3335" s="21"/>
    </row>
    <row r="3336" spans="15:15" x14ac:dyDescent="0.25">
      <c r="O3336" s="21"/>
    </row>
    <row r="3337" spans="15:15" x14ac:dyDescent="0.25">
      <c r="O3337" s="21"/>
    </row>
    <row r="3338" spans="15:15" x14ac:dyDescent="0.25">
      <c r="O3338" s="21"/>
    </row>
    <row r="3339" spans="15:15" x14ac:dyDescent="0.25">
      <c r="O3339" s="21"/>
    </row>
    <row r="3340" spans="15:15" x14ac:dyDescent="0.25">
      <c r="O3340" s="21"/>
    </row>
    <row r="3341" spans="15:15" x14ac:dyDescent="0.25">
      <c r="O3341" s="21"/>
    </row>
    <row r="3342" spans="15:15" x14ac:dyDescent="0.25">
      <c r="O3342" s="21"/>
    </row>
    <row r="3343" spans="15:15" x14ac:dyDescent="0.25">
      <c r="O3343" s="21"/>
    </row>
    <row r="3344" spans="15:15" x14ac:dyDescent="0.25">
      <c r="O3344" s="21"/>
    </row>
    <row r="3345" spans="15:15" x14ac:dyDescent="0.25">
      <c r="O3345" s="21"/>
    </row>
    <row r="3346" spans="15:15" x14ac:dyDescent="0.25">
      <c r="O3346" s="21"/>
    </row>
    <row r="3347" spans="15:15" x14ac:dyDescent="0.25">
      <c r="O3347" s="21"/>
    </row>
    <row r="3348" spans="15:15" x14ac:dyDescent="0.25">
      <c r="O3348" s="21"/>
    </row>
    <row r="3349" spans="15:15" x14ac:dyDescent="0.25">
      <c r="O3349" s="21"/>
    </row>
    <row r="3350" spans="15:15" x14ac:dyDescent="0.25">
      <c r="O3350" s="21"/>
    </row>
    <row r="3351" spans="15:15" x14ac:dyDescent="0.25">
      <c r="O3351" s="21"/>
    </row>
    <row r="3352" spans="15:15" x14ac:dyDescent="0.25">
      <c r="O3352" s="21"/>
    </row>
    <row r="3353" spans="15:15" x14ac:dyDescent="0.25">
      <c r="O3353" s="21"/>
    </row>
    <row r="3354" spans="15:15" x14ac:dyDescent="0.25">
      <c r="O3354" s="21"/>
    </row>
    <row r="3355" spans="15:15" x14ac:dyDescent="0.25">
      <c r="O3355" s="21"/>
    </row>
    <row r="3356" spans="15:15" x14ac:dyDescent="0.25">
      <c r="O3356" s="21"/>
    </row>
    <row r="3357" spans="15:15" x14ac:dyDescent="0.25">
      <c r="O3357" s="21"/>
    </row>
    <row r="3358" spans="15:15" x14ac:dyDescent="0.25">
      <c r="O3358" s="21"/>
    </row>
    <row r="3359" spans="15:15" x14ac:dyDescent="0.25">
      <c r="O3359" s="21"/>
    </row>
    <row r="3360" spans="15:15" x14ac:dyDescent="0.25">
      <c r="O3360" s="21"/>
    </row>
    <row r="3361" spans="15:15" x14ac:dyDescent="0.25">
      <c r="O3361" s="21"/>
    </row>
    <row r="3362" spans="15:15" x14ac:dyDescent="0.25">
      <c r="O3362" s="21"/>
    </row>
    <row r="3363" spans="15:15" x14ac:dyDescent="0.25">
      <c r="O3363" s="21"/>
    </row>
    <row r="3364" spans="15:15" x14ac:dyDescent="0.25">
      <c r="O3364" s="21"/>
    </row>
    <row r="3365" spans="15:15" x14ac:dyDescent="0.25">
      <c r="O3365" s="21"/>
    </row>
    <row r="3366" spans="15:15" x14ac:dyDescent="0.25">
      <c r="O3366" s="21"/>
    </row>
    <row r="3367" spans="15:15" x14ac:dyDescent="0.25">
      <c r="O3367" s="21"/>
    </row>
    <row r="3368" spans="15:15" x14ac:dyDescent="0.25">
      <c r="O3368" s="21"/>
    </row>
    <row r="3369" spans="15:15" x14ac:dyDescent="0.25">
      <c r="O3369" s="21"/>
    </row>
    <row r="3370" spans="15:15" x14ac:dyDescent="0.25">
      <c r="O3370" s="21"/>
    </row>
    <row r="3371" spans="15:15" x14ac:dyDescent="0.25">
      <c r="O3371" s="21"/>
    </row>
    <row r="3372" spans="15:15" x14ac:dyDescent="0.25">
      <c r="O3372" s="21"/>
    </row>
    <row r="3373" spans="15:15" x14ac:dyDescent="0.25">
      <c r="O3373" s="21"/>
    </row>
    <row r="3374" spans="15:15" x14ac:dyDescent="0.25">
      <c r="O3374" s="21"/>
    </row>
    <row r="3375" spans="15:15" x14ac:dyDescent="0.25">
      <c r="O3375" s="21"/>
    </row>
    <row r="3376" spans="15:15" x14ac:dyDescent="0.25">
      <c r="O3376" s="21"/>
    </row>
    <row r="3377" spans="15:15" x14ac:dyDescent="0.25">
      <c r="O3377" s="21"/>
    </row>
    <row r="3378" spans="15:15" x14ac:dyDescent="0.25">
      <c r="O3378" s="21"/>
    </row>
    <row r="3379" spans="15:15" x14ac:dyDescent="0.25">
      <c r="O3379" s="21"/>
    </row>
    <row r="3380" spans="15:15" x14ac:dyDescent="0.25">
      <c r="O3380" s="21"/>
    </row>
    <row r="3381" spans="15:15" x14ac:dyDescent="0.25">
      <c r="O3381" s="21"/>
    </row>
    <row r="3382" spans="15:15" x14ac:dyDescent="0.25">
      <c r="O3382" s="21"/>
    </row>
    <row r="3383" spans="15:15" x14ac:dyDescent="0.25">
      <c r="O3383" s="21"/>
    </row>
    <row r="3384" spans="15:15" x14ac:dyDescent="0.25">
      <c r="O3384" s="21"/>
    </row>
    <row r="3385" spans="15:15" x14ac:dyDescent="0.25">
      <c r="O3385" s="21"/>
    </row>
    <row r="3386" spans="15:15" x14ac:dyDescent="0.25">
      <c r="O3386" s="21"/>
    </row>
    <row r="3387" spans="15:15" x14ac:dyDescent="0.25">
      <c r="O3387" s="21"/>
    </row>
    <row r="3388" spans="15:15" x14ac:dyDescent="0.25">
      <c r="O3388" s="21"/>
    </row>
    <row r="3389" spans="15:15" x14ac:dyDescent="0.25">
      <c r="O3389" s="21"/>
    </row>
    <row r="3390" spans="15:15" x14ac:dyDescent="0.25">
      <c r="O3390" s="21"/>
    </row>
    <row r="3391" spans="15:15" x14ac:dyDescent="0.25">
      <c r="O3391" s="21"/>
    </row>
    <row r="3392" spans="15:15" x14ac:dyDescent="0.25">
      <c r="O3392" s="21"/>
    </row>
    <row r="3393" spans="15:15" x14ac:dyDescent="0.25">
      <c r="O3393" s="21"/>
    </row>
    <row r="3394" spans="15:15" x14ac:dyDescent="0.25">
      <c r="O3394" s="21"/>
    </row>
    <row r="3395" spans="15:15" x14ac:dyDescent="0.25">
      <c r="O3395" s="21"/>
    </row>
    <row r="3396" spans="15:15" x14ac:dyDescent="0.25">
      <c r="O3396" s="21"/>
    </row>
    <row r="3397" spans="15:15" x14ac:dyDescent="0.25">
      <c r="O3397" s="21"/>
    </row>
    <row r="3398" spans="15:15" x14ac:dyDescent="0.25">
      <c r="O3398" s="21"/>
    </row>
    <row r="3399" spans="15:15" x14ac:dyDescent="0.25">
      <c r="O3399" s="21"/>
    </row>
    <row r="3400" spans="15:15" x14ac:dyDescent="0.25">
      <c r="O3400" s="21"/>
    </row>
    <row r="3401" spans="15:15" x14ac:dyDescent="0.25">
      <c r="O3401" s="21"/>
    </row>
    <row r="3402" spans="15:15" x14ac:dyDescent="0.25">
      <c r="O3402" s="21"/>
    </row>
    <row r="3403" spans="15:15" x14ac:dyDescent="0.25">
      <c r="O3403" s="21"/>
    </row>
    <row r="3404" spans="15:15" x14ac:dyDescent="0.25">
      <c r="O3404" s="21"/>
    </row>
    <row r="3405" spans="15:15" x14ac:dyDescent="0.25">
      <c r="O3405" s="21"/>
    </row>
    <row r="3406" spans="15:15" x14ac:dyDescent="0.25">
      <c r="O3406" s="21"/>
    </row>
    <row r="3407" spans="15:15" x14ac:dyDescent="0.25">
      <c r="O3407" s="21"/>
    </row>
    <row r="3408" spans="15:15" x14ac:dyDescent="0.25">
      <c r="O3408" s="21"/>
    </row>
    <row r="3409" spans="15:15" x14ac:dyDescent="0.25">
      <c r="O3409" s="21"/>
    </row>
    <row r="3410" spans="15:15" x14ac:dyDescent="0.25">
      <c r="O3410" s="21"/>
    </row>
    <row r="3411" spans="15:15" x14ac:dyDescent="0.25">
      <c r="O3411" s="21"/>
    </row>
    <row r="3412" spans="15:15" x14ac:dyDescent="0.25">
      <c r="O3412" s="21"/>
    </row>
    <row r="3413" spans="15:15" x14ac:dyDescent="0.25">
      <c r="O3413" s="21"/>
    </row>
    <row r="3414" spans="15:15" x14ac:dyDescent="0.25">
      <c r="O3414" s="21"/>
    </row>
    <row r="3415" spans="15:15" x14ac:dyDescent="0.25">
      <c r="O3415" s="21"/>
    </row>
    <row r="3416" spans="15:15" x14ac:dyDescent="0.25">
      <c r="O3416" s="21"/>
    </row>
    <row r="3417" spans="15:15" x14ac:dyDescent="0.25">
      <c r="O3417" s="21"/>
    </row>
    <row r="3418" spans="15:15" x14ac:dyDescent="0.25">
      <c r="O3418" s="21"/>
    </row>
    <row r="3419" spans="15:15" x14ac:dyDescent="0.25">
      <c r="O3419" s="21"/>
    </row>
    <row r="3420" spans="15:15" x14ac:dyDescent="0.25">
      <c r="O3420" s="21"/>
    </row>
    <row r="3421" spans="15:15" x14ac:dyDescent="0.25">
      <c r="O3421" s="21"/>
    </row>
    <row r="3422" spans="15:15" x14ac:dyDescent="0.25">
      <c r="O3422" s="21"/>
    </row>
    <row r="3423" spans="15:15" x14ac:dyDescent="0.25">
      <c r="O3423" s="21"/>
    </row>
    <row r="3424" spans="15:15" x14ac:dyDescent="0.25">
      <c r="O3424" s="21"/>
    </row>
    <row r="3425" spans="15:15" x14ac:dyDescent="0.25">
      <c r="O3425" s="21"/>
    </row>
    <row r="3426" spans="15:15" x14ac:dyDescent="0.25">
      <c r="O3426" s="21"/>
    </row>
    <row r="3427" spans="15:15" x14ac:dyDescent="0.25">
      <c r="O3427" s="21"/>
    </row>
    <row r="3428" spans="15:15" x14ac:dyDescent="0.25">
      <c r="O3428" s="21"/>
    </row>
    <row r="3429" spans="15:15" x14ac:dyDescent="0.25">
      <c r="O3429" s="21"/>
    </row>
    <row r="3430" spans="15:15" x14ac:dyDescent="0.25">
      <c r="O3430" s="21"/>
    </row>
    <row r="3431" spans="15:15" x14ac:dyDescent="0.25">
      <c r="O3431" s="21"/>
    </row>
    <row r="3432" spans="15:15" x14ac:dyDescent="0.25">
      <c r="O3432" s="21"/>
    </row>
    <row r="3433" spans="15:15" x14ac:dyDescent="0.25">
      <c r="O3433" s="21"/>
    </row>
    <row r="3434" spans="15:15" x14ac:dyDescent="0.25">
      <c r="O3434" s="21"/>
    </row>
    <row r="3435" spans="15:15" x14ac:dyDescent="0.25">
      <c r="O3435" s="21"/>
    </row>
    <row r="3436" spans="15:15" x14ac:dyDescent="0.25">
      <c r="O3436" s="21"/>
    </row>
    <row r="3437" spans="15:15" x14ac:dyDescent="0.25">
      <c r="O3437" s="21"/>
    </row>
    <row r="3438" spans="15:15" x14ac:dyDescent="0.25">
      <c r="O3438" s="21"/>
    </row>
    <row r="3439" spans="15:15" x14ac:dyDescent="0.25">
      <c r="O3439" s="21"/>
    </row>
    <row r="3440" spans="15:15" x14ac:dyDescent="0.25">
      <c r="O3440" s="21"/>
    </row>
    <row r="3441" spans="15:15" x14ac:dyDescent="0.25">
      <c r="O3441" s="21"/>
    </row>
    <row r="3442" spans="15:15" x14ac:dyDescent="0.25">
      <c r="O3442" s="21"/>
    </row>
    <row r="3443" spans="15:15" x14ac:dyDescent="0.25">
      <c r="O3443" s="21"/>
    </row>
    <row r="3444" spans="15:15" x14ac:dyDescent="0.25">
      <c r="O3444" s="21"/>
    </row>
    <row r="3445" spans="15:15" x14ac:dyDescent="0.25">
      <c r="O3445" s="21"/>
    </row>
    <row r="3446" spans="15:15" x14ac:dyDescent="0.25">
      <c r="O3446" s="21"/>
    </row>
    <row r="3447" spans="15:15" x14ac:dyDescent="0.25">
      <c r="O3447" s="21"/>
    </row>
    <row r="3448" spans="15:15" x14ac:dyDescent="0.25">
      <c r="O3448" s="21"/>
    </row>
    <row r="3449" spans="15:15" x14ac:dyDescent="0.25">
      <c r="O3449" s="21"/>
    </row>
    <row r="3450" spans="15:15" x14ac:dyDescent="0.25">
      <c r="O3450" s="21"/>
    </row>
    <row r="3451" spans="15:15" x14ac:dyDescent="0.25">
      <c r="O3451" s="21"/>
    </row>
    <row r="3452" spans="15:15" x14ac:dyDescent="0.25">
      <c r="O3452" s="21"/>
    </row>
    <row r="3453" spans="15:15" x14ac:dyDescent="0.25">
      <c r="O3453" s="21"/>
    </row>
    <row r="3454" spans="15:15" x14ac:dyDescent="0.25">
      <c r="O3454" s="21"/>
    </row>
    <row r="3455" spans="15:15" x14ac:dyDescent="0.25">
      <c r="O3455" s="21"/>
    </row>
    <row r="3456" spans="15:15" x14ac:dyDescent="0.25">
      <c r="O3456" s="21"/>
    </row>
    <row r="3457" spans="15:15" x14ac:dyDescent="0.25">
      <c r="O3457" s="21"/>
    </row>
    <row r="3458" spans="15:15" x14ac:dyDescent="0.25">
      <c r="O3458" s="21"/>
    </row>
    <row r="3459" spans="15:15" x14ac:dyDescent="0.25">
      <c r="O3459" s="21"/>
    </row>
    <row r="3460" spans="15:15" x14ac:dyDescent="0.25">
      <c r="O3460" s="21"/>
    </row>
    <row r="3461" spans="15:15" x14ac:dyDescent="0.25">
      <c r="O3461" s="21"/>
    </row>
    <row r="3462" spans="15:15" x14ac:dyDescent="0.25">
      <c r="O3462" s="21"/>
    </row>
    <row r="3463" spans="15:15" x14ac:dyDescent="0.25">
      <c r="O3463" s="21"/>
    </row>
    <row r="3464" spans="15:15" x14ac:dyDescent="0.25">
      <c r="O3464" s="21"/>
    </row>
    <row r="3465" spans="15:15" x14ac:dyDescent="0.25">
      <c r="O3465" s="21"/>
    </row>
    <row r="3466" spans="15:15" x14ac:dyDescent="0.25">
      <c r="O3466" s="21"/>
    </row>
    <row r="3467" spans="15:15" x14ac:dyDescent="0.25">
      <c r="O3467" s="21"/>
    </row>
    <row r="3468" spans="15:15" x14ac:dyDescent="0.25">
      <c r="O3468" s="21"/>
    </row>
    <row r="3469" spans="15:15" x14ac:dyDescent="0.25">
      <c r="O3469" s="21"/>
    </row>
    <row r="3470" spans="15:15" x14ac:dyDescent="0.25">
      <c r="O3470" s="21"/>
    </row>
    <row r="3471" spans="15:15" x14ac:dyDescent="0.25">
      <c r="O3471" s="21"/>
    </row>
    <row r="3472" spans="15:15" x14ac:dyDescent="0.25">
      <c r="O3472" s="21"/>
    </row>
    <row r="3473" spans="15:15" x14ac:dyDescent="0.25">
      <c r="O3473" s="21"/>
    </row>
    <row r="3474" spans="15:15" x14ac:dyDescent="0.25">
      <c r="O3474" s="21"/>
    </row>
    <row r="3475" spans="15:15" x14ac:dyDescent="0.25">
      <c r="O3475" s="21"/>
    </row>
    <row r="3476" spans="15:15" x14ac:dyDescent="0.25">
      <c r="O3476" s="21"/>
    </row>
    <row r="3477" spans="15:15" x14ac:dyDescent="0.25">
      <c r="O3477" s="21"/>
    </row>
    <row r="3478" spans="15:15" x14ac:dyDescent="0.25">
      <c r="O3478" s="21"/>
    </row>
    <row r="3479" spans="15:15" x14ac:dyDescent="0.25">
      <c r="O3479" s="21"/>
    </row>
    <row r="3480" spans="15:15" x14ac:dyDescent="0.25">
      <c r="O3480" s="21"/>
    </row>
    <row r="3481" spans="15:15" x14ac:dyDescent="0.25">
      <c r="O3481" s="21"/>
    </row>
    <row r="3482" spans="15:15" x14ac:dyDescent="0.25">
      <c r="O3482" s="21"/>
    </row>
    <row r="3483" spans="15:15" x14ac:dyDescent="0.25">
      <c r="O3483" s="21"/>
    </row>
    <row r="3484" spans="15:15" x14ac:dyDescent="0.25">
      <c r="O3484" s="21"/>
    </row>
    <row r="3485" spans="15:15" x14ac:dyDescent="0.25">
      <c r="O3485" s="21"/>
    </row>
    <row r="3486" spans="15:15" x14ac:dyDescent="0.25">
      <c r="O3486" s="21"/>
    </row>
    <row r="3487" spans="15:15" x14ac:dyDescent="0.25">
      <c r="O3487" s="21"/>
    </row>
    <row r="3488" spans="15:15" x14ac:dyDescent="0.25">
      <c r="O3488" s="21"/>
    </row>
    <row r="3489" spans="15:15" x14ac:dyDescent="0.25">
      <c r="O3489" s="21"/>
    </row>
    <row r="3490" spans="15:15" x14ac:dyDescent="0.25">
      <c r="O3490" s="21"/>
    </row>
    <row r="3491" spans="15:15" x14ac:dyDescent="0.25">
      <c r="O3491" s="21"/>
    </row>
    <row r="3492" spans="15:15" x14ac:dyDescent="0.25">
      <c r="O3492" s="21"/>
    </row>
    <row r="3493" spans="15:15" x14ac:dyDescent="0.25">
      <c r="O3493" s="21"/>
    </row>
    <row r="3494" spans="15:15" x14ac:dyDescent="0.25">
      <c r="O3494" s="21"/>
    </row>
    <row r="3495" spans="15:15" x14ac:dyDescent="0.25">
      <c r="O3495" s="21"/>
    </row>
    <row r="3496" spans="15:15" x14ac:dyDescent="0.25">
      <c r="O3496" s="21"/>
    </row>
    <row r="3497" spans="15:15" x14ac:dyDescent="0.25">
      <c r="O3497" s="21"/>
    </row>
    <row r="3498" spans="15:15" x14ac:dyDescent="0.25">
      <c r="O3498" s="21"/>
    </row>
    <row r="3499" spans="15:15" x14ac:dyDescent="0.25">
      <c r="O3499" s="21"/>
    </row>
    <row r="3500" spans="15:15" x14ac:dyDescent="0.25">
      <c r="O3500" s="21"/>
    </row>
    <row r="3501" spans="15:15" x14ac:dyDescent="0.25">
      <c r="O3501" s="21"/>
    </row>
    <row r="3502" spans="15:15" x14ac:dyDescent="0.25">
      <c r="O3502" s="21"/>
    </row>
    <row r="3503" spans="15:15" x14ac:dyDescent="0.25">
      <c r="O3503" s="21"/>
    </row>
    <row r="3504" spans="15:15" x14ac:dyDescent="0.25">
      <c r="O3504" s="21"/>
    </row>
    <row r="3505" spans="15:15" x14ac:dyDescent="0.25">
      <c r="O3505" s="21"/>
    </row>
    <row r="3506" spans="15:15" x14ac:dyDescent="0.25">
      <c r="O3506" s="21"/>
    </row>
    <row r="3507" spans="15:15" x14ac:dyDescent="0.25">
      <c r="O3507" s="21"/>
    </row>
    <row r="3508" spans="15:15" x14ac:dyDescent="0.25">
      <c r="O3508" s="21"/>
    </row>
    <row r="3509" spans="15:15" x14ac:dyDescent="0.25">
      <c r="O3509" s="21"/>
    </row>
    <row r="3510" spans="15:15" x14ac:dyDescent="0.25">
      <c r="O3510" s="21"/>
    </row>
    <row r="3511" spans="15:15" x14ac:dyDescent="0.25">
      <c r="O3511" s="21"/>
    </row>
    <row r="3512" spans="15:15" x14ac:dyDescent="0.25">
      <c r="O3512" s="21"/>
    </row>
    <row r="3513" spans="15:15" x14ac:dyDescent="0.25">
      <c r="O3513" s="21"/>
    </row>
    <row r="3514" spans="15:15" x14ac:dyDescent="0.25">
      <c r="O3514" s="21"/>
    </row>
    <row r="3515" spans="15:15" x14ac:dyDescent="0.25">
      <c r="O3515" s="21"/>
    </row>
    <row r="3516" spans="15:15" x14ac:dyDescent="0.25">
      <c r="O3516" s="21"/>
    </row>
    <row r="3517" spans="15:15" x14ac:dyDescent="0.25">
      <c r="O3517" s="21"/>
    </row>
    <row r="3518" spans="15:15" x14ac:dyDescent="0.25">
      <c r="O3518" s="21"/>
    </row>
    <row r="3519" spans="15:15" x14ac:dyDescent="0.25">
      <c r="O3519" s="21"/>
    </row>
    <row r="3520" spans="15:15" x14ac:dyDescent="0.25">
      <c r="O3520" s="21"/>
    </row>
    <row r="3521" spans="15:15" x14ac:dyDescent="0.25">
      <c r="O3521" s="21"/>
    </row>
    <row r="3522" spans="15:15" x14ac:dyDescent="0.25">
      <c r="O3522" s="21"/>
    </row>
    <row r="3523" spans="15:15" x14ac:dyDescent="0.25">
      <c r="O3523" s="21"/>
    </row>
    <row r="3524" spans="15:15" x14ac:dyDescent="0.25">
      <c r="O3524" s="21"/>
    </row>
    <row r="3525" spans="15:15" x14ac:dyDescent="0.25">
      <c r="O3525" s="21"/>
    </row>
    <row r="3526" spans="15:15" x14ac:dyDescent="0.25">
      <c r="O3526" s="21"/>
    </row>
    <row r="3527" spans="15:15" x14ac:dyDescent="0.25">
      <c r="O3527" s="21"/>
    </row>
    <row r="3528" spans="15:15" x14ac:dyDescent="0.25">
      <c r="O3528" s="21"/>
    </row>
    <row r="3529" spans="15:15" x14ac:dyDescent="0.25">
      <c r="O3529" s="21"/>
    </row>
    <row r="3530" spans="15:15" x14ac:dyDescent="0.25">
      <c r="O3530" s="21"/>
    </row>
    <row r="3531" spans="15:15" x14ac:dyDescent="0.25">
      <c r="O3531" s="21"/>
    </row>
    <row r="3532" spans="15:15" x14ac:dyDescent="0.25">
      <c r="O3532" s="21"/>
    </row>
    <row r="3533" spans="15:15" x14ac:dyDescent="0.25">
      <c r="O3533" s="21"/>
    </row>
    <row r="3534" spans="15:15" x14ac:dyDescent="0.25">
      <c r="O3534" s="21"/>
    </row>
    <row r="3535" spans="15:15" x14ac:dyDescent="0.25">
      <c r="O3535" s="21"/>
    </row>
    <row r="3536" spans="15:15" x14ac:dyDescent="0.25">
      <c r="O3536" s="21"/>
    </row>
    <row r="3537" spans="15:15" x14ac:dyDescent="0.25">
      <c r="O3537" s="21"/>
    </row>
    <row r="3538" spans="15:15" x14ac:dyDescent="0.25">
      <c r="O3538" s="21"/>
    </row>
    <row r="3539" spans="15:15" x14ac:dyDescent="0.25">
      <c r="O3539" s="21"/>
    </row>
    <row r="3540" spans="15:15" x14ac:dyDescent="0.25">
      <c r="O3540" s="21"/>
    </row>
    <row r="3541" spans="15:15" x14ac:dyDescent="0.25">
      <c r="O3541" s="21"/>
    </row>
    <row r="3542" spans="15:15" x14ac:dyDescent="0.25">
      <c r="O3542" s="21"/>
    </row>
    <row r="3543" spans="15:15" x14ac:dyDescent="0.25">
      <c r="O3543" s="21"/>
    </row>
    <row r="3544" spans="15:15" x14ac:dyDescent="0.25">
      <c r="O3544" s="21"/>
    </row>
    <row r="3545" spans="15:15" x14ac:dyDescent="0.25">
      <c r="O3545" s="21"/>
    </row>
    <row r="3546" spans="15:15" x14ac:dyDescent="0.25">
      <c r="O3546" s="21"/>
    </row>
    <row r="3547" spans="15:15" x14ac:dyDescent="0.25">
      <c r="O3547" s="21"/>
    </row>
    <row r="3548" spans="15:15" x14ac:dyDescent="0.25">
      <c r="O3548" s="21"/>
    </row>
    <row r="3549" spans="15:15" x14ac:dyDescent="0.25">
      <c r="O3549" s="21"/>
    </row>
    <row r="3550" spans="15:15" x14ac:dyDescent="0.25">
      <c r="O3550" s="21"/>
    </row>
    <row r="3551" spans="15:15" x14ac:dyDescent="0.25">
      <c r="O3551" s="21"/>
    </row>
    <row r="3552" spans="15:15" x14ac:dyDescent="0.25">
      <c r="O3552" s="21"/>
    </row>
    <row r="3553" spans="15:15" x14ac:dyDescent="0.25">
      <c r="O3553" s="21"/>
    </row>
    <row r="3554" spans="15:15" x14ac:dyDescent="0.25">
      <c r="O3554" s="21"/>
    </row>
    <row r="3555" spans="15:15" x14ac:dyDescent="0.25">
      <c r="O3555" s="21"/>
    </row>
    <row r="3556" spans="15:15" x14ac:dyDescent="0.25">
      <c r="O3556" s="21"/>
    </row>
    <row r="3557" spans="15:15" x14ac:dyDescent="0.25">
      <c r="O3557" s="21"/>
    </row>
    <row r="3558" spans="15:15" x14ac:dyDescent="0.25">
      <c r="O3558" s="21"/>
    </row>
    <row r="3559" spans="15:15" x14ac:dyDescent="0.25">
      <c r="O3559" s="21"/>
    </row>
    <row r="3560" spans="15:15" x14ac:dyDescent="0.25">
      <c r="O3560" s="21"/>
    </row>
    <row r="3561" spans="15:15" x14ac:dyDescent="0.25">
      <c r="O3561" s="21"/>
    </row>
    <row r="3562" spans="15:15" x14ac:dyDescent="0.25">
      <c r="O3562" s="21"/>
    </row>
    <row r="3563" spans="15:15" x14ac:dyDescent="0.25">
      <c r="O3563" s="21"/>
    </row>
    <row r="3564" spans="15:15" x14ac:dyDescent="0.25">
      <c r="O3564" s="21"/>
    </row>
    <row r="3565" spans="15:15" x14ac:dyDescent="0.25">
      <c r="O3565" s="21"/>
    </row>
    <row r="3566" spans="15:15" x14ac:dyDescent="0.25">
      <c r="O3566" s="21"/>
    </row>
    <row r="3567" spans="15:15" x14ac:dyDescent="0.25">
      <c r="O3567" s="21"/>
    </row>
    <row r="3568" spans="15:15" x14ac:dyDescent="0.25">
      <c r="O3568" s="21"/>
    </row>
    <row r="3569" spans="15:15" x14ac:dyDescent="0.25">
      <c r="O3569" s="21"/>
    </row>
    <row r="3570" spans="15:15" x14ac:dyDescent="0.25">
      <c r="O3570" s="21"/>
    </row>
    <row r="3571" spans="15:15" x14ac:dyDescent="0.25">
      <c r="O3571" s="21"/>
    </row>
    <row r="3572" spans="15:15" x14ac:dyDescent="0.25">
      <c r="O3572" s="21"/>
    </row>
    <row r="3573" spans="15:15" x14ac:dyDescent="0.25">
      <c r="O3573" s="21"/>
    </row>
    <row r="3574" spans="15:15" x14ac:dyDescent="0.25">
      <c r="O3574" s="21"/>
    </row>
    <row r="3575" spans="15:15" x14ac:dyDescent="0.25">
      <c r="O3575" s="21"/>
    </row>
    <row r="3576" spans="15:15" x14ac:dyDescent="0.25">
      <c r="O3576" s="21"/>
    </row>
    <row r="3577" spans="15:15" x14ac:dyDescent="0.25">
      <c r="O3577" s="21"/>
    </row>
    <row r="3578" spans="15:15" x14ac:dyDescent="0.25">
      <c r="O3578" s="21"/>
    </row>
    <row r="3579" spans="15:15" x14ac:dyDescent="0.25">
      <c r="O3579" s="21"/>
    </row>
    <row r="3580" spans="15:15" x14ac:dyDescent="0.25">
      <c r="O3580" s="21"/>
    </row>
    <row r="3581" spans="15:15" x14ac:dyDescent="0.25">
      <c r="O3581" s="21"/>
    </row>
    <row r="3582" spans="15:15" x14ac:dyDescent="0.25">
      <c r="O3582" s="21"/>
    </row>
    <row r="3583" spans="15:15" x14ac:dyDescent="0.25">
      <c r="O3583" s="21"/>
    </row>
    <row r="3584" spans="15:15" x14ac:dyDescent="0.25">
      <c r="O3584" s="21"/>
    </row>
    <row r="3585" spans="15:15" x14ac:dyDescent="0.25">
      <c r="O3585" s="21"/>
    </row>
    <row r="3586" spans="15:15" x14ac:dyDescent="0.25">
      <c r="O3586" s="21"/>
    </row>
    <row r="3587" spans="15:15" x14ac:dyDescent="0.25">
      <c r="O3587" s="21"/>
    </row>
    <row r="3588" spans="15:15" x14ac:dyDescent="0.25">
      <c r="O3588" s="21"/>
    </row>
    <row r="3589" spans="15:15" x14ac:dyDescent="0.25">
      <c r="O3589" s="21"/>
    </row>
    <row r="3590" spans="15:15" x14ac:dyDescent="0.25">
      <c r="O3590" s="21"/>
    </row>
    <row r="3591" spans="15:15" x14ac:dyDescent="0.25">
      <c r="O3591" s="21"/>
    </row>
    <row r="3592" spans="15:15" x14ac:dyDescent="0.25">
      <c r="O3592" s="21"/>
    </row>
    <row r="3593" spans="15:15" x14ac:dyDescent="0.25">
      <c r="O3593" s="21"/>
    </row>
    <row r="3594" spans="15:15" x14ac:dyDescent="0.25">
      <c r="O3594" s="21"/>
    </row>
    <row r="3595" spans="15:15" x14ac:dyDescent="0.25">
      <c r="O3595" s="21"/>
    </row>
    <row r="3596" spans="15:15" x14ac:dyDescent="0.25">
      <c r="O3596" s="21"/>
    </row>
    <row r="3597" spans="15:15" x14ac:dyDescent="0.25">
      <c r="O3597" s="21"/>
    </row>
    <row r="3598" spans="15:15" x14ac:dyDescent="0.25">
      <c r="O3598" s="21"/>
    </row>
    <row r="3599" spans="15:15" x14ac:dyDescent="0.25">
      <c r="O3599" s="21"/>
    </row>
    <row r="3600" spans="15:15" x14ac:dyDescent="0.25">
      <c r="O3600" s="21"/>
    </row>
    <row r="3601" spans="15:15" x14ac:dyDescent="0.25">
      <c r="O3601" s="21"/>
    </row>
    <row r="3602" spans="15:15" x14ac:dyDescent="0.25">
      <c r="O3602" s="21"/>
    </row>
    <row r="3603" spans="15:15" x14ac:dyDescent="0.25">
      <c r="O3603" s="21"/>
    </row>
    <row r="3604" spans="15:15" x14ac:dyDescent="0.25">
      <c r="O3604" s="21"/>
    </row>
    <row r="3605" spans="15:15" x14ac:dyDescent="0.25">
      <c r="O3605" s="21"/>
    </row>
    <row r="3606" spans="15:15" x14ac:dyDescent="0.25">
      <c r="O3606" s="21"/>
    </row>
    <row r="3607" spans="15:15" x14ac:dyDescent="0.25">
      <c r="O3607" s="21"/>
    </row>
    <row r="3608" spans="15:15" x14ac:dyDescent="0.25">
      <c r="O3608" s="21"/>
    </row>
    <row r="3609" spans="15:15" x14ac:dyDescent="0.25">
      <c r="O3609" s="21"/>
    </row>
    <row r="3610" spans="15:15" x14ac:dyDescent="0.25">
      <c r="O3610" s="21"/>
    </row>
    <row r="3611" spans="15:15" x14ac:dyDescent="0.25">
      <c r="O3611" s="21"/>
    </row>
    <row r="3612" spans="15:15" x14ac:dyDescent="0.25">
      <c r="O3612" s="21"/>
    </row>
    <row r="3613" spans="15:15" x14ac:dyDescent="0.25">
      <c r="O3613" s="21"/>
    </row>
    <row r="3614" spans="15:15" x14ac:dyDescent="0.25">
      <c r="O3614" s="21"/>
    </row>
    <row r="3615" spans="15:15" x14ac:dyDescent="0.25">
      <c r="O3615" s="21"/>
    </row>
    <row r="3616" spans="15:15" x14ac:dyDescent="0.25">
      <c r="O3616" s="21"/>
    </row>
    <row r="3617" spans="15:15" x14ac:dyDescent="0.25">
      <c r="O3617" s="21"/>
    </row>
    <row r="3618" spans="15:15" x14ac:dyDescent="0.25">
      <c r="O3618" s="21"/>
    </row>
    <row r="3619" spans="15:15" x14ac:dyDescent="0.25">
      <c r="O3619" s="21"/>
    </row>
    <row r="3620" spans="15:15" x14ac:dyDescent="0.25">
      <c r="O3620" s="21"/>
    </row>
    <row r="3621" spans="15:15" x14ac:dyDescent="0.25">
      <c r="O3621" s="21"/>
    </row>
    <row r="3622" spans="15:15" x14ac:dyDescent="0.25">
      <c r="O3622" s="21"/>
    </row>
    <row r="3623" spans="15:15" x14ac:dyDescent="0.25">
      <c r="O3623" s="21"/>
    </row>
    <row r="3624" spans="15:15" x14ac:dyDescent="0.25">
      <c r="O3624" s="21"/>
    </row>
    <row r="3625" spans="15:15" x14ac:dyDescent="0.25">
      <c r="O3625" s="21"/>
    </row>
    <row r="3626" spans="15:15" x14ac:dyDescent="0.25">
      <c r="O3626" s="21"/>
    </row>
    <row r="3627" spans="15:15" x14ac:dyDescent="0.25">
      <c r="O3627" s="21"/>
    </row>
    <row r="3628" spans="15:15" x14ac:dyDescent="0.25">
      <c r="O3628" s="21"/>
    </row>
    <row r="3629" spans="15:15" x14ac:dyDescent="0.25">
      <c r="O3629" s="21"/>
    </row>
    <row r="3630" spans="15:15" x14ac:dyDescent="0.25">
      <c r="O3630" s="21"/>
    </row>
    <row r="3631" spans="15:15" x14ac:dyDescent="0.25">
      <c r="O3631" s="21"/>
    </row>
    <row r="3632" spans="15:15" x14ac:dyDescent="0.25">
      <c r="O3632" s="21"/>
    </row>
    <row r="3633" spans="15:15" x14ac:dyDescent="0.25">
      <c r="O3633" s="21"/>
    </row>
    <row r="3634" spans="15:15" x14ac:dyDescent="0.25">
      <c r="O3634" s="21"/>
    </row>
    <row r="3635" spans="15:15" x14ac:dyDescent="0.25">
      <c r="O3635" s="21"/>
    </row>
    <row r="3636" spans="15:15" x14ac:dyDescent="0.25">
      <c r="O3636" s="21"/>
    </row>
    <row r="3637" spans="15:15" x14ac:dyDescent="0.25">
      <c r="O3637" s="21"/>
    </row>
    <row r="3638" spans="15:15" x14ac:dyDescent="0.25">
      <c r="O3638" s="21"/>
    </row>
    <row r="3639" spans="15:15" x14ac:dyDescent="0.25">
      <c r="O3639" s="21"/>
    </row>
    <row r="3640" spans="15:15" x14ac:dyDescent="0.25">
      <c r="O3640" s="21"/>
    </row>
    <row r="3641" spans="15:15" x14ac:dyDescent="0.25">
      <c r="O3641" s="21"/>
    </row>
    <row r="3642" spans="15:15" x14ac:dyDescent="0.25">
      <c r="O3642" s="21"/>
    </row>
    <row r="3643" spans="15:15" x14ac:dyDescent="0.25">
      <c r="O3643" s="21"/>
    </row>
    <row r="3644" spans="15:15" x14ac:dyDescent="0.25">
      <c r="O3644" s="21"/>
    </row>
    <row r="3645" spans="15:15" x14ac:dyDescent="0.25">
      <c r="O3645" s="21"/>
    </row>
    <row r="3646" spans="15:15" x14ac:dyDescent="0.25">
      <c r="O3646" s="21"/>
    </row>
    <row r="3647" spans="15:15" x14ac:dyDescent="0.25">
      <c r="O3647" s="21"/>
    </row>
    <row r="3648" spans="15:15" x14ac:dyDescent="0.25">
      <c r="O3648" s="21"/>
    </row>
    <row r="3649" spans="15:15" x14ac:dyDescent="0.25">
      <c r="O3649" s="21"/>
    </row>
    <row r="3650" spans="15:15" x14ac:dyDescent="0.25">
      <c r="O3650" s="21"/>
    </row>
    <row r="3651" spans="15:15" x14ac:dyDescent="0.25">
      <c r="O3651" s="21"/>
    </row>
    <row r="3652" spans="15:15" x14ac:dyDescent="0.25">
      <c r="O3652" s="21"/>
    </row>
    <row r="3653" spans="15:15" x14ac:dyDescent="0.25">
      <c r="O3653" s="21"/>
    </row>
    <row r="3654" spans="15:15" x14ac:dyDescent="0.25">
      <c r="O3654" s="21"/>
    </row>
    <row r="3655" spans="15:15" x14ac:dyDescent="0.25">
      <c r="O3655" s="21"/>
    </row>
    <row r="3656" spans="15:15" x14ac:dyDescent="0.25">
      <c r="O3656" s="21"/>
    </row>
    <row r="3657" spans="15:15" x14ac:dyDescent="0.25">
      <c r="O3657" s="21"/>
    </row>
    <row r="3658" spans="15:15" x14ac:dyDescent="0.25">
      <c r="O3658" s="21"/>
    </row>
    <row r="3659" spans="15:15" x14ac:dyDescent="0.25">
      <c r="O3659" s="21"/>
    </row>
    <row r="3660" spans="15:15" x14ac:dyDescent="0.25">
      <c r="O3660" s="21"/>
    </row>
    <row r="3661" spans="15:15" x14ac:dyDescent="0.25">
      <c r="O3661" s="21"/>
    </row>
    <row r="3662" spans="15:15" x14ac:dyDescent="0.25">
      <c r="O3662" s="21"/>
    </row>
    <row r="3663" spans="15:15" x14ac:dyDescent="0.25">
      <c r="O3663" s="21"/>
    </row>
    <row r="3664" spans="15:15" x14ac:dyDescent="0.25">
      <c r="O3664" s="21"/>
    </row>
    <row r="3665" spans="15:15" x14ac:dyDescent="0.25">
      <c r="O3665" s="21"/>
    </row>
    <row r="3666" spans="15:15" x14ac:dyDescent="0.25">
      <c r="O3666" s="21"/>
    </row>
    <row r="3667" spans="15:15" x14ac:dyDescent="0.25">
      <c r="O3667" s="21"/>
    </row>
    <row r="3668" spans="15:15" x14ac:dyDescent="0.25">
      <c r="O3668" s="21"/>
    </row>
    <row r="3669" spans="15:15" x14ac:dyDescent="0.25">
      <c r="O3669" s="21"/>
    </row>
    <row r="3670" spans="15:15" x14ac:dyDescent="0.25">
      <c r="O3670" s="21"/>
    </row>
    <row r="3671" spans="15:15" x14ac:dyDescent="0.25">
      <c r="O3671" s="21"/>
    </row>
    <row r="3672" spans="15:15" x14ac:dyDescent="0.25">
      <c r="O3672" s="21"/>
    </row>
    <row r="3673" spans="15:15" x14ac:dyDescent="0.25">
      <c r="O3673" s="21"/>
    </row>
    <row r="3674" spans="15:15" x14ac:dyDescent="0.25">
      <c r="O3674" s="21"/>
    </row>
    <row r="3675" spans="15:15" x14ac:dyDescent="0.25">
      <c r="O3675" s="21"/>
    </row>
    <row r="3676" spans="15:15" x14ac:dyDescent="0.25">
      <c r="O3676" s="21"/>
    </row>
    <row r="3677" spans="15:15" x14ac:dyDescent="0.25">
      <c r="O3677" s="21"/>
    </row>
    <row r="3678" spans="15:15" x14ac:dyDescent="0.25">
      <c r="O3678" s="21"/>
    </row>
    <row r="3679" spans="15:15" x14ac:dyDescent="0.25">
      <c r="O3679" s="21"/>
    </row>
    <row r="3680" spans="15:15" x14ac:dyDescent="0.25">
      <c r="O3680" s="21"/>
    </row>
    <row r="3681" spans="15:15" x14ac:dyDescent="0.25">
      <c r="O3681" s="21"/>
    </row>
    <row r="3682" spans="15:15" x14ac:dyDescent="0.25">
      <c r="O3682" s="21"/>
    </row>
    <row r="3683" spans="15:15" x14ac:dyDescent="0.25">
      <c r="O3683" s="21"/>
    </row>
    <row r="3684" spans="15:15" x14ac:dyDescent="0.25">
      <c r="O3684" s="21"/>
    </row>
    <row r="3685" spans="15:15" x14ac:dyDescent="0.25">
      <c r="O3685" s="21"/>
    </row>
    <row r="3686" spans="15:15" x14ac:dyDescent="0.25">
      <c r="O3686" s="21"/>
    </row>
    <row r="3687" spans="15:15" x14ac:dyDescent="0.25">
      <c r="O3687" s="21"/>
    </row>
    <row r="3688" spans="15:15" x14ac:dyDescent="0.25">
      <c r="O3688" s="21"/>
    </row>
    <row r="3689" spans="15:15" x14ac:dyDescent="0.25">
      <c r="O3689" s="21"/>
    </row>
    <row r="3690" spans="15:15" x14ac:dyDescent="0.25">
      <c r="O3690" s="21"/>
    </row>
    <row r="3691" spans="15:15" x14ac:dyDescent="0.25">
      <c r="O3691" s="21"/>
    </row>
    <row r="3692" spans="15:15" x14ac:dyDescent="0.25">
      <c r="O3692" s="21"/>
    </row>
    <row r="3693" spans="15:15" x14ac:dyDescent="0.25">
      <c r="O3693" s="21"/>
    </row>
    <row r="3694" spans="15:15" x14ac:dyDescent="0.25">
      <c r="O3694" s="21"/>
    </row>
    <row r="3695" spans="15:15" x14ac:dyDescent="0.25">
      <c r="O3695" s="21"/>
    </row>
    <row r="3696" spans="15:15" x14ac:dyDescent="0.25">
      <c r="O3696" s="21"/>
    </row>
    <row r="3697" spans="15:15" x14ac:dyDescent="0.25">
      <c r="O3697" s="21"/>
    </row>
    <row r="3698" spans="15:15" x14ac:dyDescent="0.25">
      <c r="O3698" s="21"/>
    </row>
    <row r="3699" spans="15:15" x14ac:dyDescent="0.25">
      <c r="O3699" s="21"/>
    </row>
    <row r="3700" spans="15:15" x14ac:dyDescent="0.25">
      <c r="O3700" s="21"/>
    </row>
    <row r="3701" spans="15:15" x14ac:dyDescent="0.25">
      <c r="O3701" s="21"/>
    </row>
    <row r="3702" spans="15:15" x14ac:dyDescent="0.25">
      <c r="O3702" s="21"/>
    </row>
    <row r="3703" spans="15:15" x14ac:dyDescent="0.25">
      <c r="O3703" s="21"/>
    </row>
    <row r="3704" spans="15:15" x14ac:dyDescent="0.25">
      <c r="O3704" s="21"/>
    </row>
    <row r="3705" spans="15:15" x14ac:dyDescent="0.25">
      <c r="O3705" s="21"/>
    </row>
    <row r="3706" spans="15:15" x14ac:dyDescent="0.25">
      <c r="O3706" s="21"/>
    </row>
    <row r="3707" spans="15:15" x14ac:dyDescent="0.25">
      <c r="O3707" s="21"/>
    </row>
    <row r="3708" spans="15:15" x14ac:dyDescent="0.25">
      <c r="O3708" s="21"/>
    </row>
    <row r="3709" spans="15:15" x14ac:dyDescent="0.25">
      <c r="O3709" s="21"/>
    </row>
    <row r="3710" spans="15:15" x14ac:dyDescent="0.25">
      <c r="O3710" s="21"/>
    </row>
    <row r="3711" spans="15:15" x14ac:dyDescent="0.25">
      <c r="O3711" s="21"/>
    </row>
    <row r="3712" spans="15:15" x14ac:dyDescent="0.25">
      <c r="O3712" s="21"/>
    </row>
    <row r="3713" spans="15:15" x14ac:dyDescent="0.25">
      <c r="O3713" s="21"/>
    </row>
    <row r="3714" spans="15:15" x14ac:dyDescent="0.25">
      <c r="O3714" s="21"/>
    </row>
    <row r="3715" spans="15:15" x14ac:dyDescent="0.25">
      <c r="O3715" s="21"/>
    </row>
    <row r="3716" spans="15:15" x14ac:dyDescent="0.25">
      <c r="O3716" s="21"/>
    </row>
    <row r="3717" spans="15:15" x14ac:dyDescent="0.25">
      <c r="O3717" s="21"/>
    </row>
    <row r="3718" spans="15:15" x14ac:dyDescent="0.25">
      <c r="O3718" s="21"/>
    </row>
    <row r="3719" spans="15:15" x14ac:dyDescent="0.25">
      <c r="O3719" s="21"/>
    </row>
    <row r="3720" spans="15:15" x14ac:dyDescent="0.25">
      <c r="O3720" s="21"/>
    </row>
    <row r="3721" spans="15:15" x14ac:dyDescent="0.25">
      <c r="O3721" s="21"/>
    </row>
    <row r="3722" spans="15:15" x14ac:dyDescent="0.25">
      <c r="O3722" s="21"/>
    </row>
    <row r="3723" spans="15:15" x14ac:dyDescent="0.25">
      <c r="O3723" s="21"/>
    </row>
    <row r="3724" spans="15:15" x14ac:dyDescent="0.25">
      <c r="O3724" s="21"/>
    </row>
    <row r="3725" spans="15:15" x14ac:dyDescent="0.25">
      <c r="O3725" s="21"/>
    </row>
    <row r="3726" spans="15:15" x14ac:dyDescent="0.25">
      <c r="O3726" s="21"/>
    </row>
    <row r="3727" spans="15:15" x14ac:dyDescent="0.25">
      <c r="O3727" s="21"/>
    </row>
    <row r="3728" spans="15:15" x14ac:dyDescent="0.25">
      <c r="O3728" s="21"/>
    </row>
    <row r="3729" spans="15:15" x14ac:dyDescent="0.25">
      <c r="O3729" s="21"/>
    </row>
    <row r="3730" spans="15:15" x14ac:dyDescent="0.25">
      <c r="O3730" s="21"/>
    </row>
    <row r="3731" spans="15:15" x14ac:dyDescent="0.25">
      <c r="O3731" s="21"/>
    </row>
    <row r="3732" spans="15:15" x14ac:dyDescent="0.25">
      <c r="O3732" s="21"/>
    </row>
    <row r="3733" spans="15:15" x14ac:dyDescent="0.25">
      <c r="O3733" s="21"/>
    </row>
    <row r="3734" spans="15:15" x14ac:dyDescent="0.25">
      <c r="O3734" s="21"/>
    </row>
    <row r="3735" spans="15:15" x14ac:dyDescent="0.25">
      <c r="O3735" s="21"/>
    </row>
    <row r="3736" spans="15:15" x14ac:dyDescent="0.25">
      <c r="O3736" s="21"/>
    </row>
    <row r="3737" spans="15:15" x14ac:dyDescent="0.25">
      <c r="O3737" s="21"/>
    </row>
    <row r="3738" spans="15:15" x14ac:dyDescent="0.25">
      <c r="O3738" s="21"/>
    </row>
    <row r="3739" spans="15:15" x14ac:dyDescent="0.25">
      <c r="O3739" s="21"/>
    </row>
    <row r="3740" spans="15:15" x14ac:dyDescent="0.25">
      <c r="O3740" s="21"/>
    </row>
    <row r="3741" spans="15:15" x14ac:dyDescent="0.25">
      <c r="O3741" s="21"/>
    </row>
    <row r="3742" spans="15:15" x14ac:dyDescent="0.25">
      <c r="O3742" s="21"/>
    </row>
    <row r="3743" spans="15:15" x14ac:dyDescent="0.25">
      <c r="O3743" s="21"/>
    </row>
    <row r="3744" spans="15:15" x14ac:dyDescent="0.25">
      <c r="O3744" s="21"/>
    </row>
    <row r="3745" spans="15:15" x14ac:dyDescent="0.25">
      <c r="O3745" s="21"/>
    </row>
    <row r="3746" spans="15:15" x14ac:dyDescent="0.25">
      <c r="O3746" s="21"/>
    </row>
    <row r="3747" spans="15:15" x14ac:dyDescent="0.25">
      <c r="O3747" s="21"/>
    </row>
    <row r="3748" spans="15:15" x14ac:dyDescent="0.25">
      <c r="O3748" s="21"/>
    </row>
    <row r="3749" spans="15:15" x14ac:dyDescent="0.25">
      <c r="O3749" s="21"/>
    </row>
    <row r="3750" spans="15:15" x14ac:dyDescent="0.25">
      <c r="O3750" s="21"/>
    </row>
    <row r="3751" spans="15:15" x14ac:dyDescent="0.25">
      <c r="O3751" s="21"/>
    </row>
    <row r="3752" spans="15:15" x14ac:dyDescent="0.25">
      <c r="O3752" s="21"/>
    </row>
    <row r="3753" spans="15:15" x14ac:dyDescent="0.25">
      <c r="O3753" s="21"/>
    </row>
    <row r="3754" spans="15:15" x14ac:dyDescent="0.25">
      <c r="O3754" s="21"/>
    </row>
    <row r="3755" spans="15:15" x14ac:dyDescent="0.25">
      <c r="O3755" s="21"/>
    </row>
    <row r="3756" spans="15:15" x14ac:dyDescent="0.25">
      <c r="O3756" s="21"/>
    </row>
    <row r="3757" spans="15:15" x14ac:dyDescent="0.25">
      <c r="O3757" s="21"/>
    </row>
    <row r="3758" spans="15:15" x14ac:dyDescent="0.25">
      <c r="O3758" s="21"/>
    </row>
    <row r="3759" spans="15:15" x14ac:dyDescent="0.25">
      <c r="O3759" s="21"/>
    </row>
    <row r="3760" spans="15:15" x14ac:dyDescent="0.25">
      <c r="O3760" s="21"/>
    </row>
    <row r="3761" spans="15:15" x14ac:dyDescent="0.25">
      <c r="O3761" s="21"/>
    </row>
    <row r="3762" spans="15:15" x14ac:dyDescent="0.25">
      <c r="O3762" s="21"/>
    </row>
    <row r="3763" spans="15:15" x14ac:dyDescent="0.25">
      <c r="O3763" s="21"/>
    </row>
    <row r="3764" spans="15:15" x14ac:dyDescent="0.25">
      <c r="O3764" s="21"/>
    </row>
    <row r="3765" spans="15:15" x14ac:dyDescent="0.25">
      <c r="O3765" s="21"/>
    </row>
    <row r="3766" spans="15:15" x14ac:dyDescent="0.25">
      <c r="O3766" s="21"/>
    </row>
    <row r="3767" spans="15:15" x14ac:dyDescent="0.25">
      <c r="O3767" s="21"/>
    </row>
    <row r="3768" spans="15:15" x14ac:dyDescent="0.25">
      <c r="O3768" s="21"/>
    </row>
    <row r="3769" spans="15:15" x14ac:dyDescent="0.25">
      <c r="O3769" s="21"/>
    </row>
    <row r="3770" spans="15:15" x14ac:dyDescent="0.25">
      <c r="O3770" s="21"/>
    </row>
    <row r="3771" spans="15:15" x14ac:dyDescent="0.25">
      <c r="O3771" s="21"/>
    </row>
    <row r="3772" spans="15:15" x14ac:dyDescent="0.25">
      <c r="O3772" s="21"/>
    </row>
    <row r="3773" spans="15:15" x14ac:dyDescent="0.25">
      <c r="O3773" s="21"/>
    </row>
    <row r="3774" spans="15:15" x14ac:dyDescent="0.25">
      <c r="O3774" s="21"/>
    </row>
    <row r="3775" spans="15:15" x14ac:dyDescent="0.25">
      <c r="O3775" s="21"/>
    </row>
    <row r="3776" spans="15:15" x14ac:dyDescent="0.25">
      <c r="O3776" s="21"/>
    </row>
    <row r="3777" spans="15:15" x14ac:dyDescent="0.25">
      <c r="O3777" s="21"/>
    </row>
    <row r="3778" spans="15:15" x14ac:dyDescent="0.25">
      <c r="O3778" s="21"/>
    </row>
    <row r="3779" spans="15:15" x14ac:dyDescent="0.25">
      <c r="O3779" s="21"/>
    </row>
    <row r="3780" spans="15:15" x14ac:dyDescent="0.25">
      <c r="O3780" s="21"/>
    </row>
    <row r="3781" spans="15:15" x14ac:dyDescent="0.25">
      <c r="O3781" s="21"/>
    </row>
    <row r="3782" spans="15:15" x14ac:dyDescent="0.25">
      <c r="O3782" s="21"/>
    </row>
    <row r="3783" spans="15:15" x14ac:dyDescent="0.25">
      <c r="O3783" s="21"/>
    </row>
    <row r="3784" spans="15:15" x14ac:dyDescent="0.25">
      <c r="O3784" s="21"/>
    </row>
    <row r="3785" spans="15:15" x14ac:dyDescent="0.25">
      <c r="O3785" s="21"/>
    </row>
    <row r="3786" spans="15:15" x14ac:dyDescent="0.25">
      <c r="O3786" s="21"/>
    </row>
    <row r="3787" spans="15:15" x14ac:dyDescent="0.25">
      <c r="O3787" s="21"/>
    </row>
    <row r="3788" spans="15:15" x14ac:dyDescent="0.25">
      <c r="O3788" s="21"/>
    </row>
    <row r="3789" spans="15:15" x14ac:dyDescent="0.25">
      <c r="O3789" s="21"/>
    </row>
    <row r="3790" spans="15:15" x14ac:dyDescent="0.25">
      <c r="O3790" s="21"/>
    </row>
    <row r="3791" spans="15:15" x14ac:dyDescent="0.25">
      <c r="O3791" s="21"/>
    </row>
    <row r="3792" spans="15:15" x14ac:dyDescent="0.25">
      <c r="O3792" s="21"/>
    </row>
    <row r="3793" spans="15:15" x14ac:dyDescent="0.25">
      <c r="O3793" s="21"/>
    </row>
    <row r="3794" spans="15:15" x14ac:dyDescent="0.25">
      <c r="O3794" s="21"/>
    </row>
    <row r="3795" spans="15:15" x14ac:dyDescent="0.25">
      <c r="O3795" s="21"/>
    </row>
    <row r="3796" spans="15:15" x14ac:dyDescent="0.25">
      <c r="O3796" s="21"/>
    </row>
    <row r="3797" spans="15:15" x14ac:dyDescent="0.25">
      <c r="O3797" s="21"/>
    </row>
    <row r="3798" spans="15:15" x14ac:dyDescent="0.25">
      <c r="O3798" s="21"/>
    </row>
    <row r="3799" spans="15:15" x14ac:dyDescent="0.25">
      <c r="O3799" s="21"/>
    </row>
    <row r="3800" spans="15:15" x14ac:dyDescent="0.25">
      <c r="O3800" s="21"/>
    </row>
    <row r="3801" spans="15:15" x14ac:dyDescent="0.25">
      <c r="O3801" s="21"/>
    </row>
    <row r="3802" spans="15:15" x14ac:dyDescent="0.25">
      <c r="O3802" s="21"/>
    </row>
    <row r="3803" spans="15:15" x14ac:dyDescent="0.25">
      <c r="O3803" s="21"/>
    </row>
    <row r="3804" spans="15:15" x14ac:dyDescent="0.25">
      <c r="O3804" s="21"/>
    </row>
    <row r="3805" spans="15:15" x14ac:dyDescent="0.25">
      <c r="O3805" s="21"/>
    </row>
    <row r="3806" spans="15:15" x14ac:dyDescent="0.25">
      <c r="O3806" s="21"/>
    </row>
    <row r="3807" spans="15:15" x14ac:dyDescent="0.25">
      <c r="O3807" s="21"/>
    </row>
    <row r="3808" spans="15:15" x14ac:dyDescent="0.25">
      <c r="O3808" s="21"/>
    </row>
    <row r="3809" spans="15:15" x14ac:dyDescent="0.25">
      <c r="O3809" s="21"/>
    </row>
    <row r="3810" spans="15:15" x14ac:dyDescent="0.25">
      <c r="O3810" s="21"/>
    </row>
    <row r="3811" spans="15:15" x14ac:dyDescent="0.25">
      <c r="O3811" s="21"/>
    </row>
    <row r="3812" spans="15:15" x14ac:dyDescent="0.25">
      <c r="O3812" s="21"/>
    </row>
    <row r="3813" spans="15:15" x14ac:dyDescent="0.25">
      <c r="O3813" s="21"/>
    </row>
    <row r="3814" spans="15:15" x14ac:dyDescent="0.25">
      <c r="O3814" s="21"/>
    </row>
    <row r="3815" spans="15:15" x14ac:dyDescent="0.25">
      <c r="O3815" s="21"/>
    </row>
    <row r="3816" spans="15:15" x14ac:dyDescent="0.25">
      <c r="O3816" s="21"/>
    </row>
    <row r="3817" spans="15:15" x14ac:dyDescent="0.25">
      <c r="O3817" s="21"/>
    </row>
    <row r="3818" spans="15:15" x14ac:dyDescent="0.25">
      <c r="O3818" s="21"/>
    </row>
    <row r="3819" spans="15:15" x14ac:dyDescent="0.25">
      <c r="O3819" s="21"/>
    </row>
    <row r="3820" spans="15:15" x14ac:dyDescent="0.25">
      <c r="O3820" s="21"/>
    </row>
    <row r="3821" spans="15:15" x14ac:dyDescent="0.25">
      <c r="O3821" s="21"/>
    </row>
    <row r="3822" spans="15:15" x14ac:dyDescent="0.25">
      <c r="O3822" s="21"/>
    </row>
    <row r="3823" spans="15:15" x14ac:dyDescent="0.25">
      <c r="O3823" s="21"/>
    </row>
    <row r="3824" spans="15:15" x14ac:dyDescent="0.25">
      <c r="O3824" s="21"/>
    </row>
    <row r="3825" spans="15:15" x14ac:dyDescent="0.25">
      <c r="O3825" s="21"/>
    </row>
    <row r="3826" spans="15:15" x14ac:dyDescent="0.25">
      <c r="O3826" s="21"/>
    </row>
    <row r="3827" spans="15:15" x14ac:dyDescent="0.25">
      <c r="O3827" s="21"/>
    </row>
    <row r="3828" spans="15:15" x14ac:dyDescent="0.25">
      <c r="O3828" s="21"/>
    </row>
    <row r="3829" spans="15:15" x14ac:dyDescent="0.25">
      <c r="O3829" s="21"/>
    </row>
    <row r="3830" spans="15:15" x14ac:dyDescent="0.25">
      <c r="O3830" s="21"/>
    </row>
    <row r="3831" spans="15:15" x14ac:dyDescent="0.25">
      <c r="O3831" s="21"/>
    </row>
    <row r="3832" spans="15:15" x14ac:dyDescent="0.25">
      <c r="O3832" s="21"/>
    </row>
    <row r="3833" spans="15:15" x14ac:dyDescent="0.25">
      <c r="O3833" s="21"/>
    </row>
    <row r="3834" spans="15:15" x14ac:dyDescent="0.25">
      <c r="O3834" s="21"/>
    </row>
    <row r="3835" spans="15:15" x14ac:dyDescent="0.25">
      <c r="O3835" s="21"/>
    </row>
    <row r="3836" spans="15:15" x14ac:dyDescent="0.25">
      <c r="O3836" s="21"/>
    </row>
    <row r="3837" spans="15:15" x14ac:dyDescent="0.25">
      <c r="O3837" s="21"/>
    </row>
    <row r="3838" spans="15:15" x14ac:dyDescent="0.25">
      <c r="O3838" s="21"/>
    </row>
    <row r="3839" spans="15:15" x14ac:dyDescent="0.25">
      <c r="O3839" s="21"/>
    </row>
    <row r="3840" spans="15:15" x14ac:dyDescent="0.25">
      <c r="O3840" s="21"/>
    </row>
    <row r="3841" spans="15:15" x14ac:dyDescent="0.25">
      <c r="O3841" s="21"/>
    </row>
    <row r="3842" spans="15:15" x14ac:dyDescent="0.25">
      <c r="O3842" s="21"/>
    </row>
    <row r="3843" spans="15:15" x14ac:dyDescent="0.25">
      <c r="O3843" s="21"/>
    </row>
    <row r="3844" spans="15:15" x14ac:dyDescent="0.25">
      <c r="O3844" s="21"/>
    </row>
    <row r="3845" spans="15:15" x14ac:dyDescent="0.25">
      <c r="O3845" s="21"/>
    </row>
    <row r="3846" spans="15:15" x14ac:dyDescent="0.25">
      <c r="O3846" s="21"/>
    </row>
    <row r="3847" spans="15:15" x14ac:dyDescent="0.25">
      <c r="O3847" s="21"/>
    </row>
    <row r="3848" spans="15:15" x14ac:dyDescent="0.25">
      <c r="O3848" s="21"/>
    </row>
    <row r="3849" spans="15:15" x14ac:dyDescent="0.25">
      <c r="O3849" s="21"/>
    </row>
    <row r="3850" spans="15:15" x14ac:dyDescent="0.25">
      <c r="O3850" s="21"/>
    </row>
    <row r="3851" spans="15:15" x14ac:dyDescent="0.25">
      <c r="O3851" s="21"/>
    </row>
    <row r="3852" spans="15:15" x14ac:dyDescent="0.25">
      <c r="O3852" s="21"/>
    </row>
    <row r="3853" spans="15:15" x14ac:dyDescent="0.25">
      <c r="O3853" s="21"/>
    </row>
    <row r="3854" spans="15:15" x14ac:dyDescent="0.25">
      <c r="O3854" s="21"/>
    </row>
    <row r="3855" spans="15:15" x14ac:dyDescent="0.25">
      <c r="O3855" s="21"/>
    </row>
    <row r="3856" spans="15:15" x14ac:dyDescent="0.25">
      <c r="O3856" s="21"/>
    </row>
    <row r="3857" spans="15:15" x14ac:dyDescent="0.25">
      <c r="O3857" s="21"/>
    </row>
    <row r="3858" spans="15:15" x14ac:dyDescent="0.25">
      <c r="O3858" s="21"/>
    </row>
    <row r="3859" spans="15:15" x14ac:dyDescent="0.25">
      <c r="O3859" s="21"/>
    </row>
    <row r="3860" spans="15:15" x14ac:dyDescent="0.25">
      <c r="O3860" s="21"/>
    </row>
    <row r="3861" spans="15:15" x14ac:dyDescent="0.25">
      <c r="O3861" s="21"/>
    </row>
    <row r="3862" spans="15:15" x14ac:dyDescent="0.25">
      <c r="O3862" s="21"/>
    </row>
    <row r="3863" spans="15:15" x14ac:dyDescent="0.25">
      <c r="O3863" s="21"/>
    </row>
    <row r="3864" spans="15:15" x14ac:dyDescent="0.25">
      <c r="O3864" s="21"/>
    </row>
    <row r="3865" spans="15:15" x14ac:dyDescent="0.25">
      <c r="O3865" s="21"/>
    </row>
    <row r="3866" spans="15:15" x14ac:dyDescent="0.25">
      <c r="O3866" s="21"/>
    </row>
    <row r="3867" spans="15:15" x14ac:dyDescent="0.25">
      <c r="O3867" s="21"/>
    </row>
    <row r="3868" spans="15:15" x14ac:dyDescent="0.25">
      <c r="O3868" s="21"/>
    </row>
    <row r="3869" spans="15:15" x14ac:dyDescent="0.25">
      <c r="O3869" s="21"/>
    </row>
    <row r="3870" spans="15:15" x14ac:dyDescent="0.25">
      <c r="O3870" s="21"/>
    </row>
    <row r="3871" spans="15:15" x14ac:dyDescent="0.25">
      <c r="O3871" s="21"/>
    </row>
    <row r="3872" spans="15:15" x14ac:dyDescent="0.25">
      <c r="O3872" s="21"/>
    </row>
    <row r="3873" spans="15:15" x14ac:dyDescent="0.25">
      <c r="O3873" s="21"/>
    </row>
    <row r="3874" spans="15:15" x14ac:dyDescent="0.25">
      <c r="O3874" s="21"/>
    </row>
    <row r="3875" spans="15:15" x14ac:dyDescent="0.25">
      <c r="O3875" s="21"/>
    </row>
    <row r="3876" spans="15:15" x14ac:dyDescent="0.25">
      <c r="O3876" s="21"/>
    </row>
    <row r="3877" spans="15:15" x14ac:dyDescent="0.25">
      <c r="O3877" s="21"/>
    </row>
    <row r="3878" spans="15:15" x14ac:dyDescent="0.25">
      <c r="O3878" s="21"/>
    </row>
    <row r="3879" spans="15:15" x14ac:dyDescent="0.25">
      <c r="O3879" s="21"/>
    </row>
    <row r="3880" spans="15:15" x14ac:dyDescent="0.25">
      <c r="O3880" s="21"/>
    </row>
    <row r="3881" spans="15:15" x14ac:dyDescent="0.25">
      <c r="O3881" s="21"/>
    </row>
    <row r="3882" spans="15:15" x14ac:dyDescent="0.25">
      <c r="O3882" s="21"/>
    </row>
    <row r="3883" spans="15:15" x14ac:dyDescent="0.25">
      <c r="O3883" s="21"/>
    </row>
    <row r="3884" spans="15:15" x14ac:dyDescent="0.25">
      <c r="O3884" s="21"/>
    </row>
    <row r="3885" spans="15:15" x14ac:dyDescent="0.25">
      <c r="O3885" s="21"/>
    </row>
    <row r="3886" spans="15:15" x14ac:dyDescent="0.25">
      <c r="O3886" s="21"/>
    </row>
    <row r="3887" spans="15:15" x14ac:dyDescent="0.25">
      <c r="O3887" s="21"/>
    </row>
    <row r="3888" spans="15:15" x14ac:dyDescent="0.25">
      <c r="O3888" s="21"/>
    </row>
    <row r="3889" spans="15:15" x14ac:dyDescent="0.25">
      <c r="O3889" s="21"/>
    </row>
    <row r="3890" spans="15:15" x14ac:dyDescent="0.25">
      <c r="O3890" s="21"/>
    </row>
    <row r="3891" spans="15:15" x14ac:dyDescent="0.25">
      <c r="O3891" s="21"/>
    </row>
    <row r="3892" spans="15:15" x14ac:dyDescent="0.25">
      <c r="O3892" s="21"/>
    </row>
    <row r="3893" spans="15:15" x14ac:dyDescent="0.25">
      <c r="O3893" s="21"/>
    </row>
    <row r="3894" spans="15:15" x14ac:dyDescent="0.25">
      <c r="O3894" s="21"/>
    </row>
    <row r="3895" spans="15:15" x14ac:dyDescent="0.25">
      <c r="O3895" s="21"/>
    </row>
    <row r="3896" spans="15:15" x14ac:dyDescent="0.25">
      <c r="O3896" s="21"/>
    </row>
    <row r="3897" spans="15:15" x14ac:dyDescent="0.25">
      <c r="O3897" s="21"/>
    </row>
    <row r="3898" spans="15:15" x14ac:dyDescent="0.25">
      <c r="O3898" s="21"/>
    </row>
    <row r="3899" spans="15:15" x14ac:dyDescent="0.25">
      <c r="O3899" s="21"/>
    </row>
    <row r="3900" spans="15:15" x14ac:dyDescent="0.25">
      <c r="O3900" s="21"/>
    </row>
    <row r="3901" spans="15:15" x14ac:dyDescent="0.25">
      <c r="O3901" s="21"/>
    </row>
    <row r="3902" spans="15:15" x14ac:dyDescent="0.25">
      <c r="O3902" s="21"/>
    </row>
    <row r="3903" spans="15:15" x14ac:dyDescent="0.25">
      <c r="O3903" s="21"/>
    </row>
    <row r="3904" spans="15:15" x14ac:dyDescent="0.25">
      <c r="O3904" s="21"/>
    </row>
    <row r="3905" spans="15:15" x14ac:dyDescent="0.25">
      <c r="O3905" s="21"/>
    </row>
    <row r="3906" spans="15:15" x14ac:dyDescent="0.25">
      <c r="O3906" s="21"/>
    </row>
    <row r="3907" spans="15:15" x14ac:dyDescent="0.25">
      <c r="O3907" s="21"/>
    </row>
    <row r="3908" spans="15:15" x14ac:dyDescent="0.25">
      <c r="O3908" s="21"/>
    </row>
    <row r="3909" spans="15:15" x14ac:dyDescent="0.25">
      <c r="O3909" s="21"/>
    </row>
    <row r="3910" spans="15:15" x14ac:dyDescent="0.25">
      <c r="O3910" s="21"/>
    </row>
    <row r="3911" spans="15:15" x14ac:dyDescent="0.25">
      <c r="O3911" s="21"/>
    </row>
    <row r="3912" spans="15:15" x14ac:dyDescent="0.25">
      <c r="O3912" s="21"/>
    </row>
    <row r="3913" spans="15:15" x14ac:dyDescent="0.25">
      <c r="O3913" s="21"/>
    </row>
    <row r="3914" spans="15:15" x14ac:dyDescent="0.25">
      <c r="O3914" s="21"/>
    </row>
    <row r="3915" spans="15:15" x14ac:dyDescent="0.25">
      <c r="O3915" s="21"/>
    </row>
    <row r="3916" spans="15:15" x14ac:dyDescent="0.25">
      <c r="O3916" s="21"/>
    </row>
    <row r="3917" spans="15:15" x14ac:dyDescent="0.25">
      <c r="O3917" s="21"/>
    </row>
    <row r="3918" spans="15:15" x14ac:dyDescent="0.25">
      <c r="O3918" s="21"/>
    </row>
    <row r="3919" spans="15:15" x14ac:dyDescent="0.25">
      <c r="O3919" s="21"/>
    </row>
    <row r="3920" spans="15:15" x14ac:dyDescent="0.25">
      <c r="O3920" s="21"/>
    </row>
    <row r="3921" spans="15:15" x14ac:dyDescent="0.25">
      <c r="O3921" s="21"/>
    </row>
    <row r="3922" spans="15:15" x14ac:dyDescent="0.25">
      <c r="O3922" s="21"/>
    </row>
    <row r="3923" spans="15:15" x14ac:dyDescent="0.25">
      <c r="O3923" s="21"/>
    </row>
    <row r="3924" spans="15:15" x14ac:dyDescent="0.25">
      <c r="O3924" s="21"/>
    </row>
    <row r="3925" spans="15:15" x14ac:dyDescent="0.25">
      <c r="O3925" s="21"/>
    </row>
    <row r="3926" spans="15:15" x14ac:dyDescent="0.25">
      <c r="O3926" s="21"/>
    </row>
    <row r="3927" spans="15:15" x14ac:dyDescent="0.25">
      <c r="O3927" s="21"/>
    </row>
    <row r="3928" spans="15:15" x14ac:dyDescent="0.25">
      <c r="O3928" s="21"/>
    </row>
    <row r="3929" spans="15:15" x14ac:dyDescent="0.25">
      <c r="O3929" s="21"/>
    </row>
    <row r="3930" spans="15:15" x14ac:dyDescent="0.25">
      <c r="O3930" s="21"/>
    </row>
    <row r="3931" spans="15:15" x14ac:dyDescent="0.25">
      <c r="O3931" s="21"/>
    </row>
    <row r="3932" spans="15:15" x14ac:dyDescent="0.25">
      <c r="O3932" s="21"/>
    </row>
    <row r="3933" spans="15:15" x14ac:dyDescent="0.25">
      <c r="O3933" s="21"/>
    </row>
    <row r="3934" spans="15:15" x14ac:dyDescent="0.25">
      <c r="O3934" s="21"/>
    </row>
    <row r="3935" spans="15:15" x14ac:dyDescent="0.25">
      <c r="O3935" s="21"/>
    </row>
    <row r="3936" spans="15:15" x14ac:dyDescent="0.25">
      <c r="O3936" s="21"/>
    </row>
    <row r="3937" spans="15:15" x14ac:dyDescent="0.25">
      <c r="O3937" s="21"/>
    </row>
    <row r="3938" spans="15:15" x14ac:dyDescent="0.25">
      <c r="O3938" s="21"/>
    </row>
    <row r="3939" spans="15:15" x14ac:dyDescent="0.25">
      <c r="O3939" s="21"/>
    </row>
    <row r="3940" spans="15:15" x14ac:dyDescent="0.25">
      <c r="O3940" s="21"/>
    </row>
    <row r="3941" spans="15:15" x14ac:dyDescent="0.25">
      <c r="O3941" s="21"/>
    </row>
    <row r="3942" spans="15:15" x14ac:dyDescent="0.25">
      <c r="O3942" s="21"/>
    </row>
    <row r="3943" spans="15:15" x14ac:dyDescent="0.25">
      <c r="O3943" s="21"/>
    </row>
    <row r="3944" spans="15:15" x14ac:dyDescent="0.25">
      <c r="O3944" s="21"/>
    </row>
    <row r="3945" spans="15:15" x14ac:dyDescent="0.25">
      <c r="O3945" s="21"/>
    </row>
    <row r="3946" spans="15:15" x14ac:dyDescent="0.25">
      <c r="O3946" s="21"/>
    </row>
    <row r="3947" spans="15:15" x14ac:dyDescent="0.25">
      <c r="O3947" s="21"/>
    </row>
    <row r="3948" spans="15:15" x14ac:dyDescent="0.25">
      <c r="O3948" s="21"/>
    </row>
    <row r="3949" spans="15:15" x14ac:dyDescent="0.25">
      <c r="O3949" s="21"/>
    </row>
    <row r="3950" spans="15:15" x14ac:dyDescent="0.25">
      <c r="O3950" s="21"/>
    </row>
    <row r="3951" spans="15:15" x14ac:dyDescent="0.25">
      <c r="O3951" s="21"/>
    </row>
    <row r="3952" spans="15:15" x14ac:dyDescent="0.25">
      <c r="O3952" s="21"/>
    </row>
    <row r="3953" spans="15:15" x14ac:dyDescent="0.25">
      <c r="O3953" s="21"/>
    </row>
    <row r="3954" spans="15:15" x14ac:dyDescent="0.25">
      <c r="O3954" s="21"/>
    </row>
    <row r="3955" spans="15:15" x14ac:dyDescent="0.25">
      <c r="O3955" s="21"/>
    </row>
    <row r="3956" spans="15:15" x14ac:dyDescent="0.25">
      <c r="O3956" s="21"/>
    </row>
    <row r="3957" spans="15:15" x14ac:dyDescent="0.25">
      <c r="O3957" s="21"/>
    </row>
    <row r="3958" spans="15:15" x14ac:dyDescent="0.25">
      <c r="O3958" s="21"/>
    </row>
    <row r="3959" spans="15:15" x14ac:dyDescent="0.25">
      <c r="O3959" s="21"/>
    </row>
    <row r="3960" spans="15:15" x14ac:dyDescent="0.25">
      <c r="O3960" s="21"/>
    </row>
    <row r="3961" spans="15:15" x14ac:dyDescent="0.25">
      <c r="O3961" s="21"/>
    </row>
    <row r="3962" spans="15:15" x14ac:dyDescent="0.25">
      <c r="O3962" s="21"/>
    </row>
    <row r="3963" spans="15:15" x14ac:dyDescent="0.25">
      <c r="O3963" s="21"/>
    </row>
    <row r="3964" spans="15:15" x14ac:dyDescent="0.25">
      <c r="O3964" s="21"/>
    </row>
    <row r="3965" spans="15:15" x14ac:dyDescent="0.25">
      <c r="O3965" s="21"/>
    </row>
    <row r="3966" spans="15:15" x14ac:dyDescent="0.25">
      <c r="O3966" s="21"/>
    </row>
    <row r="3967" spans="15:15" x14ac:dyDescent="0.25">
      <c r="O3967" s="21"/>
    </row>
    <row r="3968" spans="15:15" x14ac:dyDescent="0.25">
      <c r="O3968" s="21"/>
    </row>
    <row r="3969" spans="15:15" x14ac:dyDescent="0.25">
      <c r="O3969" s="21"/>
    </row>
    <row r="3970" spans="15:15" x14ac:dyDescent="0.25">
      <c r="O3970" s="21"/>
    </row>
    <row r="3971" spans="15:15" x14ac:dyDescent="0.25">
      <c r="O3971" s="21"/>
    </row>
    <row r="3972" spans="15:15" x14ac:dyDescent="0.25">
      <c r="O3972" s="21"/>
    </row>
    <row r="3973" spans="15:15" x14ac:dyDescent="0.25">
      <c r="O3973" s="21"/>
    </row>
    <row r="3974" spans="15:15" x14ac:dyDescent="0.25">
      <c r="O3974" s="21"/>
    </row>
    <row r="3975" spans="15:15" x14ac:dyDescent="0.25">
      <c r="O3975" s="21"/>
    </row>
    <row r="3976" spans="15:15" x14ac:dyDescent="0.25">
      <c r="O3976" s="21"/>
    </row>
    <row r="3977" spans="15:15" x14ac:dyDescent="0.25">
      <c r="O3977" s="21"/>
    </row>
    <row r="3978" spans="15:15" x14ac:dyDescent="0.25">
      <c r="O3978" s="21"/>
    </row>
    <row r="3979" spans="15:15" x14ac:dyDescent="0.25">
      <c r="O3979" s="21"/>
    </row>
    <row r="3980" spans="15:15" x14ac:dyDescent="0.25">
      <c r="O3980" s="21"/>
    </row>
    <row r="3981" spans="15:15" x14ac:dyDescent="0.25">
      <c r="O3981" s="21"/>
    </row>
    <row r="3982" spans="15:15" x14ac:dyDescent="0.25">
      <c r="O3982" s="21"/>
    </row>
    <row r="3983" spans="15:15" x14ac:dyDescent="0.25">
      <c r="O3983" s="21"/>
    </row>
    <row r="3984" spans="15:15" x14ac:dyDescent="0.25">
      <c r="O3984" s="21"/>
    </row>
    <row r="3985" spans="15:15" x14ac:dyDescent="0.25">
      <c r="O3985" s="21"/>
    </row>
    <row r="3986" spans="15:15" x14ac:dyDescent="0.25">
      <c r="O3986" s="21"/>
    </row>
    <row r="3987" spans="15:15" x14ac:dyDescent="0.25">
      <c r="O3987" s="21"/>
    </row>
    <row r="3988" spans="15:15" x14ac:dyDescent="0.25">
      <c r="O3988" s="21"/>
    </row>
    <row r="3989" spans="15:15" x14ac:dyDescent="0.25">
      <c r="O3989" s="21"/>
    </row>
    <row r="3990" spans="15:15" x14ac:dyDescent="0.25">
      <c r="O3990" s="21"/>
    </row>
    <row r="3991" spans="15:15" x14ac:dyDescent="0.25">
      <c r="O3991" s="21"/>
    </row>
    <row r="3992" spans="15:15" x14ac:dyDescent="0.25">
      <c r="O3992" s="21"/>
    </row>
    <row r="3993" spans="15:15" x14ac:dyDescent="0.25">
      <c r="O3993" s="21"/>
    </row>
    <row r="3994" spans="15:15" x14ac:dyDescent="0.25">
      <c r="O3994" s="21"/>
    </row>
    <row r="3995" spans="15:15" x14ac:dyDescent="0.25">
      <c r="O3995" s="21"/>
    </row>
    <row r="3996" spans="15:15" x14ac:dyDescent="0.25">
      <c r="O3996" s="21"/>
    </row>
    <row r="3997" spans="15:15" x14ac:dyDescent="0.25">
      <c r="O3997" s="21"/>
    </row>
    <row r="3998" spans="15:15" x14ac:dyDescent="0.25">
      <c r="O3998" s="21"/>
    </row>
    <row r="3999" spans="15:15" x14ac:dyDescent="0.25">
      <c r="O3999" s="21"/>
    </row>
    <row r="4000" spans="15:15" x14ac:dyDescent="0.25">
      <c r="O4000" s="21"/>
    </row>
    <row r="4001" spans="15:15" x14ac:dyDescent="0.25">
      <c r="O4001" s="21"/>
    </row>
    <row r="4002" spans="15:15" x14ac:dyDescent="0.25">
      <c r="O4002" s="21"/>
    </row>
    <row r="4003" spans="15:15" x14ac:dyDescent="0.25">
      <c r="O4003" s="21"/>
    </row>
    <row r="4004" spans="15:15" x14ac:dyDescent="0.25">
      <c r="O4004" s="21"/>
    </row>
    <row r="4005" spans="15:15" x14ac:dyDescent="0.25">
      <c r="O4005" s="21"/>
    </row>
    <row r="4006" spans="15:15" x14ac:dyDescent="0.25">
      <c r="O4006" s="21"/>
    </row>
    <row r="4007" spans="15:15" x14ac:dyDescent="0.25">
      <c r="O4007" s="21"/>
    </row>
    <row r="4008" spans="15:15" x14ac:dyDescent="0.25">
      <c r="O4008" s="21"/>
    </row>
    <row r="4009" spans="15:15" x14ac:dyDescent="0.25">
      <c r="O4009" s="21"/>
    </row>
    <row r="4010" spans="15:15" x14ac:dyDescent="0.25">
      <c r="O4010" s="21"/>
    </row>
    <row r="4011" spans="15:15" x14ac:dyDescent="0.25">
      <c r="O4011" s="21"/>
    </row>
    <row r="4012" spans="15:15" x14ac:dyDescent="0.25">
      <c r="O4012" s="21"/>
    </row>
    <row r="4013" spans="15:15" x14ac:dyDescent="0.25">
      <c r="O4013" s="21"/>
    </row>
    <row r="4014" spans="15:15" x14ac:dyDescent="0.25">
      <c r="O4014" s="21"/>
    </row>
    <row r="4015" spans="15:15" x14ac:dyDescent="0.25">
      <c r="O4015" s="21"/>
    </row>
    <row r="4016" spans="15:15" x14ac:dyDescent="0.25">
      <c r="O4016" s="21"/>
    </row>
    <row r="4017" spans="15:15" x14ac:dyDescent="0.25">
      <c r="O4017" s="21"/>
    </row>
    <row r="4018" spans="15:15" x14ac:dyDescent="0.25">
      <c r="O4018" s="21"/>
    </row>
    <row r="4019" spans="15:15" x14ac:dyDescent="0.25">
      <c r="O4019" s="21"/>
    </row>
    <row r="4020" spans="15:15" x14ac:dyDescent="0.25">
      <c r="O4020" s="21"/>
    </row>
    <row r="4021" spans="15:15" x14ac:dyDescent="0.25">
      <c r="O4021" s="21"/>
    </row>
    <row r="4022" spans="15:15" x14ac:dyDescent="0.25">
      <c r="O4022" s="21"/>
    </row>
    <row r="4023" spans="15:15" x14ac:dyDescent="0.25">
      <c r="O4023" s="21"/>
    </row>
    <row r="4024" spans="15:15" x14ac:dyDescent="0.25">
      <c r="O4024" s="21"/>
    </row>
    <row r="4025" spans="15:15" x14ac:dyDescent="0.25">
      <c r="O4025" s="21"/>
    </row>
    <row r="4026" spans="15:15" x14ac:dyDescent="0.25">
      <c r="O4026" s="21"/>
    </row>
    <row r="4027" spans="15:15" x14ac:dyDescent="0.25">
      <c r="O4027" s="21"/>
    </row>
    <row r="4028" spans="15:15" x14ac:dyDescent="0.25">
      <c r="O4028" s="21"/>
    </row>
    <row r="4029" spans="15:15" x14ac:dyDescent="0.25">
      <c r="O4029" s="21"/>
    </row>
    <row r="4030" spans="15:15" x14ac:dyDescent="0.25">
      <c r="O4030" s="21"/>
    </row>
    <row r="4031" spans="15:15" x14ac:dyDescent="0.25">
      <c r="O4031" s="21"/>
    </row>
    <row r="4032" spans="15:15" x14ac:dyDescent="0.25">
      <c r="O4032" s="21"/>
    </row>
    <row r="4033" spans="15:15" x14ac:dyDescent="0.25">
      <c r="O4033" s="21"/>
    </row>
    <row r="4034" spans="15:15" x14ac:dyDescent="0.25">
      <c r="O4034" s="21"/>
    </row>
    <row r="4035" spans="15:15" x14ac:dyDescent="0.25">
      <c r="O4035" s="21"/>
    </row>
    <row r="4036" spans="15:15" x14ac:dyDescent="0.25">
      <c r="O4036" s="21"/>
    </row>
    <row r="4037" spans="15:15" x14ac:dyDescent="0.25">
      <c r="O4037" s="21"/>
    </row>
    <row r="4038" spans="15:15" x14ac:dyDescent="0.25">
      <c r="O4038" s="21"/>
    </row>
    <row r="4039" spans="15:15" x14ac:dyDescent="0.25">
      <c r="O4039" s="21"/>
    </row>
    <row r="4040" spans="15:15" x14ac:dyDescent="0.25">
      <c r="O4040" s="21"/>
    </row>
    <row r="4041" spans="15:15" x14ac:dyDescent="0.25">
      <c r="O4041" s="21"/>
    </row>
    <row r="4042" spans="15:15" x14ac:dyDescent="0.25">
      <c r="O4042" s="21"/>
    </row>
    <row r="4043" spans="15:15" x14ac:dyDescent="0.25">
      <c r="O4043" s="21"/>
    </row>
    <row r="4044" spans="15:15" x14ac:dyDescent="0.25">
      <c r="O4044" s="21"/>
    </row>
    <row r="4045" spans="15:15" x14ac:dyDescent="0.25">
      <c r="O4045" s="21"/>
    </row>
    <row r="4046" spans="15:15" x14ac:dyDescent="0.25">
      <c r="O4046" s="21"/>
    </row>
    <row r="4047" spans="15:15" x14ac:dyDescent="0.25">
      <c r="O4047" s="21"/>
    </row>
    <row r="4048" spans="15:15" x14ac:dyDescent="0.25">
      <c r="O4048" s="21"/>
    </row>
    <row r="4049" spans="15:15" x14ac:dyDescent="0.25">
      <c r="O4049" s="21"/>
    </row>
    <row r="4050" spans="15:15" x14ac:dyDescent="0.25">
      <c r="O4050" s="21"/>
    </row>
    <row r="4051" spans="15:15" x14ac:dyDescent="0.25">
      <c r="O4051" s="21"/>
    </row>
    <row r="4052" spans="15:15" x14ac:dyDescent="0.25">
      <c r="O4052" s="21"/>
    </row>
    <row r="4053" spans="15:15" x14ac:dyDescent="0.25">
      <c r="O4053" s="21"/>
    </row>
    <row r="4054" spans="15:15" x14ac:dyDescent="0.25">
      <c r="O4054" s="21"/>
    </row>
    <row r="4055" spans="15:15" x14ac:dyDescent="0.25">
      <c r="O4055" s="21"/>
    </row>
    <row r="4056" spans="15:15" x14ac:dyDescent="0.25">
      <c r="O4056" s="21"/>
    </row>
    <row r="4057" spans="15:15" x14ac:dyDescent="0.25">
      <c r="O4057" s="21"/>
    </row>
    <row r="4058" spans="15:15" x14ac:dyDescent="0.25">
      <c r="O4058" s="21"/>
    </row>
    <row r="4059" spans="15:15" x14ac:dyDescent="0.25">
      <c r="O4059" s="21"/>
    </row>
    <row r="4060" spans="15:15" x14ac:dyDescent="0.25">
      <c r="O4060" s="21"/>
    </row>
    <row r="4061" spans="15:15" x14ac:dyDescent="0.25">
      <c r="O4061" s="21"/>
    </row>
    <row r="4062" spans="15:15" x14ac:dyDescent="0.25">
      <c r="O4062" s="21"/>
    </row>
    <row r="4063" spans="15:15" x14ac:dyDescent="0.25">
      <c r="O4063" s="21"/>
    </row>
    <row r="4064" spans="15:15" x14ac:dyDescent="0.25">
      <c r="O4064" s="21"/>
    </row>
    <row r="4065" spans="15:15" x14ac:dyDescent="0.25">
      <c r="O4065" s="21"/>
    </row>
    <row r="4066" spans="15:15" x14ac:dyDescent="0.25">
      <c r="O4066" s="21"/>
    </row>
    <row r="4067" spans="15:15" x14ac:dyDescent="0.25">
      <c r="O4067" s="21"/>
    </row>
    <row r="4068" spans="15:15" x14ac:dyDescent="0.25">
      <c r="O4068" s="21"/>
    </row>
    <row r="4069" spans="15:15" x14ac:dyDescent="0.25">
      <c r="O4069" s="21"/>
    </row>
    <row r="4070" spans="15:15" x14ac:dyDescent="0.25">
      <c r="O4070" s="21"/>
    </row>
    <row r="4071" spans="15:15" x14ac:dyDescent="0.25">
      <c r="O4071" s="21"/>
    </row>
    <row r="4072" spans="15:15" x14ac:dyDescent="0.25">
      <c r="O4072" s="21"/>
    </row>
    <row r="4073" spans="15:15" x14ac:dyDescent="0.25">
      <c r="O4073" s="21"/>
    </row>
    <row r="4074" spans="15:15" x14ac:dyDescent="0.25">
      <c r="O4074" s="21"/>
    </row>
    <row r="4075" spans="15:15" x14ac:dyDescent="0.25">
      <c r="O4075" s="21"/>
    </row>
    <row r="4076" spans="15:15" x14ac:dyDescent="0.25">
      <c r="O4076" s="21"/>
    </row>
    <row r="4077" spans="15:15" x14ac:dyDescent="0.25">
      <c r="O4077" s="21"/>
    </row>
    <row r="4078" spans="15:15" x14ac:dyDescent="0.25">
      <c r="O4078" s="21"/>
    </row>
    <row r="4079" spans="15:15" x14ac:dyDescent="0.25">
      <c r="O4079" s="21"/>
    </row>
    <row r="4080" spans="15:15" x14ac:dyDescent="0.25">
      <c r="O4080" s="21"/>
    </row>
    <row r="4081" spans="15:15" x14ac:dyDescent="0.25">
      <c r="O4081" s="21"/>
    </row>
    <row r="4082" spans="15:15" x14ac:dyDescent="0.25">
      <c r="O4082" s="21"/>
    </row>
    <row r="4083" spans="15:15" x14ac:dyDescent="0.25">
      <c r="O4083" s="21"/>
    </row>
    <row r="4084" spans="15:15" x14ac:dyDescent="0.25">
      <c r="O4084" s="21"/>
    </row>
    <row r="4085" spans="15:15" x14ac:dyDescent="0.25">
      <c r="O4085" s="21"/>
    </row>
    <row r="4086" spans="15:15" x14ac:dyDescent="0.25">
      <c r="O4086" s="21"/>
    </row>
    <row r="4087" spans="15:15" x14ac:dyDescent="0.25">
      <c r="O4087" s="21"/>
    </row>
    <row r="4088" spans="15:15" x14ac:dyDescent="0.25">
      <c r="O4088" s="21"/>
    </row>
    <row r="4089" spans="15:15" x14ac:dyDescent="0.25">
      <c r="O4089" s="21"/>
    </row>
    <row r="4090" spans="15:15" x14ac:dyDescent="0.25">
      <c r="O4090" s="21"/>
    </row>
    <row r="4091" spans="15:15" x14ac:dyDescent="0.25">
      <c r="O4091" s="21"/>
    </row>
    <row r="4092" spans="15:15" x14ac:dyDescent="0.25">
      <c r="O4092" s="21"/>
    </row>
    <row r="4093" spans="15:15" x14ac:dyDescent="0.25">
      <c r="O4093" s="21"/>
    </row>
    <row r="4094" spans="15:15" x14ac:dyDescent="0.25">
      <c r="O4094" s="21"/>
    </row>
    <row r="4095" spans="15:15" x14ac:dyDescent="0.25">
      <c r="O4095" s="21"/>
    </row>
    <row r="4096" spans="15:15" x14ac:dyDescent="0.25">
      <c r="O4096" s="21"/>
    </row>
    <row r="4097" spans="15:15" x14ac:dyDescent="0.25">
      <c r="O4097" s="21"/>
    </row>
    <row r="4098" spans="15:15" x14ac:dyDescent="0.25">
      <c r="O4098" s="21"/>
    </row>
    <row r="4099" spans="15:15" x14ac:dyDescent="0.25">
      <c r="O4099" s="21"/>
    </row>
    <row r="4100" spans="15:15" x14ac:dyDescent="0.25">
      <c r="O4100" s="21"/>
    </row>
    <row r="4101" spans="15:15" x14ac:dyDescent="0.25">
      <c r="O4101" s="21"/>
    </row>
    <row r="4102" spans="15:15" x14ac:dyDescent="0.25">
      <c r="O4102" s="21"/>
    </row>
    <row r="4103" spans="15:15" x14ac:dyDescent="0.25">
      <c r="O4103" s="21"/>
    </row>
    <row r="4104" spans="15:15" x14ac:dyDescent="0.25">
      <c r="O4104" s="21"/>
    </row>
    <row r="4105" spans="15:15" x14ac:dyDescent="0.25">
      <c r="O4105" s="21"/>
    </row>
    <row r="4106" spans="15:15" x14ac:dyDescent="0.25">
      <c r="O4106" s="21"/>
    </row>
    <row r="4107" spans="15:15" x14ac:dyDescent="0.25">
      <c r="O4107" s="21"/>
    </row>
    <row r="4108" spans="15:15" x14ac:dyDescent="0.25">
      <c r="O4108" s="21"/>
    </row>
    <row r="4109" spans="15:15" x14ac:dyDescent="0.25">
      <c r="O4109" s="21"/>
    </row>
    <row r="4110" spans="15:15" x14ac:dyDescent="0.25">
      <c r="O4110" s="21"/>
    </row>
    <row r="4111" spans="15:15" x14ac:dyDescent="0.25">
      <c r="O4111" s="21"/>
    </row>
    <row r="4112" spans="15:15" x14ac:dyDescent="0.25">
      <c r="O4112" s="21"/>
    </row>
    <row r="4113" spans="15:15" x14ac:dyDescent="0.25">
      <c r="O4113" s="21"/>
    </row>
    <row r="4114" spans="15:15" x14ac:dyDescent="0.25">
      <c r="O4114" s="21"/>
    </row>
    <row r="4115" spans="15:15" x14ac:dyDescent="0.25">
      <c r="O4115" s="21"/>
    </row>
    <row r="4116" spans="15:15" x14ac:dyDescent="0.25">
      <c r="O4116" s="21"/>
    </row>
    <row r="4117" spans="15:15" x14ac:dyDescent="0.25">
      <c r="O4117" s="21"/>
    </row>
    <row r="4118" spans="15:15" x14ac:dyDescent="0.25">
      <c r="O4118" s="21"/>
    </row>
    <row r="4119" spans="15:15" x14ac:dyDescent="0.25">
      <c r="O4119" s="21"/>
    </row>
    <row r="4120" spans="15:15" x14ac:dyDescent="0.25">
      <c r="O4120" s="21"/>
    </row>
    <row r="4121" spans="15:15" x14ac:dyDescent="0.25">
      <c r="O4121" s="21"/>
    </row>
    <row r="4122" spans="15:15" x14ac:dyDescent="0.25">
      <c r="O4122" s="21"/>
    </row>
    <row r="4123" spans="15:15" x14ac:dyDescent="0.25">
      <c r="O4123" s="21"/>
    </row>
    <row r="4124" spans="15:15" x14ac:dyDescent="0.25">
      <c r="O4124" s="21"/>
    </row>
    <row r="4125" spans="15:15" x14ac:dyDescent="0.25">
      <c r="O4125" s="21"/>
    </row>
    <row r="4126" spans="15:15" x14ac:dyDescent="0.25">
      <c r="O4126" s="21"/>
    </row>
    <row r="4127" spans="15:15" x14ac:dyDescent="0.25">
      <c r="O4127" s="21"/>
    </row>
    <row r="4128" spans="15:15" x14ac:dyDescent="0.25">
      <c r="O4128" s="21"/>
    </row>
    <row r="4129" spans="15:15" x14ac:dyDescent="0.25">
      <c r="O4129" s="21"/>
    </row>
    <row r="4130" spans="15:15" x14ac:dyDescent="0.25">
      <c r="O4130" s="21"/>
    </row>
    <row r="4131" spans="15:15" x14ac:dyDescent="0.25">
      <c r="O4131" s="21"/>
    </row>
    <row r="4132" spans="15:15" x14ac:dyDescent="0.25">
      <c r="O4132" s="21"/>
    </row>
    <row r="4133" spans="15:15" x14ac:dyDescent="0.25">
      <c r="O4133" s="21"/>
    </row>
    <row r="4134" spans="15:15" x14ac:dyDescent="0.25">
      <c r="O4134" s="21"/>
    </row>
    <row r="4135" spans="15:15" x14ac:dyDescent="0.25">
      <c r="O4135" s="21"/>
    </row>
    <row r="4136" spans="15:15" x14ac:dyDescent="0.25">
      <c r="O4136" s="21"/>
    </row>
    <row r="4137" spans="15:15" x14ac:dyDescent="0.25">
      <c r="O4137" s="21"/>
    </row>
    <row r="4138" spans="15:15" x14ac:dyDescent="0.25">
      <c r="O4138" s="21"/>
    </row>
    <row r="4139" spans="15:15" x14ac:dyDescent="0.25">
      <c r="O4139" s="21"/>
    </row>
    <row r="4140" spans="15:15" x14ac:dyDescent="0.25">
      <c r="O4140" s="21"/>
    </row>
    <row r="4141" spans="15:15" x14ac:dyDescent="0.25">
      <c r="O4141" s="21"/>
    </row>
    <row r="4142" spans="15:15" x14ac:dyDescent="0.25">
      <c r="O4142" s="21"/>
    </row>
    <row r="4143" spans="15:15" x14ac:dyDescent="0.25">
      <c r="O4143" s="21"/>
    </row>
    <row r="4144" spans="15:15" x14ac:dyDescent="0.25">
      <c r="O4144" s="21"/>
    </row>
    <row r="4145" spans="15:15" x14ac:dyDescent="0.25">
      <c r="O4145" s="21"/>
    </row>
    <row r="4146" spans="15:15" x14ac:dyDescent="0.25">
      <c r="O4146" s="21"/>
    </row>
    <row r="4147" spans="15:15" x14ac:dyDescent="0.25">
      <c r="O4147" s="21"/>
    </row>
    <row r="4148" spans="15:15" x14ac:dyDescent="0.25">
      <c r="O4148" s="21"/>
    </row>
    <row r="4149" spans="15:15" x14ac:dyDescent="0.25">
      <c r="O4149" s="21"/>
    </row>
    <row r="4150" spans="15:15" x14ac:dyDescent="0.25">
      <c r="O4150" s="21"/>
    </row>
    <row r="4151" spans="15:15" x14ac:dyDescent="0.25">
      <c r="O4151" s="21"/>
    </row>
    <row r="4152" spans="15:15" x14ac:dyDescent="0.25">
      <c r="O4152" s="21"/>
    </row>
    <row r="4153" spans="15:15" x14ac:dyDescent="0.25">
      <c r="O4153" s="21"/>
    </row>
    <row r="4154" spans="15:15" x14ac:dyDescent="0.25">
      <c r="O4154" s="21"/>
    </row>
    <row r="4155" spans="15:15" x14ac:dyDescent="0.25">
      <c r="O4155" s="21"/>
    </row>
    <row r="4156" spans="15:15" x14ac:dyDescent="0.25">
      <c r="O4156" s="21"/>
    </row>
    <row r="4157" spans="15:15" x14ac:dyDescent="0.25">
      <c r="O4157" s="21"/>
    </row>
    <row r="4158" spans="15:15" x14ac:dyDescent="0.25">
      <c r="O4158" s="21"/>
    </row>
    <row r="4159" spans="15:15" x14ac:dyDescent="0.25">
      <c r="O4159" s="21"/>
    </row>
    <row r="4160" spans="15:15" x14ac:dyDescent="0.25">
      <c r="O4160" s="21"/>
    </row>
    <row r="4161" spans="15:15" x14ac:dyDescent="0.25">
      <c r="O4161" s="21"/>
    </row>
    <row r="4162" spans="15:15" x14ac:dyDescent="0.25">
      <c r="O4162" s="21"/>
    </row>
    <row r="4163" spans="15:15" x14ac:dyDescent="0.25">
      <c r="O4163" s="21"/>
    </row>
    <row r="4164" spans="15:15" x14ac:dyDescent="0.25">
      <c r="O4164" s="21"/>
    </row>
    <row r="4165" spans="15:15" x14ac:dyDescent="0.25">
      <c r="O4165" s="21"/>
    </row>
    <row r="4166" spans="15:15" x14ac:dyDescent="0.25">
      <c r="O4166" s="21"/>
    </row>
    <row r="4167" spans="15:15" x14ac:dyDescent="0.25">
      <c r="O4167" s="21"/>
    </row>
    <row r="4168" spans="15:15" x14ac:dyDescent="0.25">
      <c r="O4168" s="21"/>
    </row>
    <row r="4169" spans="15:15" x14ac:dyDescent="0.25">
      <c r="O4169" s="21"/>
    </row>
    <row r="4170" spans="15:15" x14ac:dyDescent="0.25">
      <c r="O4170" s="21"/>
    </row>
    <row r="4171" spans="15:15" x14ac:dyDescent="0.25">
      <c r="O4171" s="21"/>
    </row>
    <row r="4172" spans="15:15" x14ac:dyDescent="0.25">
      <c r="O4172" s="21"/>
    </row>
    <row r="4173" spans="15:15" x14ac:dyDescent="0.25">
      <c r="O4173" s="21"/>
    </row>
    <row r="4174" spans="15:15" x14ac:dyDescent="0.25">
      <c r="O4174" s="21"/>
    </row>
    <row r="4175" spans="15:15" x14ac:dyDescent="0.25">
      <c r="O4175" s="21"/>
    </row>
    <row r="4176" spans="15:15" x14ac:dyDescent="0.25">
      <c r="O4176" s="21"/>
    </row>
    <row r="4177" spans="15:15" x14ac:dyDescent="0.25">
      <c r="O4177" s="21"/>
    </row>
    <row r="4178" spans="15:15" x14ac:dyDescent="0.25">
      <c r="O4178" s="21"/>
    </row>
    <row r="4179" spans="15:15" x14ac:dyDescent="0.25">
      <c r="O4179" s="21"/>
    </row>
    <row r="4180" spans="15:15" x14ac:dyDescent="0.25">
      <c r="O4180" s="21"/>
    </row>
    <row r="4181" spans="15:15" x14ac:dyDescent="0.25">
      <c r="O4181" s="21"/>
    </row>
    <row r="4182" spans="15:15" x14ac:dyDescent="0.25">
      <c r="O4182" s="21"/>
    </row>
    <row r="4183" spans="15:15" x14ac:dyDescent="0.25">
      <c r="O4183" s="21"/>
    </row>
    <row r="4184" spans="15:15" x14ac:dyDescent="0.25">
      <c r="O4184" s="21"/>
    </row>
    <row r="4185" spans="15:15" x14ac:dyDescent="0.25">
      <c r="O4185" s="21"/>
    </row>
    <row r="4186" spans="15:15" x14ac:dyDescent="0.25">
      <c r="O4186" s="21"/>
    </row>
    <row r="4187" spans="15:15" x14ac:dyDescent="0.25">
      <c r="O4187" s="21"/>
    </row>
    <row r="4188" spans="15:15" x14ac:dyDescent="0.25">
      <c r="O4188" s="21"/>
    </row>
    <row r="4189" spans="15:15" x14ac:dyDescent="0.25">
      <c r="O4189" s="21"/>
    </row>
    <row r="4190" spans="15:15" x14ac:dyDescent="0.25">
      <c r="O4190" s="21"/>
    </row>
    <row r="4191" spans="15:15" x14ac:dyDescent="0.25">
      <c r="O4191" s="21"/>
    </row>
    <row r="4192" spans="15:15" x14ac:dyDescent="0.25">
      <c r="O4192" s="21"/>
    </row>
    <row r="4193" spans="15:15" x14ac:dyDescent="0.25">
      <c r="O4193" s="21"/>
    </row>
    <row r="4194" spans="15:15" x14ac:dyDescent="0.25">
      <c r="O4194" s="21"/>
    </row>
    <row r="4195" spans="15:15" x14ac:dyDescent="0.25">
      <c r="O4195" s="21"/>
    </row>
    <row r="4196" spans="15:15" x14ac:dyDescent="0.25">
      <c r="O4196" s="21"/>
    </row>
    <row r="4197" spans="15:15" x14ac:dyDescent="0.25">
      <c r="O4197" s="21"/>
    </row>
    <row r="4198" spans="15:15" x14ac:dyDescent="0.25">
      <c r="O4198" s="21"/>
    </row>
    <row r="4199" spans="15:15" x14ac:dyDescent="0.25">
      <c r="O4199" s="21"/>
    </row>
    <row r="4200" spans="15:15" x14ac:dyDescent="0.25">
      <c r="O4200" s="21"/>
    </row>
    <row r="4201" spans="15:15" x14ac:dyDescent="0.25">
      <c r="O4201" s="21"/>
    </row>
    <row r="4202" spans="15:15" x14ac:dyDescent="0.25">
      <c r="O4202" s="21"/>
    </row>
    <row r="4203" spans="15:15" x14ac:dyDescent="0.25">
      <c r="O4203" s="21"/>
    </row>
    <row r="4204" spans="15:15" x14ac:dyDescent="0.25">
      <c r="O4204" s="21"/>
    </row>
    <row r="4205" spans="15:15" x14ac:dyDescent="0.25">
      <c r="O4205" s="21"/>
    </row>
    <row r="4206" spans="15:15" x14ac:dyDescent="0.25">
      <c r="O4206" s="21"/>
    </row>
    <row r="4207" spans="15:15" x14ac:dyDescent="0.25">
      <c r="O4207" s="21"/>
    </row>
    <row r="4208" spans="15:15" x14ac:dyDescent="0.25">
      <c r="O4208" s="21"/>
    </row>
    <row r="4209" spans="15:15" x14ac:dyDescent="0.25">
      <c r="O4209" s="21"/>
    </row>
    <row r="4210" spans="15:15" x14ac:dyDescent="0.25">
      <c r="O4210" s="21"/>
    </row>
    <row r="4211" spans="15:15" x14ac:dyDescent="0.25">
      <c r="O4211" s="21"/>
    </row>
    <row r="4212" spans="15:15" x14ac:dyDescent="0.25">
      <c r="O4212" s="21"/>
    </row>
    <row r="4213" spans="15:15" x14ac:dyDescent="0.25">
      <c r="O4213" s="21"/>
    </row>
    <row r="4214" spans="15:15" x14ac:dyDescent="0.25">
      <c r="O4214" s="21"/>
    </row>
    <row r="4215" spans="15:15" x14ac:dyDescent="0.25">
      <c r="O4215" s="21"/>
    </row>
    <row r="4216" spans="15:15" x14ac:dyDescent="0.25">
      <c r="O4216" s="21"/>
    </row>
    <row r="4217" spans="15:15" x14ac:dyDescent="0.25">
      <c r="O4217" s="21"/>
    </row>
    <row r="4218" spans="15:15" x14ac:dyDescent="0.25">
      <c r="O4218" s="21"/>
    </row>
    <row r="4219" spans="15:15" x14ac:dyDescent="0.25">
      <c r="O4219" s="21"/>
    </row>
    <row r="4220" spans="15:15" x14ac:dyDescent="0.25">
      <c r="O4220" s="21"/>
    </row>
    <row r="4221" spans="15:15" x14ac:dyDescent="0.25">
      <c r="O4221" s="21"/>
    </row>
    <row r="4222" spans="15:15" x14ac:dyDescent="0.25">
      <c r="O4222" s="21"/>
    </row>
    <row r="4223" spans="15:15" x14ac:dyDescent="0.25">
      <c r="O4223" s="21"/>
    </row>
    <row r="4224" spans="15:15" x14ac:dyDescent="0.25">
      <c r="O4224" s="21"/>
    </row>
    <row r="4225" spans="15:15" x14ac:dyDescent="0.25">
      <c r="O4225" s="21"/>
    </row>
    <row r="4226" spans="15:15" x14ac:dyDescent="0.25">
      <c r="O4226" s="21"/>
    </row>
    <row r="4227" spans="15:15" x14ac:dyDescent="0.25">
      <c r="O4227" s="21"/>
    </row>
    <row r="4228" spans="15:15" x14ac:dyDescent="0.25">
      <c r="O4228" s="21"/>
    </row>
    <row r="4229" spans="15:15" x14ac:dyDescent="0.25">
      <c r="O4229" s="21"/>
    </row>
    <row r="4230" spans="15:15" x14ac:dyDescent="0.25">
      <c r="O4230" s="21"/>
    </row>
    <row r="4231" spans="15:15" x14ac:dyDescent="0.25">
      <c r="O4231" s="21"/>
    </row>
    <row r="4232" spans="15:15" x14ac:dyDescent="0.25">
      <c r="O4232" s="21"/>
    </row>
    <row r="4233" spans="15:15" x14ac:dyDescent="0.25">
      <c r="O4233" s="21"/>
    </row>
    <row r="4234" spans="15:15" x14ac:dyDescent="0.25">
      <c r="O4234" s="21"/>
    </row>
    <row r="4235" spans="15:15" x14ac:dyDescent="0.25">
      <c r="O4235" s="21"/>
    </row>
    <row r="4236" spans="15:15" x14ac:dyDescent="0.25">
      <c r="O4236" s="21"/>
    </row>
    <row r="4237" spans="15:15" x14ac:dyDescent="0.25">
      <c r="O4237" s="21"/>
    </row>
    <row r="4238" spans="15:15" x14ac:dyDescent="0.25">
      <c r="O4238" s="21"/>
    </row>
    <row r="4239" spans="15:15" x14ac:dyDescent="0.25">
      <c r="O4239" s="21"/>
    </row>
    <row r="4240" spans="15:15" x14ac:dyDescent="0.25">
      <c r="O4240" s="21"/>
    </row>
    <row r="4241" spans="15:15" x14ac:dyDescent="0.25">
      <c r="O4241" s="21"/>
    </row>
    <row r="4242" spans="15:15" x14ac:dyDescent="0.25">
      <c r="O4242" s="21"/>
    </row>
    <row r="4243" spans="15:15" x14ac:dyDescent="0.25">
      <c r="O4243" s="21"/>
    </row>
    <row r="4244" spans="15:15" x14ac:dyDescent="0.25">
      <c r="O4244" s="21"/>
    </row>
    <row r="4245" spans="15:15" x14ac:dyDescent="0.25">
      <c r="O4245" s="21"/>
    </row>
    <row r="4246" spans="15:15" x14ac:dyDescent="0.25">
      <c r="O4246" s="21"/>
    </row>
    <row r="4247" spans="15:15" x14ac:dyDescent="0.25">
      <c r="O4247" s="21"/>
    </row>
    <row r="4248" spans="15:15" x14ac:dyDescent="0.25">
      <c r="O4248" s="21"/>
    </row>
    <row r="4249" spans="15:15" x14ac:dyDescent="0.25">
      <c r="O4249" s="21"/>
    </row>
    <row r="4250" spans="15:15" x14ac:dyDescent="0.25">
      <c r="O4250" s="21"/>
    </row>
    <row r="4251" spans="15:15" x14ac:dyDescent="0.25">
      <c r="O4251" s="21"/>
    </row>
    <row r="4252" spans="15:15" x14ac:dyDescent="0.25">
      <c r="O4252" s="21"/>
    </row>
    <row r="4253" spans="15:15" x14ac:dyDescent="0.25">
      <c r="O4253" s="21"/>
    </row>
    <row r="4254" spans="15:15" x14ac:dyDescent="0.25">
      <c r="O4254" s="21"/>
    </row>
    <row r="4255" spans="15:15" x14ac:dyDescent="0.25">
      <c r="O4255" s="21"/>
    </row>
    <row r="4256" spans="15:15" x14ac:dyDescent="0.25">
      <c r="O4256" s="21"/>
    </row>
    <row r="4257" spans="15:15" x14ac:dyDescent="0.25">
      <c r="O4257" s="21"/>
    </row>
    <row r="4258" spans="15:15" x14ac:dyDescent="0.25">
      <c r="O4258" s="21"/>
    </row>
    <row r="4259" spans="15:15" x14ac:dyDescent="0.25">
      <c r="O4259" s="21"/>
    </row>
    <row r="4260" spans="15:15" x14ac:dyDescent="0.25">
      <c r="O4260" s="21"/>
    </row>
    <row r="4261" spans="15:15" x14ac:dyDescent="0.25">
      <c r="O4261" s="21"/>
    </row>
    <row r="4262" spans="15:15" x14ac:dyDescent="0.25">
      <c r="O4262" s="21"/>
    </row>
    <row r="4263" spans="15:15" x14ac:dyDescent="0.25">
      <c r="O4263" s="21"/>
    </row>
    <row r="4264" spans="15:15" x14ac:dyDescent="0.25">
      <c r="O4264" s="21"/>
    </row>
    <row r="4265" spans="15:15" x14ac:dyDescent="0.25">
      <c r="O4265" s="21"/>
    </row>
    <row r="4266" spans="15:15" x14ac:dyDescent="0.25">
      <c r="O4266" s="21"/>
    </row>
    <row r="4267" spans="15:15" x14ac:dyDescent="0.25">
      <c r="O4267" s="21"/>
    </row>
    <row r="4268" spans="15:15" x14ac:dyDescent="0.25">
      <c r="O4268" s="21"/>
    </row>
    <row r="4269" spans="15:15" x14ac:dyDescent="0.25">
      <c r="O4269" s="21"/>
    </row>
    <row r="4270" spans="15:15" x14ac:dyDescent="0.25">
      <c r="O4270" s="21"/>
    </row>
    <row r="4271" spans="15:15" x14ac:dyDescent="0.25">
      <c r="O4271" s="21"/>
    </row>
    <row r="4272" spans="15:15" x14ac:dyDescent="0.25">
      <c r="O4272" s="21"/>
    </row>
    <row r="4273" spans="15:15" x14ac:dyDescent="0.25">
      <c r="O4273" s="21"/>
    </row>
    <row r="4274" spans="15:15" x14ac:dyDescent="0.25">
      <c r="O4274" s="21"/>
    </row>
    <row r="4275" spans="15:15" x14ac:dyDescent="0.25">
      <c r="O4275" s="21"/>
    </row>
    <row r="4276" spans="15:15" x14ac:dyDescent="0.25">
      <c r="O4276" s="21"/>
    </row>
    <row r="4277" spans="15:15" x14ac:dyDescent="0.25">
      <c r="O4277" s="21"/>
    </row>
    <row r="4278" spans="15:15" x14ac:dyDescent="0.25">
      <c r="O4278" s="21"/>
    </row>
    <row r="4279" spans="15:15" x14ac:dyDescent="0.25">
      <c r="O4279" s="21"/>
    </row>
    <row r="4280" spans="15:15" x14ac:dyDescent="0.25">
      <c r="O4280" s="21"/>
    </row>
    <row r="4281" spans="15:15" x14ac:dyDescent="0.25">
      <c r="O4281" s="21"/>
    </row>
    <row r="4282" spans="15:15" x14ac:dyDescent="0.25">
      <c r="O4282" s="21"/>
    </row>
    <row r="4283" spans="15:15" x14ac:dyDescent="0.25">
      <c r="O4283" s="21"/>
    </row>
    <row r="4284" spans="15:15" x14ac:dyDescent="0.25">
      <c r="O4284" s="21"/>
    </row>
    <row r="4285" spans="15:15" x14ac:dyDescent="0.25">
      <c r="O4285" s="21"/>
    </row>
    <row r="4286" spans="15:15" x14ac:dyDescent="0.25">
      <c r="O4286" s="21"/>
    </row>
    <row r="4287" spans="15:15" x14ac:dyDescent="0.25">
      <c r="O4287" s="21"/>
    </row>
    <row r="4288" spans="15:15" x14ac:dyDescent="0.25">
      <c r="O4288" s="21"/>
    </row>
    <row r="4289" spans="15:15" x14ac:dyDescent="0.25">
      <c r="O4289" s="21"/>
    </row>
    <row r="4290" spans="15:15" x14ac:dyDescent="0.25">
      <c r="O4290" s="21"/>
    </row>
    <row r="4291" spans="15:15" x14ac:dyDescent="0.25">
      <c r="O4291" s="21"/>
    </row>
    <row r="4292" spans="15:15" x14ac:dyDescent="0.25">
      <c r="O4292" s="21"/>
    </row>
    <row r="4293" spans="15:15" x14ac:dyDescent="0.25">
      <c r="O4293" s="21"/>
    </row>
    <row r="4294" spans="15:15" x14ac:dyDescent="0.25">
      <c r="O4294" s="21"/>
    </row>
    <row r="4295" spans="15:15" x14ac:dyDescent="0.25">
      <c r="O4295" s="21"/>
    </row>
    <row r="4296" spans="15:15" x14ac:dyDescent="0.25">
      <c r="O4296" s="21"/>
    </row>
    <row r="4297" spans="15:15" x14ac:dyDescent="0.25">
      <c r="O4297" s="21"/>
    </row>
    <row r="4298" spans="15:15" x14ac:dyDescent="0.25">
      <c r="O4298" s="21"/>
    </row>
    <row r="4299" spans="15:15" x14ac:dyDescent="0.25">
      <c r="O4299" s="21"/>
    </row>
    <row r="4300" spans="15:15" x14ac:dyDescent="0.25">
      <c r="O4300" s="21"/>
    </row>
    <row r="4301" spans="15:15" x14ac:dyDescent="0.25">
      <c r="O4301" s="21"/>
    </row>
    <row r="4302" spans="15:15" x14ac:dyDescent="0.25">
      <c r="O4302" s="21"/>
    </row>
    <row r="4303" spans="15:15" x14ac:dyDescent="0.25">
      <c r="O4303" s="21"/>
    </row>
    <row r="4304" spans="15:15" x14ac:dyDescent="0.25">
      <c r="O4304" s="21"/>
    </row>
    <row r="4305" spans="15:15" x14ac:dyDescent="0.25">
      <c r="O4305" s="21"/>
    </row>
    <row r="4306" spans="15:15" x14ac:dyDescent="0.25">
      <c r="O4306" s="21"/>
    </row>
    <row r="4307" spans="15:15" x14ac:dyDescent="0.25">
      <c r="O4307" s="21"/>
    </row>
    <row r="4308" spans="15:15" x14ac:dyDescent="0.25">
      <c r="O4308" s="21"/>
    </row>
    <row r="4309" spans="15:15" x14ac:dyDescent="0.25">
      <c r="O4309" s="21"/>
    </row>
    <row r="4310" spans="15:15" x14ac:dyDescent="0.25">
      <c r="O4310" s="21"/>
    </row>
    <row r="4311" spans="15:15" x14ac:dyDescent="0.25">
      <c r="O4311" s="21"/>
    </row>
    <row r="4312" spans="15:15" x14ac:dyDescent="0.25">
      <c r="O4312" s="21"/>
    </row>
    <row r="4313" spans="15:15" x14ac:dyDescent="0.25">
      <c r="O4313" s="21"/>
    </row>
    <row r="4314" spans="15:15" x14ac:dyDescent="0.25">
      <c r="O4314" s="21"/>
    </row>
    <row r="4315" spans="15:15" x14ac:dyDescent="0.25">
      <c r="O4315" s="21"/>
    </row>
    <row r="4316" spans="15:15" x14ac:dyDescent="0.25">
      <c r="O4316" s="21"/>
    </row>
    <row r="4317" spans="15:15" x14ac:dyDescent="0.25">
      <c r="O4317" s="21"/>
    </row>
    <row r="4318" spans="15:15" x14ac:dyDescent="0.25">
      <c r="O4318" s="21"/>
    </row>
    <row r="4319" spans="15:15" x14ac:dyDescent="0.25">
      <c r="O4319" s="21"/>
    </row>
    <row r="4320" spans="15:15" x14ac:dyDescent="0.25">
      <c r="O4320" s="21"/>
    </row>
    <row r="4321" spans="15:15" x14ac:dyDescent="0.25">
      <c r="O4321" s="21"/>
    </row>
    <row r="4322" spans="15:15" x14ac:dyDescent="0.25">
      <c r="O4322" s="21"/>
    </row>
    <row r="4323" spans="15:15" x14ac:dyDescent="0.25">
      <c r="O4323" s="21"/>
    </row>
    <row r="4324" spans="15:15" x14ac:dyDescent="0.25">
      <c r="O4324" s="21"/>
    </row>
    <row r="4325" spans="15:15" x14ac:dyDescent="0.25">
      <c r="O4325" s="21"/>
    </row>
    <row r="4326" spans="15:15" x14ac:dyDescent="0.25">
      <c r="O4326" s="21"/>
    </row>
    <row r="4327" spans="15:15" x14ac:dyDescent="0.25">
      <c r="O4327" s="21"/>
    </row>
    <row r="4328" spans="15:15" x14ac:dyDescent="0.25">
      <c r="O4328" s="21"/>
    </row>
    <row r="4329" spans="15:15" x14ac:dyDescent="0.25">
      <c r="O4329" s="21"/>
    </row>
    <row r="4330" spans="15:15" x14ac:dyDescent="0.25">
      <c r="O4330" s="21"/>
    </row>
    <row r="4331" spans="15:15" x14ac:dyDescent="0.25">
      <c r="O4331" s="21"/>
    </row>
    <row r="4332" spans="15:15" x14ac:dyDescent="0.25">
      <c r="O4332" s="21"/>
    </row>
    <row r="4333" spans="15:15" x14ac:dyDescent="0.25">
      <c r="O4333" s="21"/>
    </row>
    <row r="4334" spans="15:15" x14ac:dyDescent="0.25">
      <c r="O4334" s="21"/>
    </row>
    <row r="4335" spans="15:15" x14ac:dyDescent="0.25">
      <c r="O4335" s="21"/>
    </row>
    <row r="4336" spans="15:15" x14ac:dyDescent="0.25">
      <c r="O4336" s="21"/>
    </row>
    <row r="4337" spans="15:15" x14ac:dyDescent="0.25">
      <c r="O4337" s="21"/>
    </row>
    <row r="4338" spans="15:15" x14ac:dyDescent="0.25">
      <c r="O4338" s="21"/>
    </row>
    <row r="4339" spans="15:15" x14ac:dyDescent="0.25">
      <c r="O4339" s="21"/>
    </row>
    <row r="4340" spans="15:15" x14ac:dyDescent="0.25">
      <c r="O4340" s="21"/>
    </row>
    <row r="4341" spans="15:15" x14ac:dyDescent="0.25">
      <c r="O4341" s="21"/>
    </row>
    <row r="4342" spans="15:15" x14ac:dyDescent="0.25">
      <c r="O4342" s="21"/>
    </row>
    <row r="4343" spans="15:15" x14ac:dyDescent="0.25">
      <c r="O4343" s="21"/>
    </row>
    <row r="4344" spans="15:15" x14ac:dyDescent="0.25">
      <c r="O4344" s="21"/>
    </row>
    <row r="4345" spans="15:15" x14ac:dyDescent="0.25">
      <c r="O4345" s="21"/>
    </row>
    <row r="4346" spans="15:15" x14ac:dyDescent="0.25">
      <c r="O4346" s="21"/>
    </row>
    <row r="4347" spans="15:15" x14ac:dyDescent="0.25">
      <c r="O4347" s="21"/>
    </row>
    <row r="4348" spans="15:15" x14ac:dyDescent="0.25">
      <c r="O4348" s="21"/>
    </row>
    <row r="4349" spans="15:15" x14ac:dyDescent="0.25">
      <c r="O4349" s="21"/>
    </row>
    <row r="4350" spans="15:15" x14ac:dyDescent="0.25">
      <c r="O4350" s="21"/>
    </row>
    <row r="4351" spans="15:15" x14ac:dyDescent="0.25">
      <c r="O4351" s="21"/>
    </row>
    <row r="4352" spans="15:15" x14ac:dyDescent="0.25">
      <c r="O4352" s="21"/>
    </row>
    <row r="4353" spans="15:15" x14ac:dyDescent="0.25">
      <c r="O4353" s="21"/>
    </row>
    <row r="4354" spans="15:15" x14ac:dyDescent="0.25">
      <c r="O4354" s="21"/>
    </row>
    <row r="4355" spans="15:15" x14ac:dyDescent="0.25">
      <c r="O4355" s="21"/>
    </row>
    <row r="4356" spans="15:15" x14ac:dyDescent="0.25">
      <c r="O4356" s="21"/>
    </row>
    <row r="4357" spans="15:15" x14ac:dyDescent="0.25">
      <c r="O4357" s="21"/>
    </row>
    <row r="4358" spans="15:15" x14ac:dyDescent="0.25">
      <c r="O4358" s="21"/>
    </row>
    <row r="4359" spans="15:15" x14ac:dyDescent="0.25">
      <c r="O4359" s="21"/>
    </row>
    <row r="4360" spans="15:15" x14ac:dyDescent="0.25">
      <c r="O4360" s="21"/>
    </row>
    <row r="4361" spans="15:15" x14ac:dyDescent="0.25">
      <c r="O4361" s="21"/>
    </row>
    <row r="4362" spans="15:15" x14ac:dyDescent="0.25">
      <c r="O4362" s="21"/>
    </row>
    <row r="4363" spans="15:15" x14ac:dyDescent="0.25">
      <c r="O4363" s="21"/>
    </row>
    <row r="4364" spans="15:15" x14ac:dyDescent="0.25">
      <c r="O4364" s="21"/>
    </row>
    <row r="4365" spans="15:15" x14ac:dyDescent="0.25">
      <c r="O4365" s="21"/>
    </row>
    <row r="4366" spans="15:15" x14ac:dyDescent="0.25">
      <c r="O4366" s="21"/>
    </row>
    <row r="4367" spans="15:15" x14ac:dyDescent="0.25">
      <c r="O4367" s="21"/>
    </row>
    <row r="4368" spans="15:15" x14ac:dyDescent="0.25">
      <c r="O4368" s="21"/>
    </row>
    <row r="4369" spans="15:15" x14ac:dyDescent="0.25">
      <c r="O4369" s="21"/>
    </row>
    <row r="4370" spans="15:15" x14ac:dyDescent="0.25">
      <c r="O4370" s="21"/>
    </row>
    <row r="4371" spans="15:15" x14ac:dyDescent="0.25">
      <c r="O4371" s="21"/>
    </row>
    <row r="4372" spans="15:15" x14ac:dyDescent="0.25">
      <c r="O4372" s="21"/>
    </row>
    <row r="4373" spans="15:15" x14ac:dyDescent="0.25">
      <c r="O4373" s="21"/>
    </row>
    <row r="4374" spans="15:15" x14ac:dyDescent="0.25">
      <c r="O4374" s="21"/>
    </row>
    <row r="4375" spans="15:15" x14ac:dyDescent="0.25">
      <c r="O4375" s="21"/>
    </row>
    <row r="4376" spans="15:15" x14ac:dyDescent="0.25">
      <c r="O4376" s="21"/>
    </row>
    <row r="4377" spans="15:15" x14ac:dyDescent="0.25">
      <c r="O4377" s="21"/>
    </row>
    <row r="4378" spans="15:15" x14ac:dyDescent="0.25">
      <c r="O4378" s="21"/>
    </row>
    <row r="4379" spans="15:15" x14ac:dyDescent="0.25">
      <c r="O4379" s="21"/>
    </row>
    <row r="4380" spans="15:15" x14ac:dyDescent="0.25">
      <c r="O4380" s="21"/>
    </row>
    <row r="4381" spans="15:15" x14ac:dyDescent="0.25">
      <c r="O4381" s="21"/>
    </row>
    <row r="4382" spans="15:15" x14ac:dyDescent="0.25">
      <c r="O4382" s="21"/>
    </row>
    <row r="4383" spans="15:15" x14ac:dyDescent="0.25">
      <c r="O4383" s="21"/>
    </row>
    <row r="4384" spans="15:15" x14ac:dyDescent="0.25">
      <c r="O4384" s="21"/>
    </row>
    <row r="4385" spans="15:15" x14ac:dyDescent="0.25">
      <c r="O4385" s="21"/>
    </row>
    <row r="4386" spans="15:15" x14ac:dyDescent="0.25">
      <c r="O4386" s="21"/>
    </row>
    <row r="4387" spans="15:15" x14ac:dyDescent="0.25">
      <c r="O4387" s="21"/>
    </row>
    <row r="4388" spans="15:15" x14ac:dyDescent="0.25">
      <c r="O4388" s="21"/>
    </row>
    <row r="4389" spans="15:15" x14ac:dyDescent="0.25">
      <c r="O4389" s="21"/>
    </row>
    <row r="4390" spans="15:15" x14ac:dyDescent="0.25">
      <c r="O4390" s="21"/>
    </row>
    <row r="4391" spans="15:15" x14ac:dyDescent="0.25">
      <c r="O4391" s="21"/>
    </row>
    <row r="4392" spans="15:15" x14ac:dyDescent="0.25">
      <c r="O4392" s="21"/>
    </row>
    <row r="4393" spans="15:15" x14ac:dyDescent="0.25">
      <c r="O4393" s="21"/>
    </row>
    <row r="4394" spans="15:15" x14ac:dyDescent="0.25">
      <c r="O4394" s="21"/>
    </row>
    <row r="4395" spans="15:15" x14ac:dyDescent="0.25">
      <c r="O4395" s="21"/>
    </row>
    <row r="4396" spans="15:15" x14ac:dyDescent="0.25">
      <c r="O4396" s="21"/>
    </row>
    <row r="4397" spans="15:15" x14ac:dyDescent="0.25">
      <c r="O4397" s="21"/>
    </row>
    <row r="4398" spans="15:15" x14ac:dyDescent="0.25">
      <c r="O4398" s="21"/>
    </row>
    <row r="4399" spans="15:15" x14ac:dyDescent="0.25">
      <c r="O4399" s="21"/>
    </row>
    <row r="4400" spans="15:15" x14ac:dyDescent="0.25">
      <c r="O4400" s="21"/>
    </row>
    <row r="4401" spans="15:15" x14ac:dyDescent="0.25">
      <c r="O4401" s="21"/>
    </row>
    <row r="4402" spans="15:15" x14ac:dyDescent="0.25">
      <c r="O4402" s="21"/>
    </row>
    <row r="4403" spans="15:15" x14ac:dyDescent="0.25">
      <c r="O4403" s="21"/>
    </row>
    <row r="4404" spans="15:15" x14ac:dyDescent="0.25">
      <c r="O4404" s="21"/>
    </row>
    <row r="4405" spans="15:15" x14ac:dyDescent="0.25">
      <c r="O4405" s="21"/>
    </row>
    <row r="4406" spans="15:15" x14ac:dyDescent="0.25">
      <c r="O4406" s="21"/>
    </row>
    <row r="4407" spans="15:15" x14ac:dyDescent="0.25">
      <c r="O4407" s="21"/>
    </row>
    <row r="4408" spans="15:15" x14ac:dyDescent="0.25">
      <c r="O4408" s="21"/>
    </row>
    <row r="4409" spans="15:15" x14ac:dyDescent="0.25">
      <c r="O4409" s="21"/>
    </row>
    <row r="4410" spans="15:15" x14ac:dyDescent="0.25">
      <c r="O4410" s="21"/>
    </row>
    <row r="4411" spans="15:15" x14ac:dyDescent="0.25">
      <c r="O4411" s="21"/>
    </row>
    <row r="4412" spans="15:15" x14ac:dyDescent="0.25">
      <c r="O4412" s="21"/>
    </row>
    <row r="4413" spans="15:15" x14ac:dyDescent="0.25">
      <c r="O4413" s="21"/>
    </row>
    <row r="4414" spans="15:15" x14ac:dyDescent="0.25">
      <c r="O4414" s="21"/>
    </row>
    <row r="4415" spans="15:15" x14ac:dyDescent="0.25">
      <c r="O4415" s="21"/>
    </row>
    <row r="4416" spans="15:15" x14ac:dyDescent="0.25">
      <c r="O4416" s="21"/>
    </row>
    <row r="4417" spans="15:15" x14ac:dyDescent="0.25">
      <c r="O4417" s="21"/>
    </row>
    <row r="4418" spans="15:15" x14ac:dyDescent="0.25">
      <c r="O4418" s="21"/>
    </row>
    <row r="4419" spans="15:15" x14ac:dyDescent="0.25">
      <c r="O4419" s="21"/>
    </row>
    <row r="4420" spans="15:15" x14ac:dyDescent="0.25">
      <c r="O4420" s="21"/>
    </row>
    <row r="4421" spans="15:15" x14ac:dyDescent="0.25">
      <c r="O4421" s="21"/>
    </row>
    <row r="4422" spans="15:15" x14ac:dyDescent="0.25">
      <c r="O4422" s="21"/>
    </row>
    <row r="4423" spans="15:15" x14ac:dyDescent="0.25">
      <c r="O4423" s="21"/>
    </row>
    <row r="4424" spans="15:15" x14ac:dyDescent="0.25">
      <c r="O4424" s="21"/>
    </row>
    <row r="4425" spans="15:15" x14ac:dyDescent="0.25">
      <c r="O4425" s="21"/>
    </row>
    <row r="4426" spans="15:15" x14ac:dyDescent="0.25">
      <c r="O4426" s="21"/>
    </row>
    <row r="4427" spans="15:15" x14ac:dyDescent="0.25">
      <c r="O4427" s="21"/>
    </row>
    <row r="4428" spans="15:15" x14ac:dyDescent="0.25">
      <c r="O4428" s="21"/>
    </row>
    <row r="4429" spans="15:15" x14ac:dyDescent="0.25">
      <c r="O4429" s="21"/>
    </row>
    <row r="4430" spans="15:15" x14ac:dyDescent="0.25">
      <c r="O4430" s="21"/>
    </row>
    <row r="4431" spans="15:15" x14ac:dyDescent="0.25">
      <c r="O4431" s="21"/>
    </row>
    <row r="4432" spans="15:15" x14ac:dyDescent="0.25">
      <c r="O4432" s="21"/>
    </row>
    <row r="4433" spans="15:15" x14ac:dyDescent="0.25">
      <c r="O4433" s="21"/>
    </row>
    <row r="4434" spans="15:15" x14ac:dyDescent="0.25">
      <c r="O4434" s="21"/>
    </row>
    <row r="4435" spans="15:15" x14ac:dyDescent="0.25">
      <c r="O4435" s="21"/>
    </row>
    <row r="4436" spans="15:15" x14ac:dyDescent="0.25">
      <c r="O4436" s="21"/>
    </row>
    <row r="4437" spans="15:15" x14ac:dyDescent="0.25">
      <c r="O4437" s="21"/>
    </row>
    <row r="4438" spans="15:15" x14ac:dyDescent="0.25">
      <c r="O4438" s="21"/>
    </row>
    <row r="4439" spans="15:15" x14ac:dyDescent="0.25">
      <c r="O4439" s="21"/>
    </row>
    <row r="4440" spans="15:15" x14ac:dyDescent="0.25">
      <c r="O4440" s="21"/>
    </row>
    <row r="4441" spans="15:15" x14ac:dyDescent="0.25">
      <c r="O4441" s="21"/>
    </row>
    <row r="4442" spans="15:15" x14ac:dyDescent="0.25">
      <c r="O4442" s="21"/>
    </row>
    <row r="4443" spans="15:15" x14ac:dyDescent="0.25">
      <c r="O4443" s="21"/>
    </row>
    <row r="4444" spans="15:15" x14ac:dyDescent="0.25">
      <c r="O4444" s="21"/>
    </row>
    <row r="4445" spans="15:15" x14ac:dyDescent="0.25">
      <c r="O4445" s="21"/>
    </row>
    <row r="4446" spans="15:15" x14ac:dyDescent="0.25">
      <c r="O4446" s="21"/>
    </row>
    <row r="4447" spans="15:15" x14ac:dyDescent="0.25">
      <c r="O4447" s="21"/>
    </row>
    <row r="4448" spans="15:15" x14ac:dyDescent="0.25">
      <c r="O4448" s="21"/>
    </row>
    <row r="4449" spans="15:15" x14ac:dyDescent="0.25">
      <c r="O4449" s="21"/>
    </row>
    <row r="4450" spans="15:15" x14ac:dyDescent="0.25">
      <c r="O4450" s="21"/>
    </row>
    <row r="4451" spans="15:15" x14ac:dyDescent="0.25">
      <c r="O4451" s="21"/>
    </row>
    <row r="4452" spans="15:15" x14ac:dyDescent="0.25">
      <c r="O4452" s="21"/>
    </row>
    <row r="4453" spans="15:15" x14ac:dyDescent="0.25">
      <c r="O4453" s="21"/>
    </row>
    <row r="4454" spans="15:15" x14ac:dyDescent="0.25">
      <c r="O4454" s="21"/>
    </row>
    <row r="4455" spans="15:15" x14ac:dyDescent="0.25">
      <c r="O4455" s="21"/>
    </row>
    <row r="4456" spans="15:15" x14ac:dyDescent="0.25">
      <c r="O4456" s="21"/>
    </row>
    <row r="4457" spans="15:15" x14ac:dyDescent="0.25">
      <c r="O4457" s="21"/>
    </row>
    <row r="4458" spans="15:15" x14ac:dyDescent="0.25">
      <c r="O4458" s="21"/>
    </row>
    <row r="4459" spans="15:15" x14ac:dyDescent="0.25">
      <c r="O4459" s="21"/>
    </row>
    <row r="4460" spans="15:15" x14ac:dyDescent="0.25">
      <c r="O4460" s="21"/>
    </row>
    <row r="4461" spans="15:15" x14ac:dyDescent="0.25">
      <c r="O4461" s="21"/>
    </row>
    <row r="4462" spans="15:15" x14ac:dyDescent="0.25">
      <c r="O4462" s="21"/>
    </row>
    <row r="4463" spans="15:15" x14ac:dyDescent="0.25">
      <c r="O4463" s="21"/>
    </row>
    <row r="4464" spans="15:15" x14ac:dyDescent="0.25">
      <c r="O4464" s="21"/>
    </row>
    <row r="4465" spans="15:15" x14ac:dyDescent="0.25">
      <c r="O4465" s="21"/>
    </row>
    <row r="4466" spans="15:15" x14ac:dyDescent="0.25">
      <c r="O4466" s="21"/>
    </row>
    <row r="4467" spans="15:15" x14ac:dyDescent="0.25">
      <c r="O4467" s="21"/>
    </row>
    <row r="4468" spans="15:15" x14ac:dyDescent="0.25">
      <c r="O4468" s="21"/>
    </row>
    <row r="4469" spans="15:15" x14ac:dyDescent="0.25">
      <c r="O4469" s="21"/>
    </row>
    <row r="4470" spans="15:15" x14ac:dyDescent="0.25">
      <c r="O4470" s="21"/>
    </row>
    <row r="4471" spans="15:15" x14ac:dyDescent="0.25">
      <c r="O4471" s="21"/>
    </row>
    <row r="4472" spans="15:15" x14ac:dyDescent="0.25">
      <c r="O4472" s="21"/>
    </row>
    <row r="4473" spans="15:15" x14ac:dyDescent="0.25">
      <c r="O4473" s="21"/>
    </row>
    <row r="4474" spans="15:15" x14ac:dyDescent="0.25">
      <c r="O4474" s="21"/>
    </row>
    <row r="4475" spans="15:15" x14ac:dyDescent="0.25">
      <c r="O4475" s="21"/>
    </row>
    <row r="4476" spans="15:15" x14ac:dyDescent="0.25">
      <c r="O4476" s="21"/>
    </row>
    <row r="4477" spans="15:15" x14ac:dyDescent="0.25">
      <c r="O4477" s="21"/>
    </row>
    <row r="4478" spans="15:15" x14ac:dyDescent="0.25">
      <c r="O4478" s="21"/>
    </row>
    <row r="4479" spans="15:15" x14ac:dyDescent="0.25">
      <c r="O4479" s="21"/>
    </row>
    <row r="4480" spans="15:15" x14ac:dyDescent="0.25">
      <c r="O4480" s="21"/>
    </row>
    <row r="4481" spans="15:15" x14ac:dyDescent="0.25">
      <c r="O4481" s="21"/>
    </row>
    <row r="4482" spans="15:15" x14ac:dyDescent="0.25">
      <c r="O4482" s="21"/>
    </row>
    <row r="4483" spans="15:15" x14ac:dyDescent="0.25">
      <c r="O4483" s="21"/>
    </row>
    <row r="4484" spans="15:15" x14ac:dyDescent="0.25">
      <c r="O4484" s="21"/>
    </row>
    <row r="4485" spans="15:15" x14ac:dyDescent="0.25">
      <c r="O4485" s="21"/>
    </row>
    <row r="4486" spans="15:15" x14ac:dyDescent="0.25">
      <c r="O4486" s="21"/>
    </row>
    <row r="4487" spans="15:15" x14ac:dyDescent="0.25">
      <c r="O4487" s="21"/>
    </row>
    <row r="4488" spans="15:15" x14ac:dyDescent="0.25">
      <c r="O4488" s="21"/>
    </row>
    <row r="4489" spans="15:15" x14ac:dyDescent="0.25">
      <c r="O4489" s="21"/>
    </row>
    <row r="4490" spans="15:15" x14ac:dyDescent="0.25">
      <c r="O4490" s="21"/>
    </row>
    <row r="4491" spans="15:15" x14ac:dyDescent="0.25">
      <c r="O4491" s="21"/>
    </row>
    <row r="4492" spans="15:15" x14ac:dyDescent="0.25">
      <c r="O4492" s="21"/>
    </row>
    <row r="4493" spans="15:15" x14ac:dyDescent="0.25">
      <c r="O4493" s="21"/>
    </row>
    <row r="4494" spans="15:15" x14ac:dyDescent="0.25">
      <c r="O4494" s="21"/>
    </row>
    <row r="4495" spans="15:15" x14ac:dyDescent="0.25">
      <c r="O4495" s="21"/>
    </row>
    <row r="4496" spans="15:15" x14ac:dyDescent="0.25">
      <c r="O4496" s="21"/>
    </row>
    <row r="4497" spans="15:15" x14ac:dyDescent="0.25">
      <c r="O4497" s="21"/>
    </row>
    <row r="4498" spans="15:15" x14ac:dyDescent="0.25">
      <c r="O4498" s="21"/>
    </row>
    <row r="4499" spans="15:15" x14ac:dyDescent="0.25">
      <c r="O4499" s="21"/>
    </row>
    <row r="4500" spans="15:15" x14ac:dyDescent="0.25">
      <c r="O4500" s="21"/>
    </row>
    <row r="4501" spans="15:15" x14ac:dyDescent="0.25">
      <c r="O4501" s="21"/>
    </row>
    <row r="4502" spans="15:15" x14ac:dyDescent="0.25">
      <c r="O4502" s="21"/>
    </row>
    <row r="4503" spans="15:15" x14ac:dyDescent="0.25">
      <c r="O4503" s="21"/>
    </row>
    <row r="4504" spans="15:15" x14ac:dyDescent="0.25">
      <c r="O4504" s="21"/>
    </row>
    <row r="4505" spans="15:15" x14ac:dyDescent="0.25">
      <c r="O4505" s="21"/>
    </row>
    <row r="4506" spans="15:15" x14ac:dyDescent="0.25">
      <c r="O4506" s="21"/>
    </row>
    <row r="4507" spans="15:15" x14ac:dyDescent="0.25">
      <c r="O4507" s="21"/>
    </row>
    <row r="4508" spans="15:15" x14ac:dyDescent="0.25">
      <c r="O4508" s="21"/>
    </row>
    <row r="4509" spans="15:15" x14ac:dyDescent="0.25">
      <c r="O4509" s="21"/>
    </row>
    <row r="4510" spans="15:15" x14ac:dyDescent="0.25">
      <c r="O4510" s="21"/>
    </row>
    <row r="4511" spans="15:15" x14ac:dyDescent="0.25">
      <c r="O4511" s="21"/>
    </row>
    <row r="4512" spans="15:15" x14ac:dyDescent="0.25">
      <c r="O4512" s="21"/>
    </row>
    <row r="4513" spans="15:15" x14ac:dyDescent="0.25">
      <c r="O4513" s="21"/>
    </row>
    <row r="4514" spans="15:15" x14ac:dyDescent="0.25">
      <c r="O4514" s="21"/>
    </row>
    <row r="4515" spans="15:15" x14ac:dyDescent="0.25">
      <c r="O4515" s="21"/>
    </row>
    <row r="4516" spans="15:15" x14ac:dyDescent="0.25">
      <c r="O4516" s="21"/>
    </row>
    <row r="4517" spans="15:15" x14ac:dyDescent="0.25">
      <c r="O4517" s="21"/>
    </row>
    <row r="4518" spans="15:15" x14ac:dyDescent="0.25">
      <c r="O4518" s="21"/>
    </row>
    <row r="4519" spans="15:15" x14ac:dyDescent="0.25">
      <c r="O4519" s="21"/>
    </row>
    <row r="4520" spans="15:15" x14ac:dyDescent="0.25">
      <c r="O4520" s="21"/>
    </row>
    <row r="4521" spans="15:15" x14ac:dyDescent="0.25">
      <c r="O4521" s="21"/>
    </row>
    <row r="4522" spans="15:15" x14ac:dyDescent="0.25">
      <c r="O4522" s="21"/>
    </row>
    <row r="4523" spans="15:15" x14ac:dyDescent="0.25">
      <c r="O4523" s="21"/>
    </row>
    <row r="4524" spans="15:15" x14ac:dyDescent="0.25">
      <c r="O4524" s="21"/>
    </row>
    <row r="4525" spans="15:15" x14ac:dyDescent="0.25">
      <c r="O4525" s="21"/>
    </row>
    <row r="4526" spans="15:15" x14ac:dyDescent="0.25">
      <c r="O4526" s="21"/>
    </row>
    <row r="4527" spans="15:15" x14ac:dyDescent="0.25">
      <c r="O4527" s="21"/>
    </row>
    <row r="4528" spans="15:15" x14ac:dyDescent="0.25">
      <c r="O4528" s="21"/>
    </row>
    <row r="4529" spans="15:15" x14ac:dyDescent="0.25">
      <c r="O4529" s="21"/>
    </row>
    <row r="4530" spans="15:15" x14ac:dyDescent="0.25">
      <c r="O4530" s="21"/>
    </row>
    <row r="4531" spans="15:15" x14ac:dyDescent="0.25">
      <c r="O4531" s="21"/>
    </row>
    <row r="4532" spans="15:15" x14ac:dyDescent="0.25">
      <c r="O4532" s="21"/>
    </row>
    <row r="4533" spans="15:15" x14ac:dyDescent="0.25">
      <c r="O4533" s="21"/>
    </row>
    <row r="4534" spans="15:15" x14ac:dyDescent="0.25">
      <c r="O4534" s="21"/>
    </row>
    <row r="4535" spans="15:15" x14ac:dyDescent="0.25">
      <c r="O4535" s="21"/>
    </row>
    <row r="4536" spans="15:15" x14ac:dyDescent="0.25">
      <c r="O4536" s="21"/>
    </row>
    <row r="4537" spans="15:15" x14ac:dyDescent="0.25">
      <c r="O4537" s="21"/>
    </row>
    <row r="4538" spans="15:15" x14ac:dyDescent="0.25">
      <c r="O4538" s="21"/>
    </row>
    <row r="4539" spans="15:15" x14ac:dyDescent="0.25">
      <c r="O4539" s="21"/>
    </row>
    <row r="4540" spans="15:15" x14ac:dyDescent="0.25">
      <c r="O4540" s="21"/>
    </row>
    <row r="4541" spans="15:15" x14ac:dyDescent="0.25">
      <c r="O4541" s="21"/>
    </row>
    <row r="4542" spans="15:15" x14ac:dyDescent="0.25">
      <c r="O4542" s="21"/>
    </row>
    <row r="4543" spans="15:15" x14ac:dyDescent="0.25">
      <c r="O4543" s="21"/>
    </row>
    <row r="4544" spans="15:15" x14ac:dyDescent="0.25">
      <c r="O4544" s="21"/>
    </row>
    <row r="4545" spans="15:15" x14ac:dyDescent="0.25">
      <c r="O4545" s="21"/>
    </row>
    <row r="4546" spans="15:15" x14ac:dyDescent="0.25">
      <c r="O4546" s="21"/>
    </row>
    <row r="4547" spans="15:15" x14ac:dyDescent="0.25">
      <c r="O4547" s="21"/>
    </row>
    <row r="4548" spans="15:15" x14ac:dyDescent="0.25">
      <c r="O4548" s="21"/>
    </row>
    <row r="4549" spans="15:15" x14ac:dyDescent="0.25">
      <c r="O4549" s="21"/>
    </row>
    <row r="4550" spans="15:15" x14ac:dyDescent="0.25">
      <c r="O4550" s="21"/>
    </row>
    <row r="4551" spans="15:15" x14ac:dyDescent="0.25">
      <c r="O4551" s="21"/>
    </row>
    <row r="4552" spans="15:15" x14ac:dyDescent="0.25">
      <c r="O4552" s="21"/>
    </row>
    <row r="4553" spans="15:15" x14ac:dyDescent="0.25">
      <c r="O4553" s="21"/>
    </row>
    <row r="4554" spans="15:15" x14ac:dyDescent="0.25">
      <c r="O4554" s="21"/>
    </row>
    <row r="4555" spans="15:15" x14ac:dyDescent="0.25">
      <c r="O4555" s="21"/>
    </row>
    <row r="4556" spans="15:15" x14ac:dyDescent="0.25">
      <c r="O4556" s="21"/>
    </row>
    <row r="4557" spans="15:15" x14ac:dyDescent="0.25">
      <c r="O4557" s="21"/>
    </row>
    <row r="4558" spans="15:15" x14ac:dyDescent="0.25">
      <c r="O4558" s="21"/>
    </row>
    <row r="4559" spans="15:15" x14ac:dyDescent="0.25">
      <c r="O4559" s="21"/>
    </row>
    <row r="4560" spans="15:15" x14ac:dyDescent="0.25">
      <c r="O4560" s="21"/>
    </row>
    <row r="4561" spans="15:15" x14ac:dyDescent="0.25">
      <c r="O4561" s="21"/>
    </row>
    <row r="4562" spans="15:15" x14ac:dyDescent="0.25">
      <c r="O4562" s="21"/>
    </row>
    <row r="4563" spans="15:15" x14ac:dyDescent="0.25">
      <c r="O4563" s="21"/>
    </row>
    <row r="4564" spans="15:15" x14ac:dyDescent="0.25">
      <c r="O4564" s="21"/>
    </row>
    <row r="4565" spans="15:15" x14ac:dyDescent="0.25">
      <c r="O4565" s="21"/>
    </row>
    <row r="4566" spans="15:15" x14ac:dyDescent="0.25">
      <c r="O4566" s="21"/>
    </row>
    <row r="4567" spans="15:15" x14ac:dyDescent="0.25">
      <c r="O4567" s="21"/>
    </row>
    <row r="4568" spans="15:15" x14ac:dyDescent="0.25">
      <c r="O4568" s="21"/>
    </row>
    <row r="4569" spans="15:15" x14ac:dyDescent="0.25">
      <c r="O4569" s="21"/>
    </row>
    <row r="4570" spans="15:15" x14ac:dyDescent="0.25">
      <c r="O4570" s="21"/>
    </row>
    <row r="4571" spans="15:15" x14ac:dyDescent="0.25">
      <c r="O4571" s="21"/>
    </row>
    <row r="4572" spans="15:15" x14ac:dyDescent="0.25">
      <c r="O4572" s="21"/>
    </row>
    <row r="4573" spans="15:15" x14ac:dyDescent="0.25">
      <c r="O4573" s="21"/>
    </row>
    <row r="4574" spans="15:15" x14ac:dyDescent="0.25">
      <c r="O4574" s="21"/>
    </row>
    <row r="4575" spans="15:15" x14ac:dyDescent="0.25">
      <c r="O4575" s="21"/>
    </row>
    <row r="4576" spans="15:15" x14ac:dyDescent="0.25">
      <c r="O4576" s="21"/>
    </row>
    <row r="4577" spans="15:15" x14ac:dyDescent="0.25">
      <c r="O4577" s="21"/>
    </row>
    <row r="4578" spans="15:15" x14ac:dyDescent="0.25">
      <c r="O4578" s="21"/>
    </row>
    <row r="4579" spans="15:15" x14ac:dyDescent="0.25">
      <c r="O4579" s="21"/>
    </row>
    <row r="4580" spans="15:15" x14ac:dyDescent="0.25">
      <c r="O4580" s="21"/>
    </row>
    <row r="4581" spans="15:15" x14ac:dyDescent="0.25">
      <c r="O4581" s="21"/>
    </row>
    <row r="4582" spans="15:15" x14ac:dyDescent="0.25">
      <c r="O4582" s="21"/>
    </row>
    <row r="4583" spans="15:15" x14ac:dyDescent="0.25">
      <c r="O4583" s="21"/>
    </row>
    <row r="4584" spans="15:15" x14ac:dyDescent="0.25">
      <c r="O4584" s="21"/>
    </row>
    <row r="4585" spans="15:15" x14ac:dyDescent="0.25">
      <c r="O4585" s="21"/>
    </row>
    <row r="4586" spans="15:15" x14ac:dyDescent="0.25">
      <c r="O4586" s="21"/>
    </row>
    <row r="4587" spans="15:15" x14ac:dyDescent="0.25">
      <c r="O4587" s="21"/>
    </row>
    <row r="4588" spans="15:15" x14ac:dyDescent="0.25">
      <c r="O4588" s="21"/>
    </row>
    <row r="4589" spans="15:15" x14ac:dyDescent="0.25">
      <c r="O4589" s="21"/>
    </row>
    <row r="4590" spans="15:15" x14ac:dyDescent="0.25">
      <c r="O4590" s="21"/>
    </row>
    <row r="4591" spans="15:15" x14ac:dyDescent="0.25">
      <c r="O4591" s="21"/>
    </row>
    <row r="4592" spans="15:15" x14ac:dyDescent="0.25">
      <c r="O4592" s="21"/>
    </row>
    <row r="4593" spans="15:15" x14ac:dyDescent="0.25">
      <c r="O4593" s="21"/>
    </row>
    <row r="4594" spans="15:15" x14ac:dyDescent="0.25">
      <c r="O4594" s="21"/>
    </row>
    <row r="4595" spans="15:15" x14ac:dyDescent="0.25">
      <c r="O4595" s="21"/>
    </row>
    <row r="4596" spans="15:15" x14ac:dyDescent="0.25">
      <c r="O4596" s="21"/>
    </row>
    <row r="4597" spans="15:15" x14ac:dyDescent="0.25">
      <c r="O4597" s="21"/>
    </row>
    <row r="4598" spans="15:15" x14ac:dyDescent="0.25">
      <c r="O4598" s="21"/>
    </row>
    <row r="4599" spans="15:15" x14ac:dyDescent="0.25">
      <c r="O4599" s="21"/>
    </row>
    <row r="4600" spans="15:15" x14ac:dyDescent="0.25">
      <c r="O4600" s="21"/>
    </row>
    <row r="4601" spans="15:15" x14ac:dyDescent="0.25">
      <c r="O4601" s="21"/>
    </row>
    <row r="4602" spans="15:15" x14ac:dyDescent="0.25">
      <c r="O4602" s="21"/>
    </row>
    <row r="4603" spans="15:15" x14ac:dyDescent="0.25">
      <c r="O4603" s="21"/>
    </row>
    <row r="4604" spans="15:15" x14ac:dyDescent="0.25">
      <c r="O4604" s="21"/>
    </row>
    <row r="4605" spans="15:15" x14ac:dyDescent="0.25">
      <c r="O4605" s="21"/>
    </row>
    <row r="4606" spans="15:15" x14ac:dyDescent="0.25">
      <c r="O4606" s="21"/>
    </row>
    <row r="4607" spans="15:15" x14ac:dyDescent="0.25">
      <c r="O4607" s="21"/>
    </row>
    <row r="4608" spans="15:15" x14ac:dyDescent="0.25">
      <c r="O4608" s="21"/>
    </row>
    <row r="4609" spans="15:15" x14ac:dyDescent="0.25">
      <c r="O4609" s="21"/>
    </row>
    <row r="4610" spans="15:15" x14ac:dyDescent="0.25">
      <c r="O4610" s="21"/>
    </row>
    <row r="4611" spans="15:15" x14ac:dyDescent="0.25">
      <c r="O4611" s="21"/>
    </row>
    <row r="4612" spans="15:15" x14ac:dyDescent="0.25">
      <c r="O4612" s="21"/>
    </row>
    <row r="4613" spans="15:15" x14ac:dyDescent="0.25">
      <c r="O4613" s="21"/>
    </row>
    <row r="4614" spans="15:15" x14ac:dyDescent="0.25">
      <c r="O4614" s="21"/>
    </row>
    <row r="4615" spans="15:15" x14ac:dyDescent="0.25">
      <c r="O4615" s="21"/>
    </row>
    <row r="4616" spans="15:15" x14ac:dyDescent="0.25">
      <c r="O4616" s="21"/>
    </row>
    <row r="4617" spans="15:15" x14ac:dyDescent="0.25">
      <c r="O4617" s="21"/>
    </row>
    <row r="4618" spans="15:15" x14ac:dyDescent="0.25">
      <c r="O4618" s="21"/>
    </row>
    <row r="4619" spans="15:15" x14ac:dyDescent="0.25">
      <c r="O4619" s="21"/>
    </row>
    <row r="4620" spans="15:15" x14ac:dyDescent="0.25">
      <c r="O4620" s="21"/>
    </row>
    <row r="4621" spans="15:15" x14ac:dyDescent="0.25">
      <c r="O4621" s="21"/>
    </row>
    <row r="4622" spans="15:15" x14ac:dyDescent="0.25">
      <c r="O4622" s="21"/>
    </row>
    <row r="4623" spans="15:15" x14ac:dyDescent="0.25">
      <c r="O4623" s="21"/>
    </row>
    <row r="4624" spans="15:15" x14ac:dyDescent="0.25">
      <c r="O4624" s="21"/>
    </row>
    <row r="4625" spans="15:15" x14ac:dyDescent="0.25">
      <c r="O4625" s="21"/>
    </row>
    <row r="4626" spans="15:15" x14ac:dyDescent="0.25">
      <c r="O4626" s="21"/>
    </row>
    <row r="4627" spans="15:15" x14ac:dyDescent="0.25">
      <c r="O4627" s="21"/>
    </row>
    <row r="4628" spans="15:15" x14ac:dyDescent="0.25">
      <c r="O4628" s="21"/>
    </row>
    <row r="4629" spans="15:15" x14ac:dyDescent="0.25">
      <c r="O4629" s="21"/>
    </row>
    <row r="4630" spans="15:15" x14ac:dyDescent="0.25">
      <c r="O4630" s="21"/>
    </row>
    <row r="4631" spans="15:15" x14ac:dyDescent="0.25">
      <c r="O4631" s="21"/>
    </row>
    <row r="4632" spans="15:15" x14ac:dyDescent="0.25">
      <c r="O4632" s="21"/>
    </row>
    <row r="4633" spans="15:15" x14ac:dyDescent="0.25">
      <c r="O4633" s="21"/>
    </row>
    <row r="4634" spans="15:15" x14ac:dyDescent="0.25">
      <c r="O4634" s="21"/>
    </row>
    <row r="4635" spans="15:15" x14ac:dyDescent="0.25">
      <c r="O4635" s="21"/>
    </row>
    <row r="4636" spans="15:15" x14ac:dyDescent="0.25">
      <c r="O4636" s="21"/>
    </row>
    <row r="4637" spans="15:15" x14ac:dyDescent="0.25">
      <c r="O4637" s="21"/>
    </row>
    <row r="4638" spans="15:15" x14ac:dyDescent="0.25">
      <c r="O4638" s="21"/>
    </row>
    <row r="4639" spans="15:15" x14ac:dyDescent="0.25">
      <c r="O4639" s="21"/>
    </row>
    <row r="4640" spans="15:15" x14ac:dyDescent="0.25">
      <c r="O4640" s="21"/>
    </row>
    <row r="4641" spans="15:15" x14ac:dyDescent="0.25">
      <c r="O4641" s="21"/>
    </row>
    <row r="4642" spans="15:15" x14ac:dyDescent="0.25">
      <c r="O4642" s="21"/>
    </row>
    <row r="4643" spans="15:15" x14ac:dyDescent="0.25">
      <c r="O4643" s="21"/>
    </row>
    <row r="4644" spans="15:15" x14ac:dyDescent="0.25">
      <c r="O4644" s="21"/>
    </row>
    <row r="4645" spans="15:15" x14ac:dyDescent="0.25">
      <c r="O4645" s="21"/>
    </row>
    <row r="4646" spans="15:15" x14ac:dyDescent="0.25">
      <c r="O4646" s="21"/>
    </row>
    <row r="4647" spans="15:15" x14ac:dyDescent="0.25">
      <c r="O4647" s="21"/>
    </row>
    <row r="4648" spans="15:15" x14ac:dyDescent="0.25">
      <c r="O4648" s="21"/>
    </row>
    <row r="4649" spans="15:15" x14ac:dyDescent="0.25">
      <c r="O4649" s="21"/>
    </row>
    <row r="4650" spans="15:15" x14ac:dyDescent="0.25">
      <c r="O4650" s="21"/>
    </row>
    <row r="4651" spans="15:15" x14ac:dyDescent="0.25">
      <c r="O4651" s="21"/>
    </row>
    <row r="4652" spans="15:15" x14ac:dyDescent="0.25">
      <c r="O4652" s="21"/>
    </row>
    <row r="4653" spans="15:15" x14ac:dyDescent="0.25">
      <c r="O4653" s="21"/>
    </row>
    <row r="4654" spans="15:15" x14ac:dyDescent="0.25">
      <c r="O4654" s="21"/>
    </row>
    <row r="4655" spans="15:15" x14ac:dyDescent="0.25">
      <c r="O4655" s="21"/>
    </row>
    <row r="4656" spans="15:15" x14ac:dyDescent="0.25">
      <c r="O4656" s="21"/>
    </row>
    <row r="4657" spans="15:15" x14ac:dyDescent="0.25">
      <c r="O4657" s="21"/>
    </row>
    <row r="4658" spans="15:15" x14ac:dyDescent="0.25">
      <c r="O4658" s="21"/>
    </row>
    <row r="4659" spans="15:15" x14ac:dyDescent="0.25">
      <c r="O4659" s="21"/>
    </row>
    <row r="4660" spans="15:15" x14ac:dyDescent="0.25">
      <c r="O4660" s="21"/>
    </row>
    <row r="4661" spans="15:15" x14ac:dyDescent="0.25">
      <c r="O4661" s="21"/>
    </row>
    <row r="4662" spans="15:15" x14ac:dyDescent="0.25">
      <c r="O4662" s="21"/>
    </row>
    <row r="4663" spans="15:15" x14ac:dyDescent="0.25">
      <c r="O4663" s="21"/>
    </row>
    <row r="4664" spans="15:15" x14ac:dyDescent="0.25">
      <c r="O4664" s="21"/>
    </row>
    <row r="4665" spans="15:15" x14ac:dyDescent="0.25">
      <c r="O4665" s="21"/>
    </row>
    <row r="4666" spans="15:15" x14ac:dyDescent="0.25">
      <c r="O4666" s="21"/>
    </row>
    <row r="4667" spans="15:15" x14ac:dyDescent="0.25">
      <c r="O4667" s="21"/>
    </row>
    <row r="4668" spans="15:15" x14ac:dyDescent="0.25">
      <c r="O4668" s="21"/>
    </row>
    <row r="4669" spans="15:15" x14ac:dyDescent="0.25">
      <c r="O4669" s="21"/>
    </row>
    <row r="4670" spans="15:15" x14ac:dyDescent="0.25">
      <c r="O4670" s="21"/>
    </row>
    <row r="4671" spans="15:15" x14ac:dyDescent="0.25">
      <c r="O4671" s="21"/>
    </row>
    <row r="4672" spans="15:15" x14ac:dyDescent="0.25">
      <c r="O4672" s="21"/>
    </row>
    <row r="4673" spans="15:15" x14ac:dyDescent="0.25">
      <c r="O4673" s="21"/>
    </row>
    <row r="4674" spans="15:15" x14ac:dyDescent="0.25">
      <c r="O4674" s="21"/>
    </row>
    <row r="4675" spans="15:15" x14ac:dyDescent="0.25">
      <c r="O4675" s="21"/>
    </row>
    <row r="4676" spans="15:15" x14ac:dyDescent="0.25">
      <c r="O4676" s="21"/>
    </row>
    <row r="4677" spans="15:15" x14ac:dyDescent="0.25">
      <c r="O4677" s="21"/>
    </row>
    <row r="4678" spans="15:15" x14ac:dyDescent="0.25">
      <c r="O4678" s="21"/>
    </row>
    <row r="4679" spans="15:15" x14ac:dyDescent="0.25">
      <c r="O4679" s="21"/>
    </row>
    <row r="4680" spans="15:15" x14ac:dyDescent="0.25">
      <c r="O4680" s="21"/>
    </row>
    <row r="4681" spans="15:15" x14ac:dyDescent="0.25">
      <c r="O4681" s="21"/>
    </row>
    <row r="4682" spans="15:15" x14ac:dyDescent="0.25">
      <c r="O4682" s="21"/>
    </row>
    <row r="4683" spans="15:15" x14ac:dyDescent="0.25">
      <c r="O4683" s="21"/>
    </row>
    <row r="4684" spans="15:15" x14ac:dyDescent="0.25">
      <c r="O4684" s="21"/>
    </row>
    <row r="4685" spans="15:15" x14ac:dyDescent="0.25">
      <c r="O4685" s="21"/>
    </row>
    <row r="4686" spans="15:15" x14ac:dyDescent="0.25">
      <c r="O4686" s="21"/>
    </row>
    <row r="4687" spans="15:15" x14ac:dyDescent="0.25">
      <c r="O4687" s="21"/>
    </row>
    <row r="4688" spans="15:15" x14ac:dyDescent="0.25">
      <c r="O4688" s="21"/>
    </row>
    <row r="4689" spans="15:15" x14ac:dyDescent="0.25">
      <c r="O4689" s="21"/>
    </row>
    <row r="4690" spans="15:15" x14ac:dyDescent="0.25">
      <c r="O4690" s="21"/>
    </row>
    <row r="4691" spans="15:15" x14ac:dyDescent="0.25">
      <c r="O4691" s="21"/>
    </row>
    <row r="4692" spans="15:15" x14ac:dyDescent="0.25">
      <c r="O4692" s="21"/>
    </row>
    <row r="4693" spans="15:15" x14ac:dyDescent="0.25">
      <c r="O4693" s="21"/>
    </row>
    <row r="4694" spans="15:15" x14ac:dyDescent="0.25">
      <c r="O4694" s="21"/>
    </row>
    <row r="4695" spans="15:15" x14ac:dyDescent="0.25">
      <c r="O4695" s="21"/>
    </row>
    <row r="4696" spans="15:15" x14ac:dyDescent="0.25">
      <c r="O4696" s="21"/>
    </row>
    <row r="4697" spans="15:15" x14ac:dyDescent="0.25">
      <c r="O4697" s="21"/>
    </row>
    <row r="4698" spans="15:15" x14ac:dyDescent="0.25">
      <c r="O4698" s="21"/>
    </row>
    <row r="4699" spans="15:15" x14ac:dyDescent="0.25">
      <c r="O4699" s="21"/>
    </row>
    <row r="4700" spans="15:15" x14ac:dyDescent="0.25">
      <c r="O4700" s="21"/>
    </row>
    <row r="4701" spans="15:15" x14ac:dyDescent="0.25">
      <c r="O4701" s="21"/>
    </row>
    <row r="4702" spans="15:15" x14ac:dyDescent="0.25">
      <c r="O4702" s="21"/>
    </row>
    <row r="4703" spans="15:15" x14ac:dyDescent="0.25">
      <c r="O4703" s="21"/>
    </row>
    <row r="4704" spans="15:15" x14ac:dyDescent="0.25">
      <c r="O4704" s="21"/>
    </row>
    <row r="4705" spans="15:15" x14ac:dyDescent="0.25">
      <c r="O4705" s="21"/>
    </row>
    <row r="4706" spans="15:15" x14ac:dyDescent="0.25">
      <c r="O4706" s="21"/>
    </row>
    <row r="4707" spans="15:15" x14ac:dyDescent="0.25">
      <c r="O4707" s="21"/>
    </row>
    <row r="4708" spans="15:15" x14ac:dyDescent="0.25">
      <c r="O4708" s="21"/>
    </row>
    <row r="4709" spans="15:15" x14ac:dyDescent="0.25">
      <c r="O4709" s="21"/>
    </row>
    <row r="4710" spans="15:15" x14ac:dyDescent="0.25">
      <c r="O4710" s="21"/>
    </row>
    <row r="4711" spans="15:15" x14ac:dyDescent="0.25">
      <c r="O4711" s="21"/>
    </row>
    <row r="4712" spans="15:15" x14ac:dyDescent="0.25">
      <c r="O4712" s="21"/>
    </row>
    <row r="4713" spans="15:15" x14ac:dyDescent="0.25">
      <c r="O4713" s="21"/>
    </row>
    <row r="4714" spans="15:15" x14ac:dyDescent="0.25">
      <c r="O4714" s="21"/>
    </row>
    <row r="4715" spans="15:15" x14ac:dyDescent="0.25">
      <c r="O4715" s="21"/>
    </row>
    <row r="4716" spans="15:15" x14ac:dyDescent="0.25">
      <c r="O4716" s="21"/>
    </row>
    <row r="4717" spans="15:15" x14ac:dyDescent="0.25">
      <c r="O4717" s="21"/>
    </row>
    <row r="4718" spans="15:15" x14ac:dyDescent="0.25">
      <c r="O4718" s="21"/>
    </row>
    <row r="4719" spans="15:15" x14ac:dyDescent="0.25">
      <c r="O4719" s="21"/>
    </row>
    <row r="4720" spans="15:15" x14ac:dyDescent="0.25">
      <c r="O4720" s="21"/>
    </row>
    <row r="4721" spans="15:15" x14ac:dyDescent="0.25">
      <c r="O4721" s="21"/>
    </row>
    <row r="4722" spans="15:15" x14ac:dyDescent="0.25">
      <c r="O4722" s="21"/>
    </row>
    <row r="4723" spans="15:15" x14ac:dyDescent="0.25">
      <c r="O4723" s="21"/>
    </row>
    <row r="4724" spans="15:15" x14ac:dyDescent="0.25">
      <c r="O4724" s="21"/>
    </row>
    <row r="4725" spans="15:15" x14ac:dyDescent="0.25">
      <c r="O4725" s="21"/>
    </row>
    <row r="4726" spans="15:15" x14ac:dyDescent="0.25">
      <c r="O4726" s="21"/>
    </row>
    <row r="4727" spans="15:15" x14ac:dyDescent="0.25">
      <c r="O4727" s="21"/>
    </row>
    <row r="4728" spans="15:15" x14ac:dyDescent="0.25">
      <c r="O4728" s="21"/>
    </row>
    <row r="4729" spans="15:15" x14ac:dyDescent="0.25">
      <c r="O4729" s="21"/>
    </row>
    <row r="4730" spans="15:15" x14ac:dyDescent="0.25">
      <c r="O4730" s="21"/>
    </row>
    <row r="4731" spans="15:15" x14ac:dyDescent="0.25">
      <c r="O4731" s="21"/>
    </row>
    <row r="4732" spans="15:15" x14ac:dyDescent="0.25">
      <c r="O4732" s="21"/>
    </row>
    <row r="4733" spans="15:15" x14ac:dyDescent="0.25">
      <c r="O4733" s="21"/>
    </row>
    <row r="4734" spans="15:15" x14ac:dyDescent="0.25">
      <c r="O4734" s="21"/>
    </row>
    <row r="4735" spans="15:15" x14ac:dyDescent="0.25">
      <c r="O4735" s="21"/>
    </row>
    <row r="4736" spans="15:15" x14ac:dyDescent="0.25">
      <c r="O4736" s="21"/>
    </row>
    <row r="4737" spans="15:15" x14ac:dyDescent="0.25">
      <c r="O4737" s="21"/>
    </row>
    <row r="4738" spans="15:15" x14ac:dyDescent="0.25">
      <c r="O4738" s="21"/>
    </row>
    <row r="4739" spans="15:15" x14ac:dyDescent="0.25">
      <c r="O4739" s="21"/>
    </row>
    <row r="4740" spans="15:15" x14ac:dyDescent="0.25">
      <c r="O4740" s="21"/>
    </row>
    <row r="4741" spans="15:15" x14ac:dyDescent="0.25">
      <c r="O4741" s="21"/>
    </row>
    <row r="4742" spans="15:15" x14ac:dyDescent="0.25">
      <c r="O4742" s="21"/>
    </row>
    <row r="4743" spans="15:15" x14ac:dyDescent="0.25">
      <c r="O4743" s="21"/>
    </row>
    <row r="4744" spans="15:15" x14ac:dyDescent="0.25">
      <c r="O4744" s="21"/>
    </row>
    <row r="4745" spans="15:15" x14ac:dyDescent="0.25">
      <c r="O4745" s="21"/>
    </row>
    <row r="4746" spans="15:15" x14ac:dyDescent="0.25">
      <c r="O4746" s="21"/>
    </row>
    <row r="4747" spans="15:15" x14ac:dyDescent="0.25">
      <c r="O4747" s="21"/>
    </row>
    <row r="4748" spans="15:15" x14ac:dyDescent="0.25">
      <c r="O4748" s="21"/>
    </row>
    <row r="4749" spans="15:15" x14ac:dyDescent="0.25">
      <c r="O4749" s="21"/>
    </row>
    <row r="4750" spans="15:15" x14ac:dyDescent="0.25">
      <c r="O4750" s="21"/>
    </row>
    <row r="4751" spans="15:15" x14ac:dyDescent="0.25">
      <c r="O4751" s="21"/>
    </row>
    <row r="4752" spans="15:15" x14ac:dyDescent="0.25">
      <c r="O4752" s="21"/>
    </row>
    <row r="4753" spans="15:15" x14ac:dyDescent="0.25">
      <c r="O4753" s="21"/>
    </row>
    <row r="4754" spans="15:15" x14ac:dyDescent="0.25">
      <c r="O4754" s="21"/>
    </row>
    <row r="4755" spans="15:15" x14ac:dyDescent="0.25">
      <c r="O4755" s="21"/>
    </row>
    <row r="4756" spans="15:15" x14ac:dyDescent="0.25">
      <c r="O4756" s="21"/>
    </row>
    <row r="4757" spans="15:15" x14ac:dyDescent="0.25">
      <c r="O4757" s="21"/>
    </row>
    <row r="4758" spans="15:15" x14ac:dyDescent="0.25">
      <c r="O4758" s="21"/>
    </row>
    <row r="4759" spans="15:15" x14ac:dyDescent="0.25">
      <c r="O4759" s="21"/>
    </row>
    <row r="4760" spans="15:15" x14ac:dyDescent="0.25">
      <c r="O4760" s="21"/>
    </row>
    <row r="4761" spans="15:15" x14ac:dyDescent="0.25">
      <c r="O4761" s="21"/>
    </row>
    <row r="4762" spans="15:15" x14ac:dyDescent="0.25">
      <c r="O4762" s="21"/>
    </row>
    <row r="4763" spans="15:15" x14ac:dyDescent="0.25">
      <c r="O4763" s="21"/>
    </row>
    <row r="4764" spans="15:15" x14ac:dyDescent="0.25">
      <c r="O4764" s="21"/>
    </row>
    <row r="4765" spans="15:15" x14ac:dyDescent="0.25">
      <c r="O4765" s="21"/>
    </row>
    <row r="4766" spans="15:15" x14ac:dyDescent="0.25">
      <c r="O4766" s="21"/>
    </row>
    <row r="4767" spans="15:15" x14ac:dyDescent="0.25">
      <c r="O4767" s="21"/>
    </row>
    <row r="4768" spans="15:15" x14ac:dyDescent="0.25">
      <c r="O4768" s="21"/>
    </row>
    <row r="4769" spans="15:15" x14ac:dyDescent="0.25">
      <c r="O4769" s="21"/>
    </row>
    <row r="4770" spans="15:15" x14ac:dyDescent="0.25">
      <c r="O4770" s="21"/>
    </row>
    <row r="4771" spans="15:15" x14ac:dyDescent="0.25">
      <c r="O4771" s="21"/>
    </row>
    <row r="4772" spans="15:15" x14ac:dyDescent="0.25">
      <c r="O4772" s="21"/>
    </row>
    <row r="4773" spans="15:15" x14ac:dyDescent="0.25">
      <c r="O4773" s="21"/>
    </row>
    <row r="4774" spans="15:15" x14ac:dyDescent="0.25">
      <c r="O4774" s="21"/>
    </row>
    <row r="4775" spans="15:15" x14ac:dyDescent="0.25">
      <c r="O4775" s="21"/>
    </row>
    <row r="4776" spans="15:15" x14ac:dyDescent="0.25">
      <c r="O4776" s="21"/>
    </row>
    <row r="4777" spans="15:15" x14ac:dyDescent="0.25">
      <c r="O4777" s="21"/>
    </row>
    <row r="4778" spans="15:15" x14ac:dyDescent="0.25">
      <c r="O4778" s="21"/>
    </row>
    <row r="4779" spans="15:15" x14ac:dyDescent="0.25">
      <c r="O4779" s="21"/>
    </row>
    <row r="4780" spans="15:15" x14ac:dyDescent="0.25">
      <c r="O4780" s="21"/>
    </row>
    <row r="4781" spans="15:15" x14ac:dyDescent="0.25">
      <c r="O4781" s="21"/>
    </row>
    <row r="4782" spans="15:15" x14ac:dyDescent="0.25">
      <c r="O4782" s="21"/>
    </row>
    <row r="4783" spans="15:15" x14ac:dyDescent="0.25">
      <c r="O4783" s="21"/>
    </row>
    <row r="4784" spans="15:15" x14ac:dyDescent="0.25">
      <c r="O4784" s="21"/>
    </row>
    <row r="4785" spans="15:15" x14ac:dyDescent="0.25">
      <c r="O4785" s="21"/>
    </row>
    <row r="4786" spans="15:15" x14ac:dyDescent="0.25">
      <c r="O4786" s="21"/>
    </row>
    <row r="4787" spans="15:15" x14ac:dyDescent="0.25">
      <c r="O4787" s="21"/>
    </row>
    <row r="4788" spans="15:15" x14ac:dyDescent="0.25">
      <c r="O4788" s="21"/>
    </row>
    <row r="4789" spans="15:15" x14ac:dyDescent="0.25">
      <c r="O4789" s="21"/>
    </row>
    <row r="4790" spans="15:15" x14ac:dyDescent="0.25">
      <c r="O4790" s="21"/>
    </row>
    <row r="4791" spans="15:15" x14ac:dyDescent="0.25">
      <c r="O4791" s="21"/>
    </row>
    <row r="4792" spans="15:15" x14ac:dyDescent="0.25">
      <c r="O4792" s="21"/>
    </row>
    <row r="4793" spans="15:15" x14ac:dyDescent="0.25">
      <c r="O4793" s="21"/>
    </row>
    <row r="4794" spans="15:15" x14ac:dyDescent="0.25">
      <c r="O4794" s="21"/>
    </row>
    <row r="4795" spans="15:15" x14ac:dyDescent="0.25">
      <c r="O4795" s="21"/>
    </row>
    <row r="4796" spans="15:15" x14ac:dyDescent="0.25">
      <c r="O4796" s="21"/>
    </row>
    <row r="4797" spans="15:15" x14ac:dyDescent="0.25">
      <c r="O4797" s="21"/>
    </row>
    <row r="4798" spans="15:15" x14ac:dyDescent="0.25">
      <c r="O4798" s="21"/>
    </row>
    <row r="4799" spans="15:15" x14ac:dyDescent="0.25">
      <c r="O4799" s="21"/>
    </row>
    <row r="4800" spans="15:15" x14ac:dyDescent="0.25">
      <c r="O4800" s="21"/>
    </row>
    <row r="4801" spans="15:15" x14ac:dyDescent="0.25">
      <c r="O4801" s="21"/>
    </row>
    <row r="4802" spans="15:15" x14ac:dyDescent="0.25">
      <c r="O4802" s="21"/>
    </row>
    <row r="4803" spans="15:15" x14ac:dyDescent="0.25">
      <c r="O4803" s="21"/>
    </row>
    <row r="4804" spans="15:15" x14ac:dyDescent="0.25">
      <c r="O4804" s="21"/>
    </row>
    <row r="4805" spans="15:15" x14ac:dyDescent="0.25">
      <c r="O4805" s="21"/>
    </row>
    <row r="4806" spans="15:15" x14ac:dyDescent="0.25">
      <c r="O4806" s="21"/>
    </row>
    <row r="4807" spans="15:15" x14ac:dyDescent="0.25">
      <c r="O4807" s="21"/>
    </row>
    <row r="4808" spans="15:15" x14ac:dyDescent="0.25">
      <c r="O4808" s="21"/>
    </row>
    <row r="4809" spans="15:15" x14ac:dyDescent="0.25">
      <c r="O4809" s="21"/>
    </row>
    <row r="4810" spans="15:15" x14ac:dyDescent="0.25">
      <c r="O4810" s="21"/>
    </row>
    <row r="4811" spans="15:15" x14ac:dyDescent="0.25">
      <c r="O4811" s="21"/>
    </row>
    <row r="4812" spans="15:15" x14ac:dyDescent="0.25">
      <c r="O4812" s="21"/>
    </row>
    <row r="4813" spans="15:15" x14ac:dyDescent="0.25">
      <c r="O4813" s="21"/>
    </row>
    <row r="4814" spans="15:15" x14ac:dyDescent="0.25">
      <c r="O4814" s="21"/>
    </row>
    <row r="4815" spans="15:15" x14ac:dyDescent="0.25">
      <c r="O4815" s="21"/>
    </row>
    <row r="4816" spans="15:15" x14ac:dyDescent="0.25">
      <c r="O4816" s="21"/>
    </row>
    <row r="4817" spans="15:15" x14ac:dyDescent="0.25">
      <c r="O4817" s="21"/>
    </row>
    <row r="4818" spans="15:15" x14ac:dyDescent="0.25">
      <c r="O4818" s="21"/>
    </row>
    <row r="4819" spans="15:15" x14ac:dyDescent="0.25">
      <c r="O4819" s="21"/>
    </row>
    <row r="4820" spans="15:15" x14ac:dyDescent="0.25">
      <c r="O4820" s="21"/>
    </row>
    <row r="4821" spans="15:15" x14ac:dyDescent="0.25">
      <c r="O4821" s="21"/>
    </row>
    <row r="4822" spans="15:15" x14ac:dyDescent="0.25">
      <c r="O4822" s="21"/>
    </row>
    <row r="4823" spans="15:15" x14ac:dyDescent="0.25">
      <c r="O4823" s="21"/>
    </row>
    <row r="4824" spans="15:15" x14ac:dyDescent="0.25">
      <c r="O4824" s="21"/>
    </row>
    <row r="4825" spans="15:15" x14ac:dyDescent="0.25">
      <c r="O4825" s="21"/>
    </row>
    <row r="4826" spans="15:15" x14ac:dyDescent="0.25">
      <c r="O4826" s="21"/>
    </row>
    <row r="4827" spans="15:15" x14ac:dyDescent="0.25">
      <c r="O4827" s="21"/>
    </row>
    <row r="4828" spans="15:15" x14ac:dyDescent="0.25">
      <c r="O4828" s="21"/>
    </row>
    <row r="4829" spans="15:15" x14ac:dyDescent="0.25">
      <c r="O4829" s="21"/>
    </row>
    <row r="4830" spans="15:15" x14ac:dyDescent="0.25">
      <c r="O4830" s="21"/>
    </row>
    <row r="4831" spans="15:15" x14ac:dyDescent="0.25">
      <c r="O4831" s="21"/>
    </row>
    <row r="4832" spans="15:15" x14ac:dyDescent="0.25">
      <c r="O4832" s="21"/>
    </row>
    <row r="4833" spans="15:15" x14ac:dyDescent="0.25">
      <c r="O4833" s="21"/>
    </row>
    <row r="4834" spans="15:15" x14ac:dyDescent="0.25">
      <c r="O4834" s="21"/>
    </row>
    <row r="4835" spans="15:15" x14ac:dyDescent="0.25">
      <c r="O4835" s="21"/>
    </row>
    <row r="4836" spans="15:15" x14ac:dyDescent="0.25">
      <c r="O4836" s="21"/>
    </row>
    <row r="4837" spans="15:15" x14ac:dyDescent="0.25">
      <c r="O4837" s="21"/>
    </row>
    <row r="4838" spans="15:15" x14ac:dyDescent="0.25">
      <c r="O4838" s="21"/>
    </row>
    <row r="4839" spans="15:15" x14ac:dyDescent="0.25">
      <c r="O4839" s="21"/>
    </row>
    <row r="4840" spans="15:15" x14ac:dyDescent="0.25">
      <c r="O4840" s="21"/>
    </row>
    <row r="4841" spans="15:15" x14ac:dyDescent="0.25">
      <c r="O4841" s="21"/>
    </row>
    <row r="4842" spans="15:15" x14ac:dyDescent="0.25">
      <c r="O4842" s="21"/>
    </row>
    <row r="4843" spans="15:15" x14ac:dyDescent="0.25">
      <c r="O4843" s="21"/>
    </row>
    <row r="4844" spans="15:15" x14ac:dyDescent="0.25">
      <c r="O4844" s="21"/>
    </row>
    <row r="4845" spans="15:15" x14ac:dyDescent="0.25">
      <c r="O4845" s="21"/>
    </row>
    <row r="4846" spans="15:15" x14ac:dyDescent="0.25">
      <c r="O4846" s="21"/>
    </row>
    <row r="4847" spans="15:15" x14ac:dyDescent="0.25">
      <c r="O4847" s="21"/>
    </row>
    <row r="4848" spans="15:15" x14ac:dyDescent="0.25">
      <c r="O4848" s="21"/>
    </row>
    <row r="4849" spans="15:15" x14ac:dyDescent="0.25">
      <c r="O4849" s="21"/>
    </row>
    <row r="4850" spans="15:15" x14ac:dyDescent="0.25">
      <c r="O4850" s="21"/>
    </row>
    <row r="4851" spans="15:15" x14ac:dyDescent="0.25">
      <c r="O4851" s="21"/>
    </row>
    <row r="4852" spans="15:15" x14ac:dyDescent="0.25">
      <c r="O4852" s="21"/>
    </row>
    <row r="4853" spans="15:15" x14ac:dyDescent="0.25">
      <c r="O4853" s="21"/>
    </row>
    <row r="4854" spans="15:15" x14ac:dyDescent="0.25">
      <c r="O4854" s="21"/>
    </row>
    <row r="4855" spans="15:15" x14ac:dyDescent="0.25">
      <c r="O4855" s="21"/>
    </row>
    <row r="4856" spans="15:15" x14ac:dyDescent="0.25">
      <c r="O4856" s="21"/>
    </row>
    <row r="4857" spans="15:15" x14ac:dyDescent="0.25">
      <c r="O4857" s="21"/>
    </row>
    <row r="4858" spans="15:15" x14ac:dyDescent="0.25">
      <c r="O4858" s="21"/>
    </row>
    <row r="4859" spans="15:15" x14ac:dyDescent="0.25">
      <c r="O4859" s="21"/>
    </row>
    <row r="4860" spans="15:15" x14ac:dyDescent="0.25">
      <c r="O4860" s="21"/>
    </row>
    <row r="4861" spans="15:15" x14ac:dyDescent="0.25">
      <c r="O4861" s="21"/>
    </row>
    <row r="4862" spans="15:15" x14ac:dyDescent="0.25">
      <c r="O4862" s="21"/>
    </row>
    <row r="4863" spans="15:15" x14ac:dyDescent="0.25">
      <c r="O4863" s="21"/>
    </row>
    <row r="4864" spans="15:15" x14ac:dyDescent="0.25">
      <c r="O4864" s="21"/>
    </row>
    <row r="4865" spans="15:15" x14ac:dyDescent="0.25">
      <c r="O4865" s="21"/>
    </row>
    <row r="4866" spans="15:15" x14ac:dyDescent="0.25">
      <c r="O4866" s="21"/>
    </row>
    <row r="4867" spans="15:15" x14ac:dyDescent="0.25">
      <c r="O4867" s="21"/>
    </row>
    <row r="4868" spans="15:15" x14ac:dyDescent="0.25">
      <c r="O4868" s="21"/>
    </row>
    <row r="4869" spans="15:15" x14ac:dyDescent="0.25">
      <c r="O4869" s="21"/>
    </row>
    <row r="4870" spans="15:15" x14ac:dyDescent="0.25">
      <c r="O4870" s="21"/>
    </row>
    <row r="4871" spans="15:15" x14ac:dyDescent="0.25">
      <c r="O4871" s="21"/>
    </row>
    <row r="4872" spans="15:15" x14ac:dyDescent="0.25">
      <c r="O4872" s="21"/>
    </row>
    <row r="4873" spans="15:15" x14ac:dyDescent="0.25">
      <c r="O4873" s="21"/>
    </row>
    <row r="4874" spans="15:15" x14ac:dyDescent="0.25">
      <c r="O4874" s="21"/>
    </row>
    <row r="4875" spans="15:15" x14ac:dyDescent="0.25">
      <c r="O4875" s="21"/>
    </row>
    <row r="4876" spans="15:15" x14ac:dyDescent="0.25">
      <c r="O4876" s="21"/>
    </row>
    <row r="4877" spans="15:15" x14ac:dyDescent="0.25">
      <c r="O4877" s="21"/>
    </row>
    <row r="4878" spans="15:15" x14ac:dyDescent="0.25">
      <c r="O4878" s="21"/>
    </row>
    <row r="4879" spans="15:15" x14ac:dyDescent="0.25">
      <c r="O4879" s="21"/>
    </row>
    <row r="4880" spans="15:15" x14ac:dyDescent="0.25">
      <c r="O4880" s="21"/>
    </row>
    <row r="4881" spans="15:15" x14ac:dyDescent="0.25">
      <c r="O4881" s="21"/>
    </row>
    <row r="4882" spans="15:15" x14ac:dyDescent="0.25">
      <c r="O4882" s="21"/>
    </row>
    <row r="4883" spans="15:15" x14ac:dyDescent="0.25">
      <c r="O4883" s="21"/>
    </row>
    <row r="4884" spans="15:15" x14ac:dyDescent="0.25">
      <c r="O4884" s="21"/>
    </row>
    <row r="4885" spans="15:15" x14ac:dyDescent="0.25">
      <c r="O4885" s="21"/>
    </row>
    <row r="4886" spans="15:15" x14ac:dyDescent="0.25">
      <c r="O4886" s="21"/>
    </row>
    <row r="4887" spans="15:15" x14ac:dyDescent="0.25">
      <c r="O4887" s="21"/>
    </row>
    <row r="4888" spans="15:15" x14ac:dyDescent="0.25">
      <c r="O4888" s="21"/>
    </row>
    <row r="4889" spans="15:15" x14ac:dyDescent="0.25">
      <c r="O4889" s="21"/>
    </row>
    <row r="4890" spans="15:15" x14ac:dyDescent="0.25">
      <c r="O4890" s="21"/>
    </row>
    <row r="4891" spans="15:15" x14ac:dyDescent="0.25">
      <c r="O4891" s="21"/>
    </row>
    <row r="4892" spans="15:15" x14ac:dyDescent="0.25">
      <c r="O4892" s="21"/>
    </row>
    <row r="4893" spans="15:15" x14ac:dyDescent="0.25">
      <c r="O4893" s="21"/>
    </row>
    <row r="4894" spans="15:15" x14ac:dyDescent="0.25">
      <c r="O4894" s="21"/>
    </row>
    <row r="4895" spans="15:15" x14ac:dyDescent="0.25">
      <c r="O4895" s="21"/>
    </row>
    <row r="4896" spans="15:15" x14ac:dyDescent="0.25">
      <c r="O4896" s="21"/>
    </row>
    <row r="4897" spans="15:15" x14ac:dyDescent="0.25">
      <c r="O4897" s="21"/>
    </row>
    <row r="4898" spans="15:15" x14ac:dyDescent="0.25">
      <c r="O4898" s="21"/>
    </row>
    <row r="4899" spans="15:15" x14ac:dyDescent="0.25">
      <c r="O4899" s="21"/>
    </row>
    <row r="4900" spans="15:15" x14ac:dyDescent="0.25">
      <c r="O4900" s="21"/>
    </row>
    <row r="4901" spans="15:15" x14ac:dyDescent="0.25">
      <c r="O4901" s="21"/>
    </row>
    <row r="4902" spans="15:15" x14ac:dyDescent="0.25">
      <c r="O4902" s="21"/>
    </row>
    <row r="4903" spans="15:15" x14ac:dyDescent="0.25">
      <c r="O4903" s="21"/>
    </row>
    <row r="4904" spans="15:15" x14ac:dyDescent="0.25">
      <c r="O4904" s="21"/>
    </row>
    <row r="4905" spans="15:15" x14ac:dyDescent="0.25">
      <c r="O4905" s="21"/>
    </row>
    <row r="4906" spans="15:15" x14ac:dyDescent="0.25">
      <c r="O4906" s="21"/>
    </row>
    <row r="4907" spans="15:15" x14ac:dyDescent="0.25">
      <c r="O4907" s="21"/>
    </row>
    <row r="4908" spans="15:15" x14ac:dyDescent="0.25">
      <c r="O4908" s="21"/>
    </row>
    <row r="4909" spans="15:15" x14ac:dyDescent="0.25">
      <c r="O4909" s="21"/>
    </row>
    <row r="4910" spans="15:15" x14ac:dyDescent="0.25">
      <c r="O4910" s="21"/>
    </row>
    <row r="4911" spans="15:15" x14ac:dyDescent="0.25">
      <c r="O4911" s="21"/>
    </row>
    <row r="4912" spans="15:15" x14ac:dyDescent="0.25">
      <c r="O4912" s="21"/>
    </row>
    <row r="4913" spans="15:15" x14ac:dyDescent="0.25">
      <c r="O4913" s="21"/>
    </row>
    <row r="4914" spans="15:15" x14ac:dyDescent="0.25">
      <c r="O4914" s="21"/>
    </row>
    <row r="4915" spans="15:15" x14ac:dyDescent="0.25">
      <c r="O4915" s="21"/>
    </row>
    <row r="4916" spans="15:15" x14ac:dyDescent="0.25">
      <c r="O4916" s="21"/>
    </row>
    <row r="4917" spans="15:15" x14ac:dyDescent="0.25">
      <c r="O4917" s="21"/>
    </row>
    <row r="4918" spans="15:15" x14ac:dyDescent="0.25">
      <c r="O4918" s="21"/>
    </row>
    <row r="4919" spans="15:15" x14ac:dyDescent="0.25">
      <c r="O4919" s="21"/>
    </row>
    <row r="4920" spans="15:15" x14ac:dyDescent="0.25">
      <c r="O4920" s="21"/>
    </row>
    <row r="4921" spans="15:15" x14ac:dyDescent="0.25">
      <c r="O4921" s="21"/>
    </row>
    <row r="4922" spans="15:15" x14ac:dyDescent="0.25">
      <c r="O4922" s="21"/>
    </row>
    <row r="4923" spans="15:15" x14ac:dyDescent="0.25">
      <c r="O4923" s="21"/>
    </row>
    <row r="4924" spans="15:15" x14ac:dyDescent="0.25">
      <c r="O4924" s="21"/>
    </row>
    <row r="4925" spans="15:15" x14ac:dyDescent="0.25">
      <c r="O4925" s="21"/>
    </row>
    <row r="4926" spans="15:15" x14ac:dyDescent="0.25">
      <c r="O4926" s="21"/>
    </row>
    <row r="4927" spans="15:15" x14ac:dyDescent="0.25">
      <c r="O4927" s="21"/>
    </row>
    <row r="4928" spans="15:15" x14ac:dyDescent="0.25">
      <c r="O4928" s="21"/>
    </row>
    <row r="4929" spans="15:15" x14ac:dyDescent="0.25">
      <c r="O4929" s="21"/>
    </row>
    <row r="4930" spans="15:15" x14ac:dyDescent="0.25">
      <c r="O4930" s="21"/>
    </row>
    <row r="4931" spans="15:15" x14ac:dyDescent="0.25">
      <c r="O4931" s="21"/>
    </row>
    <row r="4932" spans="15:15" x14ac:dyDescent="0.25">
      <c r="O4932" s="21"/>
    </row>
    <row r="4933" spans="15:15" x14ac:dyDescent="0.25">
      <c r="O4933" s="21"/>
    </row>
    <row r="4934" spans="15:15" x14ac:dyDescent="0.25">
      <c r="O4934" s="21"/>
    </row>
    <row r="4935" spans="15:15" x14ac:dyDescent="0.25">
      <c r="O4935" s="21"/>
    </row>
    <row r="4936" spans="15:15" x14ac:dyDescent="0.25">
      <c r="O4936" s="21"/>
    </row>
    <row r="4937" spans="15:15" x14ac:dyDescent="0.25">
      <c r="O4937" s="21"/>
    </row>
    <row r="4938" spans="15:15" x14ac:dyDescent="0.25">
      <c r="O4938" s="21"/>
    </row>
    <row r="4939" spans="15:15" x14ac:dyDescent="0.25">
      <c r="O4939" s="21"/>
    </row>
    <row r="4940" spans="15:15" x14ac:dyDescent="0.25">
      <c r="O4940" s="21"/>
    </row>
    <row r="4941" spans="15:15" x14ac:dyDescent="0.25">
      <c r="O4941" s="21"/>
    </row>
    <row r="4942" spans="15:15" x14ac:dyDescent="0.25">
      <c r="O4942" s="21"/>
    </row>
    <row r="4943" spans="15:15" x14ac:dyDescent="0.25">
      <c r="O4943" s="21"/>
    </row>
    <row r="4944" spans="15:15" x14ac:dyDescent="0.25">
      <c r="O4944" s="21"/>
    </row>
    <row r="4945" spans="15:15" x14ac:dyDescent="0.25">
      <c r="O4945" s="21"/>
    </row>
    <row r="4946" spans="15:15" x14ac:dyDescent="0.25">
      <c r="O4946" s="21"/>
    </row>
    <row r="4947" spans="15:15" x14ac:dyDescent="0.25">
      <c r="O4947" s="21"/>
    </row>
    <row r="4948" spans="15:15" x14ac:dyDescent="0.25">
      <c r="O4948" s="21"/>
    </row>
    <row r="4949" spans="15:15" x14ac:dyDescent="0.25">
      <c r="O4949" s="21"/>
    </row>
    <row r="4950" spans="15:15" x14ac:dyDescent="0.25">
      <c r="O4950" s="21"/>
    </row>
    <row r="4951" spans="15:15" x14ac:dyDescent="0.25">
      <c r="O4951" s="21"/>
    </row>
    <row r="4952" spans="15:15" x14ac:dyDescent="0.25">
      <c r="O4952" s="21"/>
    </row>
    <row r="4953" spans="15:15" x14ac:dyDescent="0.25">
      <c r="O4953" s="21"/>
    </row>
    <row r="4954" spans="15:15" x14ac:dyDescent="0.25">
      <c r="O4954" s="21"/>
    </row>
    <row r="4955" spans="15:15" x14ac:dyDescent="0.25">
      <c r="O4955" s="21"/>
    </row>
    <row r="4956" spans="15:15" x14ac:dyDescent="0.25">
      <c r="O4956" s="21"/>
    </row>
    <row r="4957" spans="15:15" x14ac:dyDescent="0.25">
      <c r="O4957" s="21"/>
    </row>
    <row r="4958" spans="15:15" x14ac:dyDescent="0.25">
      <c r="O4958" s="21"/>
    </row>
    <row r="4959" spans="15:15" x14ac:dyDescent="0.25">
      <c r="O4959" s="21"/>
    </row>
    <row r="4960" spans="15:15" x14ac:dyDescent="0.25">
      <c r="O4960" s="21"/>
    </row>
    <row r="4961" spans="15:15" x14ac:dyDescent="0.25">
      <c r="O4961" s="21"/>
    </row>
    <row r="4962" spans="15:15" x14ac:dyDescent="0.25">
      <c r="O4962" s="21"/>
    </row>
    <row r="4963" spans="15:15" x14ac:dyDescent="0.25">
      <c r="O4963" s="21"/>
    </row>
    <row r="4964" spans="15:15" x14ac:dyDescent="0.25">
      <c r="O4964" s="21"/>
    </row>
    <row r="4965" spans="15:15" x14ac:dyDescent="0.25">
      <c r="O4965" s="21"/>
    </row>
    <row r="4966" spans="15:15" x14ac:dyDescent="0.25">
      <c r="O4966" s="21"/>
    </row>
    <row r="4967" spans="15:15" x14ac:dyDescent="0.25">
      <c r="O4967" s="21"/>
    </row>
    <row r="4968" spans="15:15" x14ac:dyDescent="0.25">
      <c r="O4968" s="21"/>
    </row>
    <row r="4969" spans="15:15" x14ac:dyDescent="0.25">
      <c r="O4969" s="21"/>
    </row>
    <row r="4970" spans="15:15" x14ac:dyDescent="0.25">
      <c r="O4970" s="21"/>
    </row>
    <row r="4971" spans="15:15" x14ac:dyDescent="0.25">
      <c r="O4971" s="21"/>
    </row>
    <row r="4972" spans="15:15" x14ac:dyDescent="0.25">
      <c r="O4972" s="21"/>
    </row>
    <row r="4973" spans="15:15" x14ac:dyDescent="0.25">
      <c r="O4973" s="21"/>
    </row>
    <row r="4974" spans="15:15" x14ac:dyDescent="0.25">
      <c r="O4974" s="21"/>
    </row>
    <row r="4975" spans="15:15" x14ac:dyDescent="0.25">
      <c r="O4975" s="21"/>
    </row>
    <row r="4976" spans="15:15" x14ac:dyDescent="0.25">
      <c r="O4976" s="21"/>
    </row>
    <row r="4977" spans="15:15" x14ac:dyDescent="0.25">
      <c r="O4977" s="21"/>
    </row>
    <row r="4978" spans="15:15" x14ac:dyDescent="0.25">
      <c r="O4978" s="21"/>
    </row>
    <row r="4979" spans="15:15" x14ac:dyDescent="0.25">
      <c r="O4979" s="21"/>
    </row>
    <row r="4980" spans="15:15" x14ac:dyDescent="0.25">
      <c r="O4980" s="21"/>
    </row>
    <row r="4981" spans="15:15" x14ac:dyDescent="0.25">
      <c r="O4981" s="21"/>
    </row>
    <row r="4982" spans="15:15" x14ac:dyDescent="0.25">
      <c r="O4982" s="21"/>
    </row>
    <row r="4983" spans="15:15" x14ac:dyDescent="0.25">
      <c r="O4983" s="21"/>
    </row>
    <row r="4984" spans="15:15" x14ac:dyDescent="0.25">
      <c r="O4984" s="21"/>
    </row>
    <row r="4985" spans="15:15" x14ac:dyDescent="0.25">
      <c r="O4985" s="21"/>
    </row>
    <row r="4986" spans="15:15" x14ac:dyDescent="0.25">
      <c r="O4986" s="21"/>
    </row>
    <row r="4987" spans="15:15" x14ac:dyDescent="0.25">
      <c r="O4987" s="21"/>
    </row>
    <row r="4988" spans="15:15" x14ac:dyDescent="0.25">
      <c r="O4988" s="21"/>
    </row>
    <row r="4989" spans="15:15" x14ac:dyDescent="0.25">
      <c r="O4989" s="21"/>
    </row>
    <row r="4990" spans="15:15" x14ac:dyDescent="0.25">
      <c r="O4990" s="21"/>
    </row>
    <row r="4991" spans="15:15" x14ac:dyDescent="0.25">
      <c r="O4991" s="21"/>
    </row>
    <row r="4992" spans="15:15" x14ac:dyDescent="0.25">
      <c r="O4992" s="21"/>
    </row>
    <row r="4993" spans="15:15" x14ac:dyDescent="0.25">
      <c r="O4993" s="21"/>
    </row>
    <row r="4994" spans="15:15" x14ac:dyDescent="0.25">
      <c r="O4994" s="21"/>
    </row>
    <row r="4995" spans="15:15" x14ac:dyDescent="0.25">
      <c r="O4995" s="21"/>
    </row>
    <row r="4996" spans="15:15" x14ac:dyDescent="0.25">
      <c r="O4996" s="21"/>
    </row>
    <row r="4997" spans="15:15" x14ac:dyDescent="0.25">
      <c r="O4997" s="21"/>
    </row>
    <row r="4998" spans="15:15" x14ac:dyDescent="0.25">
      <c r="O4998" s="21"/>
    </row>
    <row r="4999" spans="15:15" x14ac:dyDescent="0.25">
      <c r="O4999" s="21"/>
    </row>
    <row r="5000" spans="15:15" x14ac:dyDescent="0.25">
      <c r="O5000" s="21"/>
    </row>
    <row r="5001" spans="15:15" x14ac:dyDescent="0.25">
      <c r="O5001" s="21"/>
    </row>
    <row r="5002" spans="15:15" x14ac:dyDescent="0.25">
      <c r="O5002" s="21"/>
    </row>
    <row r="5003" spans="15:15" x14ac:dyDescent="0.25">
      <c r="O5003" s="21"/>
    </row>
    <row r="5004" spans="15:15" x14ac:dyDescent="0.25">
      <c r="O5004" s="21"/>
    </row>
    <row r="5005" spans="15:15" x14ac:dyDescent="0.25">
      <c r="O5005" s="21"/>
    </row>
    <row r="5006" spans="15:15" x14ac:dyDescent="0.25">
      <c r="O5006" s="21"/>
    </row>
    <row r="5007" spans="15:15" x14ac:dyDescent="0.25">
      <c r="O5007" s="21"/>
    </row>
    <row r="5008" spans="15:15" x14ac:dyDescent="0.25">
      <c r="O5008" s="21"/>
    </row>
    <row r="5009" spans="15:15" x14ac:dyDescent="0.25">
      <c r="O5009" s="21"/>
    </row>
    <row r="5010" spans="15:15" x14ac:dyDescent="0.25">
      <c r="O5010" s="21"/>
    </row>
    <row r="5011" spans="15:15" x14ac:dyDescent="0.25">
      <c r="O5011" s="21"/>
    </row>
    <row r="5012" spans="15:15" x14ac:dyDescent="0.25">
      <c r="O5012" s="21"/>
    </row>
    <row r="5013" spans="15:15" x14ac:dyDescent="0.25">
      <c r="O5013" s="21"/>
    </row>
    <row r="5014" spans="15:15" x14ac:dyDescent="0.25">
      <c r="O5014" s="21"/>
    </row>
    <row r="5015" spans="15:15" x14ac:dyDescent="0.25">
      <c r="O5015" s="21"/>
    </row>
    <row r="5016" spans="15:15" x14ac:dyDescent="0.25">
      <c r="O5016" s="21"/>
    </row>
    <row r="5017" spans="15:15" x14ac:dyDescent="0.25">
      <c r="O5017" s="21"/>
    </row>
    <row r="5018" spans="15:15" x14ac:dyDescent="0.25">
      <c r="O5018" s="21"/>
    </row>
    <row r="5019" spans="15:15" x14ac:dyDescent="0.25">
      <c r="O5019" s="21"/>
    </row>
    <row r="5020" spans="15:15" x14ac:dyDescent="0.25">
      <c r="O5020" s="21"/>
    </row>
    <row r="5021" spans="15:15" x14ac:dyDescent="0.25">
      <c r="O5021" s="21"/>
    </row>
    <row r="5022" spans="15:15" x14ac:dyDescent="0.25">
      <c r="O5022" s="21"/>
    </row>
    <row r="5023" spans="15:15" x14ac:dyDescent="0.25">
      <c r="O5023" s="21"/>
    </row>
    <row r="5024" spans="15:15" x14ac:dyDescent="0.25">
      <c r="O5024" s="21"/>
    </row>
    <row r="5025" spans="15:15" x14ac:dyDescent="0.25">
      <c r="O5025" s="21"/>
    </row>
    <row r="5026" spans="15:15" x14ac:dyDescent="0.25">
      <c r="O5026" s="21"/>
    </row>
    <row r="5027" spans="15:15" x14ac:dyDescent="0.25">
      <c r="O5027" s="21"/>
    </row>
    <row r="5028" spans="15:15" x14ac:dyDescent="0.25">
      <c r="O5028" s="21"/>
    </row>
    <row r="5029" spans="15:15" x14ac:dyDescent="0.25">
      <c r="O5029" s="21"/>
    </row>
    <row r="5030" spans="15:15" x14ac:dyDescent="0.25">
      <c r="O5030" s="21"/>
    </row>
    <row r="5031" spans="15:15" x14ac:dyDescent="0.25">
      <c r="O5031" s="21"/>
    </row>
    <row r="5032" spans="15:15" x14ac:dyDescent="0.25">
      <c r="O5032" s="21"/>
    </row>
    <row r="5033" spans="15:15" x14ac:dyDescent="0.25">
      <c r="O5033" s="21"/>
    </row>
    <row r="5034" spans="15:15" x14ac:dyDescent="0.25">
      <c r="O5034" s="21"/>
    </row>
    <row r="5035" spans="15:15" x14ac:dyDescent="0.25">
      <c r="O5035" s="21"/>
    </row>
    <row r="5036" spans="15:15" x14ac:dyDescent="0.25">
      <c r="O5036" s="21"/>
    </row>
    <row r="5037" spans="15:15" x14ac:dyDescent="0.25">
      <c r="O5037" s="21"/>
    </row>
    <row r="5038" spans="15:15" x14ac:dyDescent="0.25">
      <c r="O5038" s="21"/>
    </row>
    <row r="5039" spans="15:15" x14ac:dyDescent="0.25">
      <c r="O5039" s="21"/>
    </row>
    <row r="5040" spans="15:15" x14ac:dyDescent="0.25">
      <c r="O5040" s="21"/>
    </row>
    <row r="5041" spans="15:15" x14ac:dyDescent="0.25">
      <c r="O5041" s="21"/>
    </row>
    <row r="5042" spans="15:15" x14ac:dyDescent="0.25">
      <c r="O5042" s="21"/>
    </row>
    <row r="5043" spans="15:15" x14ac:dyDescent="0.25">
      <c r="O5043" s="21"/>
    </row>
    <row r="5044" spans="15:15" x14ac:dyDescent="0.25">
      <c r="O5044" s="21"/>
    </row>
    <row r="5045" spans="15:15" x14ac:dyDescent="0.25">
      <c r="O5045" s="21"/>
    </row>
    <row r="5046" spans="15:15" x14ac:dyDescent="0.25">
      <c r="O5046" s="21"/>
    </row>
    <row r="5047" spans="15:15" x14ac:dyDescent="0.25">
      <c r="O5047" s="21"/>
    </row>
    <row r="5048" spans="15:15" x14ac:dyDescent="0.25">
      <c r="O5048" s="21"/>
    </row>
    <row r="5049" spans="15:15" x14ac:dyDescent="0.25">
      <c r="O5049" s="21"/>
    </row>
    <row r="5050" spans="15:15" x14ac:dyDescent="0.25">
      <c r="O5050" s="21"/>
    </row>
    <row r="5051" spans="15:15" x14ac:dyDescent="0.25">
      <c r="O5051" s="21"/>
    </row>
    <row r="5052" spans="15:15" x14ac:dyDescent="0.25">
      <c r="O5052" s="21"/>
    </row>
    <row r="5053" spans="15:15" x14ac:dyDescent="0.25">
      <c r="O5053" s="21"/>
    </row>
    <row r="5054" spans="15:15" x14ac:dyDescent="0.25">
      <c r="O5054" s="21"/>
    </row>
    <row r="5055" spans="15:15" x14ac:dyDescent="0.25">
      <c r="O5055" s="21"/>
    </row>
    <row r="5056" spans="15:15" x14ac:dyDescent="0.25">
      <c r="O5056" s="21"/>
    </row>
    <row r="5057" spans="15:15" x14ac:dyDescent="0.25">
      <c r="O5057" s="21"/>
    </row>
    <row r="5058" spans="15:15" x14ac:dyDescent="0.25">
      <c r="O5058" s="21"/>
    </row>
    <row r="5059" spans="15:15" x14ac:dyDescent="0.25">
      <c r="O5059" s="21"/>
    </row>
    <row r="5060" spans="15:15" x14ac:dyDescent="0.25">
      <c r="O5060" s="21"/>
    </row>
    <row r="5061" spans="15:15" x14ac:dyDescent="0.25">
      <c r="O5061" s="21"/>
    </row>
    <row r="5062" spans="15:15" x14ac:dyDescent="0.25">
      <c r="O5062" s="21"/>
    </row>
    <row r="5063" spans="15:15" x14ac:dyDescent="0.25">
      <c r="O5063" s="21"/>
    </row>
    <row r="5064" spans="15:15" x14ac:dyDescent="0.25">
      <c r="O5064" s="21"/>
    </row>
    <row r="5065" spans="15:15" x14ac:dyDescent="0.25">
      <c r="O5065" s="21"/>
    </row>
    <row r="5066" spans="15:15" x14ac:dyDescent="0.25">
      <c r="O5066" s="21"/>
    </row>
    <row r="5067" spans="15:15" x14ac:dyDescent="0.25">
      <c r="O5067" s="21"/>
    </row>
    <row r="5068" spans="15:15" x14ac:dyDescent="0.25">
      <c r="O5068" s="21"/>
    </row>
    <row r="5069" spans="15:15" x14ac:dyDescent="0.25">
      <c r="O5069" s="21"/>
    </row>
    <row r="5070" spans="15:15" x14ac:dyDescent="0.25">
      <c r="O5070" s="21"/>
    </row>
    <row r="5071" spans="15:15" x14ac:dyDescent="0.25">
      <c r="O5071" s="21"/>
    </row>
    <row r="5072" spans="15:15" x14ac:dyDescent="0.25">
      <c r="O5072" s="21"/>
    </row>
    <row r="5073" spans="15:15" x14ac:dyDescent="0.25">
      <c r="O5073" s="21"/>
    </row>
    <row r="5074" spans="15:15" x14ac:dyDescent="0.25">
      <c r="O5074" s="21"/>
    </row>
    <row r="5075" spans="15:15" x14ac:dyDescent="0.25">
      <c r="O5075" s="21"/>
    </row>
    <row r="5076" spans="15:15" x14ac:dyDescent="0.25">
      <c r="O5076" s="21"/>
    </row>
    <row r="5077" spans="15:15" x14ac:dyDescent="0.25">
      <c r="O5077" s="21"/>
    </row>
    <row r="5078" spans="15:15" x14ac:dyDescent="0.25">
      <c r="O5078" s="21"/>
    </row>
    <row r="5079" spans="15:15" x14ac:dyDescent="0.25">
      <c r="O5079" s="21"/>
    </row>
    <row r="5080" spans="15:15" x14ac:dyDescent="0.25">
      <c r="O5080" s="21"/>
    </row>
    <row r="5081" spans="15:15" x14ac:dyDescent="0.25">
      <c r="O5081" s="21"/>
    </row>
    <row r="5082" spans="15:15" x14ac:dyDescent="0.25">
      <c r="O5082" s="21"/>
    </row>
    <row r="5083" spans="15:15" x14ac:dyDescent="0.25">
      <c r="O5083" s="21"/>
    </row>
    <row r="5084" spans="15:15" x14ac:dyDescent="0.25">
      <c r="O5084" s="21"/>
    </row>
    <row r="5085" spans="15:15" x14ac:dyDescent="0.25">
      <c r="O5085" s="21"/>
    </row>
    <row r="5086" spans="15:15" x14ac:dyDescent="0.25">
      <c r="O5086" s="21"/>
    </row>
    <row r="5087" spans="15:15" x14ac:dyDescent="0.25">
      <c r="O5087" s="21"/>
    </row>
    <row r="5088" spans="15:15" x14ac:dyDescent="0.25">
      <c r="O5088" s="21"/>
    </row>
    <row r="5089" spans="15:15" x14ac:dyDescent="0.25">
      <c r="O5089" s="21"/>
    </row>
    <row r="5090" spans="15:15" x14ac:dyDescent="0.25">
      <c r="O5090" s="21"/>
    </row>
    <row r="5091" spans="15:15" x14ac:dyDescent="0.25">
      <c r="O5091" s="21"/>
    </row>
    <row r="5092" spans="15:15" x14ac:dyDescent="0.25">
      <c r="O5092" s="21"/>
    </row>
    <row r="5093" spans="15:15" x14ac:dyDescent="0.25">
      <c r="O5093" s="21"/>
    </row>
    <row r="5094" spans="15:15" x14ac:dyDescent="0.25">
      <c r="O5094" s="21"/>
    </row>
    <row r="5095" spans="15:15" x14ac:dyDescent="0.25">
      <c r="O5095" s="21"/>
    </row>
    <row r="5096" spans="15:15" x14ac:dyDescent="0.25">
      <c r="O5096" s="21"/>
    </row>
    <row r="5097" spans="15:15" x14ac:dyDescent="0.25">
      <c r="O5097" s="21"/>
    </row>
    <row r="5098" spans="15:15" x14ac:dyDescent="0.25">
      <c r="O5098" s="21"/>
    </row>
    <row r="5099" spans="15:15" x14ac:dyDescent="0.25">
      <c r="O5099" s="21"/>
    </row>
    <row r="5100" spans="15:15" x14ac:dyDescent="0.25">
      <c r="O5100" s="21"/>
    </row>
    <row r="5101" spans="15:15" x14ac:dyDescent="0.25">
      <c r="O5101" s="21"/>
    </row>
    <row r="5102" spans="15:15" x14ac:dyDescent="0.25">
      <c r="O5102" s="21"/>
    </row>
    <row r="5103" spans="15:15" x14ac:dyDescent="0.25">
      <c r="O5103" s="21"/>
    </row>
    <row r="5104" spans="15:15" x14ac:dyDescent="0.25">
      <c r="O5104" s="21"/>
    </row>
    <row r="5105" spans="15:15" x14ac:dyDescent="0.25">
      <c r="O5105" s="21"/>
    </row>
    <row r="5106" spans="15:15" x14ac:dyDescent="0.25">
      <c r="O5106" s="21"/>
    </row>
    <row r="5107" spans="15:15" x14ac:dyDescent="0.25">
      <c r="O5107" s="21"/>
    </row>
    <row r="5108" spans="15:15" x14ac:dyDescent="0.25">
      <c r="O5108" s="21"/>
    </row>
    <row r="5109" spans="15:15" x14ac:dyDescent="0.25">
      <c r="O5109" s="21"/>
    </row>
    <row r="5110" spans="15:15" x14ac:dyDescent="0.25">
      <c r="O5110" s="21"/>
    </row>
    <row r="5111" spans="15:15" x14ac:dyDescent="0.25">
      <c r="O5111" s="21"/>
    </row>
    <row r="5112" spans="15:15" x14ac:dyDescent="0.25">
      <c r="O5112" s="21"/>
    </row>
    <row r="5113" spans="15:15" x14ac:dyDescent="0.25">
      <c r="O5113" s="21"/>
    </row>
    <row r="5114" spans="15:15" x14ac:dyDescent="0.25">
      <c r="O5114" s="21"/>
    </row>
    <row r="5115" spans="15:15" x14ac:dyDescent="0.25">
      <c r="O5115" s="21"/>
    </row>
    <row r="5116" spans="15:15" x14ac:dyDescent="0.25">
      <c r="O5116" s="21"/>
    </row>
    <row r="5117" spans="15:15" x14ac:dyDescent="0.25">
      <c r="O5117" s="21"/>
    </row>
    <row r="5118" spans="15:15" x14ac:dyDescent="0.25">
      <c r="O5118" s="21"/>
    </row>
    <row r="5119" spans="15:15" x14ac:dyDescent="0.25">
      <c r="O5119" s="21"/>
    </row>
    <row r="5120" spans="15:15" x14ac:dyDescent="0.25">
      <c r="O5120" s="21"/>
    </row>
    <row r="5121" spans="15:15" x14ac:dyDescent="0.25">
      <c r="O5121" s="21"/>
    </row>
    <row r="5122" spans="15:15" x14ac:dyDescent="0.25">
      <c r="O5122" s="21"/>
    </row>
    <row r="5123" spans="15:15" x14ac:dyDescent="0.25">
      <c r="O5123" s="21"/>
    </row>
    <row r="5124" spans="15:15" x14ac:dyDescent="0.25">
      <c r="O5124" s="21"/>
    </row>
    <row r="5125" spans="15:15" x14ac:dyDescent="0.25">
      <c r="O5125" s="21"/>
    </row>
    <row r="5126" spans="15:15" x14ac:dyDescent="0.25">
      <c r="O5126" s="21"/>
    </row>
    <row r="5127" spans="15:15" x14ac:dyDescent="0.25">
      <c r="O5127" s="21"/>
    </row>
    <row r="5128" spans="15:15" x14ac:dyDescent="0.25">
      <c r="O5128" s="21"/>
    </row>
    <row r="5129" spans="15:15" x14ac:dyDescent="0.25">
      <c r="O5129" s="21"/>
    </row>
    <row r="5130" spans="15:15" x14ac:dyDescent="0.25">
      <c r="O5130" s="21"/>
    </row>
    <row r="5131" spans="15:15" x14ac:dyDescent="0.25">
      <c r="O5131" s="21"/>
    </row>
    <row r="5132" spans="15:15" x14ac:dyDescent="0.25">
      <c r="O5132" s="21"/>
    </row>
    <row r="5133" spans="15:15" x14ac:dyDescent="0.25">
      <c r="O5133" s="21"/>
    </row>
    <row r="5134" spans="15:15" x14ac:dyDescent="0.25">
      <c r="O5134" s="21"/>
    </row>
    <row r="5135" spans="15:15" x14ac:dyDescent="0.25">
      <c r="O5135" s="21"/>
    </row>
    <row r="5136" spans="15:15" x14ac:dyDescent="0.25">
      <c r="O5136" s="21"/>
    </row>
    <row r="5137" spans="15:15" x14ac:dyDescent="0.25">
      <c r="O5137" s="21"/>
    </row>
    <row r="5138" spans="15:15" x14ac:dyDescent="0.25">
      <c r="O5138" s="21"/>
    </row>
    <row r="5139" spans="15:15" x14ac:dyDescent="0.25">
      <c r="O5139" s="21"/>
    </row>
    <row r="5140" spans="15:15" x14ac:dyDescent="0.25">
      <c r="O5140" s="21"/>
    </row>
    <row r="5141" spans="15:15" x14ac:dyDescent="0.25">
      <c r="O5141" s="21"/>
    </row>
    <row r="5142" spans="15:15" x14ac:dyDescent="0.25">
      <c r="O5142" s="21"/>
    </row>
    <row r="5143" spans="15:15" x14ac:dyDescent="0.25">
      <c r="O5143" s="21"/>
    </row>
    <row r="5144" spans="15:15" x14ac:dyDescent="0.25">
      <c r="O5144" s="21"/>
    </row>
    <row r="5145" spans="15:15" x14ac:dyDescent="0.25">
      <c r="O5145" s="21"/>
    </row>
    <row r="5146" spans="15:15" x14ac:dyDescent="0.25">
      <c r="O5146" s="21"/>
    </row>
    <row r="5147" spans="15:15" x14ac:dyDescent="0.25">
      <c r="O5147" s="21"/>
    </row>
    <row r="5148" spans="15:15" x14ac:dyDescent="0.25">
      <c r="O5148" s="21"/>
    </row>
    <row r="5149" spans="15:15" x14ac:dyDescent="0.25">
      <c r="O5149" s="21"/>
    </row>
    <row r="5150" spans="15:15" x14ac:dyDescent="0.25">
      <c r="O5150" s="21"/>
    </row>
    <row r="5151" spans="15:15" x14ac:dyDescent="0.25">
      <c r="O5151" s="21"/>
    </row>
    <row r="5152" spans="15:15" x14ac:dyDescent="0.25">
      <c r="O5152" s="21"/>
    </row>
    <row r="5153" spans="15:15" x14ac:dyDescent="0.25">
      <c r="O5153" s="21"/>
    </row>
    <row r="5154" spans="15:15" x14ac:dyDescent="0.25">
      <c r="O5154" s="21"/>
    </row>
    <row r="5155" spans="15:15" x14ac:dyDescent="0.25">
      <c r="O5155" s="21"/>
    </row>
    <row r="5156" spans="15:15" x14ac:dyDescent="0.25">
      <c r="O5156" s="21"/>
    </row>
    <row r="5157" spans="15:15" x14ac:dyDescent="0.25">
      <c r="O5157" s="21"/>
    </row>
    <row r="5158" spans="15:15" x14ac:dyDescent="0.25">
      <c r="O5158" s="21"/>
    </row>
    <row r="5159" spans="15:15" x14ac:dyDescent="0.25">
      <c r="O5159" s="21"/>
    </row>
    <row r="5160" spans="15:15" x14ac:dyDescent="0.25">
      <c r="O5160" s="21"/>
    </row>
    <row r="5161" spans="15:15" x14ac:dyDescent="0.25">
      <c r="O5161" s="21"/>
    </row>
    <row r="5162" spans="15:15" x14ac:dyDescent="0.25">
      <c r="O5162" s="21"/>
    </row>
    <row r="5163" spans="15:15" x14ac:dyDescent="0.25">
      <c r="O5163" s="21"/>
    </row>
    <row r="5164" spans="15:15" x14ac:dyDescent="0.25">
      <c r="O5164" s="21"/>
    </row>
    <row r="5165" spans="15:15" x14ac:dyDescent="0.25">
      <c r="O5165" s="21"/>
    </row>
    <row r="5166" spans="15:15" x14ac:dyDescent="0.25">
      <c r="O5166" s="21"/>
    </row>
    <row r="5167" spans="15:15" x14ac:dyDescent="0.25">
      <c r="O5167" s="21"/>
    </row>
    <row r="5168" spans="15:15" x14ac:dyDescent="0.25">
      <c r="O5168" s="21"/>
    </row>
    <row r="5169" spans="15:15" x14ac:dyDescent="0.25">
      <c r="O5169" s="21"/>
    </row>
    <row r="5170" spans="15:15" x14ac:dyDescent="0.25">
      <c r="O5170" s="21"/>
    </row>
    <row r="5171" spans="15:15" x14ac:dyDescent="0.25">
      <c r="O5171" s="21"/>
    </row>
    <row r="5172" spans="15:15" x14ac:dyDescent="0.25">
      <c r="O5172" s="21"/>
    </row>
    <row r="5173" spans="15:15" x14ac:dyDescent="0.25">
      <c r="O5173" s="21"/>
    </row>
    <row r="5174" spans="15:15" x14ac:dyDescent="0.25">
      <c r="O5174" s="21"/>
    </row>
    <row r="5175" spans="15:15" x14ac:dyDescent="0.25">
      <c r="O5175" s="21"/>
    </row>
    <row r="5176" spans="15:15" x14ac:dyDescent="0.25">
      <c r="O5176" s="21"/>
    </row>
    <row r="5177" spans="15:15" x14ac:dyDescent="0.25">
      <c r="O5177" s="21"/>
    </row>
    <row r="5178" spans="15:15" x14ac:dyDescent="0.25">
      <c r="O5178" s="21"/>
    </row>
    <row r="5179" spans="15:15" x14ac:dyDescent="0.25">
      <c r="O5179" s="21"/>
    </row>
    <row r="5180" spans="15:15" x14ac:dyDescent="0.25">
      <c r="O5180" s="21"/>
    </row>
    <row r="5181" spans="15:15" x14ac:dyDescent="0.25">
      <c r="O5181" s="21"/>
    </row>
    <row r="5182" spans="15:15" x14ac:dyDescent="0.25">
      <c r="O5182" s="21"/>
    </row>
    <row r="5183" spans="15:15" x14ac:dyDescent="0.25">
      <c r="O5183" s="21"/>
    </row>
    <row r="5184" spans="15:15" x14ac:dyDescent="0.25">
      <c r="O5184" s="21"/>
    </row>
    <row r="5185" spans="15:15" x14ac:dyDescent="0.25">
      <c r="O5185" s="21"/>
    </row>
    <row r="5186" spans="15:15" x14ac:dyDescent="0.25">
      <c r="O5186" s="21"/>
    </row>
    <row r="5187" spans="15:15" x14ac:dyDescent="0.25">
      <c r="O5187" s="21"/>
    </row>
    <row r="5188" spans="15:15" x14ac:dyDescent="0.25">
      <c r="O5188" s="21"/>
    </row>
    <row r="5189" spans="15:15" x14ac:dyDescent="0.25">
      <c r="O5189" s="21"/>
    </row>
    <row r="5190" spans="15:15" x14ac:dyDescent="0.25">
      <c r="O5190" s="21"/>
    </row>
    <row r="5191" spans="15:15" x14ac:dyDescent="0.25">
      <c r="O5191" s="21"/>
    </row>
    <row r="5192" spans="15:15" x14ac:dyDescent="0.25">
      <c r="O5192" s="21"/>
    </row>
    <row r="5193" spans="15:15" x14ac:dyDescent="0.25">
      <c r="O5193" s="21"/>
    </row>
    <row r="5194" spans="15:15" x14ac:dyDescent="0.25">
      <c r="O5194" s="21"/>
    </row>
    <row r="5195" spans="15:15" x14ac:dyDescent="0.25">
      <c r="O5195" s="21"/>
    </row>
    <row r="5196" spans="15:15" x14ac:dyDescent="0.25">
      <c r="O5196" s="21"/>
    </row>
    <row r="5197" spans="15:15" x14ac:dyDescent="0.25">
      <c r="O5197" s="21"/>
    </row>
    <row r="5198" spans="15:15" x14ac:dyDescent="0.25">
      <c r="O5198" s="21"/>
    </row>
    <row r="5199" spans="15:15" x14ac:dyDescent="0.25">
      <c r="O5199" s="21"/>
    </row>
    <row r="5200" spans="15:15" x14ac:dyDescent="0.25">
      <c r="O5200" s="21"/>
    </row>
    <row r="5201" spans="15:15" x14ac:dyDescent="0.25">
      <c r="O5201" s="21"/>
    </row>
    <row r="5202" spans="15:15" x14ac:dyDescent="0.25">
      <c r="O5202" s="21"/>
    </row>
    <row r="5203" spans="15:15" x14ac:dyDescent="0.25">
      <c r="O5203" s="21"/>
    </row>
    <row r="5204" spans="15:15" x14ac:dyDescent="0.25">
      <c r="O5204" s="21"/>
    </row>
    <row r="5205" spans="15:15" x14ac:dyDescent="0.25">
      <c r="O5205" s="21"/>
    </row>
    <row r="5206" spans="15:15" x14ac:dyDescent="0.25">
      <c r="O5206" s="21"/>
    </row>
    <row r="5207" spans="15:15" x14ac:dyDescent="0.25">
      <c r="O5207" s="21"/>
    </row>
    <row r="5208" spans="15:15" x14ac:dyDescent="0.25">
      <c r="O5208" s="21"/>
    </row>
    <row r="5209" spans="15:15" x14ac:dyDescent="0.25">
      <c r="O5209" s="21"/>
    </row>
    <row r="5210" spans="15:15" x14ac:dyDescent="0.25">
      <c r="O5210" s="21"/>
    </row>
    <row r="5211" spans="15:15" x14ac:dyDescent="0.25">
      <c r="O5211" s="21"/>
    </row>
    <row r="5212" spans="15:15" x14ac:dyDescent="0.25">
      <c r="O5212" s="21"/>
    </row>
    <row r="5213" spans="15:15" x14ac:dyDescent="0.25">
      <c r="O5213" s="21"/>
    </row>
    <row r="5214" spans="15:15" x14ac:dyDescent="0.25">
      <c r="O5214" s="21"/>
    </row>
    <row r="5215" spans="15:15" x14ac:dyDescent="0.25">
      <c r="O5215" s="21"/>
    </row>
    <row r="5216" spans="15:15" x14ac:dyDescent="0.25">
      <c r="O5216" s="21"/>
    </row>
    <row r="5217" spans="15:15" x14ac:dyDescent="0.25">
      <c r="O5217" s="21"/>
    </row>
    <row r="5218" spans="15:15" x14ac:dyDescent="0.25">
      <c r="O5218" s="21"/>
    </row>
    <row r="5219" spans="15:15" x14ac:dyDescent="0.25">
      <c r="O5219" s="21"/>
    </row>
    <row r="5220" spans="15:15" x14ac:dyDescent="0.25">
      <c r="O5220" s="21"/>
    </row>
    <row r="5221" spans="15:15" x14ac:dyDescent="0.25">
      <c r="O5221" s="21"/>
    </row>
    <row r="5222" spans="15:15" x14ac:dyDescent="0.25">
      <c r="O5222" s="21"/>
    </row>
    <row r="5223" spans="15:15" x14ac:dyDescent="0.25">
      <c r="O5223" s="21"/>
    </row>
    <row r="5224" spans="15:15" x14ac:dyDescent="0.25">
      <c r="O5224" s="21"/>
    </row>
    <row r="5225" spans="15:15" x14ac:dyDescent="0.25">
      <c r="O5225" s="21"/>
    </row>
    <row r="5226" spans="15:15" x14ac:dyDescent="0.25">
      <c r="O5226" s="21"/>
    </row>
    <row r="5227" spans="15:15" x14ac:dyDescent="0.25">
      <c r="O5227" s="21"/>
    </row>
    <row r="5228" spans="15:15" x14ac:dyDescent="0.25">
      <c r="O5228" s="21"/>
    </row>
    <row r="5229" spans="15:15" x14ac:dyDescent="0.25">
      <c r="O5229" s="21"/>
    </row>
    <row r="5230" spans="15:15" x14ac:dyDescent="0.25">
      <c r="O5230" s="21"/>
    </row>
    <row r="5231" spans="15:15" x14ac:dyDescent="0.25">
      <c r="O5231" s="21"/>
    </row>
    <row r="5232" spans="15:15" x14ac:dyDescent="0.25">
      <c r="O5232" s="21"/>
    </row>
    <row r="5233" spans="15:15" x14ac:dyDescent="0.25">
      <c r="O5233" s="21"/>
    </row>
    <row r="5234" spans="15:15" x14ac:dyDescent="0.25">
      <c r="O5234" s="21"/>
    </row>
    <row r="5235" spans="15:15" x14ac:dyDescent="0.25">
      <c r="O5235" s="21"/>
    </row>
    <row r="5236" spans="15:15" x14ac:dyDescent="0.25">
      <c r="O5236" s="21"/>
    </row>
    <row r="5237" spans="15:15" x14ac:dyDescent="0.25">
      <c r="O5237" s="21"/>
    </row>
    <row r="5238" spans="15:15" x14ac:dyDescent="0.25">
      <c r="O5238" s="21"/>
    </row>
    <row r="5239" spans="15:15" x14ac:dyDescent="0.25">
      <c r="O5239" s="21"/>
    </row>
    <row r="5240" spans="15:15" x14ac:dyDescent="0.25">
      <c r="O5240" s="21"/>
    </row>
    <row r="5241" spans="15:15" x14ac:dyDescent="0.25">
      <c r="O5241" s="21"/>
    </row>
    <row r="5242" spans="15:15" x14ac:dyDescent="0.25">
      <c r="O5242" s="21"/>
    </row>
    <row r="5243" spans="15:15" x14ac:dyDescent="0.25">
      <c r="O5243" s="21"/>
    </row>
    <row r="5244" spans="15:15" x14ac:dyDescent="0.25">
      <c r="O5244" s="21"/>
    </row>
    <row r="5245" spans="15:15" x14ac:dyDescent="0.25">
      <c r="O5245" s="21"/>
    </row>
    <row r="5246" spans="15:15" x14ac:dyDescent="0.25">
      <c r="O5246" s="21"/>
    </row>
    <row r="5247" spans="15:15" x14ac:dyDescent="0.25">
      <c r="O5247" s="21"/>
    </row>
    <row r="5248" spans="15:15" x14ac:dyDescent="0.25">
      <c r="O5248" s="21"/>
    </row>
    <row r="5249" spans="15:15" x14ac:dyDescent="0.25">
      <c r="O5249" s="21"/>
    </row>
    <row r="5250" spans="15:15" x14ac:dyDescent="0.25">
      <c r="O5250" s="21"/>
    </row>
    <row r="5251" spans="15:15" x14ac:dyDescent="0.25">
      <c r="O5251" s="21"/>
    </row>
    <row r="5252" spans="15:15" x14ac:dyDescent="0.25">
      <c r="O5252" s="21"/>
    </row>
    <row r="5253" spans="15:15" x14ac:dyDescent="0.25">
      <c r="O5253" s="21"/>
    </row>
    <row r="5254" spans="15:15" x14ac:dyDescent="0.25">
      <c r="O5254" s="21"/>
    </row>
    <row r="5255" spans="15:15" x14ac:dyDescent="0.25">
      <c r="O5255" s="21"/>
    </row>
    <row r="5256" spans="15:15" x14ac:dyDescent="0.25">
      <c r="O5256" s="21"/>
    </row>
    <row r="5257" spans="15:15" x14ac:dyDescent="0.25">
      <c r="O5257" s="21"/>
    </row>
    <row r="5258" spans="15:15" x14ac:dyDescent="0.25">
      <c r="O5258" s="21"/>
    </row>
    <row r="5259" spans="15:15" x14ac:dyDescent="0.25">
      <c r="O5259" s="21"/>
    </row>
    <row r="5260" spans="15:15" x14ac:dyDescent="0.25">
      <c r="O5260" s="21"/>
    </row>
    <row r="5261" spans="15:15" x14ac:dyDescent="0.25">
      <c r="O5261" s="21"/>
    </row>
    <row r="5262" spans="15:15" x14ac:dyDescent="0.25">
      <c r="O5262" s="21"/>
    </row>
    <row r="5263" spans="15:15" x14ac:dyDescent="0.25">
      <c r="O5263" s="21"/>
    </row>
    <row r="5264" spans="15:15" x14ac:dyDescent="0.25">
      <c r="O5264" s="21"/>
    </row>
    <row r="5265" spans="15:15" x14ac:dyDescent="0.25">
      <c r="O5265" s="21"/>
    </row>
    <row r="5266" spans="15:15" x14ac:dyDescent="0.25">
      <c r="O5266" s="21"/>
    </row>
    <row r="5267" spans="15:15" x14ac:dyDescent="0.25">
      <c r="O5267" s="21"/>
    </row>
    <row r="5268" spans="15:15" x14ac:dyDescent="0.25">
      <c r="O5268" s="21"/>
    </row>
    <row r="5269" spans="15:15" x14ac:dyDescent="0.25">
      <c r="O5269" s="21"/>
    </row>
    <row r="5270" spans="15:15" x14ac:dyDescent="0.25">
      <c r="O5270" s="21"/>
    </row>
    <row r="5271" spans="15:15" x14ac:dyDescent="0.25">
      <c r="O5271" s="21"/>
    </row>
    <row r="5272" spans="15:15" x14ac:dyDescent="0.25">
      <c r="O5272" s="21"/>
    </row>
    <row r="5273" spans="15:15" x14ac:dyDescent="0.25">
      <c r="O5273" s="21"/>
    </row>
    <row r="5274" spans="15:15" x14ac:dyDescent="0.25">
      <c r="O5274" s="21"/>
    </row>
    <row r="5275" spans="15:15" x14ac:dyDescent="0.25">
      <c r="O5275" s="21"/>
    </row>
    <row r="5276" spans="15:15" x14ac:dyDescent="0.25">
      <c r="O5276" s="21"/>
    </row>
    <row r="5277" spans="15:15" x14ac:dyDescent="0.25">
      <c r="O5277" s="21"/>
    </row>
    <row r="5278" spans="15:15" x14ac:dyDescent="0.25">
      <c r="O5278" s="21"/>
    </row>
    <row r="5279" spans="15:15" x14ac:dyDescent="0.25">
      <c r="O5279" s="21"/>
    </row>
    <row r="5280" spans="15:15" x14ac:dyDescent="0.25">
      <c r="O5280" s="21"/>
    </row>
    <row r="5281" spans="15:15" x14ac:dyDescent="0.25">
      <c r="O5281" s="21"/>
    </row>
    <row r="5282" spans="15:15" x14ac:dyDescent="0.25">
      <c r="O5282" s="21"/>
    </row>
    <row r="5283" spans="15:15" x14ac:dyDescent="0.25">
      <c r="O5283" s="21"/>
    </row>
    <row r="5284" spans="15:15" x14ac:dyDescent="0.25">
      <c r="O5284" s="21"/>
    </row>
    <row r="5285" spans="15:15" x14ac:dyDescent="0.25">
      <c r="O5285" s="21"/>
    </row>
    <row r="5286" spans="15:15" x14ac:dyDescent="0.25">
      <c r="O5286" s="21"/>
    </row>
    <row r="5287" spans="15:15" x14ac:dyDescent="0.25">
      <c r="O5287" s="21"/>
    </row>
    <row r="5288" spans="15:15" x14ac:dyDescent="0.25">
      <c r="O5288" s="21"/>
    </row>
    <row r="5289" spans="15:15" x14ac:dyDescent="0.25">
      <c r="O5289" s="21"/>
    </row>
    <row r="5290" spans="15:15" x14ac:dyDescent="0.25">
      <c r="O5290" s="21"/>
    </row>
    <row r="5291" spans="15:15" x14ac:dyDescent="0.25">
      <c r="O5291" s="21"/>
    </row>
    <row r="5292" spans="15:15" x14ac:dyDescent="0.25">
      <c r="O5292" s="21"/>
    </row>
    <row r="5293" spans="15:15" x14ac:dyDescent="0.25">
      <c r="O5293" s="21"/>
    </row>
    <row r="5294" spans="15:15" x14ac:dyDescent="0.25">
      <c r="O5294" s="21"/>
    </row>
    <row r="5295" spans="15:15" x14ac:dyDescent="0.25">
      <c r="O5295" s="21"/>
    </row>
    <row r="5296" spans="15:15" x14ac:dyDescent="0.25">
      <c r="O5296" s="21"/>
    </row>
    <row r="5297" spans="15:15" x14ac:dyDescent="0.25">
      <c r="O5297" s="21"/>
    </row>
    <row r="5298" spans="15:15" x14ac:dyDescent="0.25">
      <c r="O5298" s="21"/>
    </row>
    <row r="5299" spans="15:15" x14ac:dyDescent="0.25">
      <c r="O5299" s="21"/>
    </row>
    <row r="5300" spans="15:15" x14ac:dyDescent="0.25">
      <c r="O5300" s="21"/>
    </row>
    <row r="5301" spans="15:15" x14ac:dyDescent="0.25">
      <c r="O5301" s="21"/>
    </row>
    <row r="5302" spans="15:15" x14ac:dyDescent="0.25">
      <c r="O5302" s="21"/>
    </row>
    <row r="5303" spans="15:15" x14ac:dyDescent="0.25">
      <c r="O5303" s="21"/>
    </row>
    <row r="5304" spans="15:15" x14ac:dyDescent="0.25">
      <c r="O5304" s="21"/>
    </row>
    <row r="5305" spans="15:15" x14ac:dyDescent="0.25">
      <c r="O5305" s="21"/>
    </row>
    <row r="5306" spans="15:15" x14ac:dyDescent="0.25">
      <c r="O5306" s="21"/>
    </row>
    <row r="5307" spans="15:15" x14ac:dyDescent="0.25">
      <c r="O5307" s="21"/>
    </row>
    <row r="5308" spans="15:15" x14ac:dyDescent="0.25">
      <c r="O5308" s="21"/>
    </row>
    <row r="5309" spans="15:15" x14ac:dyDescent="0.25">
      <c r="O5309" s="21"/>
    </row>
    <row r="5310" spans="15:15" x14ac:dyDescent="0.25">
      <c r="O5310" s="21"/>
    </row>
    <row r="5311" spans="15:15" x14ac:dyDescent="0.25">
      <c r="O5311" s="21"/>
    </row>
    <row r="5312" spans="15:15" x14ac:dyDescent="0.25">
      <c r="O5312" s="21"/>
    </row>
    <row r="5313" spans="15:15" x14ac:dyDescent="0.25">
      <c r="O5313" s="21"/>
    </row>
    <row r="5314" spans="15:15" x14ac:dyDescent="0.25">
      <c r="O5314" s="21"/>
    </row>
    <row r="5315" spans="15:15" x14ac:dyDescent="0.25">
      <c r="O5315" s="21"/>
    </row>
    <row r="5316" spans="15:15" x14ac:dyDescent="0.25">
      <c r="O5316" s="21"/>
    </row>
    <row r="5317" spans="15:15" x14ac:dyDescent="0.25">
      <c r="O5317" s="21"/>
    </row>
    <row r="5318" spans="15:15" x14ac:dyDescent="0.25">
      <c r="O5318" s="21"/>
    </row>
    <row r="5319" spans="15:15" x14ac:dyDescent="0.25">
      <c r="O5319" s="21"/>
    </row>
    <row r="5320" spans="15:15" x14ac:dyDescent="0.25">
      <c r="O5320" s="21"/>
    </row>
    <row r="5321" spans="15:15" x14ac:dyDescent="0.25">
      <c r="O5321" s="21"/>
    </row>
    <row r="5322" spans="15:15" x14ac:dyDescent="0.25">
      <c r="O5322" s="21"/>
    </row>
    <row r="5323" spans="15:15" x14ac:dyDescent="0.25">
      <c r="O5323" s="21"/>
    </row>
    <row r="5324" spans="15:15" x14ac:dyDescent="0.25">
      <c r="O5324" s="21"/>
    </row>
    <row r="5325" spans="15:15" x14ac:dyDescent="0.25">
      <c r="O5325" s="21"/>
    </row>
    <row r="5326" spans="15:15" x14ac:dyDescent="0.25">
      <c r="O5326" s="21"/>
    </row>
    <row r="5327" spans="15:15" x14ac:dyDescent="0.25">
      <c r="O5327" s="21"/>
    </row>
    <row r="5328" spans="15:15" x14ac:dyDescent="0.25">
      <c r="O5328" s="21"/>
    </row>
    <row r="5329" spans="15:15" x14ac:dyDescent="0.25">
      <c r="O5329" s="21"/>
    </row>
    <row r="5330" spans="15:15" x14ac:dyDescent="0.25">
      <c r="O5330" s="21"/>
    </row>
    <row r="5331" spans="15:15" x14ac:dyDescent="0.25">
      <c r="O5331" s="21"/>
    </row>
    <row r="5332" spans="15:15" x14ac:dyDescent="0.25">
      <c r="O5332" s="21"/>
    </row>
    <row r="5333" spans="15:15" x14ac:dyDescent="0.25">
      <c r="O5333" s="21"/>
    </row>
    <row r="5334" spans="15:15" x14ac:dyDescent="0.25">
      <c r="O5334" s="21"/>
    </row>
    <row r="5335" spans="15:15" x14ac:dyDescent="0.25">
      <c r="O5335" s="21"/>
    </row>
    <row r="5336" spans="15:15" x14ac:dyDescent="0.25">
      <c r="O5336" s="21"/>
    </row>
    <row r="5337" spans="15:15" x14ac:dyDescent="0.25">
      <c r="O5337" s="21"/>
    </row>
    <row r="5338" spans="15:15" x14ac:dyDescent="0.25">
      <c r="O5338" s="21"/>
    </row>
    <row r="5339" spans="15:15" x14ac:dyDescent="0.25">
      <c r="O5339" s="21"/>
    </row>
    <row r="5340" spans="15:15" x14ac:dyDescent="0.25">
      <c r="O5340" s="21"/>
    </row>
    <row r="5341" spans="15:15" x14ac:dyDescent="0.25">
      <c r="O5341" s="21"/>
    </row>
    <row r="5342" spans="15:15" x14ac:dyDescent="0.25">
      <c r="O5342" s="21"/>
    </row>
    <row r="5343" spans="15:15" x14ac:dyDescent="0.25">
      <c r="O5343" s="21"/>
    </row>
    <row r="5344" spans="15:15" x14ac:dyDescent="0.25">
      <c r="O5344" s="21"/>
    </row>
    <row r="5345" spans="15:15" x14ac:dyDescent="0.25">
      <c r="O5345" s="21"/>
    </row>
    <row r="5346" spans="15:15" x14ac:dyDescent="0.25">
      <c r="O5346" s="21"/>
    </row>
    <row r="5347" spans="15:15" x14ac:dyDescent="0.25">
      <c r="O5347" s="21"/>
    </row>
    <row r="5348" spans="15:15" x14ac:dyDescent="0.25">
      <c r="O5348" s="21"/>
    </row>
    <row r="5349" spans="15:15" x14ac:dyDescent="0.25">
      <c r="O5349" s="21"/>
    </row>
    <row r="5350" spans="15:15" x14ac:dyDescent="0.25">
      <c r="O5350" s="21"/>
    </row>
    <row r="5351" spans="15:15" x14ac:dyDescent="0.25">
      <c r="O5351" s="21"/>
    </row>
    <row r="5352" spans="15:15" x14ac:dyDescent="0.25">
      <c r="O5352" s="21"/>
    </row>
    <row r="5353" spans="15:15" x14ac:dyDescent="0.25">
      <c r="O5353" s="21"/>
    </row>
    <row r="5354" spans="15:15" x14ac:dyDescent="0.25">
      <c r="O5354" s="21"/>
    </row>
    <row r="5355" spans="15:15" x14ac:dyDescent="0.25">
      <c r="O5355" s="21"/>
    </row>
    <row r="5356" spans="15:15" x14ac:dyDescent="0.25">
      <c r="O5356" s="21"/>
    </row>
    <row r="5357" spans="15:15" x14ac:dyDescent="0.25">
      <c r="O5357" s="21"/>
    </row>
    <row r="5358" spans="15:15" x14ac:dyDescent="0.25">
      <c r="O5358" s="21"/>
    </row>
    <row r="5359" spans="15:15" x14ac:dyDescent="0.25">
      <c r="O5359" s="21"/>
    </row>
    <row r="5360" spans="15:15" x14ac:dyDescent="0.25">
      <c r="O5360" s="21"/>
    </row>
    <row r="5361" spans="15:15" x14ac:dyDescent="0.25">
      <c r="O5361" s="21"/>
    </row>
    <row r="5362" spans="15:15" x14ac:dyDescent="0.25">
      <c r="O5362" s="21"/>
    </row>
    <row r="5363" spans="15:15" x14ac:dyDescent="0.25">
      <c r="O5363" s="21"/>
    </row>
    <row r="5364" spans="15:15" x14ac:dyDescent="0.25">
      <c r="O5364" s="21"/>
    </row>
    <row r="5365" spans="15:15" x14ac:dyDescent="0.25">
      <c r="O5365" s="21"/>
    </row>
    <row r="5366" spans="15:15" x14ac:dyDescent="0.25">
      <c r="O5366" s="21"/>
    </row>
    <row r="5367" spans="15:15" x14ac:dyDescent="0.25">
      <c r="O5367" s="21"/>
    </row>
    <row r="5368" spans="15:15" x14ac:dyDescent="0.25">
      <c r="O5368" s="21"/>
    </row>
    <row r="5369" spans="15:15" x14ac:dyDescent="0.25">
      <c r="O5369" s="21"/>
    </row>
    <row r="5370" spans="15:15" x14ac:dyDescent="0.25">
      <c r="O5370" s="21"/>
    </row>
    <row r="5371" spans="15:15" x14ac:dyDescent="0.25">
      <c r="O5371" s="21"/>
    </row>
    <row r="5372" spans="15:15" x14ac:dyDescent="0.25">
      <c r="O5372" s="21"/>
    </row>
    <row r="5373" spans="15:15" x14ac:dyDescent="0.25">
      <c r="O5373" s="21"/>
    </row>
    <row r="5374" spans="15:15" x14ac:dyDescent="0.25">
      <c r="O5374" s="21"/>
    </row>
    <row r="5375" spans="15:15" x14ac:dyDescent="0.25">
      <c r="O5375" s="21"/>
    </row>
    <row r="5376" spans="15:15" x14ac:dyDescent="0.25">
      <c r="O5376" s="21"/>
    </row>
    <row r="5377" spans="15:15" x14ac:dyDescent="0.25">
      <c r="O5377" s="21"/>
    </row>
    <row r="5378" spans="15:15" x14ac:dyDescent="0.25">
      <c r="O5378" s="21"/>
    </row>
    <row r="5379" spans="15:15" x14ac:dyDescent="0.25">
      <c r="O5379" s="21"/>
    </row>
    <row r="5380" spans="15:15" x14ac:dyDescent="0.25">
      <c r="O5380" s="21"/>
    </row>
    <row r="5381" spans="15:15" x14ac:dyDescent="0.25">
      <c r="O5381" s="21"/>
    </row>
    <row r="5382" spans="15:15" x14ac:dyDescent="0.25">
      <c r="O5382" s="21"/>
    </row>
    <row r="5383" spans="15:15" x14ac:dyDescent="0.25">
      <c r="O5383" s="21"/>
    </row>
    <row r="5384" spans="15:15" x14ac:dyDescent="0.25">
      <c r="O5384" s="21"/>
    </row>
    <row r="5385" spans="15:15" x14ac:dyDescent="0.25">
      <c r="O5385" s="21"/>
    </row>
    <row r="5386" spans="15:15" x14ac:dyDescent="0.25">
      <c r="O5386" s="21"/>
    </row>
    <row r="5387" spans="15:15" x14ac:dyDescent="0.25">
      <c r="O5387" s="21"/>
    </row>
    <row r="5388" spans="15:15" x14ac:dyDescent="0.25">
      <c r="O5388" s="21"/>
    </row>
    <row r="5389" spans="15:15" x14ac:dyDescent="0.25">
      <c r="O5389" s="21"/>
    </row>
    <row r="5390" spans="15:15" x14ac:dyDescent="0.25">
      <c r="O5390" s="21"/>
    </row>
    <row r="5391" spans="15:15" x14ac:dyDescent="0.25">
      <c r="O5391" s="21"/>
    </row>
    <row r="5392" spans="15:15" x14ac:dyDescent="0.25">
      <c r="O5392" s="21"/>
    </row>
    <row r="5393" spans="15:15" x14ac:dyDescent="0.25">
      <c r="O5393" s="21"/>
    </row>
    <row r="5394" spans="15:15" x14ac:dyDescent="0.25">
      <c r="O5394" s="21"/>
    </row>
    <row r="5395" spans="15:15" x14ac:dyDescent="0.25">
      <c r="O5395" s="21"/>
    </row>
    <row r="5396" spans="15:15" x14ac:dyDescent="0.25">
      <c r="O5396" s="21"/>
    </row>
    <row r="5397" spans="15:15" x14ac:dyDescent="0.25">
      <c r="O5397" s="21"/>
    </row>
    <row r="5398" spans="15:15" x14ac:dyDescent="0.25">
      <c r="O5398" s="21"/>
    </row>
    <row r="5399" spans="15:15" x14ac:dyDescent="0.25">
      <c r="O5399" s="21"/>
    </row>
    <row r="5400" spans="15:15" x14ac:dyDescent="0.25">
      <c r="O5400" s="21"/>
    </row>
    <row r="5401" spans="15:15" x14ac:dyDescent="0.25">
      <c r="O5401" s="21"/>
    </row>
    <row r="5402" spans="15:15" x14ac:dyDescent="0.25">
      <c r="O5402" s="21"/>
    </row>
    <row r="5403" spans="15:15" x14ac:dyDescent="0.25">
      <c r="O5403" s="21"/>
    </row>
    <row r="5404" spans="15:15" x14ac:dyDescent="0.25">
      <c r="O5404" s="21"/>
    </row>
    <row r="5405" spans="15:15" x14ac:dyDescent="0.25">
      <c r="O5405" s="21"/>
    </row>
    <row r="5406" spans="15:15" x14ac:dyDescent="0.25">
      <c r="O5406" s="21"/>
    </row>
    <row r="5407" spans="15:15" x14ac:dyDescent="0.25">
      <c r="O5407" s="21"/>
    </row>
    <row r="5408" spans="15:15" x14ac:dyDescent="0.25">
      <c r="O5408" s="21"/>
    </row>
    <row r="5409" spans="15:15" x14ac:dyDescent="0.25">
      <c r="O5409" s="21"/>
    </row>
    <row r="5410" spans="15:15" x14ac:dyDescent="0.25">
      <c r="O5410" s="21"/>
    </row>
    <row r="5411" spans="15:15" x14ac:dyDescent="0.25">
      <c r="O5411" s="21"/>
    </row>
    <row r="5412" spans="15:15" x14ac:dyDescent="0.25">
      <c r="O5412" s="21"/>
    </row>
    <row r="5413" spans="15:15" x14ac:dyDescent="0.25">
      <c r="O5413" s="21"/>
    </row>
    <row r="5414" spans="15:15" x14ac:dyDescent="0.25">
      <c r="O5414" s="21"/>
    </row>
    <row r="5415" spans="15:15" x14ac:dyDescent="0.25">
      <c r="O5415" s="21"/>
    </row>
    <row r="5416" spans="15:15" x14ac:dyDescent="0.25">
      <c r="O5416" s="21"/>
    </row>
    <row r="5417" spans="15:15" x14ac:dyDescent="0.25">
      <c r="O5417" s="21"/>
    </row>
    <row r="5418" spans="15:15" x14ac:dyDescent="0.25">
      <c r="O5418" s="21"/>
    </row>
    <row r="5419" spans="15:15" x14ac:dyDescent="0.25">
      <c r="O5419" s="21"/>
    </row>
    <row r="5420" spans="15:15" x14ac:dyDescent="0.25">
      <c r="O5420" s="21"/>
    </row>
    <row r="5421" spans="15:15" x14ac:dyDescent="0.25">
      <c r="O5421" s="21"/>
    </row>
    <row r="5422" spans="15:15" x14ac:dyDescent="0.25">
      <c r="O5422" s="21"/>
    </row>
    <row r="5423" spans="15:15" x14ac:dyDescent="0.25">
      <c r="O5423" s="21"/>
    </row>
    <row r="5424" spans="15:15" x14ac:dyDescent="0.25">
      <c r="O5424" s="21"/>
    </row>
    <row r="5425" spans="15:15" x14ac:dyDescent="0.25">
      <c r="O5425" s="21"/>
    </row>
    <row r="5426" spans="15:15" x14ac:dyDescent="0.25">
      <c r="O5426" s="21"/>
    </row>
    <row r="5427" spans="15:15" x14ac:dyDescent="0.25">
      <c r="O5427" s="21"/>
    </row>
    <row r="5428" spans="15:15" x14ac:dyDescent="0.25">
      <c r="O5428" s="21"/>
    </row>
    <row r="5429" spans="15:15" x14ac:dyDescent="0.25">
      <c r="O5429" s="21"/>
    </row>
    <row r="5430" spans="15:15" x14ac:dyDescent="0.25">
      <c r="O5430" s="21"/>
    </row>
    <row r="5431" spans="15:15" x14ac:dyDescent="0.25">
      <c r="O5431" s="21"/>
    </row>
    <row r="5432" spans="15:15" x14ac:dyDescent="0.25">
      <c r="O5432" s="21"/>
    </row>
    <row r="5433" spans="15:15" x14ac:dyDescent="0.25">
      <c r="O5433" s="21"/>
    </row>
    <row r="5434" spans="15:15" x14ac:dyDescent="0.25">
      <c r="O5434" s="21"/>
    </row>
    <row r="5435" spans="15:15" x14ac:dyDescent="0.25">
      <c r="O5435" s="21"/>
    </row>
    <row r="5436" spans="15:15" x14ac:dyDescent="0.25">
      <c r="O5436" s="21"/>
    </row>
    <row r="5437" spans="15:15" x14ac:dyDescent="0.25">
      <c r="O5437" s="21"/>
    </row>
    <row r="5438" spans="15:15" x14ac:dyDescent="0.25">
      <c r="O5438" s="21"/>
    </row>
    <row r="5439" spans="15:15" x14ac:dyDescent="0.25">
      <c r="O5439" s="21"/>
    </row>
    <row r="5440" spans="15:15" x14ac:dyDescent="0.25">
      <c r="O5440" s="21"/>
    </row>
    <row r="5441" spans="15:15" x14ac:dyDescent="0.25">
      <c r="O5441" s="21"/>
    </row>
    <row r="5442" spans="15:15" x14ac:dyDescent="0.25">
      <c r="O5442" s="21"/>
    </row>
    <row r="5443" spans="15:15" x14ac:dyDescent="0.25">
      <c r="O5443" s="21"/>
    </row>
    <row r="5444" spans="15:15" x14ac:dyDescent="0.25">
      <c r="O5444" s="21"/>
    </row>
    <row r="5445" spans="15:15" x14ac:dyDescent="0.25">
      <c r="O5445" s="21"/>
    </row>
    <row r="5446" spans="15:15" x14ac:dyDescent="0.25">
      <c r="O5446" s="21"/>
    </row>
    <row r="5447" spans="15:15" x14ac:dyDescent="0.25">
      <c r="O5447" s="21"/>
    </row>
    <row r="5448" spans="15:15" x14ac:dyDescent="0.25">
      <c r="O5448" s="21"/>
    </row>
    <row r="5449" spans="15:15" x14ac:dyDescent="0.25">
      <c r="O5449" s="21"/>
    </row>
    <row r="5450" spans="15:15" x14ac:dyDescent="0.25">
      <c r="O5450" s="21"/>
    </row>
    <row r="5451" spans="15:15" x14ac:dyDescent="0.25">
      <c r="O5451" s="21"/>
    </row>
    <row r="5452" spans="15:15" x14ac:dyDescent="0.25">
      <c r="O5452" s="21"/>
    </row>
    <row r="5453" spans="15:15" x14ac:dyDescent="0.25">
      <c r="O5453" s="21"/>
    </row>
    <row r="5454" spans="15:15" x14ac:dyDescent="0.25">
      <c r="O5454" s="21"/>
    </row>
    <row r="5455" spans="15:15" x14ac:dyDescent="0.25">
      <c r="O5455" s="21"/>
    </row>
    <row r="5456" spans="15:15" x14ac:dyDescent="0.25">
      <c r="O5456" s="21"/>
    </row>
    <row r="5457" spans="15:15" x14ac:dyDescent="0.25">
      <c r="O5457" s="21"/>
    </row>
    <row r="5458" spans="15:15" x14ac:dyDescent="0.25">
      <c r="O5458" s="21"/>
    </row>
    <row r="5459" spans="15:15" x14ac:dyDescent="0.25">
      <c r="O5459" s="21"/>
    </row>
    <row r="5460" spans="15:15" x14ac:dyDescent="0.25">
      <c r="O5460" s="21"/>
    </row>
    <row r="5461" spans="15:15" x14ac:dyDescent="0.25">
      <c r="O5461" s="21"/>
    </row>
    <row r="5462" spans="15:15" x14ac:dyDescent="0.25">
      <c r="O5462" s="21"/>
    </row>
    <row r="5463" spans="15:15" x14ac:dyDescent="0.25">
      <c r="O5463" s="21"/>
    </row>
    <row r="5464" spans="15:15" x14ac:dyDescent="0.25">
      <c r="O5464" s="21"/>
    </row>
    <row r="5465" spans="15:15" x14ac:dyDescent="0.25">
      <c r="O5465" s="21"/>
    </row>
    <row r="5466" spans="15:15" x14ac:dyDescent="0.25">
      <c r="O5466" s="21"/>
    </row>
    <row r="5467" spans="15:15" x14ac:dyDescent="0.25">
      <c r="O5467" s="21"/>
    </row>
    <row r="5468" spans="15:15" x14ac:dyDescent="0.25">
      <c r="O5468" s="21"/>
    </row>
    <row r="5469" spans="15:15" x14ac:dyDescent="0.25">
      <c r="O5469" s="21"/>
    </row>
    <row r="5470" spans="15:15" x14ac:dyDescent="0.25">
      <c r="O5470" s="21"/>
    </row>
    <row r="5471" spans="15:15" x14ac:dyDescent="0.25">
      <c r="O5471" s="21"/>
    </row>
    <row r="5472" spans="15:15" x14ac:dyDescent="0.25">
      <c r="O5472" s="21"/>
    </row>
    <row r="5473" spans="15:15" x14ac:dyDescent="0.25">
      <c r="O5473" s="21"/>
    </row>
    <row r="5474" spans="15:15" x14ac:dyDescent="0.25">
      <c r="O5474" s="21"/>
    </row>
    <row r="5475" spans="15:15" x14ac:dyDescent="0.25">
      <c r="O5475" s="21"/>
    </row>
    <row r="5476" spans="15:15" x14ac:dyDescent="0.25">
      <c r="O5476" s="21"/>
    </row>
    <row r="5477" spans="15:15" x14ac:dyDescent="0.25">
      <c r="O5477" s="21"/>
    </row>
    <row r="5478" spans="15:15" x14ac:dyDescent="0.25">
      <c r="O5478" s="21"/>
    </row>
    <row r="5479" spans="15:15" x14ac:dyDescent="0.25">
      <c r="O5479" s="21"/>
    </row>
    <row r="5480" spans="15:15" x14ac:dyDescent="0.25">
      <c r="O5480" s="21"/>
    </row>
    <row r="5481" spans="15:15" x14ac:dyDescent="0.25">
      <c r="O5481" s="21"/>
    </row>
    <row r="5482" spans="15:15" x14ac:dyDescent="0.25">
      <c r="O5482" s="21"/>
    </row>
    <row r="5483" spans="15:15" x14ac:dyDescent="0.25">
      <c r="O5483" s="21"/>
    </row>
    <row r="5484" spans="15:15" x14ac:dyDescent="0.25">
      <c r="O5484" s="21"/>
    </row>
    <row r="5485" spans="15:15" x14ac:dyDescent="0.25">
      <c r="O5485" s="21"/>
    </row>
    <row r="5486" spans="15:15" x14ac:dyDescent="0.25">
      <c r="O5486" s="21"/>
    </row>
    <row r="5487" spans="15:15" x14ac:dyDescent="0.25">
      <c r="O5487" s="21"/>
    </row>
    <row r="5488" spans="15:15" x14ac:dyDescent="0.25">
      <c r="O5488" s="21"/>
    </row>
    <row r="5489" spans="15:15" x14ac:dyDescent="0.25">
      <c r="O5489" s="21"/>
    </row>
    <row r="5490" spans="15:15" x14ac:dyDescent="0.25">
      <c r="O5490" s="21"/>
    </row>
    <row r="5491" spans="15:15" x14ac:dyDescent="0.25">
      <c r="O5491" s="21"/>
    </row>
    <row r="5492" spans="15:15" x14ac:dyDescent="0.25">
      <c r="O5492" s="21"/>
    </row>
    <row r="5493" spans="15:15" x14ac:dyDescent="0.25">
      <c r="O5493" s="21"/>
    </row>
    <row r="5494" spans="15:15" x14ac:dyDescent="0.25">
      <c r="O5494" s="21"/>
    </row>
    <row r="5495" spans="15:15" x14ac:dyDescent="0.25">
      <c r="O5495" s="21"/>
    </row>
    <row r="5496" spans="15:15" x14ac:dyDescent="0.25">
      <c r="O5496" s="21"/>
    </row>
    <row r="5497" spans="15:15" x14ac:dyDescent="0.25">
      <c r="O5497" s="21"/>
    </row>
    <row r="5498" spans="15:15" x14ac:dyDescent="0.25">
      <c r="O5498" s="21"/>
    </row>
    <row r="5499" spans="15:15" x14ac:dyDescent="0.25">
      <c r="O5499" s="21"/>
    </row>
    <row r="5500" spans="15:15" x14ac:dyDescent="0.25">
      <c r="O5500" s="21"/>
    </row>
    <row r="5501" spans="15:15" x14ac:dyDescent="0.25">
      <c r="O5501" s="21"/>
    </row>
    <row r="5502" spans="15:15" x14ac:dyDescent="0.25">
      <c r="O5502" s="21"/>
    </row>
    <row r="5503" spans="15:15" x14ac:dyDescent="0.25">
      <c r="O5503" s="21"/>
    </row>
    <row r="5504" spans="15:15" x14ac:dyDescent="0.25">
      <c r="O5504" s="21"/>
    </row>
    <row r="5505" spans="15:15" x14ac:dyDescent="0.25">
      <c r="O5505" s="21"/>
    </row>
    <row r="5506" spans="15:15" x14ac:dyDescent="0.25">
      <c r="O5506" s="21"/>
    </row>
    <row r="5507" spans="15:15" x14ac:dyDescent="0.25">
      <c r="O5507" s="21"/>
    </row>
    <row r="5508" spans="15:15" x14ac:dyDescent="0.25">
      <c r="O5508" s="21"/>
    </row>
    <row r="5509" spans="15:15" x14ac:dyDescent="0.25">
      <c r="O5509" s="21"/>
    </row>
    <row r="5510" spans="15:15" x14ac:dyDescent="0.25">
      <c r="O5510" s="21"/>
    </row>
    <row r="5511" spans="15:15" x14ac:dyDescent="0.25">
      <c r="O5511" s="21"/>
    </row>
    <row r="5512" spans="15:15" x14ac:dyDescent="0.25">
      <c r="O5512" s="21"/>
    </row>
    <row r="5513" spans="15:15" x14ac:dyDescent="0.25">
      <c r="O5513" s="21"/>
    </row>
    <row r="5514" spans="15:15" x14ac:dyDescent="0.25">
      <c r="O5514" s="21"/>
    </row>
    <row r="5515" spans="15:15" x14ac:dyDescent="0.25">
      <c r="O5515" s="21"/>
    </row>
    <row r="5516" spans="15:15" x14ac:dyDescent="0.25">
      <c r="O5516" s="21"/>
    </row>
    <row r="5517" spans="15:15" x14ac:dyDescent="0.25">
      <c r="O5517" s="21"/>
    </row>
    <row r="5518" spans="15:15" x14ac:dyDescent="0.25">
      <c r="O5518" s="21"/>
    </row>
    <row r="5519" spans="15:15" x14ac:dyDescent="0.25">
      <c r="O5519" s="21"/>
    </row>
    <row r="5520" spans="15:15" x14ac:dyDescent="0.25">
      <c r="O5520" s="21"/>
    </row>
    <row r="5521" spans="15:15" x14ac:dyDescent="0.25">
      <c r="O5521" s="21"/>
    </row>
    <row r="5522" spans="15:15" x14ac:dyDescent="0.25">
      <c r="O5522" s="21"/>
    </row>
    <row r="5523" spans="15:15" x14ac:dyDescent="0.25">
      <c r="O5523" s="21"/>
    </row>
    <row r="5524" spans="15:15" x14ac:dyDescent="0.25">
      <c r="O5524" s="21"/>
    </row>
    <row r="5525" spans="15:15" x14ac:dyDescent="0.25">
      <c r="O5525" s="21"/>
    </row>
    <row r="5526" spans="15:15" x14ac:dyDescent="0.25">
      <c r="O5526" s="21"/>
    </row>
    <row r="5527" spans="15:15" x14ac:dyDescent="0.25">
      <c r="O5527" s="21"/>
    </row>
    <row r="5528" spans="15:15" x14ac:dyDescent="0.25">
      <c r="O5528" s="21"/>
    </row>
    <row r="5529" spans="15:15" x14ac:dyDescent="0.25">
      <c r="O5529" s="21"/>
    </row>
    <row r="5530" spans="15:15" x14ac:dyDescent="0.25">
      <c r="O5530" s="21"/>
    </row>
    <row r="5531" spans="15:15" x14ac:dyDescent="0.25">
      <c r="O5531" s="21"/>
    </row>
    <row r="5532" spans="15:15" x14ac:dyDescent="0.25">
      <c r="O5532" s="21"/>
    </row>
    <row r="5533" spans="15:15" x14ac:dyDescent="0.25">
      <c r="O5533" s="21"/>
    </row>
    <row r="5534" spans="15:15" x14ac:dyDescent="0.25">
      <c r="O5534" s="21"/>
    </row>
    <row r="5535" spans="15:15" x14ac:dyDescent="0.25">
      <c r="O5535" s="21"/>
    </row>
    <row r="5536" spans="15:15" x14ac:dyDescent="0.25">
      <c r="O5536" s="21"/>
    </row>
    <row r="5537" spans="15:15" x14ac:dyDescent="0.25">
      <c r="O5537" s="21"/>
    </row>
    <row r="5538" spans="15:15" x14ac:dyDescent="0.25">
      <c r="O5538" s="21"/>
    </row>
    <row r="5539" spans="15:15" x14ac:dyDescent="0.25">
      <c r="O5539" s="21"/>
    </row>
    <row r="5540" spans="15:15" x14ac:dyDescent="0.25">
      <c r="O5540" s="21"/>
    </row>
    <row r="5541" spans="15:15" x14ac:dyDescent="0.25">
      <c r="O5541" s="21"/>
    </row>
    <row r="5542" spans="15:15" x14ac:dyDescent="0.25">
      <c r="O5542" s="21"/>
    </row>
    <row r="5543" spans="15:15" x14ac:dyDescent="0.25">
      <c r="O5543" s="21"/>
    </row>
    <row r="5544" spans="15:15" x14ac:dyDescent="0.25">
      <c r="O5544" s="21"/>
    </row>
    <row r="5545" spans="15:15" x14ac:dyDescent="0.25">
      <c r="O5545" s="21"/>
    </row>
    <row r="5546" spans="15:15" x14ac:dyDescent="0.25">
      <c r="O5546" s="21"/>
    </row>
    <row r="5547" spans="15:15" x14ac:dyDescent="0.25">
      <c r="O5547" s="21"/>
    </row>
    <row r="5548" spans="15:15" x14ac:dyDescent="0.25">
      <c r="O5548" s="21"/>
    </row>
    <row r="5549" spans="15:15" x14ac:dyDescent="0.25">
      <c r="O5549" s="21"/>
    </row>
    <row r="5550" spans="15:15" x14ac:dyDescent="0.25">
      <c r="O5550" s="21"/>
    </row>
    <row r="5551" spans="15:15" x14ac:dyDescent="0.25">
      <c r="O5551" s="21"/>
    </row>
    <row r="5552" spans="15:15" x14ac:dyDescent="0.25">
      <c r="O5552" s="21"/>
    </row>
    <row r="5553" spans="15:15" x14ac:dyDescent="0.25">
      <c r="O5553" s="21"/>
    </row>
    <row r="5554" spans="15:15" x14ac:dyDescent="0.25">
      <c r="O5554" s="21"/>
    </row>
    <row r="5555" spans="15:15" x14ac:dyDescent="0.25">
      <c r="O5555" s="21"/>
    </row>
    <row r="5556" spans="15:15" x14ac:dyDescent="0.25">
      <c r="O5556" s="21"/>
    </row>
    <row r="5557" spans="15:15" x14ac:dyDescent="0.25">
      <c r="O5557" s="21"/>
    </row>
    <row r="5558" spans="15:15" x14ac:dyDescent="0.25">
      <c r="O5558" s="21"/>
    </row>
    <row r="5559" spans="15:15" x14ac:dyDescent="0.25">
      <c r="O5559" s="21"/>
    </row>
    <row r="5560" spans="15:15" x14ac:dyDescent="0.25">
      <c r="O5560" s="21"/>
    </row>
    <row r="5561" spans="15:15" x14ac:dyDescent="0.25">
      <c r="O5561" s="21"/>
    </row>
    <row r="5562" spans="15:15" x14ac:dyDescent="0.25">
      <c r="O5562" s="21"/>
    </row>
    <row r="5563" spans="15:15" x14ac:dyDescent="0.25">
      <c r="O5563" s="21"/>
    </row>
    <row r="5564" spans="15:15" x14ac:dyDescent="0.25">
      <c r="O5564" s="21"/>
    </row>
    <row r="5565" spans="15:15" x14ac:dyDescent="0.25">
      <c r="O5565" s="21"/>
    </row>
    <row r="5566" spans="15:15" x14ac:dyDescent="0.25">
      <c r="O5566" s="21"/>
    </row>
    <row r="5567" spans="15:15" x14ac:dyDescent="0.25">
      <c r="O5567" s="21"/>
    </row>
    <row r="5568" spans="15:15" x14ac:dyDescent="0.25">
      <c r="O5568" s="21"/>
    </row>
    <row r="5569" spans="15:15" x14ac:dyDescent="0.25">
      <c r="O5569" s="21"/>
    </row>
    <row r="5570" spans="15:15" x14ac:dyDescent="0.25">
      <c r="O5570" s="21"/>
    </row>
    <row r="5571" spans="15:15" x14ac:dyDescent="0.25">
      <c r="O5571" s="21"/>
    </row>
    <row r="5572" spans="15:15" x14ac:dyDescent="0.25">
      <c r="O5572" s="21"/>
    </row>
    <row r="5573" spans="15:15" x14ac:dyDescent="0.25">
      <c r="O5573" s="21"/>
    </row>
    <row r="5574" spans="15:15" x14ac:dyDescent="0.25">
      <c r="O5574" s="21"/>
    </row>
    <row r="5575" spans="15:15" x14ac:dyDescent="0.25">
      <c r="O5575" s="21"/>
    </row>
    <row r="5576" spans="15:15" x14ac:dyDescent="0.25">
      <c r="O5576" s="21"/>
    </row>
    <row r="5577" spans="15:15" x14ac:dyDescent="0.25">
      <c r="O5577" s="21"/>
    </row>
    <row r="5578" spans="15:15" x14ac:dyDescent="0.25">
      <c r="O5578" s="21"/>
    </row>
    <row r="5579" spans="15:15" x14ac:dyDescent="0.25">
      <c r="O5579" s="21"/>
    </row>
    <row r="5580" spans="15:15" x14ac:dyDescent="0.25">
      <c r="O5580" s="21"/>
    </row>
    <row r="5581" spans="15:15" x14ac:dyDescent="0.25">
      <c r="O5581" s="21"/>
    </row>
    <row r="5582" spans="15:15" x14ac:dyDescent="0.25">
      <c r="O5582" s="21"/>
    </row>
    <row r="5583" spans="15:15" x14ac:dyDescent="0.25">
      <c r="O5583" s="21"/>
    </row>
    <row r="5584" spans="15:15" x14ac:dyDescent="0.25">
      <c r="O5584" s="21"/>
    </row>
    <row r="5585" spans="15:15" x14ac:dyDescent="0.25">
      <c r="O5585" s="21"/>
    </row>
    <row r="5586" spans="15:15" x14ac:dyDescent="0.25">
      <c r="O5586" s="21"/>
    </row>
    <row r="5587" spans="15:15" x14ac:dyDescent="0.25">
      <c r="O5587" s="21"/>
    </row>
    <row r="5588" spans="15:15" x14ac:dyDescent="0.25">
      <c r="O5588" s="21"/>
    </row>
    <row r="5589" spans="15:15" x14ac:dyDescent="0.25">
      <c r="O5589" s="21"/>
    </row>
    <row r="5590" spans="15:15" x14ac:dyDescent="0.25">
      <c r="O5590" s="21"/>
    </row>
    <row r="5591" spans="15:15" x14ac:dyDescent="0.25">
      <c r="O5591" s="21"/>
    </row>
    <row r="5592" spans="15:15" x14ac:dyDescent="0.25">
      <c r="O5592" s="21"/>
    </row>
    <row r="5593" spans="15:15" x14ac:dyDescent="0.25">
      <c r="O5593" s="21"/>
    </row>
    <row r="5594" spans="15:15" x14ac:dyDescent="0.25">
      <c r="O5594" s="21"/>
    </row>
    <row r="5595" spans="15:15" x14ac:dyDescent="0.25">
      <c r="O5595" s="21"/>
    </row>
    <row r="5596" spans="15:15" x14ac:dyDescent="0.25">
      <c r="O5596" s="21"/>
    </row>
    <row r="5597" spans="15:15" x14ac:dyDescent="0.25">
      <c r="O5597" s="21"/>
    </row>
    <row r="5598" spans="15:15" x14ac:dyDescent="0.25">
      <c r="O5598" s="21"/>
    </row>
    <row r="5599" spans="15:15" x14ac:dyDescent="0.25">
      <c r="O5599" s="21"/>
    </row>
    <row r="5600" spans="15:15" x14ac:dyDescent="0.25">
      <c r="O5600" s="21"/>
    </row>
    <row r="5601" spans="15:15" x14ac:dyDescent="0.25">
      <c r="O5601" s="21"/>
    </row>
    <row r="5602" spans="15:15" x14ac:dyDescent="0.25">
      <c r="O5602" s="21"/>
    </row>
    <row r="5603" spans="15:15" x14ac:dyDescent="0.25">
      <c r="O5603" s="21"/>
    </row>
    <row r="5604" spans="15:15" x14ac:dyDescent="0.25">
      <c r="O5604" s="21"/>
    </row>
    <row r="5605" spans="15:15" x14ac:dyDescent="0.25">
      <c r="O5605" s="21"/>
    </row>
    <row r="5606" spans="15:15" x14ac:dyDescent="0.25">
      <c r="O5606" s="21"/>
    </row>
    <row r="5607" spans="15:15" x14ac:dyDescent="0.25">
      <c r="O5607" s="21"/>
    </row>
    <row r="5608" spans="15:15" x14ac:dyDescent="0.25">
      <c r="O5608" s="21"/>
    </row>
    <row r="5609" spans="15:15" x14ac:dyDescent="0.25">
      <c r="O5609" s="21"/>
    </row>
    <row r="5610" spans="15:15" x14ac:dyDescent="0.25">
      <c r="O5610" s="21"/>
    </row>
    <row r="5611" spans="15:15" x14ac:dyDescent="0.25">
      <c r="O5611" s="21"/>
    </row>
    <row r="5612" spans="15:15" x14ac:dyDescent="0.25">
      <c r="O5612" s="21"/>
    </row>
    <row r="5613" spans="15:15" x14ac:dyDescent="0.25">
      <c r="O5613" s="21"/>
    </row>
    <row r="5614" spans="15:15" x14ac:dyDescent="0.25">
      <c r="O5614" s="21"/>
    </row>
    <row r="5615" spans="15:15" x14ac:dyDescent="0.25">
      <c r="O5615" s="21"/>
    </row>
    <row r="5616" spans="15:15" x14ac:dyDescent="0.25">
      <c r="O5616" s="21"/>
    </row>
    <row r="5617" spans="15:15" x14ac:dyDescent="0.25">
      <c r="O5617" s="21"/>
    </row>
    <row r="5618" spans="15:15" x14ac:dyDescent="0.25">
      <c r="O5618" s="21"/>
    </row>
    <row r="5619" spans="15:15" x14ac:dyDescent="0.25">
      <c r="O5619" s="21"/>
    </row>
    <row r="5620" spans="15:15" x14ac:dyDescent="0.25">
      <c r="O5620" s="21"/>
    </row>
    <row r="5621" spans="15:15" x14ac:dyDescent="0.25">
      <c r="O5621" s="21"/>
    </row>
    <row r="5622" spans="15:15" x14ac:dyDescent="0.25">
      <c r="O5622" s="21"/>
    </row>
    <row r="5623" spans="15:15" x14ac:dyDescent="0.25">
      <c r="O5623" s="21"/>
    </row>
    <row r="5624" spans="15:15" x14ac:dyDescent="0.25">
      <c r="O5624" s="21"/>
    </row>
    <row r="5625" spans="15:15" x14ac:dyDescent="0.25">
      <c r="O5625" s="21"/>
    </row>
    <row r="5626" spans="15:15" x14ac:dyDescent="0.25">
      <c r="O5626" s="21"/>
    </row>
    <row r="5627" spans="15:15" x14ac:dyDescent="0.25">
      <c r="O5627" s="21"/>
    </row>
    <row r="5628" spans="15:15" x14ac:dyDescent="0.25">
      <c r="O5628" s="21"/>
    </row>
    <row r="5629" spans="15:15" x14ac:dyDescent="0.25">
      <c r="O5629" s="21"/>
    </row>
    <row r="5630" spans="15:15" x14ac:dyDescent="0.25">
      <c r="O5630" s="21"/>
    </row>
    <row r="5631" spans="15:15" x14ac:dyDescent="0.25">
      <c r="O5631" s="21"/>
    </row>
    <row r="5632" spans="15:15" x14ac:dyDescent="0.25">
      <c r="O5632" s="21"/>
    </row>
    <row r="5633" spans="15:15" x14ac:dyDescent="0.25">
      <c r="O5633" s="21"/>
    </row>
    <row r="5634" spans="15:15" x14ac:dyDescent="0.25">
      <c r="O5634" s="21"/>
    </row>
    <row r="5635" spans="15:15" x14ac:dyDescent="0.25">
      <c r="O5635" s="21"/>
    </row>
    <row r="5636" spans="15:15" x14ac:dyDescent="0.25">
      <c r="O5636" s="21"/>
    </row>
    <row r="5637" spans="15:15" x14ac:dyDescent="0.25">
      <c r="O5637" s="21"/>
    </row>
    <row r="5638" spans="15:15" x14ac:dyDescent="0.25">
      <c r="O5638" s="21"/>
    </row>
    <row r="5639" spans="15:15" x14ac:dyDescent="0.25">
      <c r="O5639" s="21"/>
    </row>
    <row r="5640" spans="15:15" x14ac:dyDescent="0.25">
      <c r="O5640" s="21"/>
    </row>
    <row r="5641" spans="15:15" x14ac:dyDescent="0.25">
      <c r="O5641" s="21"/>
    </row>
    <row r="5642" spans="15:15" x14ac:dyDescent="0.25">
      <c r="O5642" s="21"/>
    </row>
    <row r="5643" spans="15:15" x14ac:dyDescent="0.25">
      <c r="O5643" s="21"/>
    </row>
    <row r="5644" spans="15:15" x14ac:dyDescent="0.25">
      <c r="O5644" s="21"/>
    </row>
    <row r="5645" spans="15:15" x14ac:dyDescent="0.25">
      <c r="O5645" s="21"/>
    </row>
    <row r="5646" spans="15:15" x14ac:dyDescent="0.25">
      <c r="O5646" s="21"/>
    </row>
    <row r="5647" spans="15:15" x14ac:dyDescent="0.25">
      <c r="O5647" s="21"/>
    </row>
    <row r="5648" spans="15:15" x14ac:dyDescent="0.25">
      <c r="O5648" s="21"/>
    </row>
    <row r="5649" spans="15:15" x14ac:dyDescent="0.25">
      <c r="O5649" s="21"/>
    </row>
    <row r="5650" spans="15:15" x14ac:dyDescent="0.25">
      <c r="O5650" s="21"/>
    </row>
    <row r="5651" spans="15:15" x14ac:dyDescent="0.25">
      <c r="O5651" s="21"/>
    </row>
    <row r="5652" spans="15:15" x14ac:dyDescent="0.25">
      <c r="O5652" s="21"/>
    </row>
    <row r="5653" spans="15:15" x14ac:dyDescent="0.25">
      <c r="O5653" s="21"/>
    </row>
    <row r="5654" spans="15:15" x14ac:dyDescent="0.25">
      <c r="O5654" s="21"/>
    </row>
    <row r="5655" spans="15:15" x14ac:dyDescent="0.25">
      <c r="O5655" s="21"/>
    </row>
    <row r="5656" spans="15:15" x14ac:dyDescent="0.25">
      <c r="O5656" s="21"/>
    </row>
    <row r="5657" spans="15:15" x14ac:dyDescent="0.25">
      <c r="O5657" s="21"/>
    </row>
    <row r="5658" spans="15:15" x14ac:dyDescent="0.25">
      <c r="O5658" s="21"/>
    </row>
    <row r="5659" spans="15:15" x14ac:dyDescent="0.25">
      <c r="O5659" s="21"/>
    </row>
    <row r="5660" spans="15:15" x14ac:dyDescent="0.25">
      <c r="O5660" s="21"/>
    </row>
    <row r="5661" spans="15:15" x14ac:dyDescent="0.25">
      <c r="O5661" s="21"/>
    </row>
    <row r="5662" spans="15:15" x14ac:dyDescent="0.25">
      <c r="O5662" s="21"/>
    </row>
    <row r="5663" spans="15:15" x14ac:dyDescent="0.25">
      <c r="O5663" s="21"/>
    </row>
    <row r="5664" spans="15:15" x14ac:dyDescent="0.25">
      <c r="O5664" s="21"/>
    </row>
    <row r="5665" spans="15:15" x14ac:dyDescent="0.25">
      <c r="O5665" s="21"/>
    </row>
    <row r="5666" spans="15:15" x14ac:dyDescent="0.25">
      <c r="O5666" s="21"/>
    </row>
    <row r="5667" spans="15:15" x14ac:dyDescent="0.25">
      <c r="O5667" s="21"/>
    </row>
    <row r="5668" spans="15:15" x14ac:dyDescent="0.25">
      <c r="O5668" s="21"/>
    </row>
    <row r="5669" spans="15:15" x14ac:dyDescent="0.25">
      <c r="O5669" s="21"/>
    </row>
    <row r="5670" spans="15:15" x14ac:dyDescent="0.25">
      <c r="O5670" s="21"/>
    </row>
    <row r="5671" spans="15:15" x14ac:dyDescent="0.25">
      <c r="O5671" s="21"/>
    </row>
    <row r="5672" spans="15:15" x14ac:dyDescent="0.25">
      <c r="O5672" s="21"/>
    </row>
    <row r="5673" spans="15:15" x14ac:dyDescent="0.25">
      <c r="O5673" s="21"/>
    </row>
    <row r="5674" spans="15:15" x14ac:dyDescent="0.25">
      <c r="O5674" s="21"/>
    </row>
    <row r="5675" spans="15:15" x14ac:dyDescent="0.25">
      <c r="O5675" s="21"/>
    </row>
    <row r="5676" spans="15:15" x14ac:dyDescent="0.25">
      <c r="O5676" s="21"/>
    </row>
    <row r="5677" spans="15:15" x14ac:dyDescent="0.25">
      <c r="O5677" s="21"/>
    </row>
    <row r="5678" spans="15:15" x14ac:dyDescent="0.25">
      <c r="O5678" s="21"/>
    </row>
    <row r="5679" spans="15:15" x14ac:dyDescent="0.25">
      <c r="O5679" s="21"/>
    </row>
    <row r="5680" spans="15:15" x14ac:dyDescent="0.25">
      <c r="O5680" s="21"/>
    </row>
    <row r="5681" spans="15:15" x14ac:dyDescent="0.25">
      <c r="O5681" s="21"/>
    </row>
    <row r="5682" spans="15:15" x14ac:dyDescent="0.25">
      <c r="O5682" s="21"/>
    </row>
    <row r="5683" spans="15:15" x14ac:dyDescent="0.25">
      <c r="O5683" s="21"/>
    </row>
    <row r="5684" spans="15:15" x14ac:dyDescent="0.25">
      <c r="O5684" s="21"/>
    </row>
    <row r="5685" spans="15:15" x14ac:dyDescent="0.25">
      <c r="O5685" s="21"/>
    </row>
    <row r="5686" spans="15:15" x14ac:dyDescent="0.25">
      <c r="O5686" s="21"/>
    </row>
    <row r="5687" spans="15:15" x14ac:dyDescent="0.25">
      <c r="O5687" s="21"/>
    </row>
    <row r="5688" spans="15:15" x14ac:dyDescent="0.25">
      <c r="O5688" s="21"/>
    </row>
    <row r="5689" spans="15:15" x14ac:dyDescent="0.25">
      <c r="O5689" s="21"/>
    </row>
    <row r="5690" spans="15:15" x14ac:dyDescent="0.25">
      <c r="O5690" s="21"/>
    </row>
    <row r="5691" spans="15:15" x14ac:dyDescent="0.25">
      <c r="O5691" s="21"/>
    </row>
    <row r="5692" spans="15:15" x14ac:dyDescent="0.25">
      <c r="O5692" s="21"/>
    </row>
    <row r="5693" spans="15:15" x14ac:dyDescent="0.25">
      <c r="O5693" s="21"/>
    </row>
    <row r="5694" spans="15:15" x14ac:dyDescent="0.25">
      <c r="O5694" s="21"/>
    </row>
    <row r="5695" spans="15:15" x14ac:dyDescent="0.25">
      <c r="O5695" s="21"/>
    </row>
    <row r="5696" spans="15:15" x14ac:dyDescent="0.25">
      <c r="O5696" s="21"/>
    </row>
    <row r="5697" spans="15:15" x14ac:dyDescent="0.25">
      <c r="O5697" s="21"/>
    </row>
    <row r="5698" spans="15:15" x14ac:dyDescent="0.25">
      <c r="O5698" s="21"/>
    </row>
    <row r="5699" spans="15:15" x14ac:dyDescent="0.25">
      <c r="O5699" s="21"/>
    </row>
    <row r="5700" spans="15:15" x14ac:dyDescent="0.25">
      <c r="O5700" s="21"/>
    </row>
    <row r="5701" spans="15:15" x14ac:dyDescent="0.25">
      <c r="O5701" s="21"/>
    </row>
    <row r="5702" spans="15:15" x14ac:dyDescent="0.25">
      <c r="O5702" s="21"/>
    </row>
    <row r="5703" spans="15:15" x14ac:dyDescent="0.25">
      <c r="O5703" s="21"/>
    </row>
    <row r="5704" spans="15:15" x14ac:dyDescent="0.25">
      <c r="O5704" s="21"/>
    </row>
    <row r="5705" spans="15:15" x14ac:dyDescent="0.25">
      <c r="O5705" s="21"/>
    </row>
    <row r="5706" spans="15:15" x14ac:dyDescent="0.25">
      <c r="O5706" s="21"/>
    </row>
    <row r="5707" spans="15:15" x14ac:dyDescent="0.25">
      <c r="O5707" s="21"/>
    </row>
    <row r="5708" spans="15:15" x14ac:dyDescent="0.25">
      <c r="O5708" s="21"/>
    </row>
    <row r="5709" spans="15:15" x14ac:dyDescent="0.25">
      <c r="O5709" s="21"/>
    </row>
    <row r="5710" spans="15:15" x14ac:dyDescent="0.25">
      <c r="O5710" s="21"/>
    </row>
    <row r="5711" spans="15:15" x14ac:dyDescent="0.25">
      <c r="O5711" s="21"/>
    </row>
    <row r="5712" spans="15:15" x14ac:dyDescent="0.25">
      <c r="O5712" s="21"/>
    </row>
    <row r="5713" spans="15:15" x14ac:dyDescent="0.25">
      <c r="O5713" s="21"/>
    </row>
    <row r="5714" spans="15:15" x14ac:dyDescent="0.25">
      <c r="O5714" s="21"/>
    </row>
    <row r="5715" spans="15:15" x14ac:dyDescent="0.25">
      <c r="O5715" s="21"/>
    </row>
    <row r="5716" spans="15:15" x14ac:dyDescent="0.25">
      <c r="O5716" s="21"/>
    </row>
    <row r="5717" spans="15:15" x14ac:dyDescent="0.25">
      <c r="O5717" s="21"/>
    </row>
    <row r="5718" spans="15:15" x14ac:dyDescent="0.25">
      <c r="O5718" s="21"/>
    </row>
    <row r="5719" spans="15:15" x14ac:dyDescent="0.25">
      <c r="O5719" s="21"/>
    </row>
    <row r="5720" spans="15:15" x14ac:dyDescent="0.25">
      <c r="O5720" s="21"/>
    </row>
    <row r="5721" spans="15:15" x14ac:dyDescent="0.25">
      <c r="O5721" s="21"/>
    </row>
    <row r="5722" spans="15:15" x14ac:dyDescent="0.25">
      <c r="O5722" s="21"/>
    </row>
    <row r="5723" spans="15:15" x14ac:dyDescent="0.25">
      <c r="O5723" s="21"/>
    </row>
    <row r="5724" spans="15:15" x14ac:dyDescent="0.25">
      <c r="O5724" s="21"/>
    </row>
    <row r="5725" spans="15:15" x14ac:dyDescent="0.25">
      <c r="O5725" s="21"/>
    </row>
    <row r="5726" spans="15:15" x14ac:dyDescent="0.25">
      <c r="O5726" s="21"/>
    </row>
    <row r="5727" spans="15:15" x14ac:dyDescent="0.25">
      <c r="O5727" s="21"/>
    </row>
    <row r="5728" spans="15:15" x14ac:dyDescent="0.25">
      <c r="O5728" s="21"/>
    </row>
    <row r="5729" spans="15:15" x14ac:dyDescent="0.25">
      <c r="O5729" s="21"/>
    </row>
    <row r="5730" spans="15:15" x14ac:dyDescent="0.25">
      <c r="O5730" s="21"/>
    </row>
    <row r="5731" spans="15:15" x14ac:dyDescent="0.25">
      <c r="O5731" s="21"/>
    </row>
    <row r="5732" spans="15:15" x14ac:dyDescent="0.25">
      <c r="O5732" s="21"/>
    </row>
    <row r="5733" spans="15:15" x14ac:dyDescent="0.25">
      <c r="O5733" s="21"/>
    </row>
    <row r="5734" spans="15:15" x14ac:dyDescent="0.25">
      <c r="O5734" s="21"/>
    </row>
    <row r="5735" spans="15:15" x14ac:dyDescent="0.25">
      <c r="O5735" s="21"/>
    </row>
    <row r="5736" spans="15:15" x14ac:dyDescent="0.25">
      <c r="O5736" s="21"/>
    </row>
    <row r="5737" spans="15:15" x14ac:dyDescent="0.25">
      <c r="O5737" s="21"/>
    </row>
    <row r="5738" spans="15:15" x14ac:dyDescent="0.25">
      <c r="O5738" s="21"/>
    </row>
    <row r="5739" spans="15:15" x14ac:dyDescent="0.25">
      <c r="O5739" s="21"/>
    </row>
    <row r="5740" spans="15:15" x14ac:dyDescent="0.25">
      <c r="O5740" s="21"/>
    </row>
    <row r="5741" spans="15:15" x14ac:dyDescent="0.25">
      <c r="O5741" s="21"/>
    </row>
    <row r="5742" spans="15:15" x14ac:dyDescent="0.25">
      <c r="O5742" s="21"/>
    </row>
    <row r="5743" spans="15:15" x14ac:dyDescent="0.25">
      <c r="O5743" s="21"/>
    </row>
    <row r="5744" spans="15:15" x14ac:dyDescent="0.25">
      <c r="O5744" s="21"/>
    </row>
    <row r="5745" spans="15:15" x14ac:dyDescent="0.25">
      <c r="O5745" s="21"/>
    </row>
    <row r="5746" spans="15:15" x14ac:dyDescent="0.25">
      <c r="O5746" s="21"/>
    </row>
    <row r="5747" spans="15:15" x14ac:dyDescent="0.25">
      <c r="O5747" s="21"/>
    </row>
    <row r="5748" spans="15:15" x14ac:dyDescent="0.25">
      <c r="O5748" s="21"/>
    </row>
    <row r="5749" spans="15:15" x14ac:dyDescent="0.25">
      <c r="O5749" s="21"/>
    </row>
    <row r="5750" spans="15:15" x14ac:dyDescent="0.25">
      <c r="O5750" s="21"/>
    </row>
    <row r="5751" spans="15:15" x14ac:dyDescent="0.25">
      <c r="O5751" s="21"/>
    </row>
    <row r="5752" spans="15:15" x14ac:dyDescent="0.25">
      <c r="O5752" s="21"/>
    </row>
    <row r="5753" spans="15:15" x14ac:dyDescent="0.25">
      <c r="O5753" s="21"/>
    </row>
    <row r="5754" spans="15:15" x14ac:dyDescent="0.25">
      <c r="O5754" s="21"/>
    </row>
    <row r="5755" spans="15:15" x14ac:dyDescent="0.25">
      <c r="O5755" s="21"/>
    </row>
    <row r="5756" spans="15:15" x14ac:dyDescent="0.25">
      <c r="O5756" s="21"/>
    </row>
    <row r="5757" spans="15:15" x14ac:dyDescent="0.25">
      <c r="O5757" s="21"/>
    </row>
    <row r="5758" spans="15:15" x14ac:dyDescent="0.25">
      <c r="O5758" s="21"/>
    </row>
    <row r="5759" spans="15:15" x14ac:dyDescent="0.25">
      <c r="O5759" s="21"/>
    </row>
    <row r="5760" spans="15:15" x14ac:dyDescent="0.25">
      <c r="O5760" s="21"/>
    </row>
    <row r="5761" spans="15:15" x14ac:dyDescent="0.25">
      <c r="O5761" s="21"/>
    </row>
    <row r="5762" spans="15:15" x14ac:dyDescent="0.25">
      <c r="O5762" s="21"/>
    </row>
    <row r="5763" spans="15:15" x14ac:dyDescent="0.25">
      <c r="O5763" s="21"/>
    </row>
    <row r="5764" spans="15:15" x14ac:dyDescent="0.25">
      <c r="O5764" s="21"/>
    </row>
    <row r="5765" spans="15:15" x14ac:dyDescent="0.25">
      <c r="O5765" s="21"/>
    </row>
    <row r="5766" spans="15:15" x14ac:dyDescent="0.25">
      <c r="O5766" s="21"/>
    </row>
    <row r="5767" spans="15:15" x14ac:dyDescent="0.25">
      <c r="O5767" s="21"/>
    </row>
    <row r="5768" spans="15:15" x14ac:dyDescent="0.25">
      <c r="O5768" s="21"/>
    </row>
    <row r="5769" spans="15:15" x14ac:dyDescent="0.25">
      <c r="O5769" s="21"/>
    </row>
    <row r="5770" spans="15:15" x14ac:dyDescent="0.25">
      <c r="O5770" s="21"/>
    </row>
    <row r="5771" spans="15:15" x14ac:dyDescent="0.25">
      <c r="O5771" s="21"/>
    </row>
    <row r="5772" spans="15:15" x14ac:dyDescent="0.25">
      <c r="O5772" s="21"/>
    </row>
    <row r="5773" spans="15:15" x14ac:dyDescent="0.25">
      <c r="O5773" s="21"/>
    </row>
    <row r="5774" spans="15:15" x14ac:dyDescent="0.25">
      <c r="O5774" s="21"/>
    </row>
    <row r="5775" spans="15:15" x14ac:dyDescent="0.25">
      <c r="O5775" s="21"/>
    </row>
    <row r="5776" spans="15:15" x14ac:dyDescent="0.25">
      <c r="O5776" s="21"/>
    </row>
    <row r="5777" spans="15:15" x14ac:dyDescent="0.25">
      <c r="O5777" s="21"/>
    </row>
    <row r="5778" spans="15:15" x14ac:dyDescent="0.25">
      <c r="O5778" s="21"/>
    </row>
    <row r="5779" spans="15:15" x14ac:dyDescent="0.25">
      <c r="O5779" s="21"/>
    </row>
    <row r="5780" spans="15:15" x14ac:dyDescent="0.25">
      <c r="O5780" s="21"/>
    </row>
    <row r="5781" spans="15:15" x14ac:dyDescent="0.25">
      <c r="O5781" s="21"/>
    </row>
    <row r="5782" spans="15:15" x14ac:dyDescent="0.25">
      <c r="O5782" s="21"/>
    </row>
    <row r="5783" spans="15:15" x14ac:dyDescent="0.25">
      <c r="O5783" s="21"/>
    </row>
    <row r="5784" spans="15:15" x14ac:dyDescent="0.25">
      <c r="O5784" s="21"/>
    </row>
    <row r="5785" spans="15:15" x14ac:dyDescent="0.25">
      <c r="O5785" s="21"/>
    </row>
    <row r="5786" spans="15:15" x14ac:dyDescent="0.25">
      <c r="O5786" s="21"/>
    </row>
    <row r="5787" spans="15:15" x14ac:dyDescent="0.25">
      <c r="O5787" s="21"/>
    </row>
    <row r="5788" spans="15:15" x14ac:dyDescent="0.25">
      <c r="O5788" s="21"/>
    </row>
    <row r="5789" spans="15:15" x14ac:dyDescent="0.25">
      <c r="O5789" s="21"/>
    </row>
    <row r="5790" spans="15:15" x14ac:dyDescent="0.25">
      <c r="O5790" s="21"/>
    </row>
    <row r="5791" spans="15:15" x14ac:dyDescent="0.25">
      <c r="O5791" s="21"/>
    </row>
    <row r="5792" spans="15:15" x14ac:dyDescent="0.25">
      <c r="O5792" s="21"/>
    </row>
    <row r="5793" spans="15:15" x14ac:dyDescent="0.25">
      <c r="O5793" s="21"/>
    </row>
    <row r="5794" spans="15:15" x14ac:dyDescent="0.25">
      <c r="O5794" s="21"/>
    </row>
    <row r="5795" spans="15:15" x14ac:dyDescent="0.25">
      <c r="O5795" s="21"/>
    </row>
    <row r="5796" spans="15:15" x14ac:dyDescent="0.25">
      <c r="O5796" s="21"/>
    </row>
    <row r="5797" spans="15:15" x14ac:dyDescent="0.25">
      <c r="O5797" s="21"/>
    </row>
    <row r="5798" spans="15:15" x14ac:dyDescent="0.25">
      <c r="O5798" s="21"/>
    </row>
    <row r="5799" spans="15:15" x14ac:dyDescent="0.25">
      <c r="O5799" s="21"/>
    </row>
    <row r="5800" spans="15:15" x14ac:dyDescent="0.25">
      <c r="O5800" s="21"/>
    </row>
    <row r="5801" spans="15:15" x14ac:dyDescent="0.25">
      <c r="O5801" s="21"/>
    </row>
    <row r="5802" spans="15:15" x14ac:dyDescent="0.25">
      <c r="O5802" s="21"/>
    </row>
    <row r="5803" spans="15:15" x14ac:dyDescent="0.25">
      <c r="O5803" s="21"/>
    </row>
    <row r="5804" spans="15:15" x14ac:dyDescent="0.25">
      <c r="O5804" s="21"/>
    </row>
    <row r="5805" spans="15:15" x14ac:dyDescent="0.25">
      <c r="O5805" s="21"/>
    </row>
    <row r="5806" spans="15:15" x14ac:dyDescent="0.25">
      <c r="O5806" s="21"/>
    </row>
    <row r="5807" spans="15:15" x14ac:dyDescent="0.25">
      <c r="O5807" s="21"/>
    </row>
    <row r="5808" spans="15:15" x14ac:dyDescent="0.25">
      <c r="O5808" s="21"/>
    </row>
    <row r="5809" spans="15:15" x14ac:dyDescent="0.25">
      <c r="O5809" s="21"/>
    </row>
    <row r="5810" spans="15:15" x14ac:dyDescent="0.25">
      <c r="O5810" s="21"/>
    </row>
    <row r="5811" spans="15:15" x14ac:dyDescent="0.25">
      <c r="O5811" s="21"/>
    </row>
    <row r="5812" spans="15:15" x14ac:dyDescent="0.25">
      <c r="O5812" s="21"/>
    </row>
    <row r="5813" spans="15:15" x14ac:dyDescent="0.25">
      <c r="O5813" s="21"/>
    </row>
    <row r="5814" spans="15:15" x14ac:dyDescent="0.25">
      <c r="O5814" s="21"/>
    </row>
    <row r="5815" spans="15:15" x14ac:dyDescent="0.25">
      <c r="O5815" s="21"/>
    </row>
    <row r="5816" spans="15:15" x14ac:dyDescent="0.25">
      <c r="O5816" s="21"/>
    </row>
    <row r="5817" spans="15:15" x14ac:dyDescent="0.25">
      <c r="O5817" s="21"/>
    </row>
    <row r="5818" spans="15:15" x14ac:dyDescent="0.25">
      <c r="O5818" s="21"/>
    </row>
    <row r="5819" spans="15:15" x14ac:dyDescent="0.25">
      <c r="O5819" s="21"/>
    </row>
    <row r="5820" spans="15:15" x14ac:dyDescent="0.25">
      <c r="O5820" s="21"/>
    </row>
    <row r="5821" spans="15:15" x14ac:dyDescent="0.25">
      <c r="O5821" s="21"/>
    </row>
    <row r="5822" spans="15:15" x14ac:dyDescent="0.25">
      <c r="O5822" s="21"/>
    </row>
    <row r="5823" spans="15:15" x14ac:dyDescent="0.25">
      <c r="O5823" s="21"/>
    </row>
    <row r="5824" spans="15:15" x14ac:dyDescent="0.25">
      <c r="O5824" s="21"/>
    </row>
    <row r="5825" spans="15:15" x14ac:dyDescent="0.25">
      <c r="O5825" s="21"/>
    </row>
    <row r="5826" spans="15:15" x14ac:dyDescent="0.25">
      <c r="O5826" s="21"/>
    </row>
    <row r="5827" spans="15:15" x14ac:dyDescent="0.25">
      <c r="O5827" s="21"/>
    </row>
    <row r="5828" spans="15:15" x14ac:dyDescent="0.25">
      <c r="O5828" s="21"/>
    </row>
    <row r="5829" spans="15:15" x14ac:dyDescent="0.25">
      <c r="O5829" s="21"/>
    </row>
    <row r="5830" spans="15:15" x14ac:dyDescent="0.25">
      <c r="O5830" s="21"/>
    </row>
    <row r="5831" spans="15:15" x14ac:dyDescent="0.25">
      <c r="O5831" s="21"/>
    </row>
    <row r="5832" spans="15:15" x14ac:dyDescent="0.25">
      <c r="O5832" s="21"/>
    </row>
    <row r="5833" spans="15:15" x14ac:dyDescent="0.25">
      <c r="O5833" s="21"/>
    </row>
    <row r="5834" spans="15:15" x14ac:dyDescent="0.25">
      <c r="O5834" s="21"/>
    </row>
    <row r="5835" spans="15:15" x14ac:dyDescent="0.25">
      <c r="O5835" s="21"/>
    </row>
    <row r="5836" spans="15:15" x14ac:dyDescent="0.25">
      <c r="O5836" s="21"/>
    </row>
    <row r="5837" spans="15:15" x14ac:dyDescent="0.25">
      <c r="O5837" s="21"/>
    </row>
    <row r="5838" spans="15:15" x14ac:dyDescent="0.25">
      <c r="O5838" s="21"/>
    </row>
    <row r="5839" spans="15:15" x14ac:dyDescent="0.25">
      <c r="O5839" s="21"/>
    </row>
    <row r="5840" spans="15:15" x14ac:dyDescent="0.25">
      <c r="O5840" s="21"/>
    </row>
    <row r="5841" spans="15:15" x14ac:dyDescent="0.25">
      <c r="O5841" s="21"/>
    </row>
    <row r="5842" spans="15:15" x14ac:dyDescent="0.25">
      <c r="O5842" s="21"/>
    </row>
    <row r="5843" spans="15:15" x14ac:dyDescent="0.25">
      <c r="O5843" s="21"/>
    </row>
    <row r="5844" spans="15:15" x14ac:dyDescent="0.25">
      <c r="O5844" s="21"/>
    </row>
    <row r="5845" spans="15:15" x14ac:dyDescent="0.25">
      <c r="O5845" s="21"/>
    </row>
    <row r="5846" spans="15:15" x14ac:dyDescent="0.25">
      <c r="O5846" s="21"/>
    </row>
    <row r="5847" spans="15:15" x14ac:dyDescent="0.25">
      <c r="O5847" s="21"/>
    </row>
    <row r="5848" spans="15:15" x14ac:dyDescent="0.25">
      <c r="O5848" s="21"/>
    </row>
    <row r="5849" spans="15:15" x14ac:dyDescent="0.25">
      <c r="O5849" s="21"/>
    </row>
    <row r="5850" spans="15:15" x14ac:dyDescent="0.25">
      <c r="O5850" s="21"/>
    </row>
    <row r="5851" spans="15:15" x14ac:dyDescent="0.25">
      <c r="O5851" s="21"/>
    </row>
    <row r="5852" spans="15:15" x14ac:dyDescent="0.25">
      <c r="O5852" s="21"/>
    </row>
    <row r="5853" spans="15:15" x14ac:dyDescent="0.25">
      <c r="O5853" s="21"/>
    </row>
    <row r="5854" spans="15:15" x14ac:dyDescent="0.25">
      <c r="O5854" s="21"/>
    </row>
    <row r="5855" spans="15:15" x14ac:dyDescent="0.25">
      <c r="O5855" s="21"/>
    </row>
    <row r="5856" spans="15:15" x14ac:dyDescent="0.25">
      <c r="O5856" s="21"/>
    </row>
    <row r="5857" spans="15:15" x14ac:dyDescent="0.25">
      <c r="O5857" s="21"/>
    </row>
    <row r="5858" spans="15:15" x14ac:dyDescent="0.25">
      <c r="O5858" s="21"/>
    </row>
    <row r="5859" spans="15:15" x14ac:dyDescent="0.25">
      <c r="O5859" s="21"/>
    </row>
    <row r="5860" spans="15:15" x14ac:dyDescent="0.25">
      <c r="O5860" s="21"/>
    </row>
    <row r="5861" spans="15:15" x14ac:dyDescent="0.25">
      <c r="O5861" s="21"/>
    </row>
    <row r="5862" spans="15:15" x14ac:dyDescent="0.25">
      <c r="O5862" s="21"/>
    </row>
    <row r="5863" spans="15:15" x14ac:dyDescent="0.25">
      <c r="O5863" s="21"/>
    </row>
    <row r="5864" spans="15:15" x14ac:dyDescent="0.25">
      <c r="O5864" s="21"/>
    </row>
    <row r="5865" spans="15:15" x14ac:dyDescent="0.25">
      <c r="O5865" s="21"/>
    </row>
    <row r="5866" spans="15:15" x14ac:dyDescent="0.25">
      <c r="O5866" s="21"/>
    </row>
    <row r="5867" spans="15:15" x14ac:dyDescent="0.25">
      <c r="O5867" s="21"/>
    </row>
    <row r="5868" spans="15:15" x14ac:dyDescent="0.25">
      <c r="O5868" s="21"/>
    </row>
    <row r="5869" spans="15:15" x14ac:dyDescent="0.25">
      <c r="O5869" s="21"/>
    </row>
    <row r="5870" spans="15:15" x14ac:dyDescent="0.25">
      <c r="O5870" s="21"/>
    </row>
    <row r="5871" spans="15:15" x14ac:dyDescent="0.25">
      <c r="O5871" s="21"/>
    </row>
    <row r="5872" spans="15:15" x14ac:dyDescent="0.25">
      <c r="O5872" s="21"/>
    </row>
    <row r="5873" spans="15:15" x14ac:dyDescent="0.25">
      <c r="O5873" s="21"/>
    </row>
    <row r="5874" spans="15:15" x14ac:dyDescent="0.25">
      <c r="O5874" s="21"/>
    </row>
    <row r="5875" spans="15:15" x14ac:dyDescent="0.25">
      <c r="O5875" s="21"/>
    </row>
    <row r="5876" spans="15:15" x14ac:dyDescent="0.25">
      <c r="O5876" s="21"/>
    </row>
    <row r="5877" spans="15:15" x14ac:dyDescent="0.25">
      <c r="O5877" s="21"/>
    </row>
    <row r="5878" spans="15:15" x14ac:dyDescent="0.25">
      <c r="O5878" s="21"/>
    </row>
    <row r="5879" spans="15:15" x14ac:dyDescent="0.25">
      <c r="O5879" s="21"/>
    </row>
    <row r="5880" spans="15:15" x14ac:dyDescent="0.25">
      <c r="O5880" s="21"/>
    </row>
    <row r="5881" spans="15:15" x14ac:dyDescent="0.25">
      <c r="O5881" s="21"/>
    </row>
    <row r="5882" spans="15:15" x14ac:dyDescent="0.25">
      <c r="O5882" s="21"/>
    </row>
    <row r="5883" spans="15:15" x14ac:dyDescent="0.25">
      <c r="O5883" s="21"/>
    </row>
    <row r="5884" spans="15:15" x14ac:dyDescent="0.25">
      <c r="O5884" s="21"/>
    </row>
    <row r="5885" spans="15:15" x14ac:dyDescent="0.25">
      <c r="O5885" s="21"/>
    </row>
    <row r="5886" spans="15:15" x14ac:dyDescent="0.25">
      <c r="O5886" s="21"/>
    </row>
    <row r="5887" spans="15:15" x14ac:dyDescent="0.25">
      <c r="O5887" s="21"/>
    </row>
    <row r="5888" spans="15:15" x14ac:dyDescent="0.25">
      <c r="O5888" s="21"/>
    </row>
    <row r="5889" spans="15:15" x14ac:dyDescent="0.25">
      <c r="O5889" s="21"/>
    </row>
    <row r="5890" spans="15:15" x14ac:dyDescent="0.25">
      <c r="O5890" s="21"/>
    </row>
    <row r="5891" spans="15:15" x14ac:dyDescent="0.25">
      <c r="O5891" s="21"/>
    </row>
    <row r="5892" spans="15:15" x14ac:dyDescent="0.25">
      <c r="O5892" s="21"/>
    </row>
    <row r="5893" spans="15:15" x14ac:dyDescent="0.25">
      <c r="O5893" s="21"/>
    </row>
    <row r="5894" spans="15:15" x14ac:dyDescent="0.25">
      <c r="O5894" s="21"/>
    </row>
    <row r="5895" spans="15:15" x14ac:dyDescent="0.25">
      <c r="O5895" s="21"/>
    </row>
    <row r="5896" spans="15:15" x14ac:dyDescent="0.25">
      <c r="O5896" s="21"/>
    </row>
    <row r="5897" spans="15:15" x14ac:dyDescent="0.25">
      <c r="O5897" s="21"/>
    </row>
    <row r="5898" spans="15:15" x14ac:dyDescent="0.25">
      <c r="O5898" s="21"/>
    </row>
    <row r="5899" spans="15:15" x14ac:dyDescent="0.25">
      <c r="O5899" s="21"/>
    </row>
    <row r="5900" spans="15:15" x14ac:dyDescent="0.25">
      <c r="O5900" s="21"/>
    </row>
    <row r="5901" spans="15:15" x14ac:dyDescent="0.25">
      <c r="O5901" s="21"/>
    </row>
    <row r="5902" spans="15:15" x14ac:dyDescent="0.25">
      <c r="O5902" s="21"/>
    </row>
    <row r="5903" spans="15:15" x14ac:dyDescent="0.25">
      <c r="O5903" s="21"/>
    </row>
    <row r="5904" spans="15:15" x14ac:dyDescent="0.25">
      <c r="O5904" s="21"/>
    </row>
    <row r="5905" spans="15:15" x14ac:dyDescent="0.25">
      <c r="O5905" s="21"/>
    </row>
    <row r="5906" spans="15:15" x14ac:dyDescent="0.25">
      <c r="O5906" s="21"/>
    </row>
    <row r="5907" spans="15:15" x14ac:dyDescent="0.25">
      <c r="O5907" s="21"/>
    </row>
    <row r="5908" spans="15:15" x14ac:dyDescent="0.25">
      <c r="O5908" s="21"/>
    </row>
    <row r="5909" spans="15:15" x14ac:dyDescent="0.25">
      <c r="O5909" s="21"/>
    </row>
    <row r="5910" spans="15:15" x14ac:dyDescent="0.25">
      <c r="O5910" s="21"/>
    </row>
    <row r="5911" spans="15:15" x14ac:dyDescent="0.25">
      <c r="O5911" s="21"/>
    </row>
    <row r="5912" spans="15:15" x14ac:dyDescent="0.25">
      <c r="O5912" s="21"/>
    </row>
    <row r="5913" spans="15:15" x14ac:dyDescent="0.25">
      <c r="O5913" s="21"/>
    </row>
    <row r="5914" spans="15:15" x14ac:dyDescent="0.25">
      <c r="O5914" s="21"/>
    </row>
    <row r="5915" spans="15:15" x14ac:dyDescent="0.25">
      <c r="O5915" s="21"/>
    </row>
    <row r="5916" spans="15:15" x14ac:dyDescent="0.25">
      <c r="O5916" s="21"/>
    </row>
    <row r="5917" spans="15:15" x14ac:dyDescent="0.25">
      <c r="O5917" s="21"/>
    </row>
    <row r="5918" spans="15:15" x14ac:dyDescent="0.25">
      <c r="O5918" s="21"/>
    </row>
    <row r="5919" spans="15:15" x14ac:dyDescent="0.25">
      <c r="O5919" s="21"/>
    </row>
    <row r="5920" spans="15:15" x14ac:dyDescent="0.25">
      <c r="O5920" s="21"/>
    </row>
    <row r="5921" spans="15:15" x14ac:dyDescent="0.25">
      <c r="O5921" s="21"/>
    </row>
    <row r="5922" spans="15:15" x14ac:dyDescent="0.25">
      <c r="O5922" s="21"/>
    </row>
    <row r="5923" spans="15:15" x14ac:dyDescent="0.25">
      <c r="O5923" s="21"/>
    </row>
    <row r="5924" spans="15:15" x14ac:dyDescent="0.25">
      <c r="O5924" s="21"/>
    </row>
    <row r="5925" spans="15:15" x14ac:dyDescent="0.25">
      <c r="O5925" s="21"/>
    </row>
    <row r="5926" spans="15:15" x14ac:dyDescent="0.25">
      <c r="O5926" s="21"/>
    </row>
    <row r="5927" spans="15:15" x14ac:dyDescent="0.25">
      <c r="O5927" s="21"/>
    </row>
    <row r="5928" spans="15:15" x14ac:dyDescent="0.25">
      <c r="O5928" s="21"/>
    </row>
    <row r="5929" spans="15:15" x14ac:dyDescent="0.25">
      <c r="O5929" s="21"/>
    </row>
    <row r="5930" spans="15:15" x14ac:dyDescent="0.25">
      <c r="O5930" s="21"/>
    </row>
    <row r="5931" spans="15:15" x14ac:dyDescent="0.25">
      <c r="O5931" s="21"/>
    </row>
    <row r="5932" spans="15:15" x14ac:dyDescent="0.25">
      <c r="O5932" s="21"/>
    </row>
    <row r="5933" spans="15:15" x14ac:dyDescent="0.25">
      <c r="O5933" s="21"/>
    </row>
    <row r="5934" spans="15:15" x14ac:dyDescent="0.25">
      <c r="O5934" s="21"/>
    </row>
    <row r="5935" spans="15:15" x14ac:dyDescent="0.25">
      <c r="O5935" s="21"/>
    </row>
    <row r="5936" spans="15:15" x14ac:dyDescent="0.25">
      <c r="O5936" s="21"/>
    </row>
    <row r="5937" spans="15:15" x14ac:dyDescent="0.25">
      <c r="O5937" s="21"/>
    </row>
    <row r="5938" spans="15:15" x14ac:dyDescent="0.25">
      <c r="O5938" s="21"/>
    </row>
    <row r="5939" spans="15:15" x14ac:dyDescent="0.25">
      <c r="O5939" s="21"/>
    </row>
    <row r="5940" spans="15:15" x14ac:dyDescent="0.25">
      <c r="O5940" s="21"/>
    </row>
    <row r="5941" spans="15:15" x14ac:dyDescent="0.25">
      <c r="O5941" s="21"/>
    </row>
    <row r="5942" spans="15:15" x14ac:dyDescent="0.25">
      <c r="O5942" s="21"/>
    </row>
    <row r="5943" spans="15:15" x14ac:dyDescent="0.25">
      <c r="O5943" s="21"/>
    </row>
    <row r="5944" spans="15:15" x14ac:dyDescent="0.25">
      <c r="O5944" s="21"/>
    </row>
    <row r="5945" spans="15:15" x14ac:dyDescent="0.25">
      <c r="O5945" s="21"/>
    </row>
    <row r="5946" spans="15:15" x14ac:dyDescent="0.25">
      <c r="O5946" s="21"/>
    </row>
    <row r="5947" spans="15:15" x14ac:dyDescent="0.25">
      <c r="O5947" s="21"/>
    </row>
    <row r="5948" spans="15:15" x14ac:dyDescent="0.25">
      <c r="O5948" s="21"/>
    </row>
    <row r="5949" spans="15:15" x14ac:dyDescent="0.25">
      <c r="O5949" s="21"/>
    </row>
    <row r="5950" spans="15:15" x14ac:dyDescent="0.25">
      <c r="O5950" s="21"/>
    </row>
    <row r="5951" spans="15:15" x14ac:dyDescent="0.25">
      <c r="O5951" s="21"/>
    </row>
    <row r="5952" spans="15:15" x14ac:dyDescent="0.25">
      <c r="O5952" s="21"/>
    </row>
    <row r="5953" spans="15:15" x14ac:dyDescent="0.25">
      <c r="O5953" s="21"/>
    </row>
    <row r="5954" spans="15:15" x14ac:dyDescent="0.25">
      <c r="O5954" s="21"/>
    </row>
    <row r="5955" spans="15:15" x14ac:dyDescent="0.25">
      <c r="O5955" s="21"/>
    </row>
    <row r="5956" spans="15:15" x14ac:dyDescent="0.25">
      <c r="O5956" s="21"/>
    </row>
    <row r="5957" spans="15:15" x14ac:dyDescent="0.25">
      <c r="O5957" s="21"/>
    </row>
    <row r="5958" spans="15:15" x14ac:dyDescent="0.25">
      <c r="O5958" s="21"/>
    </row>
    <row r="5959" spans="15:15" x14ac:dyDescent="0.25">
      <c r="O5959" s="21"/>
    </row>
    <row r="5960" spans="15:15" x14ac:dyDescent="0.25">
      <c r="O5960" s="21"/>
    </row>
    <row r="5961" spans="15:15" x14ac:dyDescent="0.25">
      <c r="O5961" s="21"/>
    </row>
    <row r="5962" spans="15:15" x14ac:dyDescent="0.25">
      <c r="O5962" s="21"/>
    </row>
    <row r="5963" spans="15:15" x14ac:dyDescent="0.25">
      <c r="O5963" s="21"/>
    </row>
    <row r="5964" spans="15:15" x14ac:dyDescent="0.25">
      <c r="O5964" s="21"/>
    </row>
    <row r="5965" spans="15:15" x14ac:dyDescent="0.25">
      <c r="O5965" s="21"/>
    </row>
    <row r="5966" spans="15:15" x14ac:dyDescent="0.25">
      <c r="O5966" s="21"/>
    </row>
    <row r="5967" spans="15:15" x14ac:dyDescent="0.25">
      <c r="O5967" s="21"/>
    </row>
    <row r="5968" spans="15:15" x14ac:dyDescent="0.25">
      <c r="O5968" s="21"/>
    </row>
    <row r="5969" spans="15:15" x14ac:dyDescent="0.25">
      <c r="O5969" s="21"/>
    </row>
    <row r="5970" spans="15:15" x14ac:dyDescent="0.25">
      <c r="O5970" s="21"/>
    </row>
    <row r="5971" spans="15:15" x14ac:dyDescent="0.25">
      <c r="O5971" s="21"/>
    </row>
    <row r="5972" spans="15:15" x14ac:dyDescent="0.25">
      <c r="O5972" s="21"/>
    </row>
    <row r="5973" spans="15:15" x14ac:dyDescent="0.25">
      <c r="O5973" s="21"/>
    </row>
    <row r="5974" spans="15:15" x14ac:dyDescent="0.25">
      <c r="O5974" s="21"/>
    </row>
    <row r="5975" spans="15:15" x14ac:dyDescent="0.25">
      <c r="O5975" s="21"/>
    </row>
    <row r="5976" spans="15:15" x14ac:dyDescent="0.25">
      <c r="O5976" s="21"/>
    </row>
    <row r="5977" spans="15:15" x14ac:dyDescent="0.25">
      <c r="O5977" s="21"/>
    </row>
    <row r="5978" spans="15:15" x14ac:dyDescent="0.25">
      <c r="O5978" s="21"/>
    </row>
    <row r="5979" spans="15:15" x14ac:dyDescent="0.25">
      <c r="O5979" s="21"/>
    </row>
    <row r="5980" spans="15:15" x14ac:dyDescent="0.25">
      <c r="O5980" s="21"/>
    </row>
    <row r="5981" spans="15:15" x14ac:dyDescent="0.25">
      <c r="O5981" s="21"/>
    </row>
    <row r="5982" spans="15:15" x14ac:dyDescent="0.25">
      <c r="O5982" s="21"/>
    </row>
    <row r="5983" spans="15:15" x14ac:dyDescent="0.25">
      <c r="O5983" s="21"/>
    </row>
    <row r="5984" spans="15:15" x14ac:dyDescent="0.25">
      <c r="O5984" s="21"/>
    </row>
    <row r="5985" spans="15:15" x14ac:dyDescent="0.25">
      <c r="O5985" s="21"/>
    </row>
    <row r="5986" spans="15:15" x14ac:dyDescent="0.25">
      <c r="O5986" s="21"/>
    </row>
    <row r="5987" spans="15:15" x14ac:dyDescent="0.25">
      <c r="O5987" s="21"/>
    </row>
    <row r="5988" spans="15:15" x14ac:dyDescent="0.25">
      <c r="O5988" s="21"/>
    </row>
    <row r="5989" spans="15:15" x14ac:dyDescent="0.25">
      <c r="O5989" s="21"/>
    </row>
    <row r="5990" spans="15:15" x14ac:dyDescent="0.25">
      <c r="O5990" s="21"/>
    </row>
    <row r="5991" spans="15:15" x14ac:dyDescent="0.25">
      <c r="O5991" s="21"/>
    </row>
    <row r="5992" spans="15:15" x14ac:dyDescent="0.25">
      <c r="O5992" s="21"/>
    </row>
    <row r="5993" spans="15:15" x14ac:dyDescent="0.25">
      <c r="O5993" s="21"/>
    </row>
    <row r="5994" spans="15:15" x14ac:dyDescent="0.25">
      <c r="O5994" s="21"/>
    </row>
    <row r="5995" spans="15:15" x14ac:dyDescent="0.25">
      <c r="O5995" s="21"/>
    </row>
    <row r="5996" spans="15:15" x14ac:dyDescent="0.25">
      <c r="O5996" s="21"/>
    </row>
    <row r="5997" spans="15:15" x14ac:dyDescent="0.25">
      <c r="O5997" s="21"/>
    </row>
    <row r="5998" spans="15:15" x14ac:dyDescent="0.25">
      <c r="O5998" s="21"/>
    </row>
    <row r="5999" spans="15:15" x14ac:dyDescent="0.25">
      <c r="O5999" s="21"/>
    </row>
    <row r="6000" spans="15:15" x14ac:dyDescent="0.25">
      <c r="O6000" s="21"/>
    </row>
    <row r="6001" spans="15:15" x14ac:dyDescent="0.25">
      <c r="O6001" s="21"/>
    </row>
    <row r="6002" spans="15:15" x14ac:dyDescent="0.25">
      <c r="O6002" s="21"/>
    </row>
    <row r="6003" spans="15:15" x14ac:dyDescent="0.25">
      <c r="O6003" s="21"/>
    </row>
    <row r="6004" spans="15:15" x14ac:dyDescent="0.25">
      <c r="O6004" s="21"/>
    </row>
    <row r="6005" spans="15:15" x14ac:dyDescent="0.25">
      <c r="O6005" s="21"/>
    </row>
    <row r="6006" spans="15:15" x14ac:dyDescent="0.25">
      <c r="O6006" s="21"/>
    </row>
    <row r="6007" spans="15:15" x14ac:dyDescent="0.25">
      <c r="O6007" s="21"/>
    </row>
    <row r="6008" spans="15:15" x14ac:dyDescent="0.25">
      <c r="O6008" s="21"/>
    </row>
    <row r="6009" spans="15:15" x14ac:dyDescent="0.25">
      <c r="O6009" s="21"/>
    </row>
    <row r="6010" spans="15:15" x14ac:dyDescent="0.25">
      <c r="O6010" s="21"/>
    </row>
    <row r="6011" spans="15:15" x14ac:dyDescent="0.25">
      <c r="O6011" s="21"/>
    </row>
    <row r="6012" spans="15:15" x14ac:dyDescent="0.25">
      <c r="O6012" s="21"/>
    </row>
    <row r="6013" spans="15:15" x14ac:dyDescent="0.25">
      <c r="O6013" s="21"/>
    </row>
    <row r="6014" spans="15:15" x14ac:dyDescent="0.25">
      <c r="O6014" s="21"/>
    </row>
    <row r="6015" spans="15:15" x14ac:dyDescent="0.25">
      <c r="O6015" s="21"/>
    </row>
    <row r="6016" spans="15:15" x14ac:dyDescent="0.25">
      <c r="O6016" s="21"/>
    </row>
    <row r="6017" spans="15:15" x14ac:dyDescent="0.25">
      <c r="O6017" s="21"/>
    </row>
    <row r="6018" spans="15:15" x14ac:dyDescent="0.25">
      <c r="O6018" s="21"/>
    </row>
    <row r="6019" spans="15:15" x14ac:dyDescent="0.25">
      <c r="O6019" s="21"/>
    </row>
    <row r="6020" spans="15:15" x14ac:dyDescent="0.25">
      <c r="O6020" s="21"/>
    </row>
    <row r="6021" spans="15:15" x14ac:dyDescent="0.25">
      <c r="O6021" s="21"/>
    </row>
    <row r="6022" spans="15:15" x14ac:dyDescent="0.25">
      <c r="O6022" s="21"/>
    </row>
    <row r="6023" spans="15:15" x14ac:dyDescent="0.25">
      <c r="O6023" s="21"/>
    </row>
    <row r="6024" spans="15:15" x14ac:dyDescent="0.25">
      <c r="O6024" s="21"/>
    </row>
    <row r="6025" spans="15:15" x14ac:dyDescent="0.25">
      <c r="O6025" s="21"/>
    </row>
    <row r="6026" spans="15:15" x14ac:dyDescent="0.25">
      <c r="O6026" s="21"/>
    </row>
    <row r="6027" spans="15:15" x14ac:dyDescent="0.25">
      <c r="O6027" s="21"/>
    </row>
    <row r="6028" spans="15:15" x14ac:dyDescent="0.25">
      <c r="O6028" s="21"/>
    </row>
    <row r="6029" spans="15:15" x14ac:dyDescent="0.25">
      <c r="O6029" s="21"/>
    </row>
    <row r="6030" spans="15:15" x14ac:dyDescent="0.25">
      <c r="O6030" s="21"/>
    </row>
    <row r="6031" spans="15:15" x14ac:dyDescent="0.25">
      <c r="O6031" s="21"/>
    </row>
    <row r="6032" spans="15:15" x14ac:dyDescent="0.25">
      <c r="O6032" s="21"/>
    </row>
    <row r="6033" spans="15:15" x14ac:dyDescent="0.25">
      <c r="O6033" s="21"/>
    </row>
    <row r="6034" spans="15:15" x14ac:dyDescent="0.25">
      <c r="O6034" s="21"/>
    </row>
    <row r="6035" spans="15:15" x14ac:dyDescent="0.25">
      <c r="O6035" s="21"/>
    </row>
    <row r="6036" spans="15:15" x14ac:dyDescent="0.25">
      <c r="O6036" s="21"/>
    </row>
    <row r="6037" spans="15:15" x14ac:dyDescent="0.25">
      <c r="O6037" s="21"/>
    </row>
    <row r="6038" spans="15:15" x14ac:dyDescent="0.25">
      <c r="O6038" s="21"/>
    </row>
    <row r="6039" spans="15:15" x14ac:dyDescent="0.25">
      <c r="O6039" s="21"/>
    </row>
    <row r="6040" spans="15:15" x14ac:dyDescent="0.25">
      <c r="O6040" s="21"/>
    </row>
    <row r="6041" spans="15:15" x14ac:dyDescent="0.25">
      <c r="O6041" s="21"/>
    </row>
    <row r="6042" spans="15:15" x14ac:dyDescent="0.25">
      <c r="O6042" s="21"/>
    </row>
    <row r="6043" spans="15:15" x14ac:dyDescent="0.25">
      <c r="O6043" s="21"/>
    </row>
    <row r="6044" spans="15:15" x14ac:dyDescent="0.25">
      <c r="O6044" s="21"/>
    </row>
    <row r="6045" spans="15:15" x14ac:dyDescent="0.25">
      <c r="O6045" s="21"/>
    </row>
    <row r="6046" spans="15:15" x14ac:dyDescent="0.25">
      <c r="O6046" s="21"/>
    </row>
    <row r="6047" spans="15:15" x14ac:dyDescent="0.25">
      <c r="O6047" s="21"/>
    </row>
    <row r="6048" spans="15:15" x14ac:dyDescent="0.25">
      <c r="O6048" s="21"/>
    </row>
    <row r="6049" spans="15:15" x14ac:dyDescent="0.25">
      <c r="O6049" s="21"/>
    </row>
    <row r="6050" spans="15:15" x14ac:dyDescent="0.25">
      <c r="O6050" s="21"/>
    </row>
    <row r="6051" spans="15:15" x14ac:dyDescent="0.25">
      <c r="O6051" s="21"/>
    </row>
    <row r="6052" spans="15:15" x14ac:dyDescent="0.25">
      <c r="O6052" s="21"/>
    </row>
    <row r="6053" spans="15:15" x14ac:dyDescent="0.25">
      <c r="O6053" s="21"/>
    </row>
    <row r="6054" spans="15:15" x14ac:dyDescent="0.25">
      <c r="O6054" s="21"/>
    </row>
    <row r="6055" spans="15:15" x14ac:dyDescent="0.25">
      <c r="O6055" s="21"/>
    </row>
    <row r="6056" spans="15:15" x14ac:dyDescent="0.25">
      <c r="O6056" s="21"/>
    </row>
    <row r="6057" spans="15:15" x14ac:dyDescent="0.25">
      <c r="O6057" s="21"/>
    </row>
    <row r="6058" spans="15:15" x14ac:dyDescent="0.25">
      <c r="O6058" s="21"/>
    </row>
    <row r="6059" spans="15:15" x14ac:dyDescent="0.25">
      <c r="O6059" s="21"/>
    </row>
    <row r="6060" spans="15:15" x14ac:dyDescent="0.25">
      <c r="O6060" s="21"/>
    </row>
    <row r="6061" spans="15:15" x14ac:dyDescent="0.25">
      <c r="O6061" s="21"/>
    </row>
    <row r="6062" spans="15:15" x14ac:dyDescent="0.25">
      <c r="O6062" s="21"/>
    </row>
    <row r="6063" spans="15:15" x14ac:dyDescent="0.25">
      <c r="O6063" s="21"/>
    </row>
    <row r="6064" spans="15:15" x14ac:dyDescent="0.25">
      <c r="O6064" s="21"/>
    </row>
    <row r="6065" spans="15:15" x14ac:dyDescent="0.25">
      <c r="O6065" s="21"/>
    </row>
    <row r="6066" spans="15:15" x14ac:dyDescent="0.25">
      <c r="O6066" s="21"/>
    </row>
    <row r="6067" spans="15:15" x14ac:dyDescent="0.25">
      <c r="O6067" s="21"/>
    </row>
    <row r="6068" spans="15:15" x14ac:dyDescent="0.25">
      <c r="O6068" s="21"/>
    </row>
    <row r="6069" spans="15:15" x14ac:dyDescent="0.25">
      <c r="O6069" s="21"/>
    </row>
    <row r="6070" spans="15:15" x14ac:dyDescent="0.25">
      <c r="O6070" s="21"/>
    </row>
    <row r="6071" spans="15:15" x14ac:dyDescent="0.25">
      <c r="O6071" s="21"/>
    </row>
    <row r="6072" spans="15:15" x14ac:dyDescent="0.25">
      <c r="O6072" s="21"/>
    </row>
    <row r="6073" spans="15:15" x14ac:dyDescent="0.25">
      <c r="O6073" s="21"/>
    </row>
    <row r="6074" spans="15:15" x14ac:dyDescent="0.25">
      <c r="O6074" s="21"/>
    </row>
    <row r="6075" spans="15:15" x14ac:dyDescent="0.25">
      <c r="O6075" s="21"/>
    </row>
    <row r="6076" spans="15:15" x14ac:dyDescent="0.25">
      <c r="O6076" s="21"/>
    </row>
    <row r="6077" spans="15:15" x14ac:dyDescent="0.25">
      <c r="O6077" s="21"/>
    </row>
    <row r="6078" spans="15:15" x14ac:dyDescent="0.25">
      <c r="O6078" s="21"/>
    </row>
    <row r="6079" spans="15:15" x14ac:dyDescent="0.25">
      <c r="O6079" s="21"/>
    </row>
    <row r="6080" spans="15:15" x14ac:dyDescent="0.25">
      <c r="O6080" s="21"/>
    </row>
    <row r="6081" spans="15:15" x14ac:dyDescent="0.25">
      <c r="O6081" s="21"/>
    </row>
    <row r="6082" spans="15:15" x14ac:dyDescent="0.25">
      <c r="O6082" s="21"/>
    </row>
    <row r="6083" spans="15:15" x14ac:dyDescent="0.25">
      <c r="O6083" s="21"/>
    </row>
    <row r="6084" spans="15:15" x14ac:dyDescent="0.25">
      <c r="O6084" s="21"/>
    </row>
    <row r="6085" spans="15:15" x14ac:dyDescent="0.25">
      <c r="O6085" s="21"/>
    </row>
    <row r="6086" spans="15:15" x14ac:dyDescent="0.25">
      <c r="O6086" s="21"/>
    </row>
    <row r="6087" spans="15:15" x14ac:dyDescent="0.25">
      <c r="O6087" s="21"/>
    </row>
    <row r="6088" spans="15:15" x14ac:dyDescent="0.25">
      <c r="O6088" s="21"/>
    </row>
    <row r="6089" spans="15:15" x14ac:dyDescent="0.25">
      <c r="O6089" s="21"/>
    </row>
    <row r="6090" spans="15:15" x14ac:dyDescent="0.25">
      <c r="O6090" s="21"/>
    </row>
    <row r="6091" spans="15:15" x14ac:dyDescent="0.25">
      <c r="O6091" s="21"/>
    </row>
    <row r="6092" spans="15:15" x14ac:dyDescent="0.25">
      <c r="O6092" s="21"/>
    </row>
    <row r="6093" spans="15:15" x14ac:dyDescent="0.25">
      <c r="O6093" s="21"/>
    </row>
    <row r="6094" spans="15:15" x14ac:dyDescent="0.25">
      <c r="O6094" s="21"/>
    </row>
    <row r="6095" spans="15:15" x14ac:dyDescent="0.25">
      <c r="O6095" s="21"/>
    </row>
    <row r="6096" spans="15:15" x14ac:dyDescent="0.25">
      <c r="O6096" s="21"/>
    </row>
    <row r="6097" spans="15:15" x14ac:dyDescent="0.25">
      <c r="O6097" s="21"/>
    </row>
    <row r="6098" spans="15:15" x14ac:dyDescent="0.25">
      <c r="O6098" s="21"/>
    </row>
    <row r="6099" spans="15:15" x14ac:dyDescent="0.25">
      <c r="O6099" s="21"/>
    </row>
    <row r="6100" spans="15:15" x14ac:dyDescent="0.25">
      <c r="O6100" s="21"/>
    </row>
    <row r="6101" spans="15:15" x14ac:dyDescent="0.25">
      <c r="O6101" s="21"/>
    </row>
    <row r="6102" spans="15:15" x14ac:dyDescent="0.25">
      <c r="O6102" s="21"/>
    </row>
    <row r="6103" spans="15:15" x14ac:dyDescent="0.25">
      <c r="O6103" s="21"/>
    </row>
    <row r="6104" spans="15:15" x14ac:dyDescent="0.25">
      <c r="O6104" s="21"/>
    </row>
    <row r="6105" spans="15:15" x14ac:dyDescent="0.25">
      <c r="O6105" s="21"/>
    </row>
    <row r="6106" spans="15:15" x14ac:dyDescent="0.25">
      <c r="O6106" s="21"/>
    </row>
    <row r="6107" spans="15:15" x14ac:dyDescent="0.25">
      <c r="O6107" s="21"/>
    </row>
    <row r="6108" spans="15:15" x14ac:dyDescent="0.25">
      <c r="O6108" s="21"/>
    </row>
    <row r="6109" spans="15:15" x14ac:dyDescent="0.25">
      <c r="O6109" s="21"/>
    </row>
    <row r="6110" spans="15:15" x14ac:dyDescent="0.25">
      <c r="O6110" s="21"/>
    </row>
    <row r="6111" spans="15:15" x14ac:dyDescent="0.25">
      <c r="O6111" s="21"/>
    </row>
    <row r="6112" spans="15:15" x14ac:dyDescent="0.25">
      <c r="O6112" s="21"/>
    </row>
    <row r="6113" spans="15:15" x14ac:dyDescent="0.25">
      <c r="O6113" s="21"/>
    </row>
    <row r="6114" spans="15:15" x14ac:dyDescent="0.25">
      <c r="O6114" s="21"/>
    </row>
    <row r="6115" spans="15:15" x14ac:dyDescent="0.25">
      <c r="O6115" s="21"/>
    </row>
    <row r="6116" spans="15:15" x14ac:dyDescent="0.25">
      <c r="O6116" s="21"/>
    </row>
    <row r="6117" spans="15:15" x14ac:dyDescent="0.25">
      <c r="O6117" s="21"/>
    </row>
    <row r="6118" spans="15:15" x14ac:dyDescent="0.25">
      <c r="O6118" s="21"/>
    </row>
    <row r="6119" spans="15:15" x14ac:dyDescent="0.25">
      <c r="O6119" s="21"/>
    </row>
    <row r="6120" spans="15:15" x14ac:dyDescent="0.25">
      <c r="O6120" s="21"/>
    </row>
    <row r="6121" spans="15:15" x14ac:dyDescent="0.25">
      <c r="O6121" s="21"/>
    </row>
    <row r="6122" spans="15:15" x14ac:dyDescent="0.25">
      <c r="O6122" s="21"/>
    </row>
    <row r="6123" spans="15:15" x14ac:dyDescent="0.25">
      <c r="O6123" s="21"/>
    </row>
    <row r="6124" spans="15:15" x14ac:dyDescent="0.25">
      <c r="O6124" s="21"/>
    </row>
    <row r="6125" spans="15:15" x14ac:dyDescent="0.25">
      <c r="O6125" s="21"/>
    </row>
    <row r="6126" spans="15:15" x14ac:dyDescent="0.25">
      <c r="O6126" s="21"/>
    </row>
    <row r="6127" spans="15:15" x14ac:dyDescent="0.25">
      <c r="O6127" s="21"/>
    </row>
    <row r="6128" spans="15:15" x14ac:dyDescent="0.25">
      <c r="O6128" s="21"/>
    </row>
    <row r="6129" spans="15:15" x14ac:dyDescent="0.25">
      <c r="O6129" s="21"/>
    </row>
    <row r="6130" spans="15:15" x14ac:dyDescent="0.25">
      <c r="O6130" s="21"/>
    </row>
    <row r="6131" spans="15:15" x14ac:dyDescent="0.25">
      <c r="O6131" s="21"/>
    </row>
    <row r="6132" spans="15:15" x14ac:dyDescent="0.25">
      <c r="O6132" s="21"/>
    </row>
    <row r="6133" spans="15:15" x14ac:dyDescent="0.25">
      <c r="O6133" s="21"/>
    </row>
    <row r="6134" spans="15:15" x14ac:dyDescent="0.25">
      <c r="O6134" s="21"/>
    </row>
    <row r="6135" spans="15:15" x14ac:dyDescent="0.25">
      <c r="O6135" s="21"/>
    </row>
    <row r="6136" spans="15:15" x14ac:dyDescent="0.25">
      <c r="O6136" s="21"/>
    </row>
    <row r="6137" spans="15:15" x14ac:dyDescent="0.25">
      <c r="O6137" s="21"/>
    </row>
    <row r="6138" spans="15:15" x14ac:dyDescent="0.25">
      <c r="O6138" s="21"/>
    </row>
    <row r="6139" spans="15:15" x14ac:dyDescent="0.25">
      <c r="O6139" s="21"/>
    </row>
    <row r="6140" spans="15:15" x14ac:dyDescent="0.25">
      <c r="O6140" s="21"/>
    </row>
    <row r="6141" spans="15:15" x14ac:dyDescent="0.25">
      <c r="O6141" s="21"/>
    </row>
    <row r="6142" spans="15:15" x14ac:dyDescent="0.25">
      <c r="O6142" s="21"/>
    </row>
    <row r="6143" spans="15:15" x14ac:dyDescent="0.25">
      <c r="O6143" s="21"/>
    </row>
    <row r="6144" spans="15:15" x14ac:dyDescent="0.25">
      <c r="O6144" s="21"/>
    </row>
    <row r="6145" spans="15:15" x14ac:dyDescent="0.25">
      <c r="O6145" s="21"/>
    </row>
    <row r="6146" spans="15:15" x14ac:dyDescent="0.25">
      <c r="O6146" s="21"/>
    </row>
    <row r="6147" spans="15:15" x14ac:dyDescent="0.25">
      <c r="O6147" s="21"/>
    </row>
    <row r="6148" spans="15:15" x14ac:dyDescent="0.25">
      <c r="O6148" s="21"/>
    </row>
    <row r="6149" spans="15:15" x14ac:dyDescent="0.25">
      <c r="O6149" s="21"/>
    </row>
    <row r="6150" spans="15:15" x14ac:dyDescent="0.25">
      <c r="O6150" s="21"/>
    </row>
    <row r="6151" spans="15:15" x14ac:dyDescent="0.25">
      <c r="O6151" s="21"/>
    </row>
    <row r="6152" spans="15:15" x14ac:dyDescent="0.25">
      <c r="O6152" s="21"/>
    </row>
    <row r="6153" spans="15:15" x14ac:dyDescent="0.25">
      <c r="O6153" s="21"/>
    </row>
    <row r="6154" spans="15:15" x14ac:dyDescent="0.25">
      <c r="O6154" s="21"/>
    </row>
    <row r="6155" spans="15:15" x14ac:dyDescent="0.25">
      <c r="O6155" s="21"/>
    </row>
    <row r="6156" spans="15:15" x14ac:dyDescent="0.25">
      <c r="O6156" s="21"/>
    </row>
    <row r="6157" spans="15:15" x14ac:dyDescent="0.25">
      <c r="O6157" s="21"/>
    </row>
    <row r="6158" spans="15:15" x14ac:dyDescent="0.25">
      <c r="O6158" s="21"/>
    </row>
    <row r="6159" spans="15:15" x14ac:dyDescent="0.25">
      <c r="O6159" s="21"/>
    </row>
    <row r="6160" spans="15:15" x14ac:dyDescent="0.25">
      <c r="O6160" s="21"/>
    </row>
    <row r="6161" spans="15:15" x14ac:dyDescent="0.25">
      <c r="O6161" s="21"/>
    </row>
    <row r="6162" spans="15:15" x14ac:dyDescent="0.25">
      <c r="O6162" s="21"/>
    </row>
    <row r="6163" spans="15:15" x14ac:dyDescent="0.25">
      <c r="O6163" s="21"/>
    </row>
    <row r="6164" spans="15:15" x14ac:dyDescent="0.25">
      <c r="O6164" s="21"/>
    </row>
    <row r="6165" spans="15:15" x14ac:dyDescent="0.25">
      <c r="O6165" s="21"/>
    </row>
    <row r="6166" spans="15:15" x14ac:dyDescent="0.25">
      <c r="O6166" s="21"/>
    </row>
    <row r="6167" spans="15:15" x14ac:dyDescent="0.25">
      <c r="O6167" s="21"/>
    </row>
    <row r="6168" spans="15:15" x14ac:dyDescent="0.25">
      <c r="O6168" s="21"/>
    </row>
    <row r="6169" spans="15:15" x14ac:dyDescent="0.25">
      <c r="O6169" s="21"/>
    </row>
    <row r="6170" spans="15:15" x14ac:dyDescent="0.25">
      <c r="O6170" s="21"/>
    </row>
    <row r="6171" spans="15:15" x14ac:dyDescent="0.25">
      <c r="O6171" s="21"/>
    </row>
    <row r="6172" spans="15:15" x14ac:dyDescent="0.25">
      <c r="O6172" s="21"/>
    </row>
    <row r="6173" spans="15:15" x14ac:dyDescent="0.25">
      <c r="O6173" s="21"/>
    </row>
    <row r="6174" spans="15:15" x14ac:dyDescent="0.25">
      <c r="O6174" s="21"/>
    </row>
    <row r="6175" spans="15:15" x14ac:dyDescent="0.25">
      <c r="O6175" s="21"/>
    </row>
    <row r="6176" spans="15:15" x14ac:dyDescent="0.25">
      <c r="O6176" s="21"/>
    </row>
    <row r="6177" spans="15:15" x14ac:dyDescent="0.25">
      <c r="O6177" s="21"/>
    </row>
    <row r="6178" spans="15:15" x14ac:dyDescent="0.25">
      <c r="O6178" s="21"/>
    </row>
    <row r="6179" spans="15:15" x14ac:dyDescent="0.25">
      <c r="O6179" s="21"/>
    </row>
    <row r="6180" spans="15:15" x14ac:dyDescent="0.25">
      <c r="O6180" s="21"/>
    </row>
    <row r="6181" spans="15:15" x14ac:dyDescent="0.25">
      <c r="O6181" s="21"/>
    </row>
    <row r="6182" spans="15:15" x14ac:dyDescent="0.25">
      <c r="O6182" s="21"/>
    </row>
    <row r="6183" spans="15:15" x14ac:dyDescent="0.25">
      <c r="O6183" s="21"/>
    </row>
    <row r="6184" spans="15:15" x14ac:dyDescent="0.25">
      <c r="O6184" s="21"/>
    </row>
    <row r="6185" spans="15:15" x14ac:dyDescent="0.25">
      <c r="O6185" s="21"/>
    </row>
    <row r="6186" spans="15:15" x14ac:dyDescent="0.25">
      <c r="O6186" s="21"/>
    </row>
    <row r="6187" spans="15:15" x14ac:dyDescent="0.25">
      <c r="O6187" s="21"/>
    </row>
    <row r="6188" spans="15:15" x14ac:dyDescent="0.25">
      <c r="O6188" s="21"/>
    </row>
    <row r="6189" spans="15:15" x14ac:dyDescent="0.25">
      <c r="O6189" s="21"/>
    </row>
    <row r="6190" spans="15:15" x14ac:dyDescent="0.25">
      <c r="O6190" s="21"/>
    </row>
    <row r="6191" spans="15:15" x14ac:dyDescent="0.25">
      <c r="O6191" s="21"/>
    </row>
    <row r="6192" spans="15:15" x14ac:dyDescent="0.25">
      <c r="O6192" s="21"/>
    </row>
    <row r="6193" spans="15:15" x14ac:dyDescent="0.25">
      <c r="O6193" s="21"/>
    </row>
    <row r="6194" spans="15:15" x14ac:dyDescent="0.25">
      <c r="O6194" s="21"/>
    </row>
    <row r="6195" spans="15:15" x14ac:dyDescent="0.25">
      <c r="O6195" s="21"/>
    </row>
    <row r="6196" spans="15:15" x14ac:dyDescent="0.25">
      <c r="O6196" s="21"/>
    </row>
    <row r="6197" spans="15:15" x14ac:dyDescent="0.25">
      <c r="O6197" s="21"/>
    </row>
    <row r="6198" spans="15:15" x14ac:dyDescent="0.25">
      <c r="O6198" s="21"/>
    </row>
    <row r="6199" spans="15:15" x14ac:dyDescent="0.25">
      <c r="O6199" s="21"/>
    </row>
    <row r="6200" spans="15:15" x14ac:dyDescent="0.25">
      <c r="O6200" s="21"/>
    </row>
    <row r="6201" spans="15:15" x14ac:dyDescent="0.25">
      <c r="O6201" s="21"/>
    </row>
    <row r="6202" spans="15:15" x14ac:dyDescent="0.25">
      <c r="O6202" s="21"/>
    </row>
    <row r="6203" spans="15:15" x14ac:dyDescent="0.25">
      <c r="O6203" s="21"/>
    </row>
    <row r="6204" spans="15:15" x14ac:dyDescent="0.25">
      <c r="O6204" s="21"/>
    </row>
    <row r="6205" spans="15:15" x14ac:dyDescent="0.25">
      <c r="O6205" s="21"/>
    </row>
    <row r="6206" spans="15:15" x14ac:dyDescent="0.25">
      <c r="O6206" s="21"/>
    </row>
    <row r="6207" spans="15:15" x14ac:dyDescent="0.25">
      <c r="O6207" s="21"/>
    </row>
    <row r="6208" spans="15:15" x14ac:dyDescent="0.25">
      <c r="O6208" s="21"/>
    </row>
    <row r="6209" spans="15:15" x14ac:dyDescent="0.25">
      <c r="O6209" s="21"/>
    </row>
    <row r="6210" spans="15:15" x14ac:dyDescent="0.25">
      <c r="O6210" s="21"/>
    </row>
    <row r="6211" spans="15:15" x14ac:dyDescent="0.25">
      <c r="O6211" s="21"/>
    </row>
    <row r="6212" spans="15:15" x14ac:dyDescent="0.25">
      <c r="O6212" s="21"/>
    </row>
    <row r="6213" spans="15:15" x14ac:dyDescent="0.25">
      <c r="O6213" s="21"/>
    </row>
    <row r="6214" spans="15:15" x14ac:dyDescent="0.25">
      <c r="O6214" s="21"/>
    </row>
    <row r="6215" spans="15:15" x14ac:dyDescent="0.25">
      <c r="O6215" s="21"/>
    </row>
    <row r="6216" spans="15:15" x14ac:dyDescent="0.25">
      <c r="O6216" s="21"/>
    </row>
    <row r="6217" spans="15:15" x14ac:dyDescent="0.25">
      <c r="O6217" s="21"/>
    </row>
    <row r="6218" spans="15:15" x14ac:dyDescent="0.25">
      <c r="O6218" s="21"/>
    </row>
    <row r="6219" spans="15:15" x14ac:dyDescent="0.25">
      <c r="O6219" s="21"/>
    </row>
    <row r="6220" spans="15:15" x14ac:dyDescent="0.25">
      <c r="O6220" s="21"/>
    </row>
    <row r="6221" spans="15:15" x14ac:dyDescent="0.25">
      <c r="O6221" s="21"/>
    </row>
    <row r="6222" spans="15:15" x14ac:dyDescent="0.25">
      <c r="O6222" s="21"/>
    </row>
    <row r="6223" spans="15:15" x14ac:dyDescent="0.25">
      <c r="O6223" s="21"/>
    </row>
    <row r="6224" spans="15:15" x14ac:dyDescent="0.25">
      <c r="O6224" s="21"/>
    </row>
    <row r="6225" spans="15:15" x14ac:dyDescent="0.25">
      <c r="O6225" s="21"/>
    </row>
    <row r="6226" spans="15:15" x14ac:dyDescent="0.25">
      <c r="O6226" s="21"/>
    </row>
    <row r="6227" spans="15:15" x14ac:dyDescent="0.25">
      <c r="O6227" s="21"/>
    </row>
    <row r="6228" spans="15:15" x14ac:dyDescent="0.25">
      <c r="O6228" s="21"/>
    </row>
    <row r="6229" spans="15:15" x14ac:dyDescent="0.25">
      <c r="O6229" s="21"/>
    </row>
    <row r="6230" spans="15:15" x14ac:dyDescent="0.25">
      <c r="O6230" s="21"/>
    </row>
    <row r="6231" spans="15:15" x14ac:dyDescent="0.25">
      <c r="O6231" s="21"/>
    </row>
    <row r="6232" spans="15:15" x14ac:dyDescent="0.25">
      <c r="O6232" s="21"/>
    </row>
    <row r="6233" spans="15:15" x14ac:dyDescent="0.25">
      <c r="O6233" s="21"/>
    </row>
    <row r="6234" spans="15:15" x14ac:dyDescent="0.25">
      <c r="O6234" s="21"/>
    </row>
    <row r="6235" spans="15:15" x14ac:dyDescent="0.25">
      <c r="O6235" s="21"/>
    </row>
    <row r="6236" spans="15:15" x14ac:dyDescent="0.25">
      <c r="O6236" s="21"/>
    </row>
    <row r="6237" spans="15:15" x14ac:dyDescent="0.25">
      <c r="O6237" s="21"/>
    </row>
    <row r="6238" spans="15:15" x14ac:dyDescent="0.25">
      <c r="O6238" s="21"/>
    </row>
    <row r="6239" spans="15:15" x14ac:dyDescent="0.25">
      <c r="O6239" s="21"/>
    </row>
    <row r="6240" spans="15:15" x14ac:dyDescent="0.25">
      <c r="O6240" s="21"/>
    </row>
    <row r="6241" spans="15:15" x14ac:dyDescent="0.25">
      <c r="O6241" s="21"/>
    </row>
    <row r="6242" spans="15:15" x14ac:dyDescent="0.25">
      <c r="O6242" s="21"/>
    </row>
    <row r="6243" spans="15:15" x14ac:dyDescent="0.25">
      <c r="O6243" s="21"/>
    </row>
    <row r="6244" spans="15:15" x14ac:dyDescent="0.25">
      <c r="O6244" s="21"/>
    </row>
    <row r="6245" spans="15:15" x14ac:dyDescent="0.25">
      <c r="O6245" s="21"/>
    </row>
    <row r="6246" spans="15:15" x14ac:dyDescent="0.25">
      <c r="O6246" s="21"/>
    </row>
    <row r="6247" spans="15:15" x14ac:dyDescent="0.25">
      <c r="O6247" s="21"/>
    </row>
    <row r="6248" spans="15:15" x14ac:dyDescent="0.25">
      <c r="O6248" s="21"/>
    </row>
    <row r="6249" spans="15:15" x14ac:dyDescent="0.25">
      <c r="O6249" s="21"/>
    </row>
    <row r="6250" spans="15:15" x14ac:dyDescent="0.25">
      <c r="O6250" s="21"/>
    </row>
    <row r="6251" spans="15:15" x14ac:dyDescent="0.25">
      <c r="O6251" s="21"/>
    </row>
    <row r="6252" spans="15:15" x14ac:dyDescent="0.25">
      <c r="O6252" s="21"/>
    </row>
    <row r="6253" spans="15:15" x14ac:dyDescent="0.25">
      <c r="O6253" s="21"/>
    </row>
    <row r="6254" spans="15:15" x14ac:dyDescent="0.25">
      <c r="O6254" s="21"/>
    </row>
    <row r="6255" spans="15:15" x14ac:dyDescent="0.25">
      <c r="O6255" s="21"/>
    </row>
    <row r="6256" spans="15:15" x14ac:dyDescent="0.25">
      <c r="O6256" s="21"/>
    </row>
    <row r="6257" spans="15:15" x14ac:dyDescent="0.25">
      <c r="O6257" s="21"/>
    </row>
    <row r="6258" spans="15:15" x14ac:dyDescent="0.25">
      <c r="O6258" s="21"/>
    </row>
    <row r="6259" spans="15:15" x14ac:dyDescent="0.25">
      <c r="O6259" s="21"/>
    </row>
    <row r="6260" spans="15:15" x14ac:dyDescent="0.25">
      <c r="O6260" s="21"/>
    </row>
    <row r="6261" spans="15:15" x14ac:dyDescent="0.25">
      <c r="O6261" s="21"/>
    </row>
    <row r="6262" spans="15:15" x14ac:dyDescent="0.25">
      <c r="O6262" s="21"/>
    </row>
    <row r="6263" spans="15:15" x14ac:dyDescent="0.25">
      <c r="O6263" s="21"/>
    </row>
    <row r="6264" spans="15:15" x14ac:dyDescent="0.25">
      <c r="O6264" s="21"/>
    </row>
    <row r="6265" spans="15:15" x14ac:dyDescent="0.25">
      <c r="O6265" s="21"/>
    </row>
    <row r="6266" spans="15:15" x14ac:dyDescent="0.25">
      <c r="O6266" s="21"/>
    </row>
    <row r="6267" spans="15:15" x14ac:dyDescent="0.25">
      <c r="O6267" s="21"/>
    </row>
    <row r="6268" spans="15:15" x14ac:dyDescent="0.25">
      <c r="O6268" s="21"/>
    </row>
    <row r="6269" spans="15:15" x14ac:dyDescent="0.25">
      <c r="O6269" s="21"/>
    </row>
    <row r="6270" spans="15:15" x14ac:dyDescent="0.25">
      <c r="O6270" s="21"/>
    </row>
    <row r="6271" spans="15:15" x14ac:dyDescent="0.25">
      <c r="O6271" s="21"/>
    </row>
    <row r="6272" spans="15:15" x14ac:dyDescent="0.25">
      <c r="O6272" s="21"/>
    </row>
    <row r="6273" spans="15:15" x14ac:dyDescent="0.25">
      <c r="O6273" s="21"/>
    </row>
    <row r="6274" spans="15:15" x14ac:dyDescent="0.25">
      <c r="O6274" s="21"/>
    </row>
    <row r="6275" spans="15:15" x14ac:dyDescent="0.25">
      <c r="O6275" s="21"/>
    </row>
    <row r="6276" spans="15:15" x14ac:dyDescent="0.25">
      <c r="O6276" s="21"/>
    </row>
    <row r="6277" spans="15:15" x14ac:dyDescent="0.25">
      <c r="O6277" s="21"/>
    </row>
    <row r="6278" spans="15:15" x14ac:dyDescent="0.25">
      <c r="O6278" s="21"/>
    </row>
    <row r="6279" spans="15:15" x14ac:dyDescent="0.25">
      <c r="O6279" s="21"/>
    </row>
    <row r="6280" spans="15:15" x14ac:dyDescent="0.25">
      <c r="O6280" s="21"/>
    </row>
    <row r="6281" spans="15:15" x14ac:dyDescent="0.25">
      <c r="O6281" s="21"/>
    </row>
    <row r="6282" spans="15:15" x14ac:dyDescent="0.25">
      <c r="O6282" s="21"/>
    </row>
    <row r="6283" spans="15:15" x14ac:dyDescent="0.25">
      <c r="O6283" s="21"/>
    </row>
    <row r="6284" spans="15:15" x14ac:dyDescent="0.25">
      <c r="O6284" s="21"/>
    </row>
    <row r="6285" spans="15:15" x14ac:dyDescent="0.25">
      <c r="O6285" s="21"/>
    </row>
    <row r="6286" spans="15:15" x14ac:dyDescent="0.25">
      <c r="O6286" s="21"/>
    </row>
    <row r="6287" spans="15:15" x14ac:dyDescent="0.25">
      <c r="O6287" s="21"/>
    </row>
    <row r="6288" spans="15:15" x14ac:dyDescent="0.25">
      <c r="O6288" s="21"/>
    </row>
    <row r="6289" spans="15:15" x14ac:dyDescent="0.25">
      <c r="O6289" s="21"/>
    </row>
    <row r="6290" spans="15:15" x14ac:dyDescent="0.25">
      <c r="O6290" s="21"/>
    </row>
    <row r="6291" spans="15:15" x14ac:dyDescent="0.25">
      <c r="O6291" s="21"/>
    </row>
    <row r="6292" spans="15:15" x14ac:dyDescent="0.25">
      <c r="O6292" s="21"/>
    </row>
    <row r="6293" spans="15:15" x14ac:dyDescent="0.25">
      <c r="O6293" s="21"/>
    </row>
    <row r="6294" spans="15:15" x14ac:dyDescent="0.25">
      <c r="O6294" s="21"/>
    </row>
    <row r="6295" spans="15:15" x14ac:dyDescent="0.25">
      <c r="O6295" s="21"/>
    </row>
    <row r="6296" spans="15:15" x14ac:dyDescent="0.25">
      <c r="O6296" s="21"/>
    </row>
    <row r="6297" spans="15:15" x14ac:dyDescent="0.25">
      <c r="O6297" s="21"/>
    </row>
    <row r="6298" spans="15:15" x14ac:dyDescent="0.25">
      <c r="O6298" s="21"/>
    </row>
    <row r="6299" spans="15:15" x14ac:dyDescent="0.25">
      <c r="O6299" s="21"/>
    </row>
    <row r="6300" spans="15:15" x14ac:dyDescent="0.25">
      <c r="O6300" s="21"/>
    </row>
    <row r="6301" spans="15:15" x14ac:dyDescent="0.25">
      <c r="O6301" s="21"/>
    </row>
    <row r="6302" spans="15:15" x14ac:dyDescent="0.25">
      <c r="O6302" s="21"/>
    </row>
    <row r="6303" spans="15:15" x14ac:dyDescent="0.25">
      <c r="O6303" s="21"/>
    </row>
    <row r="6304" spans="15:15" x14ac:dyDescent="0.25">
      <c r="O6304" s="21"/>
    </row>
    <row r="6305" spans="15:15" x14ac:dyDescent="0.25">
      <c r="O6305" s="21"/>
    </row>
    <row r="6306" spans="15:15" x14ac:dyDescent="0.25">
      <c r="O6306" s="21"/>
    </row>
    <row r="6307" spans="15:15" x14ac:dyDescent="0.25">
      <c r="O6307" s="21"/>
    </row>
    <row r="6308" spans="15:15" x14ac:dyDescent="0.25">
      <c r="O6308" s="21"/>
    </row>
    <row r="6309" spans="15:15" x14ac:dyDescent="0.25">
      <c r="O6309" s="21"/>
    </row>
    <row r="6310" spans="15:15" x14ac:dyDescent="0.25">
      <c r="O6310" s="21"/>
    </row>
    <row r="6311" spans="15:15" x14ac:dyDescent="0.25">
      <c r="O6311" s="21"/>
    </row>
    <row r="6312" spans="15:15" x14ac:dyDescent="0.25">
      <c r="O6312" s="21"/>
    </row>
    <row r="6313" spans="15:15" x14ac:dyDescent="0.25">
      <c r="O6313" s="21"/>
    </row>
    <row r="6314" spans="15:15" x14ac:dyDescent="0.25">
      <c r="O6314" s="21"/>
    </row>
    <row r="6315" spans="15:15" x14ac:dyDescent="0.25">
      <c r="O6315" s="21"/>
    </row>
    <row r="6316" spans="15:15" x14ac:dyDescent="0.25">
      <c r="O6316" s="21"/>
    </row>
    <row r="6317" spans="15:15" x14ac:dyDescent="0.25">
      <c r="O6317" s="21"/>
    </row>
    <row r="6318" spans="15:15" x14ac:dyDescent="0.25">
      <c r="O6318" s="21"/>
    </row>
    <row r="6319" spans="15:15" x14ac:dyDescent="0.25">
      <c r="O6319" s="21"/>
    </row>
    <row r="6320" spans="15:15" x14ac:dyDescent="0.25">
      <c r="O6320" s="21"/>
    </row>
    <row r="6321" spans="15:15" x14ac:dyDescent="0.25">
      <c r="O6321" s="21"/>
    </row>
    <row r="6322" spans="15:15" x14ac:dyDescent="0.25">
      <c r="O6322" s="21"/>
    </row>
    <row r="6323" spans="15:15" x14ac:dyDescent="0.25">
      <c r="O6323" s="21"/>
    </row>
    <row r="6324" spans="15:15" x14ac:dyDescent="0.25">
      <c r="O6324" s="21"/>
    </row>
    <row r="6325" spans="15:15" x14ac:dyDescent="0.25">
      <c r="O6325" s="21"/>
    </row>
    <row r="6326" spans="15:15" x14ac:dyDescent="0.25">
      <c r="O6326" s="21"/>
    </row>
    <row r="6327" spans="15:15" x14ac:dyDescent="0.25">
      <c r="O6327" s="21"/>
    </row>
    <row r="6328" spans="15:15" x14ac:dyDescent="0.25">
      <c r="O6328" s="21"/>
    </row>
    <row r="6329" spans="15:15" x14ac:dyDescent="0.25">
      <c r="O6329" s="21"/>
    </row>
    <row r="6330" spans="15:15" x14ac:dyDescent="0.25">
      <c r="O6330" s="21"/>
    </row>
    <row r="6331" spans="15:15" x14ac:dyDescent="0.25">
      <c r="O6331" s="21"/>
    </row>
    <row r="6332" spans="15:15" x14ac:dyDescent="0.25">
      <c r="O6332" s="21"/>
    </row>
    <row r="6333" spans="15:15" x14ac:dyDescent="0.25">
      <c r="O6333" s="21"/>
    </row>
    <row r="6334" spans="15:15" x14ac:dyDescent="0.25">
      <c r="O6334" s="21"/>
    </row>
    <row r="6335" spans="15:15" x14ac:dyDescent="0.25">
      <c r="O6335" s="21"/>
    </row>
    <row r="6336" spans="15:15" x14ac:dyDescent="0.25">
      <c r="O6336" s="21"/>
    </row>
    <row r="6337" spans="15:15" x14ac:dyDescent="0.25">
      <c r="O6337" s="21"/>
    </row>
    <row r="6338" spans="15:15" x14ac:dyDescent="0.25">
      <c r="O6338" s="21"/>
    </row>
    <row r="6339" spans="15:15" x14ac:dyDescent="0.25">
      <c r="O6339" s="21"/>
    </row>
    <row r="6340" spans="15:15" x14ac:dyDescent="0.25">
      <c r="O6340" s="21"/>
    </row>
    <row r="6341" spans="15:15" x14ac:dyDescent="0.25">
      <c r="O6341" s="21"/>
    </row>
    <row r="6342" spans="15:15" x14ac:dyDescent="0.25">
      <c r="O6342" s="21"/>
    </row>
    <row r="6343" spans="15:15" x14ac:dyDescent="0.25">
      <c r="O6343" s="21"/>
    </row>
    <row r="6344" spans="15:15" x14ac:dyDescent="0.25">
      <c r="O6344" s="21"/>
    </row>
    <row r="6345" spans="15:15" x14ac:dyDescent="0.25">
      <c r="O6345" s="21"/>
    </row>
    <row r="6346" spans="15:15" x14ac:dyDescent="0.25">
      <c r="O6346" s="21"/>
    </row>
    <row r="6347" spans="15:15" x14ac:dyDescent="0.25">
      <c r="O6347" s="21"/>
    </row>
    <row r="6348" spans="15:15" x14ac:dyDescent="0.25">
      <c r="O6348" s="21"/>
    </row>
    <row r="6349" spans="15:15" x14ac:dyDescent="0.25">
      <c r="O6349" s="21"/>
    </row>
    <row r="6350" spans="15:15" x14ac:dyDescent="0.25">
      <c r="O6350" s="21"/>
    </row>
    <row r="6351" spans="15:15" x14ac:dyDescent="0.25">
      <c r="O6351" s="21"/>
    </row>
    <row r="6352" spans="15:15" x14ac:dyDescent="0.25">
      <c r="O6352" s="21"/>
    </row>
    <row r="6353" spans="15:15" x14ac:dyDescent="0.25">
      <c r="O6353" s="21"/>
    </row>
    <row r="6354" spans="15:15" x14ac:dyDescent="0.25">
      <c r="O6354" s="21"/>
    </row>
    <row r="6355" spans="15:15" x14ac:dyDescent="0.25">
      <c r="O6355" s="21"/>
    </row>
    <row r="6356" spans="15:15" x14ac:dyDescent="0.25">
      <c r="O6356" s="21"/>
    </row>
    <row r="6357" spans="15:15" x14ac:dyDescent="0.25">
      <c r="O6357" s="21"/>
    </row>
    <row r="6358" spans="15:15" x14ac:dyDescent="0.25">
      <c r="O6358" s="21"/>
    </row>
    <row r="6359" spans="15:15" x14ac:dyDescent="0.25">
      <c r="O6359" s="21"/>
    </row>
    <row r="6360" spans="15:15" x14ac:dyDescent="0.25">
      <c r="O6360" s="21"/>
    </row>
    <row r="6361" spans="15:15" x14ac:dyDescent="0.25">
      <c r="O6361" s="21"/>
    </row>
    <row r="6362" spans="15:15" x14ac:dyDescent="0.25">
      <c r="O6362" s="21"/>
    </row>
    <row r="6363" spans="15:15" x14ac:dyDescent="0.25">
      <c r="O6363" s="21"/>
    </row>
    <row r="6364" spans="15:15" x14ac:dyDescent="0.25">
      <c r="O6364" s="21"/>
    </row>
    <row r="6365" spans="15:15" x14ac:dyDescent="0.25">
      <c r="O6365" s="21"/>
    </row>
    <row r="6366" spans="15:15" x14ac:dyDescent="0.25">
      <c r="O6366" s="21"/>
    </row>
    <row r="6367" spans="15:15" x14ac:dyDescent="0.25">
      <c r="O6367" s="21"/>
    </row>
    <row r="6368" spans="15:15" x14ac:dyDescent="0.25">
      <c r="O6368" s="21"/>
    </row>
    <row r="6369" spans="15:15" x14ac:dyDescent="0.25">
      <c r="O6369" s="21"/>
    </row>
    <row r="6370" spans="15:15" x14ac:dyDescent="0.25">
      <c r="O6370" s="21"/>
    </row>
    <row r="6371" spans="15:15" x14ac:dyDescent="0.25">
      <c r="O6371" s="21"/>
    </row>
    <row r="6372" spans="15:15" x14ac:dyDescent="0.25">
      <c r="O6372" s="21"/>
    </row>
    <row r="6373" spans="15:15" x14ac:dyDescent="0.25">
      <c r="O6373" s="21"/>
    </row>
    <row r="6374" spans="15:15" x14ac:dyDescent="0.25">
      <c r="O6374" s="21"/>
    </row>
    <row r="6375" spans="15:15" x14ac:dyDescent="0.25">
      <c r="O6375" s="21"/>
    </row>
    <row r="6376" spans="15:15" x14ac:dyDescent="0.25">
      <c r="O6376" s="21"/>
    </row>
    <row r="6377" spans="15:15" x14ac:dyDescent="0.25">
      <c r="O6377" s="21"/>
    </row>
    <row r="6378" spans="15:15" x14ac:dyDescent="0.25">
      <c r="O6378" s="21"/>
    </row>
    <row r="6379" spans="15:15" x14ac:dyDescent="0.25">
      <c r="O6379" s="21"/>
    </row>
    <row r="6380" spans="15:15" x14ac:dyDescent="0.25">
      <c r="O6380" s="21"/>
    </row>
    <row r="6381" spans="15:15" x14ac:dyDescent="0.25">
      <c r="O6381" s="21"/>
    </row>
    <row r="6382" spans="15:15" x14ac:dyDescent="0.25">
      <c r="O6382" s="21"/>
    </row>
    <row r="6383" spans="15:15" x14ac:dyDescent="0.25">
      <c r="O6383" s="21"/>
    </row>
    <row r="6384" spans="15:15" x14ac:dyDescent="0.25">
      <c r="O6384" s="21"/>
    </row>
    <row r="6385" spans="15:15" x14ac:dyDescent="0.25">
      <c r="O6385" s="21"/>
    </row>
    <row r="6386" spans="15:15" x14ac:dyDescent="0.25">
      <c r="O6386" s="21"/>
    </row>
    <row r="6387" spans="15:15" x14ac:dyDescent="0.25">
      <c r="O6387" s="21"/>
    </row>
    <row r="6388" spans="15:15" x14ac:dyDescent="0.25">
      <c r="O6388" s="21"/>
    </row>
    <row r="6389" spans="15:15" x14ac:dyDescent="0.25">
      <c r="O6389" s="21"/>
    </row>
    <row r="6390" spans="15:15" x14ac:dyDescent="0.25">
      <c r="O6390" s="21"/>
    </row>
    <row r="6391" spans="15:15" x14ac:dyDescent="0.25">
      <c r="O6391" s="21"/>
    </row>
    <row r="6392" spans="15:15" x14ac:dyDescent="0.25">
      <c r="O6392" s="21"/>
    </row>
    <row r="6393" spans="15:15" x14ac:dyDescent="0.25">
      <c r="O6393" s="21"/>
    </row>
    <row r="6394" spans="15:15" x14ac:dyDescent="0.25">
      <c r="O6394" s="21"/>
    </row>
    <row r="6395" spans="15:15" x14ac:dyDescent="0.25">
      <c r="O6395" s="21"/>
    </row>
    <row r="6396" spans="15:15" x14ac:dyDescent="0.25">
      <c r="O6396" s="21"/>
    </row>
    <row r="6397" spans="15:15" x14ac:dyDescent="0.25">
      <c r="O6397" s="21"/>
    </row>
    <row r="6398" spans="15:15" x14ac:dyDescent="0.25">
      <c r="O6398" s="21"/>
    </row>
    <row r="6399" spans="15:15" x14ac:dyDescent="0.25">
      <c r="O6399" s="21"/>
    </row>
    <row r="6400" spans="15:15" x14ac:dyDescent="0.25">
      <c r="O6400" s="21"/>
    </row>
    <row r="6401" spans="15:15" x14ac:dyDescent="0.25">
      <c r="O6401" s="21"/>
    </row>
    <row r="6402" spans="15:15" x14ac:dyDescent="0.25">
      <c r="O6402" s="21"/>
    </row>
    <row r="6403" spans="15:15" x14ac:dyDescent="0.25">
      <c r="O6403" s="21"/>
    </row>
    <row r="6404" spans="15:15" x14ac:dyDescent="0.25">
      <c r="O6404" s="21"/>
    </row>
    <row r="6405" spans="15:15" x14ac:dyDescent="0.25">
      <c r="O6405" s="21"/>
    </row>
    <row r="6406" spans="15:15" x14ac:dyDescent="0.25">
      <c r="O6406" s="21"/>
    </row>
    <row r="6407" spans="15:15" x14ac:dyDescent="0.25">
      <c r="O6407" s="21"/>
    </row>
    <row r="6408" spans="15:15" x14ac:dyDescent="0.25">
      <c r="O6408" s="21"/>
    </row>
    <row r="6409" spans="15:15" x14ac:dyDescent="0.25">
      <c r="O6409" s="21"/>
    </row>
    <row r="6410" spans="15:15" x14ac:dyDescent="0.25">
      <c r="O6410" s="21"/>
    </row>
    <row r="6411" spans="15:15" x14ac:dyDescent="0.25">
      <c r="O6411" s="21"/>
    </row>
    <row r="6412" spans="15:15" x14ac:dyDescent="0.25">
      <c r="O6412" s="21"/>
    </row>
    <row r="6413" spans="15:15" x14ac:dyDescent="0.25">
      <c r="O6413" s="21"/>
    </row>
    <row r="6414" spans="15:15" x14ac:dyDescent="0.25">
      <c r="O6414" s="21"/>
    </row>
    <row r="6415" spans="15:15" x14ac:dyDescent="0.25">
      <c r="O6415" s="21"/>
    </row>
    <row r="6416" spans="15:15" x14ac:dyDescent="0.25">
      <c r="O6416" s="21"/>
    </row>
    <row r="6417" spans="15:15" x14ac:dyDescent="0.25">
      <c r="O6417" s="21"/>
    </row>
    <row r="6418" spans="15:15" x14ac:dyDescent="0.25">
      <c r="O6418" s="21"/>
    </row>
    <row r="6419" spans="15:15" x14ac:dyDescent="0.25">
      <c r="O6419" s="21"/>
    </row>
    <row r="6420" spans="15:15" x14ac:dyDescent="0.25">
      <c r="O6420" s="21"/>
    </row>
    <row r="6421" spans="15:15" x14ac:dyDescent="0.25">
      <c r="O6421" s="21"/>
    </row>
    <row r="6422" spans="15:15" x14ac:dyDescent="0.25">
      <c r="O6422" s="21"/>
    </row>
    <row r="6423" spans="15:15" x14ac:dyDescent="0.25">
      <c r="O6423" s="21"/>
    </row>
    <row r="6424" spans="15:15" x14ac:dyDescent="0.25">
      <c r="O6424" s="21"/>
    </row>
    <row r="6425" spans="15:15" x14ac:dyDescent="0.25">
      <c r="O6425" s="21"/>
    </row>
    <row r="6426" spans="15:15" x14ac:dyDescent="0.25">
      <c r="O6426" s="21"/>
    </row>
    <row r="6427" spans="15:15" x14ac:dyDescent="0.25">
      <c r="O6427" s="21"/>
    </row>
    <row r="6428" spans="15:15" x14ac:dyDescent="0.25">
      <c r="O6428" s="21"/>
    </row>
    <row r="6429" spans="15:15" x14ac:dyDescent="0.25">
      <c r="O6429" s="21"/>
    </row>
    <row r="6430" spans="15:15" x14ac:dyDescent="0.25">
      <c r="O6430" s="21"/>
    </row>
    <row r="6431" spans="15:15" x14ac:dyDescent="0.25">
      <c r="O6431" s="21"/>
    </row>
    <row r="6432" spans="15:15" x14ac:dyDescent="0.25">
      <c r="O6432" s="21"/>
    </row>
    <row r="6433" spans="15:15" x14ac:dyDescent="0.25">
      <c r="O6433" s="21"/>
    </row>
    <row r="6434" spans="15:15" x14ac:dyDescent="0.25">
      <c r="O6434" s="21"/>
    </row>
    <row r="6435" spans="15:15" x14ac:dyDescent="0.25">
      <c r="O6435" s="21"/>
    </row>
    <row r="6436" spans="15:15" x14ac:dyDescent="0.25">
      <c r="O6436" s="21"/>
    </row>
    <row r="6437" spans="15:15" x14ac:dyDescent="0.25">
      <c r="O6437" s="21"/>
    </row>
    <row r="6438" spans="15:15" x14ac:dyDescent="0.25">
      <c r="O6438" s="21"/>
    </row>
    <row r="6439" spans="15:15" x14ac:dyDescent="0.25">
      <c r="O6439" s="21"/>
    </row>
    <row r="6440" spans="15:15" x14ac:dyDescent="0.25">
      <c r="O6440" s="21"/>
    </row>
    <row r="6441" spans="15:15" x14ac:dyDescent="0.25">
      <c r="O6441" s="21"/>
    </row>
    <row r="6442" spans="15:15" x14ac:dyDescent="0.25">
      <c r="O6442" s="21"/>
    </row>
    <row r="6443" spans="15:15" x14ac:dyDescent="0.25">
      <c r="O6443" s="21"/>
    </row>
    <row r="6444" spans="15:15" x14ac:dyDescent="0.25">
      <c r="O6444" s="21"/>
    </row>
    <row r="6445" spans="15:15" x14ac:dyDescent="0.25">
      <c r="O6445" s="21"/>
    </row>
    <row r="6446" spans="15:15" x14ac:dyDescent="0.25">
      <c r="O6446" s="21"/>
    </row>
    <row r="6447" spans="15:15" x14ac:dyDescent="0.25">
      <c r="O6447" s="21"/>
    </row>
    <row r="6448" spans="15:15" x14ac:dyDescent="0.25">
      <c r="O6448" s="21"/>
    </row>
    <row r="6449" spans="15:15" x14ac:dyDescent="0.25">
      <c r="O6449" s="21"/>
    </row>
    <row r="6450" spans="15:15" x14ac:dyDescent="0.25">
      <c r="O6450" s="21"/>
    </row>
    <row r="6451" spans="15:15" x14ac:dyDescent="0.25">
      <c r="O6451" s="21"/>
    </row>
    <row r="6452" spans="15:15" x14ac:dyDescent="0.25">
      <c r="O6452" s="21"/>
    </row>
    <row r="6453" spans="15:15" x14ac:dyDescent="0.25">
      <c r="O6453" s="21"/>
    </row>
    <row r="6454" spans="15:15" x14ac:dyDescent="0.25">
      <c r="O6454" s="21"/>
    </row>
    <row r="6455" spans="15:15" x14ac:dyDescent="0.25">
      <c r="O6455" s="21"/>
    </row>
    <row r="6456" spans="15:15" x14ac:dyDescent="0.25">
      <c r="O6456" s="21"/>
    </row>
    <row r="6457" spans="15:15" x14ac:dyDescent="0.25">
      <c r="O6457" s="21"/>
    </row>
    <row r="6458" spans="15:15" x14ac:dyDescent="0.25">
      <c r="O6458" s="21"/>
    </row>
    <row r="6459" spans="15:15" x14ac:dyDescent="0.25">
      <c r="O6459" s="21"/>
    </row>
    <row r="6460" spans="15:15" x14ac:dyDescent="0.25">
      <c r="O6460" s="21"/>
    </row>
    <row r="6461" spans="15:15" x14ac:dyDescent="0.25">
      <c r="O6461" s="21"/>
    </row>
    <row r="6462" spans="15:15" x14ac:dyDescent="0.25">
      <c r="O6462" s="21"/>
    </row>
    <row r="6463" spans="15:15" x14ac:dyDescent="0.25">
      <c r="O6463" s="21"/>
    </row>
    <row r="6464" spans="15:15" x14ac:dyDescent="0.25">
      <c r="O6464" s="21"/>
    </row>
    <row r="6465" spans="15:15" x14ac:dyDescent="0.25">
      <c r="O6465" s="21"/>
    </row>
    <row r="6466" spans="15:15" x14ac:dyDescent="0.25">
      <c r="O6466" s="21"/>
    </row>
    <row r="6467" spans="15:15" x14ac:dyDescent="0.25">
      <c r="O6467" s="21"/>
    </row>
    <row r="6468" spans="15:15" x14ac:dyDescent="0.25">
      <c r="O6468" s="21"/>
    </row>
    <row r="6469" spans="15:15" x14ac:dyDescent="0.25">
      <c r="O6469" s="21"/>
    </row>
    <row r="6470" spans="15:15" x14ac:dyDescent="0.25">
      <c r="O6470" s="21"/>
    </row>
    <row r="6471" spans="15:15" x14ac:dyDescent="0.25">
      <c r="O6471" s="21"/>
    </row>
    <row r="6472" spans="15:15" x14ac:dyDescent="0.25">
      <c r="O6472" s="21"/>
    </row>
    <row r="6473" spans="15:15" x14ac:dyDescent="0.25">
      <c r="O6473" s="21"/>
    </row>
    <row r="6474" spans="15:15" x14ac:dyDescent="0.25">
      <c r="O6474" s="21"/>
    </row>
    <row r="6475" spans="15:15" x14ac:dyDescent="0.25">
      <c r="O6475" s="21"/>
    </row>
    <row r="6476" spans="15:15" x14ac:dyDescent="0.25">
      <c r="O6476" s="21"/>
    </row>
    <row r="6477" spans="15:15" x14ac:dyDescent="0.25">
      <c r="O6477" s="21"/>
    </row>
    <row r="6478" spans="15:15" x14ac:dyDescent="0.25">
      <c r="O6478" s="21"/>
    </row>
    <row r="6479" spans="15:15" x14ac:dyDescent="0.25">
      <c r="O6479" s="21"/>
    </row>
    <row r="6480" spans="15:15" x14ac:dyDescent="0.25">
      <c r="O6480" s="21"/>
    </row>
    <row r="6481" spans="15:15" x14ac:dyDescent="0.25">
      <c r="O6481" s="21"/>
    </row>
    <row r="6482" spans="15:15" x14ac:dyDescent="0.25">
      <c r="O6482" s="21"/>
    </row>
    <row r="6483" spans="15:15" x14ac:dyDescent="0.25">
      <c r="O6483" s="21"/>
    </row>
    <row r="6484" spans="15:15" x14ac:dyDescent="0.25">
      <c r="O6484" s="21"/>
    </row>
    <row r="6485" spans="15:15" x14ac:dyDescent="0.25">
      <c r="O6485" s="21"/>
    </row>
    <row r="6486" spans="15:15" x14ac:dyDescent="0.25">
      <c r="O6486" s="21"/>
    </row>
    <row r="6487" spans="15:15" x14ac:dyDescent="0.25">
      <c r="O6487" s="21"/>
    </row>
    <row r="6488" spans="15:15" x14ac:dyDescent="0.25">
      <c r="O6488" s="21"/>
    </row>
    <row r="6489" spans="15:15" x14ac:dyDescent="0.25">
      <c r="O6489" s="21"/>
    </row>
    <row r="6490" spans="15:15" x14ac:dyDescent="0.25">
      <c r="O6490" s="21"/>
    </row>
    <row r="6491" spans="15:15" x14ac:dyDescent="0.25">
      <c r="O6491" s="21"/>
    </row>
    <row r="6492" spans="15:15" x14ac:dyDescent="0.25">
      <c r="O6492" s="21"/>
    </row>
    <row r="6493" spans="15:15" x14ac:dyDescent="0.25">
      <c r="O6493" s="21"/>
    </row>
    <row r="6494" spans="15:15" x14ac:dyDescent="0.25">
      <c r="O6494" s="21"/>
    </row>
    <row r="6495" spans="15:15" x14ac:dyDescent="0.25">
      <c r="O6495" s="21"/>
    </row>
    <row r="6496" spans="15:15" x14ac:dyDescent="0.25">
      <c r="O6496" s="21"/>
    </row>
    <row r="6497" spans="15:15" x14ac:dyDescent="0.25">
      <c r="O6497" s="21"/>
    </row>
    <row r="6498" spans="15:15" x14ac:dyDescent="0.25">
      <c r="O6498" s="21"/>
    </row>
    <row r="6499" spans="15:15" x14ac:dyDescent="0.25">
      <c r="O6499" s="21"/>
    </row>
    <row r="6500" spans="15:15" x14ac:dyDescent="0.25">
      <c r="O6500" s="21"/>
    </row>
    <row r="6501" spans="15:15" x14ac:dyDescent="0.25">
      <c r="O6501" s="21"/>
    </row>
    <row r="6502" spans="15:15" x14ac:dyDescent="0.25">
      <c r="O6502" s="21"/>
    </row>
    <row r="6503" spans="15:15" x14ac:dyDescent="0.25">
      <c r="O6503" s="21"/>
    </row>
    <row r="6504" spans="15:15" x14ac:dyDescent="0.25">
      <c r="O6504" s="21"/>
    </row>
    <row r="6505" spans="15:15" x14ac:dyDescent="0.25">
      <c r="O6505" s="21"/>
    </row>
    <row r="6506" spans="15:15" x14ac:dyDescent="0.25">
      <c r="O6506" s="21"/>
    </row>
    <row r="6507" spans="15:15" x14ac:dyDescent="0.25">
      <c r="O6507" s="21"/>
    </row>
    <row r="6508" spans="15:15" x14ac:dyDescent="0.25">
      <c r="O6508" s="21"/>
    </row>
    <row r="6509" spans="15:15" x14ac:dyDescent="0.25">
      <c r="O6509" s="21"/>
    </row>
    <row r="6510" spans="15:15" x14ac:dyDescent="0.25">
      <c r="O6510" s="21"/>
    </row>
    <row r="6511" spans="15:15" x14ac:dyDescent="0.25">
      <c r="O6511" s="21"/>
    </row>
    <row r="6512" spans="15:15" x14ac:dyDescent="0.25">
      <c r="O6512" s="21"/>
    </row>
    <row r="6513" spans="15:15" x14ac:dyDescent="0.25">
      <c r="O6513" s="21"/>
    </row>
    <row r="6514" spans="15:15" x14ac:dyDescent="0.25">
      <c r="O6514" s="21"/>
    </row>
    <row r="6515" spans="15:15" x14ac:dyDescent="0.25">
      <c r="O6515" s="21"/>
    </row>
    <row r="6516" spans="15:15" x14ac:dyDescent="0.25">
      <c r="O6516" s="21"/>
    </row>
    <row r="6517" spans="15:15" x14ac:dyDescent="0.25">
      <c r="O6517" s="21"/>
    </row>
    <row r="6518" spans="15:15" x14ac:dyDescent="0.25">
      <c r="O6518" s="21"/>
    </row>
    <row r="6519" spans="15:15" x14ac:dyDescent="0.25">
      <c r="O6519" s="21"/>
    </row>
    <row r="6520" spans="15:15" x14ac:dyDescent="0.25">
      <c r="O6520" s="21"/>
    </row>
    <row r="6521" spans="15:15" x14ac:dyDescent="0.25">
      <c r="O6521" s="21"/>
    </row>
    <row r="6522" spans="15:15" x14ac:dyDescent="0.25">
      <c r="O6522" s="21"/>
    </row>
    <row r="6523" spans="15:15" x14ac:dyDescent="0.25">
      <c r="O6523" s="21"/>
    </row>
    <row r="6524" spans="15:15" x14ac:dyDescent="0.25">
      <c r="O6524" s="21"/>
    </row>
    <row r="6525" spans="15:15" x14ac:dyDescent="0.25">
      <c r="O6525" s="21"/>
    </row>
    <row r="6526" spans="15:15" x14ac:dyDescent="0.25">
      <c r="O6526" s="21"/>
    </row>
    <row r="6527" spans="15:15" x14ac:dyDescent="0.25">
      <c r="O6527" s="21"/>
    </row>
    <row r="6528" spans="15:15" x14ac:dyDescent="0.25">
      <c r="O6528" s="21"/>
    </row>
    <row r="6529" spans="15:15" x14ac:dyDescent="0.25">
      <c r="O6529" s="21"/>
    </row>
    <row r="6530" spans="15:15" x14ac:dyDescent="0.25">
      <c r="O6530" s="21"/>
    </row>
    <row r="6531" spans="15:15" x14ac:dyDescent="0.25">
      <c r="O6531" s="21"/>
    </row>
    <row r="6532" spans="15:15" x14ac:dyDescent="0.25">
      <c r="O6532" s="21"/>
    </row>
    <row r="6533" spans="15:15" x14ac:dyDescent="0.25">
      <c r="O6533" s="21"/>
    </row>
    <row r="6534" spans="15:15" x14ac:dyDescent="0.25">
      <c r="O6534" s="21"/>
    </row>
    <row r="6535" spans="15:15" x14ac:dyDescent="0.25">
      <c r="O6535" s="21"/>
    </row>
    <row r="6536" spans="15:15" x14ac:dyDescent="0.25">
      <c r="O6536" s="21"/>
    </row>
    <row r="6537" spans="15:15" x14ac:dyDescent="0.25">
      <c r="O6537" s="21"/>
    </row>
    <row r="6538" spans="15:15" x14ac:dyDescent="0.25">
      <c r="O6538" s="21"/>
    </row>
    <row r="6539" spans="15:15" x14ac:dyDescent="0.25">
      <c r="O6539" s="21"/>
    </row>
    <row r="6540" spans="15:15" x14ac:dyDescent="0.25">
      <c r="O6540" s="21"/>
    </row>
    <row r="6541" spans="15:15" x14ac:dyDescent="0.25">
      <c r="O6541" s="21"/>
    </row>
    <row r="6542" spans="15:15" x14ac:dyDescent="0.25">
      <c r="O6542" s="21"/>
    </row>
    <row r="6543" spans="15:15" x14ac:dyDescent="0.25">
      <c r="O6543" s="21"/>
    </row>
    <row r="6544" spans="15:15" x14ac:dyDescent="0.25">
      <c r="O6544" s="21"/>
    </row>
    <row r="6545" spans="15:15" x14ac:dyDescent="0.25">
      <c r="O6545" s="21"/>
    </row>
    <row r="6546" spans="15:15" x14ac:dyDescent="0.25">
      <c r="O6546" s="21"/>
    </row>
    <row r="6547" spans="15:15" x14ac:dyDescent="0.25">
      <c r="O6547" s="21"/>
    </row>
    <row r="6548" spans="15:15" x14ac:dyDescent="0.25">
      <c r="O6548" s="21"/>
    </row>
    <row r="6549" spans="15:15" x14ac:dyDescent="0.25">
      <c r="O6549" s="21"/>
    </row>
    <row r="6550" spans="15:15" x14ac:dyDescent="0.25">
      <c r="O6550" s="21"/>
    </row>
    <row r="6551" spans="15:15" x14ac:dyDescent="0.25">
      <c r="O6551" s="21"/>
    </row>
    <row r="6552" spans="15:15" x14ac:dyDescent="0.25">
      <c r="O6552" s="21"/>
    </row>
    <row r="6553" spans="15:15" x14ac:dyDescent="0.25">
      <c r="O6553" s="21"/>
    </row>
    <row r="6554" spans="15:15" x14ac:dyDescent="0.25">
      <c r="O6554" s="21"/>
    </row>
    <row r="6555" spans="15:15" x14ac:dyDescent="0.25">
      <c r="O6555" s="21"/>
    </row>
    <row r="6556" spans="15:15" x14ac:dyDescent="0.25">
      <c r="O6556" s="21"/>
    </row>
    <row r="6557" spans="15:15" x14ac:dyDescent="0.25">
      <c r="O6557" s="21"/>
    </row>
    <row r="6558" spans="15:15" x14ac:dyDescent="0.25">
      <c r="O6558" s="21"/>
    </row>
    <row r="6559" spans="15:15" x14ac:dyDescent="0.25">
      <c r="O6559" s="21"/>
    </row>
    <row r="6560" spans="15:15" x14ac:dyDescent="0.25">
      <c r="O6560" s="21"/>
    </row>
    <row r="6561" spans="15:15" x14ac:dyDescent="0.25">
      <c r="O6561" s="21"/>
    </row>
    <row r="6562" spans="15:15" x14ac:dyDescent="0.25">
      <c r="O6562" s="21"/>
    </row>
    <row r="6563" spans="15:15" x14ac:dyDescent="0.25">
      <c r="O6563" s="21"/>
    </row>
    <row r="6564" spans="15:15" x14ac:dyDescent="0.25">
      <c r="O6564" s="21"/>
    </row>
    <row r="6565" spans="15:15" x14ac:dyDescent="0.25">
      <c r="O6565" s="21"/>
    </row>
    <row r="6566" spans="15:15" x14ac:dyDescent="0.25">
      <c r="O6566" s="21"/>
    </row>
    <row r="6567" spans="15:15" x14ac:dyDescent="0.25">
      <c r="O6567" s="21"/>
    </row>
    <row r="6568" spans="15:15" x14ac:dyDescent="0.25">
      <c r="O6568" s="21"/>
    </row>
    <row r="6569" spans="15:15" x14ac:dyDescent="0.25">
      <c r="O6569" s="21"/>
    </row>
    <row r="6570" spans="15:15" x14ac:dyDescent="0.25">
      <c r="O6570" s="21"/>
    </row>
    <row r="6571" spans="15:15" x14ac:dyDescent="0.25">
      <c r="O6571" s="21"/>
    </row>
    <row r="6572" spans="15:15" x14ac:dyDescent="0.25">
      <c r="O6572" s="21"/>
    </row>
    <row r="6573" spans="15:15" x14ac:dyDescent="0.25">
      <c r="O6573" s="21"/>
    </row>
    <row r="6574" spans="15:15" x14ac:dyDescent="0.25">
      <c r="O6574" s="21"/>
    </row>
    <row r="6575" spans="15:15" x14ac:dyDescent="0.25">
      <c r="O6575" s="21"/>
    </row>
    <row r="6576" spans="15:15" x14ac:dyDescent="0.25">
      <c r="O6576" s="21"/>
    </row>
    <row r="6577" spans="15:15" x14ac:dyDescent="0.25">
      <c r="O6577" s="21"/>
    </row>
    <row r="6578" spans="15:15" x14ac:dyDescent="0.25">
      <c r="O6578" s="21"/>
    </row>
    <row r="6579" spans="15:15" x14ac:dyDescent="0.25">
      <c r="O6579" s="21"/>
    </row>
    <row r="6580" spans="15:15" x14ac:dyDescent="0.25">
      <c r="O6580" s="21"/>
    </row>
    <row r="6581" spans="15:15" x14ac:dyDescent="0.25">
      <c r="O6581" s="21"/>
    </row>
    <row r="6582" spans="15:15" x14ac:dyDescent="0.25">
      <c r="O6582" s="21"/>
    </row>
    <row r="6583" spans="15:15" x14ac:dyDescent="0.25">
      <c r="O6583" s="21"/>
    </row>
    <row r="6584" spans="15:15" x14ac:dyDescent="0.25">
      <c r="O6584" s="21"/>
    </row>
    <row r="6585" spans="15:15" x14ac:dyDescent="0.25">
      <c r="O6585" s="21"/>
    </row>
    <row r="6586" spans="15:15" x14ac:dyDescent="0.25">
      <c r="O6586" s="21"/>
    </row>
    <row r="6587" spans="15:15" x14ac:dyDescent="0.25">
      <c r="O6587" s="21"/>
    </row>
    <row r="6588" spans="15:15" x14ac:dyDescent="0.25">
      <c r="O6588" s="21"/>
    </row>
    <row r="6589" spans="15:15" x14ac:dyDescent="0.25">
      <c r="O6589" s="21"/>
    </row>
    <row r="6590" spans="15:15" x14ac:dyDescent="0.25">
      <c r="O6590" s="21"/>
    </row>
    <row r="6591" spans="15:15" x14ac:dyDescent="0.25">
      <c r="O6591" s="21"/>
    </row>
    <row r="6592" spans="15:15" x14ac:dyDescent="0.25">
      <c r="O6592" s="21"/>
    </row>
    <row r="6593" spans="15:15" x14ac:dyDescent="0.25">
      <c r="O6593" s="21"/>
    </row>
    <row r="6594" spans="15:15" x14ac:dyDescent="0.25">
      <c r="O6594" s="21"/>
    </row>
    <row r="6595" spans="15:15" x14ac:dyDescent="0.25">
      <c r="O6595" s="21"/>
    </row>
    <row r="6596" spans="15:15" x14ac:dyDescent="0.25">
      <c r="O6596" s="21"/>
    </row>
    <row r="6597" spans="15:15" x14ac:dyDescent="0.25">
      <c r="O6597" s="21"/>
    </row>
    <row r="6598" spans="15:15" x14ac:dyDescent="0.25">
      <c r="O6598" s="21"/>
    </row>
    <row r="6599" spans="15:15" x14ac:dyDescent="0.25">
      <c r="O6599" s="21"/>
    </row>
    <row r="6600" spans="15:15" x14ac:dyDescent="0.25">
      <c r="O6600" s="21"/>
    </row>
    <row r="6601" spans="15:15" x14ac:dyDescent="0.25">
      <c r="O6601" s="21"/>
    </row>
    <row r="6602" spans="15:15" x14ac:dyDescent="0.25">
      <c r="O6602" s="21"/>
    </row>
    <row r="6603" spans="15:15" x14ac:dyDescent="0.25">
      <c r="O6603" s="21"/>
    </row>
    <row r="6604" spans="15:15" x14ac:dyDescent="0.25">
      <c r="O6604" s="21"/>
    </row>
    <row r="6605" spans="15:15" x14ac:dyDescent="0.25">
      <c r="O6605" s="21"/>
    </row>
    <row r="6606" spans="15:15" x14ac:dyDescent="0.25">
      <c r="O6606" s="21"/>
    </row>
    <row r="6607" spans="15:15" x14ac:dyDescent="0.25">
      <c r="O6607" s="21"/>
    </row>
    <row r="6608" spans="15:15" x14ac:dyDescent="0.25">
      <c r="O6608" s="21"/>
    </row>
    <row r="6609" spans="15:15" x14ac:dyDescent="0.25">
      <c r="O6609" s="21"/>
    </row>
    <row r="6610" spans="15:15" x14ac:dyDescent="0.25">
      <c r="O6610" s="21"/>
    </row>
    <row r="6611" spans="15:15" x14ac:dyDescent="0.25">
      <c r="O6611" s="21"/>
    </row>
    <row r="6612" spans="15:15" x14ac:dyDescent="0.25">
      <c r="O6612" s="21"/>
    </row>
    <row r="6613" spans="15:15" x14ac:dyDescent="0.25">
      <c r="O6613" s="21"/>
    </row>
    <row r="6614" spans="15:15" x14ac:dyDescent="0.25">
      <c r="O6614" s="21"/>
    </row>
    <row r="6615" spans="15:15" x14ac:dyDescent="0.25">
      <c r="O6615" s="21"/>
    </row>
    <row r="6616" spans="15:15" x14ac:dyDescent="0.25">
      <c r="O6616" s="21"/>
    </row>
    <row r="6617" spans="15:15" x14ac:dyDescent="0.25">
      <c r="O6617" s="21"/>
    </row>
    <row r="6618" spans="15:15" x14ac:dyDescent="0.25">
      <c r="O6618" s="21"/>
    </row>
    <row r="6619" spans="15:15" x14ac:dyDescent="0.25">
      <c r="O6619" s="21"/>
    </row>
    <row r="6620" spans="15:15" x14ac:dyDescent="0.25">
      <c r="O6620" s="21"/>
    </row>
    <row r="6621" spans="15:15" x14ac:dyDescent="0.25">
      <c r="O6621" s="21"/>
    </row>
    <row r="6622" spans="15:15" x14ac:dyDescent="0.25">
      <c r="O6622" s="21"/>
    </row>
    <row r="6623" spans="15:15" x14ac:dyDescent="0.25">
      <c r="O6623" s="21"/>
    </row>
    <row r="6624" spans="15:15" x14ac:dyDescent="0.25">
      <c r="O6624" s="21"/>
    </row>
    <row r="6625" spans="15:15" x14ac:dyDescent="0.25">
      <c r="O6625" s="21"/>
    </row>
    <row r="6626" spans="15:15" x14ac:dyDescent="0.25">
      <c r="O6626" s="21"/>
    </row>
    <row r="6627" spans="15:15" x14ac:dyDescent="0.25">
      <c r="O6627" s="21"/>
    </row>
    <row r="6628" spans="15:15" x14ac:dyDescent="0.25">
      <c r="O6628" s="21"/>
    </row>
    <row r="6629" spans="15:15" x14ac:dyDescent="0.25">
      <c r="O6629" s="21"/>
    </row>
    <row r="6630" spans="15:15" x14ac:dyDescent="0.25">
      <c r="O6630" s="21"/>
    </row>
    <row r="6631" spans="15:15" x14ac:dyDescent="0.25">
      <c r="O6631" s="21"/>
    </row>
    <row r="6632" spans="15:15" x14ac:dyDescent="0.25">
      <c r="O6632" s="21"/>
    </row>
    <row r="6633" spans="15:15" x14ac:dyDescent="0.25">
      <c r="O6633" s="21"/>
    </row>
    <row r="6634" spans="15:15" x14ac:dyDescent="0.25">
      <c r="O6634" s="21"/>
    </row>
    <row r="6635" spans="15:15" x14ac:dyDescent="0.25">
      <c r="O6635" s="21"/>
    </row>
    <row r="6636" spans="15:15" x14ac:dyDescent="0.25">
      <c r="O6636" s="21"/>
    </row>
    <row r="6637" spans="15:15" x14ac:dyDescent="0.25">
      <c r="O6637" s="21"/>
    </row>
    <row r="6638" spans="15:15" x14ac:dyDescent="0.25">
      <c r="O6638" s="21"/>
    </row>
    <row r="6639" spans="15:15" x14ac:dyDescent="0.25">
      <c r="O6639" s="21"/>
    </row>
    <row r="6640" spans="15:15" x14ac:dyDescent="0.25">
      <c r="O6640" s="21"/>
    </row>
    <row r="6641" spans="15:15" x14ac:dyDescent="0.25">
      <c r="O6641" s="21"/>
    </row>
    <row r="6642" spans="15:15" x14ac:dyDescent="0.25">
      <c r="O6642" s="21"/>
    </row>
    <row r="6643" spans="15:15" x14ac:dyDescent="0.25">
      <c r="O6643" s="21"/>
    </row>
    <row r="6644" spans="15:15" x14ac:dyDescent="0.25">
      <c r="O6644" s="21"/>
    </row>
    <row r="6645" spans="15:15" x14ac:dyDescent="0.25">
      <c r="O6645" s="21"/>
    </row>
    <row r="6646" spans="15:15" x14ac:dyDescent="0.25">
      <c r="O6646" s="21"/>
    </row>
    <row r="6647" spans="15:15" x14ac:dyDescent="0.25">
      <c r="O6647" s="21"/>
    </row>
    <row r="6648" spans="15:15" x14ac:dyDescent="0.25">
      <c r="O6648" s="21"/>
    </row>
    <row r="6649" spans="15:15" x14ac:dyDescent="0.25">
      <c r="O6649" s="21"/>
    </row>
    <row r="6650" spans="15:15" x14ac:dyDescent="0.25">
      <c r="O6650" s="21"/>
    </row>
    <row r="6651" spans="15:15" x14ac:dyDescent="0.25">
      <c r="O6651" s="21"/>
    </row>
    <row r="6652" spans="15:15" x14ac:dyDescent="0.25">
      <c r="O6652" s="21"/>
    </row>
    <row r="6653" spans="15:15" x14ac:dyDescent="0.25">
      <c r="O6653" s="21"/>
    </row>
    <row r="6654" spans="15:15" x14ac:dyDescent="0.25">
      <c r="O6654" s="21"/>
    </row>
    <row r="6655" spans="15:15" x14ac:dyDescent="0.25">
      <c r="O6655" s="21"/>
    </row>
    <row r="6656" spans="15:15" x14ac:dyDescent="0.25">
      <c r="O6656" s="21"/>
    </row>
    <row r="6657" spans="15:15" x14ac:dyDescent="0.25">
      <c r="O6657" s="21"/>
    </row>
    <row r="6658" spans="15:15" x14ac:dyDescent="0.25">
      <c r="O6658" s="21"/>
    </row>
    <row r="6659" spans="15:15" x14ac:dyDescent="0.25">
      <c r="O6659" s="21"/>
    </row>
    <row r="6660" spans="15:15" x14ac:dyDescent="0.25">
      <c r="O6660" s="21"/>
    </row>
    <row r="6661" spans="15:15" x14ac:dyDescent="0.25">
      <c r="O6661" s="21"/>
    </row>
    <row r="6662" spans="15:15" x14ac:dyDescent="0.25">
      <c r="O6662" s="21"/>
    </row>
    <row r="6663" spans="15:15" x14ac:dyDescent="0.25">
      <c r="O6663" s="21"/>
    </row>
    <row r="6664" spans="15:15" x14ac:dyDescent="0.25">
      <c r="O6664" s="21"/>
    </row>
    <row r="6665" spans="15:15" x14ac:dyDescent="0.25">
      <c r="O6665" s="21"/>
    </row>
    <row r="6666" spans="15:15" x14ac:dyDescent="0.25">
      <c r="O6666" s="21"/>
    </row>
    <row r="6667" spans="15:15" x14ac:dyDescent="0.25">
      <c r="O6667" s="21"/>
    </row>
    <row r="6668" spans="15:15" x14ac:dyDescent="0.25">
      <c r="O6668" s="21"/>
    </row>
    <row r="6669" spans="15:15" x14ac:dyDescent="0.25">
      <c r="O6669" s="21"/>
    </row>
    <row r="6670" spans="15:15" x14ac:dyDescent="0.25">
      <c r="O6670" s="21"/>
    </row>
    <row r="6671" spans="15:15" x14ac:dyDescent="0.25">
      <c r="O6671" s="21"/>
    </row>
    <row r="6672" spans="15:15" x14ac:dyDescent="0.25">
      <c r="O6672" s="21"/>
    </row>
    <row r="6673" spans="15:15" x14ac:dyDescent="0.25">
      <c r="O6673" s="21"/>
    </row>
    <row r="6674" spans="15:15" x14ac:dyDescent="0.25">
      <c r="O6674" s="21"/>
    </row>
    <row r="6675" spans="15:15" x14ac:dyDescent="0.25">
      <c r="O6675" s="21"/>
    </row>
    <row r="6676" spans="15:15" x14ac:dyDescent="0.25">
      <c r="O6676" s="21"/>
    </row>
    <row r="6677" spans="15:15" x14ac:dyDescent="0.25">
      <c r="O6677" s="21"/>
    </row>
    <row r="6678" spans="15:15" x14ac:dyDescent="0.25">
      <c r="O6678" s="21"/>
    </row>
    <row r="6679" spans="15:15" x14ac:dyDescent="0.25">
      <c r="O6679" s="21"/>
    </row>
    <row r="6680" spans="15:15" x14ac:dyDescent="0.25">
      <c r="O6680" s="21"/>
    </row>
    <row r="6681" spans="15:15" x14ac:dyDescent="0.25">
      <c r="O6681" s="21"/>
    </row>
    <row r="6682" spans="15:15" x14ac:dyDescent="0.25">
      <c r="O6682" s="21"/>
    </row>
    <row r="6683" spans="15:15" x14ac:dyDescent="0.25">
      <c r="O6683" s="21"/>
    </row>
    <row r="6684" spans="15:15" x14ac:dyDescent="0.25">
      <c r="O6684" s="21"/>
    </row>
    <row r="6685" spans="15:15" x14ac:dyDescent="0.25">
      <c r="O6685" s="21"/>
    </row>
    <row r="6686" spans="15:15" x14ac:dyDescent="0.25">
      <c r="O6686" s="21"/>
    </row>
    <row r="6687" spans="15:15" x14ac:dyDescent="0.25">
      <c r="O6687" s="21"/>
    </row>
    <row r="6688" spans="15:15" x14ac:dyDescent="0.25">
      <c r="O6688" s="21"/>
    </row>
    <row r="6689" spans="15:15" x14ac:dyDescent="0.25">
      <c r="O6689" s="21"/>
    </row>
    <row r="6690" spans="15:15" x14ac:dyDescent="0.25">
      <c r="O6690" s="21"/>
    </row>
    <row r="6691" spans="15:15" x14ac:dyDescent="0.25">
      <c r="O6691" s="21"/>
    </row>
    <row r="6692" spans="15:15" x14ac:dyDescent="0.25">
      <c r="O6692" s="21"/>
    </row>
    <row r="6693" spans="15:15" x14ac:dyDescent="0.25">
      <c r="O6693" s="21"/>
    </row>
    <row r="6694" spans="15:15" x14ac:dyDescent="0.25">
      <c r="O6694" s="21"/>
    </row>
    <row r="6695" spans="15:15" x14ac:dyDescent="0.25">
      <c r="O6695" s="21"/>
    </row>
    <row r="6696" spans="15:15" x14ac:dyDescent="0.25">
      <c r="O6696" s="21"/>
    </row>
    <row r="6697" spans="15:15" x14ac:dyDescent="0.25">
      <c r="O6697" s="21"/>
    </row>
    <row r="6698" spans="15:15" x14ac:dyDescent="0.25">
      <c r="O6698" s="21"/>
    </row>
    <row r="6699" spans="15:15" x14ac:dyDescent="0.25">
      <c r="O6699" s="21"/>
    </row>
    <row r="6700" spans="15:15" x14ac:dyDescent="0.25">
      <c r="O6700" s="21"/>
    </row>
    <row r="6701" spans="15:15" x14ac:dyDescent="0.25">
      <c r="O6701" s="21"/>
    </row>
    <row r="6702" spans="15:15" x14ac:dyDescent="0.25">
      <c r="O6702" s="21"/>
    </row>
    <row r="6703" spans="15:15" x14ac:dyDescent="0.25">
      <c r="O6703" s="21"/>
    </row>
    <row r="6704" spans="15:15" x14ac:dyDescent="0.25">
      <c r="O6704" s="21"/>
    </row>
    <row r="6705" spans="15:15" x14ac:dyDescent="0.25">
      <c r="O6705" s="21"/>
    </row>
    <row r="6706" spans="15:15" x14ac:dyDescent="0.25">
      <c r="O6706" s="21"/>
    </row>
    <row r="6707" spans="15:15" x14ac:dyDescent="0.25">
      <c r="O6707" s="21"/>
    </row>
    <row r="6708" spans="15:15" x14ac:dyDescent="0.25">
      <c r="O6708" s="21"/>
    </row>
    <row r="6709" spans="15:15" x14ac:dyDescent="0.25">
      <c r="O6709" s="21"/>
    </row>
    <row r="6710" spans="15:15" x14ac:dyDescent="0.25">
      <c r="O6710" s="21"/>
    </row>
    <row r="6711" spans="15:15" x14ac:dyDescent="0.25">
      <c r="O6711" s="21"/>
    </row>
    <row r="6712" spans="15:15" x14ac:dyDescent="0.25">
      <c r="O6712" s="21"/>
    </row>
    <row r="6713" spans="15:15" x14ac:dyDescent="0.25">
      <c r="O6713" s="21"/>
    </row>
    <row r="6714" spans="15:15" x14ac:dyDescent="0.25">
      <c r="O6714" s="21"/>
    </row>
    <row r="6715" spans="15:15" x14ac:dyDescent="0.25">
      <c r="O6715" s="21"/>
    </row>
    <row r="6716" spans="15:15" x14ac:dyDescent="0.25">
      <c r="O6716" s="21"/>
    </row>
    <row r="6717" spans="15:15" x14ac:dyDescent="0.25">
      <c r="O6717" s="21"/>
    </row>
    <row r="6718" spans="15:15" x14ac:dyDescent="0.25">
      <c r="O6718" s="21"/>
    </row>
    <row r="6719" spans="15:15" x14ac:dyDescent="0.25">
      <c r="O6719" s="21"/>
    </row>
    <row r="6720" spans="15:15" x14ac:dyDescent="0.25">
      <c r="O6720" s="21"/>
    </row>
    <row r="6721" spans="15:15" x14ac:dyDescent="0.25">
      <c r="O6721" s="21"/>
    </row>
    <row r="6722" spans="15:15" x14ac:dyDescent="0.25">
      <c r="O6722" s="21"/>
    </row>
    <row r="6723" spans="15:15" x14ac:dyDescent="0.25">
      <c r="O6723" s="21"/>
    </row>
    <row r="6724" spans="15:15" x14ac:dyDescent="0.25">
      <c r="O6724" s="21"/>
    </row>
    <row r="6725" spans="15:15" x14ac:dyDescent="0.25">
      <c r="O6725" s="21"/>
    </row>
    <row r="6726" spans="15:15" x14ac:dyDescent="0.25">
      <c r="O6726" s="21"/>
    </row>
    <row r="6727" spans="15:15" x14ac:dyDescent="0.25">
      <c r="O6727" s="21"/>
    </row>
    <row r="6728" spans="15:15" x14ac:dyDescent="0.25">
      <c r="O6728" s="21"/>
    </row>
    <row r="6729" spans="15:15" x14ac:dyDescent="0.25">
      <c r="O6729" s="21"/>
    </row>
    <row r="6730" spans="15:15" x14ac:dyDescent="0.25">
      <c r="O6730" s="21"/>
    </row>
    <row r="6731" spans="15:15" x14ac:dyDescent="0.25">
      <c r="O6731" s="21"/>
    </row>
    <row r="6732" spans="15:15" x14ac:dyDescent="0.25">
      <c r="O6732" s="21"/>
    </row>
    <row r="6733" spans="15:15" x14ac:dyDescent="0.25">
      <c r="O6733" s="21"/>
    </row>
    <row r="6734" spans="15:15" x14ac:dyDescent="0.25">
      <c r="O6734" s="21"/>
    </row>
    <row r="6735" spans="15:15" x14ac:dyDescent="0.25">
      <c r="O6735" s="21"/>
    </row>
    <row r="6736" spans="15:15" x14ac:dyDescent="0.25">
      <c r="O6736" s="21"/>
    </row>
    <row r="6737" spans="15:15" x14ac:dyDescent="0.25">
      <c r="O6737" s="21"/>
    </row>
    <row r="6738" spans="15:15" x14ac:dyDescent="0.25">
      <c r="O6738" s="21"/>
    </row>
    <row r="6739" spans="15:15" x14ac:dyDescent="0.25">
      <c r="O6739" s="21"/>
    </row>
    <row r="6740" spans="15:15" x14ac:dyDescent="0.25">
      <c r="O6740" s="21"/>
    </row>
    <row r="6741" spans="15:15" x14ac:dyDescent="0.25">
      <c r="O6741" s="21"/>
    </row>
    <row r="6742" spans="15:15" x14ac:dyDescent="0.25">
      <c r="O6742" s="21"/>
    </row>
    <row r="6743" spans="15:15" x14ac:dyDescent="0.25">
      <c r="O6743" s="21"/>
    </row>
    <row r="6744" spans="15:15" x14ac:dyDescent="0.25">
      <c r="O6744" s="21"/>
    </row>
    <row r="6745" spans="15:15" x14ac:dyDescent="0.25">
      <c r="O6745" s="21"/>
    </row>
    <row r="6746" spans="15:15" x14ac:dyDescent="0.25">
      <c r="O6746" s="21"/>
    </row>
    <row r="6747" spans="15:15" x14ac:dyDescent="0.25">
      <c r="O6747" s="21"/>
    </row>
    <row r="6748" spans="15:15" x14ac:dyDescent="0.25">
      <c r="O6748" s="21"/>
    </row>
    <row r="6749" spans="15:15" x14ac:dyDescent="0.25">
      <c r="O6749" s="21"/>
    </row>
    <row r="6750" spans="15:15" x14ac:dyDescent="0.25">
      <c r="O6750" s="21"/>
    </row>
    <row r="6751" spans="15:15" x14ac:dyDescent="0.25">
      <c r="O6751" s="21"/>
    </row>
    <row r="6752" spans="15:15" x14ac:dyDescent="0.25">
      <c r="O6752" s="21"/>
    </row>
    <row r="6753" spans="15:15" x14ac:dyDescent="0.25">
      <c r="O6753" s="21"/>
    </row>
    <row r="6754" spans="15:15" x14ac:dyDescent="0.25">
      <c r="O6754" s="21"/>
    </row>
    <row r="6755" spans="15:15" x14ac:dyDescent="0.25">
      <c r="O6755" s="21"/>
    </row>
    <row r="6756" spans="15:15" x14ac:dyDescent="0.25">
      <c r="O6756" s="21"/>
    </row>
    <row r="6757" spans="15:15" x14ac:dyDescent="0.25">
      <c r="O6757" s="21"/>
    </row>
    <row r="6758" spans="15:15" x14ac:dyDescent="0.25">
      <c r="O6758" s="21"/>
    </row>
    <row r="6759" spans="15:15" x14ac:dyDescent="0.25">
      <c r="O6759" s="21"/>
    </row>
    <row r="6760" spans="15:15" x14ac:dyDescent="0.25">
      <c r="O6760" s="21"/>
    </row>
    <row r="6761" spans="15:15" x14ac:dyDescent="0.25">
      <c r="O6761" s="21"/>
    </row>
    <row r="6762" spans="15:15" x14ac:dyDescent="0.25">
      <c r="O6762" s="21"/>
    </row>
    <row r="6763" spans="15:15" x14ac:dyDescent="0.25">
      <c r="O6763" s="21"/>
    </row>
    <row r="6764" spans="15:15" x14ac:dyDescent="0.25">
      <c r="O6764" s="21"/>
    </row>
    <row r="6765" spans="15:15" x14ac:dyDescent="0.25">
      <c r="O6765" s="21"/>
    </row>
    <row r="6766" spans="15:15" x14ac:dyDescent="0.25">
      <c r="O6766" s="21"/>
    </row>
    <row r="6767" spans="15:15" x14ac:dyDescent="0.25">
      <c r="O6767" s="21"/>
    </row>
    <row r="6768" spans="15:15" x14ac:dyDescent="0.25">
      <c r="O6768" s="21"/>
    </row>
    <row r="6769" spans="15:15" x14ac:dyDescent="0.25">
      <c r="O6769" s="21"/>
    </row>
    <row r="6770" spans="15:15" x14ac:dyDescent="0.25">
      <c r="O6770" s="21"/>
    </row>
    <row r="6771" spans="15:15" x14ac:dyDescent="0.25">
      <c r="O6771" s="21"/>
    </row>
    <row r="6772" spans="15:15" x14ac:dyDescent="0.25">
      <c r="O6772" s="21"/>
    </row>
    <row r="6773" spans="15:15" x14ac:dyDescent="0.25">
      <c r="O6773" s="21"/>
    </row>
    <row r="6774" spans="15:15" x14ac:dyDescent="0.25">
      <c r="O6774" s="21"/>
    </row>
    <row r="6775" spans="15:15" x14ac:dyDescent="0.25">
      <c r="O6775" s="21"/>
    </row>
    <row r="6776" spans="15:15" x14ac:dyDescent="0.25">
      <c r="O6776" s="21"/>
    </row>
    <row r="6777" spans="15:15" x14ac:dyDescent="0.25">
      <c r="O6777" s="21"/>
    </row>
    <row r="6778" spans="15:15" x14ac:dyDescent="0.25">
      <c r="O6778" s="21"/>
    </row>
    <row r="6779" spans="15:15" x14ac:dyDescent="0.25">
      <c r="O6779" s="21"/>
    </row>
    <row r="6780" spans="15:15" x14ac:dyDescent="0.25">
      <c r="O6780" s="21"/>
    </row>
    <row r="6781" spans="15:15" x14ac:dyDescent="0.25">
      <c r="O6781" s="21"/>
    </row>
    <row r="6782" spans="15:15" x14ac:dyDescent="0.25">
      <c r="O6782" s="21"/>
    </row>
    <row r="6783" spans="15:15" x14ac:dyDescent="0.25">
      <c r="O6783" s="21"/>
    </row>
    <row r="6784" spans="15:15" x14ac:dyDescent="0.25">
      <c r="O6784" s="21"/>
    </row>
    <row r="6785" spans="15:15" x14ac:dyDescent="0.25">
      <c r="O6785" s="21"/>
    </row>
    <row r="6786" spans="15:15" x14ac:dyDescent="0.25">
      <c r="O6786" s="21"/>
    </row>
    <row r="6787" spans="15:15" x14ac:dyDescent="0.25">
      <c r="O6787" s="21"/>
    </row>
    <row r="6788" spans="15:15" x14ac:dyDescent="0.25">
      <c r="O6788" s="21"/>
    </row>
    <row r="6789" spans="15:15" x14ac:dyDescent="0.25">
      <c r="O6789" s="21"/>
    </row>
    <row r="6790" spans="15:15" x14ac:dyDescent="0.25">
      <c r="O6790" s="21"/>
    </row>
    <row r="6791" spans="15:15" x14ac:dyDescent="0.25">
      <c r="O6791" s="21"/>
    </row>
    <row r="6792" spans="15:15" x14ac:dyDescent="0.25">
      <c r="O6792" s="21"/>
    </row>
    <row r="6793" spans="15:15" x14ac:dyDescent="0.25">
      <c r="O6793" s="21"/>
    </row>
    <row r="6794" spans="15:15" x14ac:dyDescent="0.25">
      <c r="O6794" s="21"/>
    </row>
    <row r="6795" spans="15:15" x14ac:dyDescent="0.25">
      <c r="O6795" s="21"/>
    </row>
    <row r="6796" spans="15:15" x14ac:dyDescent="0.25">
      <c r="O6796" s="21"/>
    </row>
    <row r="6797" spans="15:15" x14ac:dyDescent="0.25">
      <c r="O6797" s="21"/>
    </row>
    <row r="6798" spans="15:15" x14ac:dyDescent="0.25">
      <c r="O6798" s="21"/>
    </row>
    <row r="6799" spans="15:15" x14ac:dyDescent="0.25">
      <c r="O6799" s="21"/>
    </row>
    <row r="6800" spans="15:15" x14ac:dyDescent="0.25">
      <c r="O6800" s="21"/>
    </row>
    <row r="6801" spans="15:15" x14ac:dyDescent="0.25">
      <c r="O6801" s="21"/>
    </row>
    <row r="6802" spans="15:15" x14ac:dyDescent="0.25">
      <c r="O6802" s="21"/>
    </row>
    <row r="6803" spans="15:15" x14ac:dyDescent="0.25">
      <c r="O6803" s="21"/>
    </row>
    <row r="6804" spans="15:15" x14ac:dyDescent="0.25">
      <c r="O6804" s="21"/>
    </row>
    <row r="6805" spans="15:15" x14ac:dyDescent="0.25">
      <c r="O6805" s="21"/>
    </row>
    <row r="6806" spans="15:15" x14ac:dyDescent="0.25">
      <c r="O6806" s="21"/>
    </row>
    <row r="6807" spans="15:15" x14ac:dyDescent="0.25">
      <c r="O6807" s="21"/>
    </row>
    <row r="6808" spans="15:15" x14ac:dyDescent="0.25">
      <c r="O6808" s="21"/>
    </row>
    <row r="6809" spans="15:15" x14ac:dyDescent="0.25">
      <c r="O6809" s="21"/>
    </row>
    <row r="6810" spans="15:15" x14ac:dyDescent="0.25">
      <c r="O6810" s="21"/>
    </row>
    <row r="6811" spans="15:15" x14ac:dyDescent="0.25">
      <c r="O6811" s="21"/>
    </row>
    <row r="6812" spans="15:15" x14ac:dyDescent="0.25">
      <c r="O6812" s="21"/>
    </row>
    <row r="6813" spans="15:15" x14ac:dyDescent="0.25">
      <c r="O6813" s="21"/>
    </row>
    <row r="6814" spans="15:15" x14ac:dyDescent="0.25">
      <c r="O6814" s="21"/>
    </row>
    <row r="6815" spans="15:15" x14ac:dyDescent="0.25">
      <c r="O6815" s="21"/>
    </row>
    <row r="6816" spans="15:15" x14ac:dyDescent="0.25">
      <c r="O6816" s="21"/>
    </row>
    <row r="6817" spans="15:15" x14ac:dyDescent="0.25">
      <c r="O6817" s="21"/>
    </row>
    <row r="6818" spans="15:15" x14ac:dyDescent="0.25">
      <c r="O6818" s="21"/>
    </row>
    <row r="6819" spans="15:15" x14ac:dyDescent="0.25">
      <c r="O6819" s="21"/>
    </row>
    <row r="6820" spans="15:15" x14ac:dyDescent="0.25">
      <c r="O6820" s="21"/>
    </row>
    <row r="6821" spans="15:15" x14ac:dyDescent="0.25">
      <c r="O6821" s="21"/>
    </row>
    <row r="6822" spans="15:15" x14ac:dyDescent="0.25">
      <c r="O6822" s="21"/>
    </row>
    <row r="6823" spans="15:15" x14ac:dyDescent="0.25">
      <c r="O6823" s="21"/>
    </row>
    <row r="6824" spans="15:15" x14ac:dyDescent="0.25">
      <c r="O6824" s="21"/>
    </row>
    <row r="6825" spans="15:15" x14ac:dyDescent="0.25">
      <c r="O6825" s="21"/>
    </row>
    <row r="6826" spans="15:15" x14ac:dyDescent="0.25">
      <c r="O6826" s="21"/>
    </row>
    <row r="6827" spans="15:15" x14ac:dyDescent="0.25">
      <c r="O6827" s="21"/>
    </row>
    <row r="6828" spans="15:15" x14ac:dyDescent="0.25">
      <c r="O6828" s="21"/>
    </row>
    <row r="6829" spans="15:15" x14ac:dyDescent="0.25">
      <c r="O6829" s="21"/>
    </row>
    <row r="6830" spans="15:15" x14ac:dyDescent="0.25">
      <c r="O6830" s="21"/>
    </row>
    <row r="6831" spans="15:15" x14ac:dyDescent="0.25">
      <c r="O6831" s="21"/>
    </row>
    <row r="6832" spans="15:15" x14ac:dyDescent="0.25">
      <c r="O6832" s="21"/>
    </row>
    <row r="6833" spans="15:15" x14ac:dyDescent="0.25">
      <c r="O6833" s="21"/>
    </row>
    <row r="6834" spans="15:15" x14ac:dyDescent="0.25">
      <c r="O6834" s="21"/>
    </row>
    <row r="6835" spans="15:15" x14ac:dyDescent="0.25">
      <c r="O6835" s="21"/>
    </row>
    <row r="6836" spans="15:15" x14ac:dyDescent="0.25">
      <c r="O6836" s="21"/>
    </row>
    <row r="6837" spans="15:15" x14ac:dyDescent="0.25">
      <c r="O6837" s="21"/>
    </row>
    <row r="6838" spans="15:15" x14ac:dyDescent="0.25">
      <c r="O6838" s="21"/>
    </row>
    <row r="6839" spans="15:15" x14ac:dyDescent="0.25">
      <c r="O6839" s="21"/>
    </row>
    <row r="6840" spans="15:15" x14ac:dyDescent="0.25">
      <c r="O6840" s="21"/>
    </row>
    <row r="6841" spans="15:15" x14ac:dyDescent="0.25">
      <c r="O6841" s="21"/>
    </row>
    <row r="6842" spans="15:15" x14ac:dyDescent="0.25">
      <c r="O6842" s="21"/>
    </row>
    <row r="6843" spans="15:15" x14ac:dyDescent="0.25">
      <c r="O6843" s="21"/>
    </row>
    <row r="6844" spans="15:15" x14ac:dyDescent="0.25">
      <c r="O6844" s="21"/>
    </row>
    <row r="6845" spans="15:15" x14ac:dyDescent="0.25">
      <c r="O6845" s="21"/>
    </row>
    <row r="6846" spans="15:15" x14ac:dyDescent="0.25">
      <c r="O6846" s="21"/>
    </row>
    <row r="6847" spans="15:15" x14ac:dyDescent="0.25">
      <c r="O6847" s="21"/>
    </row>
    <row r="6848" spans="15:15" x14ac:dyDescent="0.25">
      <c r="O6848" s="21"/>
    </row>
    <row r="6849" spans="15:15" x14ac:dyDescent="0.25">
      <c r="O6849" s="21"/>
    </row>
    <row r="6850" spans="15:15" x14ac:dyDescent="0.25">
      <c r="O6850" s="21"/>
    </row>
    <row r="6851" spans="15:15" x14ac:dyDescent="0.25">
      <c r="O6851" s="21"/>
    </row>
    <row r="6852" spans="15:15" x14ac:dyDescent="0.25">
      <c r="O6852" s="21"/>
    </row>
    <row r="6853" spans="15:15" x14ac:dyDescent="0.25">
      <c r="O6853" s="21"/>
    </row>
    <row r="6854" spans="15:15" x14ac:dyDescent="0.25">
      <c r="O6854" s="21"/>
    </row>
    <row r="6855" spans="15:15" x14ac:dyDescent="0.25">
      <c r="O6855" s="21"/>
    </row>
    <row r="6856" spans="15:15" x14ac:dyDescent="0.25">
      <c r="O6856" s="21"/>
    </row>
    <row r="6857" spans="15:15" x14ac:dyDescent="0.25">
      <c r="O6857" s="21"/>
    </row>
    <row r="6858" spans="15:15" x14ac:dyDescent="0.25">
      <c r="O6858" s="21"/>
    </row>
    <row r="6859" spans="15:15" x14ac:dyDescent="0.25">
      <c r="O6859" s="21"/>
    </row>
    <row r="6860" spans="15:15" x14ac:dyDescent="0.25">
      <c r="O6860" s="21"/>
    </row>
    <row r="6861" spans="15:15" x14ac:dyDescent="0.25">
      <c r="O6861" s="21"/>
    </row>
    <row r="6862" spans="15:15" x14ac:dyDescent="0.25">
      <c r="O6862" s="21"/>
    </row>
    <row r="6863" spans="15:15" x14ac:dyDescent="0.25">
      <c r="O6863" s="21"/>
    </row>
    <row r="6864" spans="15:15" x14ac:dyDescent="0.25">
      <c r="O6864" s="21"/>
    </row>
    <row r="6865" spans="15:15" x14ac:dyDescent="0.25">
      <c r="O6865" s="21"/>
    </row>
    <row r="6866" spans="15:15" x14ac:dyDescent="0.25">
      <c r="O6866" s="21"/>
    </row>
    <row r="6867" spans="15:15" x14ac:dyDescent="0.25">
      <c r="O6867" s="21"/>
    </row>
    <row r="6868" spans="15:15" x14ac:dyDescent="0.25">
      <c r="O6868" s="21"/>
    </row>
    <row r="6869" spans="15:15" x14ac:dyDescent="0.25">
      <c r="O6869" s="21"/>
    </row>
    <row r="6870" spans="15:15" x14ac:dyDescent="0.25">
      <c r="O6870" s="21"/>
    </row>
    <row r="6871" spans="15:15" x14ac:dyDescent="0.25">
      <c r="O6871" s="21"/>
    </row>
    <row r="6872" spans="15:15" x14ac:dyDescent="0.25">
      <c r="O6872" s="21"/>
    </row>
    <row r="6873" spans="15:15" x14ac:dyDescent="0.25">
      <c r="O6873" s="21"/>
    </row>
    <row r="6874" spans="15:15" x14ac:dyDescent="0.25">
      <c r="O6874" s="21"/>
    </row>
    <row r="6875" spans="15:15" x14ac:dyDescent="0.25">
      <c r="O6875" s="21"/>
    </row>
    <row r="6876" spans="15:15" x14ac:dyDescent="0.25">
      <c r="O6876" s="21"/>
    </row>
    <row r="6877" spans="15:15" x14ac:dyDescent="0.25">
      <c r="O6877" s="21"/>
    </row>
    <row r="6878" spans="15:15" x14ac:dyDescent="0.25">
      <c r="O6878" s="21"/>
    </row>
    <row r="6879" spans="15:15" x14ac:dyDescent="0.25">
      <c r="O6879" s="21"/>
    </row>
    <row r="6880" spans="15:15" x14ac:dyDescent="0.25">
      <c r="O6880" s="21"/>
    </row>
    <row r="6881" spans="15:15" x14ac:dyDescent="0.25">
      <c r="O6881" s="21"/>
    </row>
    <row r="6882" spans="15:15" x14ac:dyDescent="0.25">
      <c r="O6882" s="21"/>
    </row>
    <row r="6883" spans="15:15" x14ac:dyDescent="0.25">
      <c r="O6883" s="21"/>
    </row>
    <row r="6884" spans="15:15" x14ac:dyDescent="0.25">
      <c r="O6884" s="21"/>
    </row>
    <row r="6885" spans="15:15" x14ac:dyDescent="0.25">
      <c r="O6885" s="21"/>
    </row>
    <row r="6886" spans="15:15" x14ac:dyDescent="0.25">
      <c r="O6886" s="21"/>
    </row>
    <row r="6887" spans="15:15" x14ac:dyDescent="0.25">
      <c r="O6887" s="21"/>
    </row>
    <row r="6888" spans="15:15" x14ac:dyDescent="0.25">
      <c r="O6888" s="21"/>
    </row>
    <row r="6889" spans="15:15" x14ac:dyDescent="0.25">
      <c r="O6889" s="21"/>
    </row>
    <row r="6890" spans="15:15" x14ac:dyDescent="0.25">
      <c r="O6890" s="21"/>
    </row>
    <row r="6891" spans="15:15" x14ac:dyDescent="0.25">
      <c r="O6891" s="21"/>
    </row>
    <row r="6892" spans="15:15" x14ac:dyDescent="0.25">
      <c r="O6892" s="21"/>
    </row>
    <row r="6893" spans="15:15" x14ac:dyDescent="0.25">
      <c r="O6893" s="21"/>
    </row>
    <row r="6894" spans="15:15" x14ac:dyDescent="0.25">
      <c r="O6894" s="21"/>
    </row>
    <row r="6895" spans="15:15" x14ac:dyDescent="0.25">
      <c r="O6895" s="21"/>
    </row>
    <row r="6896" spans="15:15" x14ac:dyDescent="0.25">
      <c r="O6896" s="21"/>
    </row>
    <row r="6897" spans="15:15" x14ac:dyDescent="0.25">
      <c r="O6897" s="21"/>
    </row>
    <row r="6898" spans="15:15" x14ac:dyDescent="0.25">
      <c r="O6898" s="21"/>
    </row>
    <row r="6899" spans="15:15" x14ac:dyDescent="0.25">
      <c r="O6899" s="21"/>
    </row>
    <row r="6900" spans="15:15" x14ac:dyDescent="0.25">
      <c r="O6900" s="21"/>
    </row>
    <row r="6901" spans="15:15" x14ac:dyDescent="0.25">
      <c r="O6901" s="21"/>
    </row>
    <row r="6902" spans="15:15" x14ac:dyDescent="0.25">
      <c r="O6902" s="21"/>
    </row>
    <row r="6903" spans="15:15" x14ac:dyDescent="0.25">
      <c r="O6903" s="21"/>
    </row>
    <row r="6904" spans="15:15" x14ac:dyDescent="0.25">
      <c r="O6904" s="21"/>
    </row>
    <row r="6905" spans="15:15" x14ac:dyDescent="0.25">
      <c r="O6905" s="21"/>
    </row>
    <row r="6906" spans="15:15" x14ac:dyDescent="0.25">
      <c r="O6906" s="21"/>
    </row>
    <row r="6907" spans="15:15" x14ac:dyDescent="0.25">
      <c r="O6907" s="21"/>
    </row>
    <row r="6908" spans="15:15" x14ac:dyDescent="0.25">
      <c r="O6908" s="21"/>
    </row>
    <row r="6909" spans="15:15" x14ac:dyDescent="0.25">
      <c r="O6909" s="21"/>
    </row>
    <row r="6910" spans="15:15" x14ac:dyDescent="0.25">
      <c r="O6910" s="21"/>
    </row>
    <row r="6911" spans="15:15" x14ac:dyDescent="0.25">
      <c r="O6911" s="21"/>
    </row>
    <row r="6912" spans="15:15" x14ac:dyDescent="0.25">
      <c r="O6912" s="21"/>
    </row>
    <row r="6913" spans="15:15" x14ac:dyDescent="0.25">
      <c r="O6913" s="21"/>
    </row>
    <row r="6914" spans="15:15" x14ac:dyDescent="0.25">
      <c r="O6914" s="21"/>
    </row>
    <row r="6915" spans="15:15" x14ac:dyDescent="0.25">
      <c r="O6915" s="21"/>
    </row>
    <row r="6916" spans="15:15" x14ac:dyDescent="0.25">
      <c r="O6916" s="21"/>
    </row>
    <row r="6917" spans="15:15" x14ac:dyDescent="0.25">
      <c r="O6917" s="21"/>
    </row>
    <row r="6918" spans="15:15" x14ac:dyDescent="0.25">
      <c r="O6918" s="21"/>
    </row>
    <row r="6919" spans="15:15" x14ac:dyDescent="0.25">
      <c r="O6919" s="21"/>
    </row>
    <row r="6920" spans="15:15" x14ac:dyDescent="0.25">
      <c r="O6920" s="21"/>
    </row>
    <row r="6921" spans="15:15" x14ac:dyDescent="0.25">
      <c r="O6921" s="21"/>
    </row>
    <row r="6922" spans="15:15" x14ac:dyDescent="0.25">
      <c r="O6922" s="21"/>
    </row>
    <row r="6923" spans="15:15" x14ac:dyDescent="0.25">
      <c r="O6923" s="21"/>
    </row>
    <row r="6924" spans="15:15" x14ac:dyDescent="0.25">
      <c r="O6924" s="21"/>
    </row>
    <row r="6925" spans="15:15" x14ac:dyDescent="0.25">
      <c r="O6925" s="21"/>
    </row>
    <row r="6926" spans="15:15" x14ac:dyDescent="0.25">
      <c r="O6926" s="21"/>
    </row>
    <row r="6927" spans="15:15" x14ac:dyDescent="0.25">
      <c r="O6927" s="21"/>
    </row>
    <row r="6928" spans="15:15" x14ac:dyDescent="0.25">
      <c r="O6928" s="21"/>
    </row>
    <row r="6929" spans="15:15" x14ac:dyDescent="0.25">
      <c r="O6929" s="21"/>
    </row>
    <row r="6930" spans="15:15" x14ac:dyDescent="0.25">
      <c r="O6930" s="21"/>
    </row>
    <row r="6931" spans="15:15" x14ac:dyDescent="0.25">
      <c r="O6931" s="21"/>
    </row>
    <row r="6932" spans="15:15" x14ac:dyDescent="0.25">
      <c r="O6932" s="21"/>
    </row>
    <row r="6933" spans="15:15" x14ac:dyDescent="0.25">
      <c r="O6933" s="21"/>
    </row>
    <row r="6934" spans="15:15" x14ac:dyDescent="0.25">
      <c r="O6934" s="21"/>
    </row>
    <row r="6935" spans="15:15" x14ac:dyDescent="0.25">
      <c r="O6935" s="21"/>
    </row>
    <row r="6936" spans="15:15" x14ac:dyDescent="0.25">
      <c r="O6936" s="21"/>
    </row>
    <row r="6937" spans="15:15" x14ac:dyDescent="0.25">
      <c r="O6937" s="21"/>
    </row>
    <row r="6938" spans="15:15" x14ac:dyDescent="0.25">
      <c r="O6938" s="21"/>
    </row>
    <row r="6939" spans="15:15" x14ac:dyDescent="0.25">
      <c r="O6939" s="21"/>
    </row>
    <row r="6940" spans="15:15" x14ac:dyDescent="0.25">
      <c r="O6940" s="21"/>
    </row>
    <row r="6941" spans="15:15" x14ac:dyDescent="0.25">
      <c r="O6941" s="21"/>
    </row>
    <row r="6942" spans="15:15" x14ac:dyDescent="0.25">
      <c r="O6942" s="21"/>
    </row>
    <row r="6943" spans="15:15" x14ac:dyDescent="0.25">
      <c r="O6943" s="21"/>
    </row>
    <row r="6944" spans="15:15" x14ac:dyDescent="0.25">
      <c r="O6944" s="21"/>
    </row>
    <row r="6945" spans="15:15" x14ac:dyDescent="0.25">
      <c r="O6945" s="21"/>
    </row>
    <row r="6946" spans="15:15" x14ac:dyDescent="0.25">
      <c r="O6946" s="21"/>
    </row>
    <row r="6947" spans="15:15" x14ac:dyDescent="0.25">
      <c r="O6947" s="21"/>
    </row>
    <row r="6948" spans="15:15" x14ac:dyDescent="0.25">
      <c r="O6948" s="21"/>
    </row>
    <row r="6949" spans="15:15" x14ac:dyDescent="0.25">
      <c r="O6949" s="21"/>
    </row>
    <row r="6950" spans="15:15" x14ac:dyDescent="0.25">
      <c r="O6950" s="21"/>
    </row>
    <row r="6951" spans="15:15" x14ac:dyDescent="0.25">
      <c r="O6951" s="21"/>
    </row>
    <row r="6952" spans="15:15" x14ac:dyDescent="0.25">
      <c r="O6952" s="21"/>
    </row>
    <row r="6953" spans="15:15" x14ac:dyDescent="0.25">
      <c r="O6953" s="21"/>
    </row>
    <row r="6954" spans="15:15" x14ac:dyDescent="0.25">
      <c r="O6954" s="21"/>
    </row>
    <row r="6955" spans="15:15" x14ac:dyDescent="0.25">
      <c r="O6955" s="21"/>
    </row>
    <row r="6956" spans="15:15" x14ac:dyDescent="0.25">
      <c r="O6956" s="21"/>
    </row>
    <row r="6957" spans="15:15" x14ac:dyDescent="0.25">
      <c r="O6957" s="21"/>
    </row>
    <row r="6958" spans="15:15" x14ac:dyDescent="0.25">
      <c r="O6958" s="21"/>
    </row>
    <row r="6959" spans="15:15" x14ac:dyDescent="0.25">
      <c r="O6959" s="21"/>
    </row>
    <row r="6960" spans="15:15" x14ac:dyDescent="0.25">
      <c r="O6960" s="21"/>
    </row>
    <row r="6961" spans="15:15" x14ac:dyDescent="0.25">
      <c r="O6961" s="21"/>
    </row>
    <row r="6962" spans="15:15" x14ac:dyDescent="0.25">
      <c r="O6962" s="21"/>
    </row>
    <row r="6963" spans="15:15" x14ac:dyDescent="0.25">
      <c r="O6963" s="21"/>
    </row>
    <row r="6964" spans="15:15" x14ac:dyDescent="0.25">
      <c r="O6964" s="21"/>
    </row>
    <row r="6965" spans="15:15" x14ac:dyDescent="0.25">
      <c r="O6965" s="21"/>
    </row>
    <row r="6966" spans="15:15" x14ac:dyDescent="0.25">
      <c r="O6966" s="21"/>
    </row>
    <row r="6967" spans="15:15" x14ac:dyDescent="0.25">
      <c r="O6967" s="21"/>
    </row>
    <row r="6968" spans="15:15" x14ac:dyDescent="0.25">
      <c r="O6968" s="21"/>
    </row>
    <row r="6969" spans="15:15" x14ac:dyDescent="0.25">
      <c r="O6969" s="21"/>
    </row>
    <row r="6970" spans="15:15" x14ac:dyDescent="0.25">
      <c r="O6970" s="21"/>
    </row>
    <row r="6971" spans="15:15" x14ac:dyDescent="0.25">
      <c r="O6971" s="21"/>
    </row>
    <row r="6972" spans="15:15" x14ac:dyDescent="0.25">
      <c r="O6972" s="21"/>
    </row>
    <row r="6973" spans="15:15" x14ac:dyDescent="0.25">
      <c r="O6973" s="21"/>
    </row>
    <row r="6974" spans="15:15" x14ac:dyDescent="0.25">
      <c r="O6974" s="21"/>
    </row>
    <row r="6975" spans="15:15" x14ac:dyDescent="0.25">
      <c r="O6975" s="21"/>
    </row>
    <row r="6976" spans="15:15" x14ac:dyDescent="0.25">
      <c r="O6976" s="21"/>
    </row>
    <row r="6977" spans="15:15" x14ac:dyDescent="0.25">
      <c r="O6977" s="21"/>
    </row>
    <row r="6978" spans="15:15" x14ac:dyDescent="0.25">
      <c r="O6978" s="21"/>
    </row>
    <row r="6979" spans="15:15" x14ac:dyDescent="0.25">
      <c r="O6979" s="21"/>
    </row>
    <row r="6980" spans="15:15" x14ac:dyDescent="0.25">
      <c r="O6980" s="21"/>
    </row>
    <row r="6981" spans="15:15" x14ac:dyDescent="0.25">
      <c r="O6981" s="21"/>
    </row>
    <row r="6982" spans="15:15" x14ac:dyDescent="0.25">
      <c r="O6982" s="21"/>
    </row>
    <row r="6983" spans="15:15" x14ac:dyDescent="0.25">
      <c r="O6983" s="21"/>
    </row>
    <row r="6984" spans="15:15" x14ac:dyDescent="0.25">
      <c r="O6984" s="21"/>
    </row>
    <row r="6985" spans="15:15" x14ac:dyDescent="0.25">
      <c r="O6985" s="21"/>
    </row>
    <row r="6986" spans="15:15" x14ac:dyDescent="0.25">
      <c r="O6986" s="21"/>
    </row>
    <row r="6987" spans="15:15" x14ac:dyDescent="0.25">
      <c r="O6987" s="21"/>
    </row>
    <row r="6988" spans="15:15" x14ac:dyDescent="0.25">
      <c r="O6988" s="21"/>
    </row>
    <row r="6989" spans="15:15" x14ac:dyDescent="0.25">
      <c r="O6989" s="21"/>
    </row>
    <row r="6990" spans="15:15" x14ac:dyDescent="0.25">
      <c r="O6990" s="21"/>
    </row>
    <row r="6991" spans="15:15" x14ac:dyDescent="0.25">
      <c r="O6991" s="21"/>
    </row>
    <row r="6992" spans="15:15" x14ac:dyDescent="0.25">
      <c r="O6992" s="21"/>
    </row>
    <row r="6993" spans="15:15" x14ac:dyDescent="0.25">
      <c r="O6993" s="21"/>
    </row>
    <row r="6994" spans="15:15" x14ac:dyDescent="0.25">
      <c r="O6994" s="21"/>
    </row>
    <row r="6995" spans="15:15" x14ac:dyDescent="0.25">
      <c r="O6995" s="21"/>
    </row>
    <row r="6996" spans="15:15" x14ac:dyDescent="0.25">
      <c r="O6996" s="21"/>
    </row>
    <row r="6997" spans="15:15" x14ac:dyDescent="0.25">
      <c r="O6997" s="21"/>
    </row>
    <row r="6998" spans="15:15" x14ac:dyDescent="0.25">
      <c r="O6998" s="21"/>
    </row>
    <row r="6999" spans="15:15" x14ac:dyDescent="0.25">
      <c r="O6999" s="21"/>
    </row>
    <row r="7000" spans="15:15" x14ac:dyDescent="0.25">
      <c r="O7000" s="21"/>
    </row>
    <row r="7001" spans="15:15" x14ac:dyDescent="0.25">
      <c r="O7001" s="21"/>
    </row>
    <row r="7002" spans="15:15" x14ac:dyDescent="0.25">
      <c r="O7002" s="21"/>
    </row>
    <row r="7003" spans="15:15" x14ac:dyDescent="0.25">
      <c r="O7003" s="21"/>
    </row>
    <row r="7004" spans="15:15" x14ac:dyDescent="0.25">
      <c r="O7004" s="21"/>
    </row>
    <row r="7005" spans="15:15" x14ac:dyDescent="0.25">
      <c r="O7005" s="21"/>
    </row>
    <row r="7006" spans="15:15" x14ac:dyDescent="0.25">
      <c r="O7006" s="21"/>
    </row>
    <row r="7007" spans="15:15" x14ac:dyDescent="0.25">
      <c r="O7007" s="21"/>
    </row>
    <row r="7008" spans="15:15" x14ac:dyDescent="0.25">
      <c r="O7008" s="21"/>
    </row>
    <row r="7009" spans="15:15" x14ac:dyDescent="0.25">
      <c r="O7009" s="21"/>
    </row>
    <row r="7010" spans="15:15" x14ac:dyDescent="0.25">
      <c r="O7010" s="21"/>
    </row>
    <row r="7011" spans="15:15" x14ac:dyDescent="0.25">
      <c r="O7011" s="21"/>
    </row>
    <row r="7012" spans="15:15" x14ac:dyDescent="0.25">
      <c r="O7012" s="21"/>
    </row>
    <row r="7013" spans="15:15" x14ac:dyDescent="0.25">
      <c r="O7013" s="21"/>
    </row>
    <row r="7014" spans="15:15" x14ac:dyDescent="0.25">
      <c r="O7014" s="21"/>
    </row>
    <row r="7015" spans="15:15" x14ac:dyDescent="0.25">
      <c r="O7015" s="21"/>
    </row>
    <row r="7016" spans="15:15" x14ac:dyDescent="0.25">
      <c r="O7016" s="21"/>
    </row>
    <row r="7017" spans="15:15" x14ac:dyDescent="0.25">
      <c r="O7017" s="21"/>
    </row>
    <row r="7018" spans="15:15" x14ac:dyDescent="0.25">
      <c r="O7018" s="21"/>
    </row>
    <row r="7019" spans="15:15" x14ac:dyDescent="0.25">
      <c r="O7019" s="21"/>
    </row>
    <row r="7020" spans="15:15" x14ac:dyDescent="0.25">
      <c r="O7020" s="21"/>
    </row>
    <row r="7021" spans="15:15" x14ac:dyDescent="0.25">
      <c r="O7021" s="21"/>
    </row>
    <row r="7022" spans="15:15" x14ac:dyDescent="0.25">
      <c r="O7022" s="21"/>
    </row>
    <row r="7023" spans="15:15" x14ac:dyDescent="0.25">
      <c r="O7023" s="21"/>
    </row>
    <row r="7024" spans="15:15" x14ac:dyDescent="0.25">
      <c r="O7024" s="21"/>
    </row>
    <row r="7025" spans="15:15" x14ac:dyDescent="0.25">
      <c r="O7025" s="21"/>
    </row>
    <row r="7026" spans="15:15" x14ac:dyDescent="0.25">
      <c r="O7026" s="21"/>
    </row>
    <row r="7027" spans="15:15" x14ac:dyDescent="0.25">
      <c r="O7027" s="21"/>
    </row>
    <row r="7028" spans="15:15" x14ac:dyDescent="0.25">
      <c r="O7028" s="21"/>
    </row>
    <row r="7029" spans="15:15" x14ac:dyDescent="0.25">
      <c r="O7029" s="21"/>
    </row>
    <row r="7030" spans="15:15" x14ac:dyDescent="0.25">
      <c r="O7030" s="21"/>
    </row>
    <row r="7031" spans="15:15" x14ac:dyDescent="0.25">
      <c r="O7031" s="21"/>
    </row>
    <row r="7032" spans="15:15" x14ac:dyDescent="0.25">
      <c r="O7032" s="21"/>
    </row>
    <row r="7033" spans="15:15" x14ac:dyDescent="0.25">
      <c r="O7033" s="21"/>
    </row>
    <row r="7034" spans="15:15" x14ac:dyDescent="0.25">
      <c r="O7034" s="21"/>
    </row>
    <row r="7035" spans="15:15" x14ac:dyDescent="0.25">
      <c r="O7035" s="21"/>
    </row>
    <row r="7036" spans="15:15" x14ac:dyDescent="0.25">
      <c r="O7036" s="21"/>
    </row>
    <row r="7037" spans="15:15" x14ac:dyDescent="0.25">
      <c r="O7037" s="21"/>
    </row>
    <row r="7038" spans="15:15" x14ac:dyDescent="0.25">
      <c r="O7038" s="21"/>
    </row>
    <row r="7039" spans="15:15" x14ac:dyDescent="0.25">
      <c r="O7039" s="21"/>
    </row>
    <row r="7040" spans="15:15" x14ac:dyDescent="0.25">
      <c r="O7040" s="21"/>
    </row>
    <row r="7041" spans="15:15" x14ac:dyDescent="0.25">
      <c r="O7041" s="21"/>
    </row>
    <row r="7042" spans="15:15" x14ac:dyDescent="0.25">
      <c r="O7042" s="21"/>
    </row>
    <row r="7043" spans="15:15" x14ac:dyDescent="0.25">
      <c r="O7043" s="21"/>
    </row>
    <row r="7044" spans="15:15" x14ac:dyDescent="0.25">
      <c r="O7044" s="21"/>
    </row>
    <row r="7045" spans="15:15" x14ac:dyDescent="0.25">
      <c r="O7045" s="21"/>
    </row>
    <row r="7046" spans="15:15" x14ac:dyDescent="0.25">
      <c r="O7046" s="21"/>
    </row>
    <row r="7047" spans="15:15" x14ac:dyDescent="0.25">
      <c r="O7047" s="21"/>
    </row>
    <row r="7048" spans="15:15" x14ac:dyDescent="0.25">
      <c r="O7048" s="21"/>
    </row>
    <row r="7049" spans="15:15" x14ac:dyDescent="0.25">
      <c r="O7049" s="21"/>
    </row>
    <row r="7050" spans="15:15" x14ac:dyDescent="0.25">
      <c r="O7050" s="21"/>
    </row>
    <row r="7051" spans="15:15" x14ac:dyDescent="0.25">
      <c r="O7051" s="21"/>
    </row>
    <row r="7052" spans="15:15" x14ac:dyDescent="0.25">
      <c r="O7052" s="21"/>
    </row>
    <row r="7053" spans="15:15" x14ac:dyDescent="0.25">
      <c r="O7053" s="21"/>
    </row>
    <row r="7054" spans="15:15" x14ac:dyDescent="0.25">
      <c r="O7054" s="21"/>
    </row>
    <row r="7055" spans="15:15" x14ac:dyDescent="0.25">
      <c r="O7055" s="21"/>
    </row>
    <row r="7056" spans="15:15" x14ac:dyDescent="0.25">
      <c r="O7056" s="21"/>
    </row>
    <row r="7057" spans="15:15" x14ac:dyDescent="0.25">
      <c r="O7057" s="21"/>
    </row>
    <row r="7058" spans="15:15" x14ac:dyDescent="0.25">
      <c r="O7058" s="21"/>
    </row>
    <row r="7059" spans="15:15" x14ac:dyDescent="0.25">
      <c r="O7059" s="21"/>
    </row>
    <row r="7060" spans="15:15" x14ac:dyDescent="0.25">
      <c r="O7060" s="21"/>
    </row>
    <row r="7061" spans="15:15" x14ac:dyDescent="0.25">
      <c r="O7061" s="21"/>
    </row>
    <row r="7062" spans="15:15" x14ac:dyDescent="0.25">
      <c r="O7062" s="21"/>
    </row>
    <row r="7063" spans="15:15" x14ac:dyDescent="0.25">
      <c r="O7063" s="21"/>
    </row>
    <row r="7064" spans="15:15" x14ac:dyDescent="0.25">
      <c r="O7064" s="21"/>
    </row>
    <row r="7065" spans="15:15" x14ac:dyDescent="0.25">
      <c r="O7065" s="21"/>
    </row>
    <row r="7066" spans="15:15" x14ac:dyDescent="0.25">
      <c r="O7066" s="21"/>
    </row>
    <row r="7067" spans="15:15" x14ac:dyDescent="0.25">
      <c r="O7067" s="21"/>
    </row>
    <row r="7068" spans="15:15" x14ac:dyDescent="0.25">
      <c r="O7068" s="21"/>
    </row>
    <row r="7069" spans="15:15" x14ac:dyDescent="0.25">
      <c r="O7069" s="21"/>
    </row>
    <row r="7070" spans="15:15" x14ac:dyDescent="0.25">
      <c r="O7070" s="21"/>
    </row>
    <row r="7071" spans="15:15" x14ac:dyDescent="0.25">
      <c r="O7071" s="21"/>
    </row>
    <row r="7072" spans="15:15" x14ac:dyDescent="0.25">
      <c r="O7072" s="21"/>
    </row>
    <row r="7073" spans="15:15" x14ac:dyDescent="0.25">
      <c r="O7073" s="21"/>
    </row>
    <row r="7074" spans="15:15" x14ac:dyDescent="0.25">
      <c r="O7074" s="21"/>
    </row>
    <row r="7075" spans="15:15" x14ac:dyDescent="0.25">
      <c r="O7075" s="21"/>
    </row>
    <row r="7076" spans="15:15" x14ac:dyDescent="0.25">
      <c r="O7076" s="21"/>
    </row>
    <row r="7077" spans="15:15" x14ac:dyDescent="0.25">
      <c r="O7077" s="21"/>
    </row>
    <row r="7078" spans="15:15" x14ac:dyDescent="0.25">
      <c r="O7078" s="21"/>
    </row>
    <row r="7079" spans="15:15" x14ac:dyDescent="0.25">
      <c r="O7079" s="21"/>
    </row>
    <row r="7080" spans="15:15" x14ac:dyDescent="0.25">
      <c r="O7080" s="21"/>
    </row>
    <row r="7081" spans="15:15" x14ac:dyDescent="0.25">
      <c r="O7081" s="21"/>
    </row>
    <row r="7082" spans="15:15" x14ac:dyDescent="0.25">
      <c r="O7082" s="21"/>
    </row>
    <row r="7083" spans="15:15" x14ac:dyDescent="0.25">
      <c r="O7083" s="21"/>
    </row>
    <row r="7084" spans="15:15" x14ac:dyDescent="0.25">
      <c r="O7084" s="21"/>
    </row>
    <row r="7085" spans="15:15" x14ac:dyDescent="0.25">
      <c r="O7085" s="21"/>
    </row>
    <row r="7086" spans="15:15" x14ac:dyDescent="0.25">
      <c r="O7086" s="21"/>
    </row>
    <row r="7087" spans="15:15" x14ac:dyDescent="0.25">
      <c r="O7087" s="21"/>
    </row>
    <row r="7088" spans="15:15" x14ac:dyDescent="0.25">
      <c r="O7088" s="21"/>
    </row>
    <row r="7089" spans="15:15" x14ac:dyDescent="0.25">
      <c r="O7089" s="21"/>
    </row>
    <row r="7090" spans="15:15" x14ac:dyDescent="0.25">
      <c r="O7090" s="21"/>
    </row>
    <row r="7091" spans="15:15" x14ac:dyDescent="0.25">
      <c r="O7091" s="21"/>
    </row>
    <row r="7092" spans="15:15" x14ac:dyDescent="0.25">
      <c r="O7092" s="21"/>
    </row>
    <row r="7093" spans="15:15" x14ac:dyDescent="0.25">
      <c r="O7093" s="21"/>
    </row>
    <row r="7094" spans="15:15" x14ac:dyDescent="0.25">
      <c r="O7094" s="21"/>
    </row>
    <row r="7095" spans="15:15" x14ac:dyDescent="0.25">
      <c r="O7095" s="21"/>
    </row>
    <row r="7096" spans="15:15" x14ac:dyDescent="0.25">
      <c r="O7096" s="21"/>
    </row>
    <row r="7097" spans="15:15" x14ac:dyDescent="0.25">
      <c r="O7097" s="21"/>
    </row>
    <row r="7098" spans="15:15" x14ac:dyDescent="0.25">
      <c r="O7098" s="21"/>
    </row>
    <row r="7099" spans="15:15" x14ac:dyDescent="0.25">
      <c r="O7099" s="21"/>
    </row>
    <row r="7100" spans="15:15" x14ac:dyDescent="0.25">
      <c r="O7100" s="21"/>
    </row>
    <row r="7101" spans="15:15" x14ac:dyDescent="0.25">
      <c r="O7101" s="21"/>
    </row>
    <row r="7102" spans="15:15" x14ac:dyDescent="0.25">
      <c r="O7102" s="21"/>
    </row>
    <row r="7103" spans="15:15" x14ac:dyDescent="0.25">
      <c r="O7103" s="21"/>
    </row>
    <row r="7104" spans="15:15" x14ac:dyDescent="0.25">
      <c r="O7104" s="21"/>
    </row>
    <row r="7105" spans="15:15" x14ac:dyDescent="0.25">
      <c r="O7105" s="21"/>
    </row>
    <row r="7106" spans="15:15" x14ac:dyDescent="0.25">
      <c r="O7106" s="21"/>
    </row>
    <row r="7107" spans="15:15" x14ac:dyDescent="0.25">
      <c r="O7107" s="21"/>
    </row>
    <row r="7108" spans="15:15" x14ac:dyDescent="0.25">
      <c r="O7108" s="21"/>
    </row>
    <row r="7109" spans="15:15" x14ac:dyDescent="0.25">
      <c r="O7109" s="21"/>
    </row>
    <row r="7110" spans="15:15" x14ac:dyDescent="0.25">
      <c r="O7110" s="21"/>
    </row>
    <row r="7111" spans="15:15" x14ac:dyDescent="0.25">
      <c r="O7111" s="21"/>
    </row>
    <row r="7112" spans="15:15" x14ac:dyDescent="0.25">
      <c r="O7112" s="21"/>
    </row>
    <row r="7113" spans="15:15" x14ac:dyDescent="0.25">
      <c r="O7113" s="21"/>
    </row>
    <row r="7114" spans="15:15" x14ac:dyDescent="0.25">
      <c r="O7114" s="21"/>
    </row>
    <row r="7115" spans="15:15" x14ac:dyDescent="0.25">
      <c r="O7115" s="21"/>
    </row>
    <row r="7116" spans="15:15" x14ac:dyDescent="0.25">
      <c r="O7116" s="21"/>
    </row>
    <row r="7117" spans="15:15" x14ac:dyDescent="0.25">
      <c r="O7117" s="21"/>
    </row>
    <row r="7118" spans="15:15" x14ac:dyDescent="0.25">
      <c r="O7118" s="21"/>
    </row>
    <row r="7119" spans="15:15" x14ac:dyDescent="0.25">
      <c r="O7119" s="21"/>
    </row>
    <row r="7120" spans="15:15" x14ac:dyDescent="0.25">
      <c r="O7120" s="21"/>
    </row>
    <row r="7121" spans="15:15" x14ac:dyDescent="0.25">
      <c r="O7121" s="21"/>
    </row>
    <row r="7122" spans="15:15" x14ac:dyDescent="0.25">
      <c r="O7122" s="21"/>
    </row>
    <row r="7123" spans="15:15" x14ac:dyDescent="0.25">
      <c r="O7123" s="21"/>
    </row>
    <row r="7124" spans="15:15" x14ac:dyDescent="0.25">
      <c r="O7124" s="21"/>
    </row>
    <row r="7125" spans="15:15" x14ac:dyDescent="0.25">
      <c r="O7125" s="21"/>
    </row>
    <row r="7126" spans="15:15" x14ac:dyDescent="0.25">
      <c r="O7126" s="21"/>
    </row>
    <row r="7127" spans="15:15" x14ac:dyDescent="0.25">
      <c r="O7127" s="21"/>
    </row>
    <row r="7128" spans="15:15" x14ac:dyDescent="0.25">
      <c r="O7128" s="21"/>
    </row>
    <row r="7129" spans="15:15" x14ac:dyDescent="0.25">
      <c r="O7129" s="21"/>
    </row>
    <row r="7130" spans="15:15" x14ac:dyDescent="0.25">
      <c r="O7130" s="21"/>
    </row>
    <row r="7131" spans="15:15" x14ac:dyDescent="0.25">
      <c r="O7131" s="21"/>
    </row>
    <row r="7132" spans="15:15" x14ac:dyDescent="0.25">
      <c r="O7132" s="21"/>
    </row>
    <row r="7133" spans="15:15" x14ac:dyDescent="0.25">
      <c r="O7133" s="21"/>
    </row>
    <row r="7134" spans="15:15" x14ac:dyDescent="0.25">
      <c r="O7134" s="21"/>
    </row>
    <row r="7135" spans="15:15" x14ac:dyDescent="0.25">
      <c r="O7135" s="21"/>
    </row>
    <row r="7136" spans="15:15" x14ac:dyDescent="0.25">
      <c r="O7136" s="21"/>
    </row>
    <row r="7137" spans="15:15" x14ac:dyDescent="0.25">
      <c r="O7137" s="21"/>
    </row>
    <row r="7138" spans="15:15" x14ac:dyDescent="0.25">
      <c r="O7138" s="21"/>
    </row>
    <row r="7139" spans="15:15" x14ac:dyDescent="0.25">
      <c r="O7139" s="21"/>
    </row>
    <row r="7140" spans="15:15" x14ac:dyDescent="0.25">
      <c r="O7140" s="21"/>
    </row>
    <row r="7141" spans="15:15" x14ac:dyDescent="0.25">
      <c r="O7141" s="21"/>
    </row>
    <row r="7142" spans="15:15" x14ac:dyDescent="0.25">
      <c r="O7142" s="21"/>
    </row>
    <row r="7143" spans="15:15" x14ac:dyDescent="0.25">
      <c r="O7143" s="21"/>
    </row>
    <row r="7144" spans="15:15" x14ac:dyDescent="0.25">
      <c r="O7144" s="21"/>
    </row>
    <row r="7145" spans="15:15" x14ac:dyDescent="0.25">
      <c r="O7145" s="21"/>
    </row>
    <row r="7146" spans="15:15" x14ac:dyDescent="0.25">
      <c r="O7146" s="21"/>
    </row>
    <row r="7147" spans="15:15" x14ac:dyDescent="0.25">
      <c r="O7147" s="21"/>
    </row>
    <row r="7148" spans="15:15" x14ac:dyDescent="0.25">
      <c r="O7148" s="21"/>
    </row>
    <row r="7149" spans="15:15" x14ac:dyDescent="0.25">
      <c r="O7149" s="21"/>
    </row>
    <row r="7150" spans="15:15" x14ac:dyDescent="0.25">
      <c r="O7150" s="21"/>
    </row>
    <row r="7151" spans="15:15" x14ac:dyDescent="0.25">
      <c r="O7151" s="21"/>
    </row>
    <row r="7152" spans="15:15" x14ac:dyDescent="0.25">
      <c r="O7152" s="21"/>
    </row>
    <row r="7153" spans="15:15" x14ac:dyDescent="0.25">
      <c r="O7153" s="21"/>
    </row>
    <row r="7154" spans="15:15" x14ac:dyDescent="0.25">
      <c r="O7154" s="21"/>
    </row>
    <row r="7155" spans="15:15" x14ac:dyDescent="0.25">
      <c r="O7155" s="21"/>
    </row>
    <row r="7156" spans="15:15" x14ac:dyDescent="0.25">
      <c r="O7156" s="21"/>
    </row>
    <row r="7157" spans="15:15" x14ac:dyDescent="0.25">
      <c r="O7157" s="21"/>
    </row>
    <row r="7158" spans="15:15" x14ac:dyDescent="0.25">
      <c r="O7158" s="21"/>
    </row>
    <row r="7159" spans="15:15" x14ac:dyDescent="0.25">
      <c r="O7159" s="21"/>
    </row>
    <row r="7160" spans="15:15" x14ac:dyDescent="0.25">
      <c r="O7160" s="21"/>
    </row>
    <row r="7161" spans="15:15" x14ac:dyDescent="0.25">
      <c r="O7161" s="21"/>
    </row>
    <row r="7162" spans="15:15" x14ac:dyDescent="0.25">
      <c r="O7162" s="21"/>
    </row>
    <row r="7163" spans="15:15" x14ac:dyDescent="0.25">
      <c r="O7163" s="21"/>
    </row>
    <row r="7164" spans="15:15" x14ac:dyDescent="0.25">
      <c r="O7164" s="21"/>
    </row>
    <row r="7165" spans="15:15" x14ac:dyDescent="0.25">
      <c r="O7165" s="21"/>
    </row>
    <row r="7166" spans="15:15" x14ac:dyDescent="0.25">
      <c r="O7166" s="21"/>
    </row>
    <row r="7167" spans="15:15" x14ac:dyDescent="0.25">
      <c r="O7167" s="21"/>
    </row>
    <row r="7168" spans="15:15" x14ac:dyDescent="0.25">
      <c r="O7168" s="21"/>
    </row>
    <row r="7169" spans="15:15" x14ac:dyDescent="0.25">
      <c r="O7169" s="21"/>
    </row>
    <row r="7170" spans="15:15" x14ac:dyDescent="0.25">
      <c r="O7170" s="21"/>
    </row>
    <row r="7171" spans="15:15" x14ac:dyDescent="0.25">
      <c r="O7171" s="21"/>
    </row>
    <row r="7172" spans="15:15" x14ac:dyDescent="0.25">
      <c r="O7172" s="21"/>
    </row>
    <row r="7173" spans="15:15" x14ac:dyDescent="0.25">
      <c r="O7173" s="21"/>
    </row>
    <row r="7174" spans="15:15" x14ac:dyDescent="0.25">
      <c r="O7174" s="21"/>
    </row>
    <row r="7175" spans="15:15" x14ac:dyDescent="0.25">
      <c r="O7175" s="21"/>
    </row>
    <row r="7176" spans="15:15" x14ac:dyDescent="0.25">
      <c r="O7176" s="21"/>
    </row>
    <row r="7177" spans="15:15" x14ac:dyDescent="0.25">
      <c r="O7177" s="21"/>
    </row>
    <row r="7178" spans="15:15" x14ac:dyDescent="0.25">
      <c r="O7178" s="21"/>
    </row>
    <row r="7179" spans="15:15" x14ac:dyDescent="0.25">
      <c r="O7179" s="21"/>
    </row>
    <row r="7180" spans="15:15" x14ac:dyDescent="0.25">
      <c r="O7180" s="21"/>
    </row>
    <row r="7181" spans="15:15" x14ac:dyDescent="0.25">
      <c r="O7181" s="21"/>
    </row>
    <row r="7182" spans="15:15" x14ac:dyDescent="0.25">
      <c r="O7182" s="21"/>
    </row>
    <row r="7183" spans="15:15" x14ac:dyDescent="0.25">
      <c r="O7183" s="21"/>
    </row>
    <row r="7184" spans="15:15" x14ac:dyDescent="0.25">
      <c r="O7184" s="21"/>
    </row>
    <row r="7185" spans="15:15" x14ac:dyDescent="0.25">
      <c r="O7185" s="21"/>
    </row>
    <row r="7186" spans="15:15" x14ac:dyDescent="0.25">
      <c r="O7186" s="21"/>
    </row>
    <row r="7187" spans="15:15" x14ac:dyDescent="0.25">
      <c r="O7187" s="21"/>
    </row>
    <row r="7188" spans="15:15" x14ac:dyDescent="0.25">
      <c r="O7188" s="21"/>
    </row>
    <row r="7189" spans="15:15" x14ac:dyDescent="0.25">
      <c r="O7189" s="21"/>
    </row>
    <row r="7190" spans="15:15" x14ac:dyDescent="0.25">
      <c r="O7190" s="21"/>
    </row>
    <row r="7191" spans="15:15" x14ac:dyDescent="0.25">
      <c r="O7191" s="21"/>
    </row>
    <row r="7192" spans="15:15" x14ac:dyDescent="0.25">
      <c r="O7192" s="21"/>
    </row>
    <row r="7193" spans="15:15" x14ac:dyDescent="0.25">
      <c r="O7193" s="21"/>
    </row>
    <row r="7194" spans="15:15" x14ac:dyDescent="0.25">
      <c r="O7194" s="21"/>
    </row>
    <row r="7195" spans="15:15" x14ac:dyDescent="0.25">
      <c r="O7195" s="21"/>
    </row>
    <row r="7196" spans="15:15" x14ac:dyDescent="0.25">
      <c r="O7196" s="21"/>
    </row>
    <row r="7197" spans="15:15" x14ac:dyDescent="0.25">
      <c r="O7197" s="21"/>
    </row>
    <row r="7198" spans="15:15" x14ac:dyDescent="0.25">
      <c r="O7198" s="21"/>
    </row>
    <row r="7199" spans="15:15" x14ac:dyDescent="0.25">
      <c r="O7199" s="21"/>
    </row>
    <row r="7200" spans="15:15" x14ac:dyDescent="0.25">
      <c r="O7200" s="21"/>
    </row>
    <row r="7201" spans="15:15" x14ac:dyDescent="0.25">
      <c r="O7201" s="21"/>
    </row>
    <row r="7202" spans="15:15" x14ac:dyDescent="0.25">
      <c r="O7202" s="21"/>
    </row>
    <row r="7203" spans="15:15" x14ac:dyDescent="0.25">
      <c r="O7203" s="21"/>
    </row>
    <row r="7204" spans="15:15" x14ac:dyDescent="0.25">
      <c r="O7204" s="21"/>
    </row>
    <row r="7205" spans="15:15" x14ac:dyDescent="0.25">
      <c r="O7205" s="21"/>
    </row>
    <row r="7206" spans="15:15" x14ac:dyDescent="0.25">
      <c r="O7206" s="21"/>
    </row>
    <row r="7207" spans="15:15" x14ac:dyDescent="0.25">
      <c r="O7207" s="21"/>
    </row>
    <row r="7208" spans="15:15" x14ac:dyDescent="0.25">
      <c r="O7208" s="21"/>
    </row>
    <row r="7209" spans="15:15" x14ac:dyDescent="0.25">
      <c r="O7209" s="21"/>
    </row>
    <row r="7210" spans="15:15" x14ac:dyDescent="0.25">
      <c r="O7210" s="21"/>
    </row>
    <row r="7211" spans="15:15" x14ac:dyDescent="0.25">
      <c r="O7211" s="21"/>
    </row>
    <row r="7212" spans="15:15" x14ac:dyDescent="0.25">
      <c r="O7212" s="21"/>
    </row>
    <row r="7213" spans="15:15" x14ac:dyDescent="0.25">
      <c r="O7213" s="21"/>
    </row>
    <row r="7214" spans="15:15" x14ac:dyDescent="0.25">
      <c r="O7214" s="21"/>
    </row>
    <row r="7215" spans="15:15" x14ac:dyDescent="0.25">
      <c r="O7215" s="21"/>
    </row>
    <row r="7216" spans="15:15" x14ac:dyDescent="0.25">
      <c r="O7216" s="21"/>
    </row>
    <row r="7217" spans="15:15" x14ac:dyDescent="0.25">
      <c r="O7217" s="21"/>
    </row>
    <row r="7218" spans="15:15" x14ac:dyDescent="0.25">
      <c r="O7218" s="21"/>
    </row>
    <row r="7219" spans="15:15" x14ac:dyDescent="0.25">
      <c r="O7219" s="21"/>
    </row>
    <row r="7220" spans="15:15" x14ac:dyDescent="0.25">
      <c r="O7220" s="21"/>
    </row>
    <row r="7221" spans="15:15" x14ac:dyDescent="0.25">
      <c r="O7221" s="21"/>
    </row>
    <row r="7222" spans="15:15" x14ac:dyDescent="0.25">
      <c r="O7222" s="21"/>
    </row>
    <row r="7223" spans="15:15" x14ac:dyDescent="0.25">
      <c r="O7223" s="21"/>
    </row>
    <row r="7224" spans="15:15" x14ac:dyDescent="0.25">
      <c r="O7224" s="21"/>
    </row>
    <row r="7225" spans="15:15" x14ac:dyDescent="0.25">
      <c r="O7225" s="21"/>
    </row>
    <row r="7226" spans="15:15" x14ac:dyDescent="0.25">
      <c r="O7226" s="21"/>
    </row>
    <row r="7227" spans="15:15" x14ac:dyDescent="0.25">
      <c r="O7227" s="21"/>
    </row>
    <row r="7228" spans="15:15" x14ac:dyDescent="0.25">
      <c r="O7228" s="21"/>
    </row>
    <row r="7229" spans="15:15" x14ac:dyDescent="0.25">
      <c r="O7229" s="21"/>
    </row>
    <row r="7230" spans="15:15" x14ac:dyDescent="0.25">
      <c r="O7230" s="21"/>
    </row>
    <row r="7231" spans="15:15" x14ac:dyDescent="0.25">
      <c r="O7231" s="21"/>
    </row>
    <row r="7232" spans="15:15" x14ac:dyDescent="0.25">
      <c r="O7232" s="21"/>
    </row>
    <row r="7233" spans="15:15" x14ac:dyDescent="0.25">
      <c r="O7233" s="21"/>
    </row>
    <row r="7234" spans="15:15" x14ac:dyDescent="0.25">
      <c r="O7234" s="21"/>
    </row>
    <row r="7235" spans="15:15" x14ac:dyDescent="0.25">
      <c r="O7235" s="21"/>
    </row>
    <row r="7236" spans="15:15" x14ac:dyDescent="0.25">
      <c r="O7236" s="21"/>
    </row>
    <row r="7237" spans="15:15" x14ac:dyDescent="0.25">
      <c r="O7237" s="21"/>
    </row>
    <row r="7238" spans="15:15" x14ac:dyDescent="0.25">
      <c r="O7238" s="21"/>
    </row>
    <row r="7239" spans="15:15" x14ac:dyDescent="0.25">
      <c r="O7239" s="21"/>
    </row>
    <row r="7240" spans="15:15" x14ac:dyDescent="0.25">
      <c r="O7240" s="21"/>
    </row>
    <row r="7241" spans="15:15" x14ac:dyDescent="0.25">
      <c r="O7241" s="21"/>
    </row>
    <row r="7242" spans="15:15" x14ac:dyDescent="0.25">
      <c r="O7242" s="21"/>
    </row>
    <row r="7243" spans="15:15" x14ac:dyDescent="0.25">
      <c r="O7243" s="21"/>
    </row>
    <row r="7244" spans="15:15" x14ac:dyDescent="0.25">
      <c r="O7244" s="21"/>
    </row>
    <row r="7245" spans="15:15" x14ac:dyDescent="0.25">
      <c r="O7245" s="21"/>
    </row>
    <row r="7246" spans="15:15" x14ac:dyDescent="0.25">
      <c r="O7246" s="21"/>
    </row>
    <row r="7247" spans="15:15" x14ac:dyDescent="0.25">
      <c r="O7247" s="21"/>
    </row>
    <row r="7248" spans="15:15" x14ac:dyDescent="0.25">
      <c r="O7248" s="21"/>
    </row>
    <row r="7249" spans="15:15" x14ac:dyDescent="0.25">
      <c r="O7249" s="21"/>
    </row>
    <row r="7250" spans="15:15" x14ac:dyDescent="0.25">
      <c r="O7250" s="21"/>
    </row>
    <row r="7251" spans="15:15" x14ac:dyDescent="0.25">
      <c r="O7251" s="21"/>
    </row>
    <row r="7252" spans="15:15" x14ac:dyDescent="0.25">
      <c r="O7252" s="21"/>
    </row>
    <row r="7253" spans="15:15" x14ac:dyDescent="0.25">
      <c r="O7253" s="21"/>
    </row>
    <row r="7254" spans="15:15" x14ac:dyDescent="0.25">
      <c r="O7254" s="21"/>
    </row>
    <row r="7255" spans="15:15" x14ac:dyDescent="0.25">
      <c r="O7255" s="21"/>
    </row>
    <row r="7256" spans="15:15" x14ac:dyDescent="0.25">
      <c r="O7256" s="21"/>
    </row>
    <row r="7257" spans="15:15" x14ac:dyDescent="0.25">
      <c r="O7257" s="21"/>
    </row>
    <row r="7258" spans="15:15" x14ac:dyDescent="0.25">
      <c r="O7258" s="21"/>
    </row>
    <row r="7259" spans="15:15" x14ac:dyDescent="0.25">
      <c r="O7259" s="21"/>
    </row>
    <row r="7260" spans="15:15" x14ac:dyDescent="0.25">
      <c r="O7260" s="21"/>
    </row>
    <row r="7261" spans="15:15" x14ac:dyDescent="0.25">
      <c r="O7261" s="21"/>
    </row>
    <row r="7262" spans="15:15" x14ac:dyDescent="0.25">
      <c r="O7262" s="21"/>
    </row>
    <row r="7263" spans="15:15" x14ac:dyDescent="0.25">
      <c r="O7263" s="21"/>
    </row>
    <row r="7264" spans="15:15" x14ac:dyDescent="0.25">
      <c r="O7264" s="21"/>
    </row>
    <row r="7265" spans="15:15" x14ac:dyDescent="0.25">
      <c r="O7265" s="21"/>
    </row>
    <row r="7266" spans="15:15" x14ac:dyDescent="0.25">
      <c r="O7266" s="21"/>
    </row>
    <row r="7267" spans="15:15" x14ac:dyDescent="0.25">
      <c r="O7267" s="21"/>
    </row>
    <row r="7268" spans="15:15" x14ac:dyDescent="0.25">
      <c r="O7268" s="21"/>
    </row>
    <row r="7269" spans="15:15" x14ac:dyDescent="0.25">
      <c r="O7269" s="21"/>
    </row>
    <row r="7270" spans="15:15" x14ac:dyDescent="0.25">
      <c r="O7270" s="21"/>
    </row>
    <row r="7271" spans="15:15" x14ac:dyDescent="0.25">
      <c r="O7271" s="21"/>
    </row>
    <row r="7272" spans="15:15" x14ac:dyDescent="0.25">
      <c r="O7272" s="21"/>
    </row>
    <row r="7273" spans="15:15" x14ac:dyDescent="0.25">
      <c r="O7273" s="21"/>
    </row>
    <row r="7274" spans="15:15" x14ac:dyDescent="0.25">
      <c r="O7274" s="21"/>
    </row>
    <row r="7275" spans="15:15" x14ac:dyDescent="0.25">
      <c r="O7275" s="21"/>
    </row>
    <row r="7276" spans="15:15" x14ac:dyDescent="0.25">
      <c r="O7276" s="21"/>
    </row>
    <row r="7277" spans="15:15" x14ac:dyDescent="0.25">
      <c r="O7277" s="21"/>
    </row>
    <row r="7278" spans="15:15" x14ac:dyDescent="0.25">
      <c r="O7278" s="21"/>
    </row>
    <row r="7279" spans="15:15" x14ac:dyDescent="0.25">
      <c r="O7279" s="21"/>
    </row>
    <row r="7280" spans="15:15" x14ac:dyDescent="0.25">
      <c r="O7280" s="21"/>
    </row>
    <row r="7281" spans="15:15" x14ac:dyDescent="0.25">
      <c r="O7281" s="21"/>
    </row>
    <row r="7282" spans="15:15" x14ac:dyDescent="0.25">
      <c r="O7282" s="21"/>
    </row>
    <row r="7283" spans="15:15" x14ac:dyDescent="0.25">
      <c r="O7283" s="21"/>
    </row>
    <row r="7284" spans="15:15" x14ac:dyDescent="0.25">
      <c r="O7284" s="21"/>
    </row>
    <row r="7285" spans="15:15" x14ac:dyDescent="0.25">
      <c r="O7285" s="21"/>
    </row>
    <row r="7286" spans="15:15" x14ac:dyDescent="0.25">
      <c r="O7286" s="21"/>
    </row>
    <row r="7287" spans="15:15" x14ac:dyDescent="0.25">
      <c r="O7287" s="21"/>
    </row>
    <row r="7288" spans="15:15" x14ac:dyDescent="0.25">
      <c r="O7288" s="21"/>
    </row>
    <row r="7289" spans="15:15" x14ac:dyDescent="0.25">
      <c r="O7289" s="21"/>
    </row>
    <row r="7290" spans="15:15" x14ac:dyDescent="0.25">
      <c r="O7290" s="21"/>
    </row>
    <row r="7291" spans="15:15" x14ac:dyDescent="0.25">
      <c r="O7291" s="21"/>
    </row>
    <row r="7292" spans="15:15" x14ac:dyDescent="0.25">
      <c r="O7292" s="21"/>
    </row>
    <row r="7293" spans="15:15" x14ac:dyDescent="0.25">
      <c r="O7293" s="21"/>
    </row>
    <row r="7294" spans="15:15" x14ac:dyDescent="0.25">
      <c r="O7294" s="21"/>
    </row>
    <row r="7295" spans="15:15" x14ac:dyDescent="0.25">
      <c r="O7295" s="21"/>
    </row>
    <row r="7296" spans="15:15" x14ac:dyDescent="0.25">
      <c r="O7296" s="21"/>
    </row>
    <row r="7297" spans="15:15" x14ac:dyDescent="0.25">
      <c r="O7297" s="21"/>
    </row>
    <row r="7298" spans="15:15" x14ac:dyDescent="0.25">
      <c r="O7298" s="21"/>
    </row>
    <row r="7299" spans="15:15" x14ac:dyDescent="0.25">
      <c r="O7299" s="21"/>
    </row>
    <row r="7300" spans="15:15" x14ac:dyDescent="0.25">
      <c r="O7300" s="21"/>
    </row>
    <row r="7301" spans="15:15" x14ac:dyDescent="0.25">
      <c r="O7301" s="21"/>
    </row>
    <row r="7302" spans="15:15" x14ac:dyDescent="0.25">
      <c r="O7302" s="21"/>
    </row>
    <row r="7303" spans="15:15" x14ac:dyDescent="0.25">
      <c r="O7303" s="21"/>
    </row>
    <row r="7304" spans="15:15" x14ac:dyDescent="0.25">
      <c r="O7304" s="21"/>
    </row>
    <row r="7305" spans="15:15" x14ac:dyDescent="0.25">
      <c r="O7305" s="21"/>
    </row>
    <row r="7306" spans="15:15" x14ac:dyDescent="0.25">
      <c r="O7306" s="21"/>
    </row>
    <row r="7307" spans="15:15" x14ac:dyDescent="0.25">
      <c r="O7307" s="21"/>
    </row>
    <row r="7308" spans="15:15" x14ac:dyDescent="0.25">
      <c r="O7308" s="21"/>
    </row>
    <row r="7309" spans="15:15" x14ac:dyDescent="0.25">
      <c r="O7309" s="21"/>
    </row>
    <row r="7310" spans="15:15" x14ac:dyDescent="0.25">
      <c r="O7310" s="21"/>
    </row>
    <row r="7311" spans="15:15" x14ac:dyDescent="0.25">
      <c r="O7311" s="21"/>
    </row>
    <row r="7312" spans="15:15" x14ac:dyDescent="0.25">
      <c r="O7312" s="21"/>
    </row>
    <row r="7313" spans="15:15" x14ac:dyDescent="0.25">
      <c r="O7313" s="21"/>
    </row>
    <row r="7314" spans="15:15" x14ac:dyDescent="0.25">
      <c r="O7314" s="21"/>
    </row>
    <row r="7315" spans="15:15" x14ac:dyDescent="0.25">
      <c r="O7315" s="21"/>
    </row>
    <row r="7316" spans="15:15" x14ac:dyDescent="0.25">
      <c r="O7316" s="21"/>
    </row>
    <row r="7317" spans="15:15" x14ac:dyDescent="0.25">
      <c r="O7317" s="21"/>
    </row>
    <row r="7318" spans="15:15" x14ac:dyDescent="0.25">
      <c r="O7318" s="21"/>
    </row>
    <row r="7319" spans="15:15" x14ac:dyDescent="0.25">
      <c r="O7319" s="21"/>
    </row>
    <row r="7320" spans="15:15" x14ac:dyDescent="0.25">
      <c r="O7320" s="21"/>
    </row>
    <row r="7321" spans="15:15" x14ac:dyDescent="0.25">
      <c r="O7321" s="21"/>
    </row>
    <row r="7322" spans="15:15" x14ac:dyDescent="0.25">
      <c r="O7322" s="21"/>
    </row>
    <row r="7323" spans="15:15" x14ac:dyDescent="0.25">
      <c r="O7323" s="21"/>
    </row>
    <row r="7324" spans="15:15" x14ac:dyDescent="0.25">
      <c r="O7324" s="21"/>
    </row>
    <row r="7325" spans="15:15" x14ac:dyDescent="0.25">
      <c r="O7325" s="21"/>
    </row>
    <row r="7326" spans="15:15" x14ac:dyDescent="0.25">
      <c r="O7326" s="21"/>
    </row>
    <row r="7327" spans="15:15" x14ac:dyDescent="0.25">
      <c r="O7327" s="21"/>
    </row>
    <row r="7328" spans="15:15" x14ac:dyDescent="0.25">
      <c r="O7328" s="21"/>
    </row>
    <row r="7329" spans="15:15" x14ac:dyDescent="0.25">
      <c r="O7329" s="21"/>
    </row>
    <row r="7330" spans="15:15" x14ac:dyDescent="0.25">
      <c r="O7330" s="21"/>
    </row>
    <row r="7331" spans="15:15" x14ac:dyDescent="0.25">
      <c r="O7331" s="21"/>
    </row>
    <row r="7332" spans="15:15" x14ac:dyDescent="0.25">
      <c r="O7332" s="21"/>
    </row>
    <row r="7333" spans="15:15" x14ac:dyDescent="0.25">
      <c r="O7333" s="21"/>
    </row>
    <row r="7334" spans="15:15" x14ac:dyDescent="0.25">
      <c r="O7334" s="21"/>
    </row>
    <row r="7335" spans="15:15" x14ac:dyDescent="0.25">
      <c r="O7335" s="21"/>
    </row>
    <row r="7336" spans="15:15" x14ac:dyDescent="0.25">
      <c r="O7336" s="21"/>
    </row>
    <row r="7337" spans="15:15" x14ac:dyDescent="0.25">
      <c r="O7337" s="21"/>
    </row>
    <row r="7338" spans="15:15" x14ac:dyDescent="0.25">
      <c r="O7338" s="21"/>
    </row>
    <row r="7339" spans="15:15" x14ac:dyDescent="0.25">
      <c r="O7339" s="21"/>
    </row>
    <row r="7340" spans="15:15" x14ac:dyDescent="0.25">
      <c r="O7340" s="21"/>
    </row>
    <row r="7341" spans="15:15" x14ac:dyDescent="0.25">
      <c r="O7341" s="21"/>
    </row>
    <row r="7342" spans="15:15" x14ac:dyDescent="0.25">
      <c r="O7342" s="21"/>
    </row>
    <row r="7343" spans="15:15" x14ac:dyDescent="0.25">
      <c r="O7343" s="21"/>
    </row>
    <row r="7344" spans="15:15" x14ac:dyDescent="0.25">
      <c r="O7344" s="21"/>
    </row>
    <row r="7345" spans="15:15" x14ac:dyDescent="0.25">
      <c r="O7345" s="21"/>
    </row>
    <row r="7346" spans="15:15" x14ac:dyDescent="0.25">
      <c r="O7346" s="21"/>
    </row>
    <row r="7347" spans="15:15" x14ac:dyDescent="0.25">
      <c r="O7347" s="21"/>
    </row>
    <row r="7348" spans="15:15" x14ac:dyDescent="0.25">
      <c r="O7348" s="21"/>
    </row>
    <row r="7349" spans="15:15" x14ac:dyDescent="0.25">
      <c r="O7349" s="21"/>
    </row>
    <row r="7350" spans="15:15" x14ac:dyDescent="0.25">
      <c r="O7350" s="21"/>
    </row>
    <row r="7351" spans="15:15" x14ac:dyDescent="0.25">
      <c r="O7351" s="21"/>
    </row>
    <row r="7352" spans="15:15" x14ac:dyDescent="0.25">
      <c r="O7352" s="21"/>
    </row>
    <row r="7353" spans="15:15" x14ac:dyDescent="0.25">
      <c r="O7353" s="21"/>
    </row>
    <row r="7354" spans="15:15" x14ac:dyDescent="0.25">
      <c r="O7354" s="21"/>
    </row>
    <row r="7355" spans="15:15" x14ac:dyDescent="0.25">
      <c r="O7355" s="21"/>
    </row>
    <row r="7356" spans="15:15" x14ac:dyDescent="0.25">
      <c r="O7356" s="21"/>
    </row>
    <row r="7357" spans="15:15" x14ac:dyDescent="0.25">
      <c r="O7357" s="21"/>
    </row>
    <row r="7358" spans="15:15" x14ac:dyDescent="0.25">
      <c r="O7358" s="21"/>
    </row>
    <row r="7359" spans="15:15" x14ac:dyDescent="0.25">
      <c r="O7359" s="21"/>
    </row>
    <row r="7360" spans="15:15" x14ac:dyDescent="0.25">
      <c r="O7360" s="21"/>
    </row>
    <row r="7361" spans="15:15" x14ac:dyDescent="0.25">
      <c r="O7361" s="21"/>
    </row>
    <row r="7362" spans="15:15" x14ac:dyDescent="0.25">
      <c r="O7362" s="21"/>
    </row>
    <row r="7363" spans="15:15" x14ac:dyDescent="0.25">
      <c r="O7363" s="21"/>
    </row>
    <row r="7364" spans="15:15" x14ac:dyDescent="0.25">
      <c r="O7364" s="21"/>
    </row>
    <row r="7365" spans="15:15" x14ac:dyDescent="0.25">
      <c r="O7365" s="21"/>
    </row>
    <row r="7366" spans="15:15" x14ac:dyDescent="0.25">
      <c r="O7366" s="21"/>
    </row>
    <row r="7367" spans="15:15" x14ac:dyDescent="0.25">
      <c r="O7367" s="21"/>
    </row>
    <row r="7368" spans="15:15" x14ac:dyDescent="0.25">
      <c r="O7368" s="21"/>
    </row>
    <row r="7369" spans="15:15" x14ac:dyDescent="0.25">
      <c r="O7369" s="21"/>
    </row>
    <row r="7370" spans="15:15" x14ac:dyDescent="0.25">
      <c r="O7370" s="21"/>
    </row>
    <row r="7371" spans="15:15" x14ac:dyDescent="0.25">
      <c r="O7371" s="21"/>
    </row>
    <row r="7372" spans="15:15" x14ac:dyDescent="0.25">
      <c r="O7372" s="21"/>
    </row>
    <row r="7373" spans="15:15" x14ac:dyDescent="0.25">
      <c r="O7373" s="21"/>
    </row>
    <row r="7374" spans="15:15" x14ac:dyDescent="0.25">
      <c r="O7374" s="21"/>
    </row>
    <row r="7375" spans="15:15" x14ac:dyDescent="0.25">
      <c r="O7375" s="21"/>
    </row>
    <row r="7376" spans="15:15" x14ac:dyDescent="0.25">
      <c r="O7376" s="21"/>
    </row>
    <row r="7377" spans="15:15" x14ac:dyDescent="0.25">
      <c r="O7377" s="21"/>
    </row>
    <row r="7378" spans="15:15" x14ac:dyDescent="0.25">
      <c r="O7378" s="21"/>
    </row>
    <row r="7379" spans="15:15" x14ac:dyDescent="0.25">
      <c r="O7379" s="21"/>
    </row>
    <row r="7380" spans="15:15" x14ac:dyDescent="0.25">
      <c r="O7380" s="21"/>
    </row>
    <row r="7381" spans="15:15" x14ac:dyDescent="0.25">
      <c r="O7381" s="21"/>
    </row>
    <row r="7382" spans="15:15" x14ac:dyDescent="0.25">
      <c r="O7382" s="21"/>
    </row>
    <row r="7383" spans="15:15" x14ac:dyDescent="0.25">
      <c r="O7383" s="21"/>
    </row>
    <row r="7384" spans="15:15" x14ac:dyDescent="0.25">
      <c r="O7384" s="21"/>
    </row>
    <row r="7385" spans="15:15" x14ac:dyDescent="0.25">
      <c r="O7385" s="21"/>
    </row>
    <row r="7386" spans="15:15" x14ac:dyDescent="0.25">
      <c r="O7386" s="21"/>
    </row>
    <row r="7387" spans="15:15" x14ac:dyDescent="0.25">
      <c r="O7387" s="21"/>
    </row>
    <row r="7388" spans="15:15" x14ac:dyDescent="0.25">
      <c r="O7388" s="21"/>
    </row>
    <row r="7389" spans="15:15" x14ac:dyDescent="0.25">
      <c r="O7389" s="21"/>
    </row>
    <row r="7390" spans="15:15" x14ac:dyDescent="0.25">
      <c r="O7390" s="21"/>
    </row>
    <row r="7391" spans="15:15" x14ac:dyDescent="0.25">
      <c r="O7391" s="21"/>
    </row>
    <row r="7392" spans="15:15" x14ac:dyDescent="0.25">
      <c r="O7392" s="21"/>
    </row>
    <row r="7393" spans="15:15" x14ac:dyDescent="0.25">
      <c r="O7393" s="21"/>
    </row>
    <row r="7394" spans="15:15" x14ac:dyDescent="0.25">
      <c r="O7394" s="21"/>
    </row>
    <row r="7395" spans="15:15" x14ac:dyDescent="0.25">
      <c r="O7395" s="21"/>
    </row>
    <row r="7396" spans="15:15" x14ac:dyDescent="0.25">
      <c r="O7396" s="21"/>
    </row>
    <row r="7397" spans="15:15" x14ac:dyDescent="0.25">
      <c r="O7397" s="21"/>
    </row>
    <row r="7398" spans="15:15" x14ac:dyDescent="0.25">
      <c r="O7398" s="21"/>
    </row>
    <row r="7399" spans="15:15" x14ac:dyDescent="0.25">
      <c r="O7399" s="21"/>
    </row>
    <row r="7400" spans="15:15" x14ac:dyDescent="0.25">
      <c r="O7400" s="21"/>
    </row>
    <row r="7401" spans="15:15" x14ac:dyDescent="0.25">
      <c r="O7401" s="21"/>
    </row>
    <row r="7402" spans="15:15" x14ac:dyDescent="0.25">
      <c r="O7402" s="21"/>
    </row>
    <row r="7403" spans="15:15" x14ac:dyDescent="0.25">
      <c r="O7403" s="21"/>
    </row>
    <row r="7404" spans="15:15" x14ac:dyDescent="0.25">
      <c r="O7404" s="21"/>
    </row>
    <row r="7405" spans="15:15" x14ac:dyDescent="0.25">
      <c r="O7405" s="21"/>
    </row>
    <row r="7406" spans="15:15" x14ac:dyDescent="0.25">
      <c r="O7406" s="21"/>
    </row>
    <row r="7407" spans="15:15" x14ac:dyDescent="0.25">
      <c r="O7407" s="21"/>
    </row>
    <row r="7408" spans="15:15" x14ac:dyDescent="0.25">
      <c r="O7408" s="21"/>
    </row>
    <row r="7409" spans="15:15" x14ac:dyDescent="0.25">
      <c r="O7409" s="21"/>
    </row>
    <row r="7410" spans="15:15" x14ac:dyDescent="0.25">
      <c r="O7410" s="21"/>
    </row>
    <row r="7411" spans="15:15" x14ac:dyDescent="0.25">
      <c r="O7411" s="21"/>
    </row>
    <row r="7412" spans="15:15" x14ac:dyDescent="0.25">
      <c r="O7412" s="21"/>
    </row>
    <row r="7413" spans="15:15" x14ac:dyDescent="0.25">
      <c r="O7413" s="21"/>
    </row>
    <row r="7414" spans="15:15" x14ac:dyDescent="0.25">
      <c r="O7414" s="21"/>
    </row>
    <row r="7415" spans="15:15" x14ac:dyDescent="0.25">
      <c r="O7415" s="21"/>
    </row>
    <row r="7416" spans="15:15" x14ac:dyDescent="0.25">
      <c r="O7416" s="21"/>
    </row>
    <row r="7417" spans="15:15" x14ac:dyDescent="0.25">
      <c r="O7417" s="21"/>
    </row>
    <row r="7418" spans="15:15" x14ac:dyDescent="0.25">
      <c r="O7418" s="21"/>
    </row>
    <row r="7419" spans="15:15" x14ac:dyDescent="0.25">
      <c r="O7419" s="21"/>
    </row>
    <row r="7420" spans="15:15" x14ac:dyDescent="0.25">
      <c r="O7420" s="21"/>
    </row>
    <row r="7421" spans="15:15" x14ac:dyDescent="0.25">
      <c r="O7421" s="21"/>
    </row>
    <row r="7422" spans="15:15" x14ac:dyDescent="0.25">
      <c r="O7422" s="21"/>
    </row>
    <row r="7423" spans="15:15" x14ac:dyDescent="0.25">
      <c r="O7423" s="21"/>
    </row>
    <row r="7424" spans="15:15" x14ac:dyDescent="0.25">
      <c r="O7424" s="21"/>
    </row>
    <row r="7425" spans="15:15" x14ac:dyDescent="0.25">
      <c r="O7425" s="21"/>
    </row>
    <row r="7426" spans="15:15" x14ac:dyDescent="0.25">
      <c r="O7426" s="21"/>
    </row>
    <row r="7427" spans="15:15" x14ac:dyDescent="0.25">
      <c r="O7427" s="21"/>
    </row>
    <row r="7428" spans="15:15" x14ac:dyDescent="0.25">
      <c r="O7428" s="21"/>
    </row>
    <row r="7429" spans="15:15" x14ac:dyDescent="0.25">
      <c r="O7429" s="21"/>
    </row>
    <row r="7430" spans="15:15" x14ac:dyDescent="0.25">
      <c r="O7430" s="21"/>
    </row>
    <row r="7431" spans="15:15" x14ac:dyDescent="0.25">
      <c r="O7431" s="21"/>
    </row>
    <row r="7432" spans="15:15" x14ac:dyDescent="0.25">
      <c r="O7432" s="21"/>
    </row>
    <row r="7433" spans="15:15" x14ac:dyDescent="0.25">
      <c r="O7433" s="21"/>
    </row>
    <row r="7434" spans="15:15" x14ac:dyDescent="0.25">
      <c r="O7434" s="21"/>
    </row>
    <row r="7435" spans="15:15" x14ac:dyDescent="0.25">
      <c r="O7435" s="21"/>
    </row>
    <row r="7436" spans="15:15" x14ac:dyDescent="0.25">
      <c r="O7436" s="21"/>
    </row>
    <row r="7437" spans="15:15" x14ac:dyDescent="0.25">
      <c r="O7437" s="21"/>
    </row>
    <row r="7438" spans="15:15" x14ac:dyDescent="0.25">
      <c r="O7438" s="21"/>
    </row>
    <row r="7439" spans="15:15" x14ac:dyDescent="0.25">
      <c r="O7439" s="21"/>
    </row>
    <row r="7440" spans="15:15" x14ac:dyDescent="0.25">
      <c r="O7440" s="21"/>
    </row>
    <row r="7441" spans="15:15" x14ac:dyDescent="0.25">
      <c r="O7441" s="21"/>
    </row>
    <row r="7442" spans="15:15" x14ac:dyDescent="0.25">
      <c r="O7442" s="21"/>
    </row>
    <row r="7443" spans="15:15" x14ac:dyDescent="0.25">
      <c r="O7443" s="21"/>
    </row>
    <row r="7444" spans="15:15" x14ac:dyDescent="0.25">
      <c r="O7444" s="21"/>
    </row>
    <row r="7445" spans="15:15" x14ac:dyDescent="0.25">
      <c r="O7445" s="21"/>
    </row>
    <row r="7446" spans="15:15" x14ac:dyDescent="0.25">
      <c r="O7446" s="21"/>
    </row>
    <row r="7447" spans="15:15" x14ac:dyDescent="0.25">
      <c r="O7447" s="21"/>
    </row>
    <row r="7448" spans="15:15" x14ac:dyDescent="0.25">
      <c r="O7448" s="21"/>
    </row>
    <row r="7449" spans="15:15" x14ac:dyDescent="0.25">
      <c r="O7449" s="21"/>
    </row>
    <row r="7450" spans="15:15" x14ac:dyDescent="0.25">
      <c r="O7450" s="21"/>
    </row>
    <row r="7451" spans="15:15" x14ac:dyDescent="0.25">
      <c r="O7451" s="21"/>
    </row>
    <row r="7452" spans="15:15" x14ac:dyDescent="0.25">
      <c r="O7452" s="21"/>
    </row>
    <row r="7453" spans="15:15" x14ac:dyDescent="0.25">
      <c r="O7453" s="21"/>
    </row>
    <row r="7454" spans="15:15" x14ac:dyDescent="0.25">
      <c r="O7454" s="21"/>
    </row>
    <row r="7455" spans="15:15" x14ac:dyDescent="0.25">
      <c r="O7455" s="21"/>
    </row>
    <row r="7456" spans="15:15" x14ac:dyDescent="0.25">
      <c r="O7456" s="21"/>
    </row>
    <row r="7457" spans="15:15" x14ac:dyDescent="0.25">
      <c r="O7457" s="21"/>
    </row>
    <row r="7458" spans="15:15" x14ac:dyDescent="0.25">
      <c r="O7458" s="21"/>
    </row>
    <row r="7459" spans="15:15" x14ac:dyDescent="0.25">
      <c r="O7459" s="21"/>
    </row>
    <row r="7460" spans="15:15" x14ac:dyDescent="0.25">
      <c r="O7460" s="21"/>
    </row>
    <row r="7461" spans="15:15" x14ac:dyDescent="0.25">
      <c r="O7461" s="21"/>
    </row>
    <row r="7462" spans="15:15" x14ac:dyDescent="0.25">
      <c r="O7462" s="21"/>
    </row>
    <row r="7463" spans="15:15" x14ac:dyDescent="0.25">
      <c r="O7463" s="21"/>
    </row>
    <row r="7464" spans="15:15" x14ac:dyDescent="0.25">
      <c r="O7464" s="21"/>
    </row>
    <row r="7465" spans="15:15" x14ac:dyDescent="0.25">
      <c r="O7465" s="21"/>
    </row>
    <row r="7466" spans="15:15" x14ac:dyDescent="0.25">
      <c r="O7466" s="21"/>
    </row>
    <row r="7467" spans="15:15" x14ac:dyDescent="0.25">
      <c r="O7467" s="21"/>
    </row>
    <row r="7468" spans="15:15" x14ac:dyDescent="0.25">
      <c r="O7468" s="21"/>
    </row>
    <row r="7469" spans="15:15" x14ac:dyDescent="0.25">
      <c r="O7469" s="21"/>
    </row>
    <row r="7470" spans="15:15" x14ac:dyDescent="0.25">
      <c r="O7470" s="21"/>
    </row>
    <row r="7471" spans="15:15" x14ac:dyDescent="0.25">
      <c r="O7471" s="21"/>
    </row>
    <row r="7472" spans="15:15" x14ac:dyDescent="0.25">
      <c r="O7472" s="21"/>
    </row>
    <row r="7473" spans="15:15" x14ac:dyDescent="0.25">
      <c r="O7473" s="21"/>
    </row>
    <row r="7474" spans="15:15" x14ac:dyDescent="0.25">
      <c r="O7474" s="21"/>
    </row>
    <row r="7475" spans="15:15" x14ac:dyDescent="0.25">
      <c r="O7475" s="21"/>
    </row>
    <row r="7476" spans="15:15" x14ac:dyDescent="0.25">
      <c r="O7476" s="21"/>
    </row>
    <row r="7477" spans="15:15" x14ac:dyDescent="0.25">
      <c r="O7477" s="21"/>
    </row>
    <row r="7478" spans="15:15" x14ac:dyDescent="0.25">
      <c r="O7478" s="21"/>
    </row>
    <row r="7479" spans="15:15" x14ac:dyDescent="0.25">
      <c r="O7479" s="21"/>
    </row>
    <row r="7480" spans="15:15" x14ac:dyDescent="0.25">
      <c r="O7480" s="21"/>
    </row>
    <row r="7481" spans="15:15" x14ac:dyDescent="0.25">
      <c r="O7481" s="21"/>
    </row>
    <row r="7482" spans="15:15" x14ac:dyDescent="0.25">
      <c r="O7482" s="21"/>
    </row>
    <row r="7483" spans="15:15" x14ac:dyDescent="0.25">
      <c r="O7483" s="21"/>
    </row>
    <row r="7484" spans="15:15" x14ac:dyDescent="0.25">
      <c r="O7484" s="21"/>
    </row>
    <row r="7485" spans="15:15" x14ac:dyDescent="0.25">
      <c r="O7485" s="21"/>
    </row>
    <row r="7486" spans="15:15" x14ac:dyDescent="0.25">
      <c r="O7486" s="21"/>
    </row>
    <row r="7487" spans="15:15" x14ac:dyDescent="0.25">
      <c r="O7487" s="21"/>
    </row>
    <row r="7488" spans="15:15" x14ac:dyDescent="0.25">
      <c r="O7488" s="21"/>
    </row>
    <row r="7489" spans="15:15" x14ac:dyDescent="0.25">
      <c r="O7489" s="21"/>
    </row>
    <row r="7490" spans="15:15" x14ac:dyDescent="0.25">
      <c r="O7490" s="21"/>
    </row>
    <row r="7491" spans="15:15" x14ac:dyDescent="0.25">
      <c r="O7491" s="21"/>
    </row>
    <row r="7492" spans="15:15" x14ac:dyDescent="0.25">
      <c r="O7492" s="21"/>
    </row>
    <row r="7493" spans="15:15" x14ac:dyDescent="0.25">
      <c r="O7493" s="21"/>
    </row>
    <row r="7494" spans="15:15" x14ac:dyDescent="0.25">
      <c r="O7494" s="21"/>
    </row>
    <row r="7495" spans="15:15" x14ac:dyDescent="0.25">
      <c r="O7495" s="21"/>
    </row>
    <row r="7496" spans="15:15" x14ac:dyDescent="0.25">
      <c r="O7496" s="21"/>
    </row>
    <row r="7497" spans="15:15" x14ac:dyDescent="0.25">
      <c r="O7497" s="21"/>
    </row>
    <row r="7498" spans="15:15" x14ac:dyDescent="0.25">
      <c r="O7498" s="21"/>
    </row>
    <row r="7499" spans="15:15" x14ac:dyDescent="0.25">
      <c r="O7499" s="21"/>
    </row>
    <row r="7500" spans="15:15" x14ac:dyDescent="0.25">
      <c r="O7500" s="21"/>
    </row>
    <row r="7501" spans="15:15" x14ac:dyDescent="0.25">
      <c r="O7501" s="21"/>
    </row>
    <row r="7502" spans="15:15" x14ac:dyDescent="0.25">
      <c r="O7502" s="21"/>
    </row>
    <row r="7503" spans="15:15" x14ac:dyDescent="0.25">
      <c r="O7503" s="21"/>
    </row>
    <row r="7504" spans="15:15" x14ac:dyDescent="0.25">
      <c r="O7504" s="21"/>
    </row>
    <row r="7505" spans="15:15" x14ac:dyDescent="0.25">
      <c r="O7505" s="21"/>
    </row>
    <row r="7506" spans="15:15" x14ac:dyDescent="0.25">
      <c r="O7506" s="21"/>
    </row>
    <row r="7507" spans="15:15" x14ac:dyDescent="0.25">
      <c r="O7507" s="21"/>
    </row>
    <row r="7508" spans="15:15" x14ac:dyDescent="0.25">
      <c r="O7508" s="21"/>
    </row>
    <row r="7509" spans="15:15" x14ac:dyDescent="0.25">
      <c r="O7509" s="21"/>
    </row>
    <row r="7510" spans="15:15" x14ac:dyDescent="0.25">
      <c r="O7510" s="21"/>
    </row>
    <row r="7511" spans="15:15" x14ac:dyDescent="0.25">
      <c r="O7511" s="21"/>
    </row>
    <row r="7512" spans="15:15" x14ac:dyDescent="0.25">
      <c r="O7512" s="21"/>
    </row>
    <row r="7513" spans="15:15" x14ac:dyDescent="0.25">
      <c r="O7513" s="21"/>
    </row>
    <row r="7514" spans="15:15" x14ac:dyDescent="0.25">
      <c r="O7514" s="21"/>
    </row>
    <row r="7515" spans="15:15" x14ac:dyDescent="0.25">
      <c r="O7515" s="21"/>
    </row>
    <row r="7516" spans="15:15" x14ac:dyDescent="0.25">
      <c r="O7516" s="21"/>
    </row>
    <row r="7517" spans="15:15" x14ac:dyDescent="0.25">
      <c r="O7517" s="21"/>
    </row>
    <row r="7518" spans="15:15" x14ac:dyDescent="0.25">
      <c r="O7518" s="21"/>
    </row>
    <row r="7519" spans="15:15" x14ac:dyDescent="0.25">
      <c r="O7519" s="21"/>
    </row>
    <row r="7520" spans="15:15" x14ac:dyDescent="0.25">
      <c r="O7520" s="21"/>
    </row>
    <row r="7521" spans="15:15" x14ac:dyDescent="0.25">
      <c r="O7521" s="21"/>
    </row>
    <row r="7522" spans="15:15" x14ac:dyDescent="0.25">
      <c r="O7522" s="21"/>
    </row>
    <row r="7523" spans="15:15" x14ac:dyDescent="0.25">
      <c r="O7523" s="21"/>
    </row>
    <row r="7524" spans="15:15" x14ac:dyDescent="0.25">
      <c r="O7524" s="21"/>
    </row>
    <row r="7525" spans="15:15" x14ac:dyDescent="0.25">
      <c r="O7525" s="21"/>
    </row>
    <row r="7526" spans="15:15" x14ac:dyDescent="0.25">
      <c r="O7526" s="21"/>
    </row>
    <row r="7527" spans="15:15" x14ac:dyDescent="0.25">
      <c r="O7527" s="21"/>
    </row>
    <row r="7528" spans="15:15" x14ac:dyDescent="0.25">
      <c r="O7528" s="21"/>
    </row>
    <row r="7529" spans="15:15" x14ac:dyDescent="0.25">
      <c r="O7529" s="21"/>
    </row>
    <row r="7530" spans="15:15" x14ac:dyDescent="0.25">
      <c r="O7530" s="21"/>
    </row>
    <row r="7531" spans="15:15" x14ac:dyDescent="0.25">
      <c r="O7531" s="21"/>
    </row>
    <row r="7532" spans="15:15" x14ac:dyDescent="0.25">
      <c r="O7532" s="21"/>
    </row>
    <row r="7533" spans="15:15" x14ac:dyDescent="0.25">
      <c r="O7533" s="21"/>
    </row>
    <row r="7534" spans="15:15" x14ac:dyDescent="0.25">
      <c r="O7534" s="21"/>
    </row>
    <row r="7535" spans="15:15" x14ac:dyDescent="0.25">
      <c r="O7535" s="21"/>
    </row>
    <row r="7536" spans="15:15" x14ac:dyDescent="0.25">
      <c r="O7536" s="21"/>
    </row>
    <row r="7537" spans="15:15" x14ac:dyDescent="0.25">
      <c r="O7537" s="21"/>
    </row>
    <row r="7538" spans="15:15" x14ac:dyDescent="0.25">
      <c r="O7538" s="21"/>
    </row>
    <row r="7539" spans="15:15" x14ac:dyDescent="0.25">
      <c r="O7539" s="21"/>
    </row>
    <row r="7540" spans="15:15" x14ac:dyDescent="0.25">
      <c r="O7540" s="21"/>
    </row>
    <row r="7541" spans="15:15" x14ac:dyDescent="0.25">
      <c r="O7541" s="21"/>
    </row>
    <row r="7542" spans="15:15" x14ac:dyDescent="0.25">
      <c r="O7542" s="21"/>
    </row>
    <row r="7543" spans="15:15" x14ac:dyDescent="0.25">
      <c r="O7543" s="21"/>
    </row>
    <row r="7544" spans="15:15" x14ac:dyDescent="0.25">
      <c r="O7544" s="21"/>
    </row>
    <row r="7545" spans="15:15" x14ac:dyDescent="0.25">
      <c r="O7545" s="21"/>
    </row>
    <row r="7546" spans="15:15" x14ac:dyDescent="0.25">
      <c r="O7546" s="21"/>
    </row>
    <row r="7547" spans="15:15" x14ac:dyDescent="0.25">
      <c r="O7547" s="21"/>
    </row>
    <row r="7548" spans="15:15" x14ac:dyDescent="0.25">
      <c r="O7548" s="21"/>
    </row>
    <row r="7549" spans="15:15" x14ac:dyDescent="0.25">
      <c r="O7549" s="21"/>
    </row>
    <row r="7550" spans="15:15" x14ac:dyDescent="0.25">
      <c r="O7550" s="21"/>
    </row>
    <row r="7551" spans="15:15" x14ac:dyDescent="0.25">
      <c r="O7551" s="21"/>
    </row>
    <row r="7552" spans="15:15" x14ac:dyDescent="0.25">
      <c r="O7552" s="21"/>
    </row>
    <row r="7553" spans="15:15" x14ac:dyDescent="0.25">
      <c r="O7553" s="21"/>
    </row>
    <row r="7554" spans="15:15" x14ac:dyDescent="0.25">
      <c r="O7554" s="21"/>
    </row>
    <row r="7555" spans="15:15" x14ac:dyDescent="0.25">
      <c r="O7555" s="21"/>
    </row>
    <row r="7556" spans="15:15" x14ac:dyDescent="0.25">
      <c r="O7556" s="21"/>
    </row>
    <row r="7557" spans="15:15" x14ac:dyDescent="0.25">
      <c r="O7557" s="21"/>
    </row>
    <row r="7558" spans="15:15" x14ac:dyDescent="0.25">
      <c r="O7558" s="21"/>
    </row>
    <row r="7559" spans="15:15" x14ac:dyDescent="0.25">
      <c r="O7559" s="21"/>
    </row>
    <row r="7560" spans="15:15" x14ac:dyDescent="0.25">
      <c r="O7560" s="21"/>
    </row>
    <row r="7561" spans="15:15" x14ac:dyDescent="0.25">
      <c r="O7561" s="21"/>
    </row>
    <row r="7562" spans="15:15" x14ac:dyDescent="0.25">
      <c r="O7562" s="21"/>
    </row>
    <row r="7563" spans="15:15" x14ac:dyDescent="0.25">
      <c r="O7563" s="21"/>
    </row>
    <row r="7564" spans="15:15" x14ac:dyDescent="0.25">
      <c r="O7564" s="21"/>
    </row>
    <row r="7565" spans="15:15" x14ac:dyDescent="0.25">
      <c r="O7565" s="21"/>
    </row>
    <row r="7566" spans="15:15" x14ac:dyDescent="0.25">
      <c r="O7566" s="21"/>
    </row>
    <row r="7567" spans="15:15" x14ac:dyDescent="0.25">
      <c r="O7567" s="21"/>
    </row>
    <row r="7568" spans="15:15" x14ac:dyDescent="0.25">
      <c r="O7568" s="21"/>
    </row>
    <row r="7569" spans="15:15" x14ac:dyDescent="0.25">
      <c r="O7569" s="21"/>
    </row>
    <row r="7570" spans="15:15" x14ac:dyDescent="0.25">
      <c r="O7570" s="21"/>
    </row>
    <row r="7571" spans="15:15" x14ac:dyDescent="0.25">
      <c r="O7571" s="21"/>
    </row>
    <row r="7572" spans="15:15" x14ac:dyDescent="0.25">
      <c r="O7572" s="21"/>
    </row>
    <row r="7573" spans="15:15" x14ac:dyDescent="0.25">
      <c r="O7573" s="21"/>
    </row>
    <row r="7574" spans="15:15" x14ac:dyDescent="0.25">
      <c r="O7574" s="21"/>
    </row>
    <row r="7575" spans="15:15" x14ac:dyDescent="0.25">
      <c r="O7575" s="21"/>
    </row>
    <row r="7576" spans="15:15" x14ac:dyDescent="0.25">
      <c r="O7576" s="21"/>
    </row>
    <row r="7577" spans="15:15" x14ac:dyDescent="0.25">
      <c r="O7577" s="21"/>
    </row>
    <row r="7578" spans="15:15" x14ac:dyDescent="0.25">
      <c r="O7578" s="21"/>
    </row>
    <row r="7579" spans="15:15" x14ac:dyDescent="0.25">
      <c r="O7579" s="21"/>
    </row>
    <row r="7580" spans="15:15" x14ac:dyDescent="0.25">
      <c r="O7580" s="21"/>
    </row>
    <row r="7581" spans="15:15" x14ac:dyDescent="0.25">
      <c r="O7581" s="21"/>
    </row>
    <row r="7582" spans="15:15" x14ac:dyDescent="0.25">
      <c r="O7582" s="21"/>
    </row>
    <row r="7583" spans="15:15" x14ac:dyDescent="0.25">
      <c r="O7583" s="21"/>
    </row>
    <row r="7584" spans="15:15" x14ac:dyDescent="0.25">
      <c r="O7584" s="21"/>
    </row>
    <row r="7585" spans="15:15" x14ac:dyDescent="0.25">
      <c r="O7585" s="21"/>
    </row>
    <row r="7586" spans="15:15" x14ac:dyDescent="0.25">
      <c r="O7586" s="21"/>
    </row>
    <row r="7587" spans="15:15" x14ac:dyDescent="0.25">
      <c r="O7587" s="21"/>
    </row>
    <row r="7588" spans="15:15" x14ac:dyDescent="0.25">
      <c r="O7588" s="21"/>
    </row>
    <row r="7589" spans="15:15" x14ac:dyDescent="0.25">
      <c r="O7589" s="21"/>
    </row>
    <row r="7590" spans="15:15" x14ac:dyDescent="0.25">
      <c r="O7590" s="21"/>
    </row>
    <row r="7591" spans="15:15" x14ac:dyDescent="0.25">
      <c r="O7591" s="21"/>
    </row>
    <row r="7592" spans="15:15" x14ac:dyDescent="0.25">
      <c r="O7592" s="21"/>
    </row>
    <row r="7593" spans="15:15" x14ac:dyDescent="0.25">
      <c r="O7593" s="21"/>
    </row>
    <row r="7594" spans="15:15" x14ac:dyDescent="0.25">
      <c r="O7594" s="21"/>
    </row>
    <row r="7595" spans="15:15" x14ac:dyDescent="0.25">
      <c r="O7595" s="21"/>
    </row>
    <row r="7596" spans="15:15" x14ac:dyDescent="0.25">
      <c r="O7596" s="21"/>
    </row>
    <row r="7597" spans="15:15" x14ac:dyDescent="0.25">
      <c r="O7597" s="21"/>
    </row>
    <row r="7598" spans="15:15" x14ac:dyDescent="0.25">
      <c r="O7598" s="21"/>
    </row>
    <row r="7599" spans="15:15" x14ac:dyDescent="0.25">
      <c r="O7599" s="21"/>
    </row>
    <row r="7600" spans="15:15" x14ac:dyDescent="0.25">
      <c r="O7600" s="21"/>
    </row>
    <row r="7601" spans="15:15" x14ac:dyDescent="0.25">
      <c r="O7601" s="21"/>
    </row>
    <row r="7602" spans="15:15" x14ac:dyDescent="0.25">
      <c r="O7602" s="21"/>
    </row>
    <row r="7603" spans="15:15" x14ac:dyDescent="0.25">
      <c r="O7603" s="21"/>
    </row>
    <row r="7604" spans="15:15" x14ac:dyDescent="0.25">
      <c r="O7604" s="21"/>
    </row>
    <row r="7605" spans="15:15" x14ac:dyDescent="0.25">
      <c r="O7605" s="21"/>
    </row>
    <row r="7606" spans="15:15" x14ac:dyDescent="0.25">
      <c r="O7606" s="21"/>
    </row>
    <row r="7607" spans="15:15" x14ac:dyDescent="0.25">
      <c r="O7607" s="21"/>
    </row>
    <row r="7608" spans="15:15" x14ac:dyDescent="0.25">
      <c r="O7608" s="21"/>
    </row>
    <row r="7609" spans="15:15" x14ac:dyDescent="0.25">
      <c r="O7609" s="21"/>
    </row>
    <row r="7610" spans="15:15" x14ac:dyDescent="0.25">
      <c r="O7610" s="21"/>
    </row>
    <row r="7611" spans="15:15" x14ac:dyDescent="0.25">
      <c r="O7611" s="21"/>
    </row>
    <row r="7612" spans="15:15" x14ac:dyDescent="0.25">
      <c r="O7612" s="21"/>
    </row>
    <row r="7613" spans="15:15" x14ac:dyDescent="0.25">
      <c r="O7613" s="21"/>
    </row>
    <row r="7614" spans="15:15" x14ac:dyDescent="0.25">
      <c r="O7614" s="21"/>
    </row>
    <row r="7615" spans="15:15" x14ac:dyDescent="0.25">
      <c r="O7615" s="21"/>
    </row>
    <row r="7616" spans="15:15" x14ac:dyDescent="0.25">
      <c r="O7616" s="21"/>
    </row>
    <row r="7617" spans="15:15" x14ac:dyDescent="0.25">
      <c r="O7617" s="21"/>
    </row>
    <row r="7618" spans="15:15" x14ac:dyDescent="0.25">
      <c r="O7618" s="21"/>
    </row>
    <row r="7619" spans="15:15" x14ac:dyDescent="0.25">
      <c r="O7619" s="21"/>
    </row>
    <row r="7620" spans="15:15" x14ac:dyDescent="0.25">
      <c r="O7620" s="21"/>
    </row>
    <row r="7621" spans="15:15" x14ac:dyDescent="0.25">
      <c r="O7621" s="21"/>
    </row>
    <row r="7622" spans="15:15" x14ac:dyDescent="0.25">
      <c r="O7622" s="21"/>
    </row>
    <row r="7623" spans="15:15" x14ac:dyDescent="0.25">
      <c r="O7623" s="21"/>
    </row>
    <row r="7624" spans="15:15" x14ac:dyDescent="0.25">
      <c r="O7624" s="21"/>
    </row>
    <row r="7625" spans="15:15" x14ac:dyDescent="0.25">
      <c r="O7625" s="21"/>
    </row>
    <row r="7626" spans="15:15" x14ac:dyDescent="0.25">
      <c r="O7626" s="21"/>
    </row>
    <row r="7627" spans="15:15" x14ac:dyDescent="0.25">
      <c r="O7627" s="21"/>
    </row>
    <row r="7628" spans="15:15" x14ac:dyDescent="0.25">
      <c r="O7628" s="21"/>
    </row>
    <row r="7629" spans="15:15" x14ac:dyDescent="0.25">
      <c r="O7629" s="21"/>
    </row>
    <row r="7630" spans="15:15" x14ac:dyDescent="0.25">
      <c r="O7630" s="21"/>
    </row>
    <row r="7631" spans="15:15" x14ac:dyDescent="0.25">
      <c r="O7631" s="21"/>
    </row>
    <row r="7632" spans="15:15" x14ac:dyDescent="0.25">
      <c r="O7632" s="21"/>
    </row>
    <row r="7633" spans="15:15" x14ac:dyDescent="0.25">
      <c r="O7633" s="21"/>
    </row>
    <row r="7634" spans="15:15" x14ac:dyDescent="0.25">
      <c r="O7634" s="21"/>
    </row>
    <row r="7635" spans="15:15" x14ac:dyDescent="0.25">
      <c r="O7635" s="21"/>
    </row>
    <row r="7636" spans="15:15" x14ac:dyDescent="0.25">
      <c r="O7636" s="21"/>
    </row>
    <row r="7637" spans="15:15" x14ac:dyDescent="0.25">
      <c r="O7637" s="21"/>
    </row>
    <row r="7638" spans="15:15" x14ac:dyDescent="0.25">
      <c r="O7638" s="21"/>
    </row>
    <row r="7639" spans="15:15" x14ac:dyDescent="0.25">
      <c r="O7639" s="21"/>
    </row>
    <row r="7640" spans="15:15" x14ac:dyDescent="0.25">
      <c r="O7640" s="21"/>
    </row>
    <row r="7641" spans="15:15" x14ac:dyDescent="0.25">
      <c r="O7641" s="21"/>
    </row>
    <row r="7642" spans="15:15" x14ac:dyDescent="0.25">
      <c r="O7642" s="21"/>
    </row>
    <row r="7643" spans="15:15" x14ac:dyDescent="0.25">
      <c r="O7643" s="21"/>
    </row>
    <row r="7644" spans="15:15" x14ac:dyDescent="0.25">
      <c r="O7644" s="21"/>
    </row>
    <row r="7645" spans="15:15" x14ac:dyDescent="0.25">
      <c r="O7645" s="21"/>
    </row>
    <row r="7646" spans="15:15" x14ac:dyDescent="0.25">
      <c r="O7646" s="21"/>
    </row>
    <row r="7647" spans="15:15" x14ac:dyDescent="0.25">
      <c r="O7647" s="21"/>
    </row>
    <row r="7648" spans="15:15" x14ac:dyDescent="0.25">
      <c r="O7648" s="21"/>
    </row>
    <row r="7649" spans="15:15" x14ac:dyDescent="0.25">
      <c r="O7649" s="21"/>
    </row>
    <row r="7650" spans="15:15" x14ac:dyDescent="0.25">
      <c r="O7650" s="21"/>
    </row>
    <row r="7651" spans="15:15" x14ac:dyDescent="0.25">
      <c r="O7651" s="21"/>
    </row>
    <row r="7652" spans="15:15" x14ac:dyDescent="0.25">
      <c r="O7652" s="21"/>
    </row>
    <row r="7653" spans="15:15" x14ac:dyDescent="0.25">
      <c r="O7653" s="21"/>
    </row>
    <row r="7654" spans="15:15" x14ac:dyDescent="0.25">
      <c r="O7654" s="21"/>
    </row>
    <row r="7655" spans="15:15" x14ac:dyDescent="0.25">
      <c r="O7655" s="21"/>
    </row>
    <row r="7656" spans="15:15" x14ac:dyDescent="0.25">
      <c r="O7656" s="21"/>
    </row>
    <row r="7657" spans="15:15" x14ac:dyDescent="0.25">
      <c r="O7657" s="21"/>
    </row>
    <row r="7658" spans="15:15" x14ac:dyDescent="0.25">
      <c r="O7658" s="21"/>
    </row>
    <row r="7659" spans="15:15" x14ac:dyDescent="0.25">
      <c r="O7659" s="21"/>
    </row>
    <row r="7660" spans="15:15" x14ac:dyDescent="0.25">
      <c r="O7660" s="21"/>
    </row>
    <row r="7661" spans="15:15" x14ac:dyDescent="0.25">
      <c r="O7661" s="21"/>
    </row>
    <row r="7662" spans="15:15" x14ac:dyDescent="0.25">
      <c r="O7662" s="21"/>
    </row>
    <row r="7663" spans="15:15" x14ac:dyDescent="0.25">
      <c r="O7663" s="21"/>
    </row>
    <row r="7664" spans="15:15" x14ac:dyDescent="0.25">
      <c r="O7664" s="21"/>
    </row>
    <row r="7665" spans="15:15" x14ac:dyDescent="0.25">
      <c r="O7665" s="21"/>
    </row>
    <row r="7666" spans="15:15" x14ac:dyDescent="0.25">
      <c r="O7666" s="21"/>
    </row>
    <row r="7667" spans="15:15" x14ac:dyDescent="0.25">
      <c r="O7667" s="21"/>
    </row>
    <row r="7668" spans="15:15" x14ac:dyDescent="0.25">
      <c r="O7668" s="21"/>
    </row>
    <row r="7669" spans="15:15" x14ac:dyDescent="0.25">
      <c r="O7669" s="21"/>
    </row>
    <row r="7670" spans="15:15" x14ac:dyDescent="0.25">
      <c r="O7670" s="21"/>
    </row>
    <row r="7671" spans="15:15" x14ac:dyDescent="0.25">
      <c r="O7671" s="21"/>
    </row>
    <row r="7672" spans="15:15" x14ac:dyDescent="0.25">
      <c r="O7672" s="21"/>
    </row>
    <row r="7673" spans="15:15" x14ac:dyDescent="0.25">
      <c r="O7673" s="21"/>
    </row>
    <row r="7674" spans="15:15" x14ac:dyDescent="0.25">
      <c r="O7674" s="21"/>
    </row>
    <row r="7675" spans="15:15" x14ac:dyDescent="0.25">
      <c r="O7675" s="21"/>
    </row>
    <row r="7676" spans="15:15" x14ac:dyDescent="0.25">
      <c r="O7676" s="21"/>
    </row>
    <row r="7677" spans="15:15" x14ac:dyDescent="0.25">
      <c r="O7677" s="21"/>
    </row>
    <row r="7678" spans="15:15" x14ac:dyDescent="0.25">
      <c r="O7678" s="21"/>
    </row>
    <row r="7679" spans="15:15" x14ac:dyDescent="0.25">
      <c r="O7679" s="21"/>
    </row>
    <row r="7680" spans="15:15" x14ac:dyDescent="0.25">
      <c r="O7680" s="21"/>
    </row>
    <row r="7681" spans="15:15" x14ac:dyDescent="0.25">
      <c r="O7681" s="21"/>
    </row>
    <row r="7682" spans="15:15" x14ac:dyDescent="0.25">
      <c r="O7682" s="21"/>
    </row>
    <row r="7683" spans="15:15" x14ac:dyDescent="0.25">
      <c r="O7683" s="21"/>
    </row>
    <row r="7684" spans="15:15" x14ac:dyDescent="0.25">
      <c r="O7684" s="21"/>
    </row>
    <row r="7685" spans="15:15" x14ac:dyDescent="0.25">
      <c r="O7685" s="21"/>
    </row>
    <row r="7686" spans="15:15" x14ac:dyDescent="0.25">
      <c r="O7686" s="21"/>
    </row>
    <row r="7687" spans="15:15" x14ac:dyDescent="0.25">
      <c r="O7687" s="21"/>
    </row>
    <row r="7688" spans="15:15" x14ac:dyDescent="0.25">
      <c r="O7688" s="21"/>
    </row>
    <row r="7689" spans="15:15" x14ac:dyDescent="0.25">
      <c r="O7689" s="21"/>
    </row>
    <row r="7690" spans="15:15" x14ac:dyDescent="0.25">
      <c r="O7690" s="21"/>
    </row>
    <row r="7691" spans="15:15" x14ac:dyDescent="0.25">
      <c r="O7691" s="21"/>
    </row>
    <row r="7692" spans="15:15" x14ac:dyDescent="0.25">
      <c r="O7692" s="21"/>
    </row>
    <row r="7693" spans="15:15" x14ac:dyDescent="0.25">
      <c r="O7693" s="21"/>
    </row>
    <row r="7694" spans="15:15" x14ac:dyDescent="0.25">
      <c r="O7694" s="21"/>
    </row>
    <row r="7695" spans="15:15" x14ac:dyDescent="0.25">
      <c r="O7695" s="21"/>
    </row>
    <row r="7696" spans="15:15" x14ac:dyDescent="0.25">
      <c r="O7696" s="21"/>
    </row>
    <row r="7697" spans="15:15" x14ac:dyDescent="0.25">
      <c r="O7697" s="21"/>
    </row>
    <row r="7698" spans="15:15" x14ac:dyDescent="0.25">
      <c r="O7698" s="21"/>
    </row>
    <row r="7699" spans="15:15" x14ac:dyDescent="0.25">
      <c r="O7699" s="21"/>
    </row>
    <row r="7700" spans="15:15" x14ac:dyDescent="0.25">
      <c r="O7700" s="21"/>
    </row>
    <row r="7701" spans="15:15" x14ac:dyDescent="0.25">
      <c r="O7701" s="21"/>
    </row>
    <row r="7702" spans="15:15" x14ac:dyDescent="0.25">
      <c r="O7702" s="21"/>
    </row>
    <row r="7703" spans="15:15" x14ac:dyDescent="0.25">
      <c r="O7703" s="21"/>
    </row>
    <row r="7704" spans="15:15" x14ac:dyDescent="0.25">
      <c r="O7704" s="21"/>
    </row>
    <row r="7705" spans="15:15" x14ac:dyDescent="0.25">
      <c r="O7705" s="21"/>
    </row>
    <row r="7706" spans="15:15" x14ac:dyDescent="0.25">
      <c r="O7706" s="21"/>
    </row>
    <row r="7707" spans="15:15" x14ac:dyDescent="0.25">
      <c r="O7707" s="21"/>
    </row>
    <row r="7708" spans="15:15" x14ac:dyDescent="0.25">
      <c r="O7708" s="21"/>
    </row>
    <row r="7709" spans="15:15" x14ac:dyDescent="0.25">
      <c r="O7709" s="21"/>
    </row>
    <row r="7710" spans="15:15" x14ac:dyDescent="0.25">
      <c r="O7710" s="21"/>
    </row>
    <row r="7711" spans="15:15" x14ac:dyDescent="0.25">
      <c r="O7711" s="21"/>
    </row>
    <row r="7712" spans="15:15" x14ac:dyDescent="0.25">
      <c r="O7712" s="21"/>
    </row>
    <row r="7713" spans="15:15" x14ac:dyDescent="0.25">
      <c r="O7713" s="21"/>
    </row>
    <row r="7714" spans="15:15" x14ac:dyDescent="0.25">
      <c r="O7714" s="21"/>
    </row>
    <row r="7715" spans="15:15" x14ac:dyDescent="0.25">
      <c r="O7715" s="21"/>
    </row>
    <row r="7716" spans="15:15" x14ac:dyDescent="0.25">
      <c r="O7716" s="21"/>
    </row>
    <row r="7717" spans="15:15" x14ac:dyDescent="0.25">
      <c r="O7717" s="21"/>
    </row>
    <row r="7718" spans="15:15" x14ac:dyDescent="0.25">
      <c r="O7718" s="21"/>
    </row>
    <row r="7719" spans="15:15" x14ac:dyDescent="0.25">
      <c r="O7719" s="21"/>
    </row>
    <row r="7720" spans="15:15" x14ac:dyDescent="0.25">
      <c r="O7720" s="21"/>
    </row>
    <row r="7721" spans="15:15" x14ac:dyDescent="0.25">
      <c r="O7721" s="21"/>
    </row>
    <row r="7722" spans="15:15" x14ac:dyDescent="0.25">
      <c r="O7722" s="21"/>
    </row>
    <row r="7723" spans="15:15" x14ac:dyDescent="0.25">
      <c r="O7723" s="21"/>
    </row>
    <row r="7724" spans="15:15" x14ac:dyDescent="0.25">
      <c r="O7724" s="21"/>
    </row>
    <row r="7725" spans="15:15" x14ac:dyDescent="0.25">
      <c r="O7725" s="21"/>
    </row>
    <row r="7726" spans="15:15" x14ac:dyDescent="0.25">
      <c r="O7726" s="21"/>
    </row>
    <row r="7727" spans="15:15" x14ac:dyDescent="0.25">
      <c r="O7727" s="21"/>
    </row>
    <row r="7728" spans="15:15" x14ac:dyDescent="0.25">
      <c r="O7728" s="21"/>
    </row>
    <row r="7729" spans="15:15" x14ac:dyDescent="0.25">
      <c r="O7729" s="21"/>
    </row>
    <row r="7730" spans="15:15" x14ac:dyDescent="0.25">
      <c r="O7730" s="21"/>
    </row>
    <row r="7731" spans="15:15" x14ac:dyDescent="0.25">
      <c r="O7731" s="21"/>
    </row>
    <row r="7732" spans="15:15" x14ac:dyDescent="0.25">
      <c r="O7732" s="21"/>
    </row>
    <row r="7733" spans="15:15" x14ac:dyDescent="0.25">
      <c r="O7733" s="21"/>
    </row>
    <row r="7734" spans="15:15" x14ac:dyDescent="0.25">
      <c r="O7734" s="21"/>
    </row>
    <row r="7735" spans="15:15" x14ac:dyDescent="0.25">
      <c r="O7735" s="21"/>
    </row>
    <row r="7736" spans="15:15" x14ac:dyDescent="0.25">
      <c r="O7736" s="21"/>
    </row>
    <row r="7737" spans="15:15" x14ac:dyDescent="0.25">
      <c r="O7737" s="21"/>
    </row>
    <row r="7738" spans="15:15" x14ac:dyDescent="0.25">
      <c r="O7738" s="21"/>
    </row>
    <row r="7739" spans="15:15" x14ac:dyDescent="0.25">
      <c r="O7739" s="21"/>
    </row>
    <row r="7740" spans="15:15" x14ac:dyDescent="0.25">
      <c r="O7740" s="21"/>
    </row>
    <row r="7741" spans="15:15" x14ac:dyDescent="0.25">
      <c r="O7741" s="21"/>
    </row>
    <row r="7742" spans="15:15" x14ac:dyDescent="0.25">
      <c r="O7742" s="21"/>
    </row>
    <row r="7743" spans="15:15" x14ac:dyDescent="0.25">
      <c r="O7743" s="21"/>
    </row>
    <row r="7744" spans="15:15" x14ac:dyDescent="0.25">
      <c r="O7744" s="21"/>
    </row>
    <row r="7745" spans="15:15" x14ac:dyDescent="0.25">
      <c r="O7745" s="21"/>
    </row>
    <row r="7746" spans="15:15" x14ac:dyDescent="0.25">
      <c r="O7746" s="21"/>
    </row>
    <row r="7747" spans="15:15" x14ac:dyDescent="0.25">
      <c r="O7747" s="21"/>
    </row>
    <row r="7748" spans="15:15" x14ac:dyDescent="0.25">
      <c r="O7748" s="21"/>
    </row>
    <row r="7749" spans="15:15" x14ac:dyDescent="0.25">
      <c r="O7749" s="21"/>
    </row>
    <row r="7750" spans="15:15" x14ac:dyDescent="0.25">
      <c r="O7750" s="21"/>
    </row>
    <row r="7751" spans="15:15" x14ac:dyDescent="0.25">
      <c r="O7751" s="21"/>
    </row>
    <row r="7752" spans="15:15" x14ac:dyDescent="0.25">
      <c r="O7752" s="21"/>
    </row>
    <row r="7753" spans="15:15" x14ac:dyDescent="0.25">
      <c r="O7753" s="21"/>
    </row>
    <row r="7754" spans="15:15" x14ac:dyDescent="0.25">
      <c r="O7754" s="21"/>
    </row>
    <row r="7755" spans="15:15" x14ac:dyDescent="0.25">
      <c r="O7755" s="21"/>
    </row>
    <row r="7756" spans="15:15" x14ac:dyDescent="0.25">
      <c r="O7756" s="21"/>
    </row>
    <row r="7757" spans="15:15" x14ac:dyDescent="0.25">
      <c r="O7757" s="21"/>
    </row>
    <row r="7758" spans="15:15" x14ac:dyDescent="0.25">
      <c r="O7758" s="21"/>
    </row>
    <row r="7759" spans="15:15" x14ac:dyDescent="0.25">
      <c r="O7759" s="21"/>
    </row>
    <row r="7760" spans="15:15" x14ac:dyDescent="0.25">
      <c r="O7760" s="21"/>
    </row>
    <row r="7761" spans="15:15" x14ac:dyDescent="0.25">
      <c r="O7761" s="21"/>
    </row>
    <row r="7762" spans="15:15" x14ac:dyDescent="0.25">
      <c r="O7762" s="21"/>
    </row>
    <row r="7763" spans="15:15" x14ac:dyDescent="0.25">
      <c r="O7763" s="21"/>
    </row>
    <row r="7764" spans="15:15" x14ac:dyDescent="0.25">
      <c r="O7764" s="21"/>
    </row>
    <row r="7765" spans="15:15" x14ac:dyDescent="0.25">
      <c r="O7765" s="21"/>
    </row>
    <row r="7766" spans="15:15" x14ac:dyDescent="0.25">
      <c r="O7766" s="21"/>
    </row>
    <row r="7767" spans="15:15" x14ac:dyDescent="0.25">
      <c r="O7767" s="21"/>
    </row>
    <row r="7768" spans="15:15" x14ac:dyDescent="0.25">
      <c r="O7768" s="21"/>
    </row>
    <row r="7769" spans="15:15" x14ac:dyDescent="0.25">
      <c r="O7769" s="21"/>
    </row>
    <row r="7770" spans="15:15" x14ac:dyDescent="0.25">
      <c r="O7770" s="21"/>
    </row>
    <row r="7771" spans="15:15" x14ac:dyDescent="0.25">
      <c r="O7771" s="21"/>
    </row>
    <row r="7772" spans="15:15" x14ac:dyDescent="0.25">
      <c r="O7772" s="21"/>
    </row>
    <row r="7773" spans="15:15" x14ac:dyDescent="0.25">
      <c r="O7773" s="21"/>
    </row>
    <row r="7774" spans="15:15" x14ac:dyDescent="0.25">
      <c r="O7774" s="21"/>
    </row>
    <row r="7775" spans="15:15" x14ac:dyDescent="0.25">
      <c r="O7775" s="21"/>
    </row>
    <row r="7776" spans="15:15" x14ac:dyDescent="0.25">
      <c r="O7776" s="21"/>
    </row>
    <row r="7777" spans="15:15" x14ac:dyDescent="0.25">
      <c r="O7777" s="21"/>
    </row>
    <row r="7778" spans="15:15" x14ac:dyDescent="0.25">
      <c r="O7778" s="21"/>
    </row>
    <row r="7779" spans="15:15" x14ac:dyDescent="0.25">
      <c r="O7779" s="21"/>
    </row>
    <row r="7780" spans="15:15" x14ac:dyDescent="0.25">
      <c r="O7780" s="21"/>
    </row>
    <row r="7781" spans="15:15" x14ac:dyDescent="0.25">
      <c r="O7781" s="21"/>
    </row>
    <row r="7782" spans="15:15" x14ac:dyDescent="0.25">
      <c r="O7782" s="21"/>
    </row>
    <row r="7783" spans="15:15" x14ac:dyDescent="0.25">
      <c r="O7783" s="21"/>
    </row>
    <row r="7784" spans="15:15" x14ac:dyDescent="0.25">
      <c r="O7784" s="21"/>
    </row>
    <row r="7785" spans="15:15" x14ac:dyDescent="0.25">
      <c r="O7785" s="21"/>
    </row>
    <row r="7786" spans="15:15" x14ac:dyDescent="0.25">
      <c r="O7786" s="21"/>
    </row>
    <row r="7787" spans="15:15" x14ac:dyDescent="0.25">
      <c r="O7787" s="21"/>
    </row>
    <row r="7788" spans="15:15" x14ac:dyDescent="0.25">
      <c r="O7788" s="21"/>
    </row>
    <row r="7789" spans="15:15" x14ac:dyDescent="0.25">
      <c r="O7789" s="21"/>
    </row>
    <row r="7790" spans="15:15" x14ac:dyDescent="0.25">
      <c r="O7790" s="21"/>
    </row>
    <row r="7791" spans="15:15" x14ac:dyDescent="0.25">
      <c r="O7791" s="21"/>
    </row>
    <row r="7792" spans="15:15" x14ac:dyDescent="0.25">
      <c r="O7792" s="21"/>
    </row>
    <row r="7793" spans="15:15" x14ac:dyDescent="0.25">
      <c r="O7793" s="21"/>
    </row>
    <row r="7794" spans="15:15" x14ac:dyDescent="0.25">
      <c r="O7794" s="21"/>
    </row>
    <row r="7795" spans="15:15" x14ac:dyDescent="0.25">
      <c r="O7795" s="21"/>
    </row>
    <row r="7796" spans="15:15" x14ac:dyDescent="0.25">
      <c r="O7796" s="21"/>
    </row>
    <row r="7797" spans="15:15" x14ac:dyDescent="0.25">
      <c r="O7797" s="21"/>
    </row>
    <row r="7798" spans="15:15" x14ac:dyDescent="0.25">
      <c r="O7798" s="21"/>
    </row>
    <row r="7799" spans="15:15" x14ac:dyDescent="0.25">
      <c r="O7799" s="21"/>
    </row>
    <row r="7800" spans="15:15" x14ac:dyDescent="0.25">
      <c r="O7800" s="21"/>
    </row>
    <row r="7801" spans="15:15" x14ac:dyDescent="0.25">
      <c r="O7801" s="21"/>
    </row>
    <row r="7802" spans="15:15" x14ac:dyDescent="0.25">
      <c r="O7802" s="21"/>
    </row>
    <row r="7803" spans="15:15" x14ac:dyDescent="0.25">
      <c r="O7803" s="21"/>
    </row>
    <row r="7804" spans="15:15" x14ac:dyDescent="0.25">
      <c r="O7804" s="21"/>
    </row>
    <row r="7805" spans="15:15" x14ac:dyDescent="0.25">
      <c r="O7805" s="21"/>
    </row>
    <row r="7806" spans="15:15" x14ac:dyDescent="0.25">
      <c r="O7806" s="21"/>
    </row>
    <row r="7807" spans="15:15" x14ac:dyDescent="0.25">
      <c r="O7807" s="21"/>
    </row>
    <row r="7808" spans="15:15" x14ac:dyDescent="0.25">
      <c r="O7808" s="21"/>
    </row>
    <row r="7809" spans="15:15" x14ac:dyDescent="0.25">
      <c r="O7809" s="21"/>
    </row>
    <row r="7810" spans="15:15" x14ac:dyDescent="0.25">
      <c r="O7810" s="21"/>
    </row>
    <row r="7811" spans="15:15" x14ac:dyDescent="0.25">
      <c r="O7811" s="21"/>
    </row>
    <row r="7812" spans="15:15" x14ac:dyDescent="0.25">
      <c r="O7812" s="21"/>
    </row>
    <row r="7813" spans="15:15" x14ac:dyDescent="0.25">
      <c r="O7813" s="21"/>
    </row>
    <row r="7814" spans="15:15" x14ac:dyDescent="0.25">
      <c r="O7814" s="21"/>
    </row>
    <row r="7815" spans="15:15" x14ac:dyDescent="0.25">
      <c r="O7815" s="21"/>
    </row>
    <row r="7816" spans="15:15" x14ac:dyDescent="0.25">
      <c r="O7816" s="21"/>
    </row>
    <row r="7817" spans="15:15" x14ac:dyDescent="0.25">
      <c r="O7817" s="21"/>
    </row>
    <row r="7818" spans="15:15" x14ac:dyDescent="0.25">
      <c r="O7818" s="21"/>
    </row>
    <row r="7819" spans="15:15" x14ac:dyDescent="0.25">
      <c r="O7819" s="21"/>
    </row>
    <row r="7820" spans="15:15" x14ac:dyDescent="0.25">
      <c r="O7820" s="21"/>
    </row>
    <row r="7821" spans="15:15" x14ac:dyDescent="0.25">
      <c r="O7821" s="21"/>
    </row>
    <row r="7822" spans="15:15" x14ac:dyDescent="0.25">
      <c r="O7822" s="21"/>
    </row>
    <row r="7823" spans="15:15" x14ac:dyDescent="0.25">
      <c r="O7823" s="21"/>
    </row>
    <row r="7824" spans="15:15" x14ac:dyDescent="0.25">
      <c r="O7824" s="21"/>
    </row>
    <row r="7825" spans="15:15" x14ac:dyDescent="0.25">
      <c r="O7825" s="21"/>
    </row>
    <row r="7826" spans="15:15" x14ac:dyDescent="0.25">
      <c r="O7826" s="21"/>
    </row>
    <row r="7827" spans="15:15" x14ac:dyDescent="0.25">
      <c r="O7827" s="21"/>
    </row>
    <row r="7828" spans="15:15" x14ac:dyDescent="0.25">
      <c r="O7828" s="21"/>
    </row>
    <row r="7829" spans="15:15" x14ac:dyDescent="0.25">
      <c r="O7829" s="21"/>
    </row>
    <row r="7830" spans="15:15" x14ac:dyDescent="0.25">
      <c r="O7830" s="21"/>
    </row>
    <row r="7831" spans="15:15" x14ac:dyDescent="0.25">
      <c r="O7831" s="21"/>
    </row>
    <row r="7832" spans="15:15" x14ac:dyDescent="0.25">
      <c r="O7832" s="21"/>
    </row>
    <row r="7833" spans="15:15" x14ac:dyDescent="0.25">
      <c r="O7833" s="21"/>
    </row>
    <row r="7834" spans="15:15" x14ac:dyDescent="0.25">
      <c r="O7834" s="21"/>
    </row>
    <row r="7835" spans="15:15" x14ac:dyDescent="0.25">
      <c r="O7835" s="21"/>
    </row>
    <row r="7836" spans="15:15" x14ac:dyDescent="0.25">
      <c r="O7836" s="21"/>
    </row>
    <row r="7837" spans="15:15" x14ac:dyDescent="0.25">
      <c r="O7837" s="21"/>
    </row>
    <row r="7838" spans="15:15" x14ac:dyDescent="0.25">
      <c r="O7838" s="21"/>
    </row>
    <row r="7839" spans="15:15" x14ac:dyDescent="0.25">
      <c r="O7839" s="21"/>
    </row>
    <row r="7840" spans="15:15" x14ac:dyDescent="0.25">
      <c r="O7840" s="21"/>
    </row>
    <row r="7841" spans="15:15" x14ac:dyDescent="0.25">
      <c r="O7841" s="21"/>
    </row>
    <row r="7842" spans="15:15" x14ac:dyDescent="0.25">
      <c r="O7842" s="21"/>
    </row>
    <row r="7843" spans="15:15" x14ac:dyDescent="0.25">
      <c r="O7843" s="21"/>
    </row>
    <row r="7844" spans="15:15" x14ac:dyDescent="0.25">
      <c r="O7844" s="21"/>
    </row>
    <row r="7845" spans="15:15" x14ac:dyDescent="0.25">
      <c r="O7845" s="21"/>
    </row>
    <row r="7846" spans="15:15" x14ac:dyDescent="0.25">
      <c r="O7846" s="21"/>
    </row>
    <row r="7847" spans="15:15" x14ac:dyDescent="0.25">
      <c r="O7847" s="21"/>
    </row>
    <row r="7848" spans="15:15" x14ac:dyDescent="0.25">
      <c r="O7848" s="21"/>
    </row>
    <row r="7849" spans="15:15" x14ac:dyDescent="0.25">
      <c r="O7849" s="21"/>
    </row>
    <row r="7850" spans="15:15" x14ac:dyDescent="0.25">
      <c r="O7850" s="21"/>
    </row>
    <row r="7851" spans="15:15" x14ac:dyDescent="0.25">
      <c r="O7851" s="21"/>
    </row>
    <row r="7852" spans="15:15" x14ac:dyDescent="0.25">
      <c r="O7852" s="21"/>
    </row>
    <row r="7853" spans="15:15" x14ac:dyDescent="0.25">
      <c r="O7853" s="21"/>
    </row>
    <row r="7854" spans="15:15" x14ac:dyDescent="0.25">
      <c r="O7854" s="21"/>
    </row>
    <row r="7855" spans="15:15" x14ac:dyDescent="0.25">
      <c r="O7855" s="21"/>
    </row>
    <row r="7856" spans="15:15" x14ac:dyDescent="0.25">
      <c r="O7856" s="21"/>
    </row>
    <row r="7857" spans="15:15" x14ac:dyDescent="0.25">
      <c r="O7857" s="21"/>
    </row>
    <row r="7858" spans="15:15" x14ac:dyDescent="0.25">
      <c r="O7858" s="21"/>
    </row>
    <row r="7859" spans="15:15" x14ac:dyDescent="0.25">
      <c r="O7859" s="21"/>
    </row>
    <row r="7860" spans="15:15" x14ac:dyDescent="0.25">
      <c r="O7860" s="21"/>
    </row>
    <row r="7861" spans="15:15" x14ac:dyDescent="0.25">
      <c r="O7861" s="21"/>
    </row>
    <row r="7862" spans="15:15" x14ac:dyDescent="0.25">
      <c r="O7862" s="21"/>
    </row>
    <row r="7863" spans="15:15" x14ac:dyDescent="0.25">
      <c r="O7863" s="21"/>
    </row>
    <row r="7864" spans="15:15" x14ac:dyDescent="0.25">
      <c r="O7864" s="21"/>
    </row>
    <row r="7865" spans="15:15" x14ac:dyDescent="0.25">
      <c r="O7865" s="21"/>
    </row>
    <row r="7866" spans="15:15" x14ac:dyDescent="0.25">
      <c r="O7866" s="21"/>
    </row>
    <row r="7867" spans="15:15" x14ac:dyDescent="0.25">
      <c r="O7867" s="21"/>
    </row>
    <row r="7868" spans="15:15" x14ac:dyDescent="0.25">
      <c r="O7868" s="21"/>
    </row>
    <row r="7869" spans="15:15" x14ac:dyDescent="0.25">
      <c r="O7869" s="21"/>
    </row>
    <row r="7870" spans="15:15" x14ac:dyDescent="0.25">
      <c r="O7870" s="21"/>
    </row>
    <row r="7871" spans="15:15" x14ac:dyDescent="0.25">
      <c r="O7871" s="21"/>
    </row>
    <row r="7872" spans="15:15" x14ac:dyDescent="0.25">
      <c r="O7872" s="21"/>
    </row>
    <row r="7873" spans="15:15" x14ac:dyDescent="0.25">
      <c r="O7873" s="21"/>
    </row>
    <row r="7874" spans="15:15" x14ac:dyDescent="0.25">
      <c r="O7874" s="21"/>
    </row>
    <row r="7875" spans="15:15" x14ac:dyDescent="0.25">
      <c r="O7875" s="21"/>
    </row>
    <row r="7876" spans="15:15" x14ac:dyDescent="0.25">
      <c r="O7876" s="21"/>
    </row>
    <row r="7877" spans="15:15" x14ac:dyDescent="0.25">
      <c r="O7877" s="21"/>
    </row>
    <row r="7878" spans="15:15" x14ac:dyDescent="0.25">
      <c r="O7878" s="21"/>
    </row>
    <row r="7879" spans="15:15" x14ac:dyDescent="0.25">
      <c r="O7879" s="21"/>
    </row>
    <row r="7880" spans="15:15" x14ac:dyDescent="0.25">
      <c r="O7880" s="21"/>
    </row>
    <row r="7881" spans="15:15" x14ac:dyDescent="0.25">
      <c r="O7881" s="21"/>
    </row>
    <row r="7882" spans="15:15" x14ac:dyDescent="0.25">
      <c r="O7882" s="21"/>
    </row>
    <row r="7883" spans="15:15" x14ac:dyDescent="0.25">
      <c r="O7883" s="21"/>
    </row>
    <row r="7884" spans="15:15" x14ac:dyDescent="0.25">
      <c r="O7884" s="21"/>
    </row>
    <row r="7885" spans="15:15" x14ac:dyDescent="0.25">
      <c r="O7885" s="21"/>
    </row>
    <row r="7886" spans="15:15" x14ac:dyDescent="0.25">
      <c r="O7886" s="21"/>
    </row>
    <row r="7887" spans="15:15" x14ac:dyDescent="0.25">
      <c r="O7887" s="21"/>
    </row>
    <row r="7888" spans="15:15" x14ac:dyDescent="0.25">
      <c r="O7888" s="21"/>
    </row>
    <row r="7889" spans="15:15" x14ac:dyDescent="0.25">
      <c r="O7889" s="21"/>
    </row>
    <row r="7890" spans="15:15" x14ac:dyDescent="0.25">
      <c r="O7890" s="21"/>
    </row>
    <row r="7891" spans="15:15" x14ac:dyDescent="0.25">
      <c r="O7891" s="21"/>
    </row>
    <row r="7892" spans="15:15" x14ac:dyDescent="0.25">
      <c r="O7892" s="21"/>
    </row>
    <row r="7893" spans="15:15" x14ac:dyDescent="0.25">
      <c r="O7893" s="21"/>
    </row>
    <row r="7894" spans="15:15" x14ac:dyDescent="0.25">
      <c r="O7894" s="21"/>
    </row>
    <row r="7895" spans="15:15" x14ac:dyDescent="0.25">
      <c r="O7895" s="21"/>
    </row>
    <row r="7896" spans="15:15" x14ac:dyDescent="0.25">
      <c r="O7896" s="21"/>
    </row>
    <row r="7897" spans="15:15" x14ac:dyDescent="0.25">
      <c r="O7897" s="21"/>
    </row>
    <row r="7898" spans="15:15" x14ac:dyDescent="0.25">
      <c r="O7898" s="21"/>
    </row>
    <row r="7899" spans="15:15" x14ac:dyDescent="0.25">
      <c r="O7899" s="21"/>
    </row>
    <row r="7900" spans="15:15" x14ac:dyDescent="0.25">
      <c r="O7900" s="21"/>
    </row>
    <row r="7901" spans="15:15" x14ac:dyDescent="0.25">
      <c r="O7901" s="21"/>
    </row>
    <row r="7902" spans="15:15" x14ac:dyDescent="0.25">
      <c r="O7902" s="21"/>
    </row>
    <row r="7903" spans="15:15" x14ac:dyDescent="0.25">
      <c r="O7903" s="21"/>
    </row>
    <row r="7904" spans="15:15" x14ac:dyDescent="0.25">
      <c r="O7904" s="21"/>
    </row>
    <row r="7905" spans="15:15" x14ac:dyDescent="0.25">
      <c r="O7905" s="21"/>
    </row>
    <row r="7906" spans="15:15" x14ac:dyDescent="0.25">
      <c r="O7906" s="21"/>
    </row>
    <row r="7907" spans="15:15" x14ac:dyDescent="0.25">
      <c r="O7907" s="21"/>
    </row>
    <row r="7908" spans="15:15" x14ac:dyDescent="0.25">
      <c r="O7908" s="21"/>
    </row>
    <row r="7909" spans="15:15" x14ac:dyDescent="0.25">
      <c r="O7909" s="21"/>
    </row>
    <row r="7910" spans="15:15" x14ac:dyDescent="0.25">
      <c r="O7910" s="21"/>
    </row>
    <row r="7911" spans="15:15" x14ac:dyDescent="0.25">
      <c r="O7911" s="21"/>
    </row>
    <row r="7912" spans="15:15" x14ac:dyDescent="0.25">
      <c r="O7912" s="21"/>
    </row>
    <row r="7913" spans="15:15" x14ac:dyDescent="0.25">
      <c r="O7913" s="21"/>
    </row>
    <row r="7914" spans="15:15" x14ac:dyDescent="0.25">
      <c r="O7914" s="21"/>
    </row>
    <row r="7915" spans="15:15" x14ac:dyDescent="0.25">
      <c r="O7915" s="21"/>
    </row>
    <row r="7916" spans="15:15" x14ac:dyDescent="0.25">
      <c r="O7916" s="21"/>
    </row>
    <row r="7917" spans="15:15" x14ac:dyDescent="0.25">
      <c r="O7917" s="21"/>
    </row>
    <row r="7918" spans="15:15" x14ac:dyDescent="0.25">
      <c r="O7918" s="21"/>
    </row>
    <row r="7919" spans="15:15" x14ac:dyDescent="0.25">
      <c r="O7919" s="21"/>
    </row>
    <row r="7920" spans="15:15" x14ac:dyDescent="0.25">
      <c r="O7920" s="21"/>
    </row>
    <row r="7921" spans="15:15" x14ac:dyDescent="0.25">
      <c r="O7921" s="21"/>
    </row>
    <row r="7922" spans="15:15" x14ac:dyDescent="0.25">
      <c r="O7922" s="21"/>
    </row>
    <row r="7923" spans="15:15" x14ac:dyDescent="0.25">
      <c r="O7923" s="21"/>
    </row>
    <row r="7924" spans="15:15" x14ac:dyDescent="0.25">
      <c r="O7924" s="21"/>
    </row>
    <row r="7925" spans="15:15" x14ac:dyDescent="0.25">
      <c r="O7925" s="21"/>
    </row>
    <row r="7926" spans="15:15" x14ac:dyDescent="0.25">
      <c r="O7926" s="21"/>
    </row>
    <row r="7927" spans="15:15" x14ac:dyDescent="0.25">
      <c r="O7927" s="21"/>
    </row>
    <row r="7928" spans="15:15" x14ac:dyDescent="0.25">
      <c r="O7928" s="21"/>
    </row>
    <row r="7929" spans="15:15" x14ac:dyDescent="0.25">
      <c r="O7929" s="21"/>
    </row>
    <row r="7930" spans="15:15" x14ac:dyDescent="0.25">
      <c r="O7930" s="21"/>
    </row>
    <row r="7931" spans="15:15" x14ac:dyDescent="0.25">
      <c r="O7931" s="21"/>
    </row>
    <row r="7932" spans="15:15" x14ac:dyDescent="0.25">
      <c r="O7932" s="21"/>
    </row>
    <row r="7933" spans="15:15" x14ac:dyDescent="0.25">
      <c r="O7933" s="21"/>
    </row>
    <row r="7934" spans="15:15" x14ac:dyDescent="0.25">
      <c r="O7934" s="21"/>
    </row>
    <row r="7935" spans="15:15" x14ac:dyDescent="0.25">
      <c r="O7935" s="21"/>
    </row>
    <row r="7936" spans="15:15" x14ac:dyDescent="0.25">
      <c r="O7936" s="21"/>
    </row>
    <row r="7937" spans="15:15" x14ac:dyDescent="0.25">
      <c r="O7937" s="21"/>
    </row>
    <row r="7938" spans="15:15" x14ac:dyDescent="0.25">
      <c r="O7938" s="21"/>
    </row>
    <row r="7939" spans="15:15" x14ac:dyDescent="0.25">
      <c r="O7939" s="21"/>
    </row>
    <row r="7940" spans="15:15" x14ac:dyDescent="0.25">
      <c r="O7940" s="21"/>
    </row>
    <row r="7941" spans="15:15" x14ac:dyDescent="0.25">
      <c r="O7941" s="21"/>
    </row>
    <row r="7942" spans="15:15" x14ac:dyDescent="0.25">
      <c r="O7942" s="21"/>
    </row>
    <row r="7943" spans="15:15" x14ac:dyDescent="0.25">
      <c r="O7943" s="21"/>
    </row>
    <row r="7944" spans="15:15" x14ac:dyDescent="0.25">
      <c r="O7944" s="21"/>
    </row>
    <row r="7945" spans="15:15" x14ac:dyDescent="0.25">
      <c r="O7945" s="21"/>
    </row>
    <row r="7946" spans="15:15" x14ac:dyDescent="0.25">
      <c r="O7946" s="21"/>
    </row>
    <row r="7947" spans="15:15" x14ac:dyDescent="0.25">
      <c r="O7947" s="21"/>
    </row>
    <row r="7948" spans="15:15" x14ac:dyDescent="0.25">
      <c r="O7948" s="21"/>
    </row>
    <row r="7949" spans="15:15" x14ac:dyDescent="0.25">
      <c r="O7949" s="21"/>
    </row>
    <row r="7950" spans="15:15" x14ac:dyDescent="0.25">
      <c r="O7950" s="21"/>
    </row>
    <row r="7951" spans="15:15" x14ac:dyDescent="0.25">
      <c r="O7951" s="21"/>
    </row>
    <row r="7952" spans="15:15" x14ac:dyDescent="0.25">
      <c r="O7952" s="21"/>
    </row>
    <row r="7953" spans="15:15" x14ac:dyDescent="0.25">
      <c r="O7953" s="21"/>
    </row>
    <row r="7954" spans="15:15" x14ac:dyDescent="0.25">
      <c r="O7954" s="21"/>
    </row>
    <row r="7955" spans="15:15" x14ac:dyDescent="0.25">
      <c r="O7955" s="21"/>
    </row>
    <row r="7956" spans="15:15" x14ac:dyDescent="0.25">
      <c r="O7956" s="21"/>
    </row>
    <row r="7957" spans="15:15" x14ac:dyDescent="0.25">
      <c r="O7957" s="21"/>
    </row>
    <row r="7958" spans="15:15" x14ac:dyDescent="0.25">
      <c r="O7958" s="21"/>
    </row>
    <row r="7959" spans="15:15" x14ac:dyDescent="0.25">
      <c r="O7959" s="21"/>
    </row>
    <row r="7960" spans="15:15" x14ac:dyDescent="0.25">
      <c r="O7960" s="21"/>
    </row>
    <row r="7961" spans="15:15" x14ac:dyDescent="0.25">
      <c r="O7961" s="21"/>
    </row>
    <row r="7962" spans="15:15" x14ac:dyDescent="0.25">
      <c r="O7962" s="21"/>
    </row>
    <row r="7963" spans="15:15" x14ac:dyDescent="0.25">
      <c r="O7963" s="21"/>
    </row>
    <row r="7964" spans="15:15" x14ac:dyDescent="0.25">
      <c r="O7964" s="21"/>
    </row>
    <row r="7965" spans="15:15" x14ac:dyDescent="0.25">
      <c r="O7965" s="21"/>
    </row>
    <row r="7966" spans="15:15" x14ac:dyDescent="0.25">
      <c r="O7966" s="21"/>
    </row>
    <row r="7967" spans="15:15" x14ac:dyDescent="0.25">
      <c r="O7967" s="21"/>
    </row>
    <row r="7968" spans="15:15" x14ac:dyDescent="0.25">
      <c r="O7968" s="21"/>
    </row>
    <row r="7969" spans="15:15" x14ac:dyDescent="0.25">
      <c r="O7969" s="21"/>
    </row>
    <row r="7970" spans="15:15" x14ac:dyDescent="0.25">
      <c r="O7970" s="21"/>
    </row>
    <row r="7971" spans="15:15" x14ac:dyDescent="0.25">
      <c r="O7971" s="21"/>
    </row>
    <row r="7972" spans="15:15" x14ac:dyDescent="0.25">
      <c r="O7972" s="21"/>
    </row>
    <row r="7973" spans="15:15" x14ac:dyDescent="0.25">
      <c r="O7973" s="21"/>
    </row>
    <row r="7974" spans="15:15" x14ac:dyDescent="0.25">
      <c r="O7974" s="21"/>
    </row>
    <row r="7975" spans="15:15" x14ac:dyDescent="0.25">
      <c r="O7975" s="21"/>
    </row>
    <row r="7976" spans="15:15" x14ac:dyDescent="0.25">
      <c r="O7976" s="21"/>
    </row>
    <row r="7977" spans="15:15" x14ac:dyDescent="0.25">
      <c r="O7977" s="21"/>
    </row>
    <row r="7978" spans="15:15" x14ac:dyDescent="0.25">
      <c r="O7978" s="21"/>
    </row>
    <row r="7979" spans="15:15" x14ac:dyDescent="0.25">
      <c r="O7979" s="21"/>
    </row>
    <row r="7980" spans="15:15" x14ac:dyDescent="0.25">
      <c r="O7980" s="21"/>
    </row>
    <row r="7981" spans="15:15" x14ac:dyDescent="0.25">
      <c r="O7981" s="21"/>
    </row>
    <row r="7982" spans="15:15" x14ac:dyDescent="0.25">
      <c r="O7982" s="21"/>
    </row>
    <row r="7983" spans="15:15" x14ac:dyDescent="0.25">
      <c r="O7983" s="21"/>
    </row>
    <row r="7984" spans="15:15" x14ac:dyDescent="0.25">
      <c r="O7984" s="21"/>
    </row>
    <row r="7985" spans="15:15" x14ac:dyDescent="0.25">
      <c r="O7985" s="21"/>
    </row>
    <row r="7986" spans="15:15" x14ac:dyDescent="0.25">
      <c r="O7986" s="21"/>
    </row>
    <row r="7987" spans="15:15" x14ac:dyDescent="0.25">
      <c r="O7987" s="21"/>
    </row>
    <row r="7988" spans="15:15" x14ac:dyDescent="0.25">
      <c r="O7988" s="21"/>
    </row>
    <row r="7989" spans="15:15" x14ac:dyDescent="0.25">
      <c r="O7989" s="21"/>
    </row>
    <row r="7990" spans="15:15" x14ac:dyDescent="0.25">
      <c r="O7990" s="21"/>
    </row>
    <row r="7991" spans="15:15" x14ac:dyDescent="0.25">
      <c r="O7991" s="21"/>
    </row>
    <row r="7992" spans="15:15" x14ac:dyDescent="0.25">
      <c r="O7992" s="21"/>
    </row>
    <row r="7993" spans="15:15" x14ac:dyDescent="0.25">
      <c r="O7993" s="21"/>
    </row>
    <row r="7994" spans="15:15" x14ac:dyDescent="0.25">
      <c r="O7994" s="21"/>
    </row>
    <row r="7995" spans="15:15" x14ac:dyDescent="0.25">
      <c r="O7995" s="21"/>
    </row>
    <row r="7996" spans="15:15" x14ac:dyDescent="0.25">
      <c r="O7996" s="21"/>
    </row>
    <row r="7997" spans="15:15" x14ac:dyDescent="0.25">
      <c r="O7997" s="21"/>
    </row>
    <row r="7998" spans="15:15" x14ac:dyDescent="0.25">
      <c r="O7998" s="21"/>
    </row>
    <row r="7999" spans="15:15" x14ac:dyDescent="0.25">
      <c r="O7999" s="21"/>
    </row>
    <row r="8000" spans="15:15" x14ac:dyDescent="0.25">
      <c r="O8000" s="21"/>
    </row>
    <row r="8001" spans="15:15" x14ac:dyDescent="0.25">
      <c r="O8001" s="21"/>
    </row>
    <row r="8002" spans="15:15" x14ac:dyDescent="0.25">
      <c r="O8002" s="21"/>
    </row>
    <row r="8003" spans="15:15" x14ac:dyDescent="0.25">
      <c r="O8003" s="21"/>
    </row>
    <row r="8004" spans="15:15" x14ac:dyDescent="0.25">
      <c r="O8004" s="21"/>
    </row>
    <row r="8005" spans="15:15" x14ac:dyDescent="0.25">
      <c r="O8005" s="21"/>
    </row>
    <row r="8006" spans="15:15" x14ac:dyDescent="0.25">
      <c r="O8006" s="21"/>
    </row>
    <row r="8007" spans="15:15" x14ac:dyDescent="0.25">
      <c r="O8007" s="21"/>
    </row>
    <row r="8008" spans="15:15" x14ac:dyDescent="0.25">
      <c r="O8008" s="21"/>
    </row>
    <row r="8009" spans="15:15" x14ac:dyDescent="0.25">
      <c r="O8009" s="21"/>
    </row>
    <row r="8010" spans="15:15" x14ac:dyDescent="0.25">
      <c r="O8010" s="21"/>
    </row>
    <row r="8011" spans="15:15" x14ac:dyDescent="0.25">
      <c r="O8011" s="21"/>
    </row>
    <row r="8012" spans="15:15" x14ac:dyDescent="0.25">
      <c r="O8012" s="21"/>
    </row>
    <row r="8013" spans="15:15" x14ac:dyDescent="0.25">
      <c r="O8013" s="21"/>
    </row>
    <row r="8014" spans="15:15" x14ac:dyDescent="0.25">
      <c r="O8014" s="21"/>
    </row>
    <row r="8015" spans="15:15" x14ac:dyDescent="0.25">
      <c r="O8015" s="21"/>
    </row>
    <row r="8016" spans="15:15" x14ac:dyDescent="0.25">
      <c r="O8016" s="21"/>
    </row>
    <row r="8017" spans="15:15" x14ac:dyDescent="0.25">
      <c r="O8017" s="21"/>
    </row>
    <row r="8018" spans="15:15" x14ac:dyDescent="0.25">
      <c r="O8018" s="21"/>
    </row>
    <row r="8019" spans="15:15" x14ac:dyDescent="0.25">
      <c r="O8019" s="21"/>
    </row>
    <row r="8020" spans="15:15" x14ac:dyDescent="0.25">
      <c r="O8020" s="21"/>
    </row>
    <row r="8021" spans="15:15" x14ac:dyDescent="0.25">
      <c r="O8021" s="21"/>
    </row>
    <row r="8022" spans="15:15" x14ac:dyDescent="0.25">
      <c r="O8022" s="21"/>
    </row>
    <row r="8023" spans="15:15" x14ac:dyDescent="0.25">
      <c r="O8023" s="21"/>
    </row>
    <row r="8024" spans="15:15" x14ac:dyDescent="0.25">
      <c r="O8024" s="21"/>
    </row>
    <row r="8025" spans="15:15" x14ac:dyDescent="0.25">
      <c r="O8025" s="21"/>
    </row>
    <row r="8026" spans="15:15" x14ac:dyDescent="0.25">
      <c r="O8026" s="21"/>
    </row>
    <row r="8027" spans="15:15" x14ac:dyDescent="0.25">
      <c r="O8027" s="21"/>
    </row>
    <row r="8028" spans="15:15" x14ac:dyDescent="0.25">
      <c r="O8028" s="21"/>
    </row>
    <row r="8029" spans="15:15" x14ac:dyDescent="0.25">
      <c r="O8029" s="21"/>
    </row>
    <row r="8030" spans="15:15" x14ac:dyDescent="0.25">
      <c r="O8030" s="21"/>
    </row>
    <row r="8031" spans="15:15" x14ac:dyDescent="0.25">
      <c r="O8031" s="21"/>
    </row>
    <row r="8032" spans="15:15" x14ac:dyDescent="0.25">
      <c r="O8032" s="21"/>
    </row>
    <row r="8033" spans="15:15" x14ac:dyDescent="0.25">
      <c r="O8033" s="21"/>
    </row>
    <row r="8034" spans="15:15" x14ac:dyDescent="0.25">
      <c r="O8034" s="21"/>
    </row>
    <row r="8035" spans="15:15" x14ac:dyDescent="0.25">
      <c r="O8035" s="21"/>
    </row>
    <row r="8036" spans="15:15" x14ac:dyDescent="0.25">
      <c r="O8036" s="21"/>
    </row>
    <row r="8037" spans="15:15" x14ac:dyDescent="0.25">
      <c r="O8037" s="21"/>
    </row>
    <row r="8038" spans="15:15" x14ac:dyDescent="0.25">
      <c r="O8038" s="21"/>
    </row>
    <row r="8039" spans="15:15" x14ac:dyDescent="0.25">
      <c r="O8039" s="21"/>
    </row>
    <row r="8040" spans="15:15" x14ac:dyDescent="0.25">
      <c r="O8040" s="21"/>
    </row>
    <row r="8041" spans="15:15" x14ac:dyDescent="0.25">
      <c r="O8041" s="21"/>
    </row>
    <row r="8042" spans="15:15" x14ac:dyDescent="0.25">
      <c r="O8042" s="21"/>
    </row>
    <row r="8043" spans="15:15" x14ac:dyDescent="0.25">
      <c r="O8043" s="21"/>
    </row>
    <row r="8044" spans="15:15" x14ac:dyDescent="0.25">
      <c r="O8044" s="21"/>
    </row>
    <row r="8045" spans="15:15" x14ac:dyDescent="0.25">
      <c r="O8045" s="21"/>
    </row>
    <row r="8046" spans="15:15" x14ac:dyDescent="0.25">
      <c r="O8046" s="21"/>
    </row>
    <row r="8047" spans="15:15" x14ac:dyDescent="0.25">
      <c r="O8047" s="21"/>
    </row>
    <row r="8048" spans="15:15" x14ac:dyDescent="0.25">
      <c r="O8048" s="21"/>
    </row>
    <row r="8049" spans="15:15" x14ac:dyDescent="0.25">
      <c r="O8049" s="21"/>
    </row>
    <row r="8050" spans="15:15" x14ac:dyDescent="0.25">
      <c r="O8050" s="21"/>
    </row>
    <row r="8051" spans="15:15" x14ac:dyDescent="0.25">
      <c r="O8051" s="21"/>
    </row>
    <row r="8052" spans="15:15" x14ac:dyDescent="0.25">
      <c r="O8052" s="21"/>
    </row>
    <row r="8053" spans="15:15" x14ac:dyDescent="0.25">
      <c r="O8053" s="21"/>
    </row>
    <row r="8054" spans="15:15" x14ac:dyDescent="0.25">
      <c r="O8054" s="21"/>
    </row>
    <row r="8055" spans="15:15" x14ac:dyDescent="0.25">
      <c r="O8055" s="21"/>
    </row>
    <row r="8056" spans="15:15" x14ac:dyDescent="0.25">
      <c r="O8056" s="21"/>
    </row>
    <row r="8057" spans="15:15" x14ac:dyDescent="0.25">
      <c r="O8057" s="21"/>
    </row>
    <row r="8058" spans="15:15" x14ac:dyDescent="0.25">
      <c r="O8058" s="21"/>
    </row>
    <row r="8059" spans="15:15" x14ac:dyDescent="0.25">
      <c r="O8059" s="21"/>
    </row>
    <row r="8060" spans="15:15" x14ac:dyDescent="0.25">
      <c r="O8060" s="21"/>
    </row>
    <row r="8061" spans="15:15" x14ac:dyDescent="0.25">
      <c r="O8061" s="21"/>
    </row>
    <row r="8062" spans="15:15" x14ac:dyDescent="0.25">
      <c r="O8062" s="21"/>
    </row>
    <row r="8063" spans="15:15" x14ac:dyDescent="0.25">
      <c r="O8063" s="21"/>
    </row>
    <row r="8064" spans="15:15" x14ac:dyDescent="0.25">
      <c r="O8064" s="21"/>
    </row>
    <row r="8065" spans="15:15" x14ac:dyDescent="0.25">
      <c r="O8065" s="21"/>
    </row>
    <row r="8066" spans="15:15" x14ac:dyDescent="0.25">
      <c r="O8066" s="21"/>
    </row>
    <row r="8067" spans="15:15" x14ac:dyDescent="0.25">
      <c r="O8067" s="21"/>
    </row>
    <row r="8068" spans="15:15" x14ac:dyDescent="0.25">
      <c r="O8068" s="21"/>
    </row>
    <row r="8069" spans="15:15" x14ac:dyDescent="0.25">
      <c r="O8069" s="21"/>
    </row>
    <row r="8070" spans="15:15" x14ac:dyDescent="0.25">
      <c r="O8070" s="21"/>
    </row>
    <row r="8071" spans="15:15" x14ac:dyDescent="0.25">
      <c r="O8071" s="21"/>
    </row>
    <row r="8072" spans="15:15" x14ac:dyDescent="0.25">
      <c r="O8072" s="21"/>
    </row>
    <row r="8073" spans="15:15" x14ac:dyDescent="0.25">
      <c r="O8073" s="21"/>
    </row>
    <row r="8074" spans="15:15" x14ac:dyDescent="0.25">
      <c r="O8074" s="21"/>
    </row>
    <row r="8075" spans="15:15" x14ac:dyDescent="0.25">
      <c r="O8075" s="21"/>
    </row>
    <row r="8076" spans="15:15" x14ac:dyDescent="0.25">
      <c r="O8076" s="21"/>
    </row>
    <row r="8077" spans="15:15" x14ac:dyDescent="0.25">
      <c r="O8077" s="21"/>
    </row>
    <row r="8078" spans="15:15" x14ac:dyDescent="0.25">
      <c r="O8078" s="21"/>
    </row>
    <row r="8079" spans="15:15" x14ac:dyDescent="0.25">
      <c r="O8079" s="21"/>
    </row>
    <row r="8080" spans="15:15" x14ac:dyDescent="0.25">
      <c r="O8080" s="21"/>
    </row>
    <row r="8081" spans="15:15" x14ac:dyDescent="0.25">
      <c r="O8081" s="21"/>
    </row>
    <row r="8082" spans="15:15" x14ac:dyDescent="0.25">
      <c r="O8082" s="21"/>
    </row>
    <row r="8083" spans="15:15" x14ac:dyDescent="0.25">
      <c r="O8083" s="21"/>
    </row>
    <row r="8084" spans="15:15" x14ac:dyDescent="0.25">
      <c r="O8084" s="21"/>
    </row>
    <row r="8085" spans="15:15" x14ac:dyDescent="0.25">
      <c r="O8085" s="21"/>
    </row>
    <row r="8086" spans="15:15" x14ac:dyDescent="0.25">
      <c r="O8086" s="21"/>
    </row>
    <row r="8087" spans="15:15" x14ac:dyDescent="0.25">
      <c r="O8087" s="21"/>
    </row>
    <row r="8088" spans="15:15" x14ac:dyDescent="0.25">
      <c r="O8088" s="21"/>
    </row>
    <row r="8089" spans="15:15" x14ac:dyDescent="0.25">
      <c r="O8089" s="21"/>
    </row>
    <row r="8090" spans="15:15" x14ac:dyDescent="0.25">
      <c r="O8090" s="21"/>
    </row>
    <row r="8091" spans="15:15" x14ac:dyDescent="0.25">
      <c r="O8091" s="21"/>
    </row>
    <row r="8092" spans="15:15" x14ac:dyDescent="0.25">
      <c r="O8092" s="21"/>
    </row>
    <row r="8093" spans="15:15" x14ac:dyDescent="0.25">
      <c r="O8093" s="21"/>
    </row>
    <row r="8094" spans="15:15" x14ac:dyDescent="0.25">
      <c r="O8094" s="21"/>
    </row>
    <row r="8095" spans="15:15" x14ac:dyDescent="0.25">
      <c r="O8095" s="21"/>
    </row>
    <row r="8096" spans="15:15" x14ac:dyDescent="0.25">
      <c r="O8096" s="21"/>
    </row>
    <row r="8097" spans="15:15" x14ac:dyDescent="0.25">
      <c r="O8097" s="21"/>
    </row>
    <row r="8098" spans="15:15" x14ac:dyDescent="0.25">
      <c r="O8098" s="21"/>
    </row>
    <row r="8099" spans="15:15" x14ac:dyDescent="0.25">
      <c r="O8099" s="21"/>
    </row>
    <row r="8100" spans="15:15" x14ac:dyDescent="0.25">
      <c r="O8100" s="21"/>
    </row>
    <row r="8101" spans="15:15" x14ac:dyDescent="0.25">
      <c r="O8101" s="21"/>
    </row>
    <row r="8102" spans="15:15" x14ac:dyDescent="0.25">
      <c r="O8102" s="21"/>
    </row>
    <row r="8103" spans="15:15" x14ac:dyDescent="0.25">
      <c r="O8103" s="21"/>
    </row>
    <row r="8104" spans="15:15" x14ac:dyDescent="0.25">
      <c r="O8104" s="21"/>
    </row>
    <row r="8105" spans="15:15" x14ac:dyDescent="0.25">
      <c r="O8105" s="21"/>
    </row>
    <row r="8106" spans="15:15" x14ac:dyDescent="0.25">
      <c r="O8106" s="21"/>
    </row>
    <row r="8107" spans="15:15" x14ac:dyDescent="0.25">
      <c r="O8107" s="21"/>
    </row>
    <row r="8108" spans="15:15" x14ac:dyDescent="0.25">
      <c r="O8108" s="21"/>
    </row>
    <row r="8109" spans="15:15" x14ac:dyDescent="0.25">
      <c r="O8109" s="21"/>
    </row>
    <row r="8110" spans="15:15" x14ac:dyDescent="0.25">
      <c r="O8110" s="21"/>
    </row>
    <row r="8111" spans="15:15" x14ac:dyDescent="0.25">
      <c r="O8111" s="21"/>
    </row>
    <row r="8112" spans="15:15" x14ac:dyDescent="0.25">
      <c r="O8112" s="21"/>
    </row>
    <row r="8113" spans="15:15" x14ac:dyDescent="0.25">
      <c r="O8113" s="21"/>
    </row>
    <row r="8114" spans="15:15" x14ac:dyDescent="0.25">
      <c r="O8114" s="21"/>
    </row>
    <row r="8115" spans="15:15" x14ac:dyDescent="0.25">
      <c r="O8115" s="21"/>
    </row>
    <row r="8116" spans="15:15" x14ac:dyDescent="0.25">
      <c r="O8116" s="21"/>
    </row>
    <row r="8117" spans="15:15" x14ac:dyDescent="0.25">
      <c r="O8117" s="21"/>
    </row>
    <row r="8118" spans="15:15" x14ac:dyDescent="0.25">
      <c r="O8118" s="21"/>
    </row>
    <row r="8119" spans="15:15" x14ac:dyDescent="0.25">
      <c r="O8119" s="21"/>
    </row>
    <row r="8120" spans="15:15" x14ac:dyDescent="0.25">
      <c r="O8120" s="21"/>
    </row>
    <row r="8121" spans="15:15" x14ac:dyDescent="0.25">
      <c r="O8121" s="21"/>
    </row>
    <row r="8122" spans="15:15" x14ac:dyDescent="0.25">
      <c r="O8122" s="21"/>
    </row>
    <row r="8123" spans="15:15" x14ac:dyDescent="0.25">
      <c r="O8123" s="21"/>
    </row>
    <row r="8124" spans="15:15" x14ac:dyDescent="0.25">
      <c r="O8124" s="21"/>
    </row>
    <row r="8125" spans="15:15" x14ac:dyDescent="0.25">
      <c r="O8125" s="21"/>
    </row>
    <row r="8126" spans="15:15" x14ac:dyDescent="0.25">
      <c r="O8126" s="21"/>
    </row>
    <row r="8127" spans="15:15" x14ac:dyDescent="0.25">
      <c r="O8127" s="21"/>
    </row>
    <row r="8128" spans="15:15" x14ac:dyDescent="0.25">
      <c r="O8128" s="21"/>
    </row>
    <row r="8129" spans="15:15" x14ac:dyDescent="0.25">
      <c r="O8129" s="21"/>
    </row>
    <row r="8130" spans="15:15" x14ac:dyDescent="0.25">
      <c r="O8130" s="21"/>
    </row>
    <row r="8131" spans="15:15" x14ac:dyDescent="0.25">
      <c r="O8131" s="21"/>
    </row>
    <row r="8132" spans="15:15" x14ac:dyDescent="0.25">
      <c r="O8132" s="21"/>
    </row>
    <row r="8133" spans="15:15" x14ac:dyDescent="0.25">
      <c r="O8133" s="21"/>
    </row>
    <row r="8134" spans="15:15" x14ac:dyDescent="0.25">
      <c r="O8134" s="21"/>
    </row>
    <row r="8135" spans="15:15" x14ac:dyDescent="0.25">
      <c r="O8135" s="21"/>
    </row>
    <row r="8136" spans="15:15" x14ac:dyDescent="0.25">
      <c r="O8136" s="21"/>
    </row>
    <row r="8137" spans="15:15" x14ac:dyDescent="0.25">
      <c r="O8137" s="21"/>
    </row>
    <row r="8138" spans="15:15" x14ac:dyDescent="0.25">
      <c r="O8138" s="21"/>
    </row>
    <row r="8139" spans="15:15" x14ac:dyDescent="0.25">
      <c r="O8139" s="21"/>
    </row>
    <row r="8140" spans="15:15" x14ac:dyDescent="0.25">
      <c r="O8140" s="21"/>
    </row>
    <row r="8141" spans="15:15" x14ac:dyDescent="0.25">
      <c r="O8141" s="21"/>
    </row>
    <row r="8142" spans="15:15" x14ac:dyDescent="0.25">
      <c r="O8142" s="21"/>
    </row>
    <row r="8143" spans="15:15" x14ac:dyDescent="0.25">
      <c r="O8143" s="21"/>
    </row>
    <row r="8144" spans="15:15" x14ac:dyDescent="0.25">
      <c r="O8144" s="21"/>
    </row>
    <row r="8145" spans="15:15" x14ac:dyDescent="0.25">
      <c r="O8145" s="21"/>
    </row>
    <row r="8146" spans="15:15" x14ac:dyDescent="0.25">
      <c r="O8146" s="21"/>
    </row>
    <row r="8147" spans="15:15" x14ac:dyDescent="0.25">
      <c r="O8147" s="21"/>
    </row>
    <row r="8148" spans="15:15" x14ac:dyDescent="0.25">
      <c r="O8148" s="21"/>
    </row>
    <row r="8149" spans="15:15" x14ac:dyDescent="0.25">
      <c r="O8149" s="21"/>
    </row>
    <row r="8150" spans="15:15" x14ac:dyDescent="0.25">
      <c r="O8150" s="21"/>
    </row>
    <row r="8151" spans="15:15" x14ac:dyDescent="0.25">
      <c r="O8151" s="21"/>
    </row>
    <row r="8152" spans="15:15" x14ac:dyDescent="0.25">
      <c r="O8152" s="21"/>
    </row>
    <row r="8153" spans="15:15" x14ac:dyDescent="0.25">
      <c r="O8153" s="21"/>
    </row>
    <row r="8154" spans="15:15" x14ac:dyDescent="0.25">
      <c r="O8154" s="21"/>
    </row>
    <row r="8155" spans="15:15" x14ac:dyDescent="0.25">
      <c r="O8155" s="21"/>
    </row>
    <row r="8156" spans="15:15" x14ac:dyDescent="0.25">
      <c r="O8156" s="21"/>
    </row>
    <row r="8157" spans="15:15" x14ac:dyDescent="0.25">
      <c r="O8157" s="21"/>
    </row>
    <row r="8158" spans="15:15" x14ac:dyDescent="0.25">
      <c r="O8158" s="21"/>
    </row>
    <row r="8159" spans="15:15" x14ac:dyDescent="0.25">
      <c r="O8159" s="21"/>
    </row>
    <row r="8160" spans="15:15" x14ac:dyDescent="0.25">
      <c r="O8160" s="21"/>
    </row>
    <row r="8161" spans="15:15" x14ac:dyDescent="0.25">
      <c r="O8161" s="21"/>
    </row>
    <row r="8162" spans="15:15" x14ac:dyDescent="0.25">
      <c r="O8162" s="21"/>
    </row>
    <row r="8163" spans="15:15" x14ac:dyDescent="0.25">
      <c r="O8163" s="21"/>
    </row>
    <row r="8164" spans="15:15" x14ac:dyDescent="0.25">
      <c r="O8164" s="21"/>
    </row>
    <row r="8165" spans="15:15" x14ac:dyDescent="0.25">
      <c r="O8165" s="21"/>
    </row>
    <row r="8166" spans="15:15" x14ac:dyDescent="0.25">
      <c r="O8166" s="21"/>
    </row>
    <row r="8167" spans="15:15" x14ac:dyDescent="0.25">
      <c r="O8167" s="21"/>
    </row>
    <row r="8168" spans="15:15" x14ac:dyDescent="0.25">
      <c r="O8168" s="21"/>
    </row>
    <row r="8169" spans="15:15" x14ac:dyDescent="0.25">
      <c r="O8169" s="21"/>
    </row>
    <row r="8170" spans="15:15" x14ac:dyDescent="0.25">
      <c r="O8170" s="21"/>
    </row>
    <row r="8171" spans="15:15" x14ac:dyDescent="0.25">
      <c r="O8171" s="21"/>
    </row>
    <row r="8172" spans="15:15" x14ac:dyDescent="0.25">
      <c r="O8172" s="21"/>
    </row>
    <row r="8173" spans="15:15" x14ac:dyDescent="0.25">
      <c r="O8173" s="21"/>
    </row>
    <row r="8174" spans="15:15" x14ac:dyDescent="0.25">
      <c r="O8174" s="21"/>
    </row>
    <row r="8175" spans="15:15" x14ac:dyDescent="0.25">
      <c r="O8175" s="21"/>
    </row>
    <row r="8176" spans="15:15" x14ac:dyDescent="0.25">
      <c r="O8176" s="21"/>
    </row>
    <row r="8177" spans="15:15" x14ac:dyDescent="0.25">
      <c r="O8177" s="21"/>
    </row>
    <row r="8178" spans="15:15" x14ac:dyDescent="0.25">
      <c r="O8178" s="21"/>
    </row>
    <row r="8179" spans="15:15" x14ac:dyDescent="0.25">
      <c r="O8179" s="21"/>
    </row>
    <row r="8180" spans="15:15" x14ac:dyDescent="0.25">
      <c r="O8180" s="21"/>
    </row>
    <row r="8181" spans="15:15" x14ac:dyDescent="0.25">
      <c r="O8181" s="21"/>
    </row>
    <row r="8182" spans="15:15" x14ac:dyDescent="0.25">
      <c r="O8182" s="21"/>
    </row>
    <row r="8183" spans="15:15" x14ac:dyDescent="0.25">
      <c r="O8183" s="21"/>
    </row>
    <row r="8184" spans="15:15" x14ac:dyDescent="0.25">
      <c r="O8184" s="21"/>
    </row>
    <row r="8185" spans="15:15" x14ac:dyDescent="0.25">
      <c r="O8185" s="21"/>
    </row>
    <row r="8186" spans="15:15" x14ac:dyDescent="0.25">
      <c r="O8186" s="21"/>
    </row>
    <row r="8187" spans="15:15" x14ac:dyDescent="0.25">
      <c r="O8187" s="21"/>
    </row>
    <row r="8188" spans="15:15" x14ac:dyDescent="0.25">
      <c r="O8188" s="21"/>
    </row>
    <row r="8189" spans="15:15" x14ac:dyDescent="0.25">
      <c r="O8189" s="21"/>
    </row>
    <row r="8190" spans="15:15" x14ac:dyDescent="0.25">
      <c r="O8190" s="21"/>
    </row>
    <row r="8191" spans="15:15" x14ac:dyDescent="0.25">
      <c r="O8191" s="21"/>
    </row>
    <row r="8192" spans="15:15" x14ac:dyDescent="0.25">
      <c r="O8192" s="21"/>
    </row>
    <row r="8193" spans="15:15" x14ac:dyDescent="0.25">
      <c r="O8193" s="21"/>
    </row>
    <row r="8194" spans="15:15" x14ac:dyDescent="0.25">
      <c r="O8194" s="21"/>
    </row>
    <row r="8195" spans="15:15" x14ac:dyDescent="0.25">
      <c r="O8195" s="21"/>
    </row>
    <row r="8196" spans="15:15" x14ac:dyDescent="0.25">
      <c r="O8196" s="21"/>
    </row>
    <row r="8197" spans="15:15" x14ac:dyDescent="0.25">
      <c r="O8197" s="21"/>
    </row>
    <row r="8198" spans="15:15" x14ac:dyDescent="0.25">
      <c r="O8198" s="21"/>
    </row>
    <row r="8199" spans="15:15" x14ac:dyDescent="0.25">
      <c r="O8199" s="21"/>
    </row>
    <row r="8200" spans="15:15" x14ac:dyDescent="0.25">
      <c r="O8200" s="21"/>
    </row>
    <row r="8201" spans="15:15" x14ac:dyDescent="0.25">
      <c r="O8201" s="21"/>
    </row>
    <row r="8202" spans="15:15" x14ac:dyDescent="0.25">
      <c r="O8202" s="21"/>
    </row>
    <row r="8203" spans="15:15" x14ac:dyDescent="0.25">
      <c r="O8203" s="21"/>
    </row>
    <row r="8204" spans="15:15" x14ac:dyDescent="0.25">
      <c r="O8204" s="21"/>
    </row>
    <row r="8205" spans="15:15" x14ac:dyDescent="0.25">
      <c r="O8205" s="21"/>
    </row>
    <row r="8206" spans="15:15" x14ac:dyDescent="0.25">
      <c r="O8206" s="21"/>
    </row>
    <row r="8207" spans="15:15" x14ac:dyDescent="0.25">
      <c r="O8207" s="21"/>
    </row>
    <row r="8208" spans="15:15" x14ac:dyDescent="0.25">
      <c r="O8208" s="21"/>
    </row>
    <row r="8209" spans="15:15" x14ac:dyDescent="0.25">
      <c r="O8209" s="21"/>
    </row>
    <row r="8210" spans="15:15" x14ac:dyDescent="0.25">
      <c r="O8210" s="21"/>
    </row>
    <row r="8211" spans="15:15" x14ac:dyDescent="0.25">
      <c r="O8211" s="21"/>
    </row>
    <row r="8212" spans="15:15" x14ac:dyDescent="0.25">
      <c r="O8212" s="21"/>
    </row>
    <row r="8213" spans="15:15" x14ac:dyDescent="0.25">
      <c r="O8213" s="21"/>
    </row>
    <row r="8214" spans="15:15" x14ac:dyDescent="0.25">
      <c r="O8214" s="21"/>
    </row>
    <row r="8215" spans="15:15" x14ac:dyDescent="0.25">
      <c r="O8215" s="21"/>
    </row>
    <row r="8216" spans="15:15" x14ac:dyDescent="0.25">
      <c r="O8216" s="21"/>
    </row>
    <row r="8217" spans="15:15" x14ac:dyDescent="0.25">
      <c r="O8217" s="21"/>
    </row>
    <row r="8218" spans="15:15" x14ac:dyDescent="0.25">
      <c r="O8218" s="21"/>
    </row>
    <row r="8219" spans="15:15" x14ac:dyDescent="0.25">
      <c r="O8219" s="21"/>
    </row>
    <row r="8220" spans="15:15" x14ac:dyDescent="0.25">
      <c r="O8220" s="21"/>
    </row>
    <row r="8221" spans="15:15" x14ac:dyDescent="0.25">
      <c r="O8221" s="21"/>
    </row>
    <row r="8222" spans="15:15" x14ac:dyDescent="0.25">
      <c r="O8222" s="21"/>
    </row>
    <row r="8223" spans="15:15" x14ac:dyDescent="0.25">
      <c r="O8223" s="21"/>
    </row>
    <row r="8224" spans="15:15" x14ac:dyDescent="0.25">
      <c r="O8224" s="21"/>
    </row>
    <row r="8225" spans="15:15" x14ac:dyDescent="0.25">
      <c r="O8225" s="21"/>
    </row>
    <row r="8226" spans="15:15" x14ac:dyDescent="0.25">
      <c r="O8226" s="21"/>
    </row>
    <row r="8227" spans="15:15" x14ac:dyDescent="0.25">
      <c r="O8227" s="21"/>
    </row>
    <row r="8228" spans="15:15" x14ac:dyDescent="0.25">
      <c r="O8228" s="21"/>
    </row>
    <row r="8229" spans="15:15" x14ac:dyDescent="0.25">
      <c r="O8229" s="21"/>
    </row>
    <row r="8230" spans="15:15" x14ac:dyDescent="0.25">
      <c r="O8230" s="21"/>
    </row>
    <row r="8231" spans="15:15" x14ac:dyDescent="0.25">
      <c r="O8231" s="21"/>
    </row>
    <row r="8232" spans="15:15" x14ac:dyDescent="0.25">
      <c r="O8232" s="21"/>
    </row>
    <row r="8233" spans="15:15" x14ac:dyDescent="0.25">
      <c r="O8233" s="21"/>
    </row>
    <row r="8234" spans="15:15" x14ac:dyDescent="0.25">
      <c r="O8234" s="21"/>
    </row>
    <row r="8235" spans="15:15" x14ac:dyDescent="0.25">
      <c r="O8235" s="21"/>
    </row>
    <row r="8236" spans="15:15" x14ac:dyDescent="0.25">
      <c r="O8236" s="21"/>
    </row>
    <row r="8237" spans="15:15" x14ac:dyDescent="0.25">
      <c r="O8237" s="21"/>
    </row>
    <row r="8238" spans="15:15" x14ac:dyDescent="0.25">
      <c r="O8238" s="21"/>
    </row>
    <row r="8239" spans="15:15" x14ac:dyDescent="0.25">
      <c r="O8239" s="21"/>
    </row>
    <row r="8240" spans="15:15" x14ac:dyDescent="0.25">
      <c r="O8240" s="21"/>
    </row>
    <row r="8241" spans="15:15" x14ac:dyDescent="0.25">
      <c r="O8241" s="21"/>
    </row>
    <row r="8242" spans="15:15" x14ac:dyDescent="0.25">
      <c r="O8242" s="21"/>
    </row>
    <row r="8243" spans="15:15" x14ac:dyDescent="0.25">
      <c r="O8243" s="21"/>
    </row>
    <row r="8244" spans="15:15" x14ac:dyDescent="0.25">
      <c r="O8244" s="21"/>
    </row>
    <row r="8245" spans="15:15" x14ac:dyDescent="0.25">
      <c r="O8245" s="21"/>
    </row>
    <row r="8246" spans="15:15" x14ac:dyDescent="0.25">
      <c r="O8246" s="21"/>
    </row>
    <row r="8247" spans="15:15" x14ac:dyDescent="0.25">
      <c r="O8247" s="21"/>
    </row>
    <row r="8248" spans="15:15" x14ac:dyDescent="0.25">
      <c r="O8248" s="21"/>
    </row>
    <row r="8249" spans="15:15" x14ac:dyDescent="0.25">
      <c r="O8249" s="21"/>
    </row>
    <row r="8250" spans="15:15" x14ac:dyDescent="0.25">
      <c r="O8250" s="21"/>
    </row>
    <row r="8251" spans="15:15" x14ac:dyDescent="0.25">
      <c r="O8251" s="21"/>
    </row>
    <row r="8252" spans="15:15" x14ac:dyDescent="0.25">
      <c r="O8252" s="21"/>
    </row>
    <row r="8253" spans="15:15" x14ac:dyDescent="0.25">
      <c r="O8253" s="21"/>
    </row>
    <row r="8254" spans="15:15" x14ac:dyDescent="0.25">
      <c r="O8254" s="21"/>
    </row>
    <row r="8255" spans="15:15" x14ac:dyDescent="0.25">
      <c r="O8255" s="21"/>
    </row>
    <row r="8256" spans="15:15" x14ac:dyDescent="0.25">
      <c r="O8256" s="21"/>
    </row>
    <row r="8257" spans="15:15" x14ac:dyDescent="0.25">
      <c r="O8257" s="21"/>
    </row>
    <row r="8258" spans="15:15" x14ac:dyDescent="0.25">
      <c r="O8258" s="21"/>
    </row>
    <row r="8259" spans="15:15" x14ac:dyDescent="0.25">
      <c r="O8259" s="21"/>
    </row>
    <row r="8260" spans="15:15" x14ac:dyDescent="0.25">
      <c r="O8260" s="21"/>
    </row>
    <row r="8261" spans="15:15" x14ac:dyDescent="0.25">
      <c r="O8261" s="21"/>
    </row>
    <row r="8262" spans="15:15" x14ac:dyDescent="0.25">
      <c r="O8262" s="21"/>
    </row>
    <row r="8263" spans="15:15" x14ac:dyDescent="0.25">
      <c r="O8263" s="21"/>
    </row>
    <row r="8264" spans="15:15" x14ac:dyDescent="0.25">
      <c r="O8264" s="21"/>
    </row>
    <row r="8265" spans="15:15" x14ac:dyDescent="0.25">
      <c r="O8265" s="21"/>
    </row>
    <row r="8266" spans="15:15" x14ac:dyDescent="0.25">
      <c r="O8266" s="21"/>
    </row>
    <row r="8267" spans="15:15" x14ac:dyDescent="0.25">
      <c r="O8267" s="21"/>
    </row>
    <row r="8268" spans="15:15" x14ac:dyDescent="0.25">
      <c r="O8268" s="21"/>
    </row>
    <row r="8269" spans="15:15" x14ac:dyDescent="0.25">
      <c r="O8269" s="21"/>
    </row>
    <row r="8270" spans="15:15" x14ac:dyDescent="0.25">
      <c r="O8270" s="21"/>
    </row>
    <row r="8271" spans="15:15" x14ac:dyDescent="0.25">
      <c r="O8271" s="21"/>
    </row>
    <row r="8272" spans="15:15" x14ac:dyDescent="0.25">
      <c r="O8272" s="21"/>
    </row>
    <row r="8273" spans="15:15" x14ac:dyDescent="0.25">
      <c r="O8273" s="21"/>
    </row>
    <row r="8274" spans="15:15" x14ac:dyDescent="0.25">
      <c r="O8274" s="21"/>
    </row>
    <row r="8275" spans="15:15" x14ac:dyDescent="0.25">
      <c r="O8275" s="21"/>
    </row>
    <row r="8276" spans="15:15" x14ac:dyDescent="0.25">
      <c r="O8276" s="21"/>
    </row>
    <row r="8277" spans="15:15" x14ac:dyDescent="0.25">
      <c r="O8277" s="21"/>
    </row>
    <row r="8278" spans="15:15" x14ac:dyDescent="0.25">
      <c r="O8278" s="21"/>
    </row>
    <row r="8279" spans="15:15" x14ac:dyDescent="0.25">
      <c r="O8279" s="21"/>
    </row>
    <row r="8280" spans="15:15" x14ac:dyDescent="0.25">
      <c r="O8280" s="21"/>
    </row>
    <row r="8281" spans="15:15" x14ac:dyDescent="0.25">
      <c r="O8281" s="21"/>
    </row>
    <row r="8282" spans="15:15" x14ac:dyDescent="0.25">
      <c r="O8282" s="21"/>
    </row>
    <row r="8283" spans="15:15" x14ac:dyDescent="0.25">
      <c r="O8283" s="21"/>
    </row>
    <row r="8284" spans="15:15" x14ac:dyDescent="0.25">
      <c r="O8284" s="21"/>
    </row>
    <row r="8285" spans="15:15" x14ac:dyDescent="0.25">
      <c r="O8285" s="21"/>
    </row>
    <row r="8286" spans="15:15" x14ac:dyDescent="0.25">
      <c r="O8286" s="21"/>
    </row>
    <row r="8287" spans="15:15" x14ac:dyDescent="0.25">
      <c r="O8287" s="21"/>
    </row>
    <row r="8288" spans="15:15" x14ac:dyDescent="0.25">
      <c r="O8288" s="21"/>
    </row>
    <row r="8289" spans="15:15" x14ac:dyDescent="0.25">
      <c r="O8289" s="21"/>
    </row>
    <row r="8290" spans="15:15" x14ac:dyDescent="0.25">
      <c r="O8290" s="21"/>
    </row>
    <row r="8291" spans="15:15" x14ac:dyDescent="0.25">
      <c r="O8291" s="21"/>
    </row>
    <row r="8292" spans="15:15" x14ac:dyDescent="0.25">
      <c r="O8292" s="21"/>
    </row>
    <row r="8293" spans="15:15" x14ac:dyDescent="0.25">
      <c r="O8293" s="21"/>
    </row>
    <row r="8294" spans="15:15" x14ac:dyDescent="0.25">
      <c r="O8294" s="21"/>
    </row>
    <row r="8295" spans="15:15" x14ac:dyDescent="0.25">
      <c r="O8295" s="21"/>
    </row>
    <row r="8296" spans="15:15" x14ac:dyDescent="0.25">
      <c r="O8296" s="21"/>
    </row>
    <row r="8297" spans="15:15" x14ac:dyDescent="0.25">
      <c r="O8297" s="21"/>
    </row>
    <row r="8298" spans="15:15" x14ac:dyDescent="0.25">
      <c r="O8298" s="21"/>
    </row>
    <row r="8299" spans="15:15" x14ac:dyDescent="0.25">
      <c r="O8299" s="21"/>
    </row>
    <row r="8300" spans="15:15" x14ac:dyDescent="0.25">
      <c r="O8300" s="21"/>
    </row>
    <row r="8301" spans="15:15" x14ac:dyDescent="0.25">
      <c r="O8301" s="21"/>
    </row>
    <row r="8302" spans="15:15" x14ac:dyDescent="0.25">
      <c r="O8302" s="21"/>
    </row>
    <row r="8303" spans="15:15" x14ac:dyDescent="0.25">
      <c r="O8303" s="21"/>
    </row>
    <row r="8304" spans="15:15" x14ac:dyDescent="0.25">
      <c r="O8304" s="21"/>
    </row>
    <row r="8305" spans="15:15" x14ac:dyDescent="0.25">
      <c r="O8305" s="21"/>
    </row>
    <row r="8306" spans="15:15" x14ac:dyDescent="0.25">
      <c r="O8306" s="21"/>
    </row>
    <row r="8307" spans="15:15" x14ac:dyDescent="0.25">
      <c r="O8307" s="21"/>
    </row>
    <row r="8308" spans="15:15" x14ac:dyDescent="0.25">
      <c r="O8308" s="21"/>
    </row>
    <row r="8309" spans="15:15" x14ac:dyDescent="0.25">
      <c r="O8309" s="21"/>
    </row>
    <row r="8310" spans="15:15" x14ac:dyDescent="0.25">
      <c r="O8310" s="21"/>
    </row>
    <row r="8311" spans="15:15" x14ac:dyDescent="0.25">
      <c r="O8311" s="21"/>
    </row>
    <row r="8312" spans="15:15" x14ac:dyDescent="0.25">
      <c r="O8312" s="21"/>
    </row>
    <row r="8313" spans="15:15" x14ac:dyDescent="0.25">
      <c r="O8313" s="21"/>
    </row>
    <row r="8314" spans="15:15" x14ac:dyDescent="0.25">
      <c r="O8314" s="21"/>
    </row>
    <row r="8315" spans="15:15" x14ac:dyDescent="0.25">
      <c r="O8315" s="21"/>
    </row>
    <row r="8316" spans="15:15" x14ac:dyDescent="0.25">
      <c r="O8316" s="21"/>
    </row>
    <row r="8317" spans="15:15" x14ac:dyDescent="0.25">
      <c r="O8317" s="21"/>
    </row>
    <row r="8318" spans="15:15" x14ac:dyDescent="0.25">
      <c r="O8318" s="21"/>
    </row>
    <row r="8319" spans="15:15" x14ac:dyDescent="0.25">
      <c r="O8319" s="21"/>
    </row>
    <row r="8320" spans="15:15" x14ac:dyDescent="0.25">
      <c r="O8320" s="21"/>
    </row>
    <row r="8321" spans="15:15" x14ac:dyDescent="0.25">
      <c r="O8321" s="21"/>
    </row>
    <row r="8322" spans="15:15" x14ac:dyDescent="0.25">
      <c r="O8322" s="21"/>
    </row>
    <row r="8323" spans="15:15" x14ac:dyDescent="0.25">
      <c r="O8323" s="21"/>
    </row>
    <row r="8324" spans="15:15" x14ac:dyDescent="0.25">
      <c r="O8324" s="21"/>
    </row>
    <row r="8325" spans="15:15" x14ac:dyDescent="0.25">
      <c r="O8325" s="21"/>
    </row>
    <row r="8326" spans="15:15" x14ac:dyDescent="0.25">
      <c r="O8326" s="21"/>
    </row>
    <row r="8327" spans="15:15" x14ac:dyDescent="0.25">
      <c r="O8327" s="21"/>
    </row>
    <row r="8328" spans="15:15" x14ac:dyDescent="0.25">
      <c r="O8328" s="21"/>
    </row>
    <row r="8329" spans="15:15" x14ac:dyDescent="0.25">
      <c r="O8329" s="21"/>
    </row>
    <row r="8330" spans="15:15" x14ac:dyDescent="0.25">
      <c r="O8330" s="21"/>
    </row>
    <row r="8331" spans="15:15" x14ac:dyDescent="0.25">
      <c r="O8331" s="21"/>
    </row>
    <row r="8332" spans="15:15" x14ac:dyDescent="0.25">
      <c r="O8332" s="21"/>
    </row>
    <row r="8333" spans="15:15" x14ac:dyDescent="0.25">
      <c r="O8333" s="21"/>
    </row>
    <row r="8334" spans="15:15" x14ac:dyDescent="0.25">
      <c r="O8334" s="21"/>
    </row>
    <row r="8335" spans="15:15" x14ac:dyDescent="0.25">
      <c r="O8335" s="21"/>
    </row>
    <row r="8336" spans="15:15" x14ac:dyDescent="0.25">
      <c r="O8336" s="21"/>
    </row>
    <row r="8337" spans="15:15" x14ac:dyDescent="0.25">
      <c r="O8337" s="21"/>
    </row>
    <row r="8338" spans="15:15" x14ac:dyDescent="0.25">
      <c r="O8338" s="21"/>
    </row>
    <row r="8339" spans="15:15" x14ac:dyDescent="0.25">
      <c r="O8339" s="21"/>
    </row>
    <row r="8340" spans="15:15" x14ac:dyDescent="0.25">
      <c r="O8340" s="21"/>
    </row>
    <row r="8341" spans="15:15" x14ac:dyDescent="0.25">
      <c r="O8341" s="21"/>
    </row>
    <row r="8342" spans="15:15" x14ac:dyDescent="0.25">
      <c r="O8342" s="21"/>
    </row>
    <row r="8343" spans="15:15" x14ac:dyDescent="0.25">
      <c r="O8343" s="21"/>
    </row>
    <row r="8344" spans="15:15" x14ac:dyDescent="0.25">
      <c r="O8344" s="21"/>
    </row>
    <row r="8345" spans="15:15" x14ac:dyDescent="0.25">
      <c r="O8345" s="21"/>
    </row>
    <row r="8346" spans="15:15" x14ac:dyDescent="0.25">
      <c r="O8346" s="21"/>
    </row>
    <row r="8347" spans="15:15" x14ac:dyDescent="0.25">
      <c r="O8347" s="21"/>
    </row>
    <row r="8348" spans="15:15" x14ac:dyDescent="0.25">
      <c r="O8348" s="21"/>
    </row>
    <row r="8349" spans="15:15" x14ac:dyDescent="0.25">
      <c r="O8349" s="21"/>
    </row>
    <row r="8350" spans="15:15" x14ac:dyDescent="0.25">
      <c r="O8350" s="21"/>
    </row>
    <row r="8351" spans="15:15" x14ac:dyDescent="0.25">
      <c r="O8351" s="21"/>
    </row>
    <row r="8352" spans="15:15" x14ac:dyDescent="0.25">
      <c r="O8352" s="21"/>
    </row>
    <row r="8353" spans="15:15" x14ac:dyDescent="0.25">
      <c r="O8353" s="21"/>
    </row>
    <row r="8354" spans="15:15" x14ac:dyDescent="0.25">
      <c r="O8354" s="21"/>
    </row>
    <row r="8355" spans="15:15" x14ac:dyDescent="0.25">
      <c r="O8355" s="21"/>
    </row>
    <row r="8356" spans="15:15" x14ac:dyDescent="0.25">
      <c r="O8356" s="21"/>
    </row>
    <row r="8357" spans="15:15" x14ac:dyDescent="0.25">
      <c r="O8357" s="21"/>
    </row>
    <row r="8358" spans="15:15" x14ac:dyDescent="0.25">
      <c r="O8358" s="21"/>
    </row>
    <row r="8359" spans="15:15" x14ac:dyDescent="0.25">
      <c r="O8359" s="21"/>
    </row>
    <row r="8360" spans="15:15" x14ac:dyDescent="0.25">
      <c r="O8360" s="21"/>
    </row>
    <row r="8361" spans="15:15" x14ac:dyDescent="0.25">
      <c r="O8361" s="21"/>
    </row>
    <row r="8362" spans="15:15" x14ac:dyDescent="0.25">
      <c r="O8362" s="21"/>
    </row>
    <row r="8363" spans="15:15" x14ac:dyDescent="0.25">
      <c r="O8363" s="21"/>
    </row>
    <row r="8364" spans="15:15" x14ac:dyDescent="0.25">
      <c r="O8364" s="21"/>
    </row>
    <row r="8365" spans="15:15" x14ac:dyDescent="0.25">
      <c r="O8365" s="21"/>
    </row>
    <row r="8366" spans="15:15" x14ac:dyDescent="0.25">
      <c r="O8366" s="21"/>
    </row>
    <row r="8367" spans="15:15" x14ac:dyDescent="0.25">
      <c r="O8367" s="21"/>
    </row>
    <row r="8368" spans="15:15" x14ac:dyDescent="0.25">
      <c r="O8368" s="21"/>
    </row>
    <row r="8369" spans="15:15" x14ac:dyDescent="0.25">
      <c r="O8369" s="21"/>
    </row>
    <row r="8370" spans="15:15" x14ac:dyDescent="0.25">
      <c r="O8370" s="21"/>
    </row>
    <row r="8371" spans="15:15" x14ac:dyDescent="0.25">
      <c r="O8371" s="21"/>
    </row>
    <row r="8372" spans="15:15" x14ac:dyDescent="0.25">
      <c r="O8372" s="21"/>
    </row>
    <row r="8373" spans="15:15" x14ac:dyDescent="0.25">
      <c r="O8373" s="21"/>
    </row>
    <row r="8374" spans="15:15" x14ac:dyDescent="0.25">
      <c r="O8374" s="21"/>
    </row>
    <row r="8375" spans="15:15" x14ac:dyDescent="0.25">
      <c r="O8375" s="21"/>
    </row>
    <row r="8376" spans="15:15" x14ac:dyDescent="0.25">
      <c r="O8376" s="21"/>
    </row>
    <row r="8377" spans="15:15" x14ac:dyDescent="0.25">
      <c r="O8377" s="21"/>
    </row>
    <row r="8378" spans="15:15" x14ac:dyDescent="0.25">
      <c r="O8378" s="21"/>
    </row>
    <row r="8379" spans="15:15" x14ac:dyDescent="0.25">
      <c r="O8379" s="21"/>
    </row>
    <row r="8380" spans="15:15" x14ac:dyDescent="0.25">
      <c r="O8380" s="21"/>
    </row>
    <row r="8381" spans="15:15" x14ac:dyDescent="0.25">
      <c r="O8381" s="21"/>
    </row>
    <row r="8382" spans="15:15" x14ac:dyDescent="0.25">
      <c r="O8382" s="21"/>
    </row>
    <row r="8383" spans="15:15" x14ac:dyDescent="0.25">
      <c r="O8383" s="21"/>
    </row>
    <row r="8384" spans="15:15" x14ac:dyDescent="0.25">
      <c r="O8384" s="21"/>
    </row>
    <row r="8385" spans="15:15" x14ac:dyDescent="0.25">
      <c r="O8385" s="21"/>
    </row>
    <row r="8386" spans="15:15" x14ac:dyDescent="0.25">
      <c r="O8386" s="21"/>
    </row>
    <row r="8387" spans="15:15" x14ac:dyDescent="0.25">
      <c r="O8387" s="21"/>
    </row>
    <row r="8388" spans="15:15" x14ac:dyDescent="0.25">
      <c r="O8388" s="21"/>
    </row>
    <row r="8389" spans="15:15" x14ac:dyDescent="0.25">
      <c r="O8389" s="21"/>
    </row>
    <row r="8390" spans="15:15" x14ac:dyDescent="0.25">
      <c r="O8390" s="21"/>
    </row>
    <row r="8391" spans="15:15" x14ac:dyDescent="0.25">
      <c r="O8391" s="21"/>
    </row>
    <row r="8392" spans="15:15" x14ac:dyDescent="0.25">
      <c r="O8392" s="21"/>
    </row>
    <row r="8393" spans="15:15" x14ac:dyDescent="0.25">
      <c r="O8393" s="21"/>
    </row>
    <row r="8394" spans="15:15" x14ac:dyDescent="0.25">
      <c r="O8394" s="21"/>
    </row>
    <row r="8395" spans="15:15" x14ac:dyDescent="0.25">
      <c r="O8395" s="21"/>
    </row>
    <row r="8396" spans="15:15" x14ac:dyDescent="0.25">
      <c r="O8396" s="21"/>
    </row>
    <row r="8397" spans="15:15" x14ac:dyDescent="0.25">
      <c r="O8397" s="21"/>
    </row>
    <row r="8398" spans="15:15" x14ac:dyDescent="0.25">
      <c r="O8398" s="21"/>
    </row>
    <row r="8399" spans="15:15" x14ac:dyDescent="0.25">
      <c r="O8399" s="21"/>
    </row>
    <row r="8400" spans="15:15" x14ac:dyDescent="0.25">
      <c r="O8400" s="21"/>
    </row>
    <row r="8401" spans="15:15" x14ac:dyDescent="0.25">
      <c r="O8401" s="21"/>
    </row>
    <row r="8402" spans="15:15" x14ac:dyDescent="0.25">
      <c r="O8402" s="21"/>
    </row>
    <row r="8403" spans="15:15" x14ac:dyDescent="0.25">
      <c r="O8403" s="21"/>
    </row>
    <row r="8404" spans="15:15" x14ac:dyDescent="0.25">
      <c r="O8404" s="21"/>
    </row>
    <row r="8405" spans="15:15" x14ac:dyDescent="0.25">
      <c r="O8405" s="21"/>
    </row>
    <row r="8406" spans="15:15" x14ac:dyDescent="0.25">
      <c r="O8406" s="21"/>
    </row>
    <row r="8407" spans="15:15" x14ac:dyDescent="0.25">
      <c r="O8407" s="21"/>
    </row>
    <row r="8408" spans="15:15" x14ac:dyDescent="0.25">
      <c r="O8408" s="21"/>
    </row>
    <row r="8409" spans="15:15" x14ac:dyDescent="0.25">
      <c r="O8409" s="21"/>
    </row>
    <row r="8410" spans="15:15" x14ac:dyDescent="0.25">
      <c r="O8410" s="21"/>
    </row>
    <row r="8411" spans="15:15" x14ac:dyDescent="0.25">
      <c r="O8411" s="21"/>
    </row>
    <row r="8412" spans="15:15" x14ac:dyDescent="0.25">
      <c r="O8412" s="21"/>
    </row>
    <row r="8413" spans="15:15" x14ac:dyDescent="0.25">
      <c r="O8413" s="21"/>
    </row>
    <row r="8414" spans="15:15" x14ac:dyDescent="0.25">
      <c r="O8414" s="21"/>
    </row>
    <row r="8415" spans="15:15" x14ac:dyDescent="0.25">
      <c r="O8415" s="21"/>
    </row>
    <row r="8416" spans="15:15" x14ac:dyDescent="0.25">
      <c r="O8416" s="21"/>
    </row>
    <row r="8417" spans="15:15" x14ac:dyDescent="0.25">
      <c r="O8417" s="21"/>
    </row>
    <row r="8418" spans="15:15" x14ac:dyDescent="0.25">
      <c r="O8418" s="21"/>
    </row>
    <row r="8419" spans="15:15" x14ac:dyDescent="0.25">
      <c r="O8419" s="21"/>
    </row>
    <row r="8420" spans="15:15" x14ac:dyDescent="0.25">
      <c r="O8420" s="21"/>
    </row>
    <row r="8421" spans="15:15" x14ac:dyDescent="0.25">
      <c r="O8421" s="21"/>
    </row>
    <row r="8422" spans="15:15" x14ac:dyDescent="0.25">
      <c r="O8422" s="21"/>
    </row>
    <row r="8423" spans="15:15" x14ac:dyDescent="0.25">
      <c r="O8423" s="21"/>
    </row>
    <row r="8424" spans="15:15" x14ac:dyDescent="0.25">
      <c r="O8424" s="21"/>
    </row>
    <row r="8425" spans="15:15" x14ac:dyDescent="0.25">
      <c r="O8425" s="21"/>
    </row>
    <row r="8426" spans="15:15" x14ac:dyDescent="0.25">
      <c r="O8426" s="21"/>
    </row>
    <row r="8427" spans="15:15" x14ac:dyDescent="0.25">
      <c r="O8427" s="21"/>
    </row>
    <row r="8428" spans="15:15" x14ac:dyDescent="0.25">
      <c r="O8428" s="21"/>
    </row>
    <row r="8429" spans="15:15" x14ac:dyDescent="0.25">
      <c r="O8429" s="21"/>
    </row>
    <row r="8430" spans="15:15" x14ac:dyDescent="0.25">
      <c r="O8430" s="21"/>
    </row>
    <row r="8431" spans="15:15" x14ac:dyDescent="0.25">
      <c r="O8431" s="21"/>
    </row>
    <row r="8432" spans="15:15" x14ac:dyDescent="0.25">
      <c r="O8432" s="21"/>
    </row>
    <row r="8433" spans="15:15" x14ac:dyDescent="0.25">
      <c r="O8433" s="21"/>
    </row>
    <row r="8434" spans="15:15" x14ac:dyDescent="0.25">
      <c r="O8434" s="21"/>
    </row>
    <row r="8435" spans="15:15" x14ac:dyDescent="0.25">
      <c r="O8435" s="21"/>
    </row>
    <row r="8436" spans="15:15" x14ac:dyDescent="0.25">
      <c r="O8436" s="21"/>
    </row>
    <row r="8437" spans="15:15" x14ac:dyDescent="0.25">
      <c r="O8437" s="21"/>
    </row>
    <row r="8438" spans="15:15" x14ac:dyDescent="0.25">
      <c r="O8438" s="21"/>
    </row>
    <row r="8439" spans="15:15" x14ac:dyDescent="0.25">
      <c r="O8439" s="21"/>
    </row>
    <row r="8440" spans="15:15" x14ac:dyDescent="0.25">
      <c r="O8440" s="21"/>
    </row>
    <row r="8441" spans="15:15" x14ac:dyDescent="0.25">
      <c r="O8441" s="21"/>
    </row>
    <row r="8442" spans="15:15" x14ac:dyDescent="0.25">
      <c r="O8442" s="21"/>
    </row>
    <row r="8443" spans="15:15" x14ac:dyDescent="0.25">
      <c r="O8443" s="21"/>
    </row>
    <row r="8444" spans="15:15" x14ac:dyDescent="0.25">
      <c r="O8444" s="21"/>
    </row>
    <row r="8445" spans="15:15" x14ac:dyDescent="0.25">
      <c r="O8445" s="21"/>
    </row>
    <row r="8446" spans="15:15" x14ac:dyDescent="0.25">
      <c r="O8446" s="21"/>
    </row>
    <row r="8447" spans="15:15" x14ac:dyDescent="0.25">
      <c r="O8447" s="21"/>
    </row>
    <row r="8448" spans="15:15" x14ac:dyDescent="0.25">
      <c r="O8448" s="21"/>
    </row>
    <row r="8449" spans="15:15" x14ac:dyDescent="0.25">
      <c r="O8449" s="21"/>
    </row>
    <row r="8450" spans="15:15" x14ac:dyDescent="0.25">
      <c r="O8450" s="21"/>
    </row>
    <row r="8451" spans="15:15" x14ac:dyDescent="0.25">
      <c r="O8451" s="21"/>
    </row>
    <row r="8452" spans="15:15" x14ac:dyDescent="0.25">
      <c r="O8452" s="21"/>
    </row>
    <row r="8453" spans="15:15" x14ac:dyDescent="0.25">
      <c r="O8453" s="21"/>
    </row>
    <row r="8454" spans="15:15" x14ac:dyDescent="0.25">
      <c r="O8454" s="21"/>
    </row>
    <row r="8455" spans="15:15" x14ac:dyDescent="0.25">
      <c r="O8455" s="21"/>
    </row>
    <row r="8456" spans="15:15" x14ac:dyDescent="0.25">
      <c r="O8456" s="21"/>
    </row>
    <row r="8457" spans="15:15" x14ac:dyDescent="0.25">
      <c r="O8457" s="21"/>
    </row>
    <row r="8458" spans="15:15" x14ac:dyDescent="0.25">
      <c r="O8458" s="21"/>
    </row>
    <row r="8459" spans="15:15" x14ac:dyDescent="0.25">
      <c r="O8459" s="21"/>
    </row>
    <row r="8460" spans="15:15" x14ac:dyDescent="0.25">
      <c r="O8460" s="21"/>
    </row>
    <row r="8461" spans="15:15" x14ac:dyDescent="0.25">
      <c r="O8461" s="21"/>
    </row>
    <row r="8462" spans="15:15" x14ac:dyDescent="0.25">
      <c r="O8462" s="21"/>
    </row>
    <row r="8463" spans="15:15" x14ac:dyDescent="0.25">
      <c r="O8463" s="21"/>
    </row>
    <row r="8464" spans="15:15" x14ac:dyDescent="0.25">
      <c r="O8464" s="21"/>
    </row>
    <row r="8465" spans="15:15" x14ac:dyDescent="0.25">
      <c r="O8465" s="21"/>
    </row>
    <row r="8466" spans="15:15" x14ac:dyDescent="0.25">
      <c r="O8466" s="21"/>
    </row>
    <row r="8467" spans="15:15" x14ac:dyDescent="0.25">
      <c r="O8467" s="21"/>
    </row>
    <row r="8468" spans="15:15" x14ac:dyDescent="0.25">
      <c r="O8468" s="21"/>
    </row>
    <row r="8469" spans="15:15" x14ac:dyDescent="0.25">
      <c r="O8469" s="21"/>
    </row>
    <row r="8470" spans="15:15" x14ac:dyDescent="0.25">
      <c r="O8470" s="21"/>
    </row>
    <row r="8471" spans="15:15" x14ac:dyDescent="0.25">
      <c r="O8471" s="21"/>
    </row>
    <row r="8472" spans="15:15" x14ac:dyDescent="0.25">
      <c r="O8472" s="21"/>
    </row>
    <row r="8473" spans="15:15" x14ac:dyDescent="0.25">
      <c r="O8473" s="21"/>
    </row>
    <row r="8474" spans="15:15" x14ac:dyDescent="0.25">
      <c r="O8474" s="21"/>
    </row>
    <row r="8475" spans="15:15" x14ac:dyDescent="0.25">
      <c r="O8475" s="21"/>
    </row>
    <row r="8476" spans="15:15" x14ac:dyDescent="0.25">
      <c r="O8476" s="21"/>
    </row>
    <row r="8477" spans="15:15" x14ac:dyDescent="0.25">
      <c r="O8477" s="21"/>
    </row>
    <row r="8478" spans="15:15" x14ac:dyDescent="0.25">
      <c r="O8478" s="21"/>
    </row>
    <row r="8479" spans="15:15" x14ac:dyDescent="0.25">
      <c r="O8479" s="21"/>
    </row>
    <row r="8480" spans="15:15" x14ac:dyDescent="0.25">
      <c r="O8480" s="21"/>
    </row>
    <row r="8481" spans="15:15" x14ac:dyDescent="0.25">
      <c r="O8481" s="21"/>
    </row>
    <row r="8482" spans="15:15" x14ac:dyDescent="0.25">
      <c r="O8482" s="21"/>
    </row>
    <row r="8483" spans="15:15" x14ac:dyDescent="0.25">
      <c r="O8483" s="21"/>
    </row>
    <row r="8484" spans="15:15" x14ac:dyDescent="0.25">
      <c r="O8484" s="21"/>
    </row>
    <row r="8485" spans="15:15" x14ac:dyDescent="0.25">
      <c r="O8485" s="21"/>
    </row>
    <row r="8486" spans="15:15" x14ac:dyDescent="0.25">
      <c r="O8486" s="21"/>
    </row>
    <row r="8487" spans="15:15" x14ac:dyDescent="0.25">
      <c r="O8487" s="21"/>
    </row>
    <row r="8488" spans="15:15" x14ac:dyDescent="0.25">
      <c r="O8488" s="21"/>
    </row>
    <row r="8489" spans="15:15" x14ac:dyDescent="0.25">
      <c r="O8489" s="21"/>
    </row>
    <row r="8490" spans="15:15" x14ac:dyDescent="0.25">
      <c r="O8490" s="21"/>
    </row>
    <row r="8491" spans="15:15" x14ac:dyDescent="0.25">
      <c r="O8491" s="21"/>
    </row>
    <row r="8492" spans="15:15" x14ac:dyDescent="0.25">
      <c r="O8492" s="21"/>
    </row>
    <row r="8493" spans="15:15" x14ac:dyDescent="0.25">
      <c r="O8493" s="21"/>
    </row>
    <row r="8494" spans="15:15" x14ac:dyDescent="0.25">
      <c r="O8494" s="21"/>
    </row>
    <row r="8495" spans="15:15" x14ac:dyDescent="0.25">
      <c r="O8495" s="21"/>
    </row>
    <row r="8496" spans="15:15" x14ac:dyDescent="0.25">
      <c r="O8496" s="21"/>
    </row>
    <row r="8497" spans="15:15" x14ac:dyDescent="0.25">
      <c r="O8497" s="21"/>
    </row>
    <row r="8498" spans="15:15" x14ac:dyDescent="0.25">
      <c r="O8498" s="21"/>
    </row>
    <row r="8499" spans="15:15" x14ac:dyDescent="0.25">
      <c r="O8499" s="21"/>
    </row>
    <row r="8500" spans="15:15" x14ac:dyDescent="0.25">
      <c r="O8500" s="21"/>
    </row>
    <row r="8501" spans="15:15" x14ac:dyDescent="0.25">
      <c r="O8501" s="21"/>
    </row>
    <row r="8502" spans="15:15" x14ac:dyDescent="0.25">
      <c r="O8502" s="21"/>
    </row>
    <row r="8503" spans="15:15" x14ac:dyDescent="0.25">
      <c r="O8503" s="21"/>
    </row>
    <row r="8504" spans="15:15" x14ac:dyDescent="0.25">
      <c r="O8504" s="21"/>
    </row>
    <row r="8505" spans="15:15" x14ac:dyDescent="0.25">
      <c r="O8505" s="21"/>
    </row>
    <row r="8506" spans="15:15" x14ac:dyDescent="0.25">
      <c r="O8506" s="21"/>
    </row>
    <row r="8507" spans="15:15" x14ac:dyDescent="0.25">
      <c r="O8507" s="21"/>
    </row>
    <row r="8508" spans="15:15" x14ac:dyDescent="0.25">
      <c r="O8508" s="21"/>
    </row>
    <row r="8509" spans="15:15" x14ac:dyDescent="0.25">
      <c r="O8509" s="21"/>
    </row>
    <row r="8510" spans="15:15" x14ac:dyDescent="0.25">
      <c r="O8510" s="21"/>
    </row>
    <row r="8511" spans="15:15" x14ac:dyDescent="0.25">
      <c r="O8511" s="21"/>
    </row>
    <row r="8512" spans="15:15" x14ac:dyDescent="0.25">
      <c r="O8512" s="21"/>
    </row>
    <row r="8513" spans="15:15" x14ac:dyDescent="0.25">
      <c r="O8513" s="21"/>
    </row>
    <row r="8514" spans="15:15" x14ac:dyDescent="0.25">
      <c r="O8514" s="21"/>
    </row>
    <row r="8515" spans="15:15" x14ac:dyDescent="0.25">
      <c r="O8515" s="21"/>
    </row>
    <row r="8516" spans="15:15" x14ac:dyDescent="0.25">
      <c r="O8516" s="21"/>
    </row>
    <row r="8517" spans="15:15" x14ac:dyDescent="0.25">
      <c r="O8517" s="21"/>
    </row>
    <row r="8518" spans="15:15" x14ac:dyDescent="0.25">
      <c r="O8518" s="21"/>
    </row>
    <row r="8519" spans="15:15" x14ac:dyDescent="0.25">
      <c r="O8519" s="21"/>
    </row>
    <row r="8520" spans="15:15" x14ac:dyDescent="0.25">
      <c r="O8520" s="21"/>
    </row>
    <row r="8521" spans="15:15" x14ac:dyDescent="0.25">
      <c r="O8521" s="21"/>
    </row>
    <row r="8522" spans="15:15" x14ac:dyDescent="0.25">
      <c r="O8522" s="21"/>
    </row>
    <row r="8523" spans="15:15" x14ac:dyDescent="0.25">
      <c r="O8523" s="21"/>
    </row>
    <row r="8524" spans="15:15" x14ac:dyDescent="0.25">
      <c r="O8524" s="21"/>
    </row>
    <row r="8525" spans="15:15" x14ac:dyDescent="0.25">
      <c r="O8525" s="21"/>
    </row>
    <row r="8526" spans="15:15" x14ac:dyDescent="0.25">
      <c r="O8526" s="21"/>
    </row>
    <row r="8527" spans="15:15" x14ac:dyDescent="0.25">
      <c r="O8527" s="21"/>
    </row>
    <row r="8528" spans="15:15" x14ac:dyDescent="0.25">
      <c r="O8528" s="21"/>
    </row>
    <row r="8529" spans="15:15" x14ac:dyDescent="0.25">
      <c r="O8529" s="21"/>
    </row>
    <row r="8530" spans="15:15" x14ac:dyDescent="0.25">
      <c r="O8530" s="21"/>
    </row>
    <row r="8531" spans="15:15" x14ac:dyDescent="0.25">
      <c r="O8531" s="21"/>
    </row>
    <row r="8532" spans="15:15" x14ac:dyDescent="0.25">
      <c r="O8532" s="21"/>
    </row>
    <row r="8533" spans="15:15" x14ac:dyDescent="0.25">
      <c r="O8533" s="21"/>
    </row>
    <row r="8534" spans="15:15" x14ac:dyDescent="0.25">
      <c r="O8534" s="21"/>
    </row>
    <row r="8535" spans="15:15" x14ac:dyDescent="0.25">
      <c r="O8535" s="21"/>
    </row>
    <row r="8536" spans="15:15" x14ac:dyDescent="0.25">
      <c r="O8536" s="21"/>
    </row>
    <row r="8537" spans="15:15" x14ac:dyDescent="0.25">
      <c r="O8537" s="21"/>
    </row>
    <row r="8538" spans="15:15" x14ac:dyDescent="0.25">
      <c r="O8538" s="21"/>
    </row>
    <row r="8539" spans="15:15" x14ac:dyDescent="0.25">
      <c r="O8539" s="21"/>
    </row>
    <row r="8540" spans="15:15" x14ac:dyDescent="0.25">
      <c r="O8540" s="21"/>
    </row>
    <row r="8541" spans="15:15" x14ac:dyDescent="0.25">
      <c r="O8541" s="21"/>
    </row>
    <row r="8542" spans="15:15" x14ac:dyDescent="0.25">
      <c r="O8542" s="21"/>
    </row>
    <row r="8543" spans="15:15" x14ac:dyDescent="0.25">
      <c r="O8543" s="21"/>
    </row>
    <row r="8544" spans="15:15" x14ac:dyDescent="0.25">
      <c r="O8544" s="21"/>
    </row>
    <row r="8545" spans="15:15" x14ac:dyDescent="0.25">
      <c r="O8545" s="21"/>
    </row>
    <row r="8546" spans="15:15" x14ac:dyDescent="0.25">
      <c r="O8546" s="21"/>
    </row>
    <row r="8547" spans="15:15" x14ac:dyDescent="0.25">
      <c r="O8547" s="21"/>
    </row>
    <row r="8548" spans="15:15" x14ac:dyDescent="0.25">
      <c r="O8548" s="21"/>
    </row>
    <row r="8549" spans="15:15" x14ac:dyDescent="0.25">
      <c r="O8549" s="21"/>
    </row>
    <row r="8550" spans="15:15" x14ac:dyDescent="0.25">
      <c r="O8550" s="21"/>
    </row>
    <row r="8551" spans="15:15" x14ac:dyDescent="0.25">
      <c r="O8551" s="21"/>
    </row>
    <row r="8552" spans="15:15" x14ac:dyDescent="0.25">
      <c r="O8552" s="21"/>
    </row>
    <row r="8553" spans="15:15" x14ac:dyDescent="0.25">
      <c r="O8553" s="21"/>
    </row>
    <row r="8554" spans="15:15" x14ac:dyDescent="0.25">
      <c r="O8554" s="21"/>
    </row>
    <row r="8555" spans="15:15" x14ac:dyDescent="0.25">
      <c r="O8555" s="21"/>
    </row>
    <row r="8556" spans="15:15" x14ac:dyDescent="0.25">
      <c r="O8556" s="21"/>
    </row>
    <row r="8557" spans="15:15" x14ac:dyDescent="0.25">
      <c r="O8557" s="21"/>
    </row>
    <row r="8558" spans="15:15" x14ac:dyDescent="0.25">
      <c r="O8558" s="21"/>
    </row>
    <row r="8559" spans="15:15" x14ac:dyDescent="0.25">
      <c r="O8559" s="21"/>
    </row>
    <row r="8560" spans="15:15" x14ac:dyDescent="0.25">
      <c r="O8560" s="21"/>
    </row>
    <row r="8561" spans="15:15" x14ac:dyDescent="0.25">
      <c r="O8561" s="21"/>
    </row>
    <row r="8562" spans="15:15" x14ac:dyDescent="0.25">
      <c r="O8562" s="21"/>
    </row>
    <row r="8563" spans="15:15" x14ac:dyDescent="0.25">
      <c r="O8563" s="21"/>
    </row>
    <row r="8564" spans="15:15" x14ac:dyDescent="0.25">
      <c r="O8564" s="21"/>
    </row>
    <row r="8565" spans="15:15" x14ac:dyDescent="0.25">
      <c r="O8565" s="21"/>
    </row>
    <row r="8566" spans="15:15" x14ac:dyDescent="0.25">
      <c r="O8566" s="21"/>
    </row>
    <row r="8567" spans="15:15" x14ac:dyDescent="0.25">
      <c r="O8567" s="21"/>
    </row>
    <row r="8568" spans="15:15" x14ac:dyDescent="0.25">
      <c r="O8568" s="21"/>
    </row>
    <row r="8569" spans="15:15" x14ac:dyDescent="0.25">
      <c r="O8569" s="21"/>
    </row>
    <row r="8570" spans="15:15" x14ac:dyDescent="0.25">
      <c r="O8570" s="21"/>
    </row>
    <row r="8571" spans="15:15" x14ac:dyDescent="0.25">
      <c r="O8571" s="21"/>
    </row>
    <row r="8572" spans="15:15" x14ac:dyDescent="0.25">
      <c r="O8572" s="21"/>
    </row>
    <row r="8573" spans="15:15" x14ac:dyDescent="0.25">
      <c r="O8573" s="21"/>
    </row>
    <row r="8574" spans="15:15" x14ac:dyDescent="0.25">
      <c r="O8574" s="21"/>
    </row>
    <row r="8575" spans="15:15" x14ac:dyDescent="0.25">
      <c r="O8575" s="21"/>
    </row>
    <row r="8576" spans="15:15" x14ac:dyDescent="0.25">
      <c r="O8576" s="21"/>
    </row>
    <row r="8577" spans="15:15" x14ac:dyDescent="0.25">
      <c r="O8577" s="21"/>
    </row>
    <row r="8578" spans="15:15" x14ac:dyDescent="0.25">
      <c r="O8578" s="21"/>
    </row>
    <row r="8579" spans="15:15" x14ac:dyDescent="0.25">
      <c r="O8579" s="21"/>
    </row>
    <row r="8580" spans="15:15" x14ac:dyDescent="0.25">
      <c r="O8580" s="21"/>
    </row>
    <row r="8581" spans="15:15" x14ac:dyDescent="0.25">
      <c r="O8581" s="21"/>
    </row>
    <row r="8582" spans="15:15" x14ac:dyDescent="0.25">
      <c r="O8582" s="21"/>
    </row>
    <row r="8583" spans="15:15" x14ac:dyDescent="0.25">
      <c r="O8583" s="21"/>
    </row>
    <row r="8584" spans="15:15" x14ac:dyDescent="0.25">
      <c r="O8584" s="21"/>
    </row>
    <row r="8585" spans="15:15" x14ac:dyDescent="0.25">
      <c r="O8585" s="21"/>
    </row>
    <row r="8586" spans="15:15" x14ac:dyDescent="0.25">
      <c r="O8586" s="21"/>
    </row>
    <row r="8587" spans="15:15" x14ac:dyDescent="0.25">
      <c r="O8587" s="21"/>
    </row>
    <row r="8588" spans="15:15" x14ac:dyDescent="0.25">
      <c r="O8588" s="21"/>
    </row>
    <row r="8589" spans="15:15" x14ac:dyDescent="0.25">
      <c r="O8589" s="21"/>
    </row>
    <row r="8590" spans="15:15" x14ac:dyDescent="0.25">
      <c r="O8590" s="21"/>
    </row>
    <row r="8591" spans="15:15" x14ac:dyDescent="0.25">
      <c r="O8591" s="21"/>
    </row>
    <row r="8592" spans="15:15" x14ac:dyDescent="0.25">
      <c r="O8592" s="21"/>
    </row>
    <row r="8593" spans="15:15" x14ac:dyDescent="0.25">
      <c r="O8593" s="21"/>
    </row>
    <row r="8594" spans="15:15" x14ac:dyDescent="0.25">
      <c r="O8594" s="21"/>
    </row>
    <row r="8595" spans="15:15" x14ac:dyDescent="0.25">
      <c r="O8595" s="21"/>
    </row>
    <row r="8596" spans="15:15" x14ac:dyDescent="0.25">
      <c r="O8596" s="21"/>
    </row>
    <row r="8597" spans="15:15" x14ac:dyDescent="0.25">
      <c r="O8597" s="21"/>
    </row>
    <row r="8598" spans="15:15" x14ac:dyDescent="0.25">
      <c r="O8598" s="21"/>
    </row>
    <row r="8599" spans="15:15" x14ac:dyDescent="0.25">
      <c r="O8599" s="21"/>
    </row>
    <row r="8600" spans="15:15" x14ac:dyDescent="0.25">
      <c r="O8600" s="21"/>
    </row>
    <row r="8601" spans="15:15" x14ac:dyDescent="0.25">
      <c r="O8601" s="21"/>
    </row>
    <row r="8602" spans="15:15" x14ac:dyDescent="0.25">
      <c r="O8602" s="21"/>
    </row>
    <row r="8603" spans="15:15" x14ac:dyDescent="0.25">
      <c r="O8603" s="21"/>
    </row>
    <row r="8604" spans="15:15" x14ac:dyDescent="0.25">
      <c r="O8604" s="21"/>
    </row>
    <row r="8605" spans="15:15" x14ac:dyDescent="0.25">
      <c r="O8605" s="21"/>
    </row>
    <row r="8606" spans="15:15" x14ac:dyDescent="0.25">
      <c r="O8606" s="21"/>
    </row>
    <row r="8607" spans="15:15" x14ac:dyDescent="0.25">
      <c r="O8607" s="21"/>
    </row>
    <row r="8608" spans="15:15" x14ac:dyDescent="0.25">
      <c r="O8608" s="21"/>
    </row>
    <row r="8609" spans="15:15" x14ac:dyDescent="0.25">
      <c r="O8609" s="21"/>
    </row>
    <row r="8610" spans="15:15" x14ac:dyDescent="0.25">
      <c r="O8610" s="21"/>
    </row>
    <row r="8611" spans="15:15" x14ac:dyDescent="0.25">
      <c r="O8611" s="21"/>
    </row>
    <row r="8612" spans="15:15" x14ac:dyDescent="0.25">
      <c r="O8612" s="21"/>
    </row>
    <row r="8613" spans="15:15" x14ac:dyDescent="0.25">
      <c r="O8613" s="21"/>
    </row>
    <row r="8614" spans="15:15" x14ac:dyDescent="0.25">
      <c r="O8614" s="21"/>
    </row>
    <row r="8615" spans="15:15" x14ac:dyDescent="0.25">
      <c r="O8615" s="21"/>
    </row>
    <row r="8616" spans="15:15" x14ac:dyDescent="0.25">
      <c r="O8616" s="21"/>
    </row>
    <row r="8617" spans="15:15" x14ac:dyDescent="0.25">
      <c r="O8617" s="21"/>
    </row>
    <row r="8618" spans="15:15" x14ac:dyDescent="0.25">
      <c r="O8618" s="21"/>
    </row>
    <row r="8619" spans="15:15" x14ac:dyDescent="0.25">
      <c r="O8619" s="21"/>
    </row>
    <row r="8620" spans="15:15" x14ac:dyDescent="0.25">
      <c r="O8620" s="21"/>
    </row>
    <row r="8621" spans="15:15" x14ac:dyDescent="0.25">
      <c r="O8621" s="21"/>
    </row>
    <row r="8622" spans="15:15" x14ac:dyDescent="0.25">
      <c r="O8622" s="21"/>
    </row>
    <row r="8623" spans="15:15" x14ac:dyDescent="0.25">
      <c r="O8623" s="21"/>
    </row>
    <row r="8624" spans="15:15" x14ac:dyDescent="0.25">
      <c r="O8624" s="21"/>
    </row>
    <row r="8625" spans="15:15" x14ac:dyDescent="0.25">
      <c r="O8625" s="21"/>
    </row>
    <row r="8626" spans="15:15" x14ac:dyDescent="0.25">
      <c r="O8626" s="21"/>
    </row>
    <row r="8627" spans="15:15" x14ac:dyDescent="0.25">
      <c r="O8627" s="21"/>
    </row>
    <row r="8628" spans="15:15" x14ac:dyDescent="0.25">
      <c r="O8628" s="21"/>
    </row>
    <row r="8629" spans="15:15" x14ac:dyDescent="0.25">
      <c r="O8629" s="21"/>
    </row>
    <row r="8630" spans="15:15" x14ac:dyDescent="0.25">
      <c r="O8630" s="21"/>
    </row>
    <row r="8631" spans="15:15" x14ac:dyDescent="0.25">
      <c r="O8631" s="21"/>
    </row>
    <row r="8632" spans="15:15" x14ac:dyDescent="0.25">
      <c r="O8632" s="21"/>
    </row>
    <row r="8633" spans="15:15" x14ac:dyDescent="0.25">
      <c r="O8633" s="21"/>
    </row>
    <row r="8634" spans="15:15" x14ac:dyDescent="0.25">
      <c r="O8634" s="21"/>
    </row>
    <row r="8635" spans="15:15" x14ac:dyDescent="0.25">
      <c r="O8635" s="21"/>
    </row>
    <row r="8636" spans="15:15" x14ac:dyDescent="0.25">
      <c r="O8636" s="21"/>
    </row>
    <row r="8637" spans="15:15" x14ac:dyDescent="0.25">
      <c r="O8637" s="21"/>
    </row>
    <row r="8638" spans="15:15" x14ac:dyDescent="0.25">
      <c r="O8638" s="21"/>
    </row>
    <row r="8639" spans="15:15" x14ac:dyDescent="0.25">
      <c r="O8639" s="21"/>
    </row>
    <row r="8640" spans="15:15" x14ac:dyDescent="0.25">
      <c r="O8640" s="21"/>
    </row>
    <row r="8641" spans="15:15" x14ac:dyDescent="0.25">
      <c r="O8641" s="21"/>
    </row>
    <row r="8642" spans="15:15" x14ac:dyDescent="0.25">
      <c r="O8642" s="21"/>
    </row>
    <row r="8643" spans="15:15" x14ac:dyDescent="0.25">
      <c r="O8643" s="21"/>
    </row>
    <row r="8644" spans="15:15" x14ac:dyDescent="0.25">
      <c r="O8644" s="21"/>
    </row>
    <row r="8645" spans="15:15" x14ac:dyDescent="0.25">
      <c r="O8645" s="21"/>
    </row>
    <row r="8646" spans="15:15" x14ac:dyDescent="0.25">
      <c r="O8646" s="21"/>
    </row>
    <row r="8647" spans="15:15" x14ac:dyDescent="0.25">
      <c r="O8647" s="21"/>
    </row>
    <row r="8648" spans="15:15" x14ac:dyDescent="0.25">
      <c r="O8648" s="21"/>
    </row>
    <row r="8649" spans="15:15" x14ac:dyDescent="0.25">
      <c r="O8649" s="21"/>
    </row>
    <row r="8650" spans="15:15" x14ac:dyDescent="0.25">
      <c r="O8650" s="21"/>
    </row>
    <row r="8651" spans="15:15" x14ac:dyDescent="0.25">
      <c r="O8651" s="21"/>
    </row>
    <row r="8652" spans="15:15" x14ac:dyDescent="0.25">
      <c r="O8652" s="21"/>
    </row>
    <row r="8653" spans="15:15" x14ac:dyDescent="0.25">
      <c r="O8653" s="21"/>
    </row>
    <row r="8654" spans="15:15" x14ac:dyDescent="0.25">
      <c r="O8654" s="21"/>
    </row>
    <row r="8655" spans="15:15" x14ac:dyDescent="0.25">
      <c r="O8655" s="21"/>
    </row>
    <row r="8656" spans="15:15" x14ac:dyDescent="0.25">
      <c r="O8656" s="21"/>
    </row>
    <row r="8657" spans="15:15" x14ac:dyDescent="0.25">
      <c r="O8657" s="21"/>
    </row>
    <row r="8658" spans="15:15" x14ac:dyDescent="0.25">
      <c r="O8658" s="21"/>
    </row>
    <row r="8659" spans="15:15" x14ac:dyDescent="0.25">
      <c r="O8659" s="21"/>
    </row>
    <row r="8660" spans="15:15" x14ac:dyDescent="0.25">
      <c r="O8660" s="21"/>
    </row>
    <row r="8661" spans="15:15" x14ac:dyDescent="0.25">
      <c r="O8661" s="21"/>
    </row>
    <row r="8662" spans="15:15" x14ac:dyDescent="0.25">
      <c r="O8662" s="21"/>
    </row>
    <row r="8663" spans="15:15" x14ac:dyDescent="0.25">
      <c r="O8663" s="21"/>
    </row>
    <row r="8664" spans="15:15" x14ac:dyDescent="0.25">
      <c r="O8664" s="21"/>
    </row>
    <row r="8665" spans="15:15" x14ac:dyDescent="0.25">
      <c r="O8665" s="21"/>
    </row>
    <row r="8666" spans="15:15" x14ac:dyDescent="0.25">
      <c r="O8666" s="21"/>
    </row>
    <row r="8667" spans="15:15" x14ac:dyDescent="0.25">
      <c r="O8667" s="21"/>
    </row>
    <row r="8668" spans="15:15" x14ac:dyDescent="0.25">
      <c r="O8668" s="21"/>
    </row>
    <row r="8669" spans="15:15" x14ac:dyDescent="0.25">
      <c r="O8669" s="21"/>
    </row>
    <row r="8670" spans="15:15" x14ac:dyDescent="0.25">
      <c r="O8670" s="21"/>
    </row>
    <row r="8671" spans="15:15" x14ac:dyDescent="0.25">
      <c r="O8671" s="21"/>
    </row>
    <row r="8672" spans="15:15" x14ac:dyDescent="0.25">
      <c r="O8672" s="21"/>
    </row>
    <row r="8673" spans="15:15" x14ac:dyDescent="0.25">
      <c r="O8673" s="21"/>
    </row>
    <row r="8674" spans="15:15" x14ac:dyDescent="0.25">
      <c r="O8674" s="21"/>
    </row>
    <row r="8675" spans="15:15" x14ac:dyDescent="0.25">
      <c r="O8675" s="21"/>
    </row>
    <row r="8676" spans="15:15" x14ac:dyDescent="0.25">
      <c r="O8676" s="21"/>
    </row>
    <row r="8677" spans="15:15" x14ac:dyDescent="0.25">
      <c r="O8677" s="21"/>
    </row>
    <row r="8678" spans="15:15" x14ac:dyDescent="0.25">
      <c r="O8678" s="21"/>
    </row>
    <row r="8679" spans="15:15" x14ac:dyDescent="0.25">
      <c r="O8679" s="21"/>
    </row>
    <row r="8680" spans="15:15" x14ac:dyDescent="0.25">
      <c r="O8680" s="21"/>
    </row>
    <row r="8681" spans="15:15" x14ac:dyDescent="0.25">
      <c r="O8681" s="21"/>
    </row>
    <row r="8682" spans="15:15" x14ac:dyDescent="0.25">
      <c r="O8682" s="21"/>
    </row>
    <row r="8683" spans="15:15" x14ac:dyDescent="0.25">
      <c r="O8683" s="21"/>
    </row>
    <row r="8684" spans="15:15" x14ac:dyDescent="0.25">
      <c r="O8684" s="21"/>
    </row>
    <row r="8685" spans="15:15" x14ac:dyDescent="0.25">
      <c r="O8685" s="21"/>
    </row>
    <row r="8686" spans="15:15" x14ac:dyDescent="0.25">
      <c r="O8686" s="21"/>
    </row>
    <row r="8687" spans="15:15" x14ac:dyDescent="0.25">
      <c r="O8687" s="21"/>
    </row>
    <row r="8688" spans="15:15" x14ac:dyDescent="0.25">
      <c r="O8688" s="21"/>
    </row>
    <row r="8689" spans="15:15" x14ac:dyDescent="0.25">
      <c r="O8689" s="21"/>
    </row>
    <row r="8690" spans="15:15" x14ac:dyDescent="0.25">
      <c r="O8690" s="21"/>
    </row>
    <row r="8691" spans="15:15" x14ac:dyDescent="0.25">
      <c r="O8691" s="21"/>
    </row>
    <row r="8692" spans="15:15" x14ac:dyDescent="0.25">
      <c r="O8692" s="21"/>
    </row>
    <row r="8693" spans="15:15" x14ac:dyDescent="0.25">
      <c r="O8693" s="21"/>
    </row>
    <row r="8694" spans="15:15" x14ac:dyDescent="0.25">
      <c r="O8694" s="21"/>
    </row>
    <row r="8695" spans="15:15" x14ac:dyDescent="0.25">
      <c r="O8695" s="21"/>
    </row>
    <row r="8696" spans="15:15" x14ac:dyDescent="0.25">
      <c r="O8696" s="21"/>
    </row>
    <row r="8697" spans="15:15" x14ac:dyDescent="0.25">
      <c r="O8697" s="21"/>
    </row>
    <row r="8698" spans="15:15" x14ac:dyDescent="0.25">
      <c r="O8698" s="21"/>
    </row>
    <row r="8699" spans="15:15" x14ac:dyDescent="0.25">
      <c r="O8699" s="21"/>
    </row>
    <row r="8700" spans="15:15" x14ac:dyDescent="0.25">
      <c r="O8700" s="21"/>
    </row>
    <row r="8701" spans="15:15" x14ac:dyDescent="0.25">
      <c r="O8701" s="21"/>
    </row>
    <row r="8702" spans="15:15" x14ac:dyDescent="0.25">
      <c r="O8702" s="21"/>
    </row>
    <row r="8703" spans="15:15" x14ac:dyDescent="0.25">
      <c r="O8703" s="21"/>
    </row>
    <row r="8704" spans="15:15" x14ac:dyDescent="0.25">
      <c r="O8704" s="21"/>
    </row>
    <row r="8705" spans="15:15" x14ac:dyDescent="0.25">
      <c r="O8705" s="21"/>
    </row>
    <row r="8706" spans="15:15" x14ac:dyDescent="0.25">
      <c r="O8706" s="21"/>
    </row>
    <row r="8707" spans="15:15" x14ac:dyDescent="0.25">
      <c r="O8707" s="21"/>
    </row>
    <row r="8708" spans="15:15" x14ac:dyDescent="0.25">
      <c r="O8708" s="21"/>
    </row>
    <row r="8709" spans="15:15" x14ac:dyDescent="0.25">
      <c r="O8709" s="21"/>
    </row>
    <row r="8710" spans="15:15" x14ac:dyDescent="0.25">
      <c r="O8710" s="21"/>
    </row>
    <row r="8711" spans="15:15" x14ac:dyDescent="0.25">
      <c r="O8711" s="21"/>
    </row>
    <row r="8712" spans="15:15" x14ac:dyDescent="0.25">
      <c r="O8712" s="21"/>
    </row>
    <row r="8713" spans="15:15" x14ac:dyDescent="0.25">
      <c r="O8713" s="21"/>
    </row>
    <row r="8714" spans="15:15" x14ac:dyDescent="0.25">
      <c r="O8714" s="21"/>
    </row>
    <row r="8715" spans="15:15" x14ac:dyDescent="0.25">
      <c r="O8715" s="21"/>
    </row>
    <row r="8716" spans="15:15" x14ac:dyDescent="0.25">
      <c r="O8716" s="21"/>
    </row>
    <row r="8717" spans="15:15" x14ac:dyDescent="0.25">
      <c r="O8717" s="21"/>
    </row>
    <row r="8718" spans="15:15" x14ac:dyDescent="0.25">
      <c r="O8718" s="21"/>
    </row>
    <row r="8719" spans="15:15" x14ac:dyDescent="0.25">
      <c r="O8719" s="21"/>
    </row>
    <row r="8720" spans="15:15" x14ac:dyDescent="0.25">
      <c r="O8720" s="21"/>
    </row>
    <row r="8721" spans="15:15" x14ac:dyDescent="0.25">
      <c r="O8721" s="21"/>
    </row>
    <row r="8722" spans="15:15" x14ac:dyDescent="0.25">
      <c r="O8722" s="21"/>
    </row>
    <row r="8723" spans="15:15" x14ac:dyDescent="0.25">
      <c r="O8723" s="21"/>
    </row>
    <row r="8724" spans="15:15" x14ac:dyDescent="0.25">
      <c r="O8724" s="21"/>
    </row>
    <row r="8725" spans="15:15" x14ac:dyDescent="0.25">
      <c r="O8725" s="21"/>
    </row>
    <row r="8726" spans="15:15" x14ac:dyDescent="0.25">
      <c r="O8726" s="21"/>
    </row>
    <row r="8727" spans="15:15" x14ac:dyDescent="0.25">
      <c r="O8727" s="21"/>
    </row>
    <row r="8728" spans="15:15" x14ac:dyDescent="0.25">
      <c r="O8728" s="21"/>
    </row>
    <row r="8729" spans="15:15" x14ac:dyDescent="0.25">
      <c r="O8729" s="21"/>
    </row>
    <row r="8730" spans="15:15" x14ac:dyDescent="0.25">
      <c r="O8730" s="21"/>
    </row>
    <row r="8731" spans="15:15" x14ac:dyDescent="0.25">
      <c r="O8731" s="21"/>
    </row>
    <row r="8732" spans="15:15" x14ac:dyDescent="0.25">
      <c r="O8732" s="21"/>
    </row>
    <row r="8733" spans="15:15" x14ac:dyDescent="0.25">
      <c r="O8733" s="21"/>
    </row>
    <row r="8734" spans="15:15" x14ac:dyDescent="0.25">
      <c r="O8734" s="21"/>
    </row>
    <row r="8735" spans="15:15" x14ac:dyDescent="0.25">
      <c r="O8735" s="21"/>
    </row>
    <row r="8736" spans="15:15" x14ac:dyDescent="0.25">
      <c r="O8736" s="21"/>
    </row>
    <row r="8737" spans="15:15" x14ac:dyDescent="0.25">
      <c r="O8737" s="21"/>
    </row>
    <row r="8738" spans="15:15" x14ac:dyDescent="0.25">
      <c r="O8738" s="21"/>
    </row>
    <row r="8739" spans="15:15" x14ac:dyDescent="0.25">
      <c r="O8739" s="21"/>
    </row>
    <row r="8740" spans="15:15" x14ac:dyDescent="0.25">
      <c r="O8740" s="21"/>
    </row>
    <row r="8741" spans="15:15" x14ac:dyDescent="0.25">
      <c r="O8741" s="21"/>
    </row>
    <row r="8742" spans="15:15" x14ac:dyDescent="0.25">
      <c r="O8742" s="21"/>
    </row>
    <row r="8743" spans="15:15" x14ac:dyDescent="0.25">
      <c r="O8743" s="21"/>
    </row>
    <row r="8744" spans="15:15" x14ac:dyDescent="0.25">
      <c r="O8744" s="21"/>
    </row>
    <row r="8745" spans="15:15" x14ac:dyDescent="0.25">
      <c r="O8745" s="21"/>
    </row>
    <row r="8746" spans="15:15" x14ac:dyDescent="0.25">
      <c r="O8746" s="21"/>
    </row>
    <row r="8747" spans="15:15" x14ac:dyDescent="0.25">
      <c r="O8747" s="21"/>
    </row>
    <row r="8748" spans="15:15" x14ac:dyDescent="0.25">
      <c r="O8748" s="21"/>
    </row>
    <row r="8749" spans="15:15" x14ac:dyDescent="0.25">
      <c r="O8749" s="21"/>
    </row>
    <row r="8750" spans="15:15" x14ac:dyDescent="0.25">
      <c r="O8750" s="21"/>
    </row>
    <row r="8751" spans="15:15" x14ac:dyDescent="0.25">
      <c r="O8751" s="21"/>
    </row>
    <row r="8752" spans="15:15" x14ac:dyDescent="0.25">
      <c r="O8752" s="21"/>
    </row>
    <row r="8753" spans="15:15" x14ac:dyDescent="0.25">
      <c r="O8753" s="21"/>
    </row>
    <row r="8754" spans="15:15" x14ac:dyDescent="0.25">
      <c r="O8754" s="21"/>
    </row>
    <row r="8755" spans="15:15" x14ac:dyDescent="0.25">
      <c r="O8755" s="21"/>
    </row>
    <row r="8756" spans="15:15" x14ac:dyDescent="0.25">
      <c r="O8756" s="21"/>
    </row>
    <row r="8757" spans="15:15" x14ac:dyDescent="0.25">
      <c r="O8757" s="21"/>
    </row>
    <row r="8758" spans="15:15" x14ac:dyDescent="0.25">
      <c r="O8758" s="21"/>
    </row>
    <row r="8759" spans="15:15" x14ac:dyDescent="0.25">
      <c r="O8759" s="21"/>
    </row>
    <row r="8760" spans="15:15" x14ac:dyDescent="0.25">
      <c r="O8760" s="21"/>
    </row>
    <row r="8761" spans="15:15" x14ac:dyDescent="0.25">
      <c r="O8761" s="21"/>
    </row>
    <row r="8762" spans="15:15" x14ac:dyDescent="0.25">
      <c r="O8762" s="21"/>
    </row>
    <row r="8763" spans="15:15" x14ac:dyDescent="0.25">
      <c r="O8763" s="21"/>
    </row>
    <row r="8764" spans="15:15" x14ac:dyDescent="0.25">
      <c r="O8764" s="21"/>
    </row>
    <row r="8765" spans="15:15" x14ac:dyDescent="0.25">
      <c r="O8765" s="21"/>
    </row>
    <row r="8766" spans="15:15" x14ac:dyDescent="0.25">
      <c r="O8766" s="21"/>
    </row>
    <row r="8767" spans="15:15" x14ac:dyDescent="0.25">
      <c r="O8767" s="21"/>
    </row>
    <row r="8768" spans="15:15" x14ac:dyDescent="0.25">
      <c r="O8768" s="21"/>
    </row>
    <row r="8769" spans="15:15" x14ac:dyDescent="0.25">
      <c r="O8769" s="21"/>
    </row>
    <row r="8770" spans="15:15" x14ac:dyDescent="0.25">
      <c r="O8770" s="21"/>
    </row>
    <row r="8771" spans="15:15" x14ac:dyDescent="0.25">
      <c r="O8771" s="21"/>
    </row>
    <row r="8772" spans="15:15" x14ac:dyDescent="0.25">
      <c r="O8772" s="21"/>
    </row>
    <row r="8773" spans="15:15" x14ac:dyDescent="0.25">
      <c r="O8773" s="21"/>
    </row>
    <row r="8774" spans="15:15" x14ac:dyDescent="0.25">
      <c r="O8774" s="21"/>
    </row>
    <row r="8775" spans="15:15" x14ac:dyDescent="0.25">
      <c r="O8775" s="21"/>
    </row>
    <row r="8776" spans="15:15" x14ac:dyDescent="0.25">
      <c r="O8776" s="21"/>
    </row>
    <row r="8777" spans="15:15" x14ac:dyDescent="0.25">
      <c r="O8777" s="21"/>
    </row>
    <row r="8778" spans="15:15" x14ac:dyDescent="0.25">
      <c r="O8778" s="21"/>
    </row>
    <row r="8779" spans="15:15" x14ac:dyDescent="0.25">
      <c r="O8779" s="21"/>
    </row>
    <row r="8780" spans="15:15" x14ac:dyDescent="0.25">
      <c r="O8780" s="21"/>
    </row>
    <row r="8781" spans="15:15" x14ac:dyDescent="0.25">
      <c r="O8781" s="21"/>
    </row>
    <row r="8782" spans="15:15" x14ac:dyDescent="0.25">
      <c r="O8782" s="21"/>
    </row>
    <row r="8783" spans="15:15" x14ac:dyDescent="0.25">
      <c r="O8783" s="21"/>
    </row>
    <row r="8784" spans="15:15" x14ac:dyDescent="0.25">
      <c r="O8784" s="21"/>
    </row>
    <row r="8785" spans="15:15" x14ac:dyDescent="0.25">
      <c r="O8785" s="21"/>
    </row>
    <row r="8786" spans="15:15" x14ac:dyDescent="0.25">
      <c r="O8786" s="21"/>
    </row>
    <row r="8787" spans="15:15" x14ac:dyDescent="0.25">
      <c r="O8787" s="21"/>
    </row>
    <row r="8788" spans="15:15" x14ac:dyDescent="0.25">
      <c r="O8788" s="21"/>
    </row>
    <row r="8789" spans="15:15" x14ac:dyDescent="0.25">
      <c r="O8789" s="21"/>
    </row>
    <row r="8790" spans="15:15" x14ac:dyDescent="0.25">
      <c r="O8790" s="21"/>
    </row>
    <row r="8791" spans="15:15" x14ac:dyDescent="0.25">
      <c r="O8791" s="21"/>
    </row>
    <row r="8792" spans="15:15" x14ac:dyDescent="0.25">
      <c r="O8792" s="21"/>
    </row>
    <row r="8793" spans="15:15" x14ac:dyDescent="0.25">
      <c r="O8793" s="21"/>
    </row>
    <row r="8794" spans="15:15" x14ac:dyDescent="0.25">
      <c r="O8794" s="21"/>
    </row>
    <row r="8795" spans="15:15" x14ac:dyDescent="0.25">
      <c r="O8795" s="21"/>
    </row>
    <row r="8796" spans="15:15" x14ac:dyDescent="0.25">
      <c r="O8796" s="21"/>
    </row>
    <row r="8797" spans="15:15" x14ac:dyDescent="0.25">
      <c r="O8797" s="21"/>
    </row>
    <row r="8798" spans="15:15" x14ac:dyDescent="0.25">
      <c r="O8798" s="21"/>
    </row>
    <row r="8799" spans="15:15" x14ac:dyDescent="0.25">
      <c r="O8799" s="21"/>
    </row>
    <row r="8800" spans="15:15" x14ac:dyDescent="0.25">
      <c r="O8800" s="21"/>
    </row>
    <row r="8801" spans="15:15" x14ac:dyDescent="0.25">
      <c r="O8801" s="21"/>
    </row>
    <row r="8802" spans="15:15" x14ac:dyDescent="0.25">
      <c r="O8802" s="21"/>
    </row>
    <row r="8803" spans="15:15" x14ac:dyDescent="0.25">
      <c r="O8803" s="21"/>
    </row>
    <row r="8804" spans="15:15" x14ac:dyDescent="0.25">
      <c r="O8804" s="21"/>
    </row>
    <row r="8805" spans="15:15" x14ac:dyDescent="0.25">
      <c r="O8805" s="21"/>
    </row>
    <row r="8806" spans="15:15" x14ac:dyDescent="0.25">
      <c r="O8806" s="21"/>
    </row>
    <row r="8807" spans="15:15" x14ac:dyDescent="0.25">
      <c r="O8807" s="21"/>
    </row>
    <row r="8808" spans="15:15" x14ac:dyDescent="0.25">
      <c r="O8808" s="21"/>
    </row>
    <row r="8809" spans="15:15" x14ac:dyDescent="0.25">
      <c r="O8809" s="21"/>
    </row>
    <row r="8810" spans="15:15" x14ac:dyDescent="0.25">
      <c r="O8810" s="21"/>
    </row>
    <row r="8811" spans="15:15" x14ac:dyDescent="0.25">
      <c r="O8811" s="21"/>
    </row>
    <row r="8812" spans="15:15" x14ac:dyDescent="0.25">
      <c r="O8812" s="21"/>
    </row>
    <row r="8813" spans="15:15" x14ac:dyDescent="0.25">
      <c r="O8813" s="21"/>
    </row>
    <row r="8814" spans="15:15" x14ac:dyDescent="0.25">
      <c r="O8814" s="21"/>
    </row>
    <row r="8815" spans="15:15" x14ac:dyDescent="0.25">
      <c r="O8815" s="21"/>
    </row>
    <row r="8816" spans="15:15" x14ac:dyDescent="0.25">
      <c r="O8816" s="21"/>
    </row>
    <row r="8817" spans="15:15" x14ac:dyDescent="0.25">
      <c r="O8817" s="21"/>
    </row>
    <row r="8818" spans="15:15" x14ac:dyDescent="0.25">
      <c r="O8818" s="21"/>
    </row>
    <row r="8819" spans="15:15" x14ac:dyDescent="0.25">
      <c r="O8819" s="21"/>
    </row>
    <row r="8820" spans="15:15" x14ac:dyDescent="0.25">
      <c r="O8820" s="21"/>
    </row>
    <row r="8821" spans="15:15" x14ac:dyDescent="0.25">
      <c r="O8821" s="21"/>
    </row>
    <row r="8822" spans="15:15" x14ac:dyDescent="0.25">
      <c r="O8822" s="21"/>
    </row>
    <row r="8823" spans="15:15" x14ac:dyDescent="0.25">
      <c r="O8823" s="21"/>
    </row>
    <row r="8824" spans="15:15" x14ac:dyDescent="0.25">
      <c r="O8824" s="21"/>
    </row>
    <row r="8825" spans="15:15" x14ac:dyDescent="0.25">
      <c r="O8825" s="21"/>
    </row>
    <row r="8826" spans="15:15" x14ac:dyDescent="0.25">
      <c r="O8826" s="21"/>
    </row>
    <row r="8827" spans="15:15" x14ac:dyDescent="0.25">
      <c r="O8827" s="21"/>
    </row>
    <row r="8828" spans="15:15" x14ac:dyDescent="0.25">
      <c r="O8828" s="21"/>
    </row>
    <row r="8829" spans="15:15" x14ac:dyDescent="0.25">
      <c r="O8829" s="21"/>
    </row>
    <row r="8830" spans="15:15" x14ac:dyDescent="0.25">
      <c r="O8830" s="21"/>
    </row>
    <row r="8831" spans="15:15" x14ac:dyDescent="0.25">
      <c r="O8831" s="21"/>
    </row>
    <row r="8832" spans="15:15" x14ac:dyDescent="0.25">
      <c r="O8832" s="21"/>
    </row>
    <row r="8833" spans="15:15" x14ac:dyDescent="0.25">
      <c r="O8833" s="21"/>
    </row>
    <row r="8834" spans="15:15" x14ac:dyDescent="0.25">
      <c r="O8834" s="21"/>
    </row>
    <row r="8835" spans="15:15" x14ac:dyDescent="0.25">
      <c r="O8835" s="21"/>
    </row>
    <row r="8836" spans="15:15" x14ac:dyDescent="0.25">
      <c r="O8836" s="21"/>
    </row>
    <row r="8837" spans="15:15" x14ac:dyDescent="0.25">
      <c r="O8837" s="21"/>
    </row>
    <row r="8838" spans="15:15" x14ac:dyDescent="0.25">
      <c r="O8838" s="21"/>
    </row>
    <row r="8839" spans="15:15" x14ac:dyDescent="0.25">
      <c r="O8839" s="21"/>
    </row>
    <row r="8840" spans="15:15" x14ac:dyDescent="0.25">
      <c r="O8840" s="21"/>
    </row>
    <row r="8841" spans="15:15" x14ac:dyDescent="0.25">
      <c r="O8841" s="21"/>
    </row>
    <row r="8842" spans="15:15" x14ac:dyDescent="0.25">
      <c r="O8842" s="21"/>
    </row>
    <row r="8843" spans="15:15" x14ac:dyDescent="0.25">
      <c r="O8843" s="21"/>
    </row>
    <row r="8844" spans="15:15" x14ac:dyDescent="0.25">
      <c r="O8844" s="21"/>
    </row>
    <row r="8845" spans="15:15" x14ac:dyDescent="0.25">
      <c r="O8845" s="21"/>
    </row>
    <row r="8846" spans="15:15" x14ac:dyDescent="0.25">
      <c r="O8846" s="21"/>
    </row>
    <row r="8847" spans="15:15" x14ac:dyDescent="0.25">
      <c r="O8847" s="21"/>
    </row>
    <row r="8848" spans="15:15" x14ac:dyDescent="0.25">
      <c r="O8848" s="21"/>
    </row>
    <row r="8849" spans="15:15" x14ac:dyDescent="0.25">
      <c r="O8849" s="21"/>
    </row>
    <row r="8850" spans="15:15" x14ac:dyDescent="0.25">
      <c r="O8850" s="21"/>
    </row>
    <row r="8851" spans="15:15" x14ac:dyDescent="0.25">
      <c r="O8851" s="21"/>
    </row>
    <row r="8852" spans="15:15" x14ac:dyDescent="0.25">
      <c r="O8852" s="21"/>
    </row>
    <row r="8853" spans="15:15" x14ac:dyDescent="0.25">
      <c r="O8853" s="21"/>
    </row>
    <row r="8854" spans="15:15" x14ac:dyDescent="0.25">
      <c r="O8854" s="21"/>
    </row>
    <row r="8855" spans="15:15" x14ac:dyDescent="0.25">
      <c r="O8855" s="21"/>
    </row>
    <row r="8856" spans="15:15" x14ac:dyDescent="0.25">
      <c r="O8856" s="21"/>
    </row>
    <row r="8857" spans="15:15" x14ac:dyDescent="0.25">
      <c r="O8857" s="21"/>
    </row>
    <row r="8858" spans="15:15" x14ac:dyDescent="0.25">
      <c r="O8858" s="21"/>
    </row>
    <row r="8859" spans="15:15" x14ac:dyDescent="0.25">
      <c r="O8859" s="21"/>
    </row>
    <row r="8860" spans="15:15" x14ac:dyDescent="0.25">
      <c r="O8860" s="21"/>
    </row>
    <row r="8861" spans="15:15" x14ac:dyDescent="0.25">
      <c r="O8861" s="21"/>
    </row>
    <row r="8862" spans="15:15" x14ac:dyDescent="0.25">
      <c r="O8862" s="21"/>
    </row>
    <row r="8863" spans="15:15" x14ac:dyDescent="0.25">
      <c r="O8863" s="21"/>
    </row>
    <row r="8864" spans="15:15" x14ac:dyDescent="0.25">
      <c r="O8864" s="21"/>
    </row>
    <row r="8865" spans="15:15" x14ac:dyDescent="0.25">
      <c r="O8865" s="21"/>
    </row>
    <row r="8866" spans="15:15" x14ac:dyDescent="0.25">
      <c r="O8866" s="21"/>
    </row>
    <row r="8867" spans="15:15" x14ac:dyDescent="0.25">
      <c r="O8867" s="21"/>
    </row>
    <row r="8868" spans="15:15" x14ac:dyDescent="0.25">
      <c r="O8868" s="21"/>
    </row>
    <row r="8869" spans="15:15" x14ac:dyDescent="0.25">
      <c r="O8869" s="21"/>
    </row>
    <row r="8870" spans="15:15" x14ac:dyDescent="0.25">
      <c r="O8870" s="21"/>
    </row>
    <row r="8871" spans="15:15" x14ac:dyDescent="0.25">
      <c r="O8871" s="21"/>
    </row>
    <row r="8872" spans="15:15" x14ac:dyDescent="0.25">
      <c r="O8872" s="21"/>
    </row>
    <row r="8873" spans="15:15" x14ac:dyDescent="0.25">
      <c r="O8873" s="21"/>
    </row>
    <row r="8874" spans="15:15" x14ac:dyDescent="0.25">
      <c r="O8874" s="21"/>
    </row>
    <row r="8875" spans="15:15" x14ac:dyDescent="0.25">
      <c r="O8875" s="21"/>
    </row>
    <row r="8876" spans="15:15" x14ac:dyDescent="0.25">
      <c r="O8876" s="21"/>
    </row>
    <row r="8877" spans="15:15" x14ac:dyDescent="0.25">
      <c r="O8877" s="21"/>
    </row>
    <row r="8878" spans="15:15" x14ac:dyDescent="0.25">
      <c r="O8878" s="21"/>
    </row>
    <row r="8879" spans="15:15" x14ac:dyDescent="0.25">
      <c r="O8879" s="21"/>
    </row>
    <row r="8880" spans="15:15" x14ac:dyDescent="0.25">
      <c r="O8880" s="21"/>
    </row>
    <row r="8881" spans="15:15" x14ac:dyDescent="0.25">
      <c r="O8881" s="21"/>
    </row>
    <row r="8882" spans="15:15" x14ac:dyDescent="0.25">
      <c r="O8882" s="21"/>
    </row>
    <row r="8883" spans="15:15" x14ac:dyDescent="0.25">
      <c r="O8883" s="21"/>
    </row>
    <row r="8884" spans="15:15" x14ac:dyDescent="0.25">
      <c r="O8884" s="21"/>
    </row>
    <row r="8885" spans="15:15" x14ac:dyDescent="0.25">
      <c r="O8885" s="21"/>
    </row>
    <row r="8886" spans="15:15" x14ac:dyDescent="0.25">
      <c r="O8886" s="21"/>
    </row>
    <row r="8887" spans="15:15" x14ac:dyDescent="0.25">
      <c r="O8887" s="21"/>
    </row>
    <row r="8888" spans="15:15" x14ac:dyDescent="0.25">
      <c r="O8888" s="21"/>
    </row>
    <row r="8889" spans="15:15" x14ac:dyDescent="0.25">
      <c r="O8889" s="21"/>
    </row>
    <row r="8890" spans="15:15" x14ac:dyDescent="0.25">
      <c r="O8890" s="21"/>
    </row>
    <row r="8891" spans="15:15" x14ac:dyDescent="0.25">
      <c r="O8891" s="21"/>
    </row>
    <row r="8892" spans="15:15" x14ac:dyDescent="0.25">
      <c r="O8892" s="21"/>
    </row>
    <row r="8893" spans="15:15" x14ac:dyDescent="0.25">
      <c r="O8893" s="21"/>
    </row>
    <row r="8894" spans="15:15" x14ac:dyDescent="0.25">
      <c r="O8894" s="21"/>
    </row>
    <row r="8895" spans="15:15" x14ac:dyDescent="0.25">
      <c r="O8895" s="21"/>
    </row>
    <row r="8896" spans="15:15" x14ac:dyDescent="0.25">
      <c r="O8896" s="21"/>
    </row>
    <row r="8897" spans="15:15" x14ac:dyDescent="0.25">
      <c r="O8897" s="21"/>
    </row>
    <row r="8898" spans="15:15" x14ac:dyDescent="0.25">
      <c r="O8898" s="21"/>
    </row>
    <row r="8899" spans="15:15" x14ac:dyDescent="0.25">
      <c r="O8899" s="21"/>
    </row>
    <row r="8900" spans="15:15" x14ac:dyDescent="0.25">
      <c r="O8900" s="21"/>
    </row>
    <row r="8901" spans="15:15" x14ac:dyDescent="0.25">
      <c r="O8901" s="21"/>
    </row>
    <row r="8902" spans="15:15" x14ac:dyDescent="0.25">
      <c r="O8902" s="21"/>
    </row>
    <row r="8903" spans="15:15" x14ac:dyDescent="0.25">
      <c r="O8903" s="21"/>
    </row>
    <row r="8904" spans="15:15" x14ac:dyDescent="0.25">
      <c r="O8904" s="21"/>
    </row>
    <row r="8905" spans="15:15" x14ac:dyDescent="0.25">
      <c r="O8905" s="21"/>
    </row>
    <row r="8906" spans="15:15" x14ac:dyDescent="0.25">
      <c r="O8906" s="21"/>
    </row>
    <row r="8907" spans="15:15" x14ac:dyDescent="0.25">
      <c r="O8907" s="21"/>
    </row>
    <row r="8908" spans="15:15" x14ac:dyDescent="0.25">
      <c r="O8908" s="21"/>
    </row>
    <row r="8909" spans="15:15" x14ac:dyDescent="0.25">
      <c r="O8909" s="21"/>
    </row>
    <row r="8910" spans="15:15" x14ac:dyDescent="0.25">
      <c r="O8910" s="21"/>
    </row>
    <row r="8911" spans="15:15" x14ac:dyDescent="0.25">
      <c r="O8911" s="21"/>
    </row>
    <row r="8912" spans="15:15" x14ac:dyDescent="0.25">
      <c r="O8912" s="21"/>
    </row>
    <row r="8913" spans="15:15" x14ac:dyDescent="0.25">
      <c r="O8913" s="21"/>
    </row>
    <row r="8914" spans="15:15" x14ac:dyDescent="0.25">
      <c r="O8914" s="21"/>
    </row>
    <row r="8915" spans="15:15" x14ac:dyDescent="0.25">
      <c r="O8915" s="21"/>
    </row>
    <row r="8916" spans="15:15" x14ac:dyDescent="0.25">
      <c r="O8916" s="21"/>
    </row>
    <row r="8917" spans="15:15" x14ac:dyDescent="0.25">
      <c r="O8917" s="21"/>
    </row>
    <row r="8918" spans="15:15" x14ac:dyDescent="0.25">
      <c r="O8918" s="21"/>
    </row>
    <row r="8919" spans="15:15" x14ac:dyDescent="0.25">
      <c r="O8919" s="21"/>
    </row>
    <row r="8920" spans="15:15" x14ac:dyDescent="0.25">
      <c r="O8920" s="21"/>
    </row>
    <row r="8921" spans="15:15" x14ac:dyDescent="0.25">
      <c r="O8921" s="21"/>
    </row>
    <row r="8922" spans="15:15" x14ac:dyDescent="0.25">
      <c r="O8922" s="21"/>
    </row>
    <row r="8923" spans="15:15" x14ac:dyDescent="0.25">
      <c r="O8923" s="21"/>
    </row>
    <row r="8924" spans="15:15" x14ac:dyDescent="0.25">
      <c r="O8924" s="21"/>
    </row>
    <row r="8925" spans="15:15" x14ac:dyDescent="0.25">
      <c r="O8925" s="21"/>
    </row>
    <row r="8926" spans="15:15" x14ac:dyDescent="0.25">
      <c r="O8926" s="21"/>
    </row>
    <row r="8927" spans="15:15" x14ac:dyDescent="0.25">
      <c r="O8927" s="21"/>
    </row>
    <row r="8928" spans="15:15" x14ac:dyDescent="0.25">
      <c r="O8928" s="21"/>
    </row>
    <row r="8929" spans="15:15" x14ac:dyDescent="0.25">
      <c r="O8929" s="21"/>
    </row>
    <row r="8930" spans="15:15" x14ac:dyDescent="0.25">
      <c r="O8930" s="21"/>
    </row>
    <row r="8931" spans="15:15" x14ac:dyDescent="0.25">
      <c r="O8931" s="21"/>
    </row>
    <row r="8932" spans="15:15" x14ac:dyDescent="0.25">
      <c r="O8932" s="21"/>
    </row>
    <row r="8933" spans="15:15" x14ac:dyDescent="0.25">
      <c r="O8933" s="21"/>
    </row>
    <row r="8934" spans="15:15" x14ac:dyDescent="0.25">
      <c r="O8934" s="21"/>
    </row>
    <row r="8935" spans="15:15" x14ac:dyDescent="0.25">
      <c r="O8935" s="21"/>
    </row>
    <row r="8936" spans="15:15" x14ac:dyDescent="0.25">
      <c r="O8936" s="21"/>
    </row>
    <row r="8937" spans="15:15" x14ac:dyDescent="0.25">
      <c r="O8937" s="21"/>
    </row>
    <row r="8938" spans="15:15" x14ac:dyDescent="0.25">
      <c r="O8938" s="21"/>
    </row>
    <row r="8939" spans="15:15" x14ac:dyDescent="0.25">
      <c r="O8939" s="21"/>
    </row>
    <row r="8940" spans="15:15" x14ac:dyDescent="0.25">
      <c r="O8940" s="21"/>
    </row>
    <row r="8941" spans="15:15" x14ac:dyDescent="0.25">
      <c r="O8941" s="21"/>
    </row>
    <row r="8942" spans="15:15" x14ac:dyDescent="0.25">
      <c r="O8942" s="21"/>
    </row>
    <row r="8943" spans="15:15" x14ac:dyDescent="0.25">
      <c r="O8943" s="21"/>
    </row>
    <row r="8944" spans="15:15" x14ac:dyDescent="0.25">
      <c r="O8944" s="21"/>
    </row>
    <row r="8945" spans="15:15" x14ac:dyDescent="0.25">
      <c r="O8945" s="21"/>
    </row>
    <row r="8946" spans="15:15" x14ac:dyDescent="0.25">
      <c r="O8946" s="21"/>
    </row>
    <row r="8947" spans="15:15" x14ac:dyDescent="0.25">
      <c r="O8947" s="21"/>
    </row>
    <row r="8948" spans="15:15" x14ac:dyDescent="0.25">
      <c r="O8948" s="21"/>
    </row>
    <row r="8949" spans="15:15" x14ac:dyDescent="0.25">
      <c r="O8949" s="21"/>
    </row>
    <row r="8950" spans="15:15" x14ac:dyDescent="0.25">
      <c r="O8950" s="21"/>
    </row>
    <row r="8951" spans="15:15" x14ac:dyDescent="0.25">
      <c r="O8951" s="21"/>
    </row>
    <row r="8952" spans="15:15" x14ac:dyDescent="0.25">
      <c r="O8952" s="21"/>
    </row>
    <row r="8953" spans="15:15" x14ac:dyDescent="0.25">
      <c r="O8953" s="21"/>
    </row>
    <row r="8954" spans="15:15" x14ac:dyDescent="0.25">
      <c r="O8954" s="21"/>
    </row>
    <row r="8955" spans="15:15" x14ac:dyDescent="0.25">
      <c r="O8955" s="21"/>
    </row>
    <row r="8956" spans="15:15" x14ac:dyDescent="0.25">
      <c r="O8956" s="21"/>
    </row>
    <row r="8957" spans="15:15" x14ac:dyDescent="0.25">
      <c r="O8957" s="21"/>
    </row>
    <row r="8958" spans="15:15" x14ac:dyDescent="0.25">
      <c r="O8958" s="21"/>
    </row>
    <row r="8959" spans="15:15" x14ac:dyDescent="0.25">
      <c r="O8959" s="21"/>
    </row>
    <row r="8960" spans="15:15" x14ac:dyDescent="0.25">
      <c r="O8960" s="21"/>
    </row>
    <row r="8961" spans="15:15" x14ac:dyDescent="0.25">
      <c r="O8961" s="21"/>
    </row>
    <row r="8962" spans="15:15" x14ac:dyDescent="0.25">
      <c r="O8962" s="21"/>
    </row>
    <row r="8963" spans="15:15" x14ac:dyDescent="0.25">
      <c r="O8963" s="21"/>
    </row>
    <row r="8964" spans="15:15" x14ac:dyDescent="0.25">
      <c r="O8964" s="21"/>
    </row>
    <row r="8965" spans="15:15" x14ac:dyDescent="0.25">
      <c r="O8965" s="21"/>
    </row>
    <row r="8966" spans="15:15" x14ac:dyDescent="0.25">
      <c r="O8966" s="21"/>
    </row>
    <row r="8967" spans="15:15" x14ac:dyDescent="0.25">
      <c r="O8967" s="21"/>
    </row>
    <row r="8968" spans="15:15" x14ac:dyDescent="0.25">
      <c r="O8968" s="21"/>
    </row>
    <row r="8969" spans="15:15" x14ac:dyDescent="0.25">
      <c r="O8969" s="21"/>
    </row>
    <row r="8970" spans="15:15" x14ac:dyDescent="0.25">
      <c r="O8970" s="21"/>
    </row>
    <row r="8971" spans="15:15" x14ac:dyDescent="0.25">
      <c r="O8971" s="21"/>
    </row>
    <row r="8972" spans="15:15" x14ac:dyDescent="0.25">
      <c r="O8972" s="21"/>
    </row>
    <row r="8973" spans="15:15" x14ac:dyDescent="0.25">
      <c r="O8973" s="21"/>
    </row>
    <row r="8974" spans="15:15" x14ac:dyDescent="0.25">
      <c r="O8974" s="21"/>
    </row>
    <row r="8975" spans="15:15" x14ac:dyDescent="0.25">
      <c r="O8975" s="21"/>
    </row>
    <row r="8976" spans="15:15" x14ac:dyDescent="0.25">
      <c r="O8976" s="21"/>
    </row>
    <row r="8977" spans="15:15" x14ac:dyDescent="0.25">
      <c r="O8977" s="21"/>
    </row>
    <row r="8978" spans="15:15" x14ac:dyDescent="0.25">
      <c r="O8978" s="21"/>
    </row>
    <row r="8979" spans="15:15" x14ac:dyDescent="0.25">
      <c r="O8979" s="21"/>
    </row>
    <row r="8980" spans="15:15" x14ac:dyDescent="0.25">
      <c r="O8980" s="21"/>
    </row>
    <row r="8981" spans="15:15" x14ac:dyDescent="0.25">
      <c r="O8981" s="21"/>
    </row>
    <row r="8982" spans="15:15" x14ac:dyDescent="0.25">
      <c r="O8982" s="21"/>
    </row>
    <row r="8983" spans="15:15" x14ac:dyDescent="0.25">
      <c r="O8983" s="21"/>
    </row>
    <row r="8984" spans="15:15" x14ac:dyDescent="0.25">
      <c r="O8984" s="21"/>
    </row>
    <row r="8985" spans="15:15" x14ac:dyDescent="0.25">
      <c r="O8985" s="21"/>
    </row>
    <row r="8986" spans="15:15" x14ac:dyDescent="0.25">
      <c r="O8986" s="21"/>
    </row>
    <row r="8987" spans="15:15" x14ac:dyDescent="0.25">
      <c r="O8987" s="21"/>
    </row>
    <row r="8988" spans="15:15" x14ac:dyDescent="0.25">
      <c r="O8988" s="21"/>
    </row>
    <row r="8989" spans="15:15" x14ac:dyDescent="0.25">
      <c r="O8989" s="21"/>
    </row>
    <row r="8990" spans="15:15" x14ac:dyDescent="0.25">
      <c r="O8990" s="21"/>
    </row>
    <row r="8991" spans="15:15" x14ac:dyDescent="0.25">
      <c r="O8991" s="21"/>
    </row>
    <row r="8992" spans="15:15" x14ac:dyDescent="0.25">
      <c r="O8992" s="21"/>
    </row>
    <row r="8993" spans="15:15" x14ac:dyDescent="0.25">
      <c r="O8993" s="21"/>
    </row>
    <row r="8994" spans="15:15" x14ac:dyDescent="0.25">
      <c r="O8994" s="21"/>
    </row>
    <row r="8995" spans="15:15" x14ac:dyDescent="0.25">
      <c r="O8995" s="21"/>
    </row>
    <row r="8996" spans="15:15" x14ac:dyDescent="0.25">
      <c r="O8996" s="21"/>
    </row>
    <row r="8997" spans="15:15" x14ac:dyDescent="0.25">
      <c r="O8997" s="21"/>
    </row>
    <row r="8998" spans="15:15" x14ac:dyDescent="0.25">
      <c r="O8998" s="21"/>
    </row>
    <row r="8999" spans="15:15" x14ac:dyDescent="0.25">
      <c r="O8999" s="21"/>
    </row>
    <row r="9000" spans="15:15" x14ac:dyDescent="0.25">
      <c r="O9000" s="21"/>
    </row>
    <row r="9001" spans="15:15" x14ac:dyDescent="0.25">
      <c r="O9001" s="21"/>
    </row>
    <row r="9002" spans="15:15" x14ac:dyDescent="0.25">
      <c r="O9002" s="21"/>
    </row>
    <row r="9003" spans="15:15" x14ac:dyDescent="0.25">
      <c r="O9003" s="21"/>
    </row>
    <row r="9004" spans="15:15" x14ac:dyDescent="0.25">
      <c r="O9004" s="21"/>
    </row>
    <row r="9005" spans="15:15" x14ac:dyDescent="0.25">
      <c r="O9005" s="21"/>
    </row>
    <row r="9006" spans="15:15" x14ac:dyDescent="0.25">
      <c r="O9006" s="21"/>
    </row>
    <row r="9007" spans="15:15" x14ac:dyDescent="0.25">
      <c r="O9007" s="21"/>
    </row>
    <row r="9008" spans="15:15" x14ac:dyDescent="0.25">
      <c r="O9008" s="21"/>
    </row>
    <row r="9009" spans="15:15" x14ac:dyDescent="0.25">
      <c r="O9009" s="21"/>
    </row>
    <row r="9010" spans="15:15" x14ac:dyDescent="0.25">
      <c r="O9010" s="21"/>
    </row>
    <row r="9011" spans="15:15" x14ac:dyDescent="0.25">
      <c r="O9011" s="21"/>
    </row>
    <row r="9012" spans="15:15" x14ac:dyDescent="0.25">
      <c r="O9012" s="21"/>
    </row>
    <row r="9013" spans="15:15" x14ac:dyDescent="0.25">
      <c r="O9013" s="21"/>
    </row>
    <row r="9014" spans="15:15" x14ac:dyDescent="0.25">
      <c r="O9014" s="21"/>
    </row>
    <row r="9015" spans="15:15" x14ac:dyDescent="0.25">
      <c r="O9015" s="21"/>
    </row>
    <row r="9016" spans="15:15" x14ac:dyDescent="0.25">
      <c r="O9016" s="21"/>
    </row>
    <row r="9017" spans="15:15" x14ac:dyDescent="0.25">
      <c r="O9017" s="21"/>
    </row>
    <row r="9018" spans="15:15" x14ac:dyDescent="0.25">
      <c r="O9018" s="21"/>
    </row>
    <row r="9019" spans="15:15" x14ac:dyDescent="0.25">
      <c r="O9019" s="21"/>
    </row>
    <row r="9020" spans="15:15" x14ac:dyDescent="0.25">
      <c r="O9020" s="21"/>
    </row>
    <row r="9021" spans="15:15" x14ac:dyDescent="0.25">
      <c r="O9021" s="21"/>
    </row>
    <row r="9022" spans="15:15" x14ac:dyDescent="0.25">
      <c r="O9022" s="21"/>
    </row>
    <row r="9023" spans="15:15" x14ac:dyDescent="0.25">
      <c r="O9023" s="21"/>
    </row>
    <row r="9024" spans="15:15" x14ac:dyDescent="0.25">
      <c r="O9024" s="21"/>
    </row>
    <row r="9025" spans="15:15" x14ac:dyDescent="0.25">
      <c r="O9025" s="21"/>
    </row>
    <row r="9026" spans="15:15" x14ac:dyDescent="0.25">
      <c r="O9026" s="21"/>
    </row>
    <row r="9027" spans="15:15" x14ac:dyDescent="0.25">
      <c r="O9027" s="21"/>
    </row>
    <row r="9028" spans="15:15" x14ac:dyDescent="0.25">
      <c r="O9028" s="21"/>
    </row>
    <row r="9029" spans="15:15" x14ac:dyDescent="0.25">
      <c r="O9029" s="21"/>
    </row>
    <row r="9030" spans="15:15" x14ac:dyDescent="0.25">
      <c r="O9030" s="21"/>
    </row>
    <row r="9031" spans="15:15" x14ac:dyDescent="0.25">
      <c r="O9031" s="21"/>
    </row>
    <row r="9032" spans="15:15" x14ac:dyDescent="0.25">
      <c r="O9032" s="21"/>
    </row>
    <row r="9033" spans="15:15" x14ac:dyDescent="0.25">
      <c r="O9033" s="21"/>
    </row>
    <row r="9034" spans="15:15" x14ac:dyDescent="0.25">
      <c r="O9034" s="21"/>
    </row>
    <row r="9035" spans="15:15" x14ac:dyDescent="0.25">
      <c r="O9035" s="21"/>
    </row>
    <row r="9036" spans="15:15" x14ac:dyDescent="0.25">
      <c r="O9036" s="21"/>
    </row>
    <row r="9037" spans="15:15" x14ac:dyDescent="0.25">
      <c r="O9037" s="21"/>
    </row>
    <row r="9038" spans="15:15" x14ac:dyDescent="0.25">
      <c r="O9038" s="21"/>
    </row>
    <row r="9039" spans="15:15" x14ac:dyDescent="0.25">
      <c r="O9039" s="21"/>
    </row>
    <row r="9040" spans="15:15" x14ac:dyDescent="0.25">
      <c r="O9040" s="21"/>
    </row>
    <row r="9041" spans="15:15" x14ac:dyDescent="0.25">
      <c r="O9041" s="21"/>
    </row>
    <row r="9042" spans="15:15" x14ac:dyDescent="0.25">
      <c r="O9042" s="21"/>
    </row>
    <row r="9043" spans="15:15" x14ac:dyDescent="0.25">
      <c r="O9043" s="21"/>
    </row>
    <row r="9044" spans="15:15" x14ac:dyDescent="0.25">
      <c r="O9044" s="21"/>
    </row>
    <row r="9045" spans="15:15" x14ac:dyDescent="0.25">
      <c r="O9045" s="21"/>
    </row>
    <row r="9046" spans="15:15" x14ac:dyDescent="0.25">
      <c r="O9046" s="21"/>
    </row>
    <row r="9047" spans="15:15" x14ac:dyDescent="0.25">
      <c r="O9047" s="21"/>
    </row>
    <row r="9048" spans="15:15" x14ac:dyDescent="0.25">
      <c r="O9048" s="21"/>
    </row>
    <row r="9049" spans="15:15" x14ac:dyDescent="0.25">
      <c r="O9049" s="21"/>
    </row>
    <row r="9050" spans="15:15" x14ac:dyDescent="0.25">
      <c r="O9050" s="21"/>
    </row>
    <row r="9051" spans="15:15" x14ac:dyDescent="0.25">
      <c r="O9051" s="21"/>
    </row>
    <row r="9052" spans="15:15" x14ac:dyDescent="0.25">
      <c r="O9052" s="21"/>
    </row>
    <row r="9053" spans="15:15" x14ac:dyDescent="0.25">
      <c r="O9053" s="21"/>
    </row>
    <row r="9054" spans="15:15" x14ac:dyDescent="0.25">
      <c r="O9054" s="21"/>
    </row>
    <row r="9055" spans="15:15" x14ac:dyDescent="0.25">
      <c r="O9055" s="21"/>
    </row>
    <row r="9056" spans="15:15" x14ac:dyDescent="0.25">
      <c r="O9056" s="21"/>
    </row>
    <row r="9057" spans="15:15" x14ac:dyDescent="0.25">
      <c r="O9057" s="21"/>
    </row>
    <row r="9058" spans="15:15" x14ac:dyDescent="0.25">
      <c r="O9058" s="21"/>
    </row>
    <row r="9059" spans="15:15" x14ac:dyDescent="0.25">
      <c r="O9059" s="21"/>
    </row>
    <row r="9060" spans="15:15" x14ac:dyDescent="0.25">
      <c r="O9060" s="21"/>
    </row>
    <row r="9061" spans="15:15" x14ac:dyDescent="0.25">
      <c r="O9061" s="21"/>
    </row>
    <row r="9062" spans="15:15" x14ac:dyDescent="0.25">
      <c r="O9062" s="21"/>
    </row>
    <row r="9063" spans="15:15" x14ac:dyDescent="0.25">
      <c r="O9063" s="21"/>
    </row>
    <row r="9064" spans="15:15" x14ac:dyDescent="0.25">
      <c r="O9064" s="21"/>
    </row>
    <row r="9065" spans="15:15" x14ac:dyDescent="0.25">
      <c r="O9065" s="21"/>
    </row>
    <row r="9066" spans="15:15" x14ac:dyDescent="0.25">
      <c r="O9066" s="21"/>
    </row>
    <row r="9067" spans="15:15" x14ac:dyDescent="0.25">
      <c r="O9067" s="21"/>
    </row>
    <row r="9068" spans="15:15" x14ac:dyDescent="0.25">
      <c r="O9068" s="21"/>
    </row>
    <row r="9069" spans="15:15" x14ac:dyDescent="0.25">
      <c r="O9069" s="21"/>
    </row>
    <row r="9070" spans="15:15" x14ac:dyDescent="0.25">
      <c r="O9070" s="21"/>
    </row>
    <row r="9071" spans="15:15" x14ac:dyDescent="0.25">
      <c r="O9071" s="21"/>
    </row>
    <row r="9072" spans="15:15" x14ac:dyDescent="0.25">
      <c r="O9072" s="21"/>
    </row>
    <row r="9073" spans="15:15" x14ac:dyDescent="0.25">
      <c r="O9073" s="21"/>
    </row>
    <row r="9074" spans="15:15" x14ac:dyDescent="0.25">
      <c r="O9074" s="21"/>
    </row>
    <row r="9075" spans="15:15" x14ac:dyDescent="0.25">
      <c r="O9075" s="21"/>
    </row>
    <row r="9076" spans="15:15" x14ac:dyDescent="0.25">
      <c r="O9076" s="21"/>
    </row>
    <row r="9077" spans="15:15" x14ac:dyDescent="0.25">
      <c r="O9077" s="21"/>
    </row>
    <row r="9078" spans="15:15" x14ac:dyDescent="0.25">
      <c r="O9078" s="21"/>
    </row>
    <row r="9079" spans="15:15" x14ac:dyDescent="0.25">
      <c r="O9079" s="21"/>
    </row>
    <row r="9080" spans="15:15" x14ac:dyDescent="0.25">
      <c r="O9080" s="21"/>
    </row>
    <row r="9081" spans="15:15" x14ac:dyDescent="0.25">
      <c r="O9081" s="21"/>
    </row>
    <row r="9082" spans="15:15" x14ac:dyDescent="0.25">
      <c r="O9082" s="21"/>
    </row>
    <row r="9083" spans="15:15" x14ac:dyDescent="0.25">
      <c r="O9083" s="21"/>
    </row>
    <row r="9084" spans="15:15" x14ac:dyDescent="0.25">
      <c r="O9084" s="21"/>
    </row>
    <row r="9085" spans="15:15" x14ac:dyDescent="0.25">
      <c r="O9085" s="21"/>
    </row>
    <row r="9086" spans="15:15" x14ac:dyDescent="0.25">
      <c r="O9086" s="21"/>
    </row>
    <row r="9087" spans="15:15" x14ac:dyDescent="0.25">
      <c r="O9087" s="21"/>
    </row>
    <row r="9088" spans="15:15" x14ac:dyDescent="0.25">
      <c r="O9088" s="21"/>
    </row>
    <row r="9089" spans="15:15" x14ac:dyDescent="0.25">
      <c r="O9089" s="21"/>
    </row>
    <row r="9090" spans="15:15" x14ac:dyDescent="0.25">
      <c r="O9090" s="21"/>
    </row>
    <row r="9091" spans="15:15" x14ac:dyDescent="0.25">
      <c r="O9091" s="21"/>
    </row>
    <row r="9092" spans="15:15" x14ac:dyDescent="0.25">
      <c r="O9092" s="21"/>
    </row>
    <row r="9093" spans="15:15" x14ac:dyDescent="0.25">
      <c r="O9093" s="21"/>
    </row>
    <row r="9094" spans="15:15" x14ac:dyDescent="0.25">
      <c r="O9094" s="21"/>
    </row>
    <row r="9095" spans="15:15" x14ac:dyDescent="0.25">
      <c r="O9095" s="21"/>
    </row>
    <row r="9096" spans="15:15" x14ac:dyDescent="0.25">
      <c r="O9096" s="21"/>
    </row>
    <row r="9097" spans="15:15" x14ac:dyDescent="0.25">
      <c r="O9097" s="21"/>
    </row>
    <row r="9098" spans="15:15" x14ac:dyDescent="0.25">
      <c r="O9098" s="21"/>
    </row>
    <row r="9099" spans="15:15" x14ac:dyDescent="0.25">
      <c r="O9099" s="21"/>
    </row>
    <row r="9100" spans="15:15" x14ac:dyDescent="0.25">
      <c r="O9100" s="21"/>
    </row>
    <row r="9101" spans="15:15" x14ac:dyDescent="0.25">
      <c r="O9101" s="21"/>
    </row>
    <row r="9102" spans="15:15" x14ac:dyDescent="0.25">
      <c r="O9102" s="21"/>
    </row>
    <row r="9103" spans="15:15" x14ac:dyDescent="0.25">
      <c r="O9103" s="21"/>
    </row>
    <row r="9104" spans="15:15" x14ac:dyDescent="0.25">
      <c r="O9104" s="21"/>
    </row>
    <row r="9105" spans="15:15" x14ac:dyDescent="0.25">
      <c r="O9105" s="21"/>
    </row>
    <row r="9106" spans="15:15" x14ac:dyDescent="0.25">
      <c r="O9106" s="21"/>
    </row>
    <row r="9107" spans="15:15" x14ac:dyDescent="0.25">
      <c r="O9107" s="21"/>
    </row>
    <row r="9108" spans="15:15" x14ac:dyDescent="0.25">
      <c r="O9108" s="21"/>
    </row>
    <row r="9109" spans="15:15" x14ac:dyDescent="0.25">
      <c r="O9109" s="21"/>
    </row>
    <row r="9110" spans="15:15" x14ac:dyDescent="0.25">
      <c r="O9110" s="21"/>
    </row>
    <row r="9111" spans="15:15" x14ac:dyDescent="0.25">
      <c r="O9111" s="21"/>
    </row>
    <row r="9112" spans="15:15" x14ac:dyDescent="0.25">
      <c r="O9112" s="21"/>
    </row>
    <row r="9113" spans="15:15" x14ac:dyDescent="0.25">
      <c r="O9113" s="21"/>
    </row>
    <row r="9114" spans="15:15" x14ac:dyDescent="0.25">
      <c r="O9114" s="21"/>
    </row>
    <row r="9115" spans="15:15" x14ac:dyDescent="0.25">
      <c r="O9115" s="21"/>
    </row>
    <row r="9116" spans="15:15" x14ac:dyDescent="0.25">
      <c r="O9116" s="21"/>
    </row>
    <row r="9117" spans="15:15" x14ac:dyDescent="0.25">
      <c r="O9117" s="21"/>
    </row>
    <row r="9118" spans="15:15" x14ac:dyDescent="0.25">
      <c r="O9118" s="21"/>
    </row>
    <row r="9119" spans="15:15" x14ac:dyDescent="0.25">
      <c r="O9119" s="21"/>
    </row>
    <row r="9120" spans="15:15" x14ac:dyDescent="0.25">
      <c r="O9120" s="21"/>
    </row>
    <row r="9121" spans="15:15" x14ac:dyDescent="0.25">
      <c r="O9121" s="21"/>
    </row>
    <row r="9122" spans="15:15" x14ac:dyDescent="0.25">
      <c r="O9122" s="21"/>
    </row>
    <row r="9123" spans="15:15" x14ac:dyDescent="0.25">
      <c r="O9123" s="21"/>
    </row>
    <row r="9124" spans="15:15" x14ac:dyDescent="0.25">
      <c r="O9124" s="21"/>
    </row>
    <row r="9125" spans="15:15" x14ac:dyDescent="0.25">
      <c r="O9125" s="21"/>
    </row>
    <row r="9126" spans="15:15" x14ac:dyDescent="0.25">
      <c r="O9126" s="21"/>
    </row>
    <row r="9127" spans="15:15" x14ac:dyDescent="0.25">
      <c r="O9127" s="21"/>
    </row>
    <row r="9128" spans="15:15" x14ac:dyDescent="0.25">
      <c r="O9128" s="21"/>
    </row>
    <row r="9129" spans="15:15" x14ac:dyDescent="0.25">
      <c r="O9129" s="21"/>
    </row>
    <row r="9130" spans="15:15" x14ac:dyDescent="0.25">
      <c r="O9130" s="21"/>
    </row>
    <row r="9131" spans="15:15" x14ac:dyDescent="0.25">
      <c r="O9131" s="21"/>
    </row>
    <row r="9132" spans="15:15" x14ac:dyDescent="0.25">
      <c r="O9132" s="21"/>
    </row>
    <row r="9133" spans="15:15" x14ac:dyDescent="0.25">
      <c r="O9133" s="21"/>
    </row>
    <row r="9134" spans="15:15" x14ac:dyDescent="0.25">
      <c r="O9134" s="21"/>
    </row>
    <row r="9135" spans="15:15" x14ac:dyDescent="0.25">
      <c r="O9135" s="21"/>
    </row>
    <row r="9136" spans="15:15" x14ac:dyDescent="0.25">
      <c r="O9136" s="21"/>
    </row>
    <row r="9137" spans="15:15" x14ac:dyDescent="0.25">
      <c r="O9137" s="21"/>
    </row>
    <row r="9138" spans="15:15" x14ac:dyDescent="0.25">
      <c r="O9138" s="21"/>
    </row>
    <row r="9139" spans="15:15" x14ac:dyDescent="0.25">
      <c r="O9139" s="21"/>
    </row>
    <row r="9140" spans="15:15" x14ac:dyDescent="0.25">
      <c r="O9140" s="21"/>
    </row>
    <row r="9141" spans="15:15" x14ac:dyDescent="0.25">
      <c r="O9141" s="21"/>
    </row>
    <row r="9142" spans="15:15" x14ac:dyDescent="0.25">
      <c r="O9142" s="21"/>
    </row>
    <row r="9143" spans="15:15" x14ac:dyDescent="0.25">
      <c r="O9143" s="21"/>
    </row>
    <row r="9144" spans="15:15" x14ac:dyDescent="0.25">
      <c r="O9144" s="21"/>
    </row>
    <row r="9145" spans="15:15" x14ac:dyDescent="0.25">
      <c r="O9145" s="21"/>
    </row>
    <row r="9146" spans="15:15" x14ac:dyDescent="0.25">
      <c r="O9146" s="21"/>
    </row>
    <row r="9147" spans="15:15" x14ac:dyDescent="0.25">
      <c r="O9147" s="21"/>
    </row>
    <row r="9148" spans="15:15" x14ac:dyDescent="0.25">
      <c r="O9148" s="21"/>
    </row>
    <row r="9149" spans="15:15" x14ac:dyDescent="0.25">
      <c r="O9149" s="21"/>
    </row>
    <row r="9150" spans="15:15" x14ac:dyDescent="0.25">
      <c r="O9150" s="21"/>
    </row>
    <row r="9151" spans="15:15" x14ac:dyDescent="0.25">
      <c r="O9151" s="21"/>
    </row>
    <row r="9152" spans="15:15" x14ac:dyDescent="0.25">
      <c r="O9152" s="21"/>
    </row>
    <row r="9153" spans="15:15" x14ac:dyDescent="0.25">
      <c r="O9153" s="21"/>
    </row>
    <row r="9154" spans="15:15" x14ac:dyDescent="0.25">
      <c r="O9154" s="21"/>
    </row>
    <row r="9155" spans="15:15" x14ac:dyDescent="0.25">
      <c r="O9155" s="21"/>
    </row>
    <row r="9156" spans="15:15" x14ac:dyDescent="0.25">
      <c r="O9156" s="21"/>
    </row>
    <row r="9157" spans="15:15" x14ac:dyDescent="0.25">
      <c r="O9157" s="21"/>
    </row>
    <row r="9158" spans="15:15" x14ac:dyDescent="0.25">
      <c r="O9158" s="21"/>
    </row>
    <row r="9159" spans="15:15" x14ac:dyDescent="0.25">
      <c r="O9159" s="21"/>
    </row>
    <row r="9160" spans="15:15" x14ac:dyDescent="0.25">
      <c r="O9160" s="21"/>
    </row>
    <row r="9161" spans="15:15" x14ac:dyDescent="0.25">
      <c r="O9161" s="21"/>
    </row>
    <row r="9162" spans="15:15" x14ac:dyDescent="0.25">
      <c r="O9162" s="21"/>
    </row>
    <row r="9163" spans="15:15" x14ac:dyDescent="0.25">
      <c r="O9163" s="21"/>
    </row>
    <row r="9164" spans="15:15" x14ac:dyDescent="0.25">
      <c r="O9164" s="21"/>
    </row>
    <row r="9165" spans="15:15" x14ac:dyDescent="0.25">
      <c r="O9165" s="21"/>
    </row>
    <row r="9166" spans="15:15" x14ac:dyDescent="0.25">
      <c r="O9166" s="21"/>
    </row>
    <row r="9167" spans="15:15" x14ac:dyDescent="0.25">
      <c r="O9167" s="21"/>
    </row>
    <row r="9168" spans="15:15" x14ac:dyDescent="0.25">
      <c r="O9168" s="21"/>
    </row>
    <row r="9169" spans="15:15" x14ac:dyDescent="0.25">
      <c r="O9169" s="21"/>
    </row>
    <row r="9170" spans="15:15" x14ac:dyDescent="0.25">
      <c r="O9170" s="21"/>
    </row>
    <row r="9171" spans="15:15" x14ac:dyDescent="0.25">
      <c r="O9171" s="21"/>
    </row>
    <row r="9172" spans="15:15" x14ac:dyDescent="0.25">
      <c r="O9172" s="21"/>
    </row>
    <row r="9173" spans="15:15" x14ac:dyDescent="0.25">
      <c r="O9173" s="21"/>
    </row>
    <row r="9174" spans="15:15" x14ac:dyDescent="0.25">
      <c r="O9174" s="21"/>
    </row>
    <row r="9175" spans="15:15" x14ac:dyDescent="0.25">
      <c r="O9175" s="21"/>
    </row>
    <row r="9176" spans="15:15" x14ac:dyDescent="0.25">
      <c r="O9176" s="21"/>
    </row>
    <row r="9177" spans="15:15" x14ac:dyDescent="0.25">
      <c r="O9177" s="21"/>
    </row>
    <row r="9178" spans="15:15" x14ac:dyDescent="0.25">
      <c r="O9178" s="21"/>
    </row>
    <row r="9179" spans="15:15" x14ac:dyDescent="0.25">
      <c r="O9179" s="21"/>
    </row>
    <row r="9180" spans="15:15" x14ac:dyDescent="0.25">
      <c r="O9180" s="21"/>
    </row>
    <row r="9181" spans="15:15" x14ac:dyDescent="0.25">
      <c r="O9181" s="21"/>
    </row>
    <row r="9182" spans="15:15" x14ac:dyDescent="0.25">
      <c r="O9182" s="21"/>
    </row>
    <row r="9183" spans="15:15" x14ac:dyDescent="0.25">
      <c r="O9183" s="21"/>
    </row>
    <row r="9184" spans="15:15" x14ac:dyDescent="0.25">
      <c r="O9184" s="21"/>
    </row>
    <row r="9185" spans="15:15" x14ac:dyDescent="0.25">
      <c r="O9185" s="21"/>
    </row>
    <row r="9186" spans="15:15" x14ac:dyDescent="0.25">
      <c r="O9186" s="21"/>
    </row>
    <row r="9187" spans="15:15" x14ac:dyDescent="0.25">
      <c r="O9187" s="21"/>
    </row>
    <row r="9188" spans="15:15" x14ac:dyDescent="0.25">
      <c r="O9188" s="21"/>
    </row>
    <row r="9189" spans="15:15" x14ac:dyDescent="0.25">
      <c r="O9189" s="21"/>
    </row>
    <row r="9190" spans="15:15" x14ac:dyDescent="0.25">
      <c r="O9190" s="21"/>
    </row>
    <row r="9191" spans="15:15" x14ac:dyDescent="0.25">
      <c r="O9191" s="21"/>
    </row>
    <row r="9192" spans="15:15" x14ac:dyDescent="0.25">
      <c r="O9192" s="21"/>
    </row>
    <row r="9193" spans="15:15" x14ac:dyDescent="0.25">
      <c r="O9193" s="21"/>
    </row>
    <row r="9194" spans="15:15" x14ac:dyDescent="0.25">
      <c r="O9194" s="21"/>
    </row>
    <row r="9195" spans="15:15" x14ac:dyDescent="0.25">
      <c r="O9195" s="21"/>
    </row>
    <row r="9196" spans="15:15" x14ac:dyDescent="0.25">
      <c r="O9196" s="21"/>
    </row>
    <row r="9197" spans="15:15" x14ac:dyDescent="0.25">
      <c r="O9197" s="21"/>
    </row>
    <row r="9198" spans="15:15" x14ac:dyDescent="0.25">
      <c r="O9198" s="21"/>
    </row>
    <row r="9199" spans="15:15" x14ac:dyDescent="0.25">
      <c r="O9199" s="21"/>
    </row>
    <row r="9200" spans="15:15" x14ac:dyDescent="0.25">
      <c r="O9200" s="21"/>
    </row>
    <row r="9201" spans="15:15" x14ac:dyDescent="0.25">
      <c r="O9201" s="21"/>
    </row>
    <row r="9202" spans="15:15" x14ac:dyDescent="0.25">
      <c r="O9202" s="21"/>
    </row>
    <row r="9203" spans="15:15" x14ac:dyDescent="0.25">
      <c r="O9203" s="21"/>
    </row>
    <row r="9204" spans="15:15" x14ac:dyDescent="0.25">
      <c r="O9204" s="21"/>
    </row>
    <row r="9205" spans="15:15" x14ac:dyDescent="0.25">
      <c r="O9205" s="21"/>
    </row>
    <row r="9206" spans="15:15" x14ac:dyDescent="0.25">
      <c r="O9206" s="21"/>
    </row>
    <row r="9207" spans="15:15" x14ac:dyDescent="0.25">
      <c r="O9207" s="21"/>
    </row>
    <row r="9208" spans="15:15" x14ac:dyDescent="0.25">
      <c r="O9208" s="21"/>
    </row>
    <row r="9209" spans="15:15" x14ac:dyDescent="0.25">
      <c r="O9209" s="21"/>
    </row>
    <row r="9210" spans="15:15" x14ac:dyDescent="0.25">
      <c r="O9210" s="21"/>
    </row>
    <row r="9211" spans="15:15" x14ac:dyDescent="0.25">
      <c r="O9211" s="21"/>
    </row>
    <row r="9212" spans="15:15" x14ac:dyDescent="0.25">
      <c r="O9212" s="21"/>
    </row>
    <row r="9213" spans="15:15" x14ac:dyDescent="0.25">
      <c r="O9213" s="21"/>
    </row>
    <row r="9214" spans="15:15" x14ac:dyDescent="0.25">
      <c r="O9214" s="21"/>
    </row>
    <row r="9215" spans="15:15" x14ac:dyDescent="0.25">
      <c r="O9215" s="21"/>
    </row>
    <row r="9216" spans="15:15" x14ac:dyDescent="0.25">
      <c r="O9216" s="21"/>
    </row>
    <row r="9217" spans="15:15" x14ac:dyDescent="0.25">
      <c r="O9217" s="21"/>
    </row>
    <row r="9218" spans="15:15" x14ac:dyDescent="0.25">
      <c r="O9218" s="21"/>
    </row>
    <row r="9219" spans="15:15" x14ac:dyDescent="0.25">
      <c r="O9219" s="21"/>
    </row>
    <row r="9220" spans="15:15" x14ac:dyDescent="0.25">
      <c r="O9220" s="21"/>
    </row>
    <row r="9221" spans="15:15" x14ac:dyDescent="0.25">
      <c r="O9221" s="21"/>
    </row>
    <row r="9222" spans="15:15" x14ac:dyDescent="0.25">
      <c r="O9222" s="21"/>
    </row>
    <row r="9223" spans="15:15" x14ac:dyDescent="0.25">
      <c r="O9223" s="21"/>
    </row>
    <row r="9224" spans="15:15" x14ac:dyDescent="0.25">
      <c r="O9224" s="21"/>
    </row>
    <row r="9225" spans="15:15" x14ac:dyDescent="0.25">
      <c r="O9225" s="21"/>
    </row>
    <row r="9226" spans="15:15" x14ac:dyDescent="0.25">
      <c r="O9226" s="21"/>
    </row>
    <row r="9227" spans="15:15" x14ac:dyDescent="0.25">
      <c r="O9227" s="21"/>
    </row>
    <row r="9228" spans="15:15" x14ac:dyDescent="0.25">
      <c r="O9228" s="21"/>
    </row>
    <row r="9229" spans="15:15" x14ac:dyDescent="0.25">
      <c r="O9229" s="21"/>
    </row>
    <row r="9230" spans="15:15" x14ac:dyDescent="0.25">
      <c r="O9230" s="21"/>
    </row>
    <row r="9231" spans="15:15" x14ac:dyDescent="0.25">
      <c r="O9231" s="21"/>
    </row>
    <row r="9232" spans="15:15" x14ac:dyDescent="0.25">
      <c r="O9232" s="21"/>
    </row>
    <row r="9233" spans="15:15" x14ac:dyDescent="0.25">
      <c r="O9233" s="21"/>
    </row>
    <row r="9234" spans="15:15" x14ac:dyDescent="0.25">
      <c r="O9234" s="21"/>
    </row>
    <row r="9235" spans="15:15" x14ac:dyDescent="0.25">
      <c r="O9235" s="21"/>
    </row>
    <row r="9236" spans="15:15" x14ac:dyDescent="0.25">
      <c r="O9236" s="21"/>
    </row>
    <row r="9237" spans="15:15" x14ac:dyDescent="0.25">
      <c r="O9237" s="21"/>
    </row>
    <row r="9238" spans="15:15" x14ac:dyDescent="0.25">
      <c r="O9238" s="21"/>
    </row>
    <row r="9239" spans="15:15" x14ac:dyDescent="0.25">
      <c r="O9239" s="21"/>
    </row>
    <row r="9240" spans="15:15" x14ac:dyDescent="0.25">
      <c r="O9240" s="21"/>
    </row>
    <row r="9241" spans="15:15" x14ac:dyDescent="0.25">
      <c r="O9241" s="21"/>
    </row>
    <row r="9242" spans="15:15" x14ac:dyDescent="0.25">
      <c r="O9242" s="21"/>
    </row>
    <row r="9243" spans="15:15" x14ac:dyDescent="0.25">
      <c r="O9243" s="21"/>
    </row>
    <row r="9244" spans="15:15" x14ac:dyDescent="0.25">
      <c r="O9244" s="21"/>
    </row>
    <row r="9245" spans="15:15" x14ac:dyDescent="0.25">
      <c r="O9245" s="21"/>
    </row>
    <row r="9246" spans="15:15" x14ac:dyDescent="0.25">
      <c r="O9246" s="21"/>
    </row>
    <row r="9247" spans="15:15" x14ac:dyDescent="0.25">
      <c r="O9247" s="21"/>
    </row>
    <row r="9248" spans="15:15" x14ac:dyDescent="0.25">
      <c r="O9248" s="21"/>
    </row>
    <row r="9249" spans="15:15" x14ac:dyDescent="0.25">
      <c r="O9249" s="21"/>
    </row>
    <row r="9250" spans="15:15" x14ac:dyDescent="0.25">
      <c r="O9250" s="21"/>
    </row>
    <row r="9251" spans="15:15" x14ac:dyDescent="0.25">
      <c r="O9251" s="21"/>
    </row>
    <row r="9252" spans="15:15" x14ac:dyDescent="0.25">
      <c r="O9252" s="21"/>
    </row>
    <row r="9253" spans="15:15" x14ac:dyDescent="0.25">
      <c r="O9253" s="21"/>
    </row>
    <row r="9254" spans="15:15" x14ac:dyDescent="0.25">
      <c r="O9254" s="21"/>
    </row>
    <row r="9255" spans="15:15" x14ac:dyDescent="0.25">
      <c r="O9255" s="21"/>
    </row>
    <row r="9256" spans="15:15" x14ac:dyDescent="0.25">
      <c r="O9256" s="21"/>
    </row>
    <row r="9257" spans="15:15" x14ac:dyDescent="0.25">
      <c r="O9257" s="21"/>
    </row>
    <row r="9258" spans="15:15" x14ac:dyDescent="0.25">
      <c r="O9258" s="21"/>
    </row>
    <row r="9259" spans="15:15" x14ac:dyDescent="0.25">
      <c r="O9259" s="21"/>
    </row>
    <row r="9260" spans="15:15" x14ac:dyDescent="0.25">
      <c r="O9260" s="21"/>
    </row>
    <row r="9261" spans="15:15" x14ac:dyDescent="0.25">
      <c r="O9261" s="21"/>
    </row>
    <row r="9262" spans="15:15" x14ac:dyDescent="0.25">
      <c r="O9262" s="21"/>
    </row>
    <row r="9263" spans="15:15" x14ac:dyDescent="0.25">
      <c r="O9263" s="21"/>
    </row>
    <row r="9264" spans="15:15" x14ac:dyDescent="0.25">
      <c r="O9264" s="21"/>
    </row>
    <row r="9265" spans="15:15" x14ac:dyDescent="0.25">
      <c r="O9265" s="21"/>
    </row>
    <row r="9266" spans="15:15" x14ac:dyDescent="0.25">
      <c r="O9266" s="21"/>
    </row>
    <row r="9267" spans="15:15" x14ac:dyDescent="0.25">
      <c r="O9267" s="21"/>
    </row>
    <row r="9268" spans="15:15" x14ac:dyDescent="0.25">
      <c r="O9268" s="21"/>
    </row>
    <row r="9269" spans="15:15" x14ac:dyDescent="0.25">
      <c r="O9269" s="21"/>
    </row>
    <row r="9270" spans="15:15" x14ac:dyDescent="0.25">
      <c r="O9270" s="21"/>
    </row>
    <row r="9271" spans="15:15" x14ac:dyDescent="0.25">
      <c r="O9271" s="21"/>
    </row>
    <row r="9272" spans="15:15" x14ac:dyDescent="0.25">
      <c r="O9272" s="21"/>
    </row>
    <row r="9273" spans="15:15" x14ac:dyDescent="0.25">
      <c r="O9273" s="21"/>
    </row>
    <row r="9274" spans="15:15" x14ac:dyDescent="0.25">
      <c r="O9274" s="21"/>
    </row>
    <row r="9275" spans="15:15" x14ac:dyDescent="0.25">
      <c r="O9275" s="21"/>
    </row>
    <row r="9276" spans="15:15" x14ac:dyDescent="0.25">
      <c r="O9276" s="21"/>
    </row>
    <row r="9277" spans="15:15" x14ac:dyDescent="0.25">
      <c r="O9277" s="21"/>
    </row>
    <row r="9278" spans="15:15" x14ac:dyDescent="0.25">
      <c r="O9278" s="21"/>
    </row>
    <row r="9279" spans="15:15" x14ac:dyDescent="0.25">
      <c r="O9279" s="21"/>
    </row>
    <row r="9280" spans="15:15" x14ac:dyDescent="0.25">
      <c r="O9280" s="21"/>
    </row>
    <row r="9281" spans="15:15" x14ac:dyDescent="0.25">
      <c r="O9281" s="21"/>
    </row>
    <row r="9282" spans="15:15" x14ac:dyDescent="0.25">
      <c r="O9282" s="21"/>
    </row>
    <row r="9283" spans="15:15" x14ac:dyDescent="0.25">
      <c r="O9283" s="21"/>
    </row>
    <row r="9284" spans="15:15" x14ac:dyDescent="0.25">
      <c r="O9284" s="21"/>
    </row>
    <row r="9285" spans="15:15" x14ac:dyDescent="0.25">
      <c r="O9285" s="21"/>
    </row>
    <row r="9286" spans="15:15" x14ac:dyDescent="0.25">
      <c r="O9286" s="21"/>
    </row>
    <row r="9287" spans="15:15" x14ac:dyDescent="0.25">
      <c r="O9287" s="21"/>
    </row>
    <row r="9288" spans="15:15" x14ac:dyDescent="0.25">
      <c r="O9288" s="21"/>
    </row>
    <row r="9289" spans="15:15" x14ac:dyDescent="0.25">
      <c r="O9289" s="21"/>
    </row>
    <row r="9290" spans="15:15" x14ac:dyDescent="0.25">
      <c r="O9290" s="21"/>
    </row>
    <row r="9291" spans="15:15" x14ac:dyDescent="0.25">
      <c r="O9291" s="21"/>
    </row>
    <row r="9292" spans="15:15" x14ac:dyDescent="0.25">
      <c r="O9292" s="21"/>
    </row>
    <row r="9293" spans="15:15" x14ac:dyDescent="0.25">
      <c r="O9293" s="21"/>
    </row>
    <row r="9294" spans="15:15" x14ac:dyDescent="0.25">
      <c r="O9294" s="21"/>
    </row>
    <row r="9295" spans="15:15" x14ac:dyDescent="0.25">
      <c r="O9295" s="21"/>
    </row>
    <row r="9296" spans="15:15" x14ac:dyDescent="0.25">
      <c r="O9296" s="21"/>
    </row>
    <row r="9297" spans="15:15" x14ac:dyDescent="0.25">
      <c r="O9297" s="21"/>
    </row>
    <row r="9298" spans="15:15" x14ac:dyDescent="0.25">
      <c r="O9298" s="21"/>
    </row>
    <row r="9299" spans="15:15" x14ac:dyDescent="0.25">
      <c r="O9299" s="21"/>
    </row>
    <row r="9300" spans="15:15" x14ac:dyDescent="0.25">
      <c r="O9300" s="21"/>
    </row>
    <row r="9301" spans="15:15" x14ac:dyDescent="0.25">
      <c r="O9301" s="21"/>
    </row>
    <row r="9302" spans="15:15" x14ac:dyDescent="0.25">
      <c r="O9302" s="21"/>
    </row>
    <row r="9303" spans="15:15" x14ac:dyDescent="0.25">
      <c r="O9303" s="21"/>
    </row>
    <row r="9304" spans="15:15" x14ac:dyDescent="0.25">
      <c r="O9304" s="21"/>
    </row>
    <row r="9305" spans="15:15" x14ac:dyDescent="0.25">
      <c r="O9305" s="21"/>
    </row>
    <row r="9306" spans="15:15" x14ac:dyDescent="0.25">
      <c r="O9306" s="21"/>
    </row>
    <row r="9307" spans="15:15" x14ac:dyDescent="0.25">
      <c r="O9307" s="21"/>
    </row>
    <row r="9308" spans="15:15" x14ac:dyDescent="0.25">
      <c r="O9308" s="21"/>
    </row>
    <row r="9309" spans="15:15" x14ac:dyDescent="0.25">
      <c r="O9309" s="21"/>
    </row>
    <row r="9310" spans="15:15" x14ac:dyDescent="0.25">
      <c r="O9310" s="21"/>
    </row>
    <row r="9311" spans="15:15" x14ac:dyDescent="0.25">
      <c r="O9311" s="21"/>
    </row>
    <row r="9312" spans="15:15" x14ac:dyDescent="0.25">
      <c r="O9312" s="21"/>
    </row>
    <row r="9313" spans="15:15" x14ac:dyDescent="0.25">
      <c r="O9313" s="21"/>
    </row>
    <row r="9314" spans="15:15" x14ac:dyDescent="0.25">
      <c r="O9314" s="21"/>
    </row>
    <row r="9315" spans="15:15" x14ac:dyDescent="0.25">
      <c r="O9315" s="21"/>
    </row>
    <row r="9316" spans="15:15" x14ac:dyDescent="0.25">
      <c r="O9316" s="21"/>
    </row>
    <row r="9317" spans="15:15" x14ac:dyDescent="0.25">
      <c r="O9317" s="21"/>
    </row>
    <row r="9318" spans="15:15" x14ac:dyDescent="0.25">
      <c r="O9318" s="21"/>
    </row>
    <row r="9319" spans="15:15" x14ac:dyDescent="0.25">
      <c r="O9319" s="21"/>
    </row>
    <row r="9320" spans="15:15" x14ac:dyDescent="0.25">
      <c r="O9320" s="21"/>
    </row>
    <row r="9321" spans="15:15" x14ac:dyDescent="0.25">
      <c r="O9321" s="21"/>
    </row>
    <row r="9322" spans="15:15" x14ac:dyDescent="0.25">
      <c r="O9322" s="21"/>
    </row>
    <row r="9323" spans="15:15" x14ac:dyDescent="0.25">
      <c r="O9323" s="21"/>
    </row>
    <row r="9324" spans="15:15" x14ac:dyDescent="0.25">
      <c r="O9324" s="21"/>
    </row>
    <row r="9325" spans="15:15" x14ac:dyDescent="0.25">
      <c r="O9325" s="21"/>
    </row>
    <row r="9326" spans="15:15" x14ac:dyDescent="0.25">
      <c r="O9326" s="21"/>
    </row>
    <row r="9327" spans="15:15" x14ac:dyDescent="0.25">
      <c r="O9327" s="21"/>
    </row>
    <row r="9328" spans="15:15" x14ac:dyDescent="0.25">
      <c r="O9328" s="21"/>
    </row>
    <row r="9329" spans="15:15" x14ac:dyDescent="0.25">
      <c r="O9329" s="21"/>
    </row>
    <row r="9330" spans="15:15" x14ac:dyDescent="0.25">
      <c r="O9330" s="21"/>
    </row>
    <row r="9331" spans="15:15" x14ac:dyDescent="0.25">
      <c r="O9331" s="21"/>
    </row>
    <row r="9332" spans="15:15" x14ac:dyDescent="0.25">
      <c r="O9332" s="21"/>
    </row>
    <row r="9333" spans="15:15" x14ac:dyDescent="0.25">
      <c r="O9333" s="21"/>
    </row>
    <row r="9334" spans="15:15" x14ac:dyDescent="0.25">
      <c r="O9334" s="21"/>
    </row>
    <row r="9335" spans="15:15" x14ac:dyDescent="0.25">
      <c r="O9335" s="21"/>
    </row>
    <row r="9336" spans="15:15" x14ac:dyDescent="0.25">
      <c r="O9336" s="21"/>
    </row>
    <row r="9337" spans="15:15" x14ac:dyDescent="0.25">
      <c r="O9337" s="21"/>
    </row>
    <row r="9338" spans="15:15" x14ac:dyDescent="0.25">
      <c r="O9338" s="21"/>
    </row>
    <row r="9339" spans="15:15" x14ac:dyDescent="0.25">
      <c r="O9339" s="21"/>
    </row>
    <row r="9340" spans="15:15" x14ac:dyDescent="0.25">
      <c r="O9340" s="21"/>
    </row>
    <row r="9341" spans="15:15" x14ac:dyDescent="0.25">
      <c r="O9341" s="21"/>
    </row>
    <row r="9342" spans="15:15" x14ac:dyDescent="0.25">
      <c r="O9342" s="21"/>
    </row>
    <row r="9343" spans="15:15" x14ac:dyDescent="0.25">
      <c r="O9343" s="21"/>
    </row>
    <row r="9344" spans="15:15" x14ac:dyDescent="0.25">
      <c r="O9344" s="21"/>
    </row>
    <row r="9345" spans="15:15" x14ac:dyDescent="0.25">
      <c r="O9345" s="21"/>
    </row>
    <row r="9346" spans="15:15" x14ac:dyDescent="0.25">
      <c r="O9346" s="21"/>
    </row>
    <row r="9347" spans="15:15" x14ac:dyDescent="0.25">
      <c r="O9347" s="21"/>
    </row>
    <row r="9348" spans="15:15" x14ac:dyDescent="0.25">
      <c r="O9348" s="21"/>
    </row>
    <row r="9349" spans="15:15" x14ac:dyDescent="0.25">
      <c r="O9349" s="21"/>
    </row>
    <row r="9350" spans="15:15" x14ac:dyDescent="0.25">
      <c r="O9350" s="21"/>
    </row>
    <row r="9351" spans="15:15" x14ac:dyDescent="0.25">
      <c r="O9351" s="21"/>
    </row>
    <row r="9352" spans="15:15" x14ac:dyDescent="0.25">
      <c r="O9352" s="21"/>
    </row>
    <row r="9353" spans="15:15" x14ac:dyDescent="0.25">
      <c r="O9353" s="21"/>
    </row>
    <row r="9354" spans="15:15" x14ac:dyDescent="0.25">
      <c r="O9354" s="21"/>
    </row>
    <row r="9355" spans="15:15" x14ac:dyDescent="0.25">
      <c r="O9355" s="21"/>
    </row>
    <row r="9356" spans="15:15" x14ac:dyDescent="0.25">
      <c r="O9356" s="21"/>
    </row>
    <row r="9357" spans="15:15" x14ac:dyDescent="0.25">
      <c r="O9357" s="21"/>
    </row>
    <row r="9358" spans="15:15" x14ac:dyDescent="0.25">
      <c r="O9358" s="21"/>
    </row>
    <row r="9359" spans="15:15" x14ac:dyDescent="0.25">
      <c r="O9359" s="21"/>
    </row>
    <row r="9360" spans="15:15" x14ac:dyDescent="0.25">
      <c r="O9360" s="21"/>
    </row>
    <row r="9361" spans="15:15" x14ac:dyDescent="0.25">
      <c r="O9361" s="21"/>
    </row>
    <row r="9362" spans="15:15" x14ac:dyDescent="0.25">
      <c r="O9362" s="21"/>
    </row>
    <row r="9363" spans="15:15" x14ac:dyDescent="0.25">
      <c r="O9363" s="21"/>
    </row>
    <row r="9364" spans="15:15" x14ac:dyDescent="0.25">
      <c r="O9364" s="21"/>
    </row>
    <row r="9365" spans="15:15" x14ac:dyDescent="0.25">
      <c r="O9365" s="21"/>
    </row>
    <row r="9366" spans="15:15" x14ac:dyDescent="0.25">
      <c r="O9366" s="21"/>
    </row>
    <row r="9367" spans="15:15" x14ac:dyDescent="0.25">
      <c r="O9367" s="21"/>
    </row>
    <row r="9368" spans="15:15" x14ac:dyDescent="0.25">
      <c r="O9368" s="21"/>
    </row>
    <row r="9369" spans="15:15" x14ac:dyDescent="0.25">
      <c r="O9369" s="21"/>
    </row>
    <row r="9370" spans="15:15" x14ac:dyDescent="0.25">
      <c r="O9370" s="21"/>
    </row>
    <row r="9371" spans="15:15" x14ac:dyDescent="0.25">
      <c r="O9371" s="21"/>
    </row>
    <row r="9372" spans="15:15" x14ac:dyDescent="0.25">
      <c r="O9372" s="21"/>
    </row>
    <row r="9373" spans="15:15" x14ac:dyDescent="0.25">
      <c r="O9373" s="21"/>
    </row>
    <row r="9374" spans="15:15" x14ac:dyDescent="0.25">
      <c r="O9374" s="21"/>
    </row>
    <row r="9375" spans="15:15" x14ac:dyDescent="0.25">
      <c r="O9375" s="21"/>
    </row>
    <row r="9376" spans="15:15" x14ac:dyDescent="0.25">
      <c r="O9376" s="21"/>
    </row>
    <row r="9377" spans="15:15" x14ac:dyDescent="0.25">
      <c r="O9377" s="21"/>
    </row>
    <row r="9378" spans="15:15" x14ac:dyDescent="0.25">
      <c r="O9378" s="21"/>
    </row>
    <row r="9379" spans="15:15" x14ac:dyDescent="0.25">
      <c r="O9379" s="21"/>
    </row>
    <row r="9380" spans="15:15" x14ac:dyDescent="0.25">
      <c r="O9380" s="21"/>
    </row>
    <row r="9381" spans="15:15" x14ac:dyDescent="0.25">
      <c r="O9381" s="21"/>
    </row>
    <row r="9382" spans="15:15" x14ac:dyDescent="0.25">
      <c r="O9382" s="21"/>
    </row>
    <row r="9383" spans="15:15" x14ac:dyDescent="0.25">
      <c r="O9383" s="21"/>
    </row>
    <row r="9384" spans="15:15" x14ac:dyDescent="0.25">
      <c r="O9384" s="21"/>
    </row>
    <row r="9385" spans="15:15" x14ac:dyDescent="0.25">
      <c r="O9385" s="21"/>
    </row>
    <row r="9386" spans="15:15" x14ac:dyDescent="0.25">
      <c r="O9386" s="21"/>
    </row>
    <row r="9387" spans="15:15" x14ac:dyDescent="0.25">
      <c r="O9387" s="21"/>
    </row>
    <row r="9388" spans="15:15" x14ac:dyDescent="0.25">
      <c r="O9388" s="21"/>
    </row>
    <row r="9389" spans="15:15" x14ac:dyDescent="0.25">
      <c r="O9389" s="21"/>
    </row>
    <row r="9390" spans="15:15" x14ac:dyDescent="0.25">
      <c r="O9390" s="21"/>
    </row>
    <row r="9391" spans="15:15" x14ac:dyDescent="0.25">
      <c r="O9391" s="21"/>
    </row>
    <row r="9392" spans="15:15" x14ac:dyDescent="0.25">
      <c r="O9392" s="21"/>
    </row>
    <row r="9393" spans="15:15" x14ac:dyDescent="0.25">
      <c r="O9393" s="21"/>
    </row>
    <row r="9394" spans="15:15" x14ac:dyDescent="0.25">
      <c r="O9394" s="21"/>
    </row>
    <row r="9395" spans="15:15" x14ac:dyDescent="0.25">
      <c r="O9395" s="21"/>
    </row>
    <row r="9396" spans="15:15" x14ac:dyDescent="0.25">
      <c r="O9396" s="21"/>
    </row>
    <row r="9397" spans="15:15" x14ac:dyDescent="0.25">
      <c r="O9397" s="21"/>
    </row>
    <row r="9398" spans="15:15" x14ac:dyDescent="0.25">
      <c r="O9398" s="21"/>
    </row>
    <row r="9399" spans="15:15" x14ac:dyDescent="0.25">
      <c r="O9399" s="21"/>
    </row>
    <row r="9400" spans="15:15" x14ac:dyDescent="0.25">
      <c r="O9400" s="21"/>
    </row>
    <row r="9401" spans="15:15" x14ac:dyDescent="0.25">
      <c r="O9401" s="21"/>
    </row>
    <row r="9402" spans="15:15" x14ac:dyDescent="0.25">
      <c r="O9402" s="21"/>
    </row>
    <row r="9403" spans="15:15" x14ac:dyDescent="0.25">
      <c r="O9403" s="21"/>
    </row>
    <row r="9404" spans="15:15" x14ac:dyDescent="0.25">
      <c r="O9404" s="21"/>
    </row>
    <row r="9405" spans="15:15" x14ac:dyDescent="0.25">
      <c r="O9405" s="21"/>
    </row>
    <row r="9406" spans="15:15" x14ac:dyDescent="0.25">
      <c r="O9406" s="21"/>
    </row>
    <row r="9407" spans="15:15" x14ac:dyDescent="0.25">
      <c r="O9407" s="21"/>
    </row>
    <row r="9408" spans="15:15" x14ac:dyDescent="0.25">
      <c r="O9408" s="21"/>
    </row>
    <row r="9409" spans="15:15" x14ac:dyDescent="0.25">
      <c r="O9409" s="21"/>
    </row>
    <row r="9410" spans="15:15" x14ac:dyDescent="0.25">
      <c r="O9410" s="21"/>
    </row>
    <row r="9411" spans="15:15" x14ac:dyDescent="0.25">
      <c r="O9411" s="21"/>
    </row>
    <row r="9412" spans="15:15" x14ac:dyDescent="0.25">
      <c r="O9412" s="21"/>
    </row>
    <row r="9413" spans="15:15" x14ac:dyDescent="0.25">
      <c r="O9413" s="21"/>
    </row>
    <row r="9414" spans="15:15" x14ac:dyDescent="0.25">
      <c r="O9414" s="21"/>
    </row>
    <row r="9415" spans="15:15" x14ac:dyDescent="0.25">
      <c r="O9415" s="21"/>
    </row>
    <row r="9416" spans="15:15" x14ac:dyDescent="0.25">
      <c r="O9416" s="21"/>
    </row>
    <row r="9417" spans="15:15" x14ac:dyDescent="0.25">
      <c r="O9417" s="21"/>
    </row>
    <row r="9418" spans="15:15" x14ac:dyDescent="0.25">
      <c r="O9418" s="21"/>
    </row>
    <row r="9419" spans="15:15" x14ac:dyDescent="0.25">
      <c r="O9419" s="21"/>
    </row>
    <row r="9420" spans="15:15" x14ac:dyDescent="0.25">
      <c r="O9420" s="21"/>
    </row>
    <row r="9421" spans="15:15" x14ac:dyDescent="0.25">
      <c r="O9421" s="21"/>
    </row>
    <row r="9422" spans="15:15" x14ac:dyDescent="0.25">
      <c r="O9422" s="21"/>
    </row>
    <row r="9423" spans="15:15" x14ac:dyDescent="0.25">
      <c r="O9423" s="21"/>
    </row>
    <row r="9424" spans="15:15" x14ac:dyDescent="0.25">
      <c r="O9424" s="21"/>
    </row>
    <row r="9425" spans="15:15" x14ac:dyDescent="0.25">
      <c r="O9425" s="21"/>
    </row>
    <row r="9426" spans="15:15" x14ac:dyDescent="0.25">
      <c r="O9426" s="21"/>
    </row>
    <row r="9427" spans="15:15" x14ac:dyDescent="0.25">
      <c r="O9427" s="21"/>
    </row>
    <row r="9428" spans="15:15" x14ac:dyDescent="0.25">
      <c r="O9428" s="21"/>
    </row>
    <row r="9429" spans="15:15" x14ac:dyDescent="0.25">
      <c r="O9429" s="21"/>
    </row>
    <row r="9430" spans="15:15" x14ac:dyDescent="0.25">
      <c r="O9430" s="21"/>
    </row>
    <row r="9431" spans="15:15" x14ac:dyDescent="0.25">
      <c r="O9431" s="21"/>
    </row>
    <row r="9432" spans="15:15" x14ac:dyDescent="0.25">
      <c r="O9432" s="21"/>
    </row>
    <row r="9433" spans="15:15" x14ac:dyDescent="0.25">
      <c r="O9433" s="21"/>
    </row>
    <row r="9434" spans="15:15" x14ac:dyDescent="0.25">
      <c r="O9434" s="21"/>
    </row>
    <row r="9435" spans="15:15" x14ac:dyDescent="0.25">
      <c r="O9435" s="21"/>
    </row>
    <row r="9436" spans="15:15" x14ac:dyDescent="0.25">
      <c r="O9436" s="21"/>
    </row>
    <row r="9437" spans="15:15" x14ac:dyDescent="0.25">
      <c r="O9437" s="21"/>
    </row>
    <row r="9438" spans="15:15" x14ac:dyDescent="0.25">
      <c r="O9438" s="21"/>
    </row>
    <row r="9439" spans="15:15" x14ac:dyDescent="0.25">
      <c r="O9439" s="21"/>
    </row>
    <row r="9440" spans="15:15" x14ac:dyDescent="0.25">
      <c r="O9440" s="21"/>
    </row>
    <row r="9441" spans="15:15" x14ac:dyDescent="0.25">
      <c r="O9441" s="21"/>
    </row>
    <row r="9442" spans="15:15" x14ac:dyDescent="0.25">
      <c r="O9442" s="21"/>
    </row>
    <row r="9443" spans="15:15" x14ac:dyDescent="0.25">
      <c r="O9443" s="21"/>
    </row>
    <row r="9444" spans="15:15" x14ac:dyDescent="0.25">
      <c r="O9444" s="21"/>
    </row>
    <row r="9445" spans="15:15" x14ac:dyDescent="0.25">
      <c r="O9445" s="21"/>
    </row>
    <row r="9446" spans="15:15" x14ac:dyDescent="0.25">
      <c r="O9446" s="21"/>
    </row>
    <row r="9447" spans="15:15" x14ac:dyDescent="0.25">
      <c r="O9447" s="21"/>
    </row>
    <row r="9448" spans="15:15" x14ac:dyDescent="0.25">
      <c r="O9448" s="21"/>
    </row>
    <row r="9449" spans="15:15" x14ac:dyDescent="0.25">
      <c r="O9449" s="21"/>
    </row>
    <row r="9450" spans="15:15" x14ac:dyDescent="0.25">
      <c r="O9450" s="21"/>
    </row>
    <row r="9451" spans="15:15" x14ac:dyDescent="0.25">
      <c r="O9451" s="21"/>
    </row>
    <row r="9452" spans="15:15" x14ac:dyDescent="0.25">
      <c r="O9452" s="21"/>
    </row>
    <row r="9453" spans="15:15" x14ac:dyDescent="0.25">
      <c r="O9453" s="21"/>
    </row>
    <row r="9454" spans="15:15" x14ac:dyDescent="0.25">
      <c r="O9454" s="21"/>
    </row>
    <row r="9455" spans="15:15" x14ac:dyDescent="0.25">
      <c r="O9455" s="21"/>
    </row>
    <row r="9456" spans="15:15" x14ac:dyDescent="0.25">
      <c r="O9456" s="21"/>
    </row>
    <row r="9457" spans="15:15" x14ac:dyDescent="0.25">
      <c r="O9457" s="21"/>
    </row>
    <row r="9458" spans="15:15" x14ac:dyDescent="0.25">
      <c r="O9458" s="21"/>
    </row>
    <row r="9459" spans="15:15" x14ac:dyDescent="0.25">
      <c r="O9459" s="21"/>
    </row>
    <row r="9460" spans="15:15" x14ac:dyDescent="0.25">
      <c r="O9460" s="21"/>
    </row>
    <row r="9461" spans="15:15" x14ac:dyDescent="0.25">
      <c r="O9461" s="21"/>
    </row>
    <row r="9462" spans="15:15" x14ac:dyDescent="0.25">
      <c r="O9462" s="21"/>
    </row>
    <row r="9463" spans="15:15" x14ac:dyDescent="0.25">
      <c r="O9463" s="21"/>
    </row>
    <row r="9464" spans="15:15" x14ac:dyDescent="0.25">
      <c r="O9464" s="21"/>
    </row>
    <row r="9465" spans="15:15" x14ac:dyDescent="0.25">
      <c r="O9465" s="21"/>
    </row>
    <row r="9466" spans="15:15" x14ac:dyDescent="0.25">
      <c r="O9466" s="21"/>
    </row>
    <row r="9467" spans="15:15" x14ac:dyDescent="0.25">
      <c r="O9467" s="21"/>
    </row>
    <row r="9468" spans="15:15" x14ac:dyDescent="0.25">
      <c r="O9468" s="21"/>
    </row>
    <row r="9469" spans="15:15" x14ac:dyDescent="0.25">
      <c r="O9469" s="21"/>
    </row>
    <row r="9470" spans="15:15" x14ac:dyDescent="0.25">
      <c r="O9470" s="21"/>
    </row>
    <row r="9471" spans="15:15" x14ac:dyDescent="0.25">
      <c r="O9471" s="21"/>
    </row>
    <row r="9472" spans="15:15" x14ac:dyDescent="0.25">
      <c r="O9472" s="21"/>
    </row>
    <row r="9473" spans="15:15" x14ac:dyDescent="0.25">
      <c r="O9473" s="21"/>
    </row>
    <row r="9474" spans="15:15" x14ac:dyDescent="0.25">
      <c r="O9474" s="21"/>
    </row>
    <row r="9475" spans="15:15" x14ac:dyDescent="0.25">
      <c r="O9475" s="21"/>
    </row>
    <row r="9476" spans="15:15" x14ac:dyDescent="0.25">
      <c r="O9476" s="21"/>
    </row>
    <row r="9477" spans="15:15" x14ac:dyDescent="0.25">
      <c r="O9477" s="21"/>
    </row>
    <row r="9478" spans="15:15" x14ac:dyDescent="0.25">
      <c r="O9478" s="21"/>
    </row>
    <row r="9479" spans="15:15" x14ac:dyDescent="0.25">
      <c r="O9479" s="21"/>
    </row>
    <row r="9480" spans="15:15" x14ac:dyDescent="0.25">
      <c r="O9480" s="21"/>
    </row>
    <row r="9481" spans="15:15" x14ac:dyDescent="0.25">
      <c r="O9481" s="21"/>
    </row>
    <row r="9482" spans="15:15" x14ac:dyDescent="0.25">
      <c r="O9482" s="21"/>
    </row>
    <row r="9483" spans="15:15" x14ac:dyDescent="0.25">
      <c r="O9483" s="21"/>
    </row>
    <row r="9484" spans="15:15" x14ac:dyDescent="0.25">
      <c r="O9484" s="21"/>
    </row>
    <row r="9485" spans="15:15" x14ac:dyDescent="0.25">
      <c r="O9485" s="21"/>
    </row>
    <row r="9486" spans="15:15" x14ac:dyDescent="0.25">
      <c r="O9486" s="21"/>
    </row>
    <row r="9487" spans="15:15" x14ac:dyDescent="0.25">
      <c r="O9487" s="21"/>
    </row>
    <row r="9488" spans="15:15" x14ac:dyDescent="0.25">
      <c r="O9488" s="21"/>
    </row>
    <row r="9489" spans="15:15" x14ac:dyDescent="0.25">
      <c r="O9489" s="21"/>
    </row>
    <row r="9490" spans="15:15" x14ac:dyDescent="0.25">
      <c r="O9490" s="21"/>
    </row>
    <row r="9491" spans="15:15" x14ac:dyDescent="0.25">
      <c r="O9491" s="21"/>
    </row>
    <row r="9492" spans="15:15" x14ac:dyDescent="0.25">
      <c r="O9492" s="21"/>
    </row>
    <row r="9493" spans="15:15" x14ac:dyDescent="0.25">
      <c r="O9493" s="21"/>
    </row>
    <row r="9494" spans="15:15" x14ac:dyDescent="0.25">
      <c r="O9494" s="21"/>
    </row>
    <row r="9495" spans="15:15" x14ac:dyDescent="0.25">
      <c r="O9495" s="21"/>
    </row>
    <row r="9496" spans="15:15" x14ac:dyDescent="0.25">
      <c r="O9496" s="21"/>
    </row>
    <row r="9497" spans="15:15" x14ac:dyDescent="0.25">
      <c r="O9497" s="21"/>
    </row>
    <row r="9498" spans="15:15" x14ac:dyDescent="0.25">
      <c r="O9498" s="21"/>
    </row>
    <row r="9499" spans="15:15" x14ac:dyDescent="0.25">
      <c r="O9499" s="21"/>
    </row>
    <row r="9500" spans="15:15" x14ac:dyDescent="0.25">
      <c r="O9500" s="21"/>
    </row>
    <row r="9501" spans="15:15" x14ac:dyDescent="0.25">
      <c r="O9501" s="21"/>
    </row>
    <row r="9502" spans="15:15" x14ac:dyDescent="0.25">
      <c r="O9502" s="21"/>
    </row>
    <row r="9503" spans="15:15" x14ac:dyDescent="0.25">
      <c r="O9503" s="21"/>
    </row>
    <row r="9504" spans="15:15" x14ac:dyDescent="0.25">
      <c r="O9504" s="21"/>
    </row>
    <row r="9505" spans="15:15" x14ac:dyDescent="0.25">
      <c r="O9505" s="21"/>
    </row>
    <row r="9506" spans="15:15" x14ac:dyDescent="0.25">
      <c r="O9506" s="21"/>
    </row>
    <row r="9507" spans="15:15" x14ac:dyDescent="0.25">
      <c r="O9507" s="21"/>
    </row>
    <row r="9508" spans="15:15" x14ac:dyDescent="0.25">
      <c r="O9508" s="21"/>
    </row>
    <row r="9509" spans="15:15" x14ac:dyDescent="0.25">
      <c r="O9509" s="21"/>
    </row>
    <row r="9510" spans="15:15" x14ac:dyDescent="0.25">
      <c r="O9510" s="21"/>
    </row>
    <row r="9511" spans="15:15" x14ac:dyDescent="0.25">
      <c r="O9511" s="21"/>
    </row>
    <row r="9512" spans="15:15" x14ac:dyDescent="0.25">
      <c r="O9512" s="21"/>
    </row>
    <row r="9513" spans="15:15" x14ac:dyDescent="0.25">
      <c r="O9513" s="21"/>
    </row>
    <row r="9514" spans="15:15" x14ac:dyDescent="0.25">
      <c r="O9514" s="21"/>
    </row>
    <row r="9515" spans="15:15" x14ac:dyDescent="0.25">
      <c r="O9515" s="21"/>
    </row>
    <row r="9516" spans="15:15" x14ac:dyDescent="0.25">
      <c r="O9516" s="21"/>
    </row>
    <row r="9517" spans="15:15" x14ac:dyDescent="0.25">
      <c r="O9517" s="21"/>
    </row>
    <row r="9518" spans="15:15" x14ac:dyDescent="0.25">
      <c r="O9518" s="21"/>
    </row>
    <row r="9519" spans="15:15" x14ac:dyDescent="0.25">
      <c r="O9519" s="21"/>
    </row>
    <row r="9520" spans="15:15" x14ac:dyDescent="0.25">
      <c r="O9520" s="21"/>
    </row>
    <row r="9521" spans="15:15" x14ac:dyDescent="0.25">
      <c r="O9521" s="21"/>
    </row>
    <row r="9522" spans="15:15" x14ac:dyDescent="0.25">
      <c r="O9522" s="21"/>
    </row>
    <row r="9523" spans="15:15" x14ac:dyDescent="0.25">
      <c r="O9523" s="21"/>
    </row>
    <row r="9524" spans="15:15" x14ac:dyDescent="0.25">
      <c r="O9524" s="21"/>
    </row>
    <row r="9525" spans="15:15" x14ac:dyDescent="0.25">
      <c r="O9525" s="21"/>
    </row>
    <row r="9526" spans="15:15" x14ac:dyDescent="0.25">
      <c r="O9526" s="21"/>
    </row>
    <row r="9527" spans="15:15" x14ac:dyDescent="0.25">
      <c r="O9527" s="21"/>
    </row>
    <row r="9528" spans="15:15" x14ac:dyDescent="0.25">
      <c r="O9528" s="21"/>
    </row>
    <row r="9529" spans="15:15" x14ac:dyDescent="0.25">
      <c r="O9529" s="21"/>
    </row>
    <row r="9530" spans="15:15" x14ac:dyDescent="0.25">
      <c r="O9530" s="21"/>
    </row>
    <row r="9531" spans="15:15" x14ac:dyDescent="0.25">
      <c r="O9531" s="21"/>
    </row>
    <row r="9532" spans="15:15" x14ac:dyDescent="0.25">
      <c r="O9532" s="21"/>
    </row>
    <row r="9533" spans="15:15" x14ac:dyDescent="0.25">
      <c r="O9533" s="21"/>
    </row>
    <row r="9534" spans="15:15" x14ac:dyDescent="0.25">
      <c r="O9534" s="21"/>
    </row>
    <row r="9535" spans="15:15" x14ac:dyDescent="0.25">
      <c r="O9535" s="21"/>
    </row>
    <row r="9536" spans="15:15" x14ac:dyDescent="0.25">
      <c r="O9536" s="21"/>
    </row>
    <row r="9537" spans="15:15" x14ac:dyDescent="0.25">
      <c r="O9537" s="21"/>
    </row>
    <row r="9538" spans="15:15" x14ac:dyDescent="0.25">
      <c r="O9538" s="21"/>
    </row>
    <row r="9539" spans="15:15" x14ac:dyDescent="0.25">
      <c r="O9539" s="21"/>
    </row>
    <row r="9540" spans="15:15" x14ac:dyDescent="0.25">
      <c r="O9540" s="21"/>
    </row>
    <row r="9541" spans="15:15" x14ac:dyDescent="0.25">
      <c r="O9541" s="21"/>
    </row>
    <row r="9542" spans="15:15" x14ac:dyDescent="0.25">
      <c r="O9542" s="21"/>
    </row>
    <row r="9543" spans="15:15" x14ac:dyDescent="0.25">
      <c r="O9543" s="21"/>
    </row>
    <row r="9544" spans="15:15" x14ac:dyDescent="0.25">
      <c r="O9544" s="21"/>
    </row>
    <row r="9545" spans="15:15" x14ac:dyDescent="0.25">
      <c r="O9545" s="21"/>
    </row>
    <row r="9546" spans="15:15" x14ac:dyDescent="0.25">
      <c r="O9546" s="21"/>
    </row>
    <row r="9547" spans="15:15" x14ac:dyDescent="0.25">
      <c r="O9547" s="21"/>
    </row>
    <row r="9548" spans="15:15" x14ac:dyDescent="0.25">
      <c r="O9548" s="21"/>
    </row>
    <row r="9549" spans="15:15" x14ac:dyDescent="0.25">
      <c r="O9549" s="21"/>
    </row>
    <row r="9550" spans="15:15" x14ac:dyDescent="0.25">
      <c r="O9550" s="21"/>
    </row>
    <row r="9551" spans="15:15" x14ac:dyDescent="0.25">
      <c r="O9551" s="21"/>
    </row>
    <row r="9552" spans="15:15" x14ac:dyDescent="0.25">
      <c r="O9552" s="21"/>
    </row>
    <row r="9553" spans="15:15" x14ac:dyDescent="0.25">
      <c r="O9553" s="21"/>
    </row>
    <row r="9554" spans="15:15" x14ac:dyDescent="0.25">
      <c r="O9554" s="21"/>
    </row>
    <row r="9555" spans="15:15" x14ac:dyDescent="0.25">
      <c r="O9555" s="21"/>
    </row>
    <row r="9556" spans="15:15" x14ac:dyDescent="0.25">
      <c r="O9556" s="21"/>
    </row>
    <row r="9557" spans="15:15" x14ac:dyDescent="0.25">
      <c r="O9557" s="21"/>
    </row>
    <row r="9558" spans="15:15" x14ac:dyDescent="0.25">
      <c r="O9558" s="21"/>
    </row>
    <row r="9559" spans="15:15" x14ac:dyDescent="0.25">
      <c r="O9559" s="21"/>
    </row>
    <row r="9560" spans="15:15" x14ac:dyDescent="0.25">
      <c r="O9560" s="21"/>
    </row>
    <row r="9561" spans="15:15" x14ac:dyDescent="0.25">
      <c r="O9561" s="21"/>
    </row>
    <row r="9562" spans="15:15" x14ac:dyDescent="0.25">
      <c r="O9562" s="21"/>
    </row>
    <row r="9563" spans="15:15" x14ac:dyDescent="0.25">
      <c r="O9563" s="21"/>
    </row>
    <row r="9564" spans="15:15" x14ac:dyDescent="0.25">
      <c r="O9564" s="21"/>
    </row>
    <row r="9565" spans="15:15" x14ac:dyDescent="0.25">
      <c r="O9565" s="21"/>
    </row>
    <row r="9566" spans="15:15" x14ac:dyDescent="0.25">
      <c r="O9566" s="21"/>
    </row>
    <row r="9567" spans="15:15" x14ac:dyDescent="0.25">
      <c r="O9567" s="21"/>
    </row>
    <row r="9568" spans="15:15" x14ac:dyDescent="0.25">
      <c r="O9568" s="21"/>
    </row>
    <row r="9569" spans="15:15" x14ac:dyDescent="0.25">
      <c r="O9569" s="21"/>
    </row>
    <row r="9570" spans="15:15" x14ac:dyDescent="0.25">
      <c r="O9570" s="21"/>
    </row>
    <row r="9571" spans="15:15" x14ac:dyDescent="0.25">
      <c r="O9571" s="21"/>
    </row>
    <row r="9572" spans="15:15" x14ac:dyDescent="0.25">
      <c r="O9572" s="21"/>
    </row>
    <row r="9573" spans="15:15" x14ac:dyDescent="0.25">
      <c r="O9573" s="21"/>
    </row>
    <row r="9574" spans="15:15" x14ac:dyDescent="0.25">
      <c r="O9574" s="21"/>
    </row>
    <row r="9575" spans="15:15" x14ac:dyDescent="0.25">
      <c r="O9575" s="21"/>
    </row>
    <row r="9576" spans="15:15" x14ac:dyDescent="0.25">
      <c r="O9576" s="21"/>
    </row>
    <row r="9577" spans="15:15" x14ac:dyDescent="0.25">
      <c r="O9577" s="21"/>
    </row>
    <row r="9578" spans="15:15" x14ac:dyDescent="0.25">
      <c r="O9578" s="21"/>
    </row>
    <row r="9579" spans="15:15" x14ac:dyDescent="0.25">
      <c r="O9579" s="21"/>
    </row>
    <row r="9580" spans="15:15" x14ac:dyDescent="0.25">
      <c r="O9580" s="21"/>
    </row>
    <row r="9581" spans="15:15" x14ac:dyDescent="0.25">
      <c r="O9581" s="21"/>
    </row>
    <row r="9582" spans="15:15" x14ac:dyDescent="0.25">
      <c r="O9582" s="21"/>
    </row>
    <row r="9583" spans="15:15" x14ac:dyDescent="0.25">
      <c r="O9583" s="21"/>
    </row>
    <row r="9584" spans="15:15" x14ac:dyDescent="0.25">
      <c r="O9584" s="21"/>
    </row>
    <row r="9585" spans="15:15" x14ac:dyDescent="0.25">
      <c r="O9585" s="21"/>
    </row>
    <row r="9586" spans="15:15" x14ac:dyDescent="0.25">
      <c r="O9586" s="21"/>
    </row>
    <row r="9587" spans="15:15" x14ac:dyDescent="0.25">
      <c r="O9587" s="21"/>
    </row>
    <row r="9588" spans="15:15" x14ac:dyDescent="0.25">
      <c r="O9588" s="21"/>
    </row>
    <row r="9589" spans="15:15" x14ac:dyDescent="0.25">
      <c r="O9589" s="21"/>
    </row>
    <row r="9590" spans="15:15" x14ac:dyDescent="0.25">
      <c r="O9590" s="21"/>
    </row>
    <row r="9591" spans="15:15" x14ac:dyDescent="0.25">
      <c r="O9591" s="21"/>
    </row>
    <row r="9592" spans="15:15" x14ac:dyDescent="0.25">
      <c r="O9592" s="21"/>
    </row>
    <row r="9593" spans="15:15" x14ac:dyDescent="0.25">
      <c r="O9593" s="21"/>
    </row>
    <row r="9594" spans="15:15" x14ac:dyDescent="0.25">
      <c r="O9594" s="21"/>
    </row>
    <row r="9595" spans="15:15" x14ac:dyDescent="0.25">
      <c r="O9595" s="21"/>
    </row>
    <row r="9596" spans="15:15" x14ac:dyDescent="0.25">
      <c r="O9596" s="21"/>
    </row>
    <row r="9597" spans="15:15" x14ac:dyDescent="0.25">
      <c r="O9597" s="21"/>
    </row>
    <row r="9598" spans="15:15" x14ac:dyDescent="0.25">
      <c r="O9598" s="21"/>
    </row>
    <row r="9599" spans="15:15" x14ac:dyDescent="0.25">
      <c r="O9599" s="21"/>
    </row>
    <row r="9600" spans="15:15" x14ac:dyDescent="0.25">
      <c r="O9600" s="21"/>
    </row>
    <row r="9601" spans="15:15" x14ac:dyDescent="0.25">
      <c r="O9601" s="21"/>
    </row>
    <row r="9602" spans="15:15" x14ac:dyDescent="0.25">
      <c r="O9602" s="21"/>
    </row>
    <row r="9603" spans="15:15" x14ac:dyDescent="0.25">
      <c r="O9603" s="21"/>
    </row>
    <row r="9604" spans="15:15" x14ac:dyDescent="0.25">
      <c r="O9604" s="21"/>
    </row>
    <row r="9605" spans="15:15" x14ac:dyDescent="0.25">
      <c r="O9605" s="21"/>
    </row>
    <row r="9606" spans="15:15" x14ac:dyDescent="0.25">
      <c r="O9606" s="21"/>
    </row>
    <row r="9607" spans="15:15" x14ac:dyDescent="0.25">
      <c r="O9607" s="21"/>
    </row>
    <row r="9608" spans="15:15" x14ac:dyDescent="0.25">
      <c r="O9608" s="21"/>
    </row>
    <row r="9609" spans="15:15" x14ac:dyDescent="0.25">
      <c r="O9609" s="21"/>
    </row>
    <row r="9610" spans="15:15" x14ac:dyDescent="0.25">
      <c r="O9610" s="21"/>
    </row>
    <row r="9611" spans="15:15" x14ac:dyDescent="0.25">
      <c r="O9611" s="21"/>
    </row>
    <row r="9612" spans="15:15" x14ac:dyDescent="0.25">
      <c r="O9612" s="21"/>
    </row>
    <row r="9613" spans="15:15" x14ac:dyDescent="0.25">
      <c r="O9613" s="21"/>
    </row>
    <row r="9614" spans="15:15" x14ac:dyDescent="0.25">
      <c r="O9614" s="21"/>
    </row>
    <row r="9615" spans="15:15" x14ac:dyDescent="0.25">
      <c r="O9615" s="21"/>
    </row>
    <row r="9616" spans="15:15" x14ac:dyDescent="0.25">
      <c r="O9616" s="21"/>
    </row>
    <row r="9617" spans="15:15" x14ac:dyDescent="0.25">
      <c r="O9617" s="21"/>
    </row>
    <row r="9618" spans="15:15" x14ac:dyDescent="0.25">
      <c r="O9618" s="21"/>
    </row>
    <row r="9619" spans="15:15" x14ac:dyDescent="0.25">
      <c r="O9619" s="21"/>
    </row>
    <row r="9620" spans="15:15" x14ac:dyDescent="0.25">
      <c r="O9620" s="21"/>
    </row>
    <row r="9621" spans="15:15" x14ac:dyDescent="0.25">
      <c r="O9621" s="21"/>
    </row>
    <row r="9622" spans="15:15" x14ac:dyDescent="0.25">
      <c r="O9622" s="21"/>
    </row>
    <row r="9623" spans="15:15" x14ac:dyDescent="0.25">
      <c r="O9623" s="21"/>
    </row>
    <row r="9624" spans="15:15" x14ac:dyDescent="0.25">
      <c r="O9624" s="21"/>
    </row>
    <row r="9625" spans="15:15" x14ac:dyDescent="0.25">
      <c r="O9625" s="21"/>
    </row>
    <row r="9626" spans="15:15" x14ac:dyDescent="0.25">
      <c r="O9626" s="21"/>
    </row>
    <row r="9627" spans="15:15" x14ac:dyDescent="0.25">
      <c r="O9627" s="21"/>
    </row>
    <row r="9628" spans="15:15" x14ac:dyDescent="0.25">
      <c r="O9628" s="21"/>
    </row>
    <row r="9629" spans="15:15" x14ac:dyDescent="0.25">
      <c r="O9629" s="21"/>
    </row>
    <row r="9630" spans="15:15" x14ac:dyDescent="0.25">
      <c r="O9630" s="21"/>
    </row>
    <row r="9631" spans="15:15" x14ac:dyDescent="0.25">
      <c r="O9631" s="21"/>
    </row>
    <row r="9632" spans="15:15" x14ac:dyDescent="0.25">
      <c r="O9632" s="21"/>
    </row>
    <row r="9633" spans="15:15" x14ac:dyDescent="0.25">
      <c r="O9633" s="21"/>
    </row>
    <row r="9634" spans="15:15" x14ac:dyDescent="0.25">
      <c r="O9634" s="21"/>
    </row>
    <row r="9635" spans="15:15" x14ac:dyDescent="0.25">
      <c r="O9635" s="21"/>
    </row>
    <row r="9636" spans="15:15" x14ac:dyDescent="0.25">
      <c r="O9636" s="21"/>
    </row>
    <row r="9637" spans="15:15" x14ac:dyDescent="0.25">
      <c r="O9637" s="21"/>
    </row>
    <row r="9638" spans="15:15" x14ac:dyDescent="0.25">
      <c r="O9638" s="21"/>
    </row>
    <row r="9639" spans="15:15" x14ac:dyDescent="0.25">
      <c r="O9639" s="21"/>
    </row>
    <row r="9640" spans="15:15" x14ac:dyDescent="0.25">
      <c r="O9640" s="21"/>
    </row>
    <row r="9641" spans="15:15" x14ac:dyDescent="0.25">
      <c r="O9641" s="21"/>
    </row>
    <row r="9642" spans="15:15" x14ac:dyDescent="0.25">
      <c r="O9642" s="21"/>
    </row>
    <row r="9643" spans="15:15" x14ac:dyDescent="0.25">
      <c r="O9643" s="21"/>
    </row>
    <row r="9644" spans="15:15" x14ac:dyDescent="0.25">
      <c r="O9644" s="21"/>
    </row>
    <row r="9645" spans="15:15" x14ac:dyDescent="0.25">
      <c r="O9645" s="21"/>
    </row>
    <row r="9646" spans="15:15" x14ac:dyDescent="0.25">
      <c r="O9646" s="21"/>
    </row>
    <row r="9647" spans="15:15" x14ac:dyDescent="0.25">
      <c r="O9647" s="21"/>
    </row>
    <row r="9648" spans="15:15" x14ac:dyDescent="0.25">
      <c r="O9648" s="21"/>
    </row>
    <row r="9649" spans="15:15" x14ac:dyDescent="0.25">
      <c r="O9649" s="21"/>
    </row>
    <row r="9650" spans="15:15" x14ac:dyDescent="0.25">
      <c r="O9650" s="21"/>
    </row>
    <row r="9651" spans="15:15" x14ac:dyDescent="0.25">
      <c r="O9651" s="21"/>
    </row>
    <row r="9652" spans="15:15" x14ac:dyDescent="0.25">
      <c r="O9652" s="21"/>
    </row>
    <row r="9653" spans="15:15" x14ac:dyDescent="0.25">
      <c r="O9653" s="21"/>
    </row>
    <row r="9654" spans="15:15" x14ac:dyDescent="0.25">
      <c r="O9654" s="21"/>
    </row>
    <row r="9655" spans="15:15" x14ac:dyDescent="0.25">
      <c r="O9655" s="21"/>
    </row>
    <row r="9656" spans="15:15" x14ac:dyDescent="0.25">
      <c r="O9656" s="21"/>
    </row>
    <row r="9657" spans="15:15" x14ac:dyDescent="0.25">
      <c r="O9657" s="21"/>
    </row>
    <row r="9658" spans="15:15" x14ac:dyDescent="0.25">
      <c r="O9658" s="21"/>
    </row>
    <row r="9659" spans="15:15" x14ac:dyDescent="0.25">
      <c r="O9659" s="21"/>
    </row>
    <row r="9660" spans="15:15" x14ac:dyDescent="0.25">
      <c r="O9660" s="21"/>
    </row>
    <row r="9661" spans="15:15" x14ac:dyDescent="0.25">
      <c r="O9661" s="21"/>
    </row>
    <row r="9662" spans="15:15" x14ac:dyDescent="0.25">
      <c r="O9662" s="21"/>
    </row>
    <row r="9663" spans="15:15" x14ac:dyDescent="0.25">
      <c r="O9663" s="21"/>
    </row>
    <row r="9664" spans="15:15" x14ac:dyDescent="0.25">
      <c r="O9664" s="21"/>
    </row>
    <row r="9665" spans="15:15" x14ac:dyDescent="0.25">
      <c r="O9665" s="21"/>
    </row>
    <row r="9666" spans="15:15" x14ac:dyDescent="0.25">
      <c r="O9666" s="21"/>
    </row>
    <row r="9667" spans="15:15" x14ac:dyDescent="0.25">
      <c r="O9667" s="21"/>
    </row>
    <row r="9668" spans="15:15" x14ac:dyDescent="0.25">
      <c r="O9668" s="21"/>
    </row>
    <row r="9669" spans="15:15" x14ac:dyDescent="0.25">
      <c r="O9669" s="21"/>
    </row>
    <row r="9670" spans="15:15" x14ac:dyDescent="0.25">
      <c r="O9670" s="21"/>
    </row>
    <row r="9671" spans="15:15" x14ac:dyDescent="0.25">
      <c r="O9671" s="21"/>
    </row>
    <row r="9672" spans="15:15" x14ac:dyDescent="0.25">
      <c r="O9672" s="21"/>
    </row>
    <row r="9673" spans="15:15" x14ac:dyDescent="0.25">
      <c r="O9673" s="21"/>
    </row>
    <row r="9674" spans="15:15" x14ac:dyDescent="0.25">
      <c r="O9674" s="21"/>
    </row>
    <row r="9675" spans="15:15" x14ac:dyDescent="0.25">
      <c r="O9675" s="21"/>
    </row>
    <row r="9676" spans="15:15" x14ac:dyDescent="0.25">
      <c r="O9676" s="21"/>
    </row>
    <row r="9677" spans="15:15" x14ac:dyDescent="0.25">
      <c r="O9677" s="21"/>
    </row>
    <row r="9678" spans="15:15" x14ac:dyDescent="0.25">
      <c r="O9678" s="21"/>
    </row>
    <row r="9679" spans="15:15" x14ac:dyDescent="0.25">
      <c r="O9679" s="21"/>
    </row>
    <row r="9680" spans="15:15" x14ac:dyDescent="0.25">
      <c r="O9680" s="21"/>
    </row>
    <row r="9681" spans="15:15" x14ac:dyDescent="0.25">
      <c r="O9681" s="21"/>
    </row>
    <row r="9682" spans="15:15" x14ac:dyDescent="0.25">
      <c r="O9682" s="21"/>
    </row>
    <row r="9683" spans="15:15" x14ac:dyDescent="0.25">
      <c r="O9683" s="21"/>
    </row>
    <row r="9684" spans="15:15" x14ac:dyDescent="0.25">
      <c r="O9684" s="21"/>
    </row>
    <row r="9685" spans="15:15" x14ac:dyDescent="0.25">
      <c r="O9685" s="21"/>
    </row>
    <row r="9686" spans="15:15" x14ac:dyDescent="0.25">
      <c r="O9686" s="21"/>
    </row>
    <row r="9687" spans="15:15" x14ac:dyDescent="0.25">
      <c r="O9687" s="21"/>
    </row>
    <row r="9688" spans="15:15" x14ac:dyDescent="0.25">
      <c r="O9688" s="21"/>
    </row>
    <row r="9689" spans="15:15" x14ac:dyDescent="0.25">
      <c r="O9689" s="21"/>
    </row>
    <row r="9690" spans="15:15" x14ac:dyDescent="0.25">
      <c r="O9690" s="21"/>
    </row>
    <row r="9691" spans="15:15" x14ac:dyDescent="0.25">
      <c r="O9691" s="21"/>
    </row>
    <row r="9692" spans="15:15" x14ac:dyDescent="0.25">
      <c r="O9692" s="21"/>
    </row>
    <row r="9693" spans="15:15" x14ac:dyDescent="0.25">
      <c r="O9693" s="21"/>
    </row>
    <row r="9694" spans="15:15" x14ac:dyDescent="0.25">
      <c r="O9694" s="21"/>
    </row>
    <row r="9695" spans="15:15" x14ac:dyDescent="0.25">
      <c r="O9695" s="21"/>
    </row>
    <row r="9696" spans="15:15" x14ac:dyDescent="0.25">
      <c r="O9696" s="21"/>
    </row>
    <row r="9697" spans="15:15" x14ac:dyDescent="0.25">
      <c r="O9697" s="21"/>
    </row>
    <row r="9698" spans="15:15" x14ac:dyDescent="0.25">
      <c r="O9698" s="21"/>
    </row>
    <row r="9699" spans="15:15" x14ac:dyDescent="0.25">
      <c r="O9699" s="21"/>
    </row>
    <row r="9700" spans="15:15" x14ac:dyDescent="0.25">
      <c r="O9700" s="21"/>
    </row>
    <row r="9701" spans="15:15" x14ac:dyDescent="0.25">
      <c r="O9701" s="21"/>
    </row>
    <row r="9702" spans="15:15" x14ac:dyDescent="0.25">
      <c r="O9702" s="21"/>
    </row>
    <row r="9703" spans="15:15" x14ac:dyDescent="0.25">
      <c r="O9703" s="21"/>
    </row>
    <row r="9704" spans="15:15" x14ac:dyDescent="0.25">
      <c r="O9704" s="21"/>
    </row>
    <row r="9705" spans="15:15" x14ac:dyDescent="0.25">
      <c r="O9705" s="21"/>
    </row>
    <row r="9706" spans="15:15" x14ac:dyDescent="0.25">
      <c r="O9706" s="21"/>
    </row>
    <row r="9707" spans="15:15" x14ac:dyDescent="0.25">
      <c r="O9707" s="21"/>
    </row>
    <row r="9708" spans="15:15" x14ac:dyDescent="0.25">
      <c r="O9708" s="21"/>
    </row>
    <row r="9709" spans="15:15" x14ac:dyDescent="0.25">
      <c r="O9709" s="21"/>
    </row>
    <row r="9710" spans="15:15" x14ac:dyDescent="0.25">
      <c r="O9710" s="21"/>
    </row>
    <row r="9711" spans="15:15" x14ac:dyDescent="0.25">
      <c r="O9711" s="21"/>
    </row>
    <row r="9712" spans="15:15" x14ac:dyDescent="0.25">
      <c r="O9712" s="21"/>
    </row>
    <row r="9713" spans="15:15" x14ac:dyDescent="0.25">
      <c r="O9713" s="21"/>
    </row>
    <row r="9714" spans="15:15" x14ac:dyDescent="0.25">
      <c r="O9714" s="21"/>
    </row>
    <row r="9715" spans="15:15" x14ac:dyDescent="0.25">
      <c r="O9715" s="21"/>
    </row>
    <row r="9716" spans="15:15" x14ac:dyDescent="0.25">
      <c r="O9716" s="21"/>
    </row>
    <row r="9717" spans="15:15" x14ac:dyDescent="0.25">
      <c r="O9717" s="21"/>
    </row>
    <row r="9718" spans="15:15" x14ac:dyDescent="0.25">
      <c r="O9718" s="21"/>
    </row>
    <row r="9719" spans="15:15" x14ac:dyDescent="0.25">
      <c r="O9719" s="21"/>
    </row>
    <row r="9720" spans="15:15" x14ac:dyDescent="0.25">
      <c r="O9720" s="21"/>
    </row>
    <row r="9721" spans="15:15" x14ac:dyDescent="0.25">
      <c r="O9721" s="21"/>
    </row>
    <row r="9722" spans="15:15" x14ac:dyDescent="0.25">
      <c r="O9722" s="21"/>
    </row>
    <row r="9723" spans="15:15" x14ac:dyDescent="0.25">
      <c r="O9723" s="21"/>
    </row>
    <row r="9724" spans="15:15" x14ac:dyDescent="0.25">
      <c r="O9724" s="21"/>
    </row>
    <row r="9725" spans="15:15" x14ac:dyDescent="0.25">
      <c r="O9725" s="21"/>
    </row>
    <row r="9726" spans="15:15" x14ac:dyDescent="0.25">
      <c r="O9726" s="21"/>
    </row>
    <row r="9727" spans="15:15" x14ac:dyDescent="0.25">
      <c r="O9727" s="21"/>
    </row>
    <row r="9728" spans="15:15" x14ac:dyDescent="0.25">
      <c r="O9728" s="21"/>
    </row>
    <row r="9729" spans="15:15" x14ac:dyDescent="0.25">
      <c r="O9729" s="21"/>
    </row>
    <row r="9730" spans="15:15" x14ac:dyDescent="0.25">
      <c r="O9730" s="21"/>
    </row>
    <row r="9731" spans="15:15" x14ac:dyDescent="0.25">
      <c r="O9731" s="21"/>
    </row>
    <row r="9732" spans="15:15" x14ac:dyDescent="0.25">
      <c r="O9732" s="21"/>
    </row>
    <row r="9733" spans="15:15" x14ac:dyDescent="0.25">
      <c r="O9733" s="21"/>
    </row>
    <row r="9734" spans="15:15" x14ac:dyDescent="0.25">
      <c r="O9734" s="21"/>
    </row>
    <row r="9735" spans="15:15" x14ac:dyDescent="0.25">
      <c r="O9735" s="21"/>
    </row>
    <row r="9736" spans="15:15" x14ac:dyDescent="0.25">
      <c r="O9736" s="21"/>
    </row>
    <row r="9737" spans="15:15" x14ac:dyDescent="0.25">
      <c r="O9737" s="21"/>
    </row>
    <row r="9738" spans="15:15" x14ac:dyDescent="0.25">
      <c r="O9738" s="21"/>
    </row>
    <row r="9739" spans="15:15" x14ac:dyDescent="0.25">
      <c r="O9739" s="21"/>
    </row>
    <row r="9740" spans="15:15" x14ac:dyDescent="0.25">
      <c r="O9740" s="21"/>
    </row>
    <row r="9741" spans="15:15" x14ac:dyDescent="0.25">
      <c r="O9741" s="21"/>
    </row>
    <row r="9742" spans="15:15" x14ac:dyDescent="0.25">
      <c r="O9742" s="21"/>
    </row>
    <row r="9743" spans="15:15" x14ac:dyDescent="0.25">
      <c r="O9743" s="21"/>
    </row>
    <row r="9744" spans="15:15" x14ac:dyDescent="0.25">
      <c r="O9744" s="21"/>
    </row>
    <row r="9745" spans="15:15" x14ac:dyDescent="0.25">
      <c r="O9745" s="21"/>
    </row>
    <row r="9746" spans="15:15" x14ac:dyDescent="0.25">
      <c r="O9746" s="21"/>
    </row>
    <row r="9747" spans="15:15" x14ac:dyDescent="0.25">
      <c r="O9747" s="21"/>
    </row>
    <row r="9748" spans="15:15" x14ac:dyDescent="0.25">
      <c r="O9748" s="21"/>
    </row>
    <row r="9749" spans="15:15" x14ac:dyDescent="0.25">
      <c r="O9749" s="21"/>
    </row>
    <row r="9750" spans="15:15" x14ac:dyDescent="0.25">
      <c r="O9750" s="21"/>
    </row>
    <row r="9751" spans="15:15" x14ac:dyDescent="0.25">
      <c r="O9751" s="21"/>
    </row>
    <row r="9752" spans="15:15" x14ac:dyDescent="0.25">
      <c r="O9752" s="21"/>
    </row>
    <row r="9753" spans="15:15" x14ac:dyDescent="0.25">
      <c r="O9753" s="21"/>
    </row>
    <row r="9754" spans="15:15" x14ac:dyDescent="0.25">
      <c r="O9754" s="21"/>
    </row>
    <row r="9755" spans="15:15" x14ac:dyDescent="0.25">
      <c r="O9755" s="21"/>
    </row>
    <row r="9756" spans="15:15" x14ac:dyDescent="0.25">
      <c r="O9756" s="21"/>
    </row>
    <row r="9757" spans="15:15" x14ac:dyDescent="0.25">
      <c r="O9757" s="21"/>
    </row>
    <row r="9758" spans="15:15" x14ac:dyDescent="0.25">
      <c r="O9758" s="21"/>
    </row>
    <row r="9759" spans="15:15" x14ac:dyDescent="0.25">
      <c r="O9759" s="21"/>
    </row>
    <row r="9760" spans="15:15" x14ac:dyDescent="0.25">
      <c r="O9760" s="21"/>
    </row>
    <row r="9761" spans="15:15" x14ac:dyDescent="0.25">
      <c r="O9761" s="21"/>
    </row>
    <row r="9762" spans="15:15" x14ac:dyDescent="0.25">
      <c r="O9762" s="21"/>
    </row>
    <row r="9763" spans="15:15" x14ac:dyDescent="0.25">
      <c r="O9763" s="21"/>
    </row>
    <row r="9764" spans="15:15" x14ac:dyDescent="0.25">
      <c r="O9764" s="21"/>
    </row>
    <row r="9765" spans="15:15" x14ac:dyDescent="0.25">
      <c r="O9765" s="21"/>
    </row>
    <row r="9766" spans="15:15" x14ac:dyDescent="0.25">
      <c r="O9766" s="21"/>
    </row>
    <row r="9767" spans="15:15" x14ac:dyDescent="0.25">
      <c r="O9767" s="21"/>
    </row>
    <row r="9768" spans="15:15" x14ac:dyDescent="0.25">
      <c r="O9768" s="21"/>
    </row>
    <row r="9769" spans="15:15" x14ac:dyDescent="0.25">
      <c r="O9769" s="21"/>
    </row>
    <row r="9770" spans="15:15" x14ac:dyDescent="0.25">
      <c r="O9770" s="21"/>
    </row>
    <row r="9771" spans="15:15" x14ac:dyDescent="0.25">
      <c r="O9771" s="21"/>
    </row>
    <row r="9772" spans="15:15" x14ac:dyDescent="0.25">
      <c r="O9772" s="21"/>
    </row>
    <row r="9773" spans="15:15" x14ac:dyDescent="0.25">
      <c r="O9773" s="21"/>
    </row>
    <row r="9774" spans="15:15" x14ac:dyDescent="0.25">
      <c r="O9774" s="21"/>
    </row>
    <row r="9775" spans="15:15" x14ac:dyDescent="0.25">
      <c r="O9775" s="21"/>
    </row>
    <row r="9776" spans="15:15" x14ac:dyDescent="0.25">
      <c r="O9776" s="21"/>
    </row>
    <row r="9777" spans="15:15" x14ac:dyDescent="0.25">
      <c r="O9777" s="21"/>
    </row>
    <row r="9778" spans="15:15" x14ac:dyDescent="0.25">
      <c r="O9778" s="21"/>
    </row>
    <row r="9779" spans="15:15" x14ac:dyDescent="0.25">
      <c r="O9779" s="21"/>
    </row>
    <row r="9780" spans="15:15" x14ac:dyDescent="0.25">
      <c r="O9780" s="21"/>
    </row>
    <row r="9781" spans="15:15" x14ac:dyDescent="0.25">
      <c r="O9781" s="21"/>
    </row>
    <row r="9782" spans="15:15" x14ac:dyDescent="0.25">
      <c r="O9782" s="21"/>
    </row>
    <row r="9783" spans="15:15" x14ac:dyDescent="0.25">
      <c r="O9783" s="21"/>
    </row>
    <row r="9784" spans="15:15" x14ac:dyDescent="0.25">
      <c r="O9784" s="21"/>
    </row>
    <row r="9785" spans="15:15" x14ac:dyDescent="0.25">
      <c r="O9785" s="21"/>
    </row>
    <row r="9786" spans="15:15" x14ac:dyDescent="0.25">
      <c r="O9786" s="21"/>
    </row>
    <row r="9787" spans="15:15" x14ac:dyDescent="0.25">
      <c r="O9787" s="21"/>
    </row>
    <row r="9788" spans="15:15" x14ac:dyDescent="0.25">
      <c r="O9788" s="21"/>
    </row>
    <row r="9789" spans="15:15" x14ac:dyDescent="0.25">
      <c r="O9789" s="21"/>
    </row>
    <row r="9790" spans="15:15" x14ac:dyDescent="0.25">
      <c r="O9790" s="21"/>
    </row>
    <row r="9791" spans="15:15" x14ac:dyDescent="0.25">
      <c r="O9791" s="21"/>
    </row>
    <row r="9792" spans="15:15" x14ac:dyDescent="0.25">
      <c r="O9792" s="21"/>
    </row>
    <row r="9793" spans="15:15" x14ac:dyDescent="0.25">
      <c r="O9793" s="21"/>
    </row>
    <row r="9794" spans="15:15" x14ac:dyDescent="0.25">
      <c r="O9794" s="21"/>
    </row>
    <row r="9795" spans="15:15" x14ac:dyDescent="0.25">
      <c r="O9795" s="21"/>
    </row>
    <row r="9796" spans="15:15" x14ac:dyDescent="0.25">
      <c r="O9796" s="21"/>
    </row>
    <row r="9797" spans="15:15" x14ac:dyDescent="0.25">
      <c r="O9797" s="21"/>
    </row>
    <row r="9798" spans="15:15" x14ac:dyDescent="0.25">
      <c r="O9798" s="21"/>
    </row>
    <row r="9799" spans="15:15" x14ac:dyDescent="0.25">
      <c r="O9799" s="21"/>
    </row>
    <row r="9800" spans="15:15" x14ac:dyDescent="0.25">
      <c r="O9800" s="21"/>
    </row>
    <row r="9801" spans="15:15" x14ac:dyDescent="0.25">
      <c r="O9801" s="21"/>
    </row>
    <row r="9802" spans="15:15" x14ac:dyDescent="0.25">
      <c r="O9802" s="21"/>
    </row>
    <row r="9803" spans="15:15" x14ac:dyDescent="0.25">
      <c r="O9803" s="21"/>
    </row>
    <row r="9804" spans="15:15" x14ac:dyDescent="0.25">
      <c r="O9804" s="21"/>
    </row>
    <row r="9805" spans="15:15" x14ac:dyDescent="0.25">
      <c r="O9805" s="21"/>
    </row>
    <row r="9806" spans="15:15" x14ac:dyDescent="0.25">
      <c r="O9806" s="21"/>
    </row>
    <row r="9807" spans="15:15" x14ac:dyDescent="0.25">
      <c r="O9807" s="21"/>
    </row>
    <row r="9808" spans="15:15" x14ac:dyDescent="0.25">
      <c r="O9808" s="21"/>
    </row>
    <row r="9809" spans="15:15" x14ac:dyDescent="0.25">
      <c r="O9809" s="21"/>
    </row>
    <row r="9810" spans="15:15" x14ac:dyDescent="0.25">
      <c r="O9810" s="21"/>
    </row>
    <row r="9811" spans="15:15" x14ac:dyDescent="0.25">
      <c r="O9811" s="21"/>
    </row>
    <row r="9812" spans="15:15" x14ac:dyDescent="0.25">
      <c r="O9812" s="21"/>
    </row>
    <row r="9813" spans="15:15" x14ac:dyDescent="0.25">
      <c r="O9813" s="21"/>
    </row>
    <row r="9814" spans="15:15" x14ac:dyDescent="0.25">
      <c r="O9814" s="21"/>
    </row>
    <row r="9815" spans="15:15" x14ac:dyDescent="0.25">
      <c r="O9815" s="21"/>
    </row>
    <row r="9816" spans="15:15" x14ac:dyDescent="0.25">
      <c r="O9816" s="21"/>
    </row>
    <row r="9817" spans="15:15" x14ac:dyDescent="0.25">
      <c r="O9817" s="21"/>
    </row>
    <row r="9818" spans="15:15" x14ac:dyDescent="0.25">
      <c r="O9818" s="21"/>
    </row>
    <row r="9819" spans="15:15" x14ac:dyDescent="0.25">
      <c r="O9819" s="21"/>
    </row>
    <row r="9820" spans="15:15" x14ac:dyDescent="0.25">
      <c r="O9820" s="21"/>
    </row>
    <row r="9821" spans="15:15" x14ac:dyDescent="0.25">
      <c r="O9821" s="21"/>
    </row>
    <row r="9822" spans="15:15" x14ac:dyDescent="0.25">
      <c r="O9822" s="21"/>
    </row>
    <row r="9823" spans="15:15" x14ac:dyDescent="0.25">
      <c r="O9823" s="21"/>
    </row>
    <row r="9824" spans="15:15" x14ac:dyDescent="0.25">
      <c r="O9824" s="21"/>
    </row>
    <row r="9825" spans="15:15" x14ac:dyDescent="0.25">
      <c r="O9825" s="21"/>
    </row>
    <row r="9826" spans="15:15" x14ac:dyDescent="0.25">
      <c r="O9826" s="21"/>
    </row>
    <row r="9827" spans="15:15" x14ac:dyDescent="0.25">
      <c r="O9827" s="21"/>
    </row>
    <row r="9828" spans="15:15" x14ac:dyDescent="0.25">
      <c r="O9828" s="21"/>
    </row>
    <row r="9829" spans="15:15" x14ac:dyDescent="0.25">
      <c r="O9829" s="21"/>
    </row>
    <row r="9830" spans="15:15" x14ac:dyDescent="0.25">
      <c r="O9830" s="21"/>
    </row>
    <row r="9831" spans="15:15" x14ac:dyDescent="0.25">
      <c r="O9831" s="21"/>
    </row>
    <row r="9832" spans="15:15" x14ac:dyDescent="0.25">
      <c r="O9832" s="21"/>
    </row>
    <row r="9833" spans="15:15" x14ac:dyDescent="0.25">
      <c r="O9833" s="21"/>
    </row>
    <row r="9834" spans="15:15" x14ac:dyDescent="0.25">
      <c r="O9834" s="21"/>
    </row>
    <row r="9835" spans="15:15" x14ac:dyDescent="0.25">
      <c r="O9835" s="21"/>
    </row>
    <row r="9836" spans="15:15" x14ac:dyDescent="0.25">
      <c r="O9836" s="21"/>
    </row>
    <row r="9837" spans="15:15" x14ac:dyDescent="0.25">
      <c r="O9837" s="21"/>
    </row>
    <row r="9838" spans="15:15" x14ac:dyDescent="0.25">
      <c r="O9838" s="21"/>
    </row>
    <row r="9839" spans="15:15" x14ac:dyDescent="0.25">
      <c r="O9839" s="21"/>
    </row>
    <row r="9840" spans="15:15" x14ac:dyDescent="0.25">
      <c r="O9840" s="21"/>
    </row>
    <row r="9841" spans="15:15" x14ac:dyDescent="0.25">
      <c r="O9841" s="21"/>
    </row>
    <row r="9842" spans="15:15" x14ac:dyDescent="0.25">
      <c r="O9842" s="21"/>
    </row>
    <row r="9843" spans="15:15" x14ac:dyDescent="0.25">
      <c r="O9843" s="21"/>
    </row>
    <row r="9844" spans="15:15" x14ac:dyDescent="0.25">
      <c r="O9844" s="21"/>
    </row>
    <row r="9845" spans="15:15" x14ac:dyDescent="0.25">
      <c r="O9845" s="21"/>
    </row>
    <row r="9846" spans="15:15" x14ac:dyDescent="0.25">
      <c r="O9846" s="21"/>
    </row>
    <row r="9847" spans="15:15" x14ac:dyDescent="0.25">
      <c r="O9847" s="21"/>
    </row>
    <row r="9848" spans="15:15" x14ac:dyDescent="0.25">
      <c r="O9848" s="21"/>
    </row>
    <row r="9849" spans="15:15" x14ac:dyDescent="0.25">
      <c r="O9849" s="21"/>
    </row>
    <row r="9850" spans="15:15" x14ac:dyDescent="0.25">
      <c r="O9850" s="21"/>
    </row>
    <row r="9851" spans="15:15" x14ac:dyDescent="0.25">
      <c r="O9851" s="21"/>
    </row>
    <row r="9852" spans="15:15" x14ac:dyDescent="0.25">
      <c r="O9852" s="21"/>
    </row>
    <row r="9853" spans="15:15" x14ac:dyDescent="0.25">
      <c r="O9853" s="21"/>
    </row>
    <row r="9854" spans="15:15" x14ac:dyDescent="0.25">
      <c r="O9854" s="21"/>
    </row>
    <row r="9855" spans="15:15" x14ac:dyDescent="0.25">
      <c r="O9855" s="21"/>
    </row>
    <row r="9856" spans="15:15" x14ac:dyDescent="0.25">
      <c r="O9856" s="21"/>
    </row>
    <row r="9857" spans="15:15" x14ac:dyDescent="0.25">
      <c r="O9857" s="21"/>
    </row>
    <row r="9858" spans="15:15" x14ac:dyDescent="0.25">
      <c r="O9858" s="21"/>
    </row>
    <row r="9859" spans="15:15" x14ac:dyDescent="0.25">
      <c r="O9859" s="21"/>
    </row>
    <row r="9860" spans="15:15" x14ac:dyDescent="0.25">
      <c r="O9860" s="21"/>
    </row>
    <row r="9861" spans="15:15" x14ac:dyDescent="0.25">
      <c r="O9861" s="21"/>
    </row>
    <row r="9862" spans="15:15" x14ac:dyDescent="0.25">
      <c r="O9862" s="21"/>
    </row>
    <row r="9863" spans="15:15" x14ac:dyDescent="0.25">
      <c r="O9863" s="21"/>
    </row>
    <row r="9864" spans="15:15" x14ac:dyDescent="0.25">
      <c r="O9864" s="21"/>
    </row>
    <row r="9865" spans="15:15" x14ac:dyDescent="0.25">
      <c r="O9865" s="21"/>
    </row>
    <row r="9866" spans="15:15" x14ac:dyDescent="0.25">
      <c r="O9866" s="21"/>
    </row>
    <row r="9867" spans="15:15" x14ac:dyDescent="0.25">
      <c r="O9867" s="21"/>
    </row>
    <row r="9868" spans="15:15" x14ac:dyDescent="0.25">
      <c r="O9868" s="21"/>
    </row>
    <row r="9869" spans="15:15" x14ac:dyDescent="0.25">
      <c r="O9869" s="21"/>
    </row>
    <row r="9870" spans="15:15" x14ac:dyDescent="0.25">
      <c r="O9870" s="21"/>
    </row>
    <row r="9871" spans="15:15" x14ac:dyDescent="0.25">
      <c r="O9871" s="21"/>
    </row>
    <row r="9872" spans="15:15" x14ac:dyDescent="0.25">
      <c r="O9872" s="21"/>
    </row>
    <row r="9873" spans="15:15" x14ac:dyDescent="0.25">
      <c r="O9873" s="21"/>
    </row>
    <row r="9874" spans="15:15" x14ac:dyDescent="0.25">
      <c r="O9874" s="21"/>
    </row>
    <row r="9875" spans="15:15" x14ac:dyDescent="0.25">
      <c r="O9875" s="21"/>
    </row>
    <row r="9876" spans="15:15" x14ac:dyDescent="0.25">
      <c r="O9876" s="21"/>
    </row>
    <row r="9877" spans="15:15" x14ac:dyDescent="0.25">
      <c r="O9877" s="21"/>
    </row>
    <row r="9878" spans="15:15" x14ac:dyDescent="0.25">
      <c r="O9878" s="21"/>
    </row>
    <row r="9879" spans="15:15" x14ac:dyDescent="0.25">
      <c r="O9879" s="21"/>
    </row>
    <row r="9880" spans="15:15" x14ac:dyDescent="0.25">
      <c r="O9880" s="21"/>
    </row>
    <row r="9881" spans="15:15" x14ac:dyDescent="0.25">
      <c r="O9881" s="21"/>
    </row>
    <row r="9882" spans="15:15" x14ac:dyDescent="0.25">
      <c r="O9882" s="21"/>
    </row>
    <row r="9883" spans="15:15" x14ac:dyDescent="0.25">
      <c r="O9883" s="21"/>
    </row>
    <row r="9884" spans="15:15" x14ac:dyDescent="0.25">
      <c r="O9884" s="21"/>
    </row>
    <row r="9885" spans="15:15" x14ac:dyDescent="0.25">
      <c r="O9885" s="21"/>
    </row>
    <row r="9886" spans="15:15" x14ac:dyDescent="0.25">
      <c r="O9886" s="21"/>
    </row>
    <row r="9887" spans="15:15" x14ac:dyDescent="0.25">
      <c r="O9887" s="21"/>
    </row>
    <row r="9888" spans="15:15" x14ac:dyDescent="0.25">
      <c r="O9888" s="21"/>
    </row>
    <row r="9889" spans="15:15" x14ac:dyDescent="0.25">
      <c r="O9889" s="21"/>
    </row>
    <row r="9890" spans="15:15" x14ac:dyDescent="0.25">
      <c r="O9890" s="21"/>
    </row>
    <row r="9891" spans="15:15" x14ac:dyDescent="0.25">
      <c r="O9891" s="21"/>
    </row>
    <row r="9892" spans="15:15" x14ac:dyDescent="0.25">
      <c r="O9892" s="21"/>
    </row>
    <row r="9893" spans="15:15" x14ac:dyDescent="0.25">
      <c r="O9893" s="21"/>
    </row>
    <row r="9894" spans="15:15" x14ac:dyDescent="0.25">
      <c r="O9894" s="21"/>
    </row>
    <row r="9895" spans="15:15" x14ac:dyDescent="0.25">
      <c r="O9895" s="21"/>
    </row>
    <row r="9896" spans="15:15" x14ac:dyDescent="0.25">
      <c r="O9896" s="21"/>
    </row>
    <row r="9897" spans="15:15" x14ac:dyDescent="0.25">
      <c r="O9897" s="21"/>
    </row>
    <row r="9898" spans="15:15" x14ac:dyDescent="0.25">
      <c r="O9898" s="21"/>
    </row>
    <row r="9899" spans="15:15" x14ac:dyDescent="0.25">
      <c r="O9899" s="21"/>
    </row>
    <row r="9900" spans="15:15" x14ac:dyDescent="0.25">
      <c r="O9900" s="21"/>
    </row>
    <row r="9901" spans="15:15" x14ac:dyDescent="0.25">
      <c r="O9901" s="21"/>
    </row>
    <row r="9902" spans="15:15" x14ac:dyDescent="0.25">
      <c r="O9902" s="21"/>
    </row>
    <row r="9903" spans="15:15" x14ac:dyDescent="0.25">
      <c r="O9903" s="21"/>
    </row>
    <row r="9904" spans="15:15" x14ac:dyDescent="0.25">
      <c r="O9904" s="21"/>
    </row>
    <row r="9905" spans="15:15" x14ac:dyDescent="0.25">
      <c r="O9905" s="21"/>
    </row>
    <row r="9906" spans="15:15" x14ac:dyDescent="0.25">
      <c r="O9906" s="21"/>
    </row>
    <row r="9907" spans="15:15" x14ac:dyDescent="0.25">
      <c r="O9907" s="21"/>
    </row>
    <row r="9908" spans="15:15" x14ac:dyDescent="0.25">
      <c r="O9908" s="21"/>
    </row>
    <row r="9909" spans="15:15" x14ac:dyDescent="0.25">
      <c r="O9909" s="21"/>
    </row>
    <row r="9910" spans="15:15" x14ac:dyDescent="0.25">
      <c r="O9910" s="21"/>
    </row>
    <row r="9911" spans="15:15" x14ac:dyDescent="0.25">
      <c r="O9911" s="21"/>
    </row>
    <row r="9912" spans="15:15" x14ac:dyDescent="0.25">
      <c r="O9912" s="21"/>
    </row>
    <row r="9913" spans="15:15" x14ac:dyDescent="0.25">
      <c r="O9913" s="21"/>
    </row>
    <row r="9914" spans="15:15" x14ac:dyDescent="0.25">
      <c r="O9914" s="21"/>
    </row>
    <row r="9915" spans="15:15" x14ac:dyDescent="0.25">
      <c r="O9915" s="21"/>
    </row>
    <row r="9916" spans="15:15" x14ac:dyDescent="0.25">
      <c r="O9916" s="21"/>
    </row>
    <row r="9917" spans="15:15" x14ac:dyDescent="0.25">
      <c r="O9917" s="21"/>
    </row>
    <row r="9918" spans="15:15" x14ac:dyDescent="0.25">
      <c r="O9918" s="21"/>
    </row>
    <row r="9919" spans="15:15" x14ac:dyDescent="0.25">
      <c r="O9919" s="21"/>
    </row>
    <row r="9920" spans="15:15" x14ac:dyDescent="0.25">
      <c r="O9920" s="21"/>
    </row>
    <row r="9921" spans="15:15" x14ac:dyDescent="0.25">
      <c r="O9921" s="21"/>
    </row>
    <row r="9922" spans="15:15" x14ac:dyDescent="0.25">
      <c r="O9922" s="21"/>
    </row>
    <row r="9923" spans="15:15" x14ac:dyDescent="0.25">
      <c r="O9923" s="21"/>
    </row>
    <row r="9924" spans="15:15" x14ac:dyDescent="0.25">
      <c r="O9924" s="21"/>
    </row>
    <row r="9925" spans="15:15" x14ac:dyDescent="0.25">
      <c r="O9925" s="21"/>
    </row>
    <row r="9926" spans="15:15" x14ac:dyDescent="0.25">
      <c r="O9926" s="21"/>
    </row>
    <row r="9927" spans="15:15" x14ac:dyDescent="0.25">
      <c r="O9927" s="21"/>
    </row>
    <row r="9928" spans="15:15" x14ac:dyDescent="0.25">
      <c r="O9928" s="21"/>
    </row>
    <row r="9929" spans="15:15" x14ac:dyDescent="0.25">
      <c r="O9929" s="21"/>
    </row>
    <row r="9930" spans="15:15" x14ac:dyDescent="0.25">
      <c r="O9930" s="21"/>
    </row>
    <row r="9931" spans="15:15" x14ac:dyDescent="0.25">
      <c r="O9931" s="21"/>
    </row>
    <row r="9932" spans="15:15" x14ac:dyDescent="0.25">
      <c r="O9932" s="21"/>
    </row>
    <row r="9933" spans="15:15" x14ac:dyDescent="0.25">
      <c r="O9933" s="21"/>
    </row>
    <row r="9934" spans="15:15" x14ac:dyDescent="0.25">
      <c r="O9934" s="21"/>
    </row>
    <row r="9935" spans="15:15" x14ac:dyDescent="0.25">
      <c r="O9935" s="21"/>
    </row>
    <row r="9936" spans="15:15" x14ac:dyDescent="0.25">
      <c r="O9936" s="21"/>
    </row>
    <row r="9937" spans="15:15" x14ac:dyDescent="0.25">
      <c r="O9937" s="21"/>
    </row>
    <row r="9938" spans="15:15" x14ac:dyDescent="0.25">
      <c r="O9938" s="21"/>
    </row>
    <row r="9939" spans="15:15" x14ac:dyDescent="0.25">
      <c r="O9939" s="21"/>
    </row>
    <row r="9940" spans="15:15" x14ac:dyDescent="0.25">
      <c r="O9940" s="21"/>
    </row>
    <row r="9941" spans="15:15" x14ac:dyDescent="0.25">
      <c r="O9941" s="21"/>
    </row>
    <row r="9942" spans="15:15" x14ac:dyDescent="0.25">
      <c r="O9942" s="21"/>
    </row>
    <row r="9943" spans="15:15" x14ac:dyDescent="0.25">
      <c r="O9943" s="21"/>
    </row>
    <row r="9944" spans="15:15" x14ac:dyDescent="0.25">
      <c r="O9944" s="21"/>
    </row>
    <row r="9945" spans="15:15" x14ac:dyDescent="0.25">
      <c r="O9945" s="21"/>
    </row>
    <row r="9946" spans="15:15" x14ac:dyDescent="0.25">
      <c r="O9946" s="21"/>
    </row>
    <row r="9947" spans="15:15" x14ac:dyDescent="0.25">
      <c r="O9947" s="21"/>
    </row>
    <row r="9948" spans="15:15" x14ac:dyDescent="0.25">
      <c r="O9948" s="21"/>
    </row>
    <row r="9949" spans="15:15" x14ac:dyDescent="0.25">
      <c r="O9949" s="21"/>
    </row>
    <row r="9950" spans="15:15" x14ac:dyDescent="0.25">
      <c r="O9950" s="21"/>
    </row>
    <row r="9951" spans="15:15" x14ac:dyDescent="0.25">
      <c r="O9951" s="21"/>
    </row>
    <row r="9952" spans="15:15" x14ac:dyDescent="0.25">
      <c r="O9952" s="21"/>
    </row>
    <row r="9953" spans="15:15" x14ac:dyDescent="0.25">
      <c r="O9953" s="21"/>
    </row>
    <row r="9954" spans="15:15" x14ac:dyDescent="0.25">
      <c r="O9954" s="21"/>
    </row>
    <row r="9955" spans="15:15" x14ac:dyDescent="0.25">
      <c r="O9955" s="21"/>
    </row>
    <row r="9956" spans="15:15" x14ac:dyDescent="0.25">
      <c r="O9956" s="21"/>
    </row>
    <row r="9957" spans="15:15" x14ac:dyDescent="0.25">
      <c r="O9957" s="21"/>
    </row>
    <row r="9958" spans="15:15" x14ac:dyDescent="0.25">
      <c r="O9958" s="21"/>
    </row>
    <row r="9959" spans="15:15" x14ac:dyDescent="0.25">
      <c r="O9959" s="21"/>
    </row>
    <row r="9960" spans="15:15" x14ac:dyDescent="0.25">
      <c r="O9960" s="21"/>
    </row>
    <row r="9961" spans="15:15" x14ac:dyDescent="0.25">
      <c r="O9961" s="21"/>
    </row>
    <row r="9962" spans="15:15" x14ac:dyDescent="0.25">
      <c r="O9962" s="21"/>
    </row>
    <row r="9963" spans="15:15" x14ac:dyDescent="0.25">
      <c r="O9963" s="21"/>
    </row>
    <row r="9964" spans="15:15" x14ac:dyDescent="0.25">
      <c r="O9964" s="21"/>
    </row>
    <row r="9965" spans="15:15" x14ac:dyDescent="0.25">
      <c r="O9965" s="21"/>
    </row>
    <row r="9966" spans="15:15" x14ac:dyDescent="0.25">
      <c r="O9966" s="21"/>
    </row>
    <row r="9967" spans="15:15" x14ac:dyDescent="0.25">
      <c r="O9967" s="21"/>
    </row>
    <row r="9968" spans="15:15" x14ac:dyDescent="0.25">
      <c r="O9968" s="21"/>
    </row>
    <row r="9969" spans="15:15" x14ac:dyDescent="0.25">
      <c r="O9969" s="21"/>
    </row>
    <row r="9970" spans="15:15" x14ac:dyDescent="0.25">
      <c r="O9970" s="21"/>
    </row>
    <row r="9971" spans="15:15" x14ac:dyDescent="0.25">
      <c r="O9971" s="21"/>
    </row>
    <row r="9972" spans="15:15" x14ac:dyDescent="0.25">
      <c r="O9972" s="21"/>
    </row>
    <row r="9973" spans="15:15" x14ac:dyDescent="0.25">
      <c r="O9973" s="21"/>
    </row>
    <row r="9974" spans="15:15" x14ac:dyDescent="0.25">
      <c r="O9974" s="21"/>
    </row>
    <row r="9975" spans="15:15" x14ac:dyDescent="0.25">
      <c r="O9975" s="21"/>
    </row>
    <row r="9976" spans="15:15" x14ac:dyDescent="0.25">
      <c r="O9976" s="21"/>
    </row>
    <row r="9977" spans="15:15" x14ac:dyDescent="0.25">
      <c r="O9977" s="21"/>
    </row>
    <row r="9978" spans="15:15" x14ac:dyDescent="0.25">
      <c r="O9978" s="21"/>
    </row>
    <row r="9979" spans="15:15" x14ac:dyDescent="0.25">
      <c r="O9979" s="21"/>
    </row>
    <row r="9980" spans="15:15" x14ac:dyDescent="0.25">
      <c r="O9980" s="21"/>
    </row>
    <row r="9981" spans="15:15" x14ac:dyDescent="0.25">
      <c r="O9981" s="21"/>
    </row>
    <row r="9982" spans="15:15" x14ac:dyDescent="0.25">
      <c r="O9982" s="21"/>
    </row>
    <row r="9983" spans="15:15" x14ac:dyDescent="0.25">
      <c r="O9983" s="21"/>
    </row>
    <row r="9984" spans="15:15" x14ac:dyDescent="0.25">
      <c r="O9984" s="21"/>
    </row>
    <row r="9985" spans="15:15" x14ac:dyDescent="0.25">
      <c r="O9985" s="21"/>
    </row>
    <row r="9986" spans="15:15" x14ac:dyDescent="0.25">
      <c r="O9986" s="21"/>
    </row>
    <row r="9987" spans="15:15" x14ac:dyDescent="0.25">
      <c r="O9987" s="21"/>
    </row>
    <row r="9988" spans="15:15" x14ac:dyDescent="0.25">
      <c r="O9988" s="21"/>
    </row>
    <row r="9989" spans="15:15" x14ac:dyDescent="0.25">
      <c r="O9989" s="21"/>
    </row>
    <row r="9990" spans="15:15" x14ac:dyDescent="0.25">
      <c r="O9990" s="21"/>
    </row>
    <row r="9991" spans="15:15" x14ac:dyDescent="0.25">
      <c r="O9991" s="21"/>
    </row>
    <row r="9992" spans="15:15" x14ac:dyDescent="0.25">
      <c r="O9992" s="21"/>
    </row>
    <row r="9993" spans="15:15" x14ac:dyDescent="0.25">
      <c r="O9993" s="21"/>
    </row>
    <row r="9994" spans="15:15" x14ac:dyDescent="0.25">
      <c r="O9994" s="21"/>
    </row>
    <row r="9995" spans="15:15" x14ac:dyDescent="0.25">
      <c r="O9995" s="21"/>
    </row>
    <row r="9996" spans="15:15" x14ac:dyDescent="0.25">
      <c r="O9996" s="21"/>
    </row>
    <row r="9997" spans="15:15" x14ac:dyDescent="0.25">
      <c r="O9997" s="21"/>
    </row>
    <row r="9998" spans="15:15" x14ac:dyDescent="0.25">
      <c r="O9998" s="21"/>
    </row>
    <row r="9999" spans="15:15" x14ac:dyDescent="0.25">
      <c r="O9999" s="21"/>
    </row>
    <row r="10000" spans="15:15" x14ac:dyDescent="0.25">
      <c r="O10000" s="21"/>
    </row>
    <row r="10001" spans="15:15" x14ac:dyDescent="0.25">
      <c r="O10001" s="21"/>
    </row>
    <row r="10002" spans="15:15" x14ac:dyDescent="0.25">
      <c r="O10002" s="21"/>
    </row>
    <row r="10003" spans="15:15" x14ac:dyDescent="0.25">
      <c r="O10003" s="21"/>
    </row>
    <row r="10004" spans="15:15" x14ac:dyDescent="0.25">
      <c r="O10004" s="21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EDC29-F45C-4E36-A0A3-518E4EE3E80E}">
  <sheetPr codeName="Sheet12"/>
  <dimension ref="B2:Q10004"/>
  <sheetViews>
    <sheetView topLeftCell="C1" zoomScale="115" zoomScaleNormal="115" workbookViewId="0">
      <selection activeCell="L4" sqref="L4"/>
    </sheetView>
  </sheetViews>
  <sheetFormatPr defaultRowHeight="12.5" x14ac:dyDescent="0.25"/>
  <cols>
    <col min="3" max="3" width="9.81640625" customWidth="1"/>
    <col min="5" max="5" width="11.36328125" customWidth="1"/>
    <col min="6" max="6" width="12.08984375" bestFit="1" customWidth="1"/>
    <col min="15" max="15" width="29.453125" customWidth="1"/>
  </cols>
  <sheetData>
    <row r="2" spans="2:17" x14ac:dyDescent="0.25">
      <c r="B2" s="17" t="s">
        <v>28</v>
      </c>
      <c r="C2" s="17" t="s">
        <v>38</v>
      </c>
      <c r="D2" t="s">
        <v>0</v>
      </c>
      <c r="E2" t="s">
        <v>0</v>
      </c>
      <c r="F2" t="s">
        <v>1</v>
      </c>
      <c r="G2" t="s">
        <v>1</v>
      </c>
      <c r="H2" t="s">
        <v>2</v>
      </c>
      <c r="I2" t="s">
        <v>2</v>
      </c>
      <c r="J2" t="s">
        <v>3</v>
      </c>
      <c r="K2" t="s">
        <v>3</v>
      </c>
      <c r="L2" s="16" t="s">
        <v>159</v>
      </c>
      <c r="M2" s="16" t="s">
        <v>159</v>
      </c>
      <c r="O2" s="16" t="s">
        <v>32</v>
      </c>
    </row>
    <row r="3" spans="2:17" x14ac:dyDescent="0.25">
      <c r="O3" s="22">
        <f>AVERAGE(O5:O10004)</f>
        <v>4.3922309873242478</v>
      </c>
      <c r="P3" s="18" t="s">
        <v>34</v>
      </c>
      <c r="Q3" s="19"/>
    </row>
    <row r="4" spans="2:17" x14ac:dyDescent="0.25">
      <c r="C4" t="s">
        <v>4</v>
      </c>
      <c r="D4">
        <f ca="1">RAND()</f>
        <v>0.1658652078294921</v>
      </c>
      <c r="E4" s="19">
        <f ca="1">IF(D5&gt;0.5,1,0)</f>
        <v>0</v>
      </c>
      <c r="F4">
        <f t="shared" ref="F4:L4" ca="1" si="0">RAND()</f>
        <v>0.96682713318490843</v>
      </c>
      <c r="G4" s="19">
        <f ca="1">1-E4</f>
        <v>1</v>
      </c>
      <c r="H4">
        <f ca="1">RAND()</f>
        <v>1.1005044154839272E-3</v>
      </c>
      <c r="I4" s="61">
        <f ca="1">IF(H4&gt;0.5,1,0)</f>
        <v>0</v>
      </c>
      <c r="J4">
        <f t="shared" ca="1" si="0"/>
        <v>0.56045613906295655</v>
      </c>
      <c r="K4" s="61">
        <f ca="1">1-I4</f>
        <v>1</v>
      </c>
      <c r="L4">
        <f t="shared" ca="1" si="0"/>
        <v>0.21239150758829772</v>
      </c>
      <c r="M4">
        <f t="shared" ref="M4:M67" ca="1" si="1">IF(L4&gt;0.5,1,0)</f>
        <v>0</v>
      </c>
      <c r="O4" s="21">
        <v>1.2909944487358056</v>
      </c>
    </row>
    <row r="5" spans="2:17" x14ac:dyDescent="0.25">
      <c r="C5" t="s">
        <v>5</v>
      </c>
      <c r="D5">
        <f t="shared" ref="D5:L21" ca="1" si="2">RAND()</f>
        <v>0.20082497144212408</v>
      </c>
      <c r="E5" s="19">
        <f t="shared" ref="E5:E19" ca="1" si="3">IF(D6&gt;0.5,1,0)</f>
        <v>1</v>
      </c>
      <c r="F5">
        <f t="shared" ca="1" si="2"/>
        <v>0.45273969076883225</v>
      </c>
      <c r="G5" s="19">
        <f t="shared" ref="G5:G7" ca="1" si="4">1-E5</f>
        <v>0</v>
      </c>
      <c r="H5">
        <f t="shared" ca="1" si="2"/>
        <v>0.40090995811127206</v>
      </c>
      <c r="I5" s="61">
        <f t="shared" ref="I5:I19" ca="1" si="5">IF(H5&gt;0.5,1,0)</f>
        <v>0</v>
      </c>
      <c r="J5">
        <f t="shared" ca="1" si="2"/>
        <v>0.42882997885573826</v>
      </c>
      <c r="K5" s="61">
        <f t="shared" ref="K5:K7" ca="1" si="6">1-I5</f>
        <v>1</v>
      </c>
      <c r="L5">
        <f t="shared" ca="1" si="2"/>
        <v>0.96186230289681796</v>
      </c>
      <c r="M5">
        <f t="shared" ca="1" si="1"/>
        <v>1</v>
      </c>
      <c r="O5" s="21">
        <v>5.1672042731055079</v>
      </c>
    </row>
    <row r="6" spans="2:17" x14ac:dyDescent="0.25">
      <c r="C6" t="s">
        <v>6</v>
      </c>
      <c r="D6">
        <f t="shared" ca="1" si="2"/>
        <v>0.67125659966996121</v>
      </c>
      <c r="E6" s="19">
        <f t="shared" ca="1" si="3"/>
        <v>1</v>
      </c>
      <c r="F6">
        <f t="shared" ca="1" si="2"/>
        <v>0.71409043532916827</v>
      </c>
      <c r="G6" s="19">
        <f t="shared" ca="1" si="4"/>
        <v>0</v>
      </c>
      <c r="H6">
        <f t="shared" ca="1" si="2"/>
        <v>0.20332681575486933</v>
      </c>
      <c r="I6" s="61">
        <f t="shared" ca="1" si="5"/>
        <v>0</v>
      </c>
      <c r="J6">
        <f t="shared" ca="1" si="2"/>
        <v>0.74898603371353289</v>
      </c>
      <c r="K6" s="61">
        <f t="shared" ca="1" si="6"/>
        <v>1</v>
      </c>
      <c r="L6">
        <f t="shared" ca="1" si="2"/>
        <v>0.58937522503288053</v>
      </c>
      <c r="M6">
        <f t="shared" ca="1" si="1"/>
        <v>1</v>
      </c>
      <c r="O6" s="21">
        <v>4.9193495504995193</v>
      </c>
    </row>
    <row r="7" spans="2:17" x14ac:dyDescent="0.25">
      <c r="C7" t="s">
        <v>7</v>
      </c>
      <c r="D7">
        <f t="shared" ca="1" si="2"/>
        <v>0.97617500204112151</v>
      </c>
      <c r="E7" s="19">
        <f t="shared" ca="1" si="3"/>
        <v>0</v>
      </c>
      <c r="F7">
        <f t="shared" ca="1" si="2"/>
        <v>0.2659073202405613</v>
      </c>
      <c r="G7" s="19">
        <f t="shared" ca="1" si="4"/>
        <v>1</v>
      </c>
      <c r="H7">
        <f t="shared" ca="1" si="2"/>
        <v>0.46148185533940678</v>
      </c>
      <c r="I7" s="61">
        <f t="shared" ca="1" si="5"/>
        <v>0</v>
      </c>
      <c r="J7">
        <f t="shared" ca="1" si="2"/>
        <v>0.77358889569847922</v>
      </c>
      <c r="K7" s="61">
        <f t="shared" ca="1" si="6"/>
        <v>1</v>
      </c>
      <c r="L7">
        <f t="shared" ca="1" si="2"/>
        <v>0.91436338616977286</v>
      </c>
      <c r="M7">
        <f t="shared" ca="1" si="1"/>
        <v>1</v>
      </c>
      <c r="O7" s="21">
        <v>1.51657508881031</v>
      </c>
    </row>
    <row r="8" spans="2:17" x14ac:dyDescent="0.25">
      <c r="C8" t="s">
        <v>8</v>
      </c>
      <c r="D8">
        <f t="shared" ca="1" si="2"/>
        <v>0.21454781841713322</v>
      </c>
      <c r="E8" s="19">
        <f ca="1">IF(D9&gt;0.5,1,0)</f>
        <v>1</v>
      </c>
      <c r="F8">
        <f t="shared" ca="1" si="2"/>
        <v>0.6957938927342241</v>
      </c>
      <c r="G8" s="74">
        <f t="shared" ref="E4:G20" ca="1" si="7">IF(F8&gt;0.5,1,0)</f>
        <v>1</v>
      </c>
      <c r="H8">
        <f t="shared" ca="1" si="2"/>
        <v>0.22677686737478442</v>
      </c>
      <c r="I8" s="19">
        <f ca="1">1-E8</f>
        <v>0</v>
      </c>
      <c r="J8">
        <f t="shared" ca="1" si="2"/>
        <v>0.26403538500795809</v>
      </c>
      <c r="K8" s="74">
        <f ca="1">1-G8</f>
        <v>0</v>
      </c>
      <c r="L8">
        <f t="shared" ca="1" si="2"/>
        <v>0.92741221030275101</v>
      </c>
      <c r="M8">
        <f t="shared" ca="1" si="1"/>
        <v>1</v>
      </c>
      <c r="O8" s="21">
        <v>3.4351128074635335</v>
      </c>
    </row>
    <row r="9" spans="2:17" x14ac:dyDescent="0.25">
      <c r="C9" t="s">
        <v>9</v>
      </c>
      <c r="D9">
        <f t="shared" ca="1" si="2"/>
        <v>0.59799796648197068</v>
      </c>
      <c r="E9" s="19">
        <f t="shared" ca="1" si="3"/>
        <v>0</v>
      </c>
      <c r="F9">
        <f t="shared" ca="1" si="2"/>
        <v>0.39317745050464981</v>
      </c>
      <c r="G9" s="74">
        <f t="shared" ca="1" si="7"/>
        <v>0</v>
      </c>
      <c r="H9">
        <f t="shared" ca="1" si="2"/>
        <v>0.22418951234131568</v>
      </c>
      <c r="I9" s="19">
        <f t="shared" ref="I9:K12" ca="1" si="8">1-E9</f>
        <v>1</v>
      </c>
      <c r="J9">
        <f t="shared" ca="1" si="2"/>
        <v>0.75602255701565446</v>
      </c>
      <c r="K9" s="74">
        <f t="shared" ref="K9:K11" ca="1" si="9">1-G9</f>
        <v>1</v>
      </c>
      <c r="L9">
        <f t="shared" ca="1" si="2"/>
        <v>0.69910739665553956</v>
      </c>
      <c r="M9">
        <f t="shared" ca="1" si="1"/>
        <v>1</v>
      </c>
      <c r="O9" s="21">
        <v>2.2360679774997898</v>
      </c>
    </row>
    <row r="10" spans="2:17" x14ac:dyDescent="0.25">
      <c r="C10" t="s">
        <v>10</v>
      </c>
      <c r="D10">
        <f t="shared" ca="1" si="2"/>
        <v>0.14661938257429241</v>
      </c>
      <c r="E10" s="19">
        <f t="shared" ca="1" si="3"/>
        <v>1</v>
      </c>
      <c r="F10">
        <f t="shared" ca="1" si="2"/>
        <v>0.55351527980171777</v>
      </c>
      <c r="G10" s="74">
        <f t="shared" ca="1" si="7"/>
        <v>1</v>
      </c>
      <c r="H10">
        <f t="shared" ca="1" si="2"/>
        <v>0.84985068132385511</v>
      </c>
      <c r="I10" s="19">
        <f t="shared" ca="1" si="8"/>
        <v>0</v>
      </c>
      <c r="J10">
        <f t="shared" ca="1" si="2"/>
        <v>0.41200611039377433</v>
      </c>
      <c r="K10" s="74">
        <f t="shared" ca="1" si="9"/>
        <v>0</v>
      </c>
      <c r="L10">
        <f t="shared" ca="1" si="2"/>
        <v>0.65376175881884635</v>
      </c>
      <c r="M10">
        <f t="shared" ca="1" si="1"/>
        <v>1</v>
      </c>
      <c r="O10" s="21">
        <v>4.6151923036857259</v>
      </c>
    </row>
    <row r="11" spans="2:17" x14ac:dyDescent="0.25">
      <c r="C11" t="s">
        <v>11</v>
      </c>
      <c r="D11">
        <f t="shared" ca="1" si="2"/>
        <v>0.73950165387891353</v>
      </c>
      <c r="E11" s="19">
        <f t="shared" ca="1" si="3"/>
        <v>1</v>
      </c>
      <c r="F11">
        <f t="shared" ca="1" si="2"/>
        <v>0.30573751488155687</v>
      </c>
      <c r="G11" s="74">
        <f t="shared" ca="1" si="7"/>
        <v>0</v>
      </c>
      <c r="H11">
        <f t="shared" ca="1" si="2"/>
        <v>0.7915597312920688</v>
      </c>
      <c r="I11" s="19">
        <f t="shared" ca="1" si="8"/>
        <v>0</v>
      </c>
      <c r="J11">
        <f t="shared" ca="1" si="2"/>
        <v>0.11081226765275798</v>
      </c>
      <c r="K11" s="74">
        <f t="shared" ca="1" si="9"/>
        <v>1</v>
      </c>
      <c r="L11">
        <f t="shared" ca="1" si="2"/>
        <v>0.61232492111538972</v>
      </c>
      <c r="M11">
        <f t="shared" ca="1" si="1"/>
        <v>1</v>
      </c>
      <c r="O11" s="21">
        <v>2.0736441353327719</v>
      </c>
    </row>
    <row r="12" spans="2:17" x14ac:dyDescent="0.25">
      <c r="C12" t="s">
        <v>12</v>
      </c>
      <c r="D12">
        <f t="shared" ca="1" si="2"/>
        <v>0.6571229006279562</v>
      </c>
      <c r="E12" s="19">
        <f ca="1">IF(D13&gt;0.5,1,0)</f>
        <v>1</v>
      </c>
      <c r="F12">
        <f t="shared" ca="1" si="2"/>
        <v>0.88112273208206682</v>
      </c>
      <c r="G12">
        <f t="shared" ca="1" si="7"/>
        <v>1</v>
      </c>
      <c r="H12">
        <f t="shared" ca="1" si="2"/>
        <v>0.80393399048541614</v>
      </c>
      <c r="I12" s="61">
        <f ca="1">IF(H12&gt;0.5,1,0)</f>
        <v>1</v>
      </c>
      <c r="J12">
        <f t="shared" ca="1" si="2"/>
        <v>0.53839861305694281</v>
      </c>
      <c r="K12" s="19">
        <f ca="1">1-E12</f>
        <v>0</v>
      </c>
      <c r="L12">
        <f t="shared" ca="1" si="2"/>
        <v>0.37338669201613506</v>
      </c>
      <c r="M12" s="61">
        <f ca="1">1-I12</f>
        <v>0</v>
      </c>
      <c r="O12" s="21">
        <v>3.9115214431215888</v>
      </c>
    </row>
    <row r="13" spans="2:17" x14ac:dyDescent="0.25">
      <c r="C13" t="s">
        <v>13</v>
      </c>
      <c r="D13">
        <f t="shared" ca="1" si="2"/>
        <v>0.9826422643094096</v>
      </c>
      <c r="E13" s="19">
        <f t="shared" ca="1" si="3"/>
        <v>1</v>
      </c>
      <c r="F13">
        <f t="shared" ca="1" si="2"/>
        <v>0.90780771779283975</v>
      </c>
      <c r="G13">
        <f t="shared" ca="1" si="7"/>
        <v>1</v>
      </c>
      <c r="H13">
        <f t="shared" ca="1" si="2"/>
        <v>0.62614258734856132</v>
      </c>
      <c r="I13" s="61">
        <f t="shared" ca="1" si="5"/>
        <v>1</v>
      </c>
      <c r="J13">
        <f t="shared" ca="1" si="2"/>
        <v>0.97991474795382516</v>
      </c>
      <c r="K13" s="19">
        <f t="shared" ref="K13:M16" ca="1" si="10">1-E13</f>
        <v>0</v>
      </c>
      <c r="L13">
        <f t="shared" ca="1" si="2"/>
        <v>0.98801038648076411</v>
      </c>
      <c r="M13" s="61">
        <f t="shared" ref="M13:M15" ca="1" si="11">1-I13</f>
        <v>0</v>
      </c>
      <c r="O13" s="21">
        <v>3.8470768123342691</v>
      </c>
    </row>
    <row r="14" spans="2:17" x14ac:dyDescent="0.25">
      <c r="C14" t="s">
        <v>14</v>
      </c>
      <c r="D14">
        <f t="shared" ca="1" si="2"/>
        <v>0.79643289017365215</v>
      </c>
      <c r="E14" s="19">
        <f t="shared" ca="1" si="3"/>
        <v>0</v>
      </c>
      <c r="F14">
        <f t="shared" ca="1" si="2"/>
        <v>0.3663871436283308</v>
      </c>
      <c r="G14">
        <f t="shared" ca="1" si="7"/>
        <v>0</v>
      </c>
      <c r="H14">
        <f t="shared" ca="1" si="2"/>
        <v>0.81510781463475834</v>
      </c>
      <c r="I14" s="61">
        <f t="shared" ca="1" si="5"/>
        <v>1</v>
      </c>
      <c r="J14">
        <f t="shared" ca="1" si="2"/>
        <v>0.44352107543962493</v>
      </c>
      <c r="K14" s="19">
        <f t="shared" ca="1" si="10"/>
        <v>1</v>
      </c>
      <c r="L14">
        <f t="shared" ca="1" si="2"/>
        <v>0.76065036997679214</v>
      </c>
      <c r="M14" s="61">
        <f t="shared" ca="1" si="11"/>
        <v>0</v>
      </c>
      <c r="O14" s="21">
        <v>6.2289646009589896</v>
      </c>
    </row>
    <row r="15" spans="2:17" x14ac:dyDescent="0.25">
      <c r="C15" t="s">
        <v>15</v>
      </c>
      <c r="D15">
        <f t="shared" ca="1" si="2"/>
        <v>0.24223555043004619</v>
      </c>
      <c r="E15" s="19">
        <f t="shared" ca="1" si="3"/>
        <v>0</v>
      </c>
      <c r="F15">
        <f t="shared" ca="1" si="2"/>
        <v>0.48873693682954444</v>
      </c>
      <c r="G15">
        <f t="shared" ca="1" si="7"/>
        <v>0</v>
      </c>
      <c r="H15">
        <f t="shared" ca="1" si="2"/>
        <v>0.36491176329771091</v>
      </c>
      <c r="I15" s="61">
        <f t="shared" ca="1" si="5"/>
        <v>0</v>
      </c>
      <c r="J15">
        <f t="shared" ca="1" si="2"/>
        <v>0.60726435379199062</v>
      </c>
      <c r="K15" s="19">
        <f t="shared" ca="1" si="10"/>
        <v>1</v>
      </c>
      <c r="L15">
        <f t="shared" ca="1" si="2"/>
        <v>0.10962237586383561</v>
      </c>
      <c r="M15" s="61">
        <f t="shared" ca="1" si="11"/>
        <v>1</v>
      </c>
      <c r="O15" s="21">
        <v>5.3103672189407058</v>
      </c>
    </row>
    <row r="16" spans="2:17" x14ac:dyDescent="0.25">
      <c r="C16" t="s">
        <v>16</v>
      </c>
      <c r="D16">
        <f t="shared" ca="1" si="2"/>
        <v>3.9654673851214683E-2</v>
      </c>
      <c r="E16" s="19">
        <f ca="1">IF(D17&gt;0.5,1,0)</f>
        <v>0</v>
      </c>
      <c r="F16">
        <f t="shared" ca="1" si="2"/>
        <v>0.36596729501419822</v>
      </c>
      <c r="G16" s="74">
        <f t="shared" ca="1" si="7"/>
        <v>0</v>
      </c>
      <c r="H16">
        <f t="shared" ca="1" si="2"/>
        <v>9.8280657171474495E-2</v>
      </c>
      <c r="I16" s="74">
        <f ca="1">1-G16</f>
        <v>1</v>
      </c>
      <c r="J16">
        <f t="shared" ca="1" si="2"/>
        <v>0.75318633304312932</v>
      </c>
      <c r="K16">
        <f t="shared" ref="K4:K67" ca="1" si="12">IF(J16&gt;0.5,1,0)</f>
        <v>1</v>
      </c>
      <c r="L16">
        <f t="shared" ca="1" si="2"/>
        <v>0.77100220465341518</v>
      </c>
      <c r="M16" s="19">
        <f ca="1">1-E16</f>
        <v>1</v>
      </c>
      <c r="O16" s="21">
        <v>3.2863353450309969</v>
      </c>
    </row>
    <row r="17" spans="3:15" x14ac:dyDescent="0.25">
      <c r="C17" t="s">
        <v>17</v>
      </c>
      <c r="D17">
        <f t="shared" ca="1" si="2"/>
        <v>0.15384597825110691</v>
      </c>
      <c r="E17" s="19">
        <f t="shared" ca="1" si="3"/>
        <v>1</v>
      </c>
      <c r="F17">
        <f t="shared" ca="1" si="2"/>
        <v>0.81325699637389426</v>
      </c>
      <c r="G17" s="74">
        <f t="shared" ca="1" si="7"/>
        <v>1</v>
      </c>
      <c r="H17">
        <f t="shared" ca="1" si="2"/>
        <v>0.38665865795478127</v>
      </c>
      <c r="I17" s="74">
        <f t="shared" ref="I17:I19" ca="1" si="13">1-G17</f>
        <v>0</v>
      </c>
      <c r="J17">
        <f t="shared" ca="1" si="2"/>
        <v>0.98306259085725223</v>
      </c>
      <c r="K17">
        <f t="shared" ca="1" si="12"/>
        <v>1</v>
      </c>
      <c r="L17">
        <f t="shared" ca="1" si="2"/>
        <v>0.26665992575937603</v>
      </c>
      <c r="M17" s="19">
        <f t="shared" ref="M17:M19" ca="1" si="14">1-E17</f>
        <v>0</v>
      </c>
      <c r="O17" s="21">
        <v>7.4632432628181036</v>
      </c>
    </row>
    <row r="18" spans="3:15" x14ac:dyDescent="0.25">
      <c r="C18" t="s">
        <v>18</v>
      </c>
      <c r="D18">
        <f t="shared" ca="1" si="2"/>
        <v>0.57197390909682855</v>
      </c>
      <c r="E18" s="19">
        <f t="shared" ca="1" si="3"/>
        <v>1</v>
      </c>
      <c r="F18">
        <f t="shared" ca="1" si="2"/>
        <v>0.65449473858625307</v>
      </c>
      <c r="G18" s="74">
        <f t="shared" ca="1" si="7"/>
        <v>1</v>
      </c>
      <c r="H18">
        <f t="shared" ca="1" si="2"/>
        <v>0.10628106837371898</v>
      </c>
      <c r="I18" s="74">
        <f t="shared" ca="1" si="13"/>
        <v>0</v>
      </c>
      <c r="J18">
        <f t="shared" ca="1" si="2"/>
        <v>0.9229371143347983</v>
      </c>
      <c r="K18">
        <f t="shared" ca="1" si="12"/>
        <v>1</v>
      </c>
      <c r="L18">
        <f t="shared" ca="1" si="2"/>
        <v>0.4036658180625724</v>
      </c>
      <c r="M18" s="19">
        <f t="shared" ca="1" si="14"/>
        <v>0</v>
      </c>
      <c r="O18" s="21">
        <v>1.3038404810405297</v>
      </c>
    </row>
    <row r="19" spans="3:15" x14ac:dyDescent="0.25">
      <c r="C19" t="s">
        <v>19</v>
      </c>
      <c r="D19">
        <f t="shared" ca="1" si="2"/>
        <v>0.96819830262817108</v>
      </c>
      <c r="E19" s="19">
        <f t="shared" ca="1" si="3"/>
        <v>1</v>
      </c>
      <c r="F19">
        <f t="shared" ca="1" si="2"/>
        <v>0.38464268947384606</v>
      </c>
      <c r="G19" s="74">
        <f t="shared" ca="1" si="7"/>
        <v>0</v>
      </c>
      <c r="H19">
        <f t="shared" ca="1" si="2"/>
        <v>0.51615204695433559</v>
      </c>
      <c r="I19" s="74">
        <f t="shared" ca="1" si="13"/>
        <v>1</v>
      </c>
      <c r="J19">
        <f t="shared" ca="1" si="2"/>
        <v>0.14734881828346824</v>
      </c>
      <c r="K19">
        <f t="shared" ca="1" si="12"/>
        <v>0</v>
      </c>
      <c r="L19">
        <f t="shared" ca="1" si="2"/>
        <v>0.28085005305349275</v>
      </c>
      <c r="M19" s="19">
        <f t="shared" ca="1" si="14"/>
        <v>0</v>
      </c>
      <c r="O19" s="21">
        <v>3.7682887362833544</v>
      </c>
    </row>
    <row r="20" spans="3:15" x14ac:dyDescent="0.25">
      <c r="C20" t="s">
        <v>165</v>
      </c>
      <c r="D20">
        <f ca="1">RAND()</f>
        <v>0.62535557076678128</v>
      </c>
      <c r="E20">
        <f t="shared" ref="E20:E83" ca="1" si="15">IF(D20&gt;0.5,1,0)</f>
        <v>1</v>
      </c>
      <c r="F20">
        <f t="shared" ca="1" si="2"/>
        <v>0.58548261535489809</v>
      </c>
      <c r="G20" s="74">
        <f t="shared" ca="1" si="7"/>
        <v>1</v>
      </c>
      <c r="H20">
        <f ca="1">RAND()</f>
        <v>0.15953357883518782</v>
      </c>
      <c r="I20">
        <f ca="1">IF(H20&gt;0.5,1,0)</f>
        <v>0</v>
      </c>
      <c r="J20">
        <f t="shared" ca="1" si="2"/>
        <v>0.3776577297894067</v>
      </c>
      <c r="K20">
        <f t="shared" ca="1" si="12"/>
        <v>0</v>
      </c>
      <c r="L20">
        <f t="shared" ca="1" si="2"/>
        <v>0.81142296949023895</v>
      </c>
      <c r="M20" s="74">
        <f ca="1">1-G20</f>
        <v>0</v>
      </c>
      <c r="N20" s="70"/>
      <c r="O20" s="21">
        <v>6.2449979983983983</v>
      </c>
    </row>
    <row r="21" spans="3:15" x14ac:dyDescent="0.25">
      <c r="C21" t="s">
        <v>166</v>
      </c>
      <c r="D21">
        <f t="shared" ca="1" si="2"/>
        <v>0.99662740977338593</v>
      </c>
      <c r="E21">
        <f t="shared" ca="1" si="15"/>
        <v>1</v>
      </c>
      <c r="F21">
        <f t="shared" ca="1" si="2"/>
        <v>0.86811187722372074</v>
      </c>
      <c r="G21" s="74">
        <f t="shared" ref="G21:G23" ca="1" si="16">IF(F21&gt;0.5,1,0)</f>
        <v>1</v>
      </c>
      <c r="H21">
        <f t="shared" ca="1" si="2"/>
        <v>0.83522046439521536</v>
      </c>
      <c r="I21">
        <f t="shared" ref="I21:I35" ca="1" si="17">IF(H21&gt;0.5,1,0)</f>
        <v>1</v>
      </c>
      <c r="J21">
        <f t="shared" ca="1" si="2"/>
        <v>0.64391006783683868</v>
      </c>
      <c r="K21">
        <f t="shared" ca="1" si="12"/>
        <v>1</v>
      </c>
      <c r="L21">
        <f t="shared" ca="1" si="2"/>
        <v>4.5312636729920031E-2</v>
      </c>
      <c r="M21" s="74">
        <f t="shared" ref="M21:M23" ca="1" si="18">1-G21</f>
        <v>0</v>
      </c>
      <c r="N21" s="73"/>
      <c r="O21" s="21">
        <v>1.4832396974191324</v>
      </c>
    </row>
    <row r="22" spans="3:15" x14ac:dyDescent="0.25">
      <c r="C22" t="s">
        <v>167</v>
      </c>
      <c r="D22">
        <f t="shared" ref="D22:L38" ca="1" si="19">RAND()</f>
        <v>0.48207414748884014</v>
      </c>
      <c r="E22">
        <f t="shared" ca="1" si="15"/>
        <v>0</v>
      </c>
      <c r="F22">
        <f t="shared" ca="1" si="19"/>
        <v>0.54534507625997952</v>
      </c>
      <c r="G22" s="74">
        <f t="shared" ca="1" si="16"/>
        <v>1</v>
      </c>
      <c r="H22">
        <f t="shared" ca="1" si="19"/>
        <v>0.57639197513599927</v>
      </c>
      <c r="I22">
        <f t="shared" ca="1" si="17"/>
        <v>1</v>
      </c>
      <c r="J22">
        <f t="shared" ca="1" si="19"/>
        <v>0.13549016748215958</v>
      </c>
      <c r="K22">
        <f t="shared" ca="1" si="12"/>
        <v>0</v>
      </c>
      <c r="L22">
        <f t="shared" ca="1" si="19"/>
        <v>0.29469158908523219</v>
      </c>
      <c r="M22" s="74">
        <f t="shared" ca="1" si="18"/>
        <v>0</v>
      </c>
      <c r="O22" s="21">
        <v>2</v>
      </c>
    </row>
    <row r="23" spans="3:15" x14ac:dyDescent="0.25">
      <c r="C23" t="s">
        <v>168</v>
      </c>
      <c r="D23">
        <f t="shared" ca="1" si="19"/>
        <v>0.67511433813061938</v>
      </c>
      <c r="E23">
        <f t="shared" ca="1" si="15"/>
        <v>1</v>
      </c>
      <c r="F23">
        <f t="shared" ca="1" si="19"/>
        <v>0.28144561297323034</v>
      </c>
      <c r="G23" s="74">
        <f t="shared" ca="1" si="16"/>
        <v>0</v>
      </c>
      <c r="H23">
        <f t="shared" ca="1" si="19"/>
        <v>0.72969113132787455</v>
      </c>
      <c r="I23">
        <f t="shared" ca="1" si="17"/>
        <v>1</v>
      </c>
      <c r="J23">
        <f t="shared" ca="1" si="19"/>
        <v>0.48680229542290188</v>
      </c>
      <c r="K23">
        <f t="shared" ca="1" si="12"/>
        <v>0</v>
      </c>
      <c r="L23">
        <f t="shared" ca="1" si="19"/>
        <v>0.64340721539025014</v>
      </c>
      <c r="M23" s="74">
        <f t="shared" ca="1" si="18"/>
        <v>1</v>
      </c>
      <c r="O23" s="21">
        <v>3.7815340802378072</v>
      </c>
    </row>
    <row r="24" spans="3:15" x14ac:dyDescent="0.25">
      <c r="C24" t="s">
        <v>169</v>
      </c>
      <c r="D24">
        <f t="shared" ca="1" si="19"/>
        <v>0.4550817099384572</v>
      </c>
      <c r="E24">
        <f t="shared" ca="1" si="15"/>
        <v>0</v>
      </c>
      <c r="F24">
        <f t="shared" ca="1" si="19"/>
        <v>0.29407464211549772</v>
      </c>
      <c r="G24">
        <f t="shared" ref="G20:G83" ca="1" si="20">IF(F24&gt;0.5,1,0)</f>
        <v>0</v>
      </c>
      <c r="H24">
        <f t="shared" ca="1" si="19"/>
        <v>0.13252694935438625</v>
      </c>
      <c r="I24">
        <f t="shared" ca="1" si="17"/>
        <v>0</v>
      </c>
      <c r="J24">
        <f t="shared" ca="1" si="19"/>
        <v>0.64611590624171167</v>
      </c>
      <c r="K24" s="75">
        <f t="shared" ca="1" si="12"/>
        <v>1</v>
      </c>
      <c r="L24">
        <f t="shared" ca="1" si="19"/>
        <v>6.963927951485227E-2</v>
      </c>
      <c r="M24" s="75">
        <f ca="1">1-K24</f>
        <v>0</v>
      </c>
      <c r="O24" s="21">
        <v>6.4807406984078604</v>
      </c>
    </row>
    <row r="25" spans="3:15" x14ac:dyDescent="0.25">
      <c r="C25" t="s">
        <v>170</v>
      </c>
      <c r="D25">
        <f t="shared" ca="1" si="19"/>
        <v>0.179570170114983</v>
      </c>
      <c r="E25">
        <f t="shared" ca="1" si="15"/>
        <v>0</v>
      </c>
      <c r="F25">
        <f t="shared" ca="1" si="19"/>
        <v>0.57218368395883235</v>
      </c>
      <c r="G25">
        <f t="shared" ca="1" si="20"/>
        <v>1</v>
      </c>
      <c r="H25">
        <f t="shared" ca="1" si="19"/>
        <v>0.94193947096922415</v>
      </c>
      <c r="I25">
        <f t="shared" ca="1" si="17"/>
        <v>1</v>
      </c>
      <c r="J25">
        <f t="shared" ca="1" si="19"/>
        <v>0.23276785011333934</v>
      </c>
      <c r="K25" s="75">
        <f t="shared" ca="1" si="12"/>
        <v>0</v>
      </c>
      <c r="L25">
        <f t="shared" ca="1" si="19"/>
        <v>0.73132506156048671</v>
      </c>
      <c r="M25" s="75">
        <f t="shared" ref="M25:M27" ca="1" si="21">1-K25</f>
        <v>1</v>
      </c>
      <c r="O25" s="21">
        <v>6.164414002968976</v>
      </c>
    </row>
    <row r="26" spans="3:15" x14ac:dyDescent="0.25">
      <c r="C26" t="s">
        <v>171</v>
      </c>
      <c r="D26">
        <f t="shared" ca="1" si="19"/>
        <v>0.24228298939718362</v>
      </c>
      <c r="E26">
        <f t="shared" ca="1" si="15"/>
        <v>0</v>
      </c>
      <c r="F26">
        <f t="shared" ca="1" si="19"/>
        <v>0.18596711356975237</v>
      </c>
      <c r="G26">
        <f t="shared" ca="1" si="20"/>
        <v>0</v>
      </c>
      <c r="H26">
        <f t="shared" ca="1" si="19"/>
        <v>0.81129778886851267</v>
      </c>
      <c r="I26">
        <f t="shared" ca="1" si="17"/>
        <v>1</v>
      </c>
      <c r="J26">
        <f t="shared" ca="1" si="19"/>
        <v>0.66603019779942263</v>
      </c>
      <c r="K26" s="75">
        <f t="shared" ca="1" si="12"/>
        <v>1</v>
      </c>
      <c r="L26">
        <f t="shared" ca="1" si="19"/>
        <v>0.69749137070304201</v>
      </c>
      <c r="M26" s="75">
        <f t="shared" ca="1" si="21"/>
        <v>0</v>
      </c>
      <c r="O26" s="21">
        <v>6.1400325732034853</v>
      </c>
    </row>
    <row r="27" spans="3:15" x14ac:dyDescent="0.25">
      <c r="C27" t="s">
        <v>172</v>
      </c>
      <c r="D27">
        <f t="shared" ca="1" si="19"/>
        <v>0.9914986284734667</v>
      </c>
      <c r="E27">
        <f t="shared" ca="1" si="15"/>
        <v>1</v>
      </c>
      <c r="F27">
        <f t="shared" ca="1" si="19"/>
        <v>0.50150452348476104</v>
      </c>
      <c r="G27">
        <f t="shared" ca="1" si="20"/>
        <v>1</v>
      </c>
      <c r="H27">
        <f t="shared" ca="1" si="19"/>
        <v>0.83908484817121676</v>
      </c>
      <c r="I27">
        <f t="shared" ca="1" si="17"/>
        <v>1</v>
      </c>
      <c r="J27">
        <f t="shared" ca="1" si="19"/>
        <v>0.65642039842181144</v>
      </c>
      <c r="K27" s="75">
        <f t="shared" ca="1" si="12"/>
        <v>1</v>
      </c>
      <c r="L27">
        <f t="shared" ca="1" si="19"/>
        <v>0.41046761370593321</v>
      </c>
      <c r="M27" s="75">
        <f t="shared" ca="1" si="21"/>
        <v>0</v>
      </c>
      <c r="O27" s="21">
        <v>1.9493588689617927</v>
      </c>
    </row>
    <row r="28" spans="3:15" x14ac:dyDescent="0.25">
      <c r="C28" t="s">
        <v>173</v>
      </c>
      <c r="D28">
        <f t="shared" ca="1" si="19"/>
        <v>0.61747476250105138</v>
      </c>
      <c r="E28">
        <f t="shared" ca="1" si="15"/>
        <v>1</v>
      </c>
      <c r="F28">
        <f t="shared" ca="1" si="19"/>
        <v>0.51443659912681472</v>
      </c>
      <c r="G28">
        <f t="shared" ca="1" si="20"/>
        <v>1</v>
      </c>
      <c r="H28">
        <f t="shared" ca="1" si="19"/>
        <v>0.92854623617032472</v>
      </c>
      <c r="I28">
        <f t="shared" ca="1" si="17"/>
        <v>1</v>
      </c>
      <c r="J28">
        <f t="shared" ca="1" si="19"/>
        <v>0.74416326737785476</v>
      </c>
      <c r="K28">
        <f t="shared" ca="1" si="12"/>
        <v>1</v>
      </c>
      <c r="L28">
        <f t="shared" ca="1" si="19"/>
        <v>0.55805380231368718</v>
      </c>
      <c r="M28">
        <f t="shared" ca="1" si="1"/>
        <v>1</v>
      </c>
      <c r="O28" s="21">
        <v>6.5345237010818202</v>
      </c>
    </row>
    <row r="29" spans="3:15" x14ac:dyDescent="0.25">
      <c r="C29" t="s">
        <v>174</v>
      </c>
      <c r="D29">
        <f t="shared" ca="1" si="19"/>
        <v>0.4460486431673647</v>
      </c>
      <c r="E29">
        <f t="shared" ca="1" si="15"/>
        <v>0</v>
      </c>
      <c r="F29">
        <f t="shared" ca="1" si="19"/>
        <v>0.17434612838933417</v>
      </c>
      <c r="G29">
        <f t="shared" ca="1" si="20"/>
        <v>0</v>
      </c>
      <c r="H29">
        <f t="shared" ca="1" si="19"/>
        <v>0.9274016486726091</v>
      </c>
      <c r="I29">
        <f t="shared" ca="1" si="17"/>
        <v>1</v>
      </c>
      <c r="J29">
        <f t="shared" ca="1" si="19"/>
        <v>0.10844927214621036</v>
      </c>
      <c r="K29">
        <f t="shared" ca="1" si="12"/>
        <v>0</v>
      </c>
      <c r="L29">
        <f t="shared" ca="1" si="19"/>
        <v>0.77478368242680318</v>
      </c>
      <c r="M29">
        <f t="shared" ca="1" si="1"/>
        <v>1</v>
      </c>
      <c r="O29" s="21">
        <v>3.646916505762094</v>
      </c>
    </row>
    <row r="30" spans="3:15" x14ac:dyDescent="0.25">
      <c r="C30" t="s">
        <v>175</v>
      </c>
      <c r="D30">
        <f t="shared" ca="1" si="19"/>
        <v>0.79351736249116422</v>
      </c>
      <c r="E30">
        <f t="shared" ca="1" si="15"/>
        <v>1</v>
      </c>
      <c r="F30">
        <f t="shared" ca="1" si="19"/>
        <v>0.98730608001110176</v>
      </c>
      <c r="G30">
        <f t="shared" ca="1" si="20"/>
        <v>1</v>
      </c>
      <c r="H30">
        <f t="shared" ca="1" si="19"/>
        <v>0.55516181023152034</v>
      </c>
      <c r="I30">
        <f t="shared" ca="1" si="17"/>
        <v>1</v>
      </c>
      <c r="J30">
        <f t="shared" ca="1" si="19"/>
        <v>0.99116164422360886</v>
      </c>
      <c r="K30">
        <f t="shared" ca="1" si="12"/>
        <v>1</v>
      </c>
      <c r="L30">
        <f t="shared" ca="1" si="19"/>
        <v>0.2077194568931694</v>
      </c>
      <c r="M30">
        <f t="shared" ca="1" si="1"/>
        <v>0</v>
      </c>
      <c r="O30" s="21">
        <v>3.049590136395381</v>
      </c>
    </row>
    <row r="31" spans="3:15" x14ac:dyDescent="0.25">
      <c r="C31" t="s">
        <v>176</v>
      </c>
      <c r="D31">
        <f t="shared" ca="1" si="19"/>
        <v>0.55322514190062699</v>
      </c>
      <c r="E31">
        <f t="shared" ca="1" si="15"/>
        <v>1</v>
      </c>
      <c r="F31">
        <f t="shared" ca="1" si="19"/>
        <v>0.18018161754904038</v>
      </c>
      <c r="G31">
        <f t="shared" ca="1" si="20"/>
        <v>0</v>
      </c>
      <c r="H31">
        <f t="shared" ca="1" si="19"/>
        <v>0.31041759598417951</v>
      </c>
      <c r="I31">
        <f t="shared" ca="1" si="17"/>
        <v>0</v>
      </c>
      <c r="J31">
        <f t="shared" ca="1" si="19"/>
        <v>0.15239854460719926</v>
      </c>
      <c r="K31">
        <f t="shared" ca="1" si="12"/>
        <v>0</v>
      </c>
      <c r="L31">
        <f t="shared" ca="1" si="19"/>
        <v>0.7936722131190399</v>
      </c>
      <c r="M31">
        <f t="shared" ca="1" si="1"/>
        <v>1</v>
      </c>
      <c r="O31" s="21">
        <v>5.5856960175075603</v>
      </c>
    </row>
    <row r="32" spans="3:15" x14ac:dyDescent="0.25">
      <c r="C32" t="s">
        <v>177</v>
      </c>
      <c r="D32">
        <f t="shared" ca="1" si="19"/>
        <v>0.74081355609348842</v>
      </c>
      <c r="E32">
        <f t="shared" ca="1" si="15"/>
        <v>1</v>
      </c>
      <c r="F32">
        <f t="shared" ca="1" si="19"/>
        <v>0.80126716499031381</v>
      </c>
      <c r="G32">
        <f t="shared" ca="1" si="20"/>
        <v>1</v>
      </c>
      <c r="H32">
        <f t="shared" ca="1" si="19"/>
        <v>8.8455049958768406E-2</v>
      </c>
      <c r="I32">
        <f t="shared" ca="1" si="17"/>
        <v>0</v>
      </c>
      <c r="J32">
        <f t="shared" ca="1" si="19"/>
        <v>3.6866369058874304E-2</v>
      </c>
      <c r="K32">
        <f t="shared" ca="1" si="12"/>
        <v>0</v>
      </c>
      <c r="L32">
        <f t="shared" ca="1" si="19"/>
        <v>0.97379109659418372</v>
      </c>
      <c r="M32">
        <f t="shared" ca="1" si="1"/>
        <v>1</v>
      </c>
      <c r="O32" s="21">
        <v>5.7879184513951127</v>
      </c>
    </row>
    <row r="33" spans="3:15" x14ac:dyDescent="0.25">
      <c r="C33" t="s">
        <v>178</v>
      </c>
      <c r="D33">
        <f t="shared" ca="1" si="19"/>
        <v>0.78608074892710578</v>
      </c>
      <c r="E33">
        <f t="shared" ca="1" si="15"/>
        <v>1</v>
      </c>
      <c r="F33">
        <f t="shared" ca="1" si="19"/>
        <v>0.57633058422375916</v>
      </c>
      <c r="G33">
        <f t="shared" ca="1" si="20"/>
        <v>1</v>
      </c>
      <c r="H33">
        <f t="shared" ca="1" si="19"/>
        <v>0.13960897617860379</v>
      </c>
      <c r="I33">
        <f t="shared" ca="1" si="17"/>
        <v>0</v>
      </c>
      <c r="J33">
        <f t="shared" ca="1" si="19"/>
        <v>0.38414916390092757</v>
      </c>
      <c r="K33">
        <f t="shared" ca="1" si="12"/>
        <v>0</v>
      </c>
      <c r="L33">
        <f t="shared" ca="1" si="19"/>
        <v>0.96116503242454343</v>
      </c>
      <c r="M33">
        <f t="shared" ca="1" si="1"/>
        <v>1</v>
      </c>
      <c r="O33" s="21">
        <v>2.4083189157584592</v>
      </c>
    </row>
    <row r="34" spans="3:15" x14ac:dyDescent="0.25">
      <c r="C34" t="s">
        <v>179</v>
      </c>
      <c r="D34">
        <f t="shared" ca="1" si="19"/>
        <v>0.557213777338737</v>
      </c>
      <c r="E34">
        <f t="shared" ca="1" si="15"/>
        <v>1</v>
      </c>
      <c r="F34">
        <f t="shared" ca="1" si="19"/>
        <v>0.62360904575036136</v>
      </c>
      <c r="G34">
        <f t="shared" ca="1" si="20"/>
        <v>1</v>
      </c>
      <c r="H34">
        <f t="shared" ca="1" si="19"/>
        <v>0.12248362197657869</v>
      </c>
      <c r="I34">
        <f t="shared" ca="1" si="17"/>
        <v>0</v>
      </c>
      <c r="J34">
        <f t="shared" ca="1" si="19"/>
        <v>0.55822052907787312</v>
      </c>
      <c r="K34">
        <f t="shared" ca="1" si="12"/>
        <v>1</v>
      </c>
      <c r="L34">
        <f t="shared" ca="1" si="19"/>
        <v>0.59201748199037763</v>
      </c>
      <c r="M34">
        <f t="shared" ca="1" si="1"/>
        <v>1</v>
      </c>
      <c r="O34" s="21">
        <v>5.0199601592044578</v>
      </c>
    </row>
    <row r="35" spans="3:15" x14ac:dyDescent="0.25">
      <c r="C35" t="s">
        <v>180</v>
      </c>
      <c r="D35">
        <f t="shared" ca="1" si="19"/>
        <v>0.13909738125525961</v>
      </c>
      <c r="E35">
        <f t="shared" ca="1" si="15"/>
        <v>0</v>
      </c>
      <c r="F35">
        <f t="shared" ca="1" si="19"/>
        <v>0.30660131514382705</v>
      </c>
      <c r="G35">
        <f t="shared" ca="1" si="20"/>
        <v>0</v>
      </c>
      <c r="H35">
        <f t="shared" ca="1" si="19"/>
        <v>0.85422626041496186</v>
      </c>
      <c r="I35">
        <f t="shared" ca="1" si="17"/>
        <v>1</v>
      </c>
      <c r="J35">
        <f t="shared" ca="1" si="19"/>
        <v>0.18496194752380679</v>
      </c>
      <c r="K35">
        <f t="shared" ca="1" si="12"/>
        <v>0</v>
      </c>
      <c r="L35">
        <f t="shared" ca="1" si="19"/>
        <v>6.2992941141210124E-2</v>
      </c>
      <c r="M35">
        <f t="shared" ca="1" si="1"/>
        <v>0</v>
      </c>
      <c r="O35" s="21">
        <v>7.0498226928058143</v>
      </c>
    </row>
    <row r="36" spans="3:15" x14ac:dyDescent="0.25">
      <c r="C36" t="s">
        <v>181</v>
      </c>
      <c r="D36">
        <f ca="1">RAND()</f>
        <v>0.59651516635086099</v>
      </c>
      <c r="E36">
        <f t="shared" ca="1" si="15"/>
        <v>1</v>
      </c>
      <c r="F36">
        <f t="shared" ca="1" si="19"/>
        <v>6.0139858863544449E-2</v>
      </c>
      <c r="G36">
        <f t="shared" ca="1" si="20"/>
        <v>0</v>
      </c>
      <c r="H36">
        <f ca="1">RAND()</f>
        <v>6.7370201511804395E-2</v>
      </c>
      <c r="I36">
        <f ca="1">IF(H36&gt;0.5,1,0)</f>
        <v>0</v>
      </c>
      <c r="J36">
        <f t="shared" ca="1" si="19"/>
        <v>5.0305836198129339E-2</v>
      </c>
      <c r="K36">
        <f t="shared" ca="1" si="12"/>
        <v>0</v>
      </c>
      <c r="L36">
        <f t="shared" ca="1" si="19"/>
        <v>0.55168283578447952</v>
      </c>
      <c r="M36">
        <f t="shared" ca="1" si="1"/>
        <v>1</v>
      </c>
      <c r="O36" s="21">
        <v>4.6690470119715011</v>
      </c>
    </row>
    <row r="37" spans="3:15" x14ac:dyDescent="0.25">
      <c r="C37" t="s">
        <v>182</v>
      </c>
      <c r="D37">
        <f t="shared" ca="1" si="19"/>
        <v>0.67997265525771933</v>
      </c>
      <c r="E37">
        <f t="shared" ca="1" si="15"/>
        <v>1</v>
      </c>
      <c r="F37">
        <f t="shared" ca="1" si="19"/>
        <v>0.33262394591426381</v>
      </c>
      <c r="G37">
        <f t="shared" ca="1" si="20"/>
        <v>0</v>
      </c>
      <c r="H37">
        <f t="shared" ca="1" si="19"/>
        <v>3.8883744655050401E-2</v>
      </c>
      <c r="I37">
        <f t="shared" ref="I37:I51" ca="1" si="22">IF(H37&gt;0.5,1,0)</f>
        <v>0</v>
      </c>
      <c r="J37">
        <f t="shared" ca="1" si="19"/>
        <v>0.57189737749132774</v>
      </c>
      <c r="K37">
        <f t="shared" ca="1" si="12"/>
        <v>1</v>
      </c>
      <c r="L37">
        <f t="shared" ca="1" si="19"/>
        <v>0.37503764663456818</v>
      </c>
      <c r="M37">
        <f t="shared" ca="1" si="1"/>
        <v>0</v>
      </c>
      <c r="O37" s="21">
        <v>4.7222875812470377</v>
      </c>
    </row>
    <row r="38" spans="3:15" x14ac:dyDescent="0.25">
      <c r="C38" t="s">
        <v>183</v>
      </c>
      <c r="D38">
        <f t="shared" ca="1" si="19"/>
        <v>0.72664539293202968</v>
      </c>
      <c r="E38">
        <f t="shared" ca="1" si="15"/>
        <v>1</v>
      </c>
      <c r="F38">
        <f t="shared" ca="1" si="19"/>
        <v>0.15044698960085556</v>
      </c>
      <c r="G38">
        <f t="shared" ca="1" si="20"/>
        <v>0</v>
      </c>
      <c r="H38">
        <f t="shared" ca="1" si="19"/>
        <v>0.50597587415898915</v>
      </c>
      <c r="I38">
        <f t="shared" ca="1" si="22"/>
        <v>1</v>
      </c>
      <c r="J38">
        <f t="shared" ca="1" si="19"/>
        <v>0.95787019723863087</v>
      </c>
      <c r="K38">
        <f t="shared" ca="1" si="12"/>
        <v>1</v>
      </c>
      <c r="L38">
        <f t="shared" ca="1" si="19"/>
        <v>0.96656193750059283</v>
      </c>
      <c r="M38">
        <f t="shared" ca="1" si="1"/>
        <v>1</v>
      </c>
      <c r="O38" s="21">
        <v>6.4187226143524709</v>
      </c>
    </row>
    <row r="39" spans="3:15" x14ac:dyDescent="0.25">
      <c r="C39" t="s">
        <v>184</v>
      </c>
      <c r="D39">
        <f t="shared" ref="D39:L55" ca="1" si="23">RAND()</f>
        <v>9.1606599456328652E-2</v>
      </c>
      <c r="E39">
        <f t="shared" ca="1" si="15"/>
        <v>0</v>
      </c>
      <c r="F39">
        <f t="shared" ca="1" si="23"/>
        <v>0.92911018511336452</v>
      </c>
      <c r="G39">
        <f t="shared" ca="1" si="20"/>
        <v>1</v>
      </c>
      <c r="H39">
        <f t="shared" ca="1" si="23"/>
        <v>0.19946133967717161</v>
      </c>
      <c r="I39">
        <f t="shared" ca="1" si="22"/>
        <v>0</v>
      </c>
      <c r="J39">
        <f t="shared" ca="1" si="23"/>
        <v>0.97748095237661214</v>
      </c>
      <c r="K39">
        <f t="shared" ca="1" si="12"/>
        <v>1</v>
      </c>
      <c r="L39">
        <f t="shared" ca="1" si="23"/>
        <v>0.93766260920587907</v>
      </c>
      <c r="M39">
        <f t="shared" ca="1" si="1"/>
        <v>1</v>
      </c>
      <c r="O39" s="21">
        <v>3.5777087639996634</v>
      </c>
    </row>
    <row r="40" spans="3:15" x14ac:dyDescent="0.25">
      <c r="C40" t="s">
        <v>185</v>
      </c>
      <c r="D40">
        <f t="shared" ca="1" si="23"/>
        <v>0.39791651451567589</v>
      </c>
      <c r="E40">
        <f t="shared" ca="1" si="15"/>
        <v>0</v>
      </c>
      <c r="F40">
        <f t="shared" ca="1" si="23"/>
        <v>0.50732317788919878</v>
      </c>
      <c r="G40">
        <f t="shared" ca="1" si="20"/>
        <v>1</v>
      </c>
      <c r="H40">
        <f t="shared" ca="1" si="23"/>
        <v>0.1778261082334528</v>
      </c>
      <c r="I40">
        <f t="shared" ca="1" si="22"/>
        <v>0</v>
      </c>
      <c r="J40">
        <f t="shared" ca="1" si="23"/>
        <v>0.44465979102590292</v>
      </c>
      <c r="K40">
        <f t="shared" ca="1" si="12"/>
        <v>0</v>
      </c>
      <c r="L40">
        <f t="shared" ca="1" si="23"/>
        <v>0.84646881336353574</v>
      </c>
      <c r="M40">
        <f t="shared" ca="1" si="1"/>
        <v>1</v>
      </c>
      <c r="O40" s="21">
        <v>3.5777087639996634</v>
      </c>
    </row>
    <row r="41" spans="3:15" x14ac:dyDescent="0.25">
      <c r="C41" t="s">
        <v>186</v>
      </c>
      <c r="D41">
        <f t="shared" ca="1" si="23"/>
        <v>6.9051140325149696E-2</v>
      </c>
      <c r="E41">
        <f t="shared" ca="1" si="15"/>
        <v>0</v>
      </c>
      <c r="F41">
        <f t="shared" ca="1" si="23"/>
        <v>0.23336773503906127</v>
      </c>
      <c r="G41">
        <f t="shared" ca="1" si="20"/>
        <v>0</v>
      </c>
      <c r="H41">
        <f t="shared" ca="1" si="23"/>
        <v>0.19987562849903662</v>
      </c>
      <c r="I41">
        <f t="shared" ca="1" si="22"/>
        <v>0</v>
      </c>
      <c r="J41">
        <f t="shared" ca="1" si="23"/>
        <v>0.76974067790938272</v>
      </c>
      <c r="K41">
        <f t="shared" ca="1" si="12"/>
        <v>1</v>
      </c>
      <c r="L41">
        <f t="shared" ca="1" si="23"/>
        <v>0.2321810832119604</v>
      </c>
      <c r="M41">
        <f t="shared" ca="1" si="1"/>
        <v>0</v>
      </c>
      <c r="O41" s="21">
        <v>5.4772255750516612</v>
      </c>
    </row>
    <row r="42" spans="3:15" x14ac:dyDescent="0.25">
      <c r="C42" t="s">
        <v>187</v>
      </c>
      <c r="D42">
        <f t="shared" ca="1" si="23"/>
        <v>0.29456914414921465</v>
      </c>
      <c r="E42">
        <f t="shared" ca="1" si="15"/>
        <v>0</v>
      </c>
      <c r="F42">
        <f t="shared" ca="1" si="23"/>
        <v>0.95142110819869929</v>
      </c>
      <c r="G42">
        <f t="shared" ca="1" si="20"/>
        <v>1</v>
      </c>
      <c r="H42">
        <f t="shared" ca="1" si="23"/>
        <v>7.799208245578837E-2</v>
      </c>
      <c r="I42">
        <f t="shared" ca="1" si="22"/>
        <v>0</v>
      </c>
      <c r="J42">
        <f t="shared" ca="1" si="23"/>
        <v>0.55491800746677289</v>
      </c>
      <c r="K42">
        <f t="shared" ca="1" si="12"/>
        <v>1</v>
      </c>
      <c r="L42">
        <f t="shared" ca="1" si="23"/>
        <v>3.1419909623775277E-2</v>
      </c>
      <c r="M42">
        <f t="shared" ca="1" si="1"/>
        <v>0</v>
      </c>
      <c r="O42" s="21">
        <v>1.9493588689617927</v>
      </c>
    </row>
    <row r="43" spans="3:15" x14ac:dyDescent="0.25">
      <c r="C43" t="s">
        <v>188</v>
      </c>
      <c r="D43">
        <f t="shared" ca="1" si="23"/>
        <v>0.98011768597370907</v>
      </c>
      <c r="E43">
        <f t="shared" ca="1" si="15"/>
        <v>1</v>
      </c>
      <c r="F43">
        <f t="shared" ca="1" si="23"/>
        <v>0.7475088576940403</v>
      </c>
      <c r="G43">
        <f t="shared" ca="1" si="20"/>
        <v>1</v>
      </c>
      <c r="H43">
        <f t="shared" ca="1" si="23"/>
        <v>0.38293974650288831</v>
      </c>
      <c r="I43">
        <f t="shared" ca="1" si="22"/>
        <v>0</v>
      </c>
      <c r="J43">
        <f t="shared" ca="1" si="23"/>
        <v>0.44211028680767805</v>
      </c>
      <c r="K43">
        <f t="shared" ca="1" si="12"/>
        <v>0</v>
      </c>
      <c r="L43">
        <f t="shared" ca="1" si="23"/>
        <v>0.91769657137663874</v>
      </c>
      <c r="M43">
        <f t="shared" ca="1" si="1"/>
        <v>1</v>
      </c>
      <c r="O43" s="21">
        <v>5.2915026221291814</v>
      </c>
    </row>
    <row r="44" spans="3:15" x14ac:dyDescent="0.25">
      <c r="C44" t="s">
        <v>189</v>
      </c>
      <c r="D44">
        <f t="shared" ca="1" si="23"/>
        <v>0.83223437329118688</v>
      </c>
      <c r="E44">
        <f t="shared" ca="1" si="15"/>
        <v>1</v>
      </c>
      <c r="F44">
        <f t="shared" ca="1" si="23"/>
        <v>0.75435335088088629</v>
      </c>
      <c r="G44">
        <f t="shared" ca="1" si="20"/>
        <v>1</v>
      </c>
      <c r="H44">
        <f t="shared" ca="1" si="23"/>
        <v>0.5048172331352645</v>
      </c>
      <c r="I44">
        <f t="shared" ca="1" si="22"/>
        <v>1</v>
      </c>
      <c r="J44">
        <f t="shared" ca="1" si="23"/>
        <v>0.36165487601225665</v>
      </c>
      <c r="K44">
        <f t="shared" ca="1" si="12"/>
        <v>0</v>
      </c>
      <c r="L44">
        <f t="shared" ca="1" si="23"/>
        <v>0.70023082258099489</v>
      </c>
      <c r="M44">
        <f t="shared" ca="1" si="1"/>
        <v>1</v>
      </c>
      <c r="O44" s="21">
        <v>5.7706152185013995</v>
      </c>
    </row>
    <row r="45" spans="3:15" x14ac:dyDescent="0.25">
      <c r="C45" t="s">
        <v>190</v>
      </c>
      <c r="D45">
        <f t="shared" ca="1" si="23"/>
        <v>0.51445542064059202</v>
      </c>
      <c r="E45">
        <f t="shared" ca="1" si="15"/>
        <v>1</v>
      </c>
      <c r="F45">
        <f t="shared" ca="1" si="23"/>
        <v>0.72120680535371795</v>
      </c>
      <c r="G45">
        <f t="shared" ca="1" si="20"/>
        <v>1</v>
      </c>
      <c r="H45">
        <f t="shared" ca="1" si="23"/>
        <v>0.4157652177557023</v>
      </c>
      <c r="I45">
        <f t="shared" ca="1" si="22"/>
        <v>0</v>
      </c>
      <c r="J45">
        <f t="shared" ca="1" si="23"/>
        <v>0.12509039915627129</v>
      </c>
      <c r="K45">
        <f t="shared" ca="1" si="12"/>
        <v>0</v>
      </c>
      <c r="L45">
        <f t="shared" ca="1" si="23"/>
        <v>7.3599543186278815E-2</v>
      </c>
      <c r="M45">
        <f t="shared" ca="1" si="1"/>
        <v>0</v>
      </c>
      <c r="O45" s="21">
        <v>7.9561297123664456</v>
      </c>
    </row>
    <row r="46" spans="3:15" x14ac:dyDescent="0.25">
      <c r="C46" t="s">
        <v>191</v>
      </c>
      <c r="D46">
        <f t="shared" ca="1" si="23"/>
        <v>0.35420992836327569</v>
      </c>
      <c r="E46">
        <f t="shared" ca="1" si="15"/>
        <v>0</v>
      </c>
      <c r="F46">
        <f t="shared" ca="1" si="23"/>
        <v>9.1716756505025088E-2</v>
      </c>
      <c r="G46">
        <f t="shared" ca="1" si="20"/>
        <v>0</v>
      </c>
      <c r="H46">
        <f t="shared" ca="1" si="23"/>
        <v>0.54989675221728385</v>
      </c>
      <c r="I46">
        <f t="shared" ca="1" si="22"/>
        <v>1</v>
      </c>
      <c r="J46">
        <f t="shared" ca="1" si="23"/>
        <v>0.86320581334606838</v>
      </c>
      <c r="K46">
        <f t="shared" ca="1" si="12"/>
        <v>1</v>
      </c>
      <c r="L46">
        <f t="shared" ca="1" si="23"/>
        <v>8.702812753697442E-3</v>
      </c>
      <c r="M46">
        <f t="shared" ca="1" si="1"/>
        <v>0</v>
      </c>
      <c r="O46" s="21">
        <v>5.1672042731055301</v>
      </c>
    </row>
    <row r="47" spans="3:15" x14ac:dyDescent="0.25">
      <c r="C47" t="s">
        <v>192</v>
      </c>
      <c r="D47">
        <f t="shared" ca="1" si="23"/>
        <v>7.8195147832597067E-3</v>
      </c>
      <c r="E47">
        <f t="shared" ca="1" si="15"/>
        <v>0</v>
      </c>
      <c r="F47">
        <f t="shared" ca="1" si="23"/>
        <v>3.2691832854873537E-2</v>
      </c>
      <c r="G47">
        <f t="shared" ca="1" si="20"/>
        <v>0</v>
      </c>
      <c r="H47">
        <f t="shared" ca="1" si="23"/>
        <v>0.33292233480759204</v>
      </c>
      <c r="I47">
        <f t="shared" ca="1" si="22"/>
        <v>0</v>
      </c>
      <c r="J47">
        <f t="shared" ca="1" si="23"/>
        <v>0.92238399080437172</v>
      </c>
      <c r="K47">
        <f t="shared" ca="1" si="12"/>
        <v>1</v>
      </c>
      <c r="L47">
        <f t="shared" ca="1" si="23"/>
        <v>0.64490153258810112</v>
      </c>
      <c r="M47">
        <f t="shared" ca="1" si="1"/>
        <v>1</v>
      </c>
      <c r="O47" s="21">
        <v>7.8866976612521302</v>
      </c>
    </row>
    <row r="48" spans="3:15" x14ac:dyDescent="0.25">
      <c r="C48" t="s">
        <v>193</v>
      </c>
      <c r="D48">
        <f t="shared" ca="1" si="23"/>
        <v>0.81625677886634351</v>
      </c>
      <c r="E48">
        <f t="shared" ca="1" si="15"/>
        <v>1</v>
      </c>
      <c r="F48">
        <f t="shared" ca="1" si="23"/>
        <v>0.42842362233943931</v>
      </c>
      <c r="G48">
        <f t="shared" ca="1" si="20"/>
        <v>0</v>
      </c>
      <c r="H48">
        <f t="shared" ca="1" si="23"/>
        <v>0.62408673421309047</v>
      </c>
      <c r="I48">
        <f t="shared" ca="1" si="22"/>
        <v>1</v>
      </c>
      <c r="J48">
        <f t="shared" ca="1" si="23"/>
        <v>0.90606832457858455</v>
      </c>
      <c r="K48">
        <f t="shared" ca="1" si="12"/>
        <v>1</v>
      </c>
      <c r="L48">
        <f t="shared" ca="1" si="23"/>
        <v>0.82253761747938747</v>
      </c>
      <c r="M48">
        <f t="shared" ca="1" si="1"/>
        <v>1</v>
      </c>
      <c r="O48" s="21">
        <v>5.5946402922797622</v>
      </c>
    </row>
    <row r="49" spans="3:15" x14ac:dyDescent="0.25">
      <c r="C49" t="s">
        <v>194</v>
      </c>
      <c r="D49">
        <f t="shared" ca="1" si="23"/>
        <v>0.49334609527952222</v>
      </c>
      <c r="E49">
        <f t="shared" ca="1" si="15"/>
        <v>0</v>
      </c>
      <c r="F49">
        <f t="shared" ca="1" si="23"/>
        <v>0.63245795828886386</v>
      </c>
      <c r="G49">
        <f t="shared" ca="1" si="20"/>
        <v>1</v>
      </c>
      <c r="H49">
        <f t="shared" ca="1" si="23"/>
        <v>9.4723177572406669E-2</v>
      </c>
      <c r="I49">
        <f t="shared" ca="1" si="22"/>
        <v>0</v>
      </c>
      <c r="J49">
        <f t="shared" ca="1" si="23"/>
        <v>0.93243034848700435</v>
      </c>
      <c r="K49">
        <f t="shared" ca="1" si="12"/>
        <v>1</v>
      </c>
      <c r="L49">
        <f t="shared" ca="1" si="23"/>
        <v>0.5064017248242294</v>
      </c>
      <c r="M49">
        <f t="shared" ca="1" si="1"/>
        <v>1</v>
      </c>
      <c r="O49" s="21">
        <v>2.7748873851023221</v>
      </c>
    </row>
    <row r="50" spans="3:15" x14ac:dyDescent="0.25">
      <c r="C50" t="s">
        <v>195</v>
      </c>
      <c r="D50">
        <f t="shared" ca="1" si="23"/>
        <v>0.52835403895799327</v>
      </c>
      <c r="E50">
        <f t="shared" ca="1" si="15"/>
        <v>1</v>
      </c>
      <c r="F50">
        <f t="shared" ca="1" si="23"/>
        <v>0.69934575861603043</v>
      </c>
      <c r="G50">
        <f t="shared" ca="1" si="20"/>
        <v>1</v>
      </c>
      <c r="H50">
        <f t="shared" ca="1" si="23"/>
        <v>1.4105780585716432E-2</v>
      </c>
      <c r="I50">
        <f t="shared" ca="1" si="22"/>
        <v>0</v>
      </c>
      <c r="J50">
        <f t="shared" ca="1" si="23"/>
        <v>0.89398537504923425</v>
      </c>
      <c r="K50">
        <f t="shared" ca="1" si="12"/>
        <v>1</v>
      </c>
      <c r="L50">
        <f t="shared" ca="1" si="23"/>
        <v>6.9587064358609951E-2</v>
      </c>
      <c r="M50">
        <f t="shared" ca="1" si="1"/>
        <v>0</v>
      </c>
      <c r="O50" s="21">
        <v>3.8340579025361627</v>
      </c>
    </row>
    <row r="51" spans="3:15" x14ac:dyDescent="0.25">
      <c r="C51" t="s">
        <v>196</v>
      </c>
      <c r="D51">
        <f t="shared" ca="1" si="23"/>
        <v>0.48179514633757092</v>
      </c>
      <c r="E51">
        <f t="shared" ca="1" si="15"/>
        <v>0</v>
      </c>
      <c r="F51">
        <f t="shared" ca="1" si="23"/>
        <v>0.2100821409478314</v>
      </c>
      <c r="G51">
        <f t="shared" ca="1" si="20"/>
        <v>0</v>
      </c>
      <c r="H51">
        <f t="shared" ca="1" si="23"/>
        <v>0.2412405517584556</v>
      </c>
      <c r="I51">
        <f t="shared" ca="1" si="22"/>
        <v>0</v>
      </c>
      <c r="J51">
        <f t="shared" ca="1" si="23"/>
        <v>0.77000071548591387</v>
      </c>
      <c r="K51">
        <f t="shared" ca="1" si="12"/>
        <v>1</v>
      </c>
      <c r="L51">
        <f t="shared" ca="1" si="23"/>
        <v>0.73489497835929651</v>
      </c>
      <c r="M51">
        <f t="shared" ca="1" si="1"/>
        <v>1</v>
      </c>
      <c r="O51" s="21">
        <v>3.7815340802378072</v>
      </c>
    </row>
    <row r="52" spans="3:15" x14ac:dyDescent="0.25">
      <c r="C52" t="s">
        <v>197</v>
      </c>
      <c r="D52">
        <f ca="1">RAND()</f>
        <v>0.44499148267637467</v>
      </c>
      <c r="E52">
        <f t="shared" ca="1" si="15"/>
        <v>0</v>
      </c>
      <c r="F52">
        <f t="shared" ca="1" si="23"/>
        <v>0.29777477665032759</v>
      </c>
      <c r="G52">
        <f t="shared" ca="1" si="20"/>
        <v>0</v>
      </c>
      <c r="H52">
        <f ca="1">RAND()</f>
        <v>0.2147780561594631</v>
      </c>
      <c r="I52">
        <f ca="1">IF(H52&gt;0.5,1,0)</f>
        <v>0</v>
      </c>
      <c r="J52">
        <f t="shared" ca="1" si="23"/>
        <v>0.90217973794548334</v>
      </c>
      <c r="K52">
        <f t="shared" ca="1" si="12"/>
        <v>1</v>
      </c>
      <c r="L52">
        <f t="shared" ca="1" si="23"/>
        <v>1.4665668206961358E-2</v>
      </c>
      <c r="M52">
        <f t="shared" ca="1" si="1"/>
        <v>0</v>
      </c>
      <c r="O52" s="21">
        <v>4.8682645778552152</v>
      </c>
    </row>
    <row r="53" spans="3:15" x14ac:dyDescent="0.25">
      <c r="C53" t="s">
        <v>198</v>
      </c>
      <c r="D53">
        <f t="shared" ca="1" si="23"/>
        <v>0.31363484706909972</v>
      </c>
      <c r="E53">
        <f t="shared" ca="1" si="15"/>
        <v>0</v>
      </c>
      <c r="F53">
        <f t="shared" ca="1" si="23"/>
        <v>0.97591718900999325</v>
      </c>
      <c r="G53">
        <f t="shared" ca="1" si="20"/>
        <v>1</v>
      </c>
      <c r="H53">
        <f t="shared" ca="1" si="23"/>
        <v>0.37094681793884743</v>
      </c>
      <c r="I53">
        <f t="shared" ref="I53:I67" ca="1" si="24">IF(H53&gt;0.5,1,0)</f>
        <v>0</v>
      </c>
      <c r="J53">
        <f t="shared" ca="1" si="23"/>
        <v>0.93633603005685395</v>
      </c>
      <c r="K53">
        <f t="shared" ca="1" si="12"/>
        <v>1</v>
      </c>
      <c r="L53">
        <f t="shared" ca="1" si="23"/>
        <v>0.78269270000569802</v>
      </c>
      <c r="M53">
        <f t="shared" ca="1" si="1"/>
        <v>1</v>
      </c>
      <c r="O53" s="21">
        <v>6.5726706900619964</v>
      </c>
    </row>
    <row r="54" spans="3:15" x14ac:dyDescent="0.25">
      <c r="C54" t="s">
        <v>199</v>
      </c>
      <c r="D54">
        <f t="shared" ca="1" si="23"/>
        <v>0.69583599384418804</v>
      </c>
      <c r="E54">
        <f t="shared" ca="1" si="15"/>
        <v>1</v>
      </c>
      <c r="F54">
        <f t="shared" ca="1" si="23"/>
        <v>0.6665278449192843</v>
      </c>
      <c r="G54">
        <f t="shared" ca="1" si="20"/>
        <v>1</v>
      </c>
      <c r="H54">
        <f t="shared" ca="1" si="23"/>
        <v>0.97685541852845525</v>
      </c>
      <c r="I54">
        <f t="shared" ca="1" si="24"/>
        <v>1</v>
      </c>
      <c r="J54">
        <f t="shared" ca="1" si="23"/>
        <v>5.9816108816512115E-2</v>
      </c>
      <c r="K54">
        <f t="shared" ca="1" si="12"/>
        <v>0</v>
      </c>
      <c r="L54">
        <f t="shared" ca="1" si="23"/>
        <v>0.17981798027401086</v>
      </c>
      <c r="M54">
        <f t="shared" ca="1" si="1"/>
        <v>0</v>
      </c>
      <c r="O54" s="21">
        <v>5.2153619241621234</v>
      </c>
    </row>
    <row r="55" spans="3:15" x14ac:dyDescent="0.25">
      <c r="C55" t="s">
        <v>200</v>
      </c>
      <c r="D55">
        <f t="shared" ca="1" si="23"/>
        <v>0.15708677747397204</v>
      </c>
      <c r="E55">
        <f t="shared" ca="1" si="15"/>
        <v>0</v>
      </c>
      <c r="F55">
        <f t="shared" ca="1" si="23"/>
        <v>0.73346795042037538</v>
      </c>
      <c r="G55">
        <f t="shared" ca="1" si="20"/>
        <v>1</v>
      </c>
      <c r="H55">
        <f t="shared" ca="1" si="23"/>
        <v>0.84639650446143699</v>
      </c>
      <c r="I55">
        <f t="shared" ca="1" si="24"/>
        <v>1</v>
      </c>
      <c r="J55">
        <f t="shared" ca="1" si="23"/>
        <v>0.59503671486846299</v>
      </c>
      <c r="K55">
        <f t="shared" ca="1" si="12"/>
        <v>1</v>
      </c>
      <c r="L55">
        <f t="shared" ca="1" si="23"/>
        <v>0.68091138196245449</v>
      </c>
      <c r="M55">
        <f t="shared" ca="1" si="1"/>
        <v>1</v>
      </c>
      <c r="O55" s="21">
        <v>2.5884358211089573</v>
      </c>
    </row>
    <row r="56" spans="3:15" x14ac:dyDescent="0.25">
      <c r="C56" t="s">
        <v>201</v>
      </c>
      <c r="D56">
        <f t="shared" ref="D56:L71" ca="1" si="25">RAND()</f>
        <v>0.23230659084285488</v>
      </c>
      <c r="E56">
        <f t="shared" ca="1" si="15"/>
        <v>0</v>
      </c>
      <c r="F56">
        <f t="shared" ca="1" si="25"/>
        <v>0.24333944974092636</v>
      </c>
      <c r="G56">
        <f t="shared" ca="1" si="20"/>
        <v>0</v>
      </c>
      <c r="H56">
        <f t="shared" ca="1" si="25"/>
        <v>0.43283500442152367</v>
      </c>
      <c r="I56">
        <f t="shared" ca="1" si="24"/>
        <v>0</v>
      </c>
      <c r="J56">
        <f t="shared" ca="1" si="25"/>
        <v>0.34851527612417632</v>
      </c>
      <c r="K56">
        <f t="shared" ca="1" si="12"/>
        <v>0</v>
      </c>
      <c r="L56">
        <f t="shared" ca="1" si="25"/>
        <v>0.73896619749173376</v>
      </c>
      <c r="M56">
        <f t="shared" ca="1" si="1"/>
        <v>1</v>
      </c>
      <c r="O56" s="21">
        <v>6.8774995456197567</v>
      </c>
    </row>
    <row r="57" spans="3:15" x14ac:dyDescent="0.25">
      <c r="C57" t="s">
        <v>202</v>
      </c>
      <c r="D57">
        <f t="shared" ca="1" si="25"/>
        <v>0.99651040330471785</v>
      </c>
      <c r="E57">
        <f t="shared" ca="1" si="15"/>
        <v>1</v>
      </c>
      <c r="F57">
        <f t="shared" ca="1" si="25"/>
        <v>0.37163020432859983</v>
      </c>
      <c r="G57">
        <f t="shared" ca="1" si="20"/>
        <v>0</v>
      </c>
      <c r="H57">
        <f t="shared" ca="1" si="25"/>
        <v>0.70111765203828025</v>
      </c>
      <c r="I57">
        <f t="shared" ca="1" si="24"/>
        <v>1</v>
      </c>
      <c r="J57">
        <f t="shared" ca="1" si="25"/>
        <v>0.36660283041385111</v>
      </c>
      <c r="K57">
        <f t="shared" ca="1" si="12"/>
        <v>0</v>
      </c>
      <c r="L57">
        <f t="shared" ca="1" si="25"/>
        <v>0.44854919420214545</v>
      </c>
      <c r="M57">
        <f t="shared" ca="1" si="1"/>
        <v>0</v>
      </c>
      <c r="O57" s="21">
        <v>7.3348483283569115</v>
      </c>
    </row>
    <row r="58" spans="3:15" x14ac:dyDescent="0.25">
      <c r="C58" t="s">
        <v>203</v>
      </c>
      <c r="D58">
        <f t="shared" ca="1" si="25"/>
        <v>0.47652875479696466</v>
      </c>
      <c r="E58">
        <f t="shared" ca="1" si="15"/>
        <v>0</v>
      </c>
      <c r="F58">
        <f t="shared" ca="1" si="25"/>
        <v>0.80741522852376102</v>
      </c>
      <c r="G58">
        <f t="shared" ca="1" si="20"/>
        <v>1</v>
      </c>
      <c r="H58">
        <f t="shared" ca="1" si="25"/>
        <v>0.4839532209825268</v>
      </c>
      <c r="I58">
        <f t="shared" ca="1" si="24"/>
        <v>0</v>
      </c>
      <c r="J58">
        <f t="shared" ca="1" si="25"/>
        <v>0.90881870148706589</v>
      </c>
      <c r="K58">
        <f t="shared" ca="1" si="12"/>
        <v>1</v>
      </c>
      <c r="L58">
        <f t="shared" ca="1" si="25"/>
        <v>0.17571038521393156</v>
      </c>
      <c r="M58">
        <f t="shared" ca="1" si="1"/>
        <v>0</v>
      </c>
      <c r="O58" s="21">
        <v>2.7748873851023217</v>
      </c>
    </row>
    <row r="59" spans="3:15" x14ac:dyDescent="0.25">
      <c r="C59" t="s">
        <v>204</v>
      </c>
      <c r="D59">
        <f t="shared" ca="1" si="25"/>
        <v>0.71312331288581454</v>
      </c>
      <c r="E59">
        <f t="shared" ca="1" si="15"/>
        <v>1</v>
      </c>
      <c r="F59">
        <f t="shared" ca="1" si="25"/>
        <v>9.8288048704833542E-2</v>
      </c>
      <c r="G59">
        <f t="shared" ca="1" si="20"/>
        <v>0</v>
      </c>
      <c r="H59">
        <f t="shared" ca="1" si="25"/>
        <v>6.3302022964536464E-2</v>
      </c>
      <c r="I59">
        <f t="shared" ca="1" si="24"/>
        <v>0</v>
      </c>
      <c r="J59">
        <f t="shared" ca="1" si="25"/>
        <v>5.1999061555429771E-2</v>
      </c>
      <c r="K59">
        <f t="shared" ca="1" si="12"/>
        <v>0</v>
      </c>
      <c r="L59">
        <f t="shared" ca="1" si="25"/>
        <v>0.80559478841139931</v>
      </c>
      <c r="M59">
        <f t="shared" ca="1" si="1"/>
        <v>1</v>
      </c>
      <c r="O59" s="21">
        <v>1.9493588689617927</v>
      </c>
    </row>
    <row r="60" spans="3:15" x14ac:dyDescent="0.25">
      <c r="C60" t="s">
        <v>205</v>
      </c>
      <c r="D60">
        <f t="shared" ca="1" si="25"/>
        <v>0.42158144795912489</v>
      </c>
      <c r="E60">
        <f t="shared" ca="1" si="15"/>
        <v>0</v>
      </c>
      <c r="F60">
        <f t="shared" ca="1" si="25"/>
        <v>0.27352783691771965</v>
      </c>
      <c r="G60">
        <f t="shared" ca="1" si="20"/>
        <v>0</v>
      </c>
      <c r="H60">
        <f t="shared" ca="1" si="25"/>
        <v>0.40009039768991495</v>
      </c>
      <c r="I60">
        <f t="shared" ca="1" si="24"/>
        <v>0</v>
      </c>
      <c r="J60">
        <f t="shared" ca="1" si="25"/>
        <v>0.75782226805852049</v>
      </c>
      <c r="K60">
        <f t="shared" ca="1" si="12"/>
        <v>1</v>
      </c>
      <c r="L60">
        <f t="shared" ca="1" si="25"/>
        <v>0.98151846733535142</v>
      </c>
      <c r="M60">
        <f t="shared" ca="1" si="1"/>
        <v>1</v>
      </c>
      <c r="O60" s="21">
        <v>2.1908902300206643</v>
      </c>
    </row>
    <row r="61" spans="3:15" x14ac:dyDescent="0.25">
      <c r="C61" t="s">
        <v>206</v>
      </c>
      <c r="D61">
        <f t="shared" ca="1" si="25"/>
        <v>0.65228153885955331</v>
      </c>
      <c r="E61">
        <f t="shared" ca="1" si="15"/>
        <v>1</v>
      </c>
      <c r="F61">
        <f t="shared" ca="1" si="25"/>
        <v>0.41341798521209638</v>
      </c>
      <c r="G61">
        <f t="shared" ca="1" si="20"/>
        <v>0</v>
      </c>
      <c r="H61">
        <f t="shared" ca="1" si="25"/>
        <v>0.54190062864531285</v>
      </c>
      <c r="I61">
        <f t="shared" ca="1" si="24"/>
        <v>1</v>
      </c>
      <c r="J61">
        <f t="shared" ca="1" si="25"/>
        <v>0.15524310412536146</v>
      </c>
      <c r="K61">
        <f t="shared" ca="1" si="12"/>
        <v>0</v>
      </c>
      <c r="L61">
        <f t="shared" ca="1" si="25"/>
        <v>0.73960906968834272</v>
      </c>
      <c r="M61">
        <f t="shared" ca="1" si="1"/>
        <v>1</v>
      </c>
      <c r="O61" s="21">
        <v>5.3851648071345037</v>
      </c>
    </row>
    <row r="62" spans="3:15" x14ac:dyDescent="0.25">
      <c r="C62" t="s">
        <v>207</v>
      </c>
      <c r="D62">
        <f t="shared" ca="1" si="25"/>
        <v>0.76233943901099177</v>
      </c>
      <c r="E62">
        <f t="shared" ca="1" si="15"/>
        <v>1</v>
      </c>
      <c r="F62">
        <f t="shared" ca="1" si="25"/>
        <v>0.98250796711522237</v>
      </c>
      <c r="G62">
        <f t="shared" ca="1" si="20"/>
        <v>1</v>
      </c>
      <c r="H62">
        <f t="shared" ca="1" si="25"/>
        <v>0.81717326835742066</v>
      </c>
      <c r="I62">
        <f t="shared" ca="1" si="24"/>
        <v>1</v>
      </c>
      <c r="J62">
        <f t="shared" ca="1" si="25"/>
        <v>0.33983246524248389</v>
      </c>
      <c r="K62">
        <f t="shared" ca="1" si="12"/>
        <v>0</v>
      </c>
      <c r="L62">
        <f t="shared" ca="1" si="25"/>
        <v>0.17933576919259264</v>
      </c>
      <c r="M62">
        <f t="shared" ca="1" si="1"/>
        <v>0</v>
      </c>
      <c r="O62" s="21">
        <v>5.3665631459994909</v>
      </c>
    </row>
    <row r="63" spans="3:15" x14ac:dyDescent="0.25">
      <c r="C63" t="s">
        <v>208</v>
      </c>
      <c r="D63">
        <f t="shared" ca="1" si="25"/>
        <v>0.37224354893248901</v>
      </c>
      <c r="E63">
        <f t="shared" ca="1" si="15"/>
        <v>0</v>
      </c>
      <c r="F63">
        <f t="shared" ca="1" si="25"/>
        <v>0.87932498679587101</v>
      </c>
      <c r="G63">
        <f t="shared" ca="1" si="20"/>
        <v>1</v>
      </c>
      <c r="H63">
        <f t="shared" ca="1" si="25"/>
        <v>2.9434629248212052E-2</v>
      </c>
      <c r="I63">
        <f t="shared" ca="1" si="24"/>
        <v>0</v>
      </c>
      <c r="J63">
        <f t="shared" ca="1" si="25"/>
        <v>0.71387109275610039</v>
      </c>
      <c r="K63">
        <f t="shared" ca="1" si="12"/>
        <v>1</v>
      </c>
      <c r="L63">
        <f t="shared" ca="1" si="25"/>
        <v>0.43113933609876631</v>
      </c>
      <c r="M63">
        <f t="shared" ca="1" si="1"/>
        <v>0</v>
      </c>
      <c r="O63" s="21">
        <v>4.92950301754649</v>
      </c>
    </row>
    <row r="64" spans="3:15" x14ac:dyDescent="0.25">
      <c r="C64" t="s">
        <v>209</v>
      </c>
      <c r="D64">
        <f t="shared" ca="1" si="25"/>
        <v>0.56707295088378051</v>
      </c>
      <c r="E64">
        <f t="shared" ca="1" si="15"/>
        <v>1</v>
      </c>
      <c r="F64">
        <f t="shared" ca="1" si="25"/>
        <v>0.7233378552723646</v>
      </c>
      <c r="G64">
        <f t="shared" ca="1" si="20"/>
        <v>1</v>
      </c>
      <c r="H64">
        <f t="shared" ca="1" si="25"/>
        <v>0.57241121977628173</v>
      </c>
      <c r="I64">
        <f t="shared" ca="1" si="24"/>
        <v>1</v>
      </c>
      <c r="J64">
        <f t="shared" ca="1" si="25"/>
        <v>0.42525242902941496</v>
      </c>
      <c r="K64">
        <f t="shared" ca="1" si="12"/>
        <v>0</v>
      </c>
      <c r="L64">
        <f t="shared" ca="1" si="25"/>
        <v>0.4626494245441457</v>
      </c>
      <c r="M64">
        <f t="shared" ca="1" si="1"/>
        <v>0</v>
      </c>
      <c r="O64" s="21">
        <v>5.1768716422179093</v>
      </c>
    </row>
    <row r="65" spans="3:15" x14ac:dyDescent="0.25">
      <c r="C65" t="s">
        <v>210</v>
      </c>
      <c r="D65">
        <f t="shared" ca="1" si="25"/>
        <v>0.15833306253882573</v>
      </c>
      <c r="E65">
        <f t="shared" ca="1" si="15"/>
        <v>0</v>
      </c>
      <c r="F65">
        <f t="shared" ca="1" si="25"/>
        <v>0.27813508256783093</v>
      </c>
      <c r="G65">
        <f t="shared" ca="1" si="20"/>
        <v>0</v>
      </c>
      <c r="H65">
        <f t="shared" ca="1" si="25"/>
        <v>0.45086481662321454</v>
      </c>
      <c r="I65">
        <f t="shared" ca="1" si="24"/>
        <v>0</v>
      </c>
      <c r="J65">
        <f t="shared" ca="1" si="25"/>
        <v>0.64719457112850332</v>
      </c>
      <c r="K65">
        <f t="shared" ca="1" si="12"/>
        <v>1</v>
      </c>
      <c r="L65">
        <f t="shared" ca="1" si="25"/>
        <v>0.84230712999096446</v>
      </c>
      <c r="M65">
        <f t="shared" ca="1" si="1"/>
        <v>1</v>
      </c>
      <c r="O65" s="21">
        <v>2.7748873851023217</v>
      </c>
    </row>
    <row r="66" spans="3:15" x14ac:dyDescent="0.25">
      <c r="C66" t="s">
        <v>211</v>
      </c>
      <c r="D66">
        <f t="shared" ca="1" si="25"/>
        <v>0.27243031794951456</v>
      </c>
      <c r="E66">
        <f t="shared" ca="1" si="15"/>
        <v>0</v>
      </c>
      <c r="F66">
        <f t="shared" ca="1" si="25"/>
        <v>0.52896317695441941</v>
      </c>
      <c r="G66">
        <f t="shared" ca="1" si="20"/>
        <v>1</v>
      </c>
      <c r="H66">
        <f t="shared" ca="1" si="25"/>
        <v>0.85502741246869096</v>
      </c>
      <c r="I66">
        <f t="shared" ca="1" si="24"/>
        <v>1</v>
      </c>
      <c r="J66">
        <f t="shared" ca="1" si="25"/>
        <v>6.0263569106586923E-2</v>
      </c>
      <c r="K66">
        <f t="shared" ca="1" si="12"/>
        <v>0</v>
      </c>
      <c r="L66">
        <f t="shared" ca="1" si="25"/>
        <v>0.43614630164234947</v>
      </c>
      <c r="M66">
        <f t="shared" ca="1" si="1"/>
        <v>0</v>
      </c>
      <c r="O66" s="21">
        <v>8.8713020464867398</v>
      </c>
    </row>
    <row r="67" spans="3:15" x14ac:dyDescent="0.25">
      <c r="C67" t="s">
        <v>212</v>
      </c>
      <c r="D67">
        <f t="shared" ca="1" si="25"/>
        <v>1.0955636114845846E-2</v>
      </c>
      <c r="E67">
        <f t="shared" ca="1" si="15"/>
        <v>0</v>
      </c>
      <c r="F67">
        <f t="shared" ca="1" si="25"/>
        <v>0.53397647098597001</v>
      </c>
      <c r="G67">
        <f t="shared" ca="1" si="20"/>
        <v>1</v>
      </c>
      <c r="H67">
        <f t="shared" ca="1" si="25"/>
        <v>0.99103084431665522</v>
      </c>
      <c r="I67">
        <f t="shared" ca="1" si="24"/>
        <v>1</v>
      </c>
      <c r="J67">
        <f t="shared" ca="1" si="25"/>
        <v>0.67787803124845358</v>
      </c>
      <c r="K67">
        <f t="shared" ca="1" si="12"/>
        <v>1</v>
      </c>
      <c r="L67">
        <f t="shared" ca="1" si="25"/>
        <v>2.715632668547463E-3</v>
      </c>
      <c r="M67">
        <f t="shared" ca="1" si="1"/>
        <v>0</v>
      </c>
      <c r="O67" s="21">
        <v>4.6904157598234297</v>
      </c>
    </row>
    <row r="68" spans="3:15" x14ac:dyDescent="0.25">
      <c r="C68" t="s">
        <v>213</v>
      </c>
      <c r="D68">
        <f ca="1">RAND()</f>
        <v>0.57769606289622533</v>
      </c>
      <c r="E68">
        <f t="shared" ca="1" si="15"/>
        <v>1</v>
      </c>
      <c r="F68">
        <f t="shared" ca="1" si="25"/>
        <v>0.36885413641741538</v>
      </c>
      <c r="G68">
        <f t="shared" ca="1" si="20"/>
        <v>0</v>
      </c>
      <c r="H68">
        <f ca="1">RAND()</f>
        <v>0.98894698011724691</v>
      </c>
      <c r="I68">
        <f ca="1">IF(H68&gt;0.5,1,0)</f>
        <v>1</v>
      </c>
      <c r="J68">
        <f t="shared" ca="1" si="25"/>
        <v>9.6073454411748083E-3</v>
      </c>
      <c r="K68">
        <f t="shared" ref="K68:K99" ca="1" si="26">IF(J68&gt;0.5,1,0)</f>
        <v>0</v>
      </c>
      <c r="L68">
        <f t="shared" ca="1" si="25"/>
        <v>0.60407597048953676</v>
      </c>
      <c r="M68">
        <f t="shared" ref="M68:M85" ca="1" si="27">IF(L68&gt;0.5,1,0)</f>
        <v>1</v>
      </c>
      <c r="O68" s="21">
        <v>4.1472882706655438</v>
      </c>
    </row>
    <row r="69" spans="3:15" x14ac:dyDescent="0.25">
      <c r="C69" t="s">
        <v>214</v>
      </c>
      <c r="D69">
        <f t="shared" ca="1" si="25"/>
        <v>0.81569396006068362</v>
      </c>
      <c r="E69">
        <f t="shared" ca="1" si="15"/>
        <v>1</v>
      </c>
      <c r="F69">
        <f t="shared" ca="1" si="25"/>
        <v>0.84561261782720909</v>
      </c>
      <c r="G69">
        <f t="shared" ca="1" si="20"/>
        <v>1</v>
      </c>
      <c r="H69">
        <f t="shared" ca="1" si="25"/>
        <v>0.9073352623438864</v>
      </c>
      <c r="I69">
        <f t="shared" ref="I69:I85" ca="1" si="28">IF(H69&gt;0.5,1,0)</f>
        <v>1</v>
      </c>
      <c r="J69">
        <f t="shared" ca="1" si="25"/>
        <v>0.68703727436407658</v>
      </c>
      <c r="K69">
        <f t="shared" ca="1" si="26"/>
        <v>1</v>
      </c>
      <c r="L69">
        <f t="shared" ca="1" si="25"/>
        <v>0.28522239927389359</v>
      </c>
      <c r="M69">
        <f t="shared" ca="1" si="27"/>
        <v>0</v>
      </c>
      <c r="O69" s="21">
        <v>3.7013511046643495</v>
      </c>
    </row>
    <row r="70" spans="3:15" x14ac:dyDescent="0.25">
      <c r="C70" t="s">
        <v>215</v>
      </c>
      <c r="D70">
        <f t="shared" ca="1" si="25"/>
        <v>0.71416357770619288</v>
      </c>
      <c r="E70">
        <f t="shared" ca="1" si="15"/>
        <v>1</v>
      </c>
      <c r="F70">
        <f t="shared" ca="1" si="25"/>
        <v>0.15541521835975602</v>
      </c>
      <c r="G70">
        <f t="shared" ca="1" si="20"/>
        <v>0</v>
      </c>
      <c r="H70">
        <f t="shared" ca="1" si="25"/>
        <v>0.26156886287390879</v>
      </c>
      <c r="I70">
        <f t="shared" ca="1" si="28"/>
        <v>0</v>
      </c>
      <c r="J70">
        <f t="shared" ca="1" si="25"/>
        <v>0.56634816270014732</v>
      </c>
      <c r="K70">
        <f t="shared" ca="1" si="26"/>
        <v>1</v>
      </c>
      <c r="L70">
        <f t="shared" ca="1" si="25"/>
        <v>0.88185563976595094</v>
      </c>
      <c r="M70">
        <f t="shared" ca="1" si="27"/>
        <v>1</v>
      </c>
      <c r="O70" s="21">
        <v>3.9115214431215892</v>
      </c>
    </row>
    <row r="71" spans="3:15" x14ac:dyDescent="0.25">
      <c r="C71" t="s">
        <v>216</v>
      </c>
      <c r="D71">
        <f t="shared" ca="1" si="25"/>
        <v>0.25364178970759665</v>
      </c>
      <c r="E71">
        <f t="shared" ca="1" si="15"/>
        <v>0</v>
      </c>
      <c r="F71">
        <f t="shared" ca="1" si="25"/>
        <v>0.74949451972720493</v>
      </c>
      <c r="G71">
        <f t="shared" ca="1" si="20"/>
        <v>1</v>
      </c>
      <c r="H71">
        <f t="shared" ca="1" si="25"/>
        <v>9.1458111771610007E-2</v>
      </c>
      <c r="I71">
        <f t="shared" ca="1" si="28"/>
        <v>0</v>
      </c>
      <c r="J71">
        <f t="shared" ca="1" si="25"/>
        <v>8.749480563001788E-2</v>
      </c>
      <c r="K71">
        <f t="shared" ca="1" si="26"/>
        <v>0</v>
      </c>
      <c r="L71">
        <f t="shared" ca="1" si="25"/>
        <v>0.8213597381865948</v>
      </c>
      <c r="M71">
        <f t="shared" ca="1" si="27"/>
        <v>1</v>
      </c>
      <c r="O71" s="21">
        <v>2.7018512172212592</v>
      </c>
    </row>
    <row r="72" spans="3:15" x14ac:dyDescent="0.25">
      <c r="C72" t="s">
        <v>217</v>
      </c>
      <c r="D72">
        <f t="shared" ref="D72:L85" ca="1" si="29">RAND()</f>
        <v>0.95199438782327817</v>
      </c>
      <c r="E72">
        <f t="shared" ca="1" si="15"/>
        <v>1</v>
      </c>
      <c r="F72">
        <f t="shared" ca="1" si="29"/>
        <v>0.43880378923535579</v>
      </c>
      <c r="G72">
        <f t="shared" ca="1" si="20"/>
        <v>0</v>
      </c>
      <c r="H72">
        <f t="shared" ca="1" si="29"/>
        <v>0.45408025194343171</v>
      </c>
      <c r="I72">
        <f t="shared" ca="1" si="28"/>
        <v>0</v>
      </c>
      <c r="J72">
        <f t="shared" ca="1" si="29"/>
        <v>2.7607808356168495E-2</v>
      </c>
      <c r="K72">
        <f t="shared" ca="1" si="26"/>
        <v>0</v>
      </c>
      <c r="L72">
        <f t="shared" ca="1" si="29"/>
        <v>0.86847712145626166</v>
      </c>
      <c r="M72">
        <f t="shared" ca="1" si="27"/>
        <v>1</v>
      </c>
      <c r="O72" s="21">
        <v>4.5276925690687087</v>
      </c>
    </row>
    <row r="73" spans="3:15" x14ac:dyDescent="0.25">
      <c r="C73" t="s">
        <v>218</v>
      </c>
      <c r="D73">
        <f t="shared" ca="1" si="29"/>
        <v>0.62281333422707741</v>
      </c>
      <c r="E73">
        <f t="shared" ca="1" si="15"/>
        <v>1</v>
      </c>
      <c r="F73">
        <f t="shared" ca="1" si="29"/>
        <v>0.52523244255636115</v>
      </c>
      <c r="G73">
        <f t="shared" ca="1" si="20"/>
        <v>1</v>
      </c>
      <c r="H73">
        <f t="shared" ca="1" si="29"/>
        <v>0.8394421419962298</v>
      </c>
      <c r="I73">
        <f t="shared" ca="1" si="28"/>
        <v>1</v>
      </c>
      <c r="J73">
        <f t="shared" ca="1" si="29"/>
        <v>3.8090295264009422E-3</v>
      </c>
      <c r="K73">
        <f t="shared" ca="1" si="26"/>
        <v>0</v>
      </c>
      <c r="L73">
        <f t="shared" ca="1" si="29"/>
        <v>0.95428259811997607</v>
      </c>
      <c r="M73">
        <f t="shared" ca="1" si="27"/>
        <v>1</v>
      </c>
      <c r="O73" s="21">
        <v>7.9874902190863404</v>
      </c>
    </row>
    <row r="74" spans="3:15" x14ac:dyDescent="0.25">
      <c r="C74" t="s">
        <v>219</v>
      </c>
      <c r="D74">
        <f t="shared" ca="1" si="29"/>
        <v>0.55357901421886124</v>
      </c>
      <c r="E74">
        <f t="shared" ca="1" si="15"/>
        <v>1</v>
      </c>
      <c r="F74">
        <f t="shared" ca="1" si="29"/>
        <v>0.52207480550120611</v>
      </c>
      <c r="G74">
        <f t="shared" ca="1" si="20"/>
        <v>1</v>
      </c>
      <c r="H74">
        <f t="shared" ca="1" si="29"/>
        <v>0.11025254580588073</v>
      </c>
      <c r="I74">
        <f t="shared" ca="1" si="28"/>
        <v>0</v>
      </c>
      <c r="J74">
        <f t="shared" ca="1" si="29"/>
        <v>3.7624398910562684E-2</v>
      </c>
      <c r="K74">
        <f t="shared" ca="1" si="26"/>
        <v>0</v>
      </c>
      <c r="L74">
        <f t="shared" ca="1" si="29"/>
        <v>0.16450389557310874</v>
      </c>
      <c r="M74">
        <f t="shared" ca="1" si="27"/>
        <v>0</v>
      </c>
      <c r="O74" s="21">
        <v>5.7879184513951127</v>
      </c>
    </row>
    <row r="75" spans="3:15" x14ac:dyDescent="0.25">
      <c r="C75" t="s">
        <v>220</v>
      </c>
      <c r="D75">
        <f t="shared" ca="1" si="29"/>
        <v>0.28970000500819792</v>
      </c>
      <c r="E75">
        <f t="shared" ca="1" si="15"/>
        <v>0</v>
      </c>
      <c r="F75">
        <f t="shared" ca="1" si="29"/>
        <v>0.63558186631689384</v>
      </c>
      <c r="G75">
        <f t="shared" ca="1" si="20"/>
        <v>1</v>
      </c>
      <c r="H75">
        <f t="shared" ca="1" si="29"/>
        <v>0.11131167885959903</v>
      </c>
      <c r="I75">
        <f t="shared" ca="1" si="28"/>
        <v>0</v>
      </c>
      <c r="J75">
        <f t="shared" ca="1" si="29"/>
        <v>0.31697067502930942</v>
      </c>
      <c r="K75">
        <f t="shared" ca="1" si="26"/>
        <v>0</v>
      </c>
      <c r="L75">
        <f t="shared" ca="1" si="29"/>
        <v>0.85339673458208598</v>
      </c>
      <c r="M75">
        <f t="shared" ca="1" si="27"/>
        <v>1</v>
      </c>
      <c r="O75" s="21">
        <v>4.3358966777357599</v>
      </c>
    </row>
    <row r="76" spans="3:15" x14ac:dyDescent="0.25">
      <c r="C76" t="s">
        <v>221</v>
      </c>
      <c r="D76">
        <f t="shared" ca="1" si="29"/>
        <v>0.68593077168482286</v>
      </c>
      <c r="E76">
        <f t="shared" ca="1" si="15"/>
        <v>1</v>
      </c>
      <c r="F76">
        <f t="shared" ca="1" si="29"/>
        <v>0.60911356086520385</v>
      </c>
      <c r="G76">
        <f t="shared" ca="1" si="20"/>
        <v>1</v>
      </c>
      <c r="H76">
        <f t="shared" ca="1" si="29"/>
        <v>0.79963572206253741</v>
      </c>
      <c r="I76">
        <f t="shared" ca="1" si="28"/>
        <v>1</v>
      </c>
      <c r="J76">
        <f t="shared" ca="1" si="29"/>
        <v>0.82461864363824633</v>
      </c>
      <c r="K76">
        <f t="shared" ca="1" si="26"/>
        <v>1</v>
      </c>
      <c r="L76">
        <f t="shared" ca="1" si="29"/>
        <v>0.47762938514351772</v>
      </c>
      <c r="M76">
        <f t="shared" ca="1" si="27"/>
        <v>0</v>
      </c>
      <c r="O76" s="21">
        <v>7.7910204723129848</v>
      </c>
    </row>
    <row r="77" spans="3:15" x14ac:dyDescent="0.25">
      <c r="C77" t="s">
        <v>222</v>
      </c>
      <c r="D77">
        <f t="shared" ca="1" si="29"/>
        <v>0.19956759157106085</v>
      </c>
      <c r="E77">
        <f t="shared" ca="1" si="15"/>
        <v>0</v>
      </c>
      <c r="F77">
        <f t="shared" ca="1" si="29"/>
        <v>0.27430162979239869</v>
      </c>
      <c r="G77">
        <f t="shared" ca="1" si="20"/>
        <v>0</v>
      </c>
      <c r="H77">
        <f t="shared" ca="1" si="29"/>
        <v>0.95583071248329154</v>
      </c>
      <c r="I77">
        <f t="shared" ca="1" si="28"/>
        <v>1</v>
      </c>
      <c r="J77">
        <f t="shared" ca="1" si="29"/>
        <v>0.20005146474206259</v>
      </c>
      <c r="K77">
        <f t="shared" ca="1" si="26"/>
        <v>0</v>
      </c>
      <c r="L77">
        <f t="shared" ca="1" si="29"/>
        <v>0.64460442720349365</v>
      </c>
      <c r="M77">
        <f t="shared" ca="1" si="27"/>
        <v>1</v>
      </c>
      <c r="O77" s="21">
        <v>4.8270073544588872</v>
      </c>
    </row>
    <row r="78" spans="3:15" x14ac:dyDescent="0.25">
      <c r="C78" t="s">
        <v>223</v>
      </c>
      <c r="D78">
        <f t="shared" ca="1" si="29"/>
        <v>0.33286520667321517</v>
      </c>
      <c r="E78">
        <f t="shared" ca="1" si="15"/>
        <v>0</v>
      </c>
      <c r="F78">
        <f t="shared" ca="1" si="29"/>
        <v>0.91679540348046207</v>
      </c>
      <c r="G78">
        <f t="shared" ca="1" si="20"/>
        <v>1</v>
      </c>
      <c r="H78">
        <f t="shared" ca="1" si="29"/>
        <v>0.44435817322355997</v>
      </c>
      <c r="I78">
        <f t="shared" ca="1" si="28"/>
        <v>0</v>
      </c>
      <c r="J78">
        <f t="shared" ca="1" si="29"/>
        <v>0.76805328956594432</v>
      </c>
      <c r="K78">
        <f t="shared" ca="1" si="26"/>
        <v>1</v>
      </c>
      <c r="L78">
        <f t="shared" ca="1" si="29"/>
        <v>7.7425127002745064E-2</v>
      </c>
      <c r="M78">
        <f t="shared" ca="1" si="27"/>
        <v>0</v>
      </c>
      <c r="O78" s="21">
        <v>4.0865633483405102</v>
      </c>
    </row>
    <row r="79" spans="3:15" x14ac:dyDescent="0.25">
      <c r="C79" t="s">
        <v>224</v>
      </c>
      <c r="D79">
        <f t="shared" ca="1" si="29"/>
        <v>0.13786194860229173</v>
      </c>
      <c r="E79">
        <f t="shared" ca="1" si="15"/>
        <v>0</v>
      </c>
      <c r="F79">
        <f t="shared" ca="1" si="29"/>
        <v>0.18717406958949179</v>
      </c>
      <c r="G79">
        <f t="shared" ca="1" si="20"/>
        <v>0</v>
      </c>
      <c r="H79">
        <f t="shared" ca="1" si="29"/>
        <v>0.7779644269152135</v>
      </c>
      <c r="I79">
        <f t="shared" ca="1" si="28"/>
        <v>1</v>
      </c>
      <c r="J79">
        <f t="shared" ca="1" si="29"/>
        <v>0.5141305297385621</v>
      </c>
      <c r="K79">
        <f t="shared" ca="1" si="26"/>
        <v>1</v>
      </c>
      <c r="L79">
        <f t="shared" ca="1" si="29"/>
        <v>0.37562962688370372</v>
      </c>
      <c r="M79">
        <f t="shared" ca="1" si="27"/>
        <v>0</v>
      </c>
      <c r="O79" s="21">
        <v>5.6833088953531448</v>
      </c>
    </row>
    <row r="80" spans="3:15" x14ac:dyDescent="0.25">
      <c r="C80" t="s">
        <v>225</v>
      </c>
      <c r="D80">
        <f t="shared" ca="1" si="29"/>
        <v>0.33126298195784531</v>
      </c>
      <c r="E80">
        <f t="shared" ca="1" si="15"/>
        <v>0</v>
      </c>
      <c r="F80">
        <f t="shared" ca="1" si="29"/>
        <v>0.8856516911889426</v>
      </c>
      <c r="G80">
        <f t="shared" ca="1" si="20"/>
        <v>1</v>
      </c>
      <c r="H80">
        <f t="shared" ca="1" si="29"/>
        <v>3.777119640475568E-2</v>
      </c>
      <c r="I80">
        <f t="shared" ca="1" si="28"/>
        <v>0</v>
      </c>
      <c r="J80">
        <f t="shared" ca="1" si="29"/>
        <v>0.43345788908740901</v>
      </c>
      <c r="K80">
        <f t="shared" ca="1" si="26"/>
        <v>0</v>
      </c>
      <c r="L80">
        <f t="shared" ca="1" si="29"/>
        <v>0.58021045729695619</v>
      </c>
      <c r="M80">
        <f t="shared" ca="1" si="27"/>
        <v>1</v>
      </c>
      <c r="O80" s="21">
        <v>3.5777087639996634</v>
      </c>
    </row>
    <row r="81" spans="2:15" x14ac:dyDescent="0.25">
      <c r="C81" t="s">
        <v>226</v>
      </c>
      <c r="D81">
        <f t="shared" ca="1" si="29"/>
        <v>0.61210576599107636</v>
      </c>
      <c r="E81">
        <f t="shared" ca="1" si="15"/>
        <v>1</v>
      </c>
      <c r="F81">
        <f t="shared" ca="1" si="29"/>
        <v>0.46926017627171979</v>
      </c>
      <c r="G81">
        <f t="shared" ca="1" si="20"/>
        <v>0</v>
      </c>
      <c r="H81">
        <f t="shared" ca="1" si="29"/>
        <v>0.91903912478075911</v>
      </c>
      <c r="I81">
        <f t="shared" ca="1" si="28"/>
        <v>1</v>
      </c>
      <c r="J81">
        <f t="shared" ca="1" si="29"/>
        <v>0.61069794541215927</v>
      </c>
      <c r="K81">
        <f t="shared" ca="1" si="26"/>
        <v>1</v>
      </c>
      <c r="L81">
        <f t="shared" ca="1" si="29"/>
        <v>0.75830005546948787</v>
      </c>
      <c r="M81">
        <f t="shared" ca="1" si="27"/>
        <v>1</v>
      </c>
      <c r="O81" s="21">
        <v>4.5055521304275192</v>
      </c>
    </row>
    <row r="82" spans="2:15" x14ac:dyDescent="0.25">
      <c r="C82" t="s">
        <v>227</v>
      </c>
      <c r="D82">
        <f t="shared" ca="1" si="29"/>
        <v>1.5015285509641374E-2</v>
      </c>
      <c r="E82">
        <f t="shared" ca="1" si="15"/>
        <v>0</v>
      </c>
      <c r="F82">
        <f t="shared" ca="1" si="29"/>
        <v>2.5159589592308351E-2</v>
      </c>
      <c r="G82">
        <f t="shared" ca="1" si="20"/>
        <v>0</v>
      </c>
      <c r="H82">
        <f t="shared" ca="1" si="29"/>
        <v>0.27110598003705022</v>
      </c>
      <c r="I82">
        <f t="shared" ca="1" si="28"/>
        <v>0</v>
      </c>
      <c r="J82">
        <f t="shared" ca="1" si="29"/>
        <v>0.52729115457224762</v>
      </c>
      <c r="K82">
        <f t="shared" ca="1" si="26"/>
        <v>1</v>
      </c>
      <c r="L82">
        <f t="shared" ca="1" si="29"/>
        <v>0.25089755177886597</v>
      </c>
      <c r="M82">
        <f t="shared" ca="1" si="27"/>
        <v>0</v>
      </c>
      <c r="O82" s="21">
        <v>3.8987177379235853</v>
      </c>
    </row>
    <row r="83" spans="2:15" x14ac:dyDescent="0.25">
      <c r="B83" s="70"/>
      <c r="C83" t="s">
        <v>228</v>
      </c>
      <c r="D83">
        <f t="shared" ca="1" si="29"/>
        <v>7.2551515437576541E-2</v>
      </c>
      <c r="E83">
        <f t="shared" ca="1" si="15"/>
        <v>0</v>
      </c>
      <c r="F83">
        <f t="shared" ca="1" si="29"/>
        <v>0.40337117497584163</v>
      </c>
      <c r="G83">
        <f t="shared" ca="1" si="20"/>
        <v>0</v>
      </c>
      <c r="H83">
        <f t="shared" ca="1" si="29"/>
        <v>0.70169734476215384</v>
      </c>
      <c r="I83">
        <f t="shared" ca="1" si="28"/>
        <v>1</v>
      </c>
      <c r="J83">
        <f t="shared" ca="1" si="29"/>
        <v>0.64072417750940969</v>
      </c>
      <c r="K83">
        <f t="shared" ca="1" si="26"/>
        <v>1</v>
      </c>
      <c r="L83">
        <f t="shared" ca="1" si="29"/>
        <v>0.83802275319846187</v>
      </c>
      <c r="M83">
        <f t="shared" ca="1" si="27"/>
        <v>1</v>
      </c>
      <c r="O83" s="21">
        <v>2.5495097567963922</v>
      </c>
    </row>
    <row r="84" spans="2:15" x14ac:dyDescent="0.25">
      <c r="C84" t="s">
        <v>229</v>
      </c>
      <c r="D84">
        <f t="shared" ca="1" si="29"/>
        <v>0.60961363007066915</v>
      </c>
      <c r="E84">
        <f t="shared" ref="E84:E85" ca="1" si="30">IF(D84&gt;0.5,1,0)</f>
        <v>1</v>
      </c>
      <c r="F84">
        <f t="shared" ca="1" si="29"/>
        <v>0.2865481255127349</v>
      </c>
      <c r="G84">
        <f t="shared" ref="G84:G85" ca="1" si="31">IF(F84&gt;0.5,1,0)</f>
        <v>0</v>
      </c>
      <c r="H84">
        <f t="shared" ca="1" si="29"/>
        <v>2.9810777285322221E-2</v>
      </c>
      <c r="I84">
        <f t="shared" ca="1" si="28"/>
        <v>0</v>
      </c>
      <c r="J84">
        <f t="shared" ca="1" si="29"/>
        <v>9.662807456787359E-2</v>
      </c>
      <c r="K84">
        <f t="shared" ca="1" si="26"/>
        <v>0</v>
      </c>
      <c r="L84">
        <f t="shared" ca="1" si="29"/>
        <v>0.60807186990158202</v>
      </c>
      <c r="M84">
        <f t="shared" ca="1" si="27"/>
        <v>1</v>
      </c>
      <c r="O84" s="21">
        <v>1.3416407864998738</v>
      </c>
    </row>
    <row r="85" spans="2:15" x14ac:dyDescent="0.25">
      <c r="C85" t="s">
        <v>230</v>
      </c>
      <c r="D85">
        <f t="shared" ca="1" si="29"/>
        <v>0.11897697706818333</v>
      </c>
      <c r="E85">
        <f t="shared" ca="1" si="30"/>
        <v>0</v>
      </c>
      <c r="F85">
        <f t="shared" ca="1" si="29"/>
        <v>0.85442088755978074</v>
      </c>
      <c r="G85">
        <f t="shared" ca="1" si="31"/>
        <v>1</v>
      </c>
      <c r="H85">
        <f t="shared" ca="1" si="29"/>
        <v>0.53796320657248375</v>
      </c>
      <c r="I85">
        <f t="shared" ca="1" si="28"/>
        <v>1</v>
      </c>
      <c r="J85">
        <f t="shared" ca="1" si="29"/>
        <v>0.87440876418573854</v>
      </c>
      <c r="K85">
        <f t="shared" ca="1" si="26"/>
        <v>1</v>
      </c>
      <c r="L85">
        <f t="shared" ca="1" si="29"/>
        <v>0.38468165617840988</v>
      </c>
      <c r="M85">
        <f t="shared" ca="1" si="27"/>
        <v>0</v>
      </c>
      <c r="O85" s="21">
        <v>2.7748873851023217</v>
      </c>
    </row>
    <row r="86" spans="2:15" x14ac:dyDescent="0.25">
      <c r="B86" s="5"/>
      <c r="C86" s="71"/>
      <c r="N86" s="18" t="s">
        <v>33</v>
      </c>
      <c r="O86" s="21">
        <v>5.4954526656136178</v>
      </c>
    </row>
    <row r="87" spans="2:15" x14ac:dyDescent="0.25">
      <c r="B87" s="5"/>
      <c r="C87" s="71"/>
      <c r="D87" s="1"/>
      <c r="E87" s="1">
        <f ca="1">SUM(E4:E85)</f>
        <v>43</v>
      </c>
      <c r="F87" s="1"/>
      <c r="G87" s="1">
        <f ca="1">SUM(G4:G85)</f>
        <v>44</v>
      </c>
      <c r="H87" s="1"/>
      <c r="I87" s="1">
        <f ca="1">SUM(I4:I85)</f>
        <v>37</v>
      </c>
      <c r="J87" s="1"/>
      <c r="K87" s="1">
        <f ca="1">SUM(K4:K85)</f>
        <v>46</v>
      </c>
      <c r="L87" s="1"/>
      <c r="M87" s="1">
        <f ca="1">SUM(M4:M85)</f>
        <v>45</v>
      </c>
      <c r="N87" s="23">
        <f ca="1">STDEV(E87:M87)</f>
        <v>3.5355339059327378</v>
      </c>
      <c r="O87" s="21">
        <v>5.2630789467763108</v>
      </c>
    </row>
    <row r="88" spans="2:15" x14ac:dyDescent="0.25">
      <c r="B88" s="5"/>
      <c r="C88" s="71"/>
      <c r="K88" s="16" t="s">
        <v>37</v>
      </c>
      <c r="L88" s="16"/>
      <c r="M88" s="16"/>
      <c r="N88" s="73"/>
      <c r="O88" s="21">
        <v>1.9235384061671343</v>
      </c>
    </row>
    <row r="89" spans="2:15" ht="13" thickBot="1" x14ac:dyDescent="0.3">
      <c r="B89" s="5"/>
      <c r="C89" s="5"/>
      <c r="K89" s="16" t="s">
        <v>36</v>
      </c>
      <c r="L89" s="16"/>
      <c r="M89" s="16"/>
      <c r="O89" s="21">
        <v>5.196152422706632</v>
      </c>
    </row>
    <row r="90" spans="2:15" ht="13" thickBot="1" x14ac:dyDescent="0.3">
      <c r="B90" s="17" t="s">
        <v>27</v>
      </c>
      <c r="C90" s="72" t="s">
        <v>20</v>
      </c>
      <c r="D90" s="2"/>
      <c r="E90" s="3"/>
      <c r="K90" s="16" t="s">
        <v>110</v>
      </c>
      <c r="L90" s="16"/>
      <c r="M90" s="16"/>
      <c r="O90" s="21">
        <v>4.7222875812470333</v>
      </c>
    </row>
    <row r="91" spans="2:15" x14ac:dyDescent="0.25">
      <c r="B91" s="70"/>
      <c r="C91" s="4"/>
      <c r="D91" s="71" t="s">
        <v>231</v>
      </c>
      <c r="E91" s="6" t="s">
        <v>22</v>
      </c>
      <c r="F91" s="16" t="s">
        <v>35</v>
      </c>
      <c r="O91" s="21">
        <v>2.5884358211089569</v>
      </c>
    </row>
    <row r="92" spans="2:15" ht="13" thickBot="1" x14ac:dyDescent="0.3">
      <c r="C92" s="68" t="s">
        <v>160</v>
      </c>
      <c r="D92" s="14">
        <v>58</v>
      </c>
      <c r="E92" s="15">
        <v>41</v>
      </c>
      <c r="F92">
        <f>(D92-E92)^2</f>
        <v>289</v>
      </c>
      <c r="I92" s="16"/>
      <c r="O92" s="21">
        <v>5.7183913821983232</v>
      </c>
    </row>
    <row r="93" spans="2:15" ht="13" thickBot="1" x14ac:dyDescent="0.3">
      <c r="C93" s="68" t="s">
        <v>161</v>
      </c>
      <c r="D93" s="14">
        <v>51</v>
      </c>
      <c r="E93" s="15">
        <v>41</v>
      </c>
      <c r="F93">
        <f t="shared" ref="F93:F96" si="32">(D93-E93)^2</f>
        <v>100</v>
      </c>
      <c r="O93" s="21">
        <v>5.3197744313081721</v>
      </c>
    </row>
    <row r="94" spans="2:15" ht="13" thickBot="1" x14ac:dyDescent="0.3">
      <c r="C94" s="68" t="s">
        <v>162</v>
      </c>
      <c r="D94" s="14">
        <v>49</v>
      </c>
      <c r="E94" s="15">
        <v>41</v>
      </c>
      <c r="F94">
        <f t="shared" si="32"/>
        <v>64</v>
      </c>
      <c r="O94" s="21">
        <v>4.6043457732885154</v>
      </c>
    </row>
    <row r="95" spans="2:15" ht="13" thickBot="1" x14ac:dyDescent="0.3">
      <c r="C95" s="68" t="s">
        <v>163</v>
      </c>
      <c r="D95" s="14">
        <v>42</v>
      </c>
      <c r="E95" s="15">
        <v>41</v>
      </c>
      <c r="F95">
        <f t="shared" si="32"/>
        <v>1</v>
      </c>
      <c r="I95" s="25"/>
      <c r="O95" s="21">
        <v>3.7682887362833544</v>
      </c>
    </row>
    <row r="96" spans="2:15" ht="13" thickBot="1" x14ac:dyDescent="0.3">
      <c r="C96" s="68" t="s">
        <v>164</v>
      </c>
      <c r="D96" s="69">
        <v>17</v>
      </c>
      <c r="E96" s="15">
        <v>41</v>
      </c>
      <c r="F96">
        <f t="shared" si="32"/>
        <v>576</v>
      </c>
      <c r="O96" s="21">
        <v>1.9235384061671343</v>
      </c>
    </row>
    <row r="97" spans="3:15" ht="13" thickBot="1" x14ac:dyDescent="0.3">
      <c r="C97" s="7"/>
      <c r="D97" s="8"/>
      <c r="E97" s="9"/>
      <c r="F97">
        <f>SUM(F92:F95)/41</f>
        <v>11.073170731707316</v>
      </c>
      <c r="O97" s="21">
        <v>6.9137544069774552</v>
      </c>
    </row>
    <row r="98" spans="3:15" x14ac:dyDescent="0.25">
      <c r="E98" s="18" t="s">
        <v>30</v>
      </c>
      <c r="F98" s="19">
        <f>CHIDIST(F97,3)</f>
        <v>1.1336722564759916E-2</v>
      </c>
      <c r="G98" s="16" t="s">
        <v>31</v>
      </c>
      <c r="O98" s="21">
        <v>6.8774995456197567</v>
      </c>
    </row>
    <row r="99" spans="3:15" x14ac:dyDescent="0.25">
      <c r="O99" s="21">
        <v>3.2093613071762426</v>
      </c>
    </row>
    <row r="100" spans="3:15" x14ac:dyDescent="0.25">
      <c r="E100" s="18" t="s">
        <v>29</v>
      </c>
      <c r="F100" s="19">
        <f>CHITEST(D92:D96,E92:E96)</f>
        <v>4.7547593401486515E-5</v>
      </c>
      <c r="O100" s="21">
        <v>5.8309518948453007</v>
      </c>
    </row>
    <row r="101" spans="3:15" x14ac:dyDescent="0.25">
      <c r="O101" s="21">
        <v>2.5495097567963922</v>
      </c>
    </row>
    <row r="102" spans="3:15" x14ac:dyDescent="0.25">
      <c r="O102" s="21">
        <v>3.7815340802378072</v>
      </c>
    </row>
    <row r="103" spans="3:15" x14ac:dyDescent="0.25">
      <c r="O103" s="21">
        <v>7.7910204723129706</v>
      </c>
    </row>
    <row r="104" spans="3:15" x14ac:dyDescent="0.25">
      <c r="O104" s="21">
        <v>3.5637059362410923</v>
      </c>
    </row>
    <row r="105" spans="3:15" x14ac:dyDescent="0.25">
      <c r="O105" s="21">
        <v>3.2403703492039302</v>
      </c>
    </row>
    <row r="106" spans="3:15" x14ac:dyDescent="0.25">
      <c r="O106" s="21">
        <v>2.7748873851023212</v>
      </c>
    </row>
    <row r="107" spans="3:15" x14ac:dyDescent="0.25">
      <c r="O107" s="21">
        <v>3.6055512754639891</v>
      </c>
    </row>
    <row r="108" spans="3:15" x14ac:dyDescent="0.25">
      <c r="O108" s="21">
        <v>5.1283525619832515</v>
      </c>
    </row>
    <row r="109" spans="3:15" x14ac:dyDescent="0.25">
      <c r="O109" s="21">
        <v>5.5226805085936306</v>
      </c>
    </row>
    <row r="110" spans="3:15" x14ac:dyDescent="0.25">
      <c r="O110" s="21">
        <v>5.2440442408507577</v>
      </c>
    </row>
    <row r="111" spans="3:15" x14ac:dyDescent="0.25">
      <c r="O111" s="21">
        <v>4.1472882706655438</v>
      </c>
    </row>
    <row r="112" spans="3:15" x14ac:dyDescent="0.25">
      <c r="O112" s="21">
        <v>5.9329587896765341</v>
      </c>
    </row>
    <row r="113" spans="15:15" x14ac:dyDescent="0.25">
      <c r="O113" s="21">
        <v>2.6076809620810595</v>
      </c>
    </row>
    <row r="114" spans="15:15" x14ac:dyDescent="0.25">
      <c r="O114" s="21">
        <v>5.0695167422546126</v>
      </c>
    </row>
    <row r="115" spans="15:15" x14ac:dyDescent="0.25">
      <c r="O115" s="21">
        <v>4.7749345545253243</v>
      </c>
    </row>
    <row r="116" spans="15:15" x14ac:dyDescent="0.25">
      <c r="O116" s="21">
        <v>3.6469165057620936</v>
      </c>
    </row>
    <row r="117" spans="15:15" x14ac:dyDescent="0.25">
      <c r="O117" s="21">
        <v>2.4899799195977468</v>
      </c>
    </row>
    <row r="118" spans="15:15" x14ac:dyDescent="0.25">
      <c r="O118" s="21">
        <v>3.7013511046643495</v>
      </c>
    </row>
    <row r="119" spans="15:15" x14ac:dyDescent="0.25">
      <c r="O119" s="21">
        <v>2.7018512172212592</v>
      </c>
    </row>
    <row r="120" spans="15:15" x14ac:dyDescent="0.25">
      <c r="O120" s="21">
        <v>6.8774995456197727</v>
      </c>
    </row>
    <row r="121" spans="15:15" x14ac:dyDescent="0.25">
      <c r="O121" s="21">
        <v>3.5637059362410923</v>
      </c>
    </row>
    <row r="122" spans="15:15" x14ac:dyDescent="0.25">
      <c r="O122" s="21">
        <v>4.3931765272977596</v>
      </c>
    </row>
    <row r="123" spans="15:15" x14ac:dyDescent="0.25">
      <c r="O123" s="21">
        <v>6.4420493633625631</v>
      </c>
    </row>
    <row r="124" spans="15:15" x14ac:dyDescent="0.25">
      <c r="O124" s="21">
        <v>5.3197744313081508</v>
      </c>
    </row>
    <row r="125" spans="15:15" x14ac:dyDescent="0.25">
      <c r="O125" s="21">
        <v>2.8635642126552705</v>
      </c>
    </row>
    <row r="126" spans="15:15" x14ac:dyDescent="0.25">
      <c r="O126" s="21">
        <v>6.2689712074630064</v>
      </c>
    </row>
    <row r="127" spans="15:15" x14ac:dyDescent="0.25">
      <c r="O127" s="21">
        <v>5.5497747702046389</v>
      </c>
    </row>
    <row r="128" spans="15:15" x14ac:dyDescent="0.25">
      <c r="O128" s="21">
        <v>5.8906705900092602</v>
      </c>
    </row>
    <row r="129" spans="15:15" x14ac:dyDescent="0.25">
      <c r="O129" s="21">
        <v>3.5637059362410923</v>
      </c>
    </row>
    <row r="130" spans="15:15" x14ac:dyDescent="0.25">
      <c r="O130" s="21">
        <v>4.5055521304275192</v>
      </c>
    </row>
    <row r="131" spans="15:15" x14ac:dyDescent="0.25">
      <c r="O131" s="21">
        <v>1.6733200530681511</v>
      </c>
    </row>
    <row r="132" spans="15:15" x14ac:dyDescent="0.25">
      <c r="O132" s="21">
        <v>2.9664793948382648</v>
      </c>
    </row>
    <row r="133" spans="15:15" x14ac:dyDescent="0.25">
      <c r="O133" s="21">
        <v>2.9495762407505253</v>
      </c>
    </row>
    <row r="134" spans="15:15" x14ac:dyDescent="0.25">
      <c r="O134" s="21">
        <v>5.1768716422179093</v>
      </c>
    </row>
    <row r="135" spans="15:15" x14ac:dyDescent="0.25">
      <c r="O135" s="21">
        <v>3.5637059362410923</v>
      </c>
    </row>
    <row r="136" spans="15:15" x14ac:dyDescent="0.25">
      <c r="O136" s="21">
        <v>2.8635642126552705</v>
      </c>
    </row>
    <row r="137" spans="15:15" x14ac:dyDescent="0.25">
      <c r="O137" s="21">
        <v>3.3615472627943221</v>
      </c>
    </row>
    <row r="138" spans="15:15" x14ac:dyDescent="0.25">
      <c r="O138" s="21">
        <v>4.7749345545253474</v>
      </c>
    </row>
    <row r="139" spans="15:15" x14ac:dyDescent="0.25">
      <c r="O139" s="21">
        <v>3.8470768123342691</v>
      </c>
    </row>
    <row r="140" spans="15:15" x14ac:dyDescent="0.25">
      <c r="O140" s="21">
        <v>3.6331804249169903</v>
      </c>
    </row>
    <row r="141" spans="15:15" x14ac:dyDescent="0.25">
      <c r="O141" s="21">
        <v>3.3466401061363023</v>
      </c>
    </row>
    <row r="142" spans="15:15" x14ac:dyDescent="0.25">
      <c r="O142" s="21">
        <v>2.6076809620810595</v>
      </c>
    </row>
    <row r="143" spans="15:15" x14ac:dyDescent="0.25">
      <c r="O143" s="21">
        <v>7.1203932475671463</v>
      </c>
    </row>
    <row r="144" spans="15:15" x14ac:dyDescent="0.25">
      <c r="O144" s="21">
        <v>3.3615472627943221</v>
      </c>
    </row>
    <row r="145" spans="15:15" x14ac:dyDescent="0.25">
      <c r="O145" s="21">
        <v>6.4031242374328485</v>
      </c>
    </row>
    <row r="146" spans="15:15" x14ac:dyDescent="0.25">
      <c r="O146" s="21">
        <v>5.7008771254956896</v>
      </c>
    </row>
    <row r="147" spans="15:15" x14ac:dyDescent="0.25">
      <c r="O147" s="21">
        <v>4.1593268686170841</v>
      </c>
    </row>
    <row r="148" spans="15:15" x14ac:dyDescent="0.25">
      <c r="O148" s="21">
        <v>4.7434164902525691</v>
      </c>
    </row>
    <row r="149" spans="15:15" x14ac:dyDescent="0.25">
      <c r="O149" s="21">
        <v>3.3615472627943221</v>
      </c>
    </row>
    <row r="150" spans="15:15" x14ac:dyDescent="0.25">
      <c r="O150" s="21">
        <v>4.0373258476372698</v>
      </c>
    </row>
    <row r="151" spans="15:15" x14ac:dyDescent="0.25">
      <c r="O151" s="21">
        <v>2.16794833886788</v>
      </c>
    </row>
    <row r="152" spans="15:15" x14ac:dyDescent="0.25">
      <c r="O152" s="21">
        <v>3.9115214431215892</v>
      </c>
    </row>
    <row r="153" spans="15:15" x14ac:dyDescent="0.25">
      <c r="O153" s="21">
        <v>3.4351128074635335</v>
      </c>
    </row>
    <row r="154" spans="15:15" x14ac:dyDescent="0.25">
      <c r="O154" s="21">
        <v>5.3572380943915539</v>
      </c>
    </row>
    <row r="155" spans="15:15" x14ac:dyDescent="0.25">
      <c r="O155" s="21">
        <v>3.1144823004794873</v>
      </c>
    </row>
    <row r="156" spans="15:15" x14ac:dyDescent="0.25">
      <c r="O156" s="21">
        <v>5.5045435778091703</v>
      </c>
    </row>
    <row r="157" spans="15:15" x14ac:dyDescent="0.25">
      <c r="O157" s="21">
        <v>3.2403703492039302</v>
      </c>
    </row>
    <row r="158" spans="15:15" x14ac:dyDescent="0.25">
      <c r="O158" s="21">
        <v>4.3011626335213133</v>
      </c>
    </row>
    <row r="159" spans="15:15" x14ac:dyDescent="0.25">
      <c r="O159" s="21">
        <v>5.7445626465380286</v>
      </c>
    </row>
    <row r="160" spans="15:15" x14ac:dyDescent="0.25">
      <c r="O160" s="21">
        <v>3.4205262752974139</v>
      </c>
    </row>
    <row r="161" spans="15:15" x14ac:dyDescent="0.25">
      <c r="O161" s="21">
        <v>4.0373258476372698</v>
      </c>
    </row>
    <row r="162" spans="15:15" x14ac:dyDescent="0.25">
      <c r="O162" s="21">
        <v>4.3243496620879309</v>
      </c>
    </row>
    <row r="163" spans="15:15" x14ac:dyDescent="0.25">
      <c r="O163" s="21">
        <v>5.8906705900092602</v>
      </c>
    </row>
    <row r="164" spans="15:15" x14ac:dyDescent="0.25">
      <c r="O164" s="21">
        <v>2.8809720581775866</v>
      </c>
    </row>
    <row r="165" spans="15:15" x14ac:dyDescent="0.25">
      <c r="O165" s="21">
        <v>5.5497747702046594</v>
      </c>
    </row>
    <row r="166" spans="15:15" x14ac:dyDescent="0.25">
      <c r="O166" s="21">
        <v>5.0299105359837348</v>
      </c>
    </row>
    <row r="167" spans="15:15" x14ac:dyDescent="0.25">
      <c r="O167" s="21">
        <v>5.3572380943915539</v>
      </c>
    </row>
    <row r="168" spans="15:15" x14ac:dyDescent="0.25">
      <c r="O168" s="21">
        <v>4.8166378315168989</v>
      </c>
    </row>
    <row r="169" spans="15:15" x14ac:dyDescent="0.25">
      <c r="O169" s="21">
        <v>5.1478150704935004</v>
      </c>
    </row>
    <row r="170" spans="15:15" x14ac:dyDescent="0.25">
      <c r="O170" s="21">
        <v>2.4083189157584592</v>
      </c>
    </row>
    <row r="171" spans="15:15" x14ac:dyDescent="0.25">
      <c r="O171" s="21">
        <v>2.0493901531919199</v>
      </c>
    </row>
    <row r="172" spans="15:15" x14ac:dyDescent="0.25">
      <c r="O172" s="21">
        <v>3.049590136395381</v>
      </c>
    </row>
    <row r="173" spans="15:15" x14ac:dyDescent="0.25">
      <c r="O173" s="21">
        <v>4.2071367935925261</v>
      </c>
    </row>
    <row r="174" spans="15:15" x14ac:dyDescent="0.25">
      <c r="O174" s="21">
        <v>4.1593268686170841</v>
      </c>
    </row>
    <row r="175" spans="15:15" x14ac:dyDescent="0.25">
      <c r="O175" s="21">
        <v>1.8708286933869707</v>
      </c>
    </row>
    <row r="176" spans="15:15" x14ac:dyDescent="0.25">
      <c r="O176" s="21">
        <v>3.3615472627943221</v>
      </c>
    </row>
    <row r="177" spans="15:15" x14ac:dyDescent="0.25">
      <c r="O177" s="21">
        <v>8.7005746936624728</v>
      </c>
    </row>
    <row r="178" spans="15:15" x14ac:dyDescent="0.25">
      <c r="O178" s="21">
        <v>5.8480766068853631</v>
      </c>
    </row>
    <row r="179" spans="15:15" x14ac:dyDescent="0.25">
      <c r="O179" s="21">
        <v>5.8906705900092602</v>
      </c>
    </row>
    <row r="180" spans="15:15" x14ac:dyDescent="0.25">
      <c r="O180" s="21">
        <v>3.0495901363953815</v>
      </c>
    </row>
    <row r="181" spans="15:15" x14ac:dyDescent="0.25">
      <c r="O181" s="21">
        <v>3.5071355833500362</v>
      </c>
    </row>
    <row r="182" spans="15:15" x14ac:dyDescent="0.25">
      <c r="O182" s="21">
        <v>4.3011626335213133</v>
      </c>
    </row>
    <row r="183" spans="15:15" x14ac:dyDescent="0.25">
      <c r="O183" s="21">
        <v>1.1401754250991381</v>
      </c>
    </row>
    <row r="184" spans="15:15" x14ac:dyDescent="0.25">
      <c r="O184" s="21">
        <v>6.8044103344815969</v>
      </c>
    </row>
    <row r="185" spans="15:15" x14ac:dyDescent="0.25">
      <c r="O185" s="21">
        <v>3.8470768123342687</v>
      </c>
    </row>
    <row r="186" spans="15:15" x14ac:dyDescent="0.25">
      <c r="O186" s="21">
        <v>1.8708286933869707</v>
      </c>
    </row>
    <row r="187" spans="15:15" x14ac:dyDescent="0.25">
      <c r="O187" s="21">
        <v>5.0695167422546126</v>
      </c>
    </row>
    <row r="188" spans="15:15" x14ac:dyDescent="0.25">
      <c r="O188" s="21">
        <v>4.7644516998286432</v>
      </c>
    </row>
    <row r="189" spans="15:15" x14ac:dyDescent="0.25">
      <c r="O189" s="21">
        <v>7.7910204723129706</v>
      </c>
    </row>
    <row r="190" spans="15:15" x14ac:dyDescent="0.25">
      <c r="O190" s="21">
        <v>6.3796551630946361</v>
      </c>
    </row>
    <row r="191" spans="15:15" x14ac:dyDescent="0.25">
      <c r="O191" s="21">
        <v>3.3615472627943221</v>
      </c>
    </row>
    <row r="192" spans="15:15" x14ac:dyDescent="0.25">
      <c r="O192" s="21">
        <v>5.6568542494923806</v>
      </c>
    </row>
    <row r="193" spans="15:15" x14ac:dyDescent="0.25">
      <c r="O193" s="21">
        <v>4.2190046219457971</v>
      </c>
    </row>
    <row r="194" spans="15:15" x14ac:dyDescent="0.25">
      <c r="O194" s="21">
        <v>3.6742346141747673</v>
      </c>
    </row>
    <row r="195" spans="15:15" x14ac:dyDescent="0.25">
      <c r="O195" s="21">
        <v>2.9495762407505248</v>
      </c>
    </row>
    <row r="196" spans="15:15" x14ac:dyDescent="0.25">
      <c r="O196" s="21">
        <v>2.3452078799117149</v>
      </c>
    </row>
    <row r="197" spans="15:15" x14ac:dyDescent="0.25">
      <c r="O197" s="21">
        <v>5.0299105359837348</v>
      </c>
    </row>
    <row r="198" spans="15:15" x14ac:dyDescent="0.25">
      <c r="O198" s="21">
        <v>5.1283525619832293</v>
      </c>
    </row>
    <row r="199" spans="15:15" x14ac:dyDescent="0.25">
      <c r="O199" s="21">
        <v>6.6181568431097322</v>
      </c>
    </row>
    <row r="200" spans="15:15" x14ac:dyDescent="0.25">
      <c r="O200" s="21">
        <v>2.3021728866442679</v>
      </c>
    </row>
    <row r="201" spans="15:15" x14ac:dyDescent="0.25">
      <c r="O201" s="21">
        <v>2.5884358211089569</v>
      </c>
    </row>
    <row r="202" spans="15:15" x14ac:dyDescent="0.25">
      <c r="O202" s="21">
        <v>6</v>
      </c>
    </row>
    <row r="203" spans="15:15" x14ac:dyDescent="0.25">
      <c r="O203" s="21">
        <v>4.0620192023179804</v>
      </c>
    </row>
    <row r="204" spans="15:15" x14ac:dyDescent="0.25">
      <c r="O204" s="21">
        <v>3.7815340802378072</v>
      </c>
    </row>
    <row r="205" spans="15:15" x14ac:dyDescent="0.25">
      <c r="O205" s="21">
        <v>5.856620185738544</v>
      </c>
    </row>
    <row r="206" spans="15:15" x14ac:dyDescent="0.25">
      <c r="O206" s="21">
        <v>4.1472882706655438</v>
      </c>
    </row>
    <row r="207" spans="15:15" x14ac:dyDescent="0.25">
      <c r="O207" s="21">
        <v>5.2725705305856225</v>
      </c>
    </row>
    <row r="208" spans="15:15" x14ac:dyDescent="0.25">
      <c r="O208" s="21">
        <v>5.1672042731055301</v>
      </c>
    </row>
    <row r="209" spans="15:15" x14ac:dyDescent="0.25">
      <c r="O209" s="21">
        <v>4.0987803063838388</v>
      </c>
    </row>
    <row r="210" spans="15:15" x14ac:dyDescent="0.25">
      <c r="O210" s="21">
        <v>5.1672042731055079</v>
      </c>
    </row>
    <row r="211" spans="15:15" x14ac:dyDescent="0.25">
      <c r="O211" s="21">
        <v>4.0865633483405102</v>
      </c>
    </row>
    <row r="212" spans="15:15" x14ac:dyDescent="0.25">
      <c r="O212" s="21">
        <v>2.5884358211089569</v>
      </c>
    </row>
    <row r="213" spans="15:15" x14ac:dyDescent="0.25">
      <c r="O213" s="21">
        <v>5.805170109479981</v>
      </c>
    </row>
    <row r="214" spans="15:15" x14ac:dyDescent="0.25">
      <c r="O214" s="21">
        <v>3.7416573867739413</v>
      </c>
    </row>
    <row r="215" spans="15:15" x14ac:dyDescent="0.25">
      <c r="O215" s="21">
        <v>6.4652919500978419</v>
      </c>
    </row>
    <row r="216" spans="15:15" x14ac:dyDescent="0.25">
      <c r="O216" s="21">
        <v>2.4083189157584592</v>
      </c>
    </row>
    <row r="217" spans="15:15" x14ac:dyDescent="0.25">
      <c r="O217" s="21">
        <v>4.8682645778552152</v>
      </c>
    </row>
    <row r="218" spans="15:15" x14ac:dyDescent="0.25">
      <c r="O218" s="21">
        <v>7.2938330115241907</v>
      </c>
    </row>
    <row r="219" spans="15:15" x14ac:dyDescent="0.25">
      <c r="O219" s="21">
        <v>7.7781745930520225</v>
      </c>
    </row>
    <row r="220" spans="15:15" x14ac:dyDescent="0.25">
      <c r="O220" s="21">
        <v>4.0249223594996213</v>
      </c>
    </row>
    <row r="221" spans="15:15" x14ac:dyDescent="0.25">
      <c r="O221" s="21">
        <v>2.3452078799117149</v>
      </c>
    </row>
    <row r="222" spans="15:15" x14ac:dyDescent="0.25">
      <c r="O222" s="21">
        <v>3.0331501776206204</v>
      </c>
    </row>
    <row r="223" spans="15:15" x14ac:dyDescent="0.25">
      <c r="O223" s="21">
        <v>3.6331804249169899</v>
      </c>
    </row>
    <row r="224" spans="15:15" x14ac:dyDescent="0.25">
      <c r="O224" s="21">
        <v>4.3011626335213133</v>
      </c>
    </row>
    <row r="225" spans="15:15" x14ac:dyDescent="0.25">
      <c r="O225" s="21">
        <v>4.2190046219457971</v>
      </c>
    </row>
    <row r="226" spans="15:15" x14ac:dyDescent="0.25">
      <c r="O226" s="21">
        <v>3.9623225512317899</v>
      </c>
    </row>
    <row r="227" spans="15:15" x14ac:dyDescent="0.25">
      <c r="O227" s="21">
        <v>4.0987803063838397</v>
      </c>
    </row>
    <row r="228" spans="15:15" x14ac:dyDescent="0.25">
      <c r="O228" s="21">
        <v>6.180614856144981</v>
      </c>
    </row>
    <row r="229" spans="15:15" x14ac:dyDescent="0.25">
      <c r="O229" s="21">
        <v>3.5637059362410923</v>
      </c>
    </row>
    <row r="230" spans="15:15" x14ac:dyDescent="0.25">
      <c r="O230" s="21">
        <v>2.3874672772626644</v>
      </c>
    </row>
    <row r="231" spans="15:15" x14ac:dyDescent="0.25">
      <c r="O231" s="21">
        <v>3.3166247903553998</v>
      </c>
    </row>
    <row r="232" spans="15:15" x14ac:dyDescent="0.25">
      <c r="O232" s="21">
        <v>3.5355339059327378</v>
      </c>
    </row>
    <row r="233" spans="15:15" x14ac:dyDescent="0.25">
      <c r="O233" s="21">
        <v>3.3466401061363023</v>
      </c>
    </row>
    <row r="234" spans="15:15" x14ac:dyDescent="0.25">
      <c r="O234" s="21">
        <v>4.3358966777357599</v>
      </c>
    </row>
    <row r="235" spans="15:15" x14ac:dyDescent="0.25">
      <c r="O235" s="21">
        <v>3.1622776601683795</v>
      </c>
    </row>
    <row r="236" spans="15:15" x14ac:dyDescent="0.25">
      <c r="O236" s="21">
        <v>5.2440442408507577</v>
      </c>
    </row>
    <row r="237" spans="15:15" x14ac:dyDescent="0.25">
      <c r="O237" s="21">
        <v>3.3911649915626341</v>
      </c>
    </row>
    <row r="238" spans="15:15" x14ac:dyDescent="0.25">
      <c r="O238" s="21">
        <v>2.5495097567963922</v>
      </c>
    </row>
    <row r="239" spans="15:15" x14ac:dyDescent="0.25">
      <c r="O239" s="21">
        <v>5.4589376255824682</v>
      </c>
    </row>
    <row r="240" spans="15:15" x14ac:dyDescent="0.25">
      <c r="O240" s="21">
        <v>3.5637059362410923</v>
      </c>
    </row>
    <row r="241" spans="15:15" x14ac:dyDescent="0.25">
      <c r="O241" s="21">
        <v>4.0865633483405102</v>
      </c>
    </row>
    <row r="242" spans="15:15" x14ac:dyDescent="0.25">
      <c r="O242" s="21">
        <v>4.6151923036857303</v>
      </c>
    </row>
    <row r="243" spans="15:15" x14ac:dyDescent="0.25">
      <c r="O243" s="21">
        <v>3.5071355833500362</v>
      </c>
    </row>
    <row r="244" spans="15:15" x14ac:dyDescent="0.25">
      <c r="O244" s="21">
        <v>9.2357999112150644</v>
      </c>
    </row>
    <row r="245" spans="15:15" x14ac:dyDescent="0.25">
      <c r="O245" s="21">
        <v>4.7222875812470377</v>
      </c>
    </row>
    <row r="246" spans="15:15" x14ac:dyDescent="0.25">
      <c r="O246" s="21">
        <v>6.3007936008093308</v>
      </c>
    </row>
    <row r="247" spans="15:15" x14ac:dyDescent="0.25">
      <c r="O247" s="21">
        <v>3.4928498393145961</v>
      </c>
    </row>
    <row r="248" spans="15:15" x14ac:dyDescent="0.25">
      <c r="O248" s="21">
        <v>5.2249401910452695</v>
      </c>
    </row>
    <row r="249" spans="15:15" x14ac:dyDescent="0.25">
      <c r="O249" s="21">
        <v>4.5497252664309356</v>
      </c>
    </row>
    <row r="250" spans="15:15" x14ac:dyDescent="0.25">
      <c r="O250" s="21">
        <v>4.9295030175465131</v>
      </c>
    </row>
    <row r="251" spans="15:15" x14ac:dyDescent="0.25">
      <c r="O251" s="21">
        <v>5.3851648071345037</v>
      </c>
    </row>
    <row r="252" spans="15:15" x14ac:dyDescent="0.25">
      <c r="O252" s="21">
        <v>2.1908902300206643</v>
      </c>
    </row>
    <row r="253" spans="15:15" x14ac:dyDescent="0.25">
      <c r="O253" s="21">
        <v>4.4384682042344297</v>
      </c>
    </row>
    <row r="254" spans="15:15" x14ac:dyDescent="0.25">
      <c r="O254" s="21">
        <v>5.5497747702046594</v>
      </c>
    </row>
    <row r="255" spans="15:15" x14ac:dyDescent="0.25">
      <c r="O255" s="21">
        <v>7.4966659255965125</v>
      </c>
    </row>
    <row r="256" spans="15:15" x14ac:dyDescent="0.25">
      <c r="O256" s="21">
        <v>2.5884358211089569</v>
      </c>
    </row>
    <row r="257" spans="15:15" x14ac:dyDescent="0.25">
      <c r="O257" s="21">
        <v>3.9749213828703582</v>
      </c>
    </row>
    <row r="258" spans="15:15" x14ac:dyDescent="0.25">
      <c r="O258" s="21">
        <v>5.1768716422179093</v>
      </c>
    </row>
    <row r="259" spans="15:15" x14ac:dyDescent="0.25">
      <c r="O259" s="21">
        <v>2.7018512172212592</v>
      </c>
    </row>
    <row r="260" spans="15:15" x14ac:dyDescent="0.25">
      <c r="O260" s="21">
        <v>4.5055521304275237</v>
      </c>
    </row>
    <row r="261" spans="15:15" x14ac:dyDescent="0.25">
      <c r="O261" s="21">
        <v>3.7013511046643495</v>
      </c>
    </row>
    <row r="262" spans="15:15" x14ac:dyDescent="0.25">
      <c r="O262" s="21">
        <v>4.8682645778552152</v>
      </c>
    </row>
    <row r="263" spans="15:15" x14ac:dyDescent="0.25">
      <c r="O263" s="21">
        <v>5.1283525619832293</v>
      </c>
    </row>
    <row r="264" spans="15:15" x14ac:dyDescent="0.25">
      <c r="O264" s="21">
        <v>3.1144823004794873</v>
      </c>
    </row>
    <row r="265" spans="15:15" x14ac:dyDescent="0.25">
      <c r="O265" s="21">
        <v>6.0580524923443688</v>
      </c>
    </row>
    <row r="266" spans="15:15" x14ac:dyDescent="0.25">
      <c r="O266" s="21">
        <v>3.5071355833500366</v>
      </c>
    </row>
    <row r="267" spans="15:15" x14ac:dyDescent="0.25">
      <c r="O267" s="21">
        <v>4.4944410108488517</v>
      </c>
    </row>
    <row r="268" spans="15:15" x14ac:dyDescent="0.25">
      <c r="O268" s="21">
        <v>4.9295030175465131</v>
      </c>
    </row>
    <row r="269" spans="15:15" x14ac:dyDescent="0.25">
      <c r="O269" s="21">
        <v>2.8809720581775866</v>
      </c>
    </row>
    <row r="270" spans="15:15" x14ac:dyDescent="0.25">
      <c r="O270" s="21">
        <v>4.0987803063838397</v>
      </c>
    </row>
    <row r="271" spans="15:15" x14ac:dyDescent="0.25">
      <c r="O271" s="21">
        <v>4.3243496620879309</v>
      </c>
    </row>
    <row r="272" spans="15:15" x14ac:dyDescent="0.25">
      <c r="O272" s="21">
        <v>4.3931765272977588</v>
      </c>
    </row>
    <row r="273" spans="15:15" x14ac:dyDescent="0.25">
      <c r="O273" s="21">
        <v>6.6105975524153502</v>
      </c>
    </row>
    <row r="274" spans="15:15" x14ac:dyDescent="0.25">
      <c r="O274" s="21">
        <v>3.3615472627943221</v>
      </c>
    </row>
    <row r="275" spans="15:15" x14ac:dyDescent="0.25">
      <c r="O275" s="21">
        <v>6.3796551630946183</v>
      </c>
    </row>
    <row r="276" spans="15:15" x14ac:dyDescent="0.25">
      <c r="O276" s="21">
        <v>2.6076809620810595</v>
      </c>
    </row>
    <row r="277" spans="15:15" x14ac:dyDescent="0.25">
      <c r="O277" s="21">
        <v>4.636809247747852</v>
      </c>
    </row>
    <row r="278" spans="15:15" x14ac:dyDescent="0.25">
      <c r="O278" s="21">
        <v>3.7815340802378077</v>
      </c>
    </row>
    <row r="279" spans="15:15" x14ac:dyDescent="0.25">
      <c r="O279" s="21">
        <v>2.6832815729997477</v>
      </c>
    </row>
    <row r="280" spans="15:15" x14ac:dyDescent="0.25">
      <c r="O280" s="21">
        <v>5.9329587896765341</v>
      </c>
    </row>
    <row r="281" spans="15:15" x14ac:dyDescent="0.25">
      <c r="O281" s="21">
        <v>4.8270073544588632</v>
      </c>
    </row>
    <row r="282" spans="15:15" x14ac:dyDescent="0.25">
      <c r="O282" s="21">
        <v>3.9623225512317899</v>
      </c>
    </row>
    <row r="283" spans="15:15" x14ac:dyDescent="0.25">
      <c r="O283" s="21">
        <v>5.3665631459995122</v>
      </c>
    </row>
    <row r="284" spans="15:15" x14ac:dyDescent="0.25">
      <c r="O284" s="21">
        <v>4.2071367935925261</v>
      </c>
    </row>
    <row r="285" spans="15:15" x14ac:dyDescent="0.25">
      <c r="O285" s="21">
        <v>5.5407580708780113</v>
      </c>
    </row>
    <row r="286" spans="15:15" x14ac:dyDescent="0.25">
      <c r="O286" s="21">
        <v>2.5884358211089569</v>
      </c>
    </row>
    <row r="287" spans="15:15" x14ac:dyDescent="0.25">
      <c r="O287" s="21">
        <v>4.4497190922573973</v>
      </c>
    </row>
    <row r="288" spans="15:15" x14ac:dyDescent="0.25">
      <c r="O288" s="21">
        <v>5.196152422706632</v>
      </c>
    </row>
    <row r="289" spans="15:15" x14ac:dyDescent="0.25">
      <c r="O289" s="21">
        <v>2.4494897427831779</v>
      </c>
    </row>
    <row r="290" spans="15:15" x14ac:dyDescent="0.25">
      <c r="O290" s="21">
        <v>3.2093613071762421</v>
      </c>
    </row>
    <row r="291" spans="15:15" x14ac:dyDescent="0.25">
      <c r="O291" s="21">
        <v>6.0415229867972862</v>
      </c>
    </row>
    <row r="292" spans="15:15" x14ac:dyDescent="0.25">
      <c r="O292" s="21">
        <v>3.7416573867739413</v>
      </c>
    </row>
    <row r="293" spans="15:15" x14ac:dyDescent="0.25">
      <c r="O293" s="21">
        <v>3.1144823004794873</v>
      </c>
    </row>
    <row r="294" spans="15:15" x14ac:dyDescent="0.25">
      <c r="O294" s="21">
        <v>2.8809720581775866</v>
      </c>
    </row>
    <row r="295" spans="15:15" x14ac:dyDescent="0.25">
      <c r="O295" s="21">
        <v>2.5099800796022271</v>
      </c>
    </row>
    <row r="296" spans="15:15" x14ac:dyDescent="0.25">
      <c r="O296" s="21">
        <v>6.2048368229954285</v>
      </c>
    </row>
    <row r="297" spans="15:15" x14ac:dyDescent="0.25">
      <c r="O297" s="21">
        <v>4.9799598391955113</v>
      </c>
    </row>
    <row r="298" spans="15:15" x14ac:dyDescent="0.25">
      <c r="O298" s="21">
        <v>4.1593268686170841</v>
      </c>
    </row>
    <row r="299" spans="15:15" x14ac:dyDescent="0.25">
      <c r="O299" s="21">
        <v>2.1679483388678804</v>
      </c>
    </row>
    <row r="300" spans="15:15" x14ac:dyDescent="0.25">
      <c r="O300" s="21">
        <v>3.9115214431215892</v>
      </c>
    </row>
    <row r="301" spans="15:15" x14ac:dyDescent="0.25">
      <c r="O301" s="21">
        <v>3.1622776601683795</v>
      </c>
    </row>
    <row r="302" spans="15:15" x14ac:dyDescent="0.25">
      <c r="O302" s="21">
        <v>5.0695167422546348</v>
      </c>
    </row>
    <row r="303" spans="15:15" x14ac:dyDescent="0.25">
      <c r="O303" s="21">
        <v>4.266145801540314</v>
      </c>
    </row>
    <row r="304" spans="15:15" x14ac:dyDescent="0.25">
      <c r="O304" s="21">
        <v>1.3038404810405297</v>
      </c>
    </row>
    <row r="305" spans="15:15" x14ac:dyDescent="0.25">
      <c r="O305" s="21">
        <v>4.9699094559156523</v>
      </c>
    </row>
    <row r="306" spans="15:15" x14ac:dyDescent="0.25">
      <c r="O306" s="21">
        <v>4.8270073544588872</v>
      </c>
    </row>
    <row r="307" spans="15:15" x14ac:dyDescent="0.25">
      <c r="O307" s="21">
        <v>5.5045435778091498</v>
      </c>
    </row>
    <row r="308" spans="15:15" x14ac:dyDescent="0.25">
      <c r="O308" s="21">
        <v>3.1622776601683795</v>
      </c>
    </row>
    <row r="309" spans="15:15" x14ac:dyDescent="0.25">
      <c r="O309" s="21">
        <v>4.0373258476372698</v>
      </c>
    </row>
    <row r="310" spans="15:15" x14ac:dyDescent="0.25">
      <c r="O310" s="21">
        <v>2.8809720581775866</v>
      </c>
    </row>
    <row r="311" spans="15:15" x14ac:dyDescent="0.25">
      <c r="O311" s="21">
        <v>6.9856996786291887</v>
      </c>
    </row>
    <row r="312" spans="15:15" x14ac:dyDescent="0.25">
      <c r="O312" s="21">
        <v>3.9749213828703578</v>
      </c>
    </row>
    <row r="313" spans="15:15" x14ac:dyDescent="0.25">
      <c r="O313" s="21">
        <v>4.2071367935925261</v>
      </c>
    </row>
    <row r="314" spans="15:15" x14ac:dyDescent="0.25">
      <c r="O314" s="21">
        <v>2.8284271247461903</v>
      </c>
    </row>
    <row r="315" spans="15:15" x14ac:dyDescent="0.25">
      <c r="O315" s="21">
        <v>4.2426406871192848</v>
      </c>
    </row>
    <row r="316" spans="15:15" x14ac:dyDescent="0.25">
      <c r="O316" s="21">
        <v>4.4384682042344297</v>
      </c>
    </row>
    <row r="317" spans="15:15" x14ac:dyDescent="0.25">
      <c r="O317" s="21">
        <v>4.3358966777357599</v>
      </c>
    </row>
    <row r="318" spans="15:15" x14ac:dyDescent="0.25">
      <c r="O318" s="21">
        <v>3.082207001484488</v>
      </c>
    </row>
    <row r="319" spans="15:15" x14ac:dyDescent="0.25">
      <c r="O319" s="21">
        <v>2.8635642126552705</v>
      </c>
    </row>
    <row r="320" spans="15:15" x14ac:dyDescent="0.25">
      <c r="O320" s="21">
        <v>3.646916505762094</v>
      </c>
    </row>
    <row r="321" spans="15:15" x14ac:dyDescent="0.25">
      <c r="O321" s="21">
        <v>5.5856960175075603</v>
      </c>
    </row>
    <row r="322" spans="15:15" x14ac:dyDescent="0.25">
      <c r="O322" s="21">
        <v>3.9623225512317894</v>
      </c>
    </row>
    <row r="323" spans="15:15" x14ac:dyDescent="0.25">
      <c r="O323" s="21">
        <v>3.8987177379235853</v>
      </c>
    </row>
    <row r="324" spans="15:15" x14ac:dyDescent="0.25">
      <c r="O324" s="21">
        <v>5.8906705900092406</v>
      </c>
    </row>
    <row r="325" spans="15:15" x14ac:dyDescent="0.25">
      <c r="O325" s="21">
        <v>4.9497474683058327</v>
      </c>
    </row>
    <row r="326" spans="15:15" x14ac:dyDescent="0.25">
      <c r="O326" s="21">
        <v>4.4944410108488464</v>
      </c>
    </row>
    <row r="327" spans="15:15" x14ac:dyDescent="0.25">
      <c r="O327" s="21">
        <v>3.6055512754639891</v>
      </c>
    </row>
    <row r="328" spans="15:15" x14ac:dyDescent="0.25">
      <c r="O328" s="21">
        <v>4.7644516998286193</v>
      </c>
    </row>
    <row r="329" spans="15:15" x14ac:dyDescent="0.25">
      <c r="O329" s="21">
        <v>4.0865633483405102</v>
      </c>
    </row>
    <row r="330" spans="15:15" x14ac:dyDescent="0.25">
      <c r="O330" s="21">
        <v>2.9495762407505248</v>
      </c>
    </row>
    <row r="331" spans="15:15" x14ac:dyDescent="0.25">
      <c r="O331" s="21">
        <v>4.1593268686170841</v>
      </c>
    </row>
    <row r="332" spans="15:15" x14ac:dyDescent="0.25">
      <c r="O332" s="21">
        <v>5.0990195135927845</v>
      </c>
    </row>
    <row r="333" spans="15:15" x14ac:dyDescent="0.25">
      <c r="O333" s="21">
        <v>5.4954526656136382</v>
      </c>
    </row>
    <row r="334" spans="15:15" x14ac:dyDescent="0.25">
      <c r="O334" s="21">
        <v>5.6833088953531448</v>
      </c>
    </row>
    <row r="335" spans="15:15" x14ac:dyDescent="0.25">
      <c r="O335" s="21">
        <v>3.8470768123342687</v>
      </c>
    </row>
    <row r="336" spans="15:15" x14ac:dyDescent="0.25">
      <c r="O336" s="21">
        <v>0.89442719099991586</v>
      </c>
    </row>
    <row r="337" spans="15:15" x14ac:dyDescent="0.25">
      <c r="O337" s="21">
        <v>1.9235384061671343</v>
      </c>
    </row>
    <row r="338" spans="15:15" x14ac:dyDescent="0.25">
      <c r="O338" s="21">
        <v>1.9493588689617927</v>
      </c>
    </row>
    <row r="339" spans="15:15" x14ac:dyDescent="0.25">
      <c r="O339" s="21">
        <v>5.8906705900092406</v>
      </c>
    </row>
    <row r="340" spans="15:15" x14ac:dyDescent="0.25">
      <c r="O340" s="21">
        <v>4.0620192023179804</v>
      </c>
    </row>
    <row r="341" spans="15:15" x14ac:dyDescent="0.25">
      <c r="O341" s="21">
        <v>4.7222875812470333</v>
      </c>
    </row>
    <row r="342" spans="15:15" x14ac:dyDescent="0.25">
      <c r="O342" s="21">
        <v>6.7305274681855325</v>
      </c>
    </row>
    <row r="343" spans="15:15" x14ac:dyDescent="0.25">
      <c r="O343" s="21">
        <v>6.4031242374328485</v>
      </c>
    </row>
    <row r="344" spans="15:15" x14ac:dyDescent="0.25">
      <c r="O344" s="21">
        <v>3.2093613071762426</v>
      </c>
    </row>
    <row r="345" spans="15:15" x14ac:dyDescent="0.25">
      <c r="O345" s="21">
        <v>3.5637059362410923</v>
      </c>
    </row>
    <row r="346" spans="15:15" x14ac:dyDescent="0.25">
      <c r="O346" s="21">
        <v>3.5355339059327378</v>
      </c>
    </row>
    <row r="347" spans="15:15" x14ac:dyDescent="0.25">
      <c r="O347" s="21">
        <v>1.4142135623730951</v>
      </c>
    </row>
    <row r="348" spans="15:15" x14ac:dyDescent="0.25">
      <c r="O348" s="21">
        <v>4.7116875957558797</v>
      </c>
    </row>
    <row r="349" spans="15:15" x14ac:dyDescent="0.25">
      <c r="O349" s="21">
        <v>2.3021728866442679</v>
      </c>
    </row>
    <row r="350" spans="15:15" x14ac:dyDescent="0.25">
      <c r="O350" s="21">
        <v>8.5322916030806137</v>
      </c>
    </row>
    <row r="351" spans="15:15" x14ac:dyDescent="0.25">
      <c r="O351" s="21">
        <v>2.0736441353327724</v>
      </c>
    </row>
    <row r="352" spans="15:15" x14ac:dyDescent="0.25">
      <c r="O352" s="21">
        <v>5.8906705900092602</v>
      </c>
    </row>
    <row r="353" spans="15:15" x14ac:dyDescent="0.25">
      <c r="O353" s="21">
        <v>4.5825756949558398</v>
      </c>
    </row>
    <row r="354" spans="15:15" x14ac:dyDescent="0.25">
      <c r="O354" s="21">
        <v>3.271085446759225</v>
      </c>
    </row>
    <row r="355" spans="15:15" x14ac:dyDescent="0.25">
      <c r="O355" s="21">
        <v>4.1593268686170841</v>
      </c>
    </row>
    <row r="356" spans="15:15" x14ac:dyDescent="0.25">
      <c r="O356" s="21">
        <v>2.3874672772626644</v>
      </c>
    </row>
    <row r="357" spans="15:15" x14ac:dyDescent="0.25">
      <c r="O357" s="21">
        <v>4.0249223594996213</v>
      </c>
    </row>
    <row r="358" spans="15:15" x14ac:dyDescent="0.25">
      <c r="O358" s="21">
        <v>3.03315017762062</v>
      </c>
    </row>
    <row r="359" spans="15:15" x14ac:dyDescent="0.25">
      <c r="O359" s="21">
        <v>2.9154759474226504</v>
      </c>
    </row>
    <row r="360" spans="15:15" x14ac:dyDescent="0.25">
      <c r="O360" s="21">
        <v>2.6076809620810595</v>
      </c>
    </row>
    <row r="361" spans="15:15" x14ac:dyDescent="0.25">
      <c r="O361" s="21">
        <v>2.6076809620810595</v>
      </c>
    </row>
    <row r="362" spans="15:15" x14ac:dyDescent="0.25">
      <c r="O362" s="21">
        <v>1.8708286933869707</v>
      </c>
    </row>
    <row r="363" spans="15:15" x14ac:dyDescent="0.25">
      <c r="O363" s="21">
        <v>3.1304951684997055</v>
      </c>
    </row>
    <row r="364" spans="15:15" x14ac:dyDescent="0.25">
      <c r="O364" s="21">
        <v>2.3021728866442674</v>
      </c>
    </row>
    <row r="365" spans="15:15" x14ac:dyDescent="0.25">
      <c r="O365" s="21">
        <v>7.5033325929216401</v>
      </c>
    </row>
    <row r="366" spans="15:15" x14ac:dyDescent="0.25">
      <c r="O366" s="21">
        <v>8.408329203831153</v>
      </c>
    </row>
    <row r="367" spans="15:15" x14ac:dyDescent="0.25">
      <c r="O367" s="21">
        <v>5.7619441163551777</v>
      </c>
    </row>
    <row r="368" spans="15:15" x14ac:dyDescent="0.25">
      <c r="O368" s="21">
        <v>2.9664793948382648</v>
      </c>
    </row>
    <row r="369" spans="15:15" x14ac:dyDescent="0.25">
      <c r="O369" s="21">
        <v>5.6745043836444466</v>
      </c>
    </row>
    <row r="370" spans="15:15" x14ac:dyDescent="0.25">
      <c r="O370" s="21">
        <v>1.9235384061671343</v>
      </c>
    </row>
    <row r="371" spans="15:15" x14ac:dyDescent="0.25">
      <c r="O371" s="21">
        <v>5.770615218501419</v>
      </c>
    </row>
    <row r="372" spans="15:15" x14ac:dyDescent="0.25">
      <c r="O372" s="21">
        <v>4.7644516998286388</v>
      </c>
    </row>
    <row r="373" spans="15:15" x14ac:dyDescent="0.25">
      <c r="O373" s="21">
        <v>6.6105975524153502</v>
      </c>
    </row>
    <row r="374" spans="15:15" x14ac:dyDescent="0.25">
      <c r="O374" s="21">
        <v>4.0987803063838388</v>
      </c>
    </row>
    <row r="375" spans="15:15" x14ac:dyDescent="0.25">
      <c r="O375" s="21">
        <v>5.0695167422546348</v>
      </c>
    </row>
    <row r="376" spans="15:15" x14ac:dyDescent="0.25">
      <c r="O376" s="21">
        <v>3.1937438845342623</v>
      </c>
    </row>
    <row r="377" spans="15:15" x14ac:dyDescent="0.25">
      <c r="O377" s="21">
        <v>3.4928498393145961</v>
      </c>
    </row>
    <row r="378" spans="15:15" x14ac:dyDescent="0.25">
      <c r="O378" s="21">
        <v>4.2661458015403086</v>
      </c>
    </row>
    <row r="379" spans="15:15" x14ac:dyDescent="0.25">
      <c r="O379" s="21">
        <v>2.7386127875258306</v>
      </c>
    </row>
    <row r="380" spans="15:15" x14ac:dyDescent="0.25">
      <c r="O380" s="21">
        <v>5.0497524691810387</v>
      </c>
    </row>
    <row r="381" spans="15:15" x14ac:dyDescent="0.25">
      <c r="O381" s="21">
        <v>5.2725705305856225</v>
      </c>
    </row>
    <row r="382" spans="15:15" x14ac:dyDescent="0.25">
      <c r="O382" s="21">
        <v>5.9160797830996161</v>
      </c>
    </row>
    <row r="383" spans="15:15" x14ac:dyDescent="0.25">
      <c r="O383" s="21">
        <v>2.9495762407505248</v>
      </c>
    </row>
    <row r="384" spans="15:15" x14ac:dyDescent="0.25">
      <c r="O384" s="21">
        <v>3.5637059362410919</v>
      </c>
    </row>
    <row r="385" spans="15:15" x14ac:dyDescent="0.25">
      <c r="O385" s="21">
        <v>5.0990195135927845</v>
      </c>
    </row>
    <row r="386" spans="15:15" x14ac:dyDescent="0.25">
      <c r="O386" s="21">
        <v>5.6302753041037032</v>
      </c>
    </row>
    <row r="387" spans="15:15" x14ac:dyDescent="0.25">
      <c r="O387" s="21">
        <v>5.3572380943915539</v>
      </c>
    </row>
    <row r="388" spans="15:15" x14ac:dyDescent="0.25">
      <c r="O388" s="21">
        <v>2.7018512172212592</v>
      </c>
    </row>
    <row r="389" spans="15:15" x14ac:dyDescent="0.25">
      <c r="O389" s="21">
        <v>1.8165902124584952</v>
      </c>
    </row>
    <row r="390" spans="15:15" x14ac:dyDescent="0.25">
      <c r="O390" s="21">
        <v>6.228964600958971</v>
      </c>
    </row>
    <row r="391" spans="15:15" x14ac:dyDescent="0.25">
      <c r="O391" s="21">
        <v>3.6469165057620936</v>
      </c>
    </row>
    <row r="392" spans="15:15" x14ac:dyDescent="0.25">
      <c r="O392" s="21">
        <v>6.8044103344816138</v>
      </c>
    </row>
    <row r="393" spans="15:15" x14ac:dyDescent="0.25">
      <c r="O393" s="21">
        <v>4.7222875812470333</v>
      </c>
    </row>
    <row r="394" spans="15:15" x14ac:dyDescent="0.25">
      <c r="O394" s="21">
        <v>5.0990195135927845</v>
      </c>
    </row>
    <row r="395" spans="15:15" x14ac:dyDescent="0.25">
      <c r="O395" s="21">
        <v>3.3911649915626341</v>
      </c>
    </row>
    <row r="396" spans="15:15" x14ac:dyDescent="0.25">
      <c r="O396" s="21">
        <v>6.7601775124622314</v>
      </c>
    </row>
    <row r="397" spans="15:15" x14ac:dyDescent="0.25">
      <c r="O397" s="21">
        <v>3.7682887362833544</v>
      </c>
    </row>
    <row r="398" spans="15:15" x14ac:dyDescent="0.25">
      <c r="O398" s="21">
        <v>3.4351128074635335</v>
      </c>
    </row>
    <row r="399" spans="15:15" x14ac:dyDescent="0.25">
      <c r="O399" s="21">
        <v>6.3796551630946183</v>
      </c>
    </row>
    <row r="400" spans="15:15" x14ac:dyDescent="0.25">
      <c r="O400" s="21">
        <v>3.2863353450309964</v>
      </c>
    </row>
    <row r="401" spans="15:15" x14ac:dyDescent="0.25">
      <c r="O401" s="21">
        <v>2.3874672772626648</v>
      </c>
    </row>
    <row r="402" spans="15:15" x14ac:dyDescent="0.25">
      <c r="O402" s="21">
        <v>4.1593268686170841</v>
      </c>
    </row>
    <row r="403" spans="15:15" x14ac:dyDescent="0.25">
      <c r="O403" s="21">
        <v>2.7748873851023217</v>
      </c>
    </row>
    <row r="404" spans="15:15" x14ac:dyDescent="0.25">
      <c r="O404" s="21">
        <v>1.8165902124584949</v>
      </c>
    </row>
    <row r="405" spans="15:15" x14ac:dyDescent="0.25">
      <c r="O405" s="21">
        <v>4.3243496620879309</v>
      </c>
    </row>
    <row r="406" spans="15:15" x14ac:dyDescent="0.25">
      <c r="O406" s="21">
        <v>1.8165902124584949</v>
      </c>
    </row>
    <row r="407" spans="15:15" x14ac:dyDescent="0.25">
      <c r="O407" s="21">
        <v>2.3452078799117149</v>
      </c>
    </row>
    <row r="408" spans="15:15" x14ac:dyDescent="0.25">
      <c r="O408" s="21">
        <v>6.4807406984078604</v>
      </c>
    </row>
    <row r="409" spans="15:15" x14ac:dyDescent="0.25">
      <c r="O409" s="21">
        <v>6.7970581871865576</v>
      </c>
    </row>
    <row r="410" spans="15:15" x14ac:dyDescent="0.25">
      <c r="O410" s="21">
        <v>6.2849025449882676</v>
      </c>
    </row>
    <row r="411" spans="15:15" x14ac:dyDescent="0.25">
      <c r="O411" s="21">
        <v>3.2093613071762426</v>
      </c>
    </row>
    <row r="412" spans="15:15" x14ac:dyDescent="0.25">
      <c r="O412" s="21">
        <v>4.658325879540846</v>
      </c>
    </row>
    <row r="413" spans="15:15" x14ac:dyDescent="0.25">
      <c r="O413" s="21">
        <v>7.4027022093287114</v>
      </c>
    </row>
    <row r="414" spans="15:15" x14ac:dyDescent="0.25">
      <c r="O414" s="21">
        <v>3.8340579025361627</v>
      </c>
    </row>
    <row r="415" spans="15:15" x14ac:dyDescent="0.25">
      <c r="O415" s="21">
        <v>5.3103672189407058</v>
      </c>
    </row>
    <row r="416" spans="15:15" x14ac:dyDescent="0.25">
      <c r="O416" s="21">
        <v>3.9623225512317894</v>
      </c>
    </row>
    <row r="417" spans="15:15" x14ac:dyDescent="0.25">
      <c r="O417" s="21">
        <v>3.2093613071762426</v>
      </c>
    </row>
    <row r="418" spans="15:15" x14ac:dyDescent="0.25">
      <c r="O418" s="21">
        <v>4.4721359549995796</v>
      </c>
    </row>
    <row r="419" spans="15:15" x14ac:dyDescent="0.25">
      <c r="O419" s="21">
        <v>7.9498427657407049</v>
      </c>
    </row>
    <row r="420" spans="15:15" x14ac:dyDescent="0.25">
      <c r="O420" s="21">
        <v>6.1886993787063354</v>
      </c>
    </row>
    <row r="421" spans="15:15" x14ac:dyDescent="0.25">
      <c r="O421" s="21">
        <v>5.1283525619832293</v>
      </c>
    </row>
    <row r="422" spans="15:15" x14ac:dyDescent="0.25">
      <c r="O422" s="21">
        <v>3.3615472627943221</v>
      </c>
    </row>
    <row r="423" spans="15:15" x14ac:dyDescent="0.25">
      <c r="O423" s="21">
        <v>3.4928498393145961</v>
      </c>
    </row>
    <row r="424" spans="15:15" x14ac:dyDescent="0.25">
      <c r="O424" s="21">
        <v>6.0580524923443875</v>
      </c>
    </row>
    <row r="425" spans="15:15" x14ac:dyDescent="0.25">
      <c r="O425" s="21">
        <v>2.9495762407505248</v>
      </c>
    </row>
    <row r="426" spans="15:15" x14ac:dyDescent="0.25">
      <c r="O426" s="21">
        <v>4.7644516998286432</v>
      </c>
    </row>
    <row r="427" spans="15:15" x14ac:dyDescent="0.25">
      <c r="O427" s="21">
        <v>3.7013511046643495</v>
      </c>
    </row>
    <row r="428" spans="15:15" x14ac:dyDescent="0.25">
      <c r="O428" s="21">
        <v>3.6742346141747673</v>
      </c>
    </row>
    <row r="429" spans="15:15" x14ac:dyDescent="0.25">
      <c r="O429" s="21">
        <v>3.271085446759225</v>
      </c>
    </row>
    <row r="430" spans="15:15" x14ac:dyDescent="0.25">
      <c r="O430" s="21">
        <v>7.8930349042684576</v>
      </c>
    </row>
    <row r="431" spans="15:15" x14ac:dyDescent="0.25">
      <c r="O431" s="21">
        <v>5.3385391260156556</v>
      </c>
    </row>
    <row r="432" spans="15:15" x14ac:dyDescent="0.25">
      <c r="O432" s="21">
        <v>6.1400325732034853</v>
      </c>
    </row>
    <row r="433" spans="15:15" x14ac:dyDescent="0.25">
      <c r="O433" s="21">
        <v>2.1213203435596424</v>
      </c>
    </row>
    <row r="434" spans="15:15" x14ac:dyDescent="0.25">
      <c r="O434" s="21">
        <v>7.3959448348402264</v>
      </c>
    </row>
    <row r="435" spans="15:15" x14ac:dyDescent="0.25">
      <c r="O435" s="21">
        <v>6.5038450166036359</v>
      </c>
    </row>
    <row r="436" spans="15:15" x14ac:dyDescent="0.25">
      <c r="O436" s="21">
        <v>4.4158804331639239</v>
      </c>
    </row>
    <row r="437" spans="15:15" x14ac:dyDescent="0.25">
      <c r="O437" s="21">
        <v>2.3452078799117149</v>
      </c>
    </row>
    <row r="438" spans="15:15" x14ac:dyDescent="0.25">
      <c r="O438" s="21">
        <v>4.9799598391955113</v>
      </c>
    </row>
    <row r="439" spans="15:15" x14ac:dyDescent="0.25">
      <c r="O439" s="21">
        <v>2.6076809620810595</v>
      </c>
    </row>
    <row r="440" spans="15:15" x14ac:dyDescent="0.25">
      <c r="O440" s="21">
        <v>4.3243496620879309</v>
      </c>
    </row>
    <row r="441" spans="15:15" x14ac:dyDescent="0.25">
      <c r="O441" s="21">
        <v>3.5777087639996634</v>
      </c>
    </row>
    <row r="442" spans="15:15" x14ac:dyDescent="0.25">
      <c r="O442" s="21">
        <v>3.9623225512317894</v>
      </c>
    </row>
    <row r="443" spans="15:15" x14ac:dyDescent="0.25">
      <c r="O443" s="21">
        <v>3.5777087639996634</v>
      </c>
    </row>
    <row r="444" spans="15:15" x14ac:dyDescent="0.25">
      <c r="O444" s="21">
        <v>3</v>
      </c>
    </row>
    <row r="445" spans="15:15" x14ac:dyDescent="0.25">
      <c r="O445" s="21">
        <v>5.7879184513951127</v>
      </c>
    </row>
    <row r="446" spans="15:15" x14ac:dyDescent="0.25">
      <c r="O446" s="21">
        <v>4.3011626335213133</v>
      </c>
    </row>
    <row r="447" spans="15:15" x14ac:dyDescent="0.25">
      <c r="O447" s="21">
        <v>5.873670062235365</v>
      </c>
    </row>
    <row r="448" spans="15:15" x14ac:dyDescent="0.25">
      <c r="O448" s="21">
        <v>5.7619441163551572</v>
      </c>
    </row>
    <row r="449" spans="15:15" x14ac:dyDescent="0.25">
      <c r="O449" s="21">
        <v>1.5165750888103102</v>
      </c>
    </row>
    <row r="450" spans="15:15" x14ac:dyDescent="0.25">
      <c r="O450" s="21">
        <v>2.3021728866442679</v>
      </c>
    </row>
    <row r="451" spans="15:15" x14ac:dyDescent="0.25">
      <c r="O451" s="21">
        <v>2.5099800796022267</v>
      </c>
    </row>
    <row r="452" spans="15:15" x14ac:dyDescent="0.25">
      <c r="O452" s="21">
        <v>7.1203932475671623</v>
      </c>
    </row>
    <row r="453" spans="15:15" x14ac:dyDescent="0.25">
      <c r="O453" s="21">
        <v>2.8809720581775866</v>
      </c>
    </row>
    <row r="454" spans="15:15" x14ac:dyDescent="0.25">
      <c r="O454" s="21">
        <v>3.6331804249169903</v>
      </c>
    </row>
    <row r="455" spans="15:15" x14ac:dyDescent="0.25">
      <c r="O455" s="21">
        <v>9.5551033484730006</v>
      </c>
    </row>
    <row r="456" spans="15:15" x14ac:dyDescent="0.25">
      <c r="O456" s="21">
        <v>3.3615472627943221</v>
      </c>
    </row>
    <row r="457" spans="15:15" x14ac:dyDescent="0.25">
      <c r="O457" s="21">
        <v>2.5884358211089569</v>
      </c>
    </row>
    <row r="458" spans="15:15" x14ac:dyDescent="0.25">
      <c r="O458" s="21">
        <v>3.5637059362410923</v>
      </c>
    </row>
    <row r="459" spans="15:15" x14ac:dyDescent="0.25">
      <c r="O459" s="21">
        <v>2.5495097567963922</v>
      </c>
    </row>
    <row r="460" spans="15:15" x14ac:dyDescent="0.25">
      <c r="O460" s="21">
        <v>5.2440442408507577</v>
      </c>
    </row>
    <row r="461" spans="15:15" x14ac:dyDescent="0.25">
      <c r="O461" s="21">
        <v>3.7815340802378077</v>
      </c>
    </row>
    <row r="462" spans="15:15" x14ac:dyDescent="0.25">
      <c r="O462" s="21">
        <v>2.9154759474226504</v>
      </c>
    </row>
    <row r="463" spans="15:15" x14ac:dyDescent="0.25">
      <c r="O463" s="21">
        <v>3.3615472627943221</v>
      </c>
    </row>
    <row r="464" spans="15:15" x14ac:dyDescent="0.25">
      <c r="O464" s="21">
        <v>1.9235384061671343</v>
      </c>
    </row>
    <row r="465" spans="15:15" x14ac:dyDescent="0.25">
      <c r="O465" s="21">
        <v>4.0865633483405102</v>
      </c>
    </row>
    <row r="466" spans="15:15" x14ac:dyDescent="0.25">
      <c r="O466" s="21">
        <v>4.0865633483405102</v>
      </c>
    </row>
    <row r="467" spans="15:15" x14ac:dyDescent="0.25">
      <c r="O467" s="21">
        <v>2.7928480087537886</v>
      </c>
    </row>
    <row r="468" spans="15:15" x14ac:dyDescent="0.25">
      <c r="O468" s="21">
        <v>4.7644516998286379</v>
      </c>
    </row>
    <row r="469" spans="15:15" x14ac:dyDescent="0.25">
      <c r="O469" s="21">
        <v>5.5045435778091703</v>
      </c>
    </row>
    <row r="470" spans="15:15" x14ac:dyDescent="0.25">
      <c r="O470" s="21">
        <v>4.8682645778552391</v>
      </c>
    </row>
    <row r="471" spans="15:15" x14ac:dyDescent="0.25">
      <c r="O471" s="21">
        <v>3.8470768123342691</v>
      </c>
    </row>
    <row r="472" spans="15:15" x14ac:dyDescent="0.25">
      <c r="O472" s="21">
        <v>7.3143694191638966</v>
      </c>
    </row>
    <row r="473" spans="15:15" x14ac:dyDescent="0.25">
      <c r="O473" s="21">
        <v>4.7644516998286432</v>
      </c>
    </row>
    <row r="474" spans="15:15" x14ac:dyDescent="0.25">
      <c r="O474" s="21">
        <v>7.1274118724821971</v>
      </c>
    </row>
    <row r="475" spans="15:15" x14ac:dyDescent="0.25">
      <c r="O475" s="21">
        <v>2.7018512172212592</v>
      </c>
    </row>
    <row r="476" spans="15:15" x14ac:dyDescent="0.25">
      <c r="O476" s="21">
        <v>4.2071367935925261</v>
      </c>
    </row>
    <row r="477" spans="15:15" x14ac:dyDescent="0.25">
      <c r="O477" s="21">
        <v>1.8708286933869707</v>
      </c>
    </row>
    <row r="478" spans="15:15" x14ac:dyDescent="0.25">
      <c r="O478" s="21">
        <v>4.2778499272414869</v>
      </c>
    </row>
    <row r="479" spans="15:15" x14ac:dyDescent="0.25">
      <c r="O479" s="21">
        <v>2.8635642126552705</v>
      </c>
    </row>
    <row r="480" spans="15:15" x14ac:dyDescent="0.25">
      <c r="O480" s="21">
        <v>2.8809720581775866</v>
      </c>
    </row>
    <row r="481" spans="15:15" x14ac:dyDescent="0.25">
      <c r="O481" s="21">
        <v>3.9115214431215892</v>
      </c>
    </row>
    <row r="482" spans="15:15" x14ac:dyDescent="0.25">
      <c r="O482" s="21">
        <v>5.4313902456001077</v>
      </c>
    </row>
    <row r="483" spans="15:15" x14ac:dyDescent="0.25">
      <c r="O483" s="21">
        <v>2.7748873851023217</v>
      </c>
    </row>
    <row r="484" spans="15:15" x14ac:dyDescent="0.25">
      <c r="O484" s="21">
        <v>4.4158804331639239</v>
      </c>
    </row>
    <row r="485" spans="15:15" x14ac:dyDescent="0.25">
      <c r="O485" s="21">
        <v>1.8708286933869707</v>
      </c>
    </row>
    <row r="486" spans="15:15" x14ac:dyDescent="0.25">
      <c r="O486" s="21">
        <v>3.3911649915626341</v>
      </c>
    </row>
    <row r="487" spans="15:15" x14ac:dyDescent="0.25">
      <c r="O487" s="21">
        <v>4.3243496620879309</v>
      </c>
    </row>
    <row r="488" spans="15:15" x14ac:dyDescent="0.25">
      <c r="O488" s="21">
        <v>1.4142135623730951</v>
      </c>
    </row>
    <row r="489" spans="15:15" x14ac:dyDescent="0.25">
      <c r="O489" s="21">
        <v>3.271085446759225</v>
      </c>
    </row>
    <row r="490" spans="15:15" x14ac:dyDescent="0.25">
      <c r="O490" s="21">
        <v>6.5726706900619796</v>
      </c>
    </row>
    <row r="491" spans="15:15" x14ac:dyDescent="0.25">
      <c r="O491" s="21">
        <v>6.7305274681855494</v>
      </c>
    </row>
    <row r="492" spans="15:15" x14ac:dyDescent="0.25">
      <c r="O492" s="21">
        <v>4.4944410108488464</v>
      </c>
    </row>
    <row r="493" spans="15:15" x14ac:dyDescent="0.25">
      <c r="O493" s="21">
        <v>1.7888543819998317</v>
      </c>
    </row>
    <row r="494" spans="15:15" x14ac:dyDescent="0.25">
      <c r="O494" s="21">
        <v>3.7815340802378072</v>
      </c>
    </row>
    <row r="495" spans="15:15" x14ac:dyDescent="0.25">
      <c r="O495" s="21">
        <v>5.8309518948453007</v>
      </c>
    </row>
    <row r="496" spans="15:15" x14ac:dyDescent="0.25">
      <c r="O496" s="21">
        <v>3.8470768123342691</v>
      </c>
    </row>
    <row r="497" spans="15:15" x14ac:dyDescent="0.25">
      <c r="O497" s="21">
        <v>2.3874672772626644</v>
      </c>
    </row>
    <row r="498" spans="15:15" x14ac:dyDescent="0.25">
      <c r="O498" s="21">
        <v>6.7453687816160208</v>
      </c>
    </row>
    <row r="499" spans="15:15" x14ac:dyDescent="0.25">
      <c r="O499" s="21">
        <v>4.5055521304275192</v>
      </c>
    </row>
    <row r="500" spans="15:15" x14ac:dyDescent="0.25">
      <c r="O500" s="21">
        <v>3.9370039370059056</v>
      </c>
    </row>
    <row r="501" spans="15:15" x14ac:dyDescent="0.25">
      <c r="O501" s="21">
        <v>3.0331501776206204</v>
      </c>
    </row>
    <row r="502" spans="15:15" x14ac:dyDescent="0.25">
      <c r="O502" s="21">
        <v>3.2093613071762426</v>
      </c>
    </row>
    <row r="503" spans="15:15" x14ac:dyDescent="0.25">
      <c r="O503" s="21">
        <v>4.0249223594996222</v>
      </c>
    </row>
    <row r="504" spans="15:15" x14ac:dyDescent="0.25">
      <c r="O504" s="21">
        <v>4.7644516998286193</v>
      </c>
    </row>
    <row r="505" spans="15:15" x14ac:dyDescent="0.25">
      <c r="O505" s="21">
        <v>7.0922492905988541</v>
      </c>
    </row>
    <row r="506" spans="15:15" x14ac:dyDescent="0.25">
      <c r="O506" s="21">
        <v>7.1063352017759476</v>
      </c>
    </row>
    <row r="507" spans="15:15" x14ac:dyDescent="0.25">
      <c r="O507" s="21">
        <v>5.5677643628300215</v>
      </c>
    </row>
    <row r="508" spans="15:15" x14ac:dyDescent="0.25">
      <c r="O508" s="21">
        <v>4.9295030175465131</v>
      </c>
    </row>
    <row r="509" spans="15:15" x14ac:dyDescent="0.25">
      <c r="O509" s="21">
        <v>4.6043457732885349</v>
      </c>
    </row>
    <row r="510" spans="15:15" x14ac:dyDescent="0.25">
      <c r="O510" s="21">
        <v>2.3452078799117149</v>
      </c>
    </row>
    <row r="511" spans="15:15" x14ac:dyDescent="0.25">
      <c r="O511" s="21">
        <v>5.2249401910452695</v>
      </c>
    </row>
    <row r="512" spans="15:15" x14ac:dyDescent="0.25">
      <c r="O512" s="21">
        <v>3.049590136395381</v>
      </c>
    </row>
    <row r="513" spans="15:15" x14ac:dyDescent="0.25">
      <c r="O513" s="21">
        <v>5.5226805085936306</v>
      </c>
    </row>
    <row r="514" spans="15:15" x14ac:dyDescent="0.25">
      <c r="O514" s="21">
        <v>1.2247448713915889</v>
      </c>
    </row>
    <row r="515" spans="15:15" x14ac:dyDescent="0.25">
      <c r="O515" s="21">
        <v>4.919349550499537</v>
      </c>
    </row>
    <row r="516" spans="15:15" x14ac:dyDescent="0.25">
      <c r="O516" s="21">
        <v>2.9495762407505253</v>
      </c>
    </row>
    <row r="517" spans="15:15" x14ac:dyDescent="0.25">
      <c r="O517" s="21">
        <v>3.2863353450309969</v>
      </c>
    </row>
    <row r="518" spans="15:15" x14ac:dyDescent="0.25">
      <c r="O518" s="21">
        <v>6.7305274681855494</v>
      </c>
    </row>
    <row r="519" spans="15:15" x14ac:dyDescent="0.25">
      <c r="O519" s="21">
        <v>5.3665631459995122</v>
      </c>
    </row>
    <row r="520" spans="15:15" x14ac:dyDescent="0.25">
      <c r="O520" s="21">
        <v>2.9664793948382648</v>
      </c>
    </row>
    <row r="521" spans="15:15" x14ac:dyDescent="0.25">
      <c r="O521" s="21">
        <v>4.2661458015403086</v>
      </c>
    </row>
    <row r="522" spans="15:15" x14ac:dyDescent="0.25">
      <c r="O522" s="21">
        <v>4.8989794855663558</v>
      </c>
    </row>
    <row r="523" spans="15:15" x14ac:dyDescent="0.25">
      <c r="O523" s="21">
        <v>3.271085446759225</v>
      </c>
    </row>
    <row r="524" spans="15:15" x14ac:dyDescent="0.25">
      <c r="O524" s="21">
        <v>4.658325879540846</v>
      </c>
    </row>
    <row r="525" spans="15:15" x14ac:dyDescent="0.25">
      <c r="O525" s="21">
        <v>4.8476798574163293</v>
      </c>
    </row>
    <row r="526" spans="15:15" x14ac:dyDescent="0.25">
      <c r="O526" s="21">
        <v>4.4497190922573973</v>
      </c>
    </row>
    <row r="527" spans="15:15" x14ac:dyDescent="0.25">
      <c r="O527" s="21">
        <v>2.8809720581775866</v>
      </c>
    </row>
    <row r="528" spans="15:15" x14ac:dyDescent="0.25">
      <c r="O528" s="21">
        <v>4.2190046219457971</v>
      </c>
    </row>
    <row r="529" spans="15:15" x14ac:dyDescent="0.25">
      <c r="O529" s="21">
        <v>3.8340579025361627</v>
      </c>
    </row>
    <row r="530" spans="15:15" x14ac:dyDescent="0.25">
      <c r="O530" s="21">
        <v>4.7434164902525691</v>
      </c>
    </row>
    <row r="531" spans="15:15" x14ac:dyDescent="0.25">
      <c r="O531" s="21">
        <v>5.3103672189406845</v>
      </c>
    </row>
    <row r="532" spans="15:15" x14ac:dyDescent="0.25">
      <c r="O532" s="21">
        <v>5.0299105359837117</v>
      </c>
    </row>
    <row r="533" spans="15:15" x14ac:dyDescent="0.25">
      <c r="O533" s="21">
        <v>3.4928498393145957</v>
      </c>
    </row>
    <row r="534" spans="15:15" x14ac:dyDescent="0.25">
      <c r="O534" s="21">
        <v>4.0865633483405102</v>
      </c>
    </row>
    <row r="535" spans="15:15" x14ac:dyDescent="0.25">
      <c r="O535" s="21">
        <v>4.2190046219457971</v>
      </c>
    </row>
    <row r="536" spans="15:15" x14ac:dyDescent="0.25">
      <c r="O536" s="21">
        <v>4.4944410108488517</v>
      </c>
    </row>
    <row r="537" spans="15:15" x14ac:dyDescent="0.25">
      <c r="O537" s="21">
        <v>2.9154759474226504</v>
      </c>
    </row>
    <row r="538" spans="15:15" x14ac:dyDescent="0.25">
      <c r="O538" s="21">
        <v>2.6832815729997477</v>
      </c>
    </row>
    <row r="539" spans="15:15" x14ac:dyDescent="0.25">
      <c r="O539" s="21">
        <v>2.8635642126552705</v>
      </c>
    </row>
    <row r="540" spans="15:15" x14ac:dyDescent="0.25">
      <c r="O540" s="21">
        <v>5.856620185738544</v>
      </c>
    </row>
    <row r="541" spans="15:15" x14ac:dyDescent="0.25">
      <c r="O541" s="21">
        <v>5.9329587896765341</v>
      </c>
    </row>
    <row r="542" spans="15:15" x14ac:dyDescent="0.25">
      <c r="O542" s="21">
        <v>6.4265076052238657</v>
      </c>
    </row>
    <row r="543" spans="15:15" x14ac:dyDescent="0.25">
      <c r="O543" s="21">
        <v>2.2803508501982757</v>
      </c>
    </row>
    <row r="544" spans="15:15" x14ac:dyDescent="0.25">
      <c r="O544" s="21">
        <v>3.5777087639996634</v>
      </c>
    </row>
    <row r="545" spans="15:15" x14ac:dyDescent="0.25">
      <c r="O545" s="21">
        <v>3.5637059362410923</v>
      </c>
    </row>
    <row r="546" spans="15:15" x14ac:dyDescent="0.25">
      <c r="O546" s="21">
        <v>4.3931765272977588</v>
      </c>
    </row>
    <row r="547" spans="15:15" x14ac:dyDescent="0.25">
      <c r="O547" s="21">
        <v>4.3931765272977596</v>
      </c>
    </row>
    <row r="548" spans="15:15" x14ac:dyDescent="0.25">
      <c r="O548" s="21">
        <v>1.1401754250991381</v>
      </c>
    </row>
    <row r="549" spans="15:15" x14ac:dyDescent="0.25">
      <c r="O549" s="21">
        <v>5.4037024344425015</v>
      </c>
    </row>
    <row r="550" spans="15:15" x14ac:dyDescent="0.25">
      <c r="O550" s="21">
        <v>2.2360679774997898</v>
      </c>
    </row>
    <row r="551" spans="15:15" x14ac:dyDescent="0.25">
      <c r="O551" s="21">
        <v>1.5811388300841898</v>
      </c>
    </row>
    <row r="552" spans="15:15" x14ac:dyDescent="0.25">
      <c r="O552" s="21">
        <v>5.5407580708780317</v>
      </c>
    </row>
    <row r="553" spans="15:15" x14ac:dyDescent="0.25">
      <c r="O553" s="21">
        <v>7.0213958726167798</v>
      </c>
    </row>
    <row r="554" spans="15:15" x14ac:dyDescent="0.25">
      <c r="O554" s="21">
        <v>1.9235384061671343</v>
      </c>
    </row>
    <row r="555" spans="15:15" x14ac:dyDescent="0.25">
      <c r="O555" s="21">
        <v>5.4589376255824886</v>
      </c>
    </row>
    <row r="556" spans="15:15" x14ac:dyDescent="0.25">
      <c r="O556" s="21">
        <v>4.5497252664309302</v>
      </c>
    </row>
    <row r="557" spans="15:15" x14ac:dyDescent="0.25">
      <c r="O557" s="21">
        <v>5.4129474410897602</v>
      </c>
    </row>
    <row r="558" spans="15:15" x14ac:dyDescent="0.25">
      <c r="O558" s="21">
        <v>9.1378334412485334</v>
      </c>
    </row>
    <row r="559" spans="15:15" x14ac:dyDescent="0.25">
      <c r="O559" s="21">
        <v>2.5884358211089569</v>
      </c>
    </row>
    <row r="560" spans="15:15" x14ac:dyDescent="0.25">
      <c r="O560" s="21">
        <v>4.5607017003965469</v>
      </c>
    </row>
    <row r="561" spans="15:15" x14ac:dyDescent="0.25">
      <c r="O561" s="21">
        <v>4.7644516998286432</v>
      </c>
    </row>
    <row r="562" spans="15:15" x14ac:dyDescent="0.25">
      <c r="O562" s="21">
        <v>7.0851958335673437</v>
      </c>
    </row>
    <row r="563" spans="15:15" x14ac:dyDescent="0.25">
      <c r="O563" s="21">
        <v>6.3403469936589287</v>
      </c>
    </row>
    <row r="564" spans="15:15" x14ac:dyDescent="0.25">
      <c r="O564" s="21">
        <v>4.9295030175465131</v>
      </c>
    </row>
    <row r="565" spans="15:15" x14ac:dyDescent="0.25">
      <c r="O565" s="21">
        <v>3.2093613071762421</v>
      </c>
    </row>
    <row r="566" spans="15:15" x14ac:dyDescent="0.25">
      <c r="O566" s="21">
        <v>3.7416573867739413</v>
      </c>
    </row>
    <row r="567" spans="15:15" x14ac:dyDescent="0.25">
      <c r="O567" s="21">
        <v>3.701351104664349</v>
      </c>
    </row>
    <row r="568" spans="15:15" x14ac:dyDescent="0.25">
      <c r="O568" s="21">
        <v>3.6331804249169899</v>
      </c>
    </row>
    <row r="569" spans="15:15" x14ac:dyDescent="0.25">
      <c r="O569" s="21">
        <v>4.2661458015403086</v>
      </c>
    </row>
    <row r="570" spans="15:15" x14ac:dyDescent="0.25">
      <c r="O570" s="21">
        <v>6.2048368229954285</v>
      </c>
    </row>
    <row r="571" spans="15:15" x14ac:dyDescent="0.25">
      <c r="O571" s="21">
        <v>4.3358966777357599</v>
      </c>
    </row>
    <row r="572" spans="15:15" x14ac:dyDescent="0.25">
      <c r="O572" s="21">
        <v>5.4497706373754893</v>
      </c>
    </row>
    <row r="573" spans="15:15" x14ac:dyDescent="0.25">
      <c r="O573" s="21">
        <v>4.8166378315169229</v>
      </c>
    </row>
    <row r="574" spans="15:15" x14ac:dyDescent="0.25">
      <c r="O574" s="21">
        <v>2.16794833886788</v>
      </c>
    </row>
    <row r="575" spans="15:15" x14ac:dyDescent="0.25">
      <c r="O575" s="21">
        <v>1.8165902124584952</v>
      </c>
    </row>
    <row r="576" spans="15:15" x14ac:dyDescent="0.25">
      <c r="O576" s="21">
        <v>3.4205262752974139</v>
      </c>
    </row>
    <row r="577" spans="15:15" x14ac:dyDescent="0.25">
      <c r="O577" s="21">
        <v>4.4721359549995796</v>
      </c>
    </row>
    <row r="578" spans="15:15" x14ac:dyDescent="0.25">
      <c r="O578" s="21">
        <v>2.6076809620810595</v>
      </c>
    </row>
    <row r="579" spans="15:15" x14ac:dyDescent="0.25">
      <c r="O579" s="21">
        <v>5.6124860801609122</v>
      </c>
    </row>
    <row r="580" spans="15:15" x14ac:dyDescent="0.25">
      <c r="O580" s="21">
        <v>4.3358966777357599</v>
      </c>
    </row>
    <row r="581" spans="15:15" x14ac:dyDescent="0.25">
      <c r="O581" s="21">
        <v>6.8337398253079584</v>
      </c>
    </row>
    <row r="582" spans="15:15" x14ac:dyDescent="0.25">
      <c r="O582" s="21">
        <v>6.9426219830839155</v>
      </c>
    </row>
    <row r="583" spans="15:15" x14ac:dyDescent="0.25">
      <c r="O583" s="21">
        <v>3.6331804249169903</v>
      </c>
    </row>
    <row r="584" spans="15:15" x14ac:dyDescent="0.25">
      <c r="O584" s="21">
        <v>4.3931765272977596</v>
      </c>
    </row>
    <row r="585" spans="15:15" x14ac:dyDescent="0.25">
      <c r="O585" s="21">
        <v>5.0299105359837117</v>
      </c>
    </row>
    <row r="586" spans="15:15" x14ac:dyDescent="0.25">
      <c r="O586" s="21">
        <v>2.5099800796022267</v>
      </c>
    </row>
    <row r="587" spans="15:15" x14ac:dyDescent="0.25">
      <c r="O587" s="21">
        <v>3.7013511046643495</v>
      </c>
    </row>
    <row r="588" spans="15:15" x14ac:dyDescent="0.25">
      <c r="O588" s="21">
        <v>5.8137767414994688</v>
      </c>
    </row>
    <row r="589" spans="15:15" x14ac:dyDescent="0.25">
      <c r="O589" s="21">
        <v>4.4384682042344297</v>
      </c>
    </row>
    <row r="590" spans="15:15" x14ac:dyDescent="0.25">
      <c r="O590" s="21">
        <v>4.7434164902525691</v>
      </c>
    </row>
    <row r="591" spans="15:15" x14ac:dyDescent="0.25">
      <c r="O591" s="21">
        <v>2.9154759474226504</v>
      </c>
    </row>
    <row r="592" spans="15:15" x14ac:dyDescent="0.25">
      <c r="O592" s="21">
        <v>2.5495097567963922</v>
      </c>
    </row>
    <row r="593" spans="15:15" x14ac:dyDescent="0.25">
      <c r="O593" s="21">
        <v>5.2725705305856438</v>
      </c>
    </row>
    <row r="594" spans="15:15" x14ac:dyDescent="0.25">
      <c r="O594" s="21">
        <v>7</v>
      </c>
    </row>
    <row r="595" spans="15:15" x14ac:dyDescent="0.25">
      <c r="O595" s="21">
        <v>6.4420493633625631</v>
      </c>
    </row>
    <row r="596" spans="15:15" x14ac:dyDescent="0.25">
      <c r="O596" s="21">
        <v>4.7644516998286193</v>
      </c>
    </row>
    <row r="597" spans="15:15" x14ac:dyDescent="0.25">
      <c r="O597" s="21">
        <v>7.2318738927058304</v>
      </c>
    </row>
    <row r="598" spans="15:15" x14ac:dyDescent="0.25">
      <c r="O598" s="21">
        <v>5.3197744313081721</v>
      </c>
    </row>
    <row r="599" spans="15:15" x14ac:dyDescent="0.25">
      <c r="O599" s="21">
        <v>5.3197744313081721</v>
      </c>
    </row>
    <row r="600" spans="15:15" x14ac:dyDescent="0.25">
      <c r="O600" s="21">
        <v>4.9699094559156523</v>
      </c>
    </row>
    <row r="601" spans="15:15" x14ac:dyDescent="0.25">
      <c r="O601" s="21">
        <v>6.9426219830838996</v>
      </c>
    </row>
    <row r="602" spans="15:15" x14ac:dyDescent="0.25">
      <c r="O602" s="21">
        <v>7.6485292703891776</v>
      </c>
    </row>
    <row r="603" spans="15:15" x14ac:dyDescent="0.25">
      <c r="O603" s="21">
        <v>4.7749345545253474</v>
      </c>
    </row>
    <row r="604" spans="15:15" x14ac:dyDescent="0.25">
      <c r="O604" s="21">
        <v>6.3639610306789276</v>
      </c>
    </row>
    <row r="605" spans="15:15" x14ac:dyDescent="0.25">
      <c r="O605" s="21">
        <v>4.8476798574163293</v>
      </c>
    </row>
    <row r="606" spans="15:15" x14ac:dyDescent="0.25">
      <c r="O606" s="21">
        <v>5.8991524815010461</v>
      </c>
    </row>
    <row r="607" spans="15:15" x14ac:dyDescent="0.25">
      <c r="O607" s="21">
        <v>6.8044103344816138</v>
      </c>
    </row>
    <row r="608" spans="15:15" x14ac:dyDescent="0.25">
      <c r="O608" s="21">
        <v>3.03315017762062</v>
      </c>
    </row>
    <row r="609" spans="15:15" x14ac:dyDescent="0.25">
      <c r="O609" s="21">
        <v>4.8270073544588676</v>
      </c>
    </row>
    <row r="610" spans="15:15" x14ac:dyDescent="0.25">
      <c r="O610" s="21">
        <v>7.416198487095663</v>
      </c>
    </row>
    <row r="611" spans="15:15" x14ac:dyDescent="0.25">
      <c r="O611" s="21">
        <v>5.4954526656136178</v>
      </c>
    </row>
    <row r="612" spans="15:15" x14ac:dyDescent="0.25">
      <c r="O612" s="21">
        <v>5.2630789467763108</v>
      </c>
    </row>
    <row r="613" spans="15:15" x14ac:dyDescent="0.25">
      <c r="O613" s="21">
        <v>2.2803508501982761</v>
      </c>
    </row>
    <row r="614" spans="15:15" x14ac:dyDescent="0.25">
      <c r="O614" s="21">
        <v>3.6331804249169894</v>
      </c>
    </row>
    <row r="615" spans="15:15" x14ac:dyDescent="0.25">
      <c r="O615" s="21">
        <v>1.6733200530681511</v>
      </c>
    </row>
    <row r="616" spans="15:15" x14ac:dyDescent="0.25">
      <c r="O616" s="21">
        <v>3.3466401061363023</v>
      </c>
    </row>
    <row r="617" spans="15:15" x14ac:dyDescent="0.25">
      <c r="O617" s="21">
        <v>3.1144823004794877</v>
      </c>
    </row>
    <row r="618" spans="15:15" x14ac:dyDescent="0.25">
      <c r="O618" s="21">
        <v>4.4158804331639239</v>
      </c>
    </row>
    <row r="619" spans="15:15" x14ac:dyDescent="0.25">
      <c r="O619" s="21">
        <v>2.7018512172212592</v>
      </c>
    </row>
    <row r="620" spans="15:15" x14ac:dyDescent="0.25">
      <c r="O620" s="21">
        <v>4.2071367935925261</v>
      </c>
    </row>
    <row r="621" spans="15:15" x14ac:dyDescent="0.25">
      <c r="O621" s="21">
        <v>8.105553651663767</v>
      </c>
    </row>
    <row r="622" spans="15:15" x14ac:dyDescent="0.25">
      <c r="O622" s="21">
        <v>4.1593268686170841</v>
      </c>
    </row>
    <row r="623" spans="15:15" x14ac:dyDescent="0.25">
      <c r="O623" s="21">
        <v>3.8470768123342687</v>
      </c>
    </row>
    <row r="624" spans="15:15" x14ac:dyDescent="0.25">
      <c r="O624" s="21">
        <v>4.5276925690687087</v>
      </c>
    </row>
    <row r="625" spans="15:15" x14ac:dyDescent="0.25">
      <c r="O625" s="21">
        <v>4.3817804600413339</v>
      </c>
    </row>
    <row r="626" spans="15:15" x14ac:dyDescent="0.25">
      <c r="O626" s="21">
        <v>4.6583258795408469</v>
      </c>
    </row>
    <row r="627" spans="15:15" x14ac:dyDescent="0.25">
      <c r="O627" s="21">
        <v>5.0199601592044578</v>
      </c>
    </row>
    <row r="628" spans="15:15" x14ac:dyDescent="0.25">
      <c r="O628" s="21">
        <v>4.0865633483405102</v>
      </c>
    </row>
    <row r="629" spans="15:15" x14ac:dyDescent="0.25">
      <c r="O629" s="21">
        <v>4.5055521304275237</v>
      </c>
    </row>
    <row r="630" spans="15:15" x14ac:dyDescent="0.25">
      <c r="O630" s="21">
        <v>4.5497252664309302</v>
      </c>
    </row>
    <row r="631" spans="15:15" x14ac:dyDescent="0.25">
      <c r="O631" s="21">
        <v>6.9856996786292056</v>
      </c>
    </row>
    <row r="632" spans="15:15" x14ac:dyDescent="0.25">
      <c r="O632" s="21">
        <v>3.4205262752974139</v>
      </c>
    </row>
    <row r="633" spans="15:15" x14ac:dyDescent="0.25">
      <c r="O633" s="21">
        <v>2.7748873851023212</v>
      </c>
    </row>
    <row r="634" spans="15:15" x14ac:dyDescent="0.25">
      <c r="O634" s="21">
        <v>4.3931765272977588</v>
      </c>
    </row>
    <row r="635" spans="15:15" x14ac:dyDescent="0.25">
      <c r="O635" s="21">
        <v>2.6076809620810595</v>
      </c>
    </row>
    <row r="636" spans="15:15" x14ac:dyDescent="0.25">
      <c r="O636" s="21">
        <v>3.7815340802378077</v>
      </c>
    </row>
    <row r="637" spans="15:15" x14ac:dyDescent="0.25">
      <c r="O637" s="21">
        <v>4.8682645778552152</v>
      </c>
    </row>
    <row r="638" spans="15:15" x14ac:dyDescent="0.25">
      <c r="O638" s="21">
        <v>5.4037024344425015</v>
      </c>
    </row>
    <row r="639" spans="15:15" x14ac:dyDescent="0.25">
      <c r="O639" s="21">
        <v>3.5777087639996634</v>
      </c>
    </row>
    <row r="640" spans="15:15" x14ac:dyDescent="0.25">
      <c r="O640" s="21">
        <v>3.8340579025361627</v>
      </c>
    </row>
    <row r="641" spans="15:15" x14ac:dyDescent="0.25">
      <c r="O641" s="21">
        <v>1.6733200530681511</v>
      </c>
    </row>
    <row r="642" spans="15:15" x14ac:dyDescent="0.25">
      <c r="O642" s="21">
        <v>2.5099800796022267</v>
      </c>
    </row>
    <row r="643" spans="15:15" x14ac:dyDescent="0.25">
      <c r="O643" s="21">
        <v>5</v>
      </c>
    </row>
    <row r="644" spans="15:15" x14ac:dyDescent="0.25">
      <c r="O644" s="21">
        <v>5.7183913821983028</v>
      </c>
    </row>
    <row r="645" spans="15:15" x14ac:dyDescent="0.25">
      <c r="O645" s="21">
        <v>3.3911649915626341</v>
      </c>
    </row>
    <row r="646" spans="15:15" x14ac:dyDescent="0.25">
      <c r="O646" s="21">
        <v>4.3358966777357599</v>
      </c>
    </row>
    <row r="647" spans="15:15" x14ac:dyDescent="0.25">
      <c r="O647" s="21">
        <v>2.9664793948382648</v>
      </c>
    </row>
    <row r="648" spans="15:15" x14ac:dyDescent="0.25">
      <c r="O648" s="21">
        <v>5.2630789467763108</v>
      </c>
    </row>
    <row r="649" spans="15:15" x14ac:dyDescent="0.25">
      <c r="O649" s="21">
        <v>3.2093613071762421</v>
      </c>
    </row>
    <row r="650" spans="15:15" x14ac:dyDescent="0.25">
      <c r="O650" s="21">
        <v>8.258329128825034</v>
      </c>
    </row>
    <row r="651" spans="15:15" x14ac:dyDescent="0.25">
      <c r="O651" s="21">
        <v>3.3166247903553998</v>
      </c>
    </row>
    <row r="652" spans="15:15" x14ac:dyDescent="0.25">
      <c r="O652" s="21">
        <v>3.5637059362410923</v>
      </c>
    </row>
    <row r="653" spans="15:15" x14ac:dyDescent="0.25">
      <c r="O653" s="21">
        <v>4.6583258795408469</v>
      </c>
    </row>
    <row r="654" spans="15:15" x14ac:dyDescent="0.25">
      <c r="O654" s="21">
        <v>3.5777087639996634</v>
      </c>
    </row>
    <row r="655" spans="15:15" x14ac:dyDescent="0.25">
      <c r="O655" s="21">
        <v>6.4187226143524887</v>
      </c>
    </row>
    <row r="656" spans="15:15" x14ac:dyDescent="0.25">
      <c r="O656" s="21">
        <v>3.1144823004794873</v>
      </c>
    </row>
    <row r="657" spans="15:15" x14ac:dyDescent="0.25">
      <c r="O657" s="21">
        <v>4</v>
      </c>
    </row>
    <row r="658" spans="15:15" x14ac:dyDescent="0.25">
      <c r="O658" s="21">
        <v>7.362064927722388</v>
      </c>
    </row>
    <row r="659" spans="15:15" x14ac:dyDescent="0.25">
      <c r="O659" s="21">
        <v>2.0493901531919194</v>
      </c>
    </row>
    <row r="660" spans="15:15" x14ac:dyDescent="0.25">
      <c r="O660" s="21">
        <v>2.3874672772626644</v>
      </c>
    </row>
    <row r="661" spans="15:15" x14ac:dyDescent="0.25">
      <c r="O661" s="21">
        <v>5.4954526656136382</v>
      </c>
    </row>
    <row r="662" spans="15:15" x14ac:dyDescent="0.25">
      <c r="O662" s="21">
        <v>6.5421708935184473</v>
      </c>
    </row>
    <row r="663" spans="15:15" x14ac:dyDescent="0.25">
      <c r="O663" s="21">
        <v>2.7018512172212592</v>
      </c>
    </row>
    <row r="664" spans="15:15" x14ac:dyDescent="0.25">
      <c r="O664" s="21">
        <v>4.7116875957558797</v>
      </c>
    </row>
    <row r="665" spans="15:15" x14ac:dyDescent="0.25">
      <c r="O665" s="21">
        <v>3.3615472627943221</v>
      </c>
    </row>
    <row r="666" spans="15:15" x14ac:dyDescent="0.25">
      <c r="O666" s="21">
        <v>6.949820141557618</v>
      </c>
    </row>
    <row r="667" spans="15:15" x14ac:dyDescent="0.25">
      <c r="O667" s="21">
        <v>4.5497252664309302</v>
      </c>
    </row>
    <row r="668" spans="15:15" x14ac:dyDescent="0.25">
      <c r="O668" s="21">
        <v>4.8785243670601828</v>
      </c>
    </row>
    <row r="669" spans="15:15" x14ac:dyDescent="0.25">
      <c r="O669" s="21">
        <v>4.7434164902525691</v>
      </c>
    </row>
    <row r="670" spans="15:15" x14ac:dyDescent="0.25">
      <c r="O670" s="21">
        <v>5.449770637375468</v>
      </c>
    </row>
    <row r="671" spans="15:15" x14ac:dyDescent="0.25">
      <c r="O671" s="21">
        <v>3.3615472627943221</v>
      </c>
    </row>
    <row r="672" spans="15:15" x14ac:dyDescent="0.25">
      <c r="O672" s="21">
        <v>2.3874672772626648</v>
      </c>
    </row>
    <row r="673" spans="15:15" x14ac:dyDescent="0.25">
      <c r="O673" s="21">
        <v>2.2803508501982761</v>
      </c>
    </row>
    <row r="674" spans="15:15" x14ac:dyDescent="0.25">
      <c r="O674" s="21">
        <v>3.3615472627943221</v>
      </c>
    </row>
    <row r="675" spans="15:15" x14ac:dyDescent="0.25">
      <c r="O675" s="21">
        <v>3.5777087639996634</v>
      </c>
    </row>
    <row r="676" spans="15:15" x14ac:dyDescent="0.25">
      <c r="O676" s="21">
        <v>1.7888543819998317</v>
      </c>
    </row>
    <row r="677" spans="15:15" x14ac:dyDescent="0.25">
      <c r="O677" s="21">
        <v>3.2863353450309969</v>
      </c>
    </row>
    <row r="678" spans="15:15" x14ac:dyDescent="0.25">
      <c r="O678" s="21">
        <v>3.2093613071762426</v>
      </c>
    </row>
    <row r="679" spans="15:15" x14ac:dyDescent="0.25">
      <c r="O679" s="21">
        <v>4.3243496620879309</v>
      </c>
    </row>
    <row r="680" spans="15:15" x14ac:dyDescent="0.25">
      <c r="O680" s="21">
        <v>4.0249223594996213</v>
      </c>
    </row>
    <row r="681" spans="15:15" x14ac:dyDescent="0.25">
      <c r="O681" s="21">
        <v>7.2318738927058304</v>
      </c>
    </row>
    <row r="682" spans="15:15" x14ac:dyDescent="0.25">
      <c r="O682" s="21">
        <v>2.3021728866442674</v>
      </c>
    </row>
    <row r="683" spans="15:15" x14ac:dyDescent="0.25">
      <c r="O683" s="21">
        <v>3.8078865529319543</v>
      </c>
    </row>
    <row r="684" spans="15:15" x14ac:dyDescent="0.25">
      <c r="O684" s="21">
        <v>5.2630789467762895</v>
      </c>
    </row>
    <row r="685" spans="15:15" x14ac:dyDescent="0.25">
      <c r="O685" s="21">
        <v>2.5884358211089569</v>
      </c>
    </row>
    <row r="686" spans="15:15" x14ac:dyDescent="0.25">
      <c r="O686" s="21">
        <v>5.3197744313081508</v>
      </c>
    </row>
    <row r="687" spans="15:15" x14ac:dyDescent="0.25">
      <c r="O687" s="21">
        <v>3.9370039370059056</v>
      </c>
    </row>
    <row r="688" spans="15:15" x14ac:dyDescent="0.25">
      <c r="O688" s="21">
        <v>2.8809720581775866</v>
      </c>
    </row>
    <row r="689" spans="15:15" x14ac:dyDescent="0.25">
      <c r="O689" s="21">
        <v>4.4944410108488464</v>
      </c>
    </row>
    <row r="690" spans="15:15" x14ac:dyDescent="0.25">
      <c r="O690" s="21">
        <v>1.6733200530681511</v>
      </c>
    </row>
    <row r="691" spans="15:15" x14ac:dyDescent="0.25">
      <c r="O691" s="21">
        <v>4.8785243670601828</v>
      </c>
    </row>
    <row r="692" spans="15:15" x14ac:dyDescent="0.25">
      <c r="O692" s="21">
        <v>4.8270073544588872</v>
      </c>
    </row>
    <row r="693" spans="15:15" x14ac:dyDescent="0.25">
      <c r="O693" s="21">
        <v>4.6583258795408264</v>
      </c>
    </row>
    <row r="694" spans="15:15" x14ac:dyDescent="0.25">
      <c r="O694" s="21">
        <v>9.2574294488264837</v>
      </c>
    </row>
    <row r="695" spans="15:15" x14ac:dyDescent="0.25">
      <c r="O695" s="21">
        <v>1.5811388300841898</v>
      </c>
    </row>
    <row r="696" spans="15:15" x14ac:dyDescent="0.25">
      <c r="O696" s="21">
        <v>5.2440442408507577</v>
      </c>
    </row>
    <row r="697" spans="15:15" x14ac:dyDescent="0.25">
      <c r="O697" s="21">
        <v>2.8809720581775866</v>
      </c>
    </row>
    <row r="698" spans="15:15" x14ac:dyDescent="0.25">
      <c r="O698" s="21">
        <v>3.1144823004794873</v>
      </c>
    </row>
    <row r="699" spans="15:15" x14ac:dyDescent="0.25">
      <c r="O699" s="21">
        <v>6.6932802122726178</v>
      </c>
    </row>
    <row r="700" spans="15:15" x14ac:dyDescent="0.25">
      <c r="O700" s="21">
        <v>4.6690470119715206</v>
      </c>
    </row>
    <row r="701" spans="15:15" x14ac:dyDescent="0.25">
      <c r="O701" s="21">
        <v>4.6043457732885402</v>
      </c>
    </row>
    <row r="702" spans="15:15" x14ac:dyDescent="0.25">
      <c r="O702" s="21">
        <v>5.449770637375468</v>
      </c>
    </row>
    <row r="703" spans="15:15" x14ac:dyDescent="0.25">
      <c r="O703" s="21">
        <v>4.0865633483405102</v>
      </c>
    </row>
    <row r="704" spans="15:15" x14ac:dyDescent="0.25">
      <c r="O704" s="21">
        <v>5.2630789467762895</v>
      </c>
    </row>
    <row r="705" spans="15:15" x14ac:dyDescent="0.25">
      <c r="O705" s="21">
        <v>5.7706152185013995</v>
      </c>
    </row>
    <row r="706" spans="15:15" x14ac:dyDescent="0.25">
      <c r="O706" s="21">
        <v>3.082207001484488</v>
      </c>
    </row>
    <row r="707" spans="15:15" x14ac:dyDescent="0.25">
      <c r="O707" s="21">
        <v>6.8044103344816138</v>
      </c>
    </row>
    <row r="708" spans="15:15" x14ac:dyDescent="0.25">
      <c r="O708" s="21">
        <v>2</v>
      </c>
    </row>
    <row r="709" spans="15:15" x14ac:dyDescent="0.25">
      <c r="O709" s="21">
        <v>4.92950301754649</v>
      </c>
    </row>
    <row r="710" spans="15:15" x14ac:dyDescent="0.25">
      <c r="O710" s="21">
        <v>5.1478150704935004</v>
      </c>
    </row>
    <row r="711" spans="15:15" x14ac:dyDescent="0.25">
      <c r="O711" s="21">
        <v>3.5355339059327378</v>
      </c>
    </row>
    <row r="712" spans="15:15" x14ac:dyDescent="0.25">
      <c r="O712" s="21">
        <v>4.3931765272977543</v>
      </c>
    </row>
    <row r="713" spans="15:15" x14ac:dyDescent="0.25">
      <c r="O713" s="21">
        <v>5.7879184513951127</v>
      </c>
    </row>
    <row r="714" spans="15:15" x14ac:dyDescent="0.25">
      <c r="O714" s="21">
        <v>2.7748873851023217</v>
      </c>
    </row>
    <row r="715" spans="15:15" x14ac:dyDescent="0.25">
      <c r="O715" s="21">
        <v>7.2249567472753649</v>
      </c>
    </row>
    <row r="716" spans="15:15" x14ac:dyDescent="0.25">
      <c r="O716" s="21">
        <v>4.2778499272414878</v>
      </c>
    </row>
    <row r="717" spans="15:15" x14ac:dyDescent="0.25">
      <c r="O717" s="21">
        <v>2.5884358211089569</v>
      </c>
    </row>
    <row r="718" spans="15:15" x14ac:dyDescent="0.25">
      <c r="O718" s="21">
        <v>8.1670067956381551</v>
      </c>
    </row>
    <row r="719" spans="15:15" x14ac:dyDescent="0.25">
      <c r="O719" s="21">
        <v>6.5421708935184473</v>
      </c>
    </row>
    <row r="720" spans="15:15" x14ac:dyDescent="0.25">
      <c r="O720" s="21">
        <v>4.0620192023179804</v>
      </c>
    </row>
    <row r="721" spans="15:15" x14ac:dyDescent="0.25">
      <c r="O721" s="21">
        <v>6.9282032302755088</v>
      </c>
    </row>
    <row r="722" spans="15:15" x14ac:dyDescent="0.25">
      <c r="O722" s="21">
        <v>4.0373258476372698</v>
      </c>
    </row>
    <row r="723" spans="15:15" x14ac:dyDescent="0.25">
      <c r="O723" s="21">
        <v>5.3851648071345037</v>
      </c>
    </row>
    <row r="724" spans="15:15" x14ac:dyDescent="0.25">
      <c r="O724" s="21">
        <v>4.5055521304275192</v>
      </c>
    </row>
    <row r="725" spans="15:15" x14ac:dyDescent="0.25">
      <c r="O725" s="21">
        <v>5.4037024344425015</v>
      </c>
    </row>
    <row r="726" spans="15:15" x14ac:dyDescent="0.25">
      <c r="O726" s="21">
        <v>8.5906926379658088</v>
      </c>
    </row>
    <row r="727" spans="15:15" x14ac:dyDescent="0.25">
      <c r="O727" s="21">
        <v>2.5884358211089573</v>
      </c>
    </row>
    <row r="728" spans="15:15" x14ac:dyDescent="0.25">
      <c r="O728" s="21">
        <v>4.0987803063838388</v>
      </c>
    </row>
    <row r="729" spans="15:15" x14ac:dyDescent="0.25">
      <c r="O729" s="21">
        <v>3.5355339059327378</v>
      </c>
    </row>
    <row r="730" spans="15:15" x14ac:dyDescent="0.25">
      <c r="O730" s="21">
        <v>1.0954451150103321</v>
      </c>
    </row>
    <row r="731" spans="15:15" x14ac:dyDescent="0.25">
      <c r="O731" s="21">
        <v>2.7018512172212592</v>
      </c>
    </row>
    <row r="732" spans="15:15" x14ac:dyDescent="0.25">
      <c r="O732" s="21">
        <v>5.6745043836444466</v>
      </c>
    </row>
    <row r="733" spans="15:15" x14ac:dyDescent="0.25">
      <c r="O733" s="21">
        <v>4.8476798574163293</v>
      </c>
    </row>
    <row r="734" spans="15:15" x14ac:dyDescent="0.25">
      <c r="O734" s="21">
        <v>2.5495097567963922</v>
      </c>
    </row>
    <row r="735" spans="15:15" x14ac:dyDescent="0.25">
      <c r="O735" s="21">
        <v>4.7749345545253288</v>
      </c>
    </row>
    <row r="736" spans="15:15" x14ac:dyDescent="0.25">
      <c r="O736" s="21">
        <v>4.2071367935925261</v>
      </c>
    </row>
    <row r="737" spans="15:15" x14ac:dyDescent="0.25">
      <c r="O737" s="21">
        <v>5.8906705900092602</v>
      </c>
    </row>
    <row r="738" spans="15:15" x14ac:dyDescent="0.25">
      <c r="O738" s="21">
        <v>5.0299105359837117</v>
      </c>
    </row>
    <row r="739" spans="15:15" x14ac:dyDescent="0.25">
      <c r="O739" s="21">
        <v>5.2249401910452695</v>
      </c>
    </row>
    <row r="740" spans="15:15" x14ac:dyDescent="0.25">
      <c r="O740" s="21">
        <v>5.1185935568278955</v>
      </c>
    </row>
    <row r="741" spans="15:15" x14ac:dyDescent="0.25">
      <c r="O741" s="21">
        <v>5.7008771254956896</v>
      </c>
    </row>
    <row r="742" spans="15:15" x14ac:dyDescent="0.25">
      <c r="O742" s="21">
        <v>5.0695167422546126</v>
      </c>
    </row>
    <row r="743" spans="15:15" x14ac:dyDescent="0.25">
      <c r="O743" s="21">
        <v>1.7888543819998317</v>
      </c>
    </row>
    <row r="744" spans="15:15" x14ac:dyDescent="0.25">
      <c r="O744" s="21">
        <v>7.0851958335673437</v>
      </c>
    </row>
    <row r="745" spans="15:15" x14ac:dyDescent="0.25">
      <c r="O745" s="21">
        <v>4.8989794855663558</v>
      </c>
    </row>
    <row r="746" spans="15:15" x14ac:dyDescent="0.25">
      <c r="O746" s="21">
        <v>3.714835124201342</v>
      </c>
    </row>
    <row r="747" spans="15:15" x14ac:dyDescent="0.25">
      <c r="O747" s="21">
        <v>5.6833088953531448</v>
      </c>
    </row>
    <row r="748" spans="15:15" x14ac:dyDescent="0.25">
      <c r="O748" s="21">
        <v>7.2249567472753808</v>
      </c>
    </row>
    <row r="749" spans="15:15" x14ac:dyDescent="0.25">
      <c r="O749" s="21">
        <v>4.0865633483405102</v>
      </c>
    </row>
    <row r="750" spans="15:15" x14ac:dyDescent="0.25">
      <c r="O750" s="21">
        <v>5.3572380943915539</v>
      </c>
    </row>
    <row r="751" spans="15:15" x14ac:dyDescent="0.25">
      <c r="O751" s="21">
        <v>4.358898943540674</v>
      </c>
    </row>
    <row r="752" spans="15:15" x14ac:dyDescent="0.25">
      <c r="O752" s="21">
        <v>5.1185935568278955</v>
      </c>
    </row>
    <row r="753" spans="15:15" x14ac:dyDescent="0.25">
      <c r="O753" s="21">
        <v>9.3968079686668169</v>
      </c>
    </row>
    <row r="754" spans="15:15" x14ac:dyDescent="0.25">
      <c r="O754" s="21">
        <v>3.5355339059327378</v>
      </c>
    </row>
    <row r="755" spans="15:15" x14ac:dyDescent="0.25">
      <c r="O755" s="21">
        <v>6.2449979983983983</v>
      </c>
    </row>
    <row r="756" spans="15:15" x14ac:dyDescent="0.25">
      <c r="O756" s="21">
        <v>3.03315017762062</v>
      </c>
    </row>
    <row r="757" spans="15:15" x14ac:dyDescent="0.25">
      <c r="O757" s="21">
        <v>3.6331804249169903</v>
      </c>
    </row>
    <row r="758" spans="15:15" x14ac:dyDescent="0.25">
      <c r="O758" s="21">
        <v>5.0793700396801134</v>
      </c>
    </row>
    <row r="759" spans="15:15" x14ac:dyDescent="0.25">
      <c r="O759" s="21">
        <v>7.3688533707762129</v>
      </c>
    </row>
    <row r="760" spans="15:15" x14ac:dyDescent="0.25">
      <c r="O760" s="21">
        <v>4.8270073544588685</v>
      </c>
    </row>
    <row r="761" spans="15:15" x14ac:dyDescent="0.25">
      <c r="O761" s="21">
        <v>2.5884358211089573</v>
      </c>
    </row>
    <row r="762" spans="15:15" x14ac:dyDescent="0.25">
      <c r="O762" s="21">
        <v>4.3358966777357599</v>
      </c>
    </row>
    <row r="763" spans="15:15" x14ac:dyDescent="0.25">
      <c r="O763" s="21">
        <v>4.4497190922573981</v>
      </c>
    </row>
    <row r="764" spans="15:15" x14ac:dyDescent="0.25">
      <c r="O764" s="21">
        <v>4.92950301754649</v>
      </c>
    </row>
    <row r="765" spans="15:15" x14ac:dyDescent="0.25">
      <c r="O765" s="21">
        <v>4.5497252664309302</v>
      </c>
    </row>
    <row r="766" spans="15:15" x14ac:dyDescent="0.25">
      <c r="O766" s="21">
        <v>3.6742346141747673</v>
      </c>
    </row>
    <row r="767" spans="15:15" x14ac:dyDescent="0.25">
      <c r="O767" s="21">
        <v>2.3874672772626644</v>
      </c>
    </row>
    <row r="768" spans="15:15" x14ac:dyDescent="0.25">
      <c r="O768" s="21">
        <v>2.3021728866442674</v>
      </c>
    </row>
    <row r="769" spans="15:15" x14ac:dyDescent="0.25">
      <c r="O769" s="21">
        <v>2.4083189157584592</v>
      </c>
    </row>
    <row r="770" spans="15:15" x14ac:dyDescent="0.25">
      <c r="O770" s="21">
        <v>4.9497474683058327</v>
      </c>
    </row>
    <row r="771" spans="15:15" x14ac:dyDescent="0.25">
      <c r="O771" s="21">
        <v>4.7749345545253474</v>
      </c>
    </row>
    <row r="772" spans="15:15" x14ac:dyDescent="0.25">
      <c r="O772" s="21">
        <v>2</v>
      </c>
    </row>
    <row r="773" spans="15:15" x14ac:dyDescent="0.25">
      <c r="O773" s="21">
        <v>4</v>
      </c>
    </row>
    <row r="774" spans="15:15" x14ac:dyDescent="0.25">
      <c r="O774" s="21">
        <v>4.2071367935925261</v>
      </c>
    </row>
    <row r="775" spans="15:15" x14ac:dyDescent="0.25">
      <c r="O775" s="21">
        <v>4.0987803063838388</v>
      </c>
    </row>
    <row r="776" spans="15:15" x14ac:dyDescent="0.25">
      <c r="O776" s="21">
        <v>4.3931765272977596</v>
      </c>
    </row>
    <row r="777" spans="15:15" x14ac:dyDescent="0.25">
      <c r="O777" s="21">
        <v>0.89442719099991586</v>
      </c>
    </row>
    <row r="778" spans="15:15" x14ac:dyDescent="0.25">
      <c r="O778" s="21">
        <v>4</v>
      </c>
    </row>
    <row r="779" spans="15:15" x14ac:dyDescent="0.25">
      <c r="O779" s="21">
        <v>3.5637059362410923</v>
      </c>
    </row>
    <row r="780" spans="15:15" x14ac:dyDescent="0.25">
      <c r="O780" s="21">
        <v>3.4928498393145961</v>
      </c>
    </row>
    <row r="781" spans="15:15" x14ac:dyDescent="0.25">
      <c r="O781" s="21">
        <v>4.5055521304275237</v>
      </c>
    </row>
    <row r="782" spans="15:15" x14ac:dyDescent="0.25">
      <c r="O782" s="21">
        <v>2.5495097567963922</v>
      </c>
    </row>
    <row r="783" spans="15:15" x14ac:dyDescent="0.25">
      <c r="O783" s="21">
        <v>4.0373258476372698</v>
      </c>
    </row>
    <row r="784" spans="15:15" x14ac:dyDescent="0.25">
      <c r="O784" s="21">
        <v>5.0990195135927845</v>
      </c>
    </row>
    <row r="785" spans="15:15" x14ac:dyDescent="0.25">
      <c r="O785" s="21">
        <v>1.9235384061671343</v>
      </c>
    </row>
    <row r="786" spans="15:15" x14ac:dyDescent="0.25">
      <c r="O786" s="21">
        <v>5.5226805085936306</v>
      </c>
    </row>
    <row r="787" spans="15:15" x14ac:dyDescent="0.25">
      <c r="O787" s="21">
        <v>5.3572380943915539</v>
      </c>
    </row>
    <row r="788" spans="15:15" x14ac:dyDescent="0.25">
      <c r="O788" s="21">
        <v>7.1763500472036617</v>
      </c>
    </row>
    <row r="789" spans="15:15" x14ac:dyDescent="0.25">
      <c r="O789" s="21">
        <v>3.4928498393145961</v>
      </c>
    </row>
    <row r="790" spans="15:15" x14ac:dyDescent="0.25">
      <c r="O790" s="21">
        <v>7.1624018317880056</v>
      </c>
    </row>
    <row r="791" spans="15:15" x14ac:dyDescent="0.25">
      <c r="O791" s="21">
        <v>3.3166247903553998</v>
      </c>
    </row>
    <row r="792" spans="15:15" x14ac:dyDescent="0.25">
      <c r="O792" s="21">
        <v>2.3874672772626648</v>
      </c>
    </row>
    <row r="793" spans="15:15" x14ac:dyDescent="0.25">
      <c r="O793" s="21">
        <v>3.9115214431215888</v>
      </c>
    </row>
    <row r="794" spans="15:15" x14ac:dyDescent="0.25">
      <c r="O794" s="21">
        <v>2.7018512172212592</v>
      </c>
    </row>
    <row r="795" spans="15:15" x14ac:dyDescent="0.25">
      <c r="O795" s="21">
        <v>3.6331804249169903</v>
      </c>
    </row>
    <row r="796" spans="15:15" x14ac:dyDescent="0.25">
      <c r="O796" s="21">
        <v>4.3931765272977543</v>
      </c>
    </row>
    <row r="797" spans="15:15" x14ac:dyDescent="0.25">
      <c r="O797" s="21">
        <v>5.2630789467762895</v>
      </c>
    </row>
    <row r="798" spans="15:15" x14ac:dyDescent="0.25">
      <c r="O798" s="21">
        <v>5.7183913821983028</v>
      </c>
    </row>
    <row r="799" spans="15:15" x14ac:dyDescent="0.25">
      <c r="O799" s="21">
        <v>4.3817804600413295</v>
      </c>
    </row>
    <row r="800" spans="15:15" x14ac:dyDescent="0.25">
      <c r="O800" s="21">
        <v>5.4313902456001077</v>
      </c>
    </row>
    <row r="801" spans="15:15" x14ac:dyDescent="0.25">
      <c r="O801" s="21">
        <v>3.5637059362410923</v>
      </c>
    </row>
    <row r="802" spans="15:15" x14ac:dyDescent="0.25">
      <c r="O802" s="21">
        <v>4</v>
      </c>
    </row>
    <row r="803" spans="15:15" x14ac:dyDescent="0.25">
      <c r="O803" s="21">
        <v>4.6690470119714957</v>
      </c>
    </row>
    <row r="804" spans="15:15" x14ac:dyDescent="0.25">
      <c r="O804" s="21">
        <v>4.3011626335213133</v>
      </c>
    </row>
    <row r="805" spans="15:15" x14ac:dyDescent="0.25">
      <c r="O805" s="21">
        <v>3</v>
      </c>
    </row>
    <row r="806" spans="15:15" x14ac:dyDescent="0.25">
      <c r="O806" s="21">
        <v>4.2071367935925261</v>
      </c>
    </row>
    <row r="807" spans="15:15" x14ac:dyDescent="0.25">
      <c r="O807" s="21">
        <v>4.0249223594996213</v>
      </c>
    </row>
    <row r="808" spans="15:15" x14ac:dyDescent="0.25">
      <c r="O808" s="21">
        <v>4.0373258476372698</v>
      </c>
    </row>
    <row r="809" spans="15:15" x14ac:dyDescent="0.25">
      <c r="O809" s="21">
        <v>8.2643814045577653</v>
      </c>
    </row>
    <row r="810" spans="15:15" x14ac:dyDescent="0.25">
      <c r="O810" s="21">
        <v>5.1768716422179315</v>
      </c>
    </row>
    <row r="811" spans="15:15" x14ac:dyDescent="0.25">
      <c r="O811" s="21">
        <v>3.6055512754639891</v>
      </c>
    </row>
    <row r="812" spans="15:15" x14ac:dyDescent="0.25">
      <c r="O812" s="21">
        <v>5.5497747702046594</v>
      </c>
    </row>
    <row r="813" spans="15:15" x14ac:dyDescent="0.25">
      <c r="O813" s="21">
        <v>2</v>
      </c>
    </row>
    <row r="814" spans="15:15" x14ac:dyDescent="0.25">
      <c r="O814" s="21">
        <v>4.6690470119715002</v>
      </c>
    </row>
    <row r="815" spans="15:15" x14ac:dyDescent="0.25">
      <c r="O815" s="21">
        <v>4.636809247747852</v>
      </c>
    </row>
    <row r="816" spans="15:15" x14ac:dyDescent="0.25">
      <c r="O816" s="21">
        <v>1.1401754250991378</v>
      </c>
    </row>
    <row r="817" spans="15:15" x14ac:dyDescent="0.25">
      <c r="O817" s="21">
        <v>3.1144823004794873</v>
      </c>
    </row>
    <row r="818" spans="15:15" x14ac:dyDescent="0.25">
      <c r="O818" s="21">
        <v>3.4205262752974139</v>
      </c>
    </row>
    <row r="819" spans="15:15" x14ac:dyDescent="0.25">
      <c r="O819" s="21">
        <v>4.5055521304275237</v>
      </c>
    </row>
    <row r="820" spans="15:15" x14ac:dyDescent="0.25">
      <c r="O820" s="21">
        <v>4.3011626335213133</v>
      </c>
    </row>
    <row r="821" spans="15:15" x14ac:dyDescent="0.25">
      <c r="O821" s="21">
        <v>5.4129474410897602</v>
      </c>
    </row>
    <row r="822" spans="15:15" x14ac:dyDescent="0.25">
      <c r="O822" s="21">
        <v>2.2803508501982761</v>
      </c>
    </row>
    <row r="823" spans="15:15" x14ac:dyDescent="0.25">
      <c r="O823" s="21">
        <v>1.3038404810405297</v>
      </c>
    </row>
    <row r="824" spans="15:15" x14ac:dyDescent="0.25">
      <c r="O824" s="21">
        <v>4.3931765272977596</v>
      </c>
    </row>
    <row r="825" spans="15:15" x14ac:dyDescent="0.25">
      <c r="O825" s="21">
        <v>6.3007936008093308</v>
      </c>
    </row>
    <row r="826" spans="15:15" x14ac:dyDescent="0.25">
      <c r="O826" s="21">
        <v>2.7928480087537886</v>
      </c>
    </row>
    <row r="827" spans="15:15" x14ac:dyDescent="0.25">
      <c r="O827" s="21">
        <v>3.6055512754639891</v>
      </c>
    </row>
    <row r="828" spans="15:15" x14ac:dyDescent="0.25">
      <c r="O828" s="21">
        <v>3.5637059362410923</v>
      </c>
    </row>
    <row r="829" spans="15:15" x14ac:dyDescent="0.25">
      <c r="O829" s="21">
        <v>4.8682645778552391</v>
      </c>
    </row>
    <row r="830" spans="15:15" x14ac:dyDescent="0.25">
      <c r="O830" s="21">
        <v>8.0124902496040544</v>
      </c>
    </row>
    <row r="831" spans="15:15" x14ac:dyDescent="0.25">
      <c r="O831" s="21">
        <v>4.1472882706655438</v>
      </c>
    </row>
    <row r="832" spans="15:15" x14ac:dyDescent="0.25">
      <c r="O832" s="21">
        <v>6.5954529791364598</v>
      </c>
    </row>
    <row r="833" spans="15:15" x14ac:dyDescent="0.25">
      <c r="O833" s="21">
        <v>5.1283525619832515</v>
      </c>
    </row>
    <row r="834" spans="15:15" x14ac:dyDescent="0.25">
      <c r="O834" s="21">
        <v>5.3103672189406845</v>
      </c>
    </row>
    <row r="835" spans="15:15" x14ac:dyDescent="0.25">
      <c r="O835" s="21">
        <v>4.7222875812470573</v>
      </c>
    </row>
    <row r="836" spans="15:15" x14ac:dyDescent="0.25">
      <c r="O836" s="21">
        <v>5.6833088953531448</v>
      </c>
    </row>
    <row r="837" spans="15:15" x14ac:dyDescent="0.25">
      <c r="O837" s="21">
        <v>2.6076809620810595</v>
      </c>
    </row>
    <row r="838" spans="15:15" x14ac:dyDescent="0.25">
      <c r="O838" s="21">
        <v>5.3665631459995122</v>
      </c>
    </row>
    <row r="839" spans="15:15" x14ac:dyDescent="0.25">
      <c r="O839" s="21">
        <v>4.3243496620879309</v>
      </c>
    </row>
    <row r="840" spans="15:15" x14ac:dyDescent="0.25">
      <c r="O840" s="21">
        <v>3.3911649915626341</v>
      </c>
    </row>
    <row r="841" spans="15:15" x14ac:dyDescent="0.25">
      <c r="O841" s="21">
        <v>5.7879184513951127</v>
      </c>
    </row>
    <row r="842" spans="15:15" x14ac:dyDescent="0.25">
      <c r="O842" s="21">
        <v>3.4205262752974139</v>
      </c>
    </row>
    <row r="843" spans="15:15" x14ac:dyDescent="0.25">
      <c r="O843" s="21">
        <v>5.4037024344425015</v>
      </c>
    </row>
    <row r="844" spans="15:15" x14ac:dyDescent="0.25">
      <c r="O844" s="21">
        <v>3.872983346207417</v>
      </c>
    </row>
    <row r="845" spans="15:15" x14ac:dyDescent="0.25">
      <c r="O845" s="21">
        <v>2.3021728866442679</v>
      </c>
    </row>
    <row r="846" spans="15:15" x14ac:dyDescent="0.25">
      <c r="O846" s="21">
        <v>4.7222875812470333</v>
      </c>
    </row>
    <row r="847" spans="15:15" x14ac:dyDescent="0.25">
      <c r="O847" s="21">
        <v>4.8166378315169229</v>
      </c>
    </row>
    <row r="848" spans="15:15" x14ac:dyDescent="0.25">
      <c r="O848" s="21">
        <v>3.5637059362410919</v>
      </c>
    </row>
    <row r="849" spans="15:15" x14ac:dyDescent="0.25">
      <c r="O849" s="21">
        <v>2.8284271247461903</v>
      </c>
    </row>
    <row r="850" spans="15:15" x14ac:dyDescent="0.25">
      <c r="O850" s="21">
        <v>4.2190046219457971</v>
      </c>
    </row>
    <row r="851" spans="15:15" x14ac:dyDescent="0.25">
      <c r="O851" s="21">
        <v>3.271085446759225</v>
      </c>
    </row>
    <row r="852" spans="15:15" x14ac:dyDescent="0.25">
      <c r="O852" s="21">
        <v>3.7013511046643495</v>
      </c>
    </row>
    <row r="853" spans="15:15" x14ac:dyDescent="0.25">
      <c r="O853" s="21">
        <v>5.196152422706632</v>
      </c>
    </row>
    <row r="854" spans="15:15" x14ac:dyDescent="0.25">
      <c r="O854" s="21">
        <v>6.4031242374328485</v>
      </c>
    </row>
    <row r="855" spans="15:15" x14ac:dyDescent="0.25">
      <c r="O855" s="21">
        <v>4.0373258476372698</v>
      </c>
    </row>
    <row r="856" spans="15:15" x14ac:dyDescent="0.25">
      <c r="O856" s="21">
        <v>6.3639610306789276</v>
      </c>
    </row>
    <row r="857" spans="15:15" x14ac:dyDescent="0.25">
      <c r="O857" s="21">
        <v>3.7013511046643495</v>
      </c>
    </row>
    <row r="858" spans="15:15" x14ac:dyDescent="0.25">
      <c r="O858" s="21">
        <v>5.5677643628300215</v>
      </c>
    </row>
    <row r="859" spans="15:15" x14ac:dyDescent="0.25">
      <c r="O859" s="21">
        <v>2.0736441353327719</v>
      </c>
    </row>
    <row r="860" spans="15:15" x14ac:dyDescent="0.25">
      <c r="O860" s="21">
        <v>3.8987177379235853</v>
      </c>
    </row>
    <row r="861" spans="15:15" x14ac:dyDescent="0.25">
      <c r="O861" s="21">
        <v>7.3143694191638966</v>
      </c>
    </row>
    <row r="862" spans="15:15" x14ac:dyDescent="0.25">
      <c r="O862" s="21">
        <v>5.4772255750516612</v>
      </c>
    </row>
    <row r="863" spans="15:15" x14ac:dyDescent="0.25">
      <c r="O863" s="21">
        <v>4.9295030175465131</v>
      </c>
    </row>
    <row r="864" spans="15:15" x14ac:dyDescent="0.25">
      <c r="O864" s="21">
        <v>3.049590136395381</v>
      </c>
    </row>
    <row r="865" spans="15:15" x14ac:dyDescent="0.25">
      <c r="O865" s="21">
        <v>5.8906705900092406</v>
      </c>
    </row>
    <row r="866" spans="15:15" x14ac:dyDescent="0.25">
      <c r="O866" s="21">
        <v>3.7815340802378077</v>
      </c>
    </row>
    <row r="867" spans="15:15" x14ac:dyDescent="0.25">
      <c r="O867" s="21">
        <v>5.1283525619832293</v>
      </c>
    </row>
    <row r="868" spans="15:15" x14ac:dyDescent="0.25">
      <c r="O868" s="21">
        <v>5.727128425310557</v>
      </c>
    </row>
    <row r="869" spans="15:15" x14ac:dyDescent="0.25">
      <c r="O869" s="21">
        <v>8.7005746936624728</v>
      </c>
    </row>
    <row r="870" spans="15:15" x14ac:dyDescent="0.25">
      <c r="O870" s="21">
        <v>2.7928480087537886</v>
      </c>
    </row>
    <row r="871" spans="15:15" x14ac:dyDescent="0.25">
      <c r="O871" s="21">
        <v>4</v>
      </c>
    </row>
    <row r="872" spans="15:15" x14ac:dyDescent="0.25">
      <c r="O872" s="21">
        <v>3.4205262752974139</v>
      </c>
    </row>
    <row r="873" spans="15:15" x14ac:dyDescent="0.25">
      <c r="O873" s="21">
        <v>5.449770637375468</v>
      </c>
    </row>
    <row r="874" spans="15:15" x14ac:dyDescent="0.25">
      <c r="O874" s="21">
        <v>2.3021728866442674</v>
      </c>
    </row>
    <row r="875" spans="15:15" x14ac:dyDescent="0.25">
      <c r="O875" s="21">
        <v>4.4944410108488464</v>
      </c>
    </row>
    <row r="876" spans="15:15" x14ac:dyDescent="0.25">
      <c r="O876" s="21">
        <v>3.5071355833500366</v>
      </c>
    </row>
    <row r="877" spans="15:15" x14ac:dyDescent="0.25">
      <c r="O877" s="21">
        <v>3.4205262752974139</v>
      </c>
    </row>
    <row r="878" spans="15:15" x14ac:dyDescent="0.25">
      <c r="O878" s="21">
        <v>6.4031242374328485</v>
      </c>
    </row>
    <row r="879" spans="15:15" x14ac:dyDescent="0.25">
      <c r="O879" s="21">
        <v>4.1833001326703778</v>
      </c>
    </row>
    <row r="880" spans="15:15" x14ac:dyDescent="0.25">
      <c r="O880" s="21">
        <v>2.16794833886788</v>
      </c>
    </row>
    <row r="881" spans="15:15" x14ac:dyDescent="0.25">
      <c r="O881" s="21">
        <v>3.1937438845342623</v>
      </c>
    </row>
    <row r="882" spans="15:15" x14ac:dyDescent="0.25">
      <c r="O882" s="21">
        <v>4.5607017003965513</v>
      </c>
    </row>
    <row r="883" spans="15:15" x14ac:dyDescent="0.25">
      <c r="O883" s="21">
        <v>1.8708286933869707</v>
      </c>
    </row>
    <row r="884" spans="15:15" x14ac:dyDescent="0.25">
      <c r="O884" s="21">
        <v>1.3038404810405297</v>
      </c>
    </row>
    <row r="885" spans="15:15" x14ac:dyDescent="0.25">
      <c r="O885" s="21">
        <v>5.9160797830996161</v>
      </c>
    </row>
    <row r="886" spans="15:15" x14ac:dyDescent="0.25">
      <c r="O886" s="21">
        <v>1.4832396974191324</v>
      </c>
    </row>
    <row r="887" spans="15:15" x14ac:dyDescent="0.25">
      <c r="O887" s="21">
        <v>5.5407580708780317</v>
      </c>
    </row>
    <row r="888" spans="15:15" x14ac:dyDescent="0.25">
      <c r="O888" s="21">
        <v>2.9664793948382653</v>
      </c>
    </row>
    <row r="889" spans="15:15" x14ac:dyDescent="0.25">
      <c r="O889" s="21">
        <v>3.1937438845342623</v>
      </c>
    </row>
    <row r="890" spans="15:15" x14ac:dyDescent="0.25">
      <c r="O890" s="21">
        <v>6.5345237010818025</v>
      </c>
    </row>
    <row r="891" spans="15:15" x14ac:dyDescent="0.25">
      <c r="O891" s="21">
        <v>5.5407580708780113</v>
      </c>
    </row>
    <row r="892" spans="15:15" x14ac:dyDescent="0.25">
      <c r="O892" s="21">
        <v>3.9749213828703582</v>
      </c>
    </row>
    <row r="893" spans="15:15" x14ac:dyDescent="0.25">
      <c r="O893" s="21">
        <v>4.7644516998286193</v>
      </c>
    </row>
    <row r="894" spans="15:15" x14ac:dyDescent="0.25">
      <c r="O894" s="21">
        <v>5.3103672189406845</v>
      </c>
    </row>
    <row r="895" spans="15:15" x14ac:dyDescent="0.25">
      <c r="O895" s="21">
        <v>5.1283525619832515</v>
      </c>
    </row>
    <row r="896" spans="15:15" x14ac:dyDescent="0.25">
      <c r="O896" s="21">
        <v>4.7749345545253288</v>
      </c>
    </row>
    <row r="897" spans="15:15" x14ac:dyDescent="0.25">
      <c r="O897" s="21">
        <v>2.3021728866442679</v>
      </c>
    </row>
    <row r="898" spans="15:15" x14ac:dyDescent="0.25">
      <c r="O898" s="21">
        <v>3.8470768123342691</v>
      </c>
    </row>
    <row r="899" spans="15:15" x14ac:dyDescent="0.25">
      <c r="O899" s="21">
        <v>5.1185935568278955</v>
      </c>
    </row>
    <row r="900" spans="15:15" x14ac:dyDescent="0.25">
      <c r="O900" s="21">
        <v>3.5777087639996634</v>
      </c>
    </row>
    <row r="901" spans="15:15" x14ac:dyDescent="0.25">
      <c r="O901" s="21">
        <v>4.4721359549995796</v>
      </c>
    </row>
    <row r="902" spans="15:15" x14ac:dyDescent="0.25">
      <c r="O902" s="21">
        <v>8.8147603484155947</v>
      </c>
    </row>
    <row r="903" spans="15:15" x14ac:dyDescent="0.25">
      <c r="O903" s="21">
        <v>2.8284271247461903</v>
      </c>
    </row>
    <row r="904" spans="15:15" x14ac:dyDescent="0.25">
      <c r="O904" s="21">
        <v>4.0865633483405102</v>
      </c>
    </row>
    <row r="905" spans="15:15" x14ac:dyDescent="0.25">
      <c r="O905" s="21">
        <v>5.4589376255824682</v>
      </c>
    </row>
    <row r="906" spans="15:15" x14ac:dyDescent="0.25">
      <c r="O906" s="21">
        <v>2.2360679774997898</v>
      </c>
    </row>
    <row r="907" spans="15:15" x14ac:dyDescent="0.25">
      <c r="O907" s="21">
        <v>3.3911649915626341</v>
      </c>
    </row>
    <row r="908" spans="15:15" x14ac:dyDescent="0.25">
      <c r="O908" s="21">
        <v>2.16794833886788</v>
      </c>
    </row>
    <row r="909" spans="15:15" x14ac:dyDescent="0.25">
      <c r="O909" s="21">
        <v>5.0299105359837117</v>
      </c>
    </row>
    <row r="910" spans="15:15" x14ac:dyDescent="0.25">
      <c r="O910" s="21">
        <v>4.9295030175465131</v>
      </c>
    </row>
    <row r="911" spans="15:15" x14ac:dyDescent="0.25">
      <c r="O911" s="21">
        <v>2.7748873851023217</v>
      </c>
    </row>
    <row r="912" spans="15:15" x14ac:dyDescent="0.25">
      <c r="O912" s="21">
        <v>3.4351128074635335</v>
      </c>
    </row>
    <row r="913" spans="15:15" x14ac:dyDescent="0.25">
      <c r="O913" s="21">
        <v>4.4721359549995796</v>
      </c>
    </row>
    <row r="914" spans="15:15" x14ac:dyDescent="0.25">
      <c r="O914" s="21">
        <v>2.4899799195977463</v>
      </c>
    </row>
    <row r="915" spans="15:15" x14ac:dyDescent="0.25">
      <c r="O915" s="21">
        <v>4.5055521304275237</v>
      </c>
    </row>
    <row r="916" spans="15:15" x14ac:dyDescent="0.25">
      <c r="O916" s="21">
        <v>4.7644516998286432</v>
      </c>
    </row>
    <row r="917" spans="15:15" x14ac:dyDescent="0.25">
      <c r="O917" s="21">
        <v>7.0142711667000599</v>
      </c>
    </row>
    <row r="918" spans="15:15" x14ac:dyDescent="0.25">
      <c r="O918" s="21">
        <v>4.8166378315168989</v>
      </c>
    </row>
    <row r="919" spans="15:15" x14ac:dyDescent="0.25">
      <c r="O919" s="21">
        <v>3.271085446759225</v>
      </c>
    </row>
    <row r="920" spans="15:15" x14ac:dyDescent="0.25">
      <c r="O920" s="21">
        <v>2.8284271247461903</v>
      </c>
    </row>
    <row r="921" spans="15:15" x14ac:dyDescent="0.25">
      <c r="O921" s="21">
        <v>4.8270073544588632</v>
      </c>
    </row>
    <row r="922" spans="15:15" x14ac:dyDescent="0.25">
      <c r="O922" s="21">
        <v>4.6690470119714957</v>
      </c>
    </row>
    <row r="923" spans="15:15" x14ac:dyDescent="0.25">
      <c r="O923" s="21">
        <v>4.2426406871192848</v>
      </c>
    </row>
    <row r="924" spans="15:15" x14ac:dyDescent="0.25">
      <c r="O924" s="21">
        <v>3.8470768123342691</v>
      </c>
    </row>
    <row r="925" spans="15:15" x14ac:dyDescent="0.25">
      <c r="O925" s="21">
        <v>2.7748873851023217</v>
      </c>
    </row>
    <row r="926" spans="15:15" x14ac:dyDescent="0.25">
      <c r="O926" s="21">
        <v>4.3817804600413286</v>
      </c>
    </row>
    <row r="927" spans="15:15" x14ac:dyDescent="0.25">
      <c r="O927" s="21">
        <v>1.9235384061671343</v>
      </c>
    </row>
    <row r="928" spans="15:15" x14ac:dyDescent="0.25">
      <c r="O928" s="21">
        <v>8.8600225733346747</v>
      </c>
    </row>
    <row r="929" spans="15:15" x14ac:dyDescent="0.25">
      <c r="O929" s="21">
        <v>5.2249401910452482</v>
      </c>
    </row>
    <row r="930" spans="15:15" x14ac:dyDescent="0.25">
      <c r="O930" s="21">
        <v>2.0493901531919194</v>
      </c>
    </row>
    <row r="931" spans="15:15" x14ac:dyDescent="0.25">
      <c r="O931" s="21">
        <v>3.7682887362833544</v>
      </c>
    </row>
    <row r="932" spans="15:15" x14ac:dyDescent="0.25">
      <c r="O932" s="21">
        <v>5.1768716422179315</v>
      </c>
    </row>
    <row r="933" spans="15:15" x14ac:dyDescent="0.25">
      <c r="O933" s="21">
        <v>5.4037024344425015</v>
      </c>
    </row>
    <row r="934" spans="15:15" x14ac:dyDescent="0.25">
      <c r="O934" s="21">
        <v>4.8785243670601828</v>
      </c>
    </row>
    <row r="935" spans="15:15" x14ac:dyDescent="0.25">
      <c r="O935" s="21">
        <v>6.7675697262754486</v>
      </c>
    </row>
    <row r="936" spans="15:15" x14ac:dyDescent="0.25">
      <c r="O936" s="21">
        <v>3.4205262752974139</v>
      </c>
    </row>
    <row r="937" spans="15:15" x14ac:dyDescent="0.25">
      <c r="O937" s="21">
        <v>7.5033325929216401</v>
      </c>
    </row>
    <row r="938" spans="15:15" x14ac:dyDescent="0.25">
      <c r="O938" s="21">
        <v>5.5946402922797622</v>
      </c>
    </row>
    <row r="939" spans="15:15" x14ac:dyDescent="0.25">
      <c r="O939" s="21">
        <v>6.3482280992415481</v>
      </c>
    </row>
    <row r="940" spans="15:15" x14ac:dyDescent="0.25">
      <c r="O940" s="21">
        <v>3.9749213828703582</v>
      </c>
    </row>
    <row r="941" spans="15:15" x14ac:dyDescent="0.25">
      <c r="O941" s="21">
        <v>3.9370039370059056</v>
      </c>
    </row>
    <row r="942" spans="15:15" x14ac:dyDescent="0.25">
      <c r="O942" s="21">
        <v>4.3931765272977596</v>
      </c>
    </row>
    <row r="943" spans="15:15" x14ac:dyDescent="0.25">
      <c r="O943" s="21">
        <v>3.9115214431215888</v>
      </c>
    </row>
    <row r="944" spans="15:15" x14ac:dyDescent="0.25">
      <c r="O944" s="21">
        <v>3.3466401061363023</v>
      </c>
    </row>
    <row r="945" spans="15:15" x14ac:dyDescent="0.25">
      <c r="O945" s="21">
        <v>6.4031242374328485</v>
      </c>
    </row>
    <row r="946" spans="15:15" x14ac:dyDescent="0.25">
      <c r="O946" s="21">
        <v>4.0987803063838388</v>
      </c>
    </row>
    <row r="947" spans="15:15" x14ac:dyDescent="0.25">
      <c r="O947" s="21">
        <v>4.8270073544588632</v>
      </c>
    </row>
    <row r="948" spans="15:15" x14ac:dyDescent="0.25">
      <c r="O948" s="21">
        <v>4.8785243670602059</v>
      </c>
    </row>
    <row r="949" spans="15:15" x14ac:dyDescent="0.25">
      <c r="O949" s="21">
        <v>6.3482280992415658</v>
      </c>
    </row>
    <row r="950" spans="15:15" x14ac:dyDescent="0.25">
      <c r="O950" s="21">
        <v>5.1478150704935004</v>
      </c>
    </row>
    <row r="951" spans="15:15" x14ac:dyDescent="0.25">
      <c r="O951" s="21">
        <v>4.3817804600413286</v>
      </c>
    </row>
    <row r="952" spans="15:15" x14ac:dyDescent="0.25">
      <c r="O952" s="21">
        <v>4.6151923036857303</v>
      </c>
    </row>
    <row r="953" spans="15:15" x14ac:dyDescent="0.25">
      <c r="O953" s="21">
        <v>4.6690470119714957</v>
      </c>
    </row>
    <row r="954" spans="15:15" x14ac:dyDescent="0.25">
      <c r="O954" s="21">
        <v>4.92950301754649</v>
      </c>
    </row>
    <row r="955" spans="15:15" x14ac:dyDescent="0.25">
      <c r="O955" s="21">
        <v>5.4313902456001077</v>
      </c>
    </row>
    <row r="956" spans="15:15" x14ac:dyDescent="0.25">
      <c r="O956" s="21">
        <v>3.3166247903553998</v>
      </c>
    </row>
    <row r="957" spans="15:15" x14ac:dyDescent="0.25">
      <c r="O957" s="21">
        <v>4.9699094559156523</v>
      </c>
    </row>
    <row r="958" spans="15:15" x14ac:dyDescent="0.25">
      <c r="O958" s="21">
        <v>4.4384682042344297</v>
      </c>
    </row>
    <row r="959" spans="15:15" x14ac:dyDescent="0.25">
      <c r="O959" s="21">
        <v>3.5637059362410923</v>
      </c>
    </row>
    <row r="960" spans="15:15" x14ac:dyDescent="0.25">
      <c r="O960" s="21">
        <v>5.5407580708780113</v>
      </c>
    </row>
    <row r="961" spans="15:15" x14ac:dyDescent="0.25">
      <c r="O961" s="21">
        <v>6.9856996786292056</v>
      </c>
    </row>
    <row r="962" spans="15:15" x14ac:dyDescent="0.25">
      <c r="O962" s="21">
        <v>3.082207001484488</v>
      </c>
    </row>
    <row r="963" spans="15:15" x14ac:dyDescent="0.25">
      <c r="O963" s="21">
        <v>4.9699094559156753</v>
      </c>
    </row>
    <row r="964" spans="15:15" x14ac:dyDescent="0.25">
      <c r="O964" s="21">
        <v>6.9785385289471638</v>
      </c>
    </row>
    <row r="965" spans="15:15" x14ac:dyDescent="0.25">
      <c r="O965" s="21">
        <v>4.7958315233127191</v>
      </c>
    </row>
    <row r="966" spans="15:15" x14ac:dyDescent="0.25">
      <c r="O966" s="21">
        <v>2.4083189157584592</v>
      </c>
    </row>
    <row r="967" spans="15:15" x14ac:dyDescent="0.25">
      <c r="O967" s="21">
        <v>5.5045435778091703</v>
      </c>
    </row>
    <row r="968" spans="15:15" x14ac:dyDescent="0.25">
      <c r="O968" s="21">
        <v>2.7928480087537886</v>
      </c>
    </row>
    <row r="969" spans="15:15" x14ac:dyDescent="0.25">
      <c r="O969" s="21">
        <v>1.9235384061671343</v>
      </c>
    </row>
    <row r="970" spans="15:15" x14ac:dyDescent="0.25">
      <c r="O970" s="21">
        <v>4.7749345545253288</v>
      </c>
    </row>
    <row r="971" spans="15:15" x14ac:dyDescent="0.25">
      <c r="O971" s="21">
        <v>3.3615472627943221</v>
      </c>
    </row>
    <row r="972" spans="15:15" x14ac:dyDescent="0.25">
      <c r="O972" s="21">
        <v>5.5856960175075807</v>
      </c>
    </row>
    <row r="973" spans="15:15" x14ac:dyDescent="0.25">
      <c r="O973" s="21">
        <v>5.2630789467763108</v>
      </c>
    </row>
    <row r="974" spans="15:15" x14ac:dyDescent="0.25">
      <c r="O974" s="21">
        <v>2.3452078799117149</v>
      </c>
    </row>
    <row r="975" spans="15:15" x14ac:dyDescent="0.25">
      <c r="O975" s="21">
        <v>4.0620192023179804</v>
      </c>
    </row>
    <row r="976" spans="15:15" x14ac:dyDescent="0.25">
      <c r="O976" s="21">
        <v>5.2915026221291814</v>
      </c>
    </row>
    <row r="977" spans="15:15" x14ac:dyDescent="0.25">
      <c r="O977" s="21">
        <v>8.6139421869432145</v>
      </c>
    </row>
    <row r="978" spans="15:15" x14ac:dyDescent="0.25">
      <c r="O978" s="21">
        <v>2.8809720581775866</v>
      </c>
    </row>
    <row r="979" spans="15:15" x14ac:dyDescent="0.25">
      <c r="O979" s="21">
        <v>5.5497747702046594</v>
      </c>
    </row>
    <row r="980" spans="15:15" x14ac:dyDescent="0.25">
      <c r="O980" s="21">
        <v>4.8785243670601872</v>
      </c>
    </row>
    <row r="981" spans="15:15" x14ac:dyDescent="0.25">
      <c r="O981" s="21">
        <v>4.9497474683058327</v>
      </c>
    </row>
    <row r="982" spans="15:15" x14ac:dyDescent="0.25">
      <c r="O982" s="21">
        <v>4.3358966777357599</v>
      </c>
    </row>
    <row r="983" spans="15:15" x14ac:dyDescent="0.25">
      <c r="O983" s="21">
        <v>7.503332592921625</v>
      </c>
    </row>
    <row r="984" spans="15:15" x14ac:dyDescent="0.25">
      <c r="O984" s="21">
        <v>4.3243496620879363</v>
      </c>
    </row>
    <row r="985" spans="15:15" x14ac:dyDescent="0.25">
      <c r="O985" s="21">
        <v>7.3959448348402264</v>
      </c>
    </row>
    <row r="986" spans="15:15" x14ac:dyDescent="0.25">
      <c r="O986" s="21">
        <v>4.1231056256176606</v>
      </c>
    </row>
    <row r="987" spans="15:15" x14ac:dyDescent="0.25">
      <c r="O987" s="21">
        <v>6.5421708935184641</v>
      </c>
    </row>
    <row r="988" spans="15:15" x14ac:dyDescent="0.25">
      <c r="O988" s="21">
        <v>8.049844718999255</v>
      </c>
    </row>
    <row r="989" spans="15:15" x14ac:dyDescent="0.25">
      <c r="O989" s="21">
        <v>5.0199601592044578</v>
      </c>
    </row>
    <row r="990" spans="15:15" x14ac:dyDescent="0.25">
      <c r="O990" s="21">
        <v>6.0415229867972862</v>
      </c>
    </row>
    <row r="991" spans="15:15" x14ac:dyDescent="0.25">
      <c r="O991" s="21">
        <v>6.5802735505448542</v>
      </c>
    </row>
    <row r="992" spans="15:15" x14ac:dyDescent="0.25">
      <c r="O992" s="21">
        <v>2.4494897427831779</v>
      </c>
    </row>
    <row r="993" spans="15:15" x14ac:dyDescent="0.25">
      <c r="O993" s="21">
        <v>3.5355339059327378</v>
      </c>
    </row>
    <row r="994" spans="15:15" x14ac:dyDescent="0.25">
      <c r="O994" s="21">
        <v>3.7815340802378072</v>
      </c>
    </row>
    <row r="995" spans="15:15" x14ac:dyDescent="0.25">
      <c r="O995" s="21">
        <v>5.3385391260156556</v>
      </c>
    </row>
    <row r="996" spans="15:15" x14ac:dyDescent="0.25">
      <c r="O996" s="21">
        <v>1.1401754250991381</v>
      </c>
    </row>
    <row r="997" spans="15:15" x14ac:dyDescent="0.25">
      <c r="O997" s="21">
        <v>4.9193495504995424</v>
      </c>
    </row>
    <row r="998" spans="15:15" x14ac:dyDescent="0.25">
      <c r="O998" s="21">
        <v>5.4037024344425229</v>
      </c>
    </row>
    <row r="999" spans="15:15" x14ac:dyDescent="0.25">
      <c r="O999" s="21">
        <v>2.5495097567963922</v>
      </c>
    </row>
    <row r="1000" spans="15:15" x14ac:dyDescent="0.25">
      <c r="O1000" s="21">
        <v>9.1760557975635599</v>
      </c>
    </row>
    <row r="1001" spans="15:15" x14ac:dyDescent="0.25">
      <c r="O1001" s="21">
        <v>7.1203932475671463</v>
      </c>
    </row>
    <row r="1002" spans="15:15" x14ac:dyDescent="0.25">
      <c r="O1002" s="21">
        <v>1.9493588689617927</v>
      </c>
    </row>
    <row r="1003" spans="15:15" x14ac:dyDescent="0.25">
      <c r="O1003" s="21">
        <v>2.7928480087537886</v>
      </c>
    </row>
    <row r="1004" spans="15:15" x14ac:dyDescent="0.25">
      <c r="O1004" s="21">
        <v>6.3482280992415481</v>
      </c>
    </row>
    <row r="1005" spans="15:15" x14ac:dyDescent="0.25">
      <c r="O1005" s="21"/>
    </row>
    <row r="1006" spans="15:15" x14ac:dyDescent="0.25">
      <c r="O1006" s="21"/>
    </row>
    <row r="1007" spans="15:15" x14ac:dyDescent="0.25">
      <c r="O1007" s="21"/>
    </row>
    <row r="1008" spans="15:15" x14ac:dyDescent="0.25">
      <c r="O1008" s="21"/>
    </row>
    <row r="1009" spans="15:15" x14ac:dyDescent="0.25">
      <c r="O1009" s="21"/>
    </row>
    <row r="1010" spans="15:15" x14ac:dyDescent="0.25">
      <c r="O1010" s="21"/>
    </row>
    <row r="1011" spans="15:15" x14ac:dyDescent="0.25">
      <c r="O1011" s="21"/>
    </row>
    <row r="1012" spans="15:15" x14ac:dyDescent="0.25">
      <c r="O1012" s="21"/>
    </row>
    <row r="1013" spans="15:15" x14ac:dyDescent="0.25">
      <c r="O1013" s="21"/>
    </row>
    <row r="1014" spans="15:15" x14ac:dyDescent="0.25">
      <c r="O1014" s="21"/>
    </row>
    <row r="1015" spans="15:15" x14ac:dyDescent="0.25">
      <c r="O1015" s="21"/>
    </row>
    <row r="1016" spans="15:15" x14ac:dyDescent="0.25">
      <c r="O1016" s="21"/>
    </row>
    <row r="1017" spans="15:15" x14ac:dyDescent="0.25">
      <c r="O1017" s="21"/>
    </row>
    <row r="1018" spans="15:15" x14ac:dyDescent="0.25">
      <c r="O1018" s="21"/>
    </row>
    <row r="1019" spans="15:15" x14ac:dyDescent="0.25">
      <c r="O1019" s="21"/>
    </row>
    <row r="1020" spans="15:15" x14ac:dyDescent="0.25">
      <c r="O1020" s="21"/>
    </row>
    <row r="1021" spans="15:15" x14ac:dyDescent="0.25">
      <c r="O1021" s="21"/>
    </row>
    <row r="1022" spans="15:15" x14ac:dyDescent="0.25">
      <c r="O1022" s="21"/>
    </row>
    <row r="1023" spans="15:15" x14ac:dyDescent="0.25">
      <c r="O1023" s="21"/>
    </row>
    <row r="1024" spans="15:15" x14ac:dyDescent="0.25">
      <c r="O1024" s="21"/>
    </row>
    <row r="1025" spans="15:15" x14ac:dyDescent="0.25">
      <c r="O1025" s="21"/>
    </row>
    <row r="1026" spans="15:15" x14ac:dyDescent="0.25">
      <c r="O1026" s="21"/>
    </row>
    <row r="1027" spans="15:15" x14ac:dyDescent="0.25">
      <c r="O1027" s="21"/>
    </row>
    <row r="1028" spans="15:15" x14ac:dyDescent="0.25">
      <c r="O1028" s="21"/>
    </row>
    <row r="1029" spans="15:15" x14ac:dyDescent="0.25">
      <c r="O1029" s="21"/>
    </row>
    <row r="1030" spans="15:15" x14ac:dyDescent="0.25">
      <c r="O1030" s="21"/>
    </row>
    <row r="1031" spans="15:15" x14ac:dyDescent="0.25">
      <c r="O1031" s="21"/>
    </row>
    <row r="1032" spans="15:15" x14ac:dyDescent="0.25">
      <c r="O1032" s="21"/>
    </row>
    <row r="1033" spans="15:15" x14ac:dyDescent="0.25">
      <c r="O1033" s="21"/>
    </row>
    <row r="1034" spans="15:15" x14ac:dyDescent="0.25">
      <c r="O1034" s="21"/>
    </row>
    <row r="1035" spans="15:15" x14ac:dyDescent="0.25">
      <c r="O1035" s="21"/>
    </row>
    <row r="1036" spans="15:15" x14ac:dyDescent="0.25">
      <c r="O1036" s="21"/>
    </row>
    <row r="1037" spans="15:15" x14ac:dyDescent="0.25">
      <c r="O1037" s="21"/>
    </row>
    <row r="1038" spans="15:15" x14ac:dyDescent="0.25">
      <c r="O1038" s="21"/>
    </row>
    <row r="1039" spans="15:15" x14ac:dyDescent="0.25">
      <c r="O1039" s="21"/>
    </row>
    <row r="1040" spans="15:15" x14ac:dyDescent="0.25">
      <c r="O1040" s="21"/>
    </row>
    <row r="1041" spans="15:15" x14ac:dyDescent="0.25">
      <c r="O1041" s="21"/>
    </row>
    <row r="1042" spans="15:15" x14ac:dyDescent="0.25">
      <c r="O1042" s="21"/>
    </row>
    <row r="1043" spans="15:15" x14ac:dyDescent="0.25">
      <c r="O1043" s="21"/>
    </row>
    <row r="1044" spans="15:15" x14ac:dyDescent="0.25">
      <c r="O1044" s="21"/>
    </row>
    <row r="1045" spans="15:15" x14ac:dyDescent="0.25">
      <c r="O1045" s="21"/>
    </row>
    <row r="1046" spans="15:15" x14ac:dyDescent="0.25">
      <c r="O1046" s="21"/>
    </row>
    <row r="1047" spans="15:15" x14ac:dyDescent="0.25">
      <c r="O1047" s="21"/>
    </row>
    <row r="1048" spans="15:15" x14ac:dyDescent="0.25">
      <c r="O1048" s="21"/>
    </row>
    <row r="1049" spans="15:15" x14ac:dyDescent="0.25">
      <c r="O1049" s="21"/>
    </row>
    <row r="1050" spans="15:15" x14ac:dyDescent="0.25">
      <c r="O1050" s="21"/>
    </row>
    <row r="1051" spans="15:15" x14ac:dyDescent="0.25">
      <c r="O1051" s="21"/>
    </row>
    <row r="1052" spans="15:15" x14ac:dyDescent="0.25">
      <c r="O1052" s="21"/>
    </row>
    <row r="1053" spans="15:15" x14ac:dyDescent="0.25">
      <c r="O1053" s="21"/>
    </row>
    <row r="1054" spans="15:15" x14ac:dyDescent="0.25">
      <c r="O1054" s="21"/>
    </row>
    <row r="1055" spans="15:15" x14ac:dyDescent="0.25">
      <c r="O1055" s="21"/>
    </row>
    <row r="1056" spans="15:15" x14ac:dyDescent="0.25">
      <c r="O1056" s="21"/>
    </row>
    <row r="1057" spans="15:15" x14ac:dyDescent="0.25">
      <c r="O1057" s="21"/>
    </row>
    <row r="1058" spans="15:15" x14ac:dyDescent="0.25">
      <c r="O1058" s="21"/>
    </row>
    <row r="1059" spans="15:15" x14ac:dyDescent="0.25">
      <c r="O1059" s="21"/>
    </row>
    <row r="1060" spans="15:15" x14ac:dyDescent="0.25">
      <c r="O1060" s="21"/>
    </row>
    <row r="1061" spans="15:15" x14ac:dyDescent="0.25">
      <c r="O1061" s="21"/>
    </row>
    <row r="1062" spans="15:15" x14ac:dyDescent="0.25">
      <c r="O1062" s="21"/>
    </row>
    <row r="1063" spans="15:15" x14ac:dyDescent="0.25">
      <c r="O1063" s="21"/>
    </row>
    <row r="1064" spans="15:15" x14ac:dyDescent="0.25">
      <c r="O1064" s="21"/>
    </row>
    <row r="1065" spans="15:15" x14ac:dyDescent="0.25">
      <c r="O1065" s="21"/>
    </row>
    <row r="1066" spans="15:15" x14ac:dyDescent="0.25">
      <c r="O1066" s="21"/>
    </row>
    <row r="1067" spans="15:15" x14ac:dyDescent="0.25">
      <c r="O1067" s="21"/>
    </row>
    <row r="1068" spans="15:15" x14ac:dyDescent="0.25">
      <c r="O1068" s="21"/>
    </row>
    <row r="1069" spans="15:15" x14ac:dyDescent="0.25">
      <c r="O1069" s="21"/>
    </row>
    <row r="1070" spans="15:15" x14ac:dyDescent="0.25">
      <c r="O1070" s="21"/>
    </row>
    <row r="1071" spans="15:15" x14ac:dyDescent="0.25">
      <c r="O1071" s="21"/>
    </row>
    <row r="1072" spans="15:15" x14ac:dyDescent="0.25">
      <c r="O1072" s="21"/>
    </row>
    <row r="1073" spans="15:15" x14ac:dyDescent="0.25">
      <c r="O1073" s="21"/>
    </row>
    <row r="1074" spans="15:15" x14ac:dyDescent="0.25">
      <c r="O1074" s="21"/>
    </row>
    <row r="1075" spans="15:15" x14ac:dyDescent="0.25">
      <c r="O1075" s="21"/>
    </row>
    <row r="1076" spans="15:15" x14ac:dyDescent="0.25">
      <c r="O1076" s="21"/>
    </row>
    <row r="1077" spans="15:15" x14ac:dyDescent="0.25">
      <c r="O1077" s="21"/>
    </row>
    <row r="1078" spans="15:15" x14ac:dyDescent="0.25">
      <c r="O1078" s="21"/>
    </row>
    <row r="1079" spans="15:15" x14ac:dyDescent="0.25">
      <c r="O1079" s="21"/>
    </row>
    <row r="1080" spans="15:15" x14ac:dyDescent="0.25">
      <c r="O1080" s="21"/>
    </row>
    <row r="1081" spans="15:15" x14ac:dyDescent="0.25">
      <c r="O1081" s="21"/>
    </row>
    <row r="1082" spans="15:15" x14ac:dyDescent="0.25">
      <c r="O1082" s="21"/>
    </row>
    <row r="1083" spans="15:15" x14ac:dyDescent="0.25">
      <c r="O1083" s="21"/>
    </row>
    <row r="1084" spans="15:15" x14ac:dyDescent="0.25">
      <c r="O1084" s="21"/>
    </row>
    <row r="1085" spans="15:15" x14ac:dyDescent="0.25">
      <c r="O1085" s="21"/>
    </row>
    <row r="1086" spans="15:15" x14ac:dyDescent="0.25">
      <c r="O1086" s="21"/>
    </row>
    <row r="1087" spans="15:15" x14ac:dyDescent="0.25">
      <c r="O1087" s="21"/>
    </row>
    <row r="1088" spans="15:15" x14ac:dyDescent="0.25">
      <c r="O1088" s="21"/>
    </row>
    <row r="1089" spans="15:15" x14ac:dyDescent="0.25">
      <c r="O1089" s="21"/>
    </row>
    <row r="1090" spans="15:15" x14ac:dyDescent="0.25">
      <c r="O1090" s="21"/>
    </row>
    <row r="1091" spans="15:15" x14ac:dyDescent="0.25">
      <c r="O1091" s="21"/>
    </row>
    <row r="1092" spans="15:15" x14ac:dyDescent="0.25">
      <c r="O1092" s="21"/>
    </row>
    <row r="1093" spans="15:15" x14ac:dyDescent="0.25">
      <c r="O1093" s="21"/>
    </row>
    <row r="1094" spans="15:15" x14ac:dyDescent="0.25">
      <c r="O1094" s="21"/>
    </row>
    <row r="1095" spans="15:15" x14ac:dyDescent="0.25">
      <c r="O1095" s="21"/>
    </row>
    <row r="1096" spans="15:15" x14ac:dyDescent="0.25">
      <c r="O1096" s="21"/>
    </row>
    <row r="1097" spans="15:15" x14ac:dyDescent="0.25">
      <c r="O1097" s="21"/>
    </row>
    <row r="1098" spans="15:15" x14ac:dyDescent="0.25">
      <c r="O1098" s="21"/>
    </row>
    <row r="1099" spans="15:15" x14ac:dyDescent="0.25">
      <c r="O1099" s="21"/>
    </row>
    <row r="1100" spans="15:15" x14ac:dyDescent="0.25">
      <c r="O1100" s="21"/>
    </row>
    <row r="1101" spans="15:15" x14ac:dyDescent="0.25">
      <c r="O1101" s="21"/>
    </row>
    <row r="1102" spans="15:15" x14ac:dyDescent="0.25">
      <c r="O1102" s="21"/>
    </row>
    <row r="1103" spans="15:15" x14ac:dyDescent="0.25">
      <c r="O1103" s="21"/>
    </row>
    <row r="1104" spans="15:15" x14ac:dyDescent="0.25">
      <c r="O1104" s="21"/>
    </row>
    <row r="1105" spans="15:15" x14ac:dyDescent="0.25">
      <c r="O1105" s="21"/>
    </row>
    <row r="1106" spans="15:15" x14ac:dyDescent="0.25">
      <c r="O1106" s="21"/>
    </row>
    <row r="1107" spans="15:15" x14ac:dyDescent="0.25">
      <c r="O1107" s="21"/>
    </row>
    <row r="1108" spans="15:15" x14ac:dyDescent="0.25">
      <c r="O1108" s="21"/>
    </row>
    <row r="1109" spans="15:15" x14ac:dyDescent="0.25">
      <c r="O1109" s="21"/>
    </row>
    <row r="1110" spans="15:15" x14ac:dyDescent="0.25">
      <c r="O1110" s="21"/>
    </row>
    <row r="1111" spans="15:15" x14ac:dyDescent="0.25">
      <c r="O1111" s="21"/>
    </row>
    <row r="1112" spans="15:15" x14ac:dyDescent="0.25">
      <c r="O1112" s="21"/>
    </row>
    <row r="1113" spans="15:15" x14ac:dyDescent="0.25">
      <c r="O1113" s="21"/>
    </row>
    <row r="1114" spans="15:15" x14ac:dyDescent="0.25">
      <c r="O1114" s="21"/>
    </row>
    <row r="1115" spans="15:15" x14ac:dyDescent="0.25">
      <c r="O1115" s="21"/>
    </row>
    <row r="1116" spans="15:15" x14ac:dyDescent="0.25">
      <c r="O1116" s="21"/>
    </row>
    <row r="1117" spans="15:15" x14ac:dyDescent="0.25">
      <c r="O1117" s="21"/>
    </row>
    <row r="1118" spans="15:15" x14ac:dyDescent="0.25">
      <c r="O1118" s="21"/>
    </row>
    <row r="1119" spans="15:15" x14ac:dyDescent="0.25">
      <c r="O1119" s="21"/>
    </row>
    <row r="1120" spans="15:15" x14ac:dyDescent="0.25">
      <c r="O1120" s="21"/>
    </row>
    <row r="1121" spans="15:15" x14ac:dyDescent="0.25">
      <c r="O1121" s="21"/>
    </row>
    <row r="1122" spans="15:15" x14ac:dyDescent="0.25">
      <c r="O1122" s="21"/>
    </row>
    <row r="1123" spans="15:15" x14ac:dyDescent="0.25">
      <c r="O1123" s="21"/>
    </row>
    <row r="1124" spans="15:15" x14ac:dyDescent="0.25">
      <c r="O1124" s="21"/>
    </row>
    <row r="1125" spans="15:15" x14ac:dyDescent="0.25">
      <c r="O1125" s="21"/>
    </row>
    <row r="1126" spans="15:15" x14ac:dyDescent="0.25">
      <c r="O1126" s="21"/>
    </row>
    <row r="1127" spans="15:15" x14ac:dyDescent="0.25">
      <c r="O1127" s="21"/>
    </row>
    <row r="1128" spans="15:15" x14ac:dyDescent="0.25">
      <c r="O1128" s="21"/>
    </row>
    <row r="1129" spans="15:15" x14ac:dyDescent="0.25">
      <c r="O1129" s="21"/>
    </row>
    <row r="1130" spans="15:15" x14ac:dyDescent="0.25">
      <c r="O1130" s="21"/>
    </row>
    <row r="1131" spans="15:15" x14ac:dyDescent="0.25">
      <c r="O1131" s="21"/>
    </row>
    <row r="1132" spans="15:15" x14ac:dyDescent="0.25">
      <c r="O1132" s="21"/>
    </row>
    <row r="1133" spans="15:15" x14ac:dyDescent="0.25">
      <c r="O1133" s="21"/>
    </row>
    <row r="1134" spans="15:15" x14ac:dyDescent="0.25">
      <c r="O1134" s="21"/>
    </row>
    <row r="1135" spans="15:15" x14ac:dyDescent="0.25">
      <c r="O1135" s="21"/>
    </row>
    <row r="1136" spans="15:15" x14ac:dyDescent="0.25">
      <c r="O1136" s="21"/>
    </row>
    <row r="1137" spans="15:15" x14ac:dyDescent="0.25">
      <c r="O1137" s="21"/>
    </row>
    <row r="1138" spans="15:15" x14ac:dyDescent="0.25">
      <c r="O1138" s="21"/>
    </row>
    <row r="1139" spans="15:15" x14ac:dyDescent="0.25">
      <c r="O1139" s="21"/>
    </row>
    <row r="1140" spans="15:15" x14ac:dyDescent="0.25">
      <c r="O1140" s="21"/>
    </row>
    <row r="1141" spans="15:15" x14ac:dyDescent="0.25">
      <c r="O1141" s="21"/>
    </row>
    <row r="1142" spans="15:15" x14ac:dyDescent="0.25">
      <c r="O1142" s="21"/>
    </row>
    <row r="1143" spans="15:15" x14ac:dyDescent="0.25">
      <c r="O1143" s="21"/>
    </row>
    <row r="1144" spans="15:15" x14ac:dyDescent="0.25">
      <c r="O1144" s="21"/>
    </row>
    <row r="1145" spans="15:15" x14ac:dyDescent="0.25">
      <c r="O1145" s="21"/>
    </row>
    <row r="1146" spans="15:15" x14ac:dyDescent="0.25">
      <c r="O1146" s="21"/>
    </row>
    <row r="1147" spans="15:15" x14ac:dyDescent="0.25">
      <c r="O1147" s="21"/>
    </row>
    <row r="1148" spans="15:15" x14ac:dyDescent="0.25">
      <c r="O1148" s="21"/>
    </row>
    <row r="1149" spans="15:15" x14ac:dyDescent="0.25">
      <c r="O1149" s="21"/>
    </row>
    <row r="1150" spans="15:15" x14ac:dyDescent="0.25">
      <c r="O1150" s="21"/>
    </row>
    <row r="1151" spans="15:15" x14ac:dyDescent="0.25">
      <c r="O1151" s="21"/>
    </row>
    <row r="1152" spans="15:15" x14ac:dyDescent="0.25">
      <c r="O1152" s="21"/>
    </row>
    <row r="1153" spans="15:15" x14ac:dyDescent="0.25">
      <c r="O1153" s="21"/>
    </row>
    <row r="1154" spans="15:15" x14ac:dyDescent="0.25">
      <c r="O1154" s="21"/>
    </row>
    <row r="1155" spans="15:15" x14ac:dyDescent="0.25">
      <c r="O1155" s="21"/>
    </row>
    <row r="1156" spans="15:15" x14ac:dyDescent="0.25">
      <c r="O1156" s="21"/>
    </row>
    <row r="1157" spans="15:15" x14ac:dyDescent="0.25">
      <c r="O1157" s="21"/>
    </row>
    <row r="1158" spans="15:15" x14ac:dyDescent="0.25">
      <c r="O1158" s="21"/>
    </row>
    <row r="1159" spans="15:15" x14ac:dyDescent="0.25">
      <c r="O1159" s="21"/>
    </row>
    <row r="1160" spans="15:15" x14ac:dyDescent="0.25">
      <c r="O1160" s="21"/>
    </row>
    <row r="1161" spans="15:15" x14ac:dyDescent="0.25">
      <c r="O1161" s="21"/>
    </row>
    <row r="1162" spans="15:15" x14ac:dyDescent="0.25">
      <c r="O1162" s="21"/>
    </row>
    <row r="1163" spans="15:15" x14ac:dyDescent="0.25">
      <c r="O1163" s="21"/>
    </row>
    <row r="1164" spans="15:15" x14ac:dyDescent="0.25">
      <c r="O1164" s="21"/>
    </row>
    <row r="1165" spans="15:15" x14ac:dyDescent="0.25">
      <c r="O1165" s="21"/>
    </row>
    <row r="1166" spans="15:15" x14ac:dyDescent="0.25">
      <c r="O1166" s="21"/>
    </row>
    <row r="1167" spans="15:15" x14ac:dyDescent="0.25">
      <c r="O1167" s="21"/>
    </row>
    <row r="1168" spans="15:15" x14ac:dyDescent="0.25">
      <c r="O1168" s="21"/>
    </row>
    <row r="1169" spans="15:15" x14ac:dyDescent="0.25">
      <c r="O1169" s="21"/>
    </row>
    <row r="1170" spans="15:15" x14ac:dyDescent="0.25">
      <c r="O1170" s="21"/>
    </row>
    <row r="1171" spans="15:15" x14ac:dyDescent="0.25">
      <c r="O1171" s="21"/>
    </row>
    <row r="1172" spans="15:15" x14ac:dyDescent="0.25">
      <c r="O1172" s="21"/>
    </row>
    <row r="1173" spans="15:15" x14ac:dyDescent="0.25">
      <c r="O1173" s="21"/>
    </row>
    <row r="1174" spans="15:15" x14ac:dyDescent="0.25">
      <c r="O1174" s="21"/>
    </row>
    <row r="1175" spans="15:15" x14ac:dyDescent="0.25">
      <c r="O1175" s="21"/>
    </row>
    <row r="1176" spans="15:15" x14ac:dyDescent="0.25">
      <c r="O1176" s="21"/>
    </row>
    <row r="1177" spans="15:15" x14ac:dyDescent="0.25">
      <c r="O1177" s="21"/>
    </row>
    <row r="1178" spans="15:15" x14ac:dyDescent="0.25">
      <c r="O1178" s="21"/>
    </row>
    <row r="1179" spans="15:15" x14ac:dyDescent="0.25">
      <c r="O1179" s="21"/>
    </row>
    <row r="1180" spans="15:15" x14ac:dyDescent="0.25">
      <c r="O1180" s="21"/>
    </row>
    <row r="1181" spans="15:15" x14ac:dyDescent="0.25">
      <c r="O1181" s="21"/>
    </row>
    <row r="1182" spans="15:15" x14ac:dyDescent="0.25">
      <c r="O1182" s="21"/>
    </row>
    <row r="1183" spans="15:15" x14ac:dyDescent="0.25">
      <c r="O1183" s="21"/>
    </row>
    <row r="1184" spans="15:15" x14ac:dyDescent="0.25">
      <c r="O1184" s="21"/>
    </row>
    <row r="1185" spans="15:15" x14ac:dyDescent="0.25">
      <c r="O1185" s="21"/>
    </row>
    <row r="1186" spans="15:15" x14ac:dyDescent="0.25">
      <c r="O1186" s="21"/>
    </row>
    <row r="1187" spans="15:15" x14ac:dyDescent="0.25">
      <c r="O1187" s="21"/>
    </row>
    <row r="1188" spans="15:15" x14ac:dyDescent="0.25">
      <c r="O1188" s="21"/>
    </row>
    <row r="1189" spans="15:15" x14ac:dyDescent="0.25">
      <c r="O1189" s="21"/>
    </row>
    <row r="1190" spans="15:15" x14ac:dyDescent="0.25">
      <c r="O1190" s="21"/>
    </row>
    <row r="1191" spans="15:15" x14ac:dyDescent="0.25">
      <c r="O1191" s="21"/>
    </row>
    <row r="1192" spans="15:15" x14ac:dyDescent="0.25">
      <c r="O1192" s="21"/>
    </row>
    <row r="1193" spans="15:15" x14ac:dyDescent="0.25">
      <c r="O1193" s="21"/>
    </row>
    <row r="1194" spans="15:15" x14ac:dyDescent="0.25">
      <c r="O1194" s="21"/>
    </row>
    <row r="1195" spans="15:15" x14ac:dyDescent="0.25">
      <c r="O1195" s="21"/>
    </row>
    <row r="1196" spans="15:15" x14ac:dyDescent="0.25">
      <c r="O1196" s="21"/>
    </row>
    <row r="1197" spans="15:15" x14ac:dyDescent="0.25">
      <c r="O1197" s="21"/>
    </row>
    <row r="1198" spans="15:15" x14ac:dyDescent="0.25">
      <c r="O1198" s="21"/>
    </row>
    <row r="1199" spans="15:15" x14ac:dyDescent="0.25">
      <c r="O1199" s="21"/>
    </row>
    <row r="1200" spans="15:15" x14ac:dyDescent="0.25">
      <c r="O1200" s="21"/>
    </row>
    <row r="1201" spans="15:15" x14ac:dyDescent="0.25">
      <c r="O1201" s="21"/>
    </row>
    <row r="1202" spans="15:15" x14ac:dyDescent="0.25">
      <c r="O1202" s="21"/>
    </row>
    <row r="1203" spans="15:15" x14ac:dyDescent="0.25">
      <c r="O1203" s="21"/>
    </row>
    <row r="1204" spans="15:15" x14ac:dyDescent="0.25">
      <c r="O1204" s="21"/>
    </row>
    <row r="1205" spans="15:15" x14ac:dyDescent="0.25">
      <c r="O1205" s="21"/>
    </row>
    <row r="1206" spans="15:15" x14ac:dyDescent="0.25">
      <c r="O1206" s="21"/>
    </row>
    <row r="1207" spans="15:15" x14ac:dyDescent="0.25">
      <c r="O1207" s="21"/>
    </row>
    <row r="1208" spans="15:15" x14ac:dyDescent="0.25">
      <c r="O1208" s="21"/>
    </row>
    <row r="1209" spans="15:15" x14ac:dyDescent="0.25">
      <c r="O1209" s="21"/>
    </row>
    <row r="1210" spans="15:15" x14ac:dyDescent="0.25">
      <c r="O1210" s="21"/>
    </row>
    <row r="1211" spans="15:15" x14ac:dyDescent="0.25">
      <c r="O1211" s="21"/>
    </row>
    <row r="1212" spans="15:15" x14ac:dyDescent="0.25">
      <c r="O1212" s="21"/>
    </row>
    <row r="1213" spans="15:15" x14ac:dyDescent="0.25">
      <c r="O1213" s="21"/>
    </row>
    <row r="1214" spans="15:15" x14ac:dyDescent="0.25">
      <c r="O1214" s="21"/>
    </row>
    <row r="1215" spans="15:15" x14ac:dyDescent="0.25">
      <c r="O1215" s="21"/>
    </row>
    <row r="1216" spans="15:15" x14ac:dyDescent="0.25">
      <c r="O1216" s="21"/>
    </row>
    <row r="1217" spans="15:15" x14ac:dyDescent="0.25">
      <c r="O1217" s="21"/>
    </row>
    <row r="1218" spans="15:15" x14ac:dyDescent="0.25">
      <c r="O1218" s="21"/>
    </row>
    <row r="1219" spans="15:15" x14ac:dyDescent="0.25">
      <c r="O1219" s="21"/>
    </row>
    <row r="1220" spans="15:15" x14ac:dyDescent="0.25">
      <c r="O1220" s="21"/>
    </row>
    <row r="1221" spans="15:15" x14ac:dyDescent="0.25">
      <c r="O1221" s="21"/>
    </row>
    <row r="1222" spans="15:15" x14ac:dyDescent="0.25">
      <c r="O1222" s="21"/>
    </row>
    <row r="1223" spans="15:15" x14ac:dyDescent="0.25">
      <c r="O1223" s="21"/>
    </row>
    <row r="1224" spans="15:15" x14ac:dyDescent="0.25">
      <c r="O1224" s="21"/>
    </row>
    <row r="1225" spans="15:15" x14ac:dyDescent="0.25">
      <c r="O1225" s="21"/>
    </row>
    <row r="1226" spans="15:15" x14ac:dyDescent="0.25">
      <c r="O1226" s="21"/>
    </row>
    <row r="1227" spans="15:15" x14ac:dyDescent="0.25">
      <c r="O1227" s="21"/>
    </row>
    <row r="1228" spans="15:15" x14ac:dyDescent="0.25">
      <c r="O1228" s="21"/>
    </row>
    <row r="1229" spans="15:15" x14ac:dyDescent="0.25">
      <c r="O1229" s="21"/>
    </row>
    <row r="1230" spans="15:15" x14ac:dyDescent="0.25">
      <c r="O1230" s="21"/>
    </row>
    <row r="1231" spans="15:15" x14ac:dyDescent="0.25">
      <c r="O1231" s="21"/>
    </row>
    <row r="1232" spans="15:15" x14ac:dyDescent="0.25">
      <c r="O1232" s="21"/>
    </row>
    <row r="1233" spans="15:15" x14ac:dyDescent="0.25">
      <c r="O1233" s="21"/>
    </row>
    <row r="1234" spans="15:15" x14ac:dyDescent="0.25">
      <c r="O1234" s="21"/>
    </row>
    <row r="1235" spans="15:15" x14ac:dyDescent="0.25">
      <c r="O1235" s="21"/>
    </row>
    <row r="1236" spans="15:15" x14ac:dyDescent="0.25">
      <c r="O1236" s="21"/>
    </row>
    <row r="1237" spans="15:15" x14ac:dyDescent="0.25">
      <c r="O1237" s="21"/>
    </row>
    <row r="1238" spans="15:15" x14ac:dyDescent="0.25">
      <c r="O1238" s="21"/>
    </row>
    <row r="1239" spans="15:15" x14ac:dyDescent="0.25">
      <c r="O1239" s="21"/>
    </row>
    <row r="1240" spans="15:15" x14ac:dyDescent="0.25">
      <c r="O1240" s="21"/>
    </row>
    <row r="1241" spans="15:15" x14ac:dyDescent="0.25">
      <c r="O1241" s="21"/>
    </row>
    <row r="1242" spans="15:15" x14ac:dyDescent="0.25">
      <c r="O1242" s="21"/>
    </row>
    <row r="1243" spans="15:15" x14ac:dyDescent="0.25">
      <c r="O1243" s="21"/>
    </row>
    <row r="1244" spans="15:15" x14ac:dyDescent="0.25">
      <c r="O1244" s="21"/>
    </row>
    <row r="1245" spans="15:15" x14ac:dyDescent="0.25">
      <c r="O1245" s="21"/>
    </row>
    <row r="1246" spans="15:15" x14ac:dyDescent="0.25">
      <c r="O1246" s="21"/>
    </row>
    <row r="1247" spans="15:15" x14ac:dyDescent="0.25">
      <c r="O1247" s="21"/>
    </row>
    <row r="1248" spans="15:15" x14ac:dyDescent="0.25">
      <c r="O1248" s="21"/>
    </row>
    <row r="1249" spans="15:15" x14ac:dyDescent="0.25">
      <c r="O1249" s="21"/>
    </row>
    <row r="1250" spans="15:15" x14ac:dyDescent="0.25">
      <c r="O1250" s="21"/>
    </row>
    <row r="1251" spans="15:15" x14ac:dyDescent="0.25">
      <c r="O1251" s="21"/>
    </row>
    <row r="1252" spans="15:15" x14ac:dyDescent="0.25">
      <c r="O1252" s="21"/>
    </row>
    <row r="1253" spans="15:15" x14ac:dyDescent="0.25">
      <c r="O1253" s="21"/>
    </row>
    <row r="1254" spans="15:15" x14ac:dyDescent="0.25">
      <c r="O1254" s="21"/>
    </row>
    <row r="1255" spans="15:15" x14ac:dyDescent="0.25">
      <c r="O1255" s="21"/>
    </row>
    <row r="1256" spans="15:15" x14ac:dyDescent="0.25">
      <c r="O1256" s="21"/>
    </row>
    <row r="1257" spans="15:15" x14ac:dyDescent="0.25">
      <c r="O1257" s="21"/>
    </row>
    <row r="1258" spans="15:15" x14ac:dyDescent="0.25">
      <c r="O1258" s="21"/>
    </row>
    <row r="1259" spans="15:15" x14ac:dyDescent="0.25">
      <c r="O1259" s="21"/>
    </row>
    <row r="1260" spans="15:15" x14ac:dyDescent="0.25">
      <c r="O1260" s="21"/>
    </row>
    <row r="1261" spans="15:15" x14ac:dyDescent="0.25">
      <c r="O1261" s="21"/>
    </row>
    <row r="1262" spans="15:15" x14ac:dyDescent="0.25">
      <c r="O1262" s="21"/>
    </row>
    <row r="1263" spans="15:15" x14ac:dyDescent="0.25">
      <c r="O1263" s="21"/>
    </row>
    <row r="1264" spans="15:15" x14ac:dyDescent="0.25">
      <c r="O1264" s="21"/>
    </row>
    <row r="1265" spans="15:15" x14ac:dyDescent="0.25">
      <c r="O1265" s="21"/>
    </row>
    <row r="1266" spans="15:15" x14ac:dyDescent="0.25">
      <c r="O1266" s="21"/>
    </row>
    <row r="1267" spans="15:15" x14ac:dyDescent="0.25">
      <c r="O1267" s="21"/>
    </row>
    <row r="1268" spans="15:15" x14ac:dyDescent="0.25">
      <c r="O1268" s="21"/>
    </row>
    <row r="1269" spans="15:15" x14ac:dyDescent="0.25">
      <c r="O1269" s="21"/>
    </row>
    <row r="1270" spans="15:15" x14ac:dyDescent="0.25">
      <c r="O1270" s="21"/>
    </row>
    <row r="1271" spans="15:15" x14ac:dyDescent="0.25">
      <c r="O1271" s="21"/>
    </row>
    <row r="1272" spans="15:15" x14ac:dyDescent="0.25">
      <c r="O1272" s="21"/>
    </row>
    <row r="1273" spans="15:15" x14ac:dyDescent="0.25">
      <c r="O1273" s="21"/>
    </row>
    <row r="1274" spans="15:15" x14ac:dyDescent="0.25">
      <c r="O1274" s="21"/>
    </row>
    <row r="1275" spans="15:15" x14ac:dyDescent="0.25">
      <c r="O1275" s="21"/>
    </row>
    <row r="1276" spans="15:15" x14ac:dyDescent="0.25">
      <c r="O1276" s="21"/>
    </row>
    <row r="1277" spans="15:15" x14ac:dyDescent="0.25">
      <c r="O1277" s="21"/>
    </row>
    <row r="1278" spans="15:15" x14ac:dyDescent="0.25">
      <c r="O1278" s="21"/>
    </row>
    <row r="1279" spans="15:15" x14ac:dyDescent="0.25">
      <c r="O1279" s="21"/>
    </row>
    <row r="1280" spans="15:15" x14ac:dyDescent="0.25">
      <c r="O1280" s="21"/>
    </row>
    <row r="1281" spans="15:15" x14ac:dyDescent="0.25">
      <c r="O1281" s="21"/>
    </row>
    <row r="1282" spans="15:15" x14ac:dyDescent="0.25">
      <c r="O1282" s="21"/>
    </row>
    <row r="1283" spans="15:15" x14ac:dyDescent="0.25">
      <c r="O1283" s="21"/>
    </row>
    <row r="1284" spans="15:15" x14ac:dyDescent="0.25">
      <c r="O1284" s="21"/>
    </row>
    <row r="1285" spans="15:15" x14ac:dyDescent="0.25">
      <c r="O1285" s="21"/>
    </row>
    <row r="1286" spans="15:15" x14ac:dyDescent="0.25">
      <c r="O1286" s="21"/>
    </row>
    <row r="1287" spans="15:15" x14ac:dyDescent="0.25">
      <c r="O1287" s="21"/>
    </row>
    <row r="1288" spans="15:15" x14ac:dyDescent="0.25">
      <c r="O1288" s="21"/>
    </row>
    <row r="1289" spans="15:15" x14ac:dyDescent="0.25">
      <c r="O1289" s="21"/>
    </row>
    <row r="1290" spans="15:15" x14ac:dyDescent="0.25">
      <c r="O1290" s="21"/>
    </row>
    <row r="1291" spans="15:15" x14ac:dyDescent="0.25">
      <c r="O1291" s="21"/>
    </row>
    <row r="1292" spans="15:15" x14ac:dyDescent="0.25">
      <c r="O1292" s="21"/>
    </row>
    <row r="1293" spans="15:15" x14ac:dyDescent="0.25">
      <c r="O1293" s="21"/>
    </row>
    <row r="1294" spans="15:15" x14ac:dyDescent="0.25">
      <c r="O1294" s="21"/>
    </row>
    <row r="1295" spans="15:15" x14ac:dyDescent="0.25">
      <c r="O1295" s="21"/>
    </row>
    <row r="1296" spans="15:15" x14ac:dyDescent="0.25">
      <c r="O1296" s="21"/>
    </row>
    <row r="1297" spans="15:15" x14ac:dyDescent="0.25">
      <c r="O1297" s="21"/>
    </row>
    <row r="1298" spans="15:15" x14ac:dyDescent="0.25">
      <c r="O1298" s="21"/>
    </row>
    <row r="1299" spans="15:15" x14ac:dyDescent="0.25">
      <c r="O1299" s="21"/>
    </row>
    <row r="1300" spans="15:15" x14ac:dyDescent="0.25">
      <c r="O1300" s="21"/>
    </row>
    <row r="1301" spans="15:15" x14ac:dyDescent="0.25">
      <c r="O1301" s="21"/>
    </row>
    <row r="1302" spans="15:15" x14ac:dyDescent="0.25">
      <c r="O1302" s="21"/>
    </row>
    <row r="1303" spans="15:15" x14ac:dyDescent="0.25">
      <c r="O1303" s="21"/>
    </row>
    <row r="1304" spans="15:15" x14ac:dyDescent="0.25">
      <c r="O1304" s="21"/>
    </row>
    <row r="1305" spans="15:15" x14ac:dyDescent="0.25">
      <c r="O1305" s="21"/>
    </row>
    <row r="1306" spans="15:15" x14ac:dyDescent="0.25">
      <c r="O1306" s="21"/>
    </row>
    <row r="1307" spans="15:15" x14ac:dyDescent="0.25">
      <c r="O1307" s="21"/>
    </row>
    <row r="1308" spans="15:15" x14ac:dyDescent="0.25">
      <c r="O1308" s="21"/>
    </row>
    <row r="1309" spans="15:15" x14ac:dyDescent="0.25">
      <c r="O1309" s="21"/>
    </row>
    <row r="1310" spans="15:15" x14ac:dyDescent="0.25">
      <c r="O1310" s="21"/>
    </row>
    <row r="1311" spans="15:15" x14ac:dyDescent="0.25">
      <c r="O1311" s="21"/>
    </row>
    <row r="1312" spans="15:15" x14ac:dyDescent="0.25">
      <c r="O1312" s="21"/>
    </row>
    <row r="1313" spans="15:15" x14ac:dyDescent="0.25">
      <c r="O1313" s="21"/>
    </row>
    <row r="1314" spans="15:15" x14ac:dyDescent="0.25">
      <c r="O1314" s="21"/>
    </row>
    <row r="1315" spans="15:15" x14ac:dyDescent="0.25">
      <c r="O1315" s="21"/>
    </row>
    <row r="1316" spans="15:15" x14ac:dyDescent="0.25">
      <c r="O1316" s="21"/>
    </row>
    <row r="1317" spans="15:15" x14ac:dyDescent="0.25">
      <c r="O1317" s="21"/>
    </row>
    <row r="1318" spans="15:15" x14ac:dyDescent="0.25">
      <c r="O1318" s="21"/>
    </row>
    <row r="1319" spans="15:15" x14ac:dyDescent="0.25">
      <c r="O1319" s="21"/>
    </row>
    <row r="1320" spans="15:15" x14ac:dyDescent="0.25">
      <c r="O1320" s="21"/>
    </row>
    <row r="1321" spans="15:15" x14ac:dyDescent="0.25">
      <c r="O1321" s="21"/>
    </row>
    <row r="1322" spans="15:15" x14ac:dyDescent="0.25">
      <c r="O1322" s="21"/>
    </row>
    <row r="1323" spans="15:15" x14ac:dyDescent="0.25">
      <c r="O1323" s="21"/>
    </row>
    <row r="1324" spans="15:15" x14ac:dyDescent="0.25">
      <c r="O1324" s="21"/>
    </row>
    <row r="1325" spans="15:15" x14ac:dyDescent="0.25">
      <c r="O1325" s="21"/>
    </row>
    <row r="1326" spans="15:15" x14ac:dyDescent="0.25">
      <c r="O1326" s="21"/>
    </row>
    <row r="1327" spans="15:15" x14ac:dyDescent="0.25">
      <c r="O1327" s="21"/>
    </row>
    <row r="1328" spans="15:15" x14ac:dyDescent="0.25">
      <c r="O1328" s="21"/>
    </row>
    <row r="1329" spans="15:15" x14ac:dyDescent="0.25">
      <c r="O1329" s="21"/>
    </row>
    <row r="1330" spans="15:15" x14ac:dyDescent="0.25">
      <c r="O1330" s="21"/>
    </row>
    <row r="1331" spans="15:15" x14ac:dyDescent="0.25">
      <c r="O1331" s="21"/>
    </row>
    <row r="1332" spans="15:15" x14ac:dyDescent="0.25">
      <c r="O1332" s="21"/>
    </row>
    <row r="1333" spans="15:15" x14ac:dyDescent="0.25">
      <c r="O1333" s="21"/>
    </row>
    <row r="1334" spans="15:15" x14ac:dyDescent="0.25">
      <c r="O1334" s="21"/>
    </row>
    <row r="1335" spans="15:15" x14ac:dyDescent="0.25">
      <c r="O1335" s="21"/>
    </row>
    <row r="1336" spans="15:15" x14ac:dyDescent="0.25">
      <c r="O1336" s="21"/>
    </row>
    <row r="1337" spans="15:15" x14ac:dyDescent="0.25">
      <c r="O1337" s="21"/>
    </row>
    <row r="1338" spans="15:15" x14ac:dyDescent="0.25">
      <c r="O1338" s="21"/>
    </row>
    <row r="1339" spans="15:15" x14ac:dyDescent="0.25">
      <c r="O1339" s="21"/>
    </row>
    <row r="1340" spans="15:15" x14ac:dyDescent="0.25">
      <c r="O1340" s="21"/>
    </row>
    <row r="1341" spans="15:15" x14ac:dyDescent="0.25">
      <c r="O1341" s="21"/>
    </row>
    <row r="1342" spans="15:15" x14ac:dyDescent="0.25">
      <c r="O1342" s="21"/>
    </row>
    <row r="1343" spans="15:15" x14ac:dyDescent="0.25">
      <c r="O1343" s="21"/>
    </row>
    <row r="1344" spans="15:15" x14ac:dyDescent="0.25">
      <c r="O1344" s="21"/>
    </row>
    <row r="1345" spans="15:15" x14ac:dyDescent="0.25">
      <c r="O1345" s="21"/>
    </row>
    <row r="1346" spans="15:15" x14ac:dyDescent="0.25">
      <c r="O1346" s="21"/>
    </row>
    <row r="1347" spans="15:15" x14ac:dyDescent="0.25">
      <c r="O1347" s="21"/>
    </row>
    <row r="1348" spans="15:15" x14ac:dyDescent="0.25">
      <c r="O1348" s="21"/>
    </row>
    <row r="1349" spans="15:15" x14ac:dyDescent="0.25">
      <c r="O1349" s="21"/>
    </row>
    <row r="1350" spans="15:15" x14ac:dyDescent="0.25">
      <c r="O1350" s="21"/>
    </row>
    <row r="1351" spans="15:15" x14ac:dyDescent="0.25">
      <c r="O1351" s="21"/>
    </row>
    <row r="1352" spans="15:15" x14ac:dyDescent="0.25">
      <c r="O1352" s="21"/>
    </row>
    <row r="1353" spans="15:15" x14ac:dyDescent="0.25">
      <c r="O1353" s="21"/>
    </row>
    <row r="1354" spans="15:15" x14ac:dyDescent="0.25">
      <c r="O1354" s="21"/>
    </row>
    <row r="1355" spans="15:15" x14ac:dyDescent="0.25">
      <c r="O1355" s="21"/>
    </row>
    <row r="1356" spans="15:15" x14ac:dyDescent="0.25">
      <c r="O1356" s="21"/>
    </row>
    <row r="1357" spans="15:15" x14ac:dyDescent="0.25">
      <c r="O1357" s="21"/>
    </row>
    <row r="1358" spans="15:15" x14ac:dyDescent="0.25">
      <c r="O1358" s="21"/>
    </row>
    <row r="1359" spans="15:15" x14ac:dyDescent="0.25">
      <c r="O1359" s="21"/>
    </row>
    <row r="1360" spans="15:15" x14ac:dyDescent="0.25">
      <c r="O1360" s="21"/>
    </row>
    <row r="1361" spans="15:15" x14ac:dyDescent="0.25">
      <c r="O1361" s="21"/>
    </row>
    <row r="1362" spans="15:15" x14ac:dyDescent="0.25">
      <c r="O1362" s="21"/>
    </row>
    <row r="1363" spans="15:15" x14ac:dyDescent="0.25">
      <c r="O1363" s="21"/>
    </row>
    <row r="1364" spans="15:15" x14ac:dyDescent="0.25">
      <c r="O1364" s="21"/>
    </row>
    <row r="1365" spans="15:15" x14ac:dyDescent="0.25">
      <c r="O1365" s="21"/>
    </row>
    <row r="1366" spans="15:15" x14ac:dyDescent="0.25">
      <c r="O1366" s="21"/>
    </row>
    <row r="1367" spans="15:15" x14ac:dyDescent="0.25">
      <c r="O1367" s="21"/>
    </row>
    <row r="1368" spans="15:15" x14ac:dyDescent="0.25">
      <c r="O1368" s="21"/>
    </row>
    <row r="1369" spans="15:15" x14ac:dyDescent="0.25">
      <c r="O1369" s="21"/>
    </row>
    <row r="1370" spans="15:15" x14ac:dyDescent="0.25">
      <c r="O1370" s="21"/>
    </row>
    <row r="1371" spans="15:15" x14ac:dyDescent="0.25">
      <c r="O1371" s="21"/>
    </row>
    <row r="1372" spans="15:15" x14ac:dyDescent="0.25">
      <c r="O1372" s="21"/>
    </row>
    <row r="1373" spans="15:15" x14ac:dyDescent="0.25">
      <c r="O1373" s="21"/>
    </row>
    <row r="1374" spans="15:15" x14ac:dyDescent="0.25">
      <c r="O1374" s="21"/>
    </row>
    <row r="1375" spans="15:15" x14ac:dyDescent="0.25">
      <c r="O1375" s="21"/>
    </row>
    <row r="1376" spans="15:15" x14ac:dyDescent="0.25">
      <c r="O1376" s="21"/>
    </row>
    <row r="1377" spans="15:15" x14ac:dyDescent="0.25">
      <c r="O1377" s="21"/>
    </row>
    <row r="1378" spans="15:15" x14ac:dyDescent="0.25">
      <c r="O1378" s="21"/>
    </row>
    <row r="1379" spans="15:15" x14ac:dyDescent="0.25">
      <c r="O1379" s="21"/>
    </row>
    <row r="1380" spans="15:15" x14ac:dyDescent="0.25">
      <c r="O1380" s="21"/>
    </row>
    <row r="1381" spans="15:15" x14ac:dyDescent="0.25">
      <c r="O1381" s="21"/>
    </row>
    <row r="1382" spans="15:15" x14ac:dyDescent="0.25">
      <c r="O1382" s="21"/>
    </row>
    <row r="1383" spans="15:15" x14ac:dyDescent="0.25">
      <c r="O1383" s="21"/>
    </row>
    <row r="1384" spans="15:15" x14ac:dyDescent="0.25">
      <c r="O1384" s="21"/>
    </row>
    <row r="1385" spans="15:15" x14ac:dyDescent="0.25">
      <c r="O1385" s="21"/>
    </row>
    <row r="1386" spans="15:15" x14ac:dyDescent="0.25">
      <c r="O1386" s="21"/>
    </row>
    <row r="1387" spans="15:15" x14ac:dyDescent="0.25">
      <c r="O1387" s="21"/>
    </row>
    <row r="1388" spans="15:15" x14ac:dyDescent="0.25">
      <c r="O1388" s="21"/>
    </row>
    <row r="1389" spans="15:15" x14ac:dyDescent="0.25">
      <c r="O1389" s="21"/>
    </row>
    <row r="1390" spans="15:15" x14ac:dyDescent="0.25">
      <c r="O1390" s="21"/>
    </row>
    <row r="1391" spans="15:15" x14ac:dyDescent="0.25">
      <c r="O1391" s="21"/>
    </row>
    <row r="1392" spans="15:15" x14ac:dyDescent="0.25">
      <c r="O1392" s="21"/>
    </row>
    <row r="1393" spans="15:15" x14ac:dyDescent="0.25">
      <c r="O1393" s="21"/>
    </row>
    <row r="1394" spans="15:15" x14ac:dyDescent="0.25">
      <c r="O1394" s="21"/>
    </row>
    <row r="1395" spans="15:15" x14ac:dyDescent="0.25">
      <c r="O1395" s="21"/>
    </row>
    <row r="1396" spans="15:15" x14ac:dyDescent="0.25">
      <c r="O1396" s="21"/>
    </row>
    <row r="1397" spans="15:15" x14ac:dyDescent="0.25">
      <c r="O1397" s="21"/>
    </row>
    <row r="1398" spans="15:15" x14ac:dyDescent="0.25">
      <c r="O1398" s="21"/>
    </row>
    <row r="1399" spans="15:15" x14ac:dyDescent="0.25">
      <c r="O1399" s="21"/>
    </row>
    <row r="1400" spans="15:15" x14ac:dyDescent="0.25">
      <c r="O1400" s="21"/>
    </row>
    <row r="1401" spans="15:15" x14ac:dyDescent="0.25">
      <c r="O1401" s="21"/>
    </row>
    <row r="1402" spans="15:15" x14ac:dyDescent="0.25">
      <c r="O1402" s="21"/>
    </row>
    <row r="1403" spans="15:15" x14ac:dyDescent="0.25">
      <c r="O1403" s="21"/>
    </row>
    <row r="1404" spans="15:15" x14ac:dyDescent="0.25">
      <c r="O1404" s="21"/>
    </row>
    <row r="1405" spans="15:15" x14ac:dyDescent="0.25">
      <c r="O1405" s="21"/>
    </row>
    <row r="1406" spans="15:15" x14ac:dyDescent="0.25">
      <c r="O1406" s="21"/>
    </row>
    <row r="1407" spans="15:15" x14ac:dyDescent="0.25">
      <c r="O1407" s="21"/>
    </row>
    <row r="1408" spans="15:15" x14ac:dyDescent="0.25">
      <c r="O1408" s="21"/>
    </row>
    <row r="1409" spans="15:15" x14ac:dyDescent="0.25">
      <c r="O1409" s="21"/>
    </row>
    <row r="1410" spans="15:15" x14ac:dyDescent="0.25">
      <c r="O1410" s="21"/>
    </row>
    <row r="1411" spans="15:15" x14ac:dyDescent="0.25">
      <c r="O1411" s="21"/>
    </row>
    <row r="1412" spans="15:15" x14ac:dyDescent="0.25">
      <c r="O1412" s="21"/>
    </row>
    <row r="1413" spans="15:15" x14ac:dyDescent="0.25">
      <c r="O1413" s="21"/>
    </row>
    <row r="1414" spans="15:15" x14ac:dyDescent="0.25">
      <c r="O1414" s="21"/>
    </row>
    <row r="1415" spans="15:15" x14ac:dyDescent="0.25">
      <c r="O1415" s="21"/>
    </row>
    <row r="1416" spans="15:15" x14ac:dyDescent="0.25">
      <c r="O1416" s="21"/>
    </row>
    <row r="1417" spans="15:15" x14ac:dyDescent="0.25">
      <c r="O1417" s="21"/>
    </row>
    <row r="1418" spans="15:15" x14ac:dyDescent="0.25">
      <c r="O1418" s="21"/>
    </row>
    <row r="1419" spans="15:15" x14ac:dyDescent="0.25">
      <c r="O1419" s="21"/>
    </row>
    <row r="1420" spans="15:15" x14ac:dyDescent="0.25">
      <c r="O1420" s="21"/>
    </row>
    <row r="1421" spans="15:15" x14ac:dyDescent="0.25">
      <c r="O1421" s="21"/>
    </row>
    <row r="1422" spans="15:15" x14ac:dyDescent="0.25">
      <c r="O1422" s="21"/>
    </row>
    <row r="1423" spans="15:15" x14ac:dyDescent="0.25">
      <c r="O1423" s="21"/>
    </row>
    <row r="1424" spans="15:15" x14ac:dyDescent="0.25">
      <c r="O1424" s="21"/>
    </row>
    <row r="1425" spans="15:15" x14ac:dyDescent="0.25">
      <c r="O1425" s="21"/>
    </row>
    <row r="1426" spans="15:15" x14ac:dyDescent="0.25">
      <c r="O1426" s="21"/>
    </row>
    <row r="1427" spans="15:15" x14ac:dyDescent="0.25">
      <c r="O1427" s="21"/>
    </row>
    <row r="1428" spans="15:15" x14ac:dyDescent="0.25">
      <c r="O1428" s="21"/>
    </row>
    <row r="1429" spans="15:15" x14ac:dyDescent="0.25">
      <c r="O1429" s="21"/>
    </row>
    <row r="1430" spans="15:15" x14ac:dyDescent="0.25">
      <c r="O1430" s="21"/>
    </row>
    <row r="1431" spans="15:15" x14ac:dyDescent="0.25">
      <c r="O1431" s="21"/>
    </row>
    <row r="1432" spans="15:15" x14ac:dyDescent="0.25">
      <c r="O1432" s="21"/>
    </row>
    <row r="1433" spans="15:15" x14ac:dyDescent="0.25">
      <c r="O1433" s="21"/>
    </row>
    <row r="1434" spans="15:15" x14ac:dyDescent="0.25">
      <c r="O1434" s="21"/>
    </row>
    <row r="1435" spans="15:15" x14ac:dyDescent="0.25">
      <c r="O1435" s="21"/>
    </row>
    <row r="1436" spans="15:15" x14ac:dyDescent="0.25">
      <c r="O1436" s="21"/>
    </row>
    <row r="1437" spans="15:15" x14ac:dyDescent="0.25">
      <c r="O1437" s="21"/>
    </row>
    <row r="1438" spans="15:15" x14ac:dyDescent="0.25">
      <c r="O1438" s="21"/>
    </row>
    <row r="1439" spans="15:15" x14ac:dyDescent="0.25">
      <c r="O1439" s="21"/>
    </row>
    <row r="1440" spans="15:15" x14ac:dyDescent="0.25">
      <c r="O1440" s="21"/>
    </row>
    <row r="1441" spans="15:15" x14ac:dyDescent="0.25">
      <c r="O1441" s="21"/>
    </row>
    <row r="1442" spans="15:15" x14ac:dyDescent="0.25">
      <c r="O1442" s="21"/>
    </row>
    <row r="1443" spans="15:15" x14ac:dyDescent="0.25">
      <c r="O1443" s="21"/>
    </row>
    <row r="1444" spans="15:15" x14ac:dyDescent="0.25">
      <c r="O1444" s="21"/>
    </row>
    <row r="1445" spans="15:15" x14ac:dyDescent="0.25">
      <c r="O1445" s="21"/>
    </row>
    <row r="1446" spans="15:15" x14ac:dyDescent="0.25">
      <c r="O1446" s="21"/>
    </row>
    <row r="1447" spans="15:15" x14ac:dyDescent="0.25">
      <c r="O1447" s="21"/>
    </row>
    <row r="1448" spans="15:15" x14ac:dyDescent="0.25">
      <c r="O1448" s="21"/>
    </row>
    <row r="1449" spans="15:15" x14ac:dyDescent="0.25">
      <c r="O1449" s="21"/>
    </row>
    <row r="1450" spans="15:15" x14ac:dyDescent="0.25">
      <c r="O1450" s="21"/>
    </row>
    <row r="1451" spans="15:15" x14ac:dyDescent="0.25">
      <c r="O1451" s="21"/>
    </row>
    <row r="1452" spans="15:15" x14ac:dyDescent="0.25">
      <c r="O1452" s="21"/>
    </row>
    <row r="1453" spans="15:15" x14ac:dyDescent="0.25">
      <c r="O1453" s="21"/>
    </row>
    <row r="1454" spans="15:15" x14ac:dyDescent="0.25">
      <c r="O1454" s="21"/>
    </row>
    <row r="1455" spans="15:15" x14ac:dyDescent="0.25">
      <c r="O1455" s="21"/>
    </row>
    <row r="1456" spans="15:15" x14ac:dyDescent="0.25">
      <c r="O1456" s="21"/>
    </row>
    <row r="1457" spans="15:15" x14ac:dyDescent="0.25">
      <c r="O1457" s="21"/>
    </row>
    <row r="1458" spans="15:15" x14ac:dyDescent="0.25">
      <c r="O1458" s="21"/>
    </row>
    <row r="1459" spans="15:15" x14ac:dyDescent="0.25">
      <c r="O1459" s="21"/>
    </row>
    <row r="1460" spans="15:15" x14ac:dyDescent="0.25">
      <c r="O1460" s="21"/>
    </row>
    <row r="1461" spans="15:15" x14ac:dyDescent="0.25">
      <c r="O1461" s="21"/>
    </row>
    <row r="1462" spans="15:15" x14ac:dyDescent="0.25">
      <c r="O1462" s="21"/>
    </row>
    <row r="1463" spans="15:15" x14ac:dyDescent="0.25">
      <c r="O1463" s="21"/>
    </row>
    <row r="1464" spans="15:15" x14ac:dyDescent="0.25">
      <c r="O1464" s="21"/>
    </row>
    <row r="1465" spans="15:15" x14ac:dyDescent="0.25">
      <c r="O1465" s="21"/>
    </row>
    <row r="1466" spans="15:15" x14ac:dyDescent="0.25">
      <c r="O1466" s="21"/>
    </row>
    <row r="1467" spans="15:15" x14ac:dyDescent="0.25">
      <c r="O1467" s="21"/>
    </row>
    <row r="1468" spans="15:15" x14ac:dyDescent="0.25">
      <c r="O1468" s="21"/>
    </row>
    <row r="1469" spans="15:15" x14ac:dyDescent="0.25">
      <c r="O1469" s="21"/>
    </row>
    <row r="1470" spans="15:15" x14ac:dyDescent="0.25">
      <c r="O1470" s="21"/>
    </row>
    <row r="1471" spans="15:15" x14ac:dyDescent="0.25">
      <c r="O1471" s="21"/>
    </row>
    <row r="1472" spans="15:15" x14ac:dyDescent="0.25">
      <c r="O1472" s="21"/>
    </row>
    <row r="1473" spans="15:15" x14ac:dyDescent="0.25">
      <c r="O1473" s="21"/>
    </row>
    <row r="1474" spans="15:15" x14ac:dyDescent="0.25">
      <c r="O1474" s="21"/>
    </row>
    <row r="1475" spans="15:15" x14ac:dyDescent="0.25">
      <c r="O1475" s="21"/>
    </row>
    <row r="1476" spans="15:15" x14ac:dyDescent="0.25">
      <c r="O1476" s="21"/>
    </row>
    <row r="1477" spans="15:15" x14ac:dyDescent="0.25">
      <c r="O1477" s="21"/>
    </row>
    <row r="1478" spans="15:15" x14ac:dyDescent="0.25">
      <c r="O1478" s="21"/>
    </row>
    <row r="1479" spans="15:15" x14ac:dyDescent="0.25">
      <c r="O1479" s="21"/>
    </row>
    <row r="1480" spans="15:15" x14ac:dyDescent="0.25">
      <c r="O1480" s="21"/>
    </row>
    <row r="1481" spans="15:15" x14ac:dyDescent="0.25">
      <c r="O1481" s="21"/>
    </row>
    <row r="1482" spans="15:15" x14ac:dyDescent="0.25">
      <c r="O1482" s="21"/>
    </row>
    <row r="1483" spans="15:15" x14ac:dyDescent="0.25">
      <c r="O1483" s="21"/>
    </row>
    <row r="1484" spans="15:15" x14ac:dyDescent="0.25">
      <c r="O1484" s="21"/>
    </row>
    <row r="1485" spans="15:15" x14ac:dyDescent="0.25">
      <c r="O1485" s="21"/>
    </row>
    <row r="1486" spans="15:15" x14ac:dyDescent="0.25">
      <c r="O1486" s="21"/>
    </row>
    <row r="1487" spans="15:15" x14ac:dyDescent="0.25">
      <c r="O1487" s="21"/>
    </row>
    <row r="1488" spans="15:15" x14ac:dyDescent="0.25">
      <c r="O1488" s="21"/>
    </row>
    <row r="1489" spans="15:15" x14ac:dyDescent="0.25">
      <c r="O1489" s="21"/>
    </row>
    <row r="1490" spans="15:15" x14ac:dyDescent="0.25">
      <c r="O1490" s="21"/>
    </row>
    <row r="1491" spans="15:15" x14ac:dyDescent="0.25">
      <c r="O1491" s="21"/>
    </row>
    <row r="1492" spans="15:15" x14ac:dyDescent="0.25">
      <c r="O1492" s="21"/>
    </row>
    <row r="1493" spans="15:15" x14ac:dyDescent="0.25">
      <c r="O1493" s="21"/>
    </row>
    <row r="1494" spans="15:15" x14ac:dyDescent="0.25">
      <c r="O1494" s="21"/>
    </row>
    <row r="1495" spans="15:15" x14ac:dyDescent="0.25">
      <c r="O1495" s="21"/>
    </row>
    <row r="1496" spans="15:15" x14ac:dyDescent="0.25">
      <c r="O1496" s="21"/>
    </row>
    <row r="1497" spans="15:15" x14ac:dyDescent="0.25">
      <c r="O1497" s="21"/>
    </row>
    <row r="1498" spans="15:15" x14ac:dyDescent="0.25">
      <c r="O1498" s="21"/>
    </row>
    <row r="1499" spans="15:15" x14ac:dyDescent="0.25">
      <c r="O1499" s="21"/>
    </row>
    <row r="1500" spans="15:15" x14ac:dyDescent="0.25">
      <c r="O1500" s="21"/>
    </row>
    <row r="1501" spans="15:15" x14ac:dyDescent="0.25">
      <c r="O1501" s="21"/>
    </row>
    <row r="1502" spans="15:15" x14ac:dyDescent="0.25">
      <c r="O1502" s="21"/>
    </row>
    <row r="1503" spans="15:15" x14ac:dyDescent="0.25">
      <c r="O1503" s="21"/>
    </row>
    <row r="1504" spans="15:15" x14ac:dyDescent="0.25">
      <c r="O1504" s="21"/>
    </row>
    <row r="1505" spans="15:15" x14ac:dyDescent="0.25">
      <c r="O1505" s="21"/>
    </row>
    <row r="1506" spans="15:15" x14ac:dyDescent="0.25">
      <c r="O1506" s="21"/>
    </row>
    <row r="1507" spans="15:15" x14ac:dyDescent="0.25">
      <c r="O1507" s="21"/>
    </row>
    <row r="1508" spans="15:15" x14ac:dyDescent="0.25">
      <c r="O1508" s="21"/>
    </row>
    <row r="1509" spans="15:15" x14ac:dyDescent="0.25">
      <c r="O1509" s="21"/>
    </row>
    <row r="1510" spans="15:15" x14ac:dyDescent="0.25">
      <c r="O1510" s="21"/>
    </row>
    <row r="1511" spans="15:15" x14ac:dyDescent="0.25">
      <c r="O1511" s="21"/>
    </row>
    <row r="1512" spans="15:15" x14ac:dyDescent="0.25">
      <c r="O1512" s="21"/>
    </row>
    <row r="1513" spans="15:15" x14ac:dyDescent="0.25">
      <c r="O1513" s="21"/>
    </row>
    <row r="1514" spans="15:15" x14ac:dyDescent="0.25">
      <c r="O1514" s="21"/>
    </row>
    <row r="1515" spans="15:15" x14ac:dyDescent="0.25">
      <c r="O1515" s="21"/>
    </row>
    <row r="1516" spans="15:15" x14ac:dyDescent="0.25">
      <c r="O1516" s="21"/>
    </row>
    <row r="1517" spans="15:15" x14ac:dyDescent="0.25">
      <c r="O1517" s="21"/>
    </row>
    <row r="1518" spans="15:15" x14ac:dyDescent="0.25">
      <c r="O1518" s="21"/>
    </row>
    <row r="1519" spans="15:15" x14ac:dyDescent="0.25">
      <c r="O1519" s="21"/>
    </row>
    <row r="1520" spans="15:15" x14ac:dyDescent="0.25">
      <c r="O1520" s="21"/>
    </row>
    <row r="1521" spans="15:15" x14ac:dyDescent="0.25">
      <c r="O1521" s="21"/>
    </row>
    <row r="1522" spans="15:15" x14ac:dyDescent="0.25">
      <c r="O1522" s="21"/>
    </row>
    <row r="1523" spans="15:15" x14ac:dyDescent="0.25">
      <c r="O1523" s="21"/>
    </row>
    <row r="1524" spans="15:15" x14ac:dyDescent="0.25">
      <c r="O1524" s="21"/>
    </row>
    <row r="1525" spans="15:15" x14ac:dyDescent="0.25">
      <c r="O1525" s="21"/>
    </row>
    <row r="1526" spans="15:15" x14ac:dyDescent="0.25">
      <c r="O1526" s="21"/>
    </row>
    <row r="1527" spans="15:15" x14ac:dyDescent="0.25">
      <c r="O1527" s="21"/>
    </row>
    <row r="1528" spans="15:15" x14ac:dyDescent="0.25">
      <c r="O1528" s="21"/>
    </row>
    <row r="1529" spans="15:15" x14ac:dyDescent="0.25">
      <c r="O1529" s="21"/>
    </row>
    <row r="1530" spans="15:15" x14ac:dyDescent="0.25">
      <c r="O1530" s="21"/>
    </row>
    <row r="1531" spans="15:15" x14ac:dyDescent="0.25">
      <c r="O1531" s="21"/>
    </row>
    <row r="1532" spans="15:15" x14ac:dyDescent="0.25">
      <c r="O1532" s="21"/>
    </row>
    <row r="1533" spans="15:15" x14ac:dyDescent="0.25">
      <c r="O1533" s="21"/>
    </row>
    <row r="1534" spans="15:15" x14ac:dyDescent="0.25">
      <c r="O1534" s="21"/>
    </row>
    <row r="1535" spans="15:15" x14ac:dyDescent="0.25">
      <c r="O1535" s="21"/>
    </row>
    <row r="1536" spans="15:15" x14ac:dyDescent="0.25">
      <c r="O1536" s="21"/>
    </row>
    <row r="1537" spans="15:15" x14ac:dyDescent="0.25">
      <c r="O1537" s="21"/>
    </row>
    <row r="1538" spans="15:15" x14ac:dyDescent="0.25">
      <c r="O1538" s="21"/>
    </row>
    <row r="1539" spans="15:15" x14ac:dyDescent="0.25">
      <c r="O1539" s="21"/>
    </row>
    <row r="1540" spans="15:15" x14ac:dyDescent="0.25">
      <c r="O1540" s="21"/>
    </row>
    <row r="1541" spans="15:15" x14ac:dyDescent="0.25">
      <c r="O1541" s="21"/>
    </row>
    <row r="1542" spans="15:15" x14ac:dyDescent="0.25">
      <c r="O1542" s="21"/>
    </row>
    <row r="1543" spans="15:15" x14ac:dyDescent="0.25">
      <c r="O1543" s="21"/>
    </row>
    <row r="1544" spans="15:15" x14ac:dyDescent="0.25">
      <c r="O1544" s="21"/>
    </row>
    <row r="1545" spans="15:15" x14ac:dyDescent="0.25">
      <c r="O1545" s="21"/>
    </row>
    <row r="1546" spans="15:15" x14ac:dyDescent="0.25">
      <c r="O1546" s="21"/>
    </row>
    <row r="1547" spans="15:15" x14ac:dyDescent="0.25">
      <c r="O1547" s="21"/>
    </row>
    <row r="1548" spans="15:15" x14ac:dyDescent="0.25">
      <c r="O1548" s="21"/>
    </row>
    <row r="1549" spans="15:15" x14ac:dyDescent="0.25">
      <c r="O1549" s="21"/>
    </row>
    <row r="1550" spans="15:15" x14ac:dyDescent="0.25">
      <c r="O1550" s="21"/>
    </row>
    <row r="1551" spans="15:15" x14ac:dyDescent="0.25">
      <c r="O1551" s="21"/>
    </row>
    <row r="1552" spans="15:15" x14ac:dyDescent="0.25">
      <c r="O1552" s="21"/>
    </row>
    <row r="1553" spans="15:15" x14ac:dyDescent="0.25">
      <c r="O1553" s="21"/>
    </row>
    <row r="1554" spans="15:15" x14ac:dyDescent="0.25">
      <c r="O1554" s="21"/>
    </row>
    <row r="1555" spans="15:15" x14ac:dyDescent="0.25">
      <c r="O1555" s="21"/>
    </row>
    <row r="1556" spans="15:15" x14ac:dyDescent="0.25">
      <c r="O1556" s="21"/>
    </row>
    <row r="1557" spans="15:15" x14ac:dyDescent="0.25">
      <c r="O1557" s="21"/>
    </row>
    <row r="1558" spans="15:15" x14ac:dyDescent="0.25">
      <c r="O1558" s="21"/>
    </row>
    <row r="1559" spans="15:15" x14ac:dyDescent="0.25">
      <c r="O1559" s="21"/>
    </row>
    <row r="1560" spans="15:15" x14ac:dyDescent="0.25">
      <c r="O1560" s="21"/>
    </row>
    <row r="1561" spans="15:15" x14ac:dyDescent="0.25">
      <c r="O1561" s="21"/>
    </row>
    <row r="1562" spans="15:15" x14ac:dyDescent="0.25">
      <c r="O1562" s="21"/>
    </row>
    <row r="1563" spans="15:15" x14ac:dyDescent="0.25">
      <c r="O1563" s="21"/>
    </row>
    <row r="1564" spans="15:15" x14ac:dyDescent="0.25">
      <c r="O1564" s="21"/>
    </row>
    <row r="1565" spans="15:15" x14ac:dyDescent="0.25">
      <c r="O1565" s="21"/>
    </row>
    <row r="1566" spans="15:15" x14ac:dyDescent="0.25">
      <c r="O1566" s="21"/>
    </row>
    <row r="1567" spans="15:15" x14ac:dyDescent="0.25">
      <c r="O1567" s="21"/>
    </row>
    <row r="1568" spans="15:15" x14ac:dyDescent="0.25">
      <c r="O1568" s="21"/>
    </row>
    <row r="1569" spans="15:15" x14ac:dyDescent="0.25">
      <c r="O1569" s="21"/>
    </row>
    <row r="1570" spans="15:15" x14ac:dyDescent="0.25">
      <c r="O1570" s="21"/>
    </row>
    <row r="1571" spans="15:15" x14ac:dyDescent="0.25">
      <c r="O1571" s="21"/>
    </row>
    <row r="1572" spans="15:15" x14ac:dyDescent="0.25">
      <c r="O1572" s="21"/>
    </row>
    <row r="1573" spans="15:15" x14ac:dyDescent="0.25">
      <c r="O1573" s="21"/>
    </row>
    <row r="1574" spans="15:15" x14ac:dyDescent="0.25">
      <c r="O1574" s="21"/>
    </row>
    <row r="1575" spans="15:15" x14ac:dyDescent="0.25">
      <c r="O1575" s="21"/>
    </row>
    <row r="1576" spans="15:15" x14ac:dyDescent="0.25">
      <c r="O1576" s="21"/>
    </row>
    <row r="1577" spans="15:15" x14ac:dyDescent="0.25">
      <c r="O1577" s="21"/>
    </row>
    <row r="1578" spans="15:15" x14ac:dyDescent="0.25">
      <c r="O1578" s="21"/>
    </row>
    <row r="1579" spans="15:15" x14ac:dyDescent="0.25">
      <c r="O1579" s="21"/>
    </row>
    <row r="1580" spans="15:15" x14ac:dyDescent="0.25">
      <c r="O1580" s="21"/>
    </row>
    <row r="1581" spans="15:15" x14ac:dyDescent="0.25">
      <c r="O1581" s="21"/>
    </row>
    <row r="1582" spans="15:15" x14ac:dyDescent="0.25">
      <c r="O1582" s="21"/>
    </row>
    <row r="1583" spans="15:15" x14ac:dyDescent="0.25">
      <c r="O1583" s="21"/>
    </row>
    <row r="1584" spans="15:15" x14ac:dyDescent="0.25">
      <c r="O1584" s="21"/>
    </row>
    <row r="1585" spans="15:15" x14ac:dyDescent="0.25">
      <c r="O1585" s="21"/>
    </row>
    <row r="1586" spans="15:15" x14ac:dyDescent="0.25">
      <c r="O1586" s="21"/>
    </row>
    <row r="1587" spans="15:15" x14ac:dyDescent="0.25">
      <c r="O1587" s="21"/>
    </row>
    <row r="1588" spans="15:15" x14ac:dyDescent="0.25">
      <c r="O1588" s="21"/>
    </row>
    <row r="1589" spans="15:15" x14ac:dyDescent="0.25">
      <c r="O1589" s="21"/>
    </row>
    <row r="1590" spans="15:15" x14ac:dyDescent="0.25">
      <c r="O1590" s="21"/>
    </row>
    <row r="1591" spans="15:15" x14ac:dyDescent="0.25">
      <c r="O1591" s="21"/>
    </row>
    <row r="1592" spans="15:15" x14ac:dyDescent="0.25">
      <c r="O1592" s="21"/>
    </row>
    <row r="1593" spans="15:15" x14ac:dyDescent="0.25">
      <c r="O1593" s="21"/>
    </row>
    <row r="1594" spans="15:15" x14ac:dyDescent="0.25">
      <c r="O1594" s="21"/>
    </row>
    <row r="1595" spans="15:15" x14ac:dyDescent="0.25">
      <c r="O1595" s="21"/>
    </row>
    <row r="1596" spans="15:15" x14ac:dyDescent="0.25">
      <c r="O1596" s="21"/>
    </row>
    <row r="1597" spans="15:15" x14ac:dyDescent="0.25">
      <c r="O1597" s="21"/>
    </row>
    <row r="1598" spans="15:15" x14ac:dyDescent="0.25">
      <c r="O1598" s="21"/>
    </row>
    <row r="1599" spans="15:15" x14ac:dyDescent="0.25">
      <c r="O1599" s="21"/>
    </row>
    <row r="1600" spans="15:15" x14ac:dyDescent="0.25">
      <c r="O1600" s="21"/>
    </row>
    <row r="1601" spans="15:15" x14ac:dyDescent="0.25">
      <c r="O1601" s="21"/>
    </row>
    <row r="1602" spans="15:15" x14ac:dyDescent="0.25">
      <c r="O1602" s="21"/>
    </row>
    <row r="1603" spans="15:15" x14ac:dyDescent="0.25">
      <c r="O1603" s="21"/>
    </row>
    <row r="1604" spans="15:15" x14ac:dyDescent="0.25">
      <c r="O1604" s="21"/>
    </row>
    <row r="1605" spans="15:15" x14ac:dyDescent="0.25">
      <c r="O1605" s="21"/>
    </row>
    <row r="1606" spans="15:15" x14ac:dyDescent="0.25">
      <c r="O1606" s="21"/>
    </row>
    <row r="1607" spans="15:15" x14ac:dyDescent="0.25">
      <c r="O1607" s="21"/>
    </row>
    <row r="1608" spans="15:15" x14ac:dyDescent="0.25">
      <c r="O1608" s="21"/>
    </row>
    <row r="1609" spans="15:15" x14ac:dyDescent="0.25">
      <c r="O1609" s="21"/>
    </row>
    <row r="1610" spans="15:15" x14ac:dyDescent="0.25">
      <c r="O1610" s="21"/>
    </row>
    <row r="1611" spans="15:15" x14ac:dyDescent="0.25">
      <c r="O1611" s="21"/>
    </row>
    <row r="1612" spans="15:15" x14ac:dyDescent="0.25">
      <c r="O1612" s="21"/>
    </row>
    <row r="1613" spans="15:15" x14ac:dyDescent="0.25">
      <c r="O1613" s="21"/>
    </row>
    <row r="1614" spans="15:15" x14ac:dyDescent="0.25">
      <c r="O1614" s="21"/>
    </row>
    <row r="1615" spans="15:15" x14ac:dyDescent="0.25">
      <c r="O1615" s="21"/>
    </row>
    <row r="1616" spans="15:15" x14ac:dyDescent="0.25">
      <c r="O1616" s="21"/>
    </row>
    <row r="1617" spans="15:15" x14ac:dyDescent="0.25">
      <c r="O1617" s="21"/>
    </row>
    <row r="1618" spans="15:15" x14ac:dyDescent="0.25">
      <c r="O1618" s="21"/>
    </row>
    <row r="1619" spans="15:15" x14ac:dyDescent="0.25">
      <c r="O1619" s="21"/>
    </row>
    <row r="1620" spans="15:15" x14ac:dyDescent="0.25">
      <c r="O1620" s="21"/>
    </row>
    <row r="1621" spans="15:15" x14ac:dyDescent="0.25">
      <c r="O1621" s="21"/>
    </row>
    <row r="1622" spans="15:15" x14ac:dyDescent="0.25">
      <c r="O1622" s="21"/>
    </row>
    <row r="1623" spans="15:15" x14ac:dyDescent="0.25">
      <c r="O1623" s="21"/>
    </row>
    <row r="1624" spans="15:15" x14ac:dyDescent="0.25">
      <c r="O1624" s="21"/>
    </row>
    <row r="1625" spans="15:15" x14ac:dyDescent="0.25">
      <c r="O1625" s="21"/>
    </row>
    <row r="1626" spans="15:15" x14ac:dyDescent="0.25">
      <c r="O1626" s="21"/>
    </row>
    <row r="1627" spans="15:15" x14ac:dyDescent="0.25">
      <c r="O1627" s="21"/>
    </row>
    <row r="1628" spans="15:15" x14ac:dyDescent="0.25">
      <c r="O1628" s="21"/>
    </row>
    <row r="1629" spans="15:15" x14ac:dyDescent="0.25">
      <c r="O1629" s="21"/>
    </row>
    <row r="1630" spans="15:15" x14ac:dyDescent="0.25">
      <c r="O1630" s="21"/>
    </row>
    <row r="1631" spans="15:15" x14ac:dyDescent="0.25">
      <c r="O1631" s="21"/>
    </row>
    <row r="1632" spans="15:15" x14ac:dyDescent="0.25">
      <c r="O1632" s="21"/>
    </row>
    <row r="1633" spans="15:15" x14ac:dyDescent="0.25">
      <c r="O1633" s="21"/>
    </row>
    <row r="1634" spans="15:15" x14ac:dyDescent="0.25">
      <c r="O1634" s="21"/>
    </row>
    <row r="1635" spans="15:15" x14ac:dyDescent="0.25">
      <c r="O1635" s="21"/>
    </row>
    <row r="1636" spans="15:15" x14ac:dyDescent="0.25">
      <c r="O1636" s="21"/>
    </row>
    <row r="1637" spans="15:15" x14ac:dyDescent="0.25">
      <c r="O1637" s="21"/>
    </row>
    <row r="1638" spans="15:15" x14ac:dyDescent="0.25">
      <c r="O1638" s="21"/>
    </row>
    <row r="1639" spans="15:15" x14ac:dyDescent="0.25">
      <c r="O1639" s="21"/>
    </row>
    <row r="1640" spans="15:15" x14ac:dyDescent="0.25">
      <c r="O1640" s="21"/>
    </row>
    <row r="1641" spans="15:15" x14ac:dyDescent="0.25">
      <c r="O1641" s="21"/>
    </row>
    <row r="1642" spans="15:15" x14ac:dyDescent="0.25">
      <c r="O1642" s="21"/>
    </row>
    <row r="1643" spans="15:15" x14ac:dyDescent="0.25">
      <c r="O1643" s="21"/>
    </row>
    <row r="1644" spans="15:15" x14ac:dyDescent="0.25">
      <c r="O1644" s="21"/>
    </row>
    <row r="1645" spans="15:15" x14ac:dyDescent="0.25">
      <c r="O1645" s="21"/>
    </row>
    <row r="1646" spans="15:15" x14ac:dyDescent="0.25">
      <c r="O1646" s="21"/>
    </row>
    <row r="1647" spans="15:15" x14ac:dyDescent="0.25">
      <c r="O1647" s="21"/>
    </row>
    <row r="1648" spans="15:15" x14ac:dyDescent="0.25">
      <c r="O1648" s="21"/>
    </row>
    <row r="1649" spans="15:15" x14ac:dyDescent="0.25">
      <c r="O1649" s="21"/>
    </row>
    <row r="1650" spans="15:15" x14ac:dyDescent="0.25">
      <c r="O1650" s="21"/>
    </row>
    <row r="1651" spans="15:15" x14ac:dyDescent="0.25">
      <c r="O1651" s="21"/>
    </row>
    <row r="1652" spans="15:15" x14ac:dyDescent="0.25">
      <c r="O1652" s="21"/>
    </row>
    <row r="1653" spans="15:15" x14ac:dyDescent="0.25">
      <c r="O1653" s="21"/>
    </row>
    <row r="1654" spans="15:15" x14ac:dyDescent="0.25">
      <c r="O1654" s="21"/>
    </row>
    <row r="1655" spans="15:15" x14ac:dyDescent="0.25">
      <c r="O1655" s="21"/>
    </row>
    <row r="1656" spans="15:15" x14ac:dyDescent="0.25">
      <c r="O1656" s="21"/>
    </row>
    <row r="1657" spans="15:15" x14ac:dyDescent="0.25">
      <c r="O1657" s="21"/>
    </row>
    <row r="1658" spans="15:15" x14ac:dyDescent="0.25">
      <c r="O1658" s="21"/>
    </row>
    <row r="1659" spans="15:15" x14ac:dyDescent="0.25">
      <c r="O1659" s="21"/>
    </row>
    <row r="1660" spans="15:15" x14ac:dyDescent="0.25">
      <c r="O1660" s="21"/>
    </row>
    <row r="1661" spans="15:15" x14ac:dyDescent="0.25">
      <c r="O1661" s="21"/>
    </row>
    <row r="1662" spans="15:15" x14ac:dyDescent="0.25">
      <c r="O1662" s="21"/>
    </row>
    <row r="1663" spans="15:15" x14ac:dyDescent="0.25">
      <c r="O1663" s="21"/>
    </row>
    <row r="1664" spans="15:15" x14ac:dyDescent="0.25">
      <c r="O1664" s="21"/>
    </row>
    <row r="1665" spans="15:15" x14ac:dyDescent="0.25">
      <c r="O1665" s="21"/>
    </row>
    <row r="1666" spans="15:15" x14ac:dyDescent="0.25">
      <c r="O1666" s="21"/>
    </row>
    <row r="1667" spans="15:15" x14ac:dyDescent="0.25">
      <c r="O1667" s="21"/>
    </row>
    <row r="1668" spans="15:15" x14ac:dyDescent="0.25">
      <c r="O1668" s="21"/>
    </row>
    <row r="1669" spans="15:15" x14ac:dyDescent="0.25">
      <c r="O1669" s="21"/>
    </row>
    <row r="1670" spans="15:15" x14ac:dyDescent="0.25">
      <c r="O1670" s="21"/>
    </row>
    <row r="1671" spans="15:15" x14ac:dyDescent="0.25">
      <c r="O1671" s="21"/>
    </row>
    <row r="1672" spans="15:15" x14ac:dyDescent="0.25">
      <c r="O1672" s="21"/>
    </row>
    <row r="1673" spans="15:15" x14ac:dyDescent="0.25">
      <c r="O1673" s="21"/>
    </row>
    <row r="1674" spans="15:15" x14ac:dyDescent="0.25">
      <c r="O1674" s="21"/>
    </row>
    <row r="1675" spans="15:15" x14ac:dyDescent="0.25">
      <c r="O1675" s="21"/>
    </row>
    <row r="1676" spans="15:15" x14ac:dyDescent="0.25">
      <c r="O1676" s="21"/>
    </row>
    <row r="1677" spans="15:15" x14ac:dyDescent="0.25">
      <c r="O1677" s="21"/>
    </row>
    <row r="1678" spans="15:15" x14ac:dyDescent="0.25">
      <c r="O1678" s="21"/>
    </row>
    <row r="1679" spans="15:15" x14ac:dyDescent="0.25">
      <c r="O1679" s="21"/>
    </row>
    <row r="1680" spans="15:15" x14ac:dyDescent="0.25">
      <c r="O1680" s="21"/>
    </row>
    <row r="1681" spans="15:15" x14ac:dyDescent="0.25">
      <c r="O1681" s="21"/>
    </row>
    <row r="1682" spans="15:15" x14ac:dyDescent="0.25">
      <c r="O1682" s="21"/>
    </row>
    <row r="1683" spans="15:15" x14ac:dyDescent="0.25">
      <c r="O1683" s="21"/>
    </row>
    <row r="1684" spans="15:15" x14ac:dyDescent="0.25">
      <c r="O1684" s="21"/>
    </row>
    <row r="1685" spans="15:15" x14ac:dyDescent="0.25">
      <c r="O1685" s="21"/>
    </row>
    <row r="1686" spans="15:15" x14ac:dyDescent="0.25">
      <c r="O1686" s="21"/>
    </row>
    <row r="1687" spans="15:15" x14ac:dyDescent="0.25">
      <c r="O1687" s="21"/>
    </row>
    <row r="1688" spans="15:15" x14ac:dyDescent="0.25">
      <c r="O1688" s="21"/>
    </row>
    <row r="1689" spans="15:15" x14ac:dyDescent="0.25">
      <c r="O1689" s="21"/>
    </row>
    <row r="1690" spans="15:15" x14ac:dyDescent="0.25">
      <c r="O1690" s="21"/>
    </row>
    <row r="1691" spans="15:15" x14ac:dyDescent="0.25">
      <c r="O1691" s="21"/>
    </row>
    <row r="1692" spans="15:15" x14ac:dyDescent="0.25">
      <c r="O1692" s="21"/>
    </row>
    <row r="1693" spans="15:15" x14ac:dyDescent="0.25">
      <c r="O1693" s="21"/>
    </row>
    <row r="1694" spans="15:15" x14ac:dyDescent="0.25">
      <c r="O1694" s="21"/>
    </row>
    <row r="1695" spans="15:15" x14ac:dyDescent="0.25">
      <c r="O1695" s="21"/>
    </row>
    <row r="1696" spans="15:15" x14ac:dyDescent="0.25">
      <c r="O1696" s="21"/>
    </row>
    <row r="1697" spans="15:15" x14ac:dyDescent="0.25">
      <c r="O1697" s="21"/>
    </row>
    <row r="1698" spans="15:15" x14ac:dyDescent="0.25">
      <c r="O1698" s="21"/>
    </row>
    <row r="1699" spans="15:15" x14ac:dyDescent="0.25">
      <c r="O1699" s="21"/>
    </row>
    <row r="1700" spans="15:15" x14ac:dyDescent="0.25">
      <c r="O1700" s="21"/>
    </row>
    <row r="1701" spans="15:15" x14ac:dyDescent="0.25">
      <c r="O1701" s="21"/>
    </row>
    <row r="1702" spans="15:15" x14ac:dyDescent="0.25">
      <c r="O1702" s="21"/>
    </row>
    <row r="1703" spans="15:15" x14ac:dyDescent="0.25">
      <c r="O1703" s="21"/>
    </row>
    <row r="1704" spans="15:15" x14ac:dyDescent="0.25">
      <c r="O1704" s="21"/>
    </row>
    <row r="1705" spans="15:15" x14ac:dyDescent="0.25">
      <c r="O1705" s="21"/>
    </row>
    <row r="1706" spans="15:15" x14ac:dyDescent="0.25">
      <c r="O1706" s="21"/>
    </row>
    <row r="1707" spans="15:15" x14ac:dyDescent="0.25">
      <c r="O1707" s="21"/>
    </row>
    <row r="1708" spans="15:15" x14ac:dyDescent="0.25">
      <c r="O1708" s="21"/>
    </row>
    <row r="1709" spans="15:15" x14ac:dyDescent="0.25">
      <c r="O1709" s="21"/>
    </row>
    <row r="1710" spans="15:15" x14ac:dyDescent="0.25">
      <c r="O1710" s="21"/>
    </row>
    <row r="1711" spans="15:15" x14ac:dyDescent="0.25">
      <c r="O1711" s="21"/>
    </row>
    <row r="1712" spans="15:15" x14ac:dyDescent="0.25">
      <c r="O1712" s="21"/>
    </row>
    <row r="1713" spans="15:15" x14ac:dyDescent="0.25">
      <c r="O1713" s="21"/>
    </row>
    <row r="1714" spans="15:15" x14ac:dyDescent="0.25">
      <c r="O1714" s="21"/>
    </row>
    <row r="1715" spans="15:15" x14ac:dyDescent="0.25">
      <c r="O1715" s="21"/>
    </row>
    <row r="1716" spans="15:15" x14ac:dyDescent="0.25">
      <c r="O1716" s="21"/>
    </row>
    <row r="1717" spans="15:15" x14ac:dyDescent="0.25">
      <c r="O1717" s="21"/>
    </row>
    <row r="1718" spans="15:15" x14ac:dyDescent="0.25">
      <c r="O1718" s="21"/>
    </row>
    <row r="1719" spans="15:15" x14ac:dyDescent="0.25">
      <c r="O1719" s="21"/>
    </row>
    <row r="1720" spans="15:15" x14ac:dyDescent="0.25">
      <c r="O1720" s="21"/>
    </row>
    <row r="1721" spans="15:15" x14ac:dyDescent="0.25">
      <c r="O1721" s="21"/>
    </row>
    <row r="1722" spans="15:15" x14ac:dyDescent="0.25">
      <c r="O1722" s="21"/>
    </row>
    <row r="1723" spans="15:15" x14ac:dyDescent="0.25">
      <c r="O1723" s="21"/>
    </row>
    <row r="1724" spans="15:15" x14ac:dyDescent="0.25">
      <c r="O1724" s="21"/>
    </row>
    <row r="1725" spans="15:15" x14ac:dyDescent="0.25">
      <c r="O1725" s="21"/>
    </row>
    <row r="1726" spans="15:15" x14ac:dyDescent="0.25">
      <c r="O1726" s="21"/>
    </row>
    <row r="1727" spans="15:15" x14ac:dyDescent="0.25">
      <c r="O1727" s="21"/>
    </row>
    <row r="1728" spans="15:15" x14ac:dyDescent="0.25">
      <c r="O1728" s="21"/>
    </row>
    <row r="1729" spans="15:15" x14ac:dyDescent="0.25">
      <c r="O1729" s="21"/>
    </row>
    <row r="1730" spans="15:15" x14ac:dyDescent="0.25">
      <c r="O1730" s="21"/>
    </row>
    <row r="1731" spans="15:15" x14ac:dyDescent="0.25">
      <c r="O1731" s="21"/>
    </row>
    <row r="1732" spans="15:15" x14ac:dyDescent="0.25">
      <c r="O1732" s="21"/>
    </row>
    <row r="1733" spans="15:15" x14ac:dyDescent="0.25">
      <c r="O1733" s="21"/>
    </row>
    <row r="1734" spans="15:15" x14ac:dyDescent="0.25">
      <c r="O1734" s="21"/>
    </row>
    <row r="1735" spans="15:15" x14ac:dyDescent="0.25">
      <c r="O1735" s="21"/>
    </row>
    <row r="1736" spans="15:15" x14ac:dyDescent="0.25">
      <c r="O1736" s="21"/>
    </row>
    <row r="1737" spans="15:15" x14ac:dyDescent="0.25">
      <c r="O1737" s="21"/>
    </row>
    <row r="1738" spans="15:15" x14ac:dyDescent="0.25">
      <c r="O1738" s="21"/>
    </row>
    <row r="1739" spans="15:15" x14ac:dyDescent="0.25">
      <c r="O1739" s="21"/>
    </row>
    <row r="1740" spans="15:15" x14ac:dyDescent="0.25">
      <c r="O1740" s="21"/>
    </row>
    <row r="1741" spans="15:15" x14ac:dyDescent="0.25">
      <c r="O1741" s="21"/>
    </row>
    <row r="1742" spans="15:15" x14ac:dyDescent="0.25">
      <c r="O1742" s="21"/>
    </row>
    <row r="1743" spans="15:15" x14ac:dyDescent="0.25">
      <c r="O1743" s="21"/>
    </row>
    <row r="1744" spans="15:15" x14ac:dyDescent="0.25">
      <c r="O1744" s="21"/>
    </row>
    <row r="1745" spans="15:15" x14ac:dyDescent="0.25">
      <c r="O1745" s="21"/>
    </row>
    <row r="1746" spans="15:15" x14ac:dyDescent="0.25">
      <c r="O1746" s="21"/>
    </row>
    <row r="1747" spans="15:15" x14ac:dyDescent="0.25">
      <c r="O1747" s="21"/>
    </row>
    <row r="1748" spans="15:15" x14ac:dyDescent="0.25">
      <c r="O1748" s="21"/>
    </row>
    <row r="1749" spans="15:15" x14ac:dyDescent="0.25">
      <c r="O1749" s="21"/>
    </row>
    <row r="1750" spans="15:15" x14ac:dyDescent="0.25">
      <c r="O1750" s="21"/>
    </row>
    <row r="1751" spans="15:15" x14ac:dyDescent="0.25">
      <c r="O1751" s="21"/>
    </row>
    <row r="1752" spans="15:15" x14ac:dyDescent="0.25">
      <c r="O1752" s="21"/>
    </row>
    <row r="1753" spans="15:15" x14ac:dyDescent="0.25">
      <c r="O1753" s="21"/>
    </row>
    <row r="1754" spans="15:15" x14ac:dyDescent="0.25">
      <c r="O1754" s="21"/>
    </row>
    <row r="1755" spans="15:15" x14ac:dyDescent="0.25">
      <c r="O1755" s="21"/>
    </row>
    <row r="1756" spans="15:15" x14ac:dyDescent="0.25">
      <c r="O1756" s="21"/>
    </row>
    <row r="1757" spans="15:15" x14ac:dyDescent="0.25">
      <c r="O1757" s="21"/>
    </row>
    <row r="1758" spans="15:15" x14ac:dyDescent="0.25">
      <c r="O1758" s="21"/>
    </row>
    <row r="1759" spans="15:15" x14ac:dyDescent="0.25">
      <c r="O1759" s="21"/>
    </row>
    <row r="1760" spans="15:15" x14ac:dyDescent="0.25">
      <c r="O1760" s="21"/>
    </row>
    <row r="1761" spans="15:15" x14ac:dyDescent="0.25">
      <c r="O1761" s="21"/>
    </row>
    <row r="1762" spans="15:15" x14ac:dyDescent="0.25">
      <c r="O1762" s="21"/>
    </row>
    <row r="1763" spans="15:15" x14ac:dyDescent="0.25">
      <c r="O1763" s="21"/>
    </row>
    <row r="1764" spans="15:15" x14ac:dyDescent="0.25">
      <c r="O1764" s="21"/>
    </row>
    <row r="1765" spans="15:15" x14ac:dyDescent="0.25">
      <c r="O1765" s="21"/>
    </row>
    <row r="1766" spans="15:15" x14ac:dyDescent="0.25">
      <c r="O1766" s="21"/>
    </row>
    <row r="1767" spans="15:15" x14ac:dyDescent="0.25">
      <c r="O1767" s="21"/>
    </row>
    <row r="1768" spans="15:15" x14ac:dyDescent="0.25">
      <c r="O1768" s="21"/>
    </row>
    <row r="1769" spans="15:15" x14ac:dyDescent="0.25">
      <c r="O1769" s="21"/>
    </row>
    <row r="1770" spans="15:15" x14ac:dyDescent="0.25">
      <c r="O1770" s="21"/>
    </row>
    <row r="1771" spans="15:15" x14ac:dyDescent="0.25">
      <c r="O1771" s="21"/>
    </row>
    <row r="1772" spans="15:15" x14ac:dyDescent="0.25">
      <c r="O1772" s="21"/>
    </row>
    <row r="1773" spans="15:15" x14ac:dyDescent="0.25">
      <c r="O1773" s="21"/>
    </row>
    <row r="1774" spans="15:15" x14ac:dyDescent="0.25">
      <c r="O1774" s="21"/>
    </row>
    <row r="1775" spans="15:15" x14ac:dyDescent="0.25">
      <c r="O1775" s="21"/>
    </row>
    <row r="1776" spans="15:15" x14ac:dyDescent="0.25">
      <c r="O1776" s="21"/>
    </row>
    <row r="1777" spans="15:15" x14ac:dyDescent="0.25">
      <c r="O1777" s="21"/>
    </row>
    <row r="1778" spans="15:15" x14ac:dyDescent="0.25">
      <c r="O1778" s="21"/>
    </row>
    <row r="1779" spans="15:15" x14ac:dyDescent="0.25">
      <c r="O1779" s="21"/>
    </row>
    <row r="1780" spans="15:15" x14ac:dyDescent="0.25">
      <c r="O1780" s="21"/>
    </row>
    <row r="1781" spans="15:15" x14ac:dyDescent="0.25">
      <c r="O1781" s="21"/>
    </row>
    <row r="1782" spans="15:15" x14ac:dyDescent="0.25">
      <c r="O1782" s="21"/>
    </row>
    <row r="1783" spans="15:15" x14ac:dyDescent="0.25">
      <c r="O1783" s="21"/>
    </row>
    <row r="1784" spans="15:15" x14ac:dyDescent="0.25">
      <c r="O1784" s="21"/>
    </row>
    <row r="1785" spans="15:15" x14ac:dyDescent="0.25">
      <c r="O1785" s="21"/>
    </row>
    <row r="1786" spans="15:15" x14ac:dyDescent="0.25">
      <c r="O1786" s="21"/>
    </row>
    <row r="1787" spans="15:15" x14ac:dyDescent="0.25">
      <c r="O1787" s="21"/>
    </row>
    <row r="1788" spans="15:15" x14ac:dyDescent="0.25">
      <c r="O1788" s="21"/>
    </row>
    <row r="1789" spans="15:15" x14ac:dyDescent="0.25">
      <c r="O1789" s="21"/>
    </row>
    <row r="1790" spans="15:15" x14ac:dyDescent="0.25">
      <c r="O1790" s="21"/>
    </row>
    <row r="1791" spans="15:15" x14ac:dyDescent="0.25">
      <c r="O1791" s="21"/>
    </row>
    <row r="1792" spans="15:15" x14ac:dyDescent="0.25">
      <c r="O1792" s="21"/>
    </row>
    <row r="1793" spans="15:15" x14ac:dyDescent="0.25">
      <c r="O1793" s="21"/>
    </row>
    <row r="1794" spans="15:15" x14ac:dyDescent="0.25">
      <c r="O1794" s="21"/>
    </row>
    <row r="1795" spans="15:15" x14ac:dyDescent="0.25">
      <c r="O1795" s="21"/>
    </row>
    <row r="1796" spans="15:15" x14ac:dyDescent="0.25">
      <c r="O1796" s="21"/>
    </row>
    <row r="1797" spans="15:15" x14ac:dyDescent="0.25">
      <c r="O1797" s="21"/>
    </row>
    <row r="1798" spans="15:15" x14ac:dyDescent="0.25">
      <c r="O1798" s="21"/>
    </row>
    <row r="1799" spans="15:15" x14ac:dyDescent="0.25">
      <c r="O1799" s="21"/>
    </row>
    <row r="1800" spans="15:15" x14ac:dyDescent="0.25">
      <c r="O1800" s="21"/>
    </row>
    <row r="1801" spans="15:15" x14ac:dyDescent="0.25">
      <c r="O1801" s="21"/>
    </row>
    <row r="1802" spans="15:15" x14ac:dyDescent="0.25">
      <c r="O1802" s="21"/>
    </row>
    <row r="1803" spans="15:15" x14ac:dyDescent="0.25">
      <c r="O1803" s="21"/>
    </row>
    <row r="1804" spans="15:15" x14ac:dyDescent="0.25">
      <c r="O1804" s="21"/>
    </row>
    <row r="1805" spans="15:15" x14ac:dyDescent="0.25">
      <c r="O1805" s="21"/>
    </row>
    <row r="1806" spans="15:15" x14ac:dyDescent="0.25">
      <c r="O1806" s="21"/>
    </row>
    <row r="1807" spans="15:15" x14ac:dyDescent="0.25">
      <c r="O1807" s="21"/>
    </row>
    <row r="1808" spans="15:15" x14ac:dyDescent="0.25">
      <c r="O1808" s="21"/>
    </row>
    <row r="1809" spans="15:15" x14ac:dyDescent="0.25">
      <c r="O1809" s="21"/>
    </row>
    <row r="1810" spans="15:15" x14ac:dyDescent="0.25">
      <c r="O1810" s="21"/>
    </row>
    <row r="1811" spans="15:15" x14ac:dyDescent="0.25">
      <c r="O1811" s="21"/>
    </row>
    <row r="1812" spans="15:15" x14ac:dyDescent="0.25">
      <c r="O1812" s="21"/>
    </row>
    <row r="1813" spans="15:15" x14ac:dyDescent="0.25">
      <c r="O1813" s="21"/>
    </row>
    <row r="1814" spans="15:15" x14ac:dyDescent="0.25">
      <c r="O1814" s="21"/>
    </row>
    <row r="1815" spans="15:15" x14ac:dyDescent="0.25">
      <c r="O1815" s="21"/>
    </row>
    <row r="1816" spans="15:15" x14ac:dyDescent="0.25">
      <c r="O1816" s="21"/>
    </row>
    <row r="1817" spans="15:15" x14ac:dyDescent="0.25">
      <c r="O1817" s="21"/>
    </row>
    <row r="1818" spans="15:15" x14ac:dyDescent="0.25">
      <c r="O1818" s="21"/>
    </row>
    <row r="1819" spans="15:15" x14ac:dyDescent="0.25">
      <c r="O1819" s="21"/>
    </row>
    <row r="1820" spans="15:15" x14ac:dyDescent="0.25">
      <c r="O1820" s="21"/>
    </row>
    <row r="1821" spans="15:15" x14ac:dyDescent="0.25">
      <c r="O1821" s="21"/>
    </row>
    <row r="1822" spans="15:15" x14ac:dyDescent="0.25">
      <c r="O1822" s="21"/>
    </row>
    <row r="1823" spans="15:15" x14ac:dyDescent="0.25">
      <c r="O1823" s="21"/>
    </row>
    <row r="1824" spans="15:15" x14ac:dyDescent="0.25">
      <c r="O1824" s="21"/>
    </row>
    <row r="1825" spans="15:15" x14ac:dyDescent="0.25">
      <c r="O1825" s="21"/>
    </row>
    <row r="1826" spans="15:15" x14ac:dyDescent="0.25">
      <c r="O1826" s="21"/>
    </row>
    <row r="1827" spans="15:15" x14ac:dyDescent="0.25">
      <c r="O1827" s="21"/>
    </row>
    <row r="1828" spans="15:15" x14ac:dyDescent="0.25">
      <c r="O1828" s="21"/>
    </row>
    <row r="1829" spans="15:15" x14ac:dyDescent="0.25">
      <c r="O1829" s="21"/>
    </row>
    <row r="1830" spans="15:15" x14ac:dyDescent="0.25">
      <c r="O1830" s="21"/>
    </row>
    <row r="1831" spans="15:15" x14ac:dyDescent="0.25">
      <c r="O1831" s="21"/>
    </row>
    <row r="1832" spans="15:15" x14ac:dyDescent="0.25">
      <c r="O1832" s="21"/>
    </row>
    <row r="1833" spans="15:15" x14ac:dyDescent="0.25">
      <c r="O1833" s="21"/>
    </row>
    <row r="1834" spans="15:15" x14ac:dyDescent="0.25">
      <c r="O1834" s="21"/>
    </row>
    <row r="1835" spans="15:15" x14ac:dyDescent="0.25">
      <c r="O1835" s="21"/>
    </row>
    <row r="1836" spans="15:15" x14ac:dyDescent="0.25">
      <c r="O1836" s="21"/>
    </row>
    <row r="1837" spans="15:15" x14ac:dyDescent="0.25">
      <c r="O1837" s="21"/>
    </row>
    <row r="1838" spans="15:15" x14ac:dyDescent="0.25">
      <c r="O1838" s="21"/>
    </row>
    <row r="1839" spans="15:15" x14ac:dyDescent="0.25">
      <c r="O1839" s="21"/>
    </row>
    <row r="1840" spans="15:15" x14ac:dyDescent="0.25">
      <c r="O1840" s="21"/>
    </row>
    <row r="1841" spans="15:15" x14ac:dyDescent="0.25">
      <c r="O1841" s="21"/>
    </row>
    <row r="1842" spans="15:15" x14ac:dyDescent="0.25">
      <c r="O1842" s="21"/>
    </row>
    <row r="1843" spans="15:15" x14ac:dyDescent="0.25">
      <c r="O1843" s="21"/>
    </row>
    <row r="1844" spans="15:15" x14ac:dyDescent="0.25">
      <c r="O1844" s="21"/>
    </row>
    <row r="1845" spans="15:15" x14ac:dyDescent="0.25">
      <c r="O1845" s="21"/>
    </row>
    <row r="1846" spans="15:15" x14ac:dyDescent="0.25">
      <c r="O1846" s="21"/>
    </row>
    <row r="1847" spans="15:15" x14ac:dyDescent="0.25">
      <c r="O1847" s="21"/>
    </row>
    <row r="1848" spans="15:15" x14ac:dyDescent="0.25">
      <c r="O1848" s="21"/>
    </row>
    <row r="1849" spans="15:15" x14ac:dyDescent="0.25">
      <c r="O1849" s="21"/>
    </row>
    <row r="1850" spans="15:15" x14ac:dyDescent="0.25">
      <c r="O1850" s="21"/>
    </row>
    <row r="1851" spans="15:15" x14ac:dyDescent="0.25">
      <c r="O1851" s="21"/>
    </row>
    <row r="1852" spans="15:15" x14ac:dyDescent="0.25">
      <c r="O1852" s="21"/>
    </row>
    <row r="1853" spans="15:15" x14ac:dyDescent="0.25">
      <c r="O1853" s="21"/>
    </row>
    <row r="1854" spans="15:15" x14ac:dyDescent="0.25">
      <c r="O1854" s="21"/>
    </row>
    <row r="1855" spans="15:15" x14ac:dyDescent="0.25">
      <c r="O1855" s="21"/>
    </row>
    <row r="1856" spans="15:15" x14ac:dyDescent="0.25">
      <c r="O1856" s="21"/>
    </row>
    <row r="1857" spans="15:15" x14ac:dyDescent="0.25">
      <c r="O1857" s="21"/>
    </row>
    <row r="1858" spans="15:15" x14ac:dyDescent="0.25">
      <c r="O1858" s="21"/>
    </row>
    <row r="1859" spans="15:15" x14ac:dyDescent="0.25">
      <c r="O1859" s="21"/>
    </row>
    <row r="1860" spans="15:15" x14ac:dyDescent="0.25">
      <c r="O1860" s="21"/>
    </row>
    <row r="1861" spans="15:15" x14ac:dyDescent="0.25">
      <c r="O1861" s="21"/>
    </row>
    <row r="1862" spans="15:15" x14ac:dyDescent="0.25">
      <c r="O1862" s="21"/>
    </row>
    <row r="1863" spans="15:15" x14ac:dyDescent="0.25">
      <c r="O1863" s="21"/>
    </row>
    <row r="1864" spans="15:15" x14ac:dyDescent="0.25">
      <c r="O1864" s="21"/>
    </row>
    <row r="1865" spans="15:15" x14ac:dyDescent="0.25">
      <c r="O1865" s="21"/>
    </row>
    <row r="1866" spans="15:15" x14ac:dyDescent="0.25">
      <c r="O1866" s="21"/>
    </row>
    <row r="1867" spans="15:15" x14ac:dyDescent="0.25">
      <c r="O1867" s="21"/>
    </row>
    <row r="1868" spans="15:15" x14ac:dyDescent="0.25">
      <c r="O1868" s="21"/>
    </row>
    <row r="1869" spans="15:15" x14ac:dyDescent="0.25">
      <c r="O1869" s="21"/>
    </row>
    <row r="1870" spans="15:15" x14ac:dyDescent="0.25">
      <c r="O1870" s="21"/>
    </row>
    <row r="1871" spans="15:15" x14ac:dyDescent="0.25">
      <c r="O1871" s="21"/>
    </row>
    <row r="1872" spans="15:15" x14ac:dyDescent="0.25">
      <c r="O1872" s="21"/>
    </row>
    <row r="1873" spans="15:15" x14ac:dyDescent="0.25">
      <c r="O1873" s="21"/>
    </row>
    <row r="1874" spans="15:15" x14ac:dyDescent="0.25">
      <c r="O1874" s="21"/>
    </row>
    <row r="1875" spans="15:15" x14ac:dyDescent="0.25">
      <c r="O1875" s="21"/>
    </row>
    <row r="1876" spans="15:15" x14ac:dyDescent="0.25">
      <c r="O1876" s="21"/>
    </row>
    <row r="1877" spans="15:15" x14ac:dyDescent="0.25">
      <c r="O1877" s="21"/>
    </row>
    <row r="1878" spans="15:15" x14ac:dyDescent="0.25">
      <c r="O1878" s="21"/>
    </row>
    <row r="1879" spans="15:15" x14ac:dyDescent="0.25">
      <c r="O1879" s="21"/>
    </row>
    <row r="1880" spans="15:15" x14ac:dyDescent="0.25">
      <c r="O1880" s="21"/>
    </row>
    <row r="1881" spans="15:15" x14ac:dyDescent="0.25">
      <c r="O1881" s="21"/>
    </row>
    <row r="1882" spans="15:15" x14ac:dyDescent="0.25">
      <c r="O1882" s="21"/>
    </row>
    <row r="1883" spans="15:15" x14ac:dyDescent="0.25">
      <c r="O1883" s="21"/>
    </row>
    <row r="1884" spans="15:15" x14ac:dyDescent="0.25">
      <c r="O1884" s="21"/>
    </row>
    <row r="1885" spans="15:15" x14ac:dyDescent="0.25">
      <c r="O1885" s="21"/>
    </row>
    <row r="1886" spans="15:15" x14ac:dyDescent="0.25">
      <c r="O1886" s="21"/>
    </row>
    <row r="1887" spans="15:15" x14ac:dyDescent="0.25">
      <c r="O1887" s="21"/>
    </row>
    <row r="1888" spans="15:15" x14ac:dyDescent="0.25">
      <c r="O1888" s="21"/>
    </row>
    <row r="1889" spans="15:15" x14ac:dyDescent="0.25">
      <c r="O1889" s="21"/>
    </row>
    <row r="1890" spans="15:15" x14ac:dyDescent="0.25">
      <c r="O1890" s="21"/>
    </row>
    <row r="1891" spans="15:15" x14ac:dyDescent="0.25">
      <c r="O1891" s="21"/>
    </row>
    <row r="1892" spans="15:15" x14ac:dyDescent="0.25">
      <c r="O1892" s="21"/>
    </row>
    <row r="1893" spans="15:15" x14ac:dyDescent="0.25">
      <c r="O1893" s="21"/>
    </row>
    <row r="1894" spans="15:15" x14ac:dyDescent="0.25">
      <c r="O1894" s="21"/>
    </row>
    <row r="1895" spans="15:15" x14ac:dyDescent="0.25">
      <c r="O1895" s="21"/>
    </row>
    <row r="1896" spans="15:15" x14ac:dyDescent="0.25">
      <c r="O1896" s="21"/>
    </row>
    <row r="1897" spans="15:15" x14ac:dyDescent="0.25">
      <c r="O1897" s="21"/>
    </row>
    <row r="1898" spans="15:15" x14ac:dyDescent="0.25">
      <c r="O1898" s="21"/>
    </row>
    <row r="1899" spans="15:15" x14ac:dyDescent="0.25">
      <c r="O1899" s="21"/>
    </row>
    <row r="1900" spans="15:15" x14ac:dyDescent="0.25">
      <c r="O1900" s="21"/>
    </row>
    <row r="1901" spans="15:15" x14ac:dyDescent="0.25">
      <c r="O1901" s="21"/>
    </row>
    <row r="1902" spans="15:15" x14ac:dyDescent="0.25">
      <c r="O1902" s="21"/>
    </row>
    <row r="1903" spans="15:15" x14ac:dyDescent="0.25">
      <c r="O1903" s="21"/>
    </row>
    <row r="1904" spans="15:15" x14ac:dyDescent="0.25">
      <c r="O1904" s="21"/>
    </row>
    <row r="1905" spans="15:15" x14ac:dyDescent="0.25">
      <c r="O1905" s="21"/>
    </row>
    <row r="1906" spans="15:15" x14ac:dyDescent="0.25">
      <c r="O1906" s="21"/>
    </row>
    <row r="1907" spans="15:15" x14ac:dyDescent="0.25">
      <c r="O1907" s="21"/>
    </row>
    <row r="1908" spans="15:15" x14ac:dyDescent="0.25">
      <c r="O1908" s="21"/>
    </row>
    <row r="1909" spans="15:15" x14ac:dyDescent="0.25">
      <c r="O1909" s="21"/>
    </row>
    <row r="1910" spans="15:15" x14ac:dyDescent="0.25">
      <c r="O1910" s="21"/>
    </row>
    <row r="1911" spans="15:15" x14ac:dyDescent="0.25">
      <c r="O1911" s="21"/>
    </row>
    <row r="1912" spans="15:15" x14ac:dyDescent="0.25">
      <c r="O1912" s="21"/>
    </row>
    <row r="1913" spans="15:15" x14ac:dyDescent="0.25">
      <c r="O1913" s="21"/>
    </row>
    <row r="1914" spans="15:15" x14ac:dyDescent="0.25">
      <c r="O1914" s="21"/>
    </row>
    <row r="1915" spans="15:15" x14ac:dyDescent="0.25">
      <c r="O1915" s="21"/>
    </row>
    <row r="1916" spans="15:15" x14ac:dyDescent="0.25">
      <c r="O1916" s="21"/>
    </row>
    <row r="1917" spans="15:15" x14ac:dyDescent="0.25">
      <c r="O1917" s="21"/>
    </row>
    <row r="1918" spans="15:15" x14ac:dyDescent="0.25">
      <c r="O1918" s="21"/>
    </row>
    <row r="1919" spans="15:15" x14ac:dyDescent="0.25">
      <c r="O1919" s="21"/>
    </row>
    <row r="1920" spans="15:15" x14ac:dyDescent="0.25">
      <c r="O1920" s="21"/>
    </row>
    <row r="1921" spans="15:15" x14ac:dyDescent="0.25">
      <c r="O1921" s="21"/>
    </row>
    <row r="1922" spans="15:15" x14ac:dyDescent="0.25">
      <c r="O1922" s="21"/>
    </row>
    <row r="1923" spans="15:15" x14ac:dyDescent="0.25">
      <c r="O1923" s="21"/>
    </row>
    <row r="1924" spans="15:15" x14ac:dyDescent="0.25">
      <c r="O1924" s="21"/>
    </row>
    <row r="1925" spans="15:15" x14ac:dyDescent="0.25">
      <c r="O1925" s="21"/>
    </row>
    <row r="1926" spans="15:15" x14ac:dyDescent="0.25">
      <c r="O1926" s="21"/>
    </row>
    <row r="1927" spans="15:15" x14ac:dyDescent="0.25">
      <c r="O1927" s="21"/>
    </row>
    <row r="1928" spans="15:15" x14ac:dyDescent="0.25">
      <c r="O1928" s="21"/>
    </row>
    <row r="1929" spans="15:15" x14ac:dyDescent="0.25">
      <c r="O1929" s="21"/>
    </row>
    <row r="1930" spans="15:15" x14ac:dyDescent="0.25">
      <c r="O1930" s="21"/>
    </row>
    <row r="1931" spans="15:15" x14ac:dyDescent="0.25">
      <c r="O1931" s="21"/>
    </row>
    <row r="1932" spans="15:15" x14ac:dyDescent="0.25">
      <c r="O1932" s="21"/>
    </row>
    <row r="1933" spans="15:15" x14ac:dyDescent="0.25">
      <c r="O1933" s="21"/>
    </row>
    <row r="1934" spans="15:15" x14ac:dyDescent="0.25">
      <c r="O1934" s="21"/>
    </row>
    <row r="1935" spans="15:15" x14ac:dyDescent="0.25">
      <c r="O1935" s="21"/>
    </row>
    <row r="1936" spans="15:15" x14ac:dyDescent="0.25">
      <c r="O1936" s="21"/>
    </row>
    <row r="1937" spans="15:15" x14ac:dyDescent="0.25">
      <c r="O1937" s="21"/>
    </row>
    <row r="1938" spans="15:15" x14ac:dyDescent="0.25">
      <c r="O1938" s="21"/>
    </row>
    <row r="1939" spans="15:15" x14ac:dyDescent="0.25">
      <c r="O1939" s="21"/>
    </row>
    <row r="1940" spans="15:15" x14ac:dyDescent="0.25">
      <c r="O1940" s="21"/>
    </row>
    <row r="1941" spans="15:15" x14ac:dyDescent="0.25">
      <c r="O1941" s="21"/>
    </row>
    <row r="1942" spans="15:15" x14ac:dyDescent="0.25">
      <c r="O1942" s="21"/>
    </row>
    <row r="1943" spans="15:15" x14ac:dyDescent="0.25">
      <c r="O1943" s="21"/>
    </row>
    <row r="1944" spans="15:15" x14ac:dyDescent="0.25">
      <c r="O1944" s="21"/>
    </row>
    <row r="1945" spans="15:15" x14ac:dyDescent="0.25">
      <c r="O1945" s="21"/>
    </row>
    <row r="1946" spans="15:15" x14ac:dyDescent="0.25">
      <c r="O1946" s="21"/>
    </row>
    <row r="1947" spans="15:15" x14ac:dyDescent="0.25">
      <c r="O1947" s="21"/>
    </row>
    <row r="1948" spans="15:15" x14ac:dyDescent="0.25">
      <c r="O1948" s="21"/>
    </row>
    <row r="1949" spans="15:15" x14ac:dyDescent="0.25">
      <c r="O1949" s="21"/>
    </row>
    <row r="1950" spans="15:15" x14ac:dyDescent="0.25">
      <c r="O1950" s="21"/>
    </row>
    <row r="1951" spans="15:15" x14ac:dyDescent="0.25">
      <c r="O1951" s="21"/>
    </row>
    <row r="1952" spans="15:15" x14ac:dyDescent="0.25">
      <c r="O1952" s="21"/>
    </row>
    <row r="1953" spans="15:15" x14ac:dyDescent="0.25">
      <c r="O1953" s="21"/>
    </row>
    <row r="1954" spans="15:15" x14ac:dyDescent="0.25">
      <c r="O1954" s="21"/>
    </row>
    <row r="1955" spans="15:15" x14ac:dyDescent="0.25">
      <c r="O1955" s="21"/>
    </row>
    <row r="1956" spans="15:15" x14ac:dyDescent="0.25">
      <c r="O1956" s="21"/>
    </row>
    <row r="1957" spans="15:15" x14ac:dyDescent="0.25">
      <c r="O1957" s="21"/>
    </row>
    <row r="1958" spans="15:15" x14ac:dyDescent="0.25">
      <c r="O1958" s="21"/>
    </row>
    <row r="1959" spans="15:15" x14ac:dyDescent="0.25">
      <c r="O1959" s="21"/>
    </row>
    <row r="1960" spans="15:15" x14ac:dyDescent="0.25">
      <c r="O1960" s="21"/>
    </row>
    <row r="1961" spans="15:15" x14ac:dyDescent="0.25">
      <c r="O1961" s="21"/>
    </row>
    <row r="1962" spans="15:15" x14ac:dyDescent="0.25">
      <c r="O1962" s="21"/>
    </row>
    <row r="1963" spans="15:15" x14ac:dyDescent="0.25">
      <c r="O1963" s="21"/>
    </row>
    <row r="1964" spans="15:15" x14ac:dyDescent="0.25">
      <c r="O1964" s="21"/>
    </row>
    <row r="1965" spans="15:15" x14ac:dyDescent="0.25">
      <c r="O1965" s="21"/>
    </row>
    <row r="1966" spans="15:15" x14ac:dyDescent="0.25">
      <c r="O1966" s="21"/>
    </row>
    <row r="1967" spans="15:15" x14ac:dyDescent="0.25">
      <c r="O1967" s="21"/>
    </row>
    <row r="1968" spans="15:15" x14ac:dyDescent="0.25">
      <c r="O1968" s="21"/>
    </row>
    <row r="1969" spans="15:15" x14ac:dyDescent="0.25">
      <c r="O1969" s="21"/>
    </row>
    <row r="1970" spans="15:15" x14ac:dyDescent="0.25">
      <c r="O1970" s="21"/>
    </row>
    <row r="1971" spans="15:15" x14ac:dyDescent="0.25">
      <c r="O1971" s="21"/>
    </row>
    <row r="1972" spans="15:15" x14ac:dyDescent="0.25">
      <c r="O1972" s="21"/>
    </row>
    <row r="1973" spans="15:15" x14ac:dyDescent="0.25">
      <c r="O1973" s="21"/>
    </row>
    <row r="1974" spans="15:15" x14ac:dyDescent="0.25">
      <c r="O1974" s="21"/>
    </row>
    <row r="1975" spans="15:15" x14ac:dyDescent="0.25">
      <c r="O1975" s="21"/>
    </row>
    <row r="1976" spans="15:15" x14ac:dyDescent="0.25">
      <c r="O1976" s="21"/>
    </row>
    <row r="1977" spans="15:15" x14ac:dyDescent="0.25">
      <c r="O1977" s="21"/>
    </row>
    <row r="1978" spans="15:15" x14ac:dyDescent="0.25">
      <c r="O1978" s="21"/>
    </row>
    <row r="1979" spans="15:15" x14ac:dyDescent="0.25">
      <c r="O1979" s="21"/>
    </row>
    <row r="1980" spans="15:15" x14ac:dyDescent="0.25">
      <c r="O1980" s="21"/>
    </row>
    <row r="1981" spans="15:15" x14ac:dyDescent="0.25">
      <c r="O1981" s="21"/>
    </row>
    <row r="1982" spans="15:15" x14ac:dyDescent="0.25">
      <c r="O1982" s="21"/>
    </row>
    <row r="1983" spans="15:15" x14ac:dyDescent="0.25">
      <c r="O1983" s="21"/>
    </row>
    <row r="1984" spans="15:15" x14ac:dyDescent="0.25">
      <c r="O1984" s="21"/>
    </row>
    <row r="1985" spans="15:15" x14ac:dyDescent="0.25">
      <c r="O1985" s="21"/>
    </row>
    <row r="1986" spans="15:15" x14ac:dyDescent="0.25">
      <c r="O1986" s="21"/>
    </row>
    <row r="1987" spans="15:15" x14ac:dyDescent="0.25">
      <c r="O1987" s="21"/>
    </row>
    <row r="1988" spans="15:15" x14ac:dyDescent="0.25">
      <c r="O1988" s="21"/>
    </row>
    <row r="1989" spans="15:15" x14ac:dyDescent="0.25">
      <c r="O1989" s="21"/>
    </row>
    <row r="1990" spans="15:15" x14ac:dyDescent="0.25">
      <c r="O1990" s="21"/>
    </row>
    <row r="1991" spans="15:15" x14ac:dyDescent="0.25">
      <c r="O1991" s="21"/>
    </row>
    <row r="1992" spans="15:15" x14ac:dyDescent="0.25">
      <c r="O1992" s="21"/>
    </row>
    <row r="1993" spans="15:15" x14ac:dyDescent="0.25">
      <c r="O1993" s="21"/>
    </row>
    <row r="1994" spans="15:15" x14ac:dyDescent="0.25">
      <c r="O1994" s="21"/>
    </row>
    <row r="1995" spans="15:15" x14ac:dyDescent="0.25">
      <c r="O1995" s="21"/>
    </row>
    <row r="1996" spans="15:15" x14ac:dyDescent="0.25">
      <c r="O1996" s="21"/>
    </row>
    <row r="1997" spans="15:15" x14ac:dyDescent="0.25">
      <c r="O1997" s="21"/>
    </row>
    <row r="1998" spans="15:15" x14ac:dyDescent="0.25">
      <c r="O1998" s="21"/>
    </row>
    <row r="1999" spans="15:15" x14ac:dyDescent="0.25">
      <c r="O1999" s="21"/>
    </row>
    <row r="2000" spans="15:15" x14ac:dyDescent="0.25">
      <c r="O2000" s="21"/>
    </row>
    <row r="2001" spans="15:15" x14ac:dyDescent="0.25">
      <c r="O2001" s="21"/>
    </row>
    <row r="2002" spans="15:15" x14ac:dyDescent="0.25">
      <c r="O2002" s="21"/>
    </row>
    <row r="2003" spans="15:15" x14ac:dyDescent="0.25">
      <c r="O2003" s="21"/>
    </row>
    <row r="2004" spans="15:15" x14ac:dyDescent="0.25">
      <c r="O2004" s="21"/>
    </row>
    <row r="2005" spans="15:15" x14ac:dyDescent="0.25">
      <c r="O2005" s="21"/>
    </row>
    <row r="2006" spans="15:15" x14ac:dyDescent="0.25">
      <c r="O2006" s="21"/>
    </row>
    <row r="2007" spans="15:15" x14ac:dyDescent="0.25">
      <c r="O2007" s="21"/>
    </row>
    <row r="2008" spans="15:15" x14ac:dyDescent="0.25">
      <c r="O2008" s="21"/>
    </row>
    <row r="2009" spans="15:15" x14ac:dyDescent="0.25">
      <c r="O2009" s="21"/>
    </row>
    <row r="2010" spans="15:15" x14ac:dyDescent="0.25">
      <c r="O2010" s="21"/>
    </row>
    <row r="2011" spans="15:15" x14ac:dyDescent="0.25">
      <c r="O2011" s="21"/>
    </row>
    <row r="2012" spans="15:15" x14ac:dyDescent="0.25">
      <c r="O2012" s="21"/>
    </row>
    <row r="2013" spans="15:15" x14ac:dyDescent="0.25">
      <c r="O2013" s="21"/>
    </row>
    <row r="2014" spans="15:15" x14ac:dyDescent="0.25">
      <c r="O2014" s="21"/>
    </row>
    <row r="2015" spans="15:15" x14ac:dyDescent="0.25">
      <c r="O2015" s="21"/>
    </row>
    <row r="2016" spans="15:15" x14ac:dyDescent="0.25">
      <c r="O2016" s="21"/>
    </row>
    <row r="2017" spans="15:15" x14ac:dyDescent="0.25">
      <c r="O2017" s="21"/>
    </row>
    <row r="2018" spans="15:15" x14ac:dyDescent="0.25">
      <c r="O2018" s="21"/>
    </row>
    <row r="2019" spans="15:15" x14ac:dyDescent="0.25">
      <c r="O2019" s="21"/>
    </row>
    <row r="2020" spans="15:15" x14ac:dyDescent="0.25">
      <c r="O2020" s="21"/>
    </row>
    <row r="2021" spans="15:15" x14ac:dyDescent="0.25">
      <c r="O2021" s="21"/>
    </row>
    <row r="2022" spans="15:15" x14ac:dyDescent="0.25">
      <c r="O2022" s="21"/>
    </row>
    <row r="2023" spans="15:15" x14ac:dyDescent="0.25">
      <c r="O2023" s="21"/>
    </row>
    <row r="2024" spans="15:15" x14ac:dyDescent="0.25">
      <c r="O2024" s="21"/>
    </row>
    <row r="2025" spans="15:15" x14ac:dyDescent="0.25">
      <c r="O2025" s="21"/>
    </row>
    <row r="2026" spans="15:15" x14ac:dyDescent="0.25">
      <c r="O2026" s="21"/>
    </row>
    <row r="2027" spans="15:15" x14ac:dyDescent="0.25">
      <c r="O2027" s="21"/>
    </row>
    <row r="2028" spans="15:15" x14ac:dyDescent="0.25">
      <c r="O2028" s="21"/>
    </row>
    <row r="2029" spans="15:15" x14ac:dyDescent="0.25">
      <c r="O2029" s="21"/>
    </row>
    <row r="2030" spans="15:15" x14ac:dyDescent="0.25">
      <c r="O2030" s="21"/>
    </row>
    <row r="2031" spans="15:15" x14ac:dyDescent="0.25">
      <c r="O2031" s="21"/>
    </row>
    <row r="2032" spans="15:15" x14ac:dyDescent="0.25">
      <c r="O2032" s="21"/>
    </row>
    <row r="2033" spans="15:15" x14ac:dyDescent="0.25">
      <c r="O2033" s="21"/>
    </row>
    <row r="2034" spans="15:15" x14ac:dyDescent="0.25">
      <c r="O2034" s="21"/>
    </row>
    <row r="2035" spans="15:15" x14ac:dyDescent="0.25">
      <c r="O2035" s="21"/>
    </row>
    <row r="2036" spans="15:15" x14ac:dyDescent="0.25">
      <c r="O2036" s="21"/>
    </row>
    <row r="2037" spans="15:15" x14ac:dyDescent="0.25">
      <c r="O2037" s="21"/>
    </row>
    <row r="2038" spans="15:15" x14ac:dyDescent="0.25">
      <c r="O2038" s="21"/>
    </row>
    <row r="2039" spans="15:15" x14ac:dyDescent="0.25">
      <c r="O2039" s="21"/>
    </row>
    <row r="2040" spans="15:15" x14ac:dyDescent="0.25">
      <c r="O2040" s="21"/>
    </row>
    <row r="2041" spans="15:15" x14ac:dyDescent="0.25">
      <c r="O2041" s="21"/>
    </row>
    <row r="2042" spans="15:15" x14ac:dyDescent="0.25">
      <c r="O2042" s="21"/>
    </row>
    <row r="2043" spans="15:15" x14ac:dyDescent="0.25">
      <c r="O2043" s="21"/>
    </row>
    <row r="2044" spans="15:15" x14ac:dyDescent="0.25">
      <c r="O2044" s="21"/>
    </row>
    <row r="2045" spans="15:15" x14ac:dyDescent="0.25">
      <c r="O2045" s="21"/>
    </row>
    <row r="2046" spans="15:15" x14ac:dyDescent="0.25">
      <c r="O2046" s="21"/>
    </row>
    <row r="2047" spans="15:15" x14ac:dyDescent="0.25">
      <c r="O2047" s="21"/>
    </row>
    <row r="2048" spans="15:15" x14ac:dyDescent="0.25">
      <c r="O2048" s="21"/>
    </row>
    <row r="2049" spans="15:15" x14ac:dyDescent="0.25">
      <c r="O2049" s="21"/>
    </row>
    <row r="2050" spans="15:15" x14ac:dyDescent="0.25">
      <c r="O2050" s="21"/>
    </row>
    <row r="2051" spans="15:15" x14ac:dyDescent="0.25">
      <c r="O2051" s="21"/>
    </row>
    <row r="2052" spans="15:15" x14ac:dyDescent="0.25">
      <c r="O2052" s="21"/>
    </row>
    <row r="2053" spans="15:15" x14ac:dyDescent="0.25">
      <c r="O2053" s="21"/>
    </row>
    <row r="2054" spans="15:15" x14ac:dyDescent="0.25">
      <c r="O2054" s="21"/>
    </row>
    <row r="2055" spans="15:15" x14ac:dyDescent="0.25">
      <c r="O2055" s="21"/>
    </row>
    <row r="2056" spans="15:15" x14ac:dyDescent="0.25">
      <c r="O2056" s="21"/>
    </row>
    <row r="2057" spans="15:15" x14ac:dyDescent="0.25">
      <c r="O2057" s="21"/>
    </row>
    <row r="2058" spans="15:15" x14ac:dyDescent="0.25">
      <c r="O2058" s="21"/>
    </row>
    <row r="2059" spans="15:15" x14ac:dyDescent="0.25">
      <c r="O2059" s="21"/>
    </row>
    <row r="2060" spans="15:15" x14ac:dyDescent="0.25">
      <c r="O2060" s="21"/>
    </row>
    <row r="2061" spans="15:15" x14ac:dyDescent="0.25">
      <c r="O2061" s="21"/>
    </row>
    <row r="2062" spans="15:15" x14ac:dyDescent="0.25">
      <c r="O2062" s="21"/>
    </row>
    <row r="2063" spans="15:15" x14ac:dyDescent="0.25">
      <c r="O2063" s="21"/>
    </row>
    <row r="2064" spans="15:15" x14ac:dyDescent="0.25">
      <c r="O2064" s="21"/>
    </row>
    <row r="2065" spans="15:15" x14ac:dyDescent="0.25">
      <c r="O2065" s="21"/>
    </row>
    <row r="2066" spans="15:15" x14ac:dyDescent="0.25">
      <c r="O2066" s="21"/>
    </row>
    <row r="2067" spans="15:15" x14ac:dyDescent="0.25">
      <c r="O2067" s="21"/>
    </row>
    <row r="2068" spans="15:15" x14ac:dyDescent="0.25">
      <c r="O2068" s="21"/>
    </row>
    <row r="2069" spans="15:15" x14ac:dyDescent="0.25">
      <c r="O2069" s="21"/>
    </row>
    <row r="2070" spans="15:15" x14ac:dyDescent="0.25">
      <c r="O2070" s="21"/>
    </row>
    <row r="2071" spans="15:15" x14ac:dyDescent="0.25">
      <c r="O2071" s="21"/>
    </row>
    <row r="2072" spans="15:15" x14ac:dyDescent="0.25">
      <c r="O2072" s="21"/>
    </row>
    <row r="2073" spans="15:15" x14ac:dyDescent="0.25">
      <c r="O2073" s="21"/>
    </row>
    <row r="2074" spans="15:15" x14ac:dyDescent="0.25">
      <c r="O2074" s="21"/>
    </row>
    <row r="2075" spans="15:15" x14ac:dyDescent="0.25">
      <c r="O2075" s="21"/>
    </row>
    <row r="2076" spans="15:15" x14ac:dyDescent="0.25">
      <c r="O2076" s="21"/>
    </row>
    <row r="2077" spans="15:15" x14ac:dyDescent="0.25">
      <c r="O2077" s="21"/>
    </row>
    <row r="2078" spans="15:15" x14ac:dyDescent="0.25">
      <c r="O2078" s="21"/>
    </row>
    <row r="2079" spans="15:15" x14ac:dyDescent="0.25">
      <c r="O2079" s="21"/>
    </row>
    <row r="2080" spans="15:15" x14ac:dyDescent="0.25">
      <c r="O2080" s="21"/>
    </row>
    <row r="2081" spans="15:15" x14ac:dyDescent="0.25">
      <c r="O2081" s="21"/>
    </row>
    <row r="2082" spans="15:15" x14ac:dyDescent="0.25">
      <c r="O2082" s="21"/>
    </row>
    <row r="2083" spans="15:15" x14ac:dyDescent="0.25">
      <c r="O2083" s="21"/>
    </row>
    <row r="2084" spans="15:15" x14ac:dyDescent="0.25">
      <c r="O2084" s="21"/>
    </row>
    <row r="2085" spans="15:15" x14ac:dyDescent="0.25">
      <c r="O2085" s="21"/>
    </row>
    <row r="2086" spans="15:15" x14ac:dyDescent="0.25">
      <c r="O2086" s="21"/>
    </row>
    <row r="2087" spans="15:15" x14ac:dyDescent="0.25">
      <c r="O2087" s="21"/>
    </row>
    <row r="2088" spans="15:15" x14ac:dyDescent="0.25">
      <c r="O2088" s="21"/>
    </row>
    <row r="2089" spans="15:15" x14ac:dyDescent="0.25">
      <c r="O2089" s="21"/>
    </row>
    <row r="2090" spans="15:15" x14ac:dyDescent="0.25">
      <c r="O2090" s="21"/>
    </row>
    <row r="2091" spans="15:15" x14ac:dyDescent="0.25">
      <c r="O2091" s="21"/>
    </row>
    <row r="2092" spans="15:15" x14ac:dyDescent="0.25">
      <c r="O2092" s="21"/>
    </row>
    <row r="2093" spans="15:15" x14ac:dyDescent="0.25">
      <c r="O2093" s="21"/>
    </row>
    <row r="2094" spans="15:15" x14ac:dyDescent="0.25">
      <c r="O2094" s="21"/>
    </row>
    <row r="2095" spans="15:15" x14ac:dyDescent="0.25">
      <c r="O2095" s="21"/>
    </row>
    <row r="2096" spans="15:15" x14ac:dyDescent="0.25">
      <c r="O2096" s="21"/>
    </row>
    <row r="2097" spans="15:15" x14ac:dyDescent="0.25">
      <c r="O2097" s="21"/>
    </row>
    <row r="2098" spans="15:15" x14ac:dyDescent="0.25">
      <c r="O2098" s="21"/>
    </row>
    <row r="2099" spans="15:15" x14ac:dyDescent="0.25">
      <c r="O2099" s="21"/>
    </row>
    <row r="2100" spans="15:15" x14ac:dyDescent="0.25">
      <c r="O2100" s="21"/>
    </row>
    <row r="2101" spans="15:15" x14ac:dyDescent="0.25">
      <c r="O2101" s="21"/>
    </row>
    <row r="2102" spans="15:15" x14ac:dyDescent="0.25">
      <c r="O2102" s="21"/>
    </row>
    <row r="2103" spans="15:15" x14ac:dyDescent="0.25">
      <c r="O2103" s="21"/>
    </row>
    <row r="2104" spans="15:15" x14ac:dyDescent="0.25">
      <c r="O2104" s="21"/>
    </row>
    <row r="2105" spans="15:15" x14ac:dyDescent="0.25">
      <c r="O2105" s="21"/>
    </row>
    <row r="2106" spans="15:15" x14ac:dyDescent="0.25">
      <c r="O2106" s="21"/>
    </row>
    <row r="2107" spans="15:15" x14ac:dyDescent="0.25">
      <c r="O2107" s="21"/>
    </row>
    <row r="2108" spans="15:15" x14ac:dyDescent="0.25">
      <c r="O2108" s="21"/>
    </row>
    <row r="2109" spans="15:15" x14ac:dyDescent="0.25">
      <c r="O2109" s="21"/>
    </row>
    <row r="2110" spans="15:15" x14ac:dyDescent="0.25">
      <c r="O2110" s="21"/>
    </row>
    <row r="2111" spans="15:15" x14ac:dyDescent="0.25">
      <c r="O2111" s="21"/>
    </row>
    <row r="2112" spans="15:15" x14ac:dyDescent="0.25">
      <c r="O2112" s="21"/>
    </row>
    <row r="2113" spans="15:15" x14ac:dyDescent="0.25">
      <c r="O2113" s="21"/>
    </row>
    <row r="2114" spans="15:15" x14ac:dyDescent="0.25">
      <c r="O2114" s="21"/>
    </row>
    <row r="2115" spans="15:15" x14ac:dyDescent="0.25">
      <c r="O2115" s="21"/>
    </row>
    <row r="2116" spans="15:15" x14ac:dyDescent="0.25">
      <c r="O2116" s="21"/>
    </row>
    <row r="2117" spans="15:15" x14ac:dyDescent="0.25">
      <c r="O2117" s="21"/>
    </row>
    <row r="2118" spans="15:15" x14ac:dyDescent="0.25">
      <c r="O2118" s="21"/>
    </row>
    <row r="2119" spans="15:15" x14ac:dyDescent="0.25">
      <c r="O2119" s="21"/>
    </row>
    <row r="2120" spans="15:15" x14ac:dyDescent="0.25">
      <c r="O2120" s="21"/>
    </row>
    <row r="2121" spans="15:15" x14ac:dyDescent="0.25">
      <c r="O2121" s="21"/>
    </row>
    <row r="2122" spans="15:15" x14ac:dyDescent="0.25">
      <c r="O2122" s="21"/>
    </row>
    <row r="2123" spans="15:15" x14ac:dyDescent="0.25">
      <c r="O2123" s="21"/>
    </row>
    <row r="2124" spans="15:15" x14ac:dyDescent="0.25">
      <c r="O2124" s="21"/>
    </row>
    <row r="2125" spans="15:15" x14ac:dyDescent="0.25">
      <c r="O2125" s="21"/>
    </row>
    <row r="2126" spans="15:15" x14ac:dyDescent="0.25">
      <c r="O2126" s="21"/>
    </row>
    <row r="2127" spans="15:15" x14ac:dyDescent="0.25">
      <c r="O2127" s="21"/>
    </row>
    <row r="2128" spans="15:15" x14ac:dyDescent="0.25">
      <c r="O2128" s="21"/>
    </row>
    <row r="2129" spans="15:15" x14ac:dyDescent="0.25">
      <c r="O2129" s="21"/>
    </row>
    <row r="2130" spans="15:15" x14ac:dyDescent="0.25">
      <c r="O2130" s="21"/>
    </row>
    <row r="2131" spans="15:15" x14ac:dyDescent="0.25">
      <c r="O2131" s="21"/>
    </row>
    <row r="2132" spans="15:15" x14ac:dyDescent="0.25">
      <c r="O2132" s="21"/>
    </row>
    <row r="2133" spans="15:15" x14ac:dyDescent="0.25">
      <c r="O2133" s="21"/>
    </row>
    <row r="2134" spans="15:15" x14ac:dyDescent="0.25">
      <c r="O2134" s="21"/>
    </row>
    <row r="2135" spans="15:15" x14ac:dyDescent="0.25">
      <c r="O2135" s="21"/>
    </row>
    <row r="2136" spans="15:15" x14ac:dyDescent="0.25">
      <c r="O2136" s="21"/>
    </row>
    <row r="2137" spans="15:15" x14ac:dyDescent="0.25">
      <c r="O2137" s="21"/>
    </row>
    <row r="2138" spans="15:15" x14ac:dyDescent="0.25">
      <c r="O2138" s="21"/>
    </row>
    <row r="2139" spans="15:15" x14ac:dyDescent="0.25">
      <c r="O2139" s="21"/>
    </row>
    <row r="2140" spans="15:15" x14ac:dyDescent="0.25">
      <c r="O2140" s="21"/>
    </row>
    <row r="2141" spans="15:15" x14ac:dyDescent="0.25">
      <c r="O2141" s="21"/>
    </row>
    <row r="2142" spans="15:15" x14ac:dyDescent="0.25">
      <c r="O2142" s="21"/>
    </row>
    <row r="2143" spans="15:15" x14ac:dyDescent="0.25">
      <c r="O2143" s="21"/>
    </row>
    <row r="2144" spans="15:15" x14ac:dyDescent="0.25">
      <c r="O2144" s="21"/>
    </row>
    <row r="2145" spans="15:15" x14ac:dyDescent="0.25">
      <c r="O2145" s="21"/>
    </row>
    <row r="2146" spans="15:15" x14ac:dyDescent="0.25">
      <c r="O2146" s="21"/>
    </row>
    <row r="2147" spans="15:15" x14ac:dyDescent="0.25">
      <c r="O2147" s="21"/>
    </row>
    <row r="2148" spans="15:15" x14ac:dyDescent="0.25">
      <c r="O2148" s="21"/>
    </row>
    <row r="2149" spans="15:15" x14ac:dyDescent="0.25">
      <c r="O2149" s="21"/>
    </row>
    <row r="2150" spans="15:15" x14ac:dyDescent="0.25">
      <c r="O2150" s="21"/>
    </row>
    <row r="2151" spans="15:15" x14ac:dyDescent="0.25">
      <c r="O2151" s="21"/>
    </row>
    <row r="2152" spans="15:15" x14ac:dyDescent="0.25">
      <c r="O2152" s="21"/>
    </row>
    <row r="2153" spans="15:15" x14ac:dyDescent="0.25">
      <c r="O2153" s="21"/>
    </row>
    <row r="2154" spans="15:15" x14ac:dyDescent="0.25">
      <c r="O2154" s="21"/>
    </row>
    <row r="2155" spans="15:15" x14ac:dyDescent="0.25">
      <c r="O2155" s="21"/>
    </row>
    <row r="2156" spans="15:15" x14ac:dyDescent="0.25">
      <c r="O2156" s="21"/>
    </row>
    <row r="2157" spans="15:15" x14ac:dyDescent="0.25">
      <c r="O2157" s="21"/>
    </row>
    <row r="2158" spans="15:15" x14ac:dyDescent="0.25">
      <c r="O2158" s="21"/>
    </row>
    <row r="2159" spans="15:15" x14ac:dyDescent="0.25">
      <c r="O2159" s="21"/>
    </row>
    <row r="2160" spans="15:15" x14ac:dyDescent="0.25">
      <c r="O2160" s="21"/>
    </row>
    <row r="2161" spans="15:15" x14ac:dyDescent="0.25">
      <c r="O2161" s="21"/>
    </row>
    <row r="2162" spans="15:15" x14ac:dyDescent="0.25">
      <c r="O2162" s="21"/>
    </row>
    <row r="2163" spans="15:15" x14ac:dyDescent="0.25">
      <c r="O2163" s="21"/>
    </row>
    <row r="2164" spans="15:15" x14ac:dyDescent="0.25">
      <c r="O2164" s="21"/>
    </row>
    <row r="2165" spans="15:15" x14ac:dyDescent="0.25">
      <c r="O2165" s="21"/>
    </row>
    <row r="2166" spans="15:15" x14ac:dyDescent="0.25">
      <c r="O2166" s="21"/>
    </row>
    <row r="2167" spans="15:15" x14ac:dyDescent="0.25">
      <c r="O2167" s="21"/>
    </row>
    <row r="2168" spans="15:15" x14ac:dyDescent="0.25">
      <c r="O2168" s="21"/>
    </row>
    <row r="2169" spans="15:15" x14ac:dyDescent="0.25">
      <c r="O2169" s="21"/>
    </row>
    <row r="2170" spans="15:15" x14ac:dyDescent="0.25">
      <c r="O2170" s="21"/>
    </row>
    <row r="2171" spans="15:15" x14ac:dyDescent="0.25">
      <c r="O2171" s="21"/>
    </row>
    <row r="2172" spans="15:15" x14ac:dyDescent="0.25">
      <c r="O2172" s="21"/>
    </row>
    <row r="2173" spans="15:15" x14ac:dyDescent="0.25">
      <c r="O2173" s="21"/>
    </row>
    <row r="2174" spans="15:15" x14ac:dyDescent="0.25">
      <c r="O2174" s="21"/>
    </row>
    <row r="2175" spans="15:15" x14ac:dyDescent="0.25">
      <c r="O2175" s="21"/>
    </row>
    <row r="2176" spans="15:15" x14ac:dyDescent="0.25">
      <c r="O2176" s="21"/>
    </row>
    <row r="2177" spans="15:15" x14ac:dyDescent="0.25">
      <c r="O2177" s="21"/>
    </row>
    <row r="2178" spans="15:15" x14ac:dyDescent="0.25">
      <c r="O2178" s="21"/>
    </row>
    <row r="2179" spans="15:15" x14ac:dyDescent="0.25">
      <c r="O2179" s="21"/>
    </row>
    <row r="2180" spans="15:15" x14ac:dyDescent="0.25">
      <c r="O2180" s="21"/>
    </row>
    <row r="2181" spans="15:15" x14ac:dyDescent="0.25">
      <c r="O2181" s="21"/>
    </row>
    <row r="2182" spans="15:15" x14ac:dyDescent="0.25">
      <c r="O2182" s="21"/>
    </row>
    <row r="2183" spans="15:15" x14ac:dyDescent="0.25">
      <c r="O2183" s="21"/>
    </row>
    <row r="2184" spans="15:15" x14ac:dyDescent="0.25">
      <c r="O2184" s="21"/>
    </row>
    <row r="2185" spans="15:15" x14ac:dyDescent="0.25">
      <c r="O2185" s="21"/>
    </row>
    <row r="2186" spans="15:15" x14ac:dyDescent="0.25">
      <c r="O2186" s="21"/>
    </row>
    <row r="2187" spans="15:15" x14ac:dyDescent="0.25">
      <c r="O2187" s="21"/>
    </row>
    <row r="2188" spans="15:15" x14ac:dyDescent="0.25">
      <c r="O2188" s="21"/>
    </row>
    <row r="2189" spans="15:15" x14ac:dyDescent="0.25">
      <c r="O2189" s="21"/>
    </row>
    <row r="2190" spans="15:15" x14ac:dyDescent="0.25">
      <c r="O2190" s="21"/>
    </row>
    <row r="2191" spans="15:15" x14ac:dyDescent="0.25">
      <c r="O2191" s="21"/>
    </row>
    <row r="2192" spans="15:15" x14ac:dyDescent="0.25">
      <c r="O2192" s="21"/>
    </row>
    <row r="2193" spans="15:15" x14ac:dyDescent="0.25">
      <c r="O2193" s="21"/>
    </row>
    <row r="2194" spans="15:15" x14ac:dyDescent="0.25">
      <c r="O2194" s="21"/>
    </row>
    <row r="2195" spans="15:15" x14ac:dyDescent="0.25">
      <c r="O2195" s="21"/>
    </row>
    <row r="2196" spans="15:15" x14ac:dyDescent="0.25">
      <c r="O2196" s="21"/>
    </row>
    <row r="2197" spans="15:15" x14ac:dyDescent="0.25">
      <c r="O2197" s="21"/>
    </row>
    <row r="2198" spans="15:15" x14ac:dyDescent="0.25">
      <c r="O2198" s="21"/>
    </row>
    <row r="2199" spans="15:15" x14ac:dyDescent="0.25">
      <c r="O2199" s="21"/>
    </row>
    <row r="2200" spans="15:15" x14ac:dyDescent="0.25">
      <c r="O2200" s="21"/>
    </row>
    <row r="2201" spans="15:15" x14ac:dyDescent="0.25">
      <c r="O2201" s="21"/>
    </row>
    <row r="2202" spans="15:15" x14ac:dyDescent="0.25">
      <c r="O2202" s="21"/>
    </row>
    <row r="2203" spans="15:15" x14ac:dyDescent="0.25">
      <c r="O2203" s="21"/>
    </row>
    <row r="2204" spans="15:15" x14ac:dyDescent="0.25">
      <c r="O2204" s="21"/>
    </row>
    <row r="2205" spans="15:15" x14ac:dyDescent="0.25">
      <c r="O2205" s="21"/>
    </row>
    <row r="2206" spans="15:15" x14ac:dyDescent="0.25">
      <c r="O2206" s="21"/>
    </row>
    <row r="2207" spans="15:15" x14ac:dyDescent="0.25">
      <c r="O2207" s="21"/>
    </row>
    <row r="2208" spans="15:15" x14ac:dyDescent="0.25">
      <c r="O2208" s="21"/>
    </row>
    <row r="2209" spans="15:15" x14ac:dyDescent="0.25">
      <c r="O2209" s="21"/>
    </row>
    <row r="2210" spans="15:15" x14ac:dyDescent="0.25">
      <c r="O2210" s="21"/>
    </row>
    <row r="2211" spans="15:15" x14ac:dyDescent="0.25">
      <c r="O2211" s="21"/>
    </row>
    <row r="2212" spans="15:15" x14ac:dyDescent="0.25">
      <c r="O2212" s="21"/>
    </row>
    <row r="2213" spans="15:15" x14ac:dyDescent="0.25">
      <c r="O2213" s="21"/>
    </row>
    <row r="2214" spans="15:15" x14ac:dyDescent="0.25">
      <c r="O2214" s="21"/>
    </row>
    <row r="2215" spans="15:15" x14ac:dyDescent="0.25">
      <c r="O2215" s="21"/>
    </row>
    <row r="2216" spans="15:15" x14ac:dyDescent="0.25">
      <c r="O2216" s="21"/>
    </row>
    <row r="2217" spans="15:15" x14ac:dyDescent="0.25">
      <c r="O2217" s="21"/>
    </row>
    <row r="2218" spans="15:15" x14ac:dyDescent="0.25">
      <c r="O2218" s="21"/>
    </row>
    <row r="2219" spans="15:15" x14ac:dyDescent="0.25">
      <c r="O2219" s="21"/>
    </row>
    <row r="2220" spans="15:15" x14ac:dyDescent="0.25">
      <c r="O2220" s="21"/>
    </row>
    <row r="2221" spans="15:15" x14ac:dyDescent="0.25">
      <c r="O2221" s="21"/>
    </row>
    <row r="2222" spans="15:15" x14ac:dyDescent="0.25">
      <c r="O2222" s="21"/>
    </row>
    <row r="2223" spans="15:15" x14ac:dyDescent="0.25">
      <c r="O2223" s="21"/>
    </row>
    <row r="2224" spans="15:15" x14ac:dyDescent="0.25">
      <c r="O2224" s="21"/>
    </row>
    <row r="2225" spans="15:15" x14ac:dyDescent="0.25">
      <c r="O2225" s="21"/>
    </row>
    <row r="2226" spans="15:15" x14ac:dyDescent="0.25">
      <c r="O2226" s="21"/>
    </row>
    <row r="2227" spans="15:15" x14ac:dyDescent="0.25">
      <c r="O2227" s="21"/>
    </row>
    <row r="2228" spans="15:15" x14ac:dyDescent="0.25">
      <c r="O2228" s="21"/>
    </row>
    <row r="2229" spans="15:15" x14ac:dyDescent="0.25">
      <c r="O2229" s="21"/>
    </row>
    <row r="2230" spans="15:15" x14ac:dyDescent="0.25">
      <c r="O2230" s="21"/>
    </row>
    <row r="2231" spans="15:15" x14ac:dyDescent="0.25">
      <c r="O2231" s="21"/>
    </row>
    <row r="2232" spans="15:15" x14ac:dyDescent="0.25">
      <c r="O2232" s="21"/>
    </row>
    <row r="2233" spans="15:15" x14ac:dyDescent="0.25">
      <c r="O2233" s="21"/>
    </row>
    <row r="2234" spans="15:15" x14ac:dyDescent="0.25">
      <c r="O2234" s="21"/>
    </row>
    <row r="2235" spans="15:15" x14ac:dyDescent="0.25">
      <c r="O2235" s="21"/>
    </row>
    <row r="2236" spans="15:15" x14ac:dyDescent="0.25">
      <c r="O2236" s="21"/>
    </row>
    <row r="2237" spans="15:15" x14ac:dyDescent="0.25">
      <c r="O2237" s="21"/>
    </row>
    <row r="2238" spans="15:15" x14ac:dyDescent="0.25">
      <c r="O2238" s="21"/>
    </row>
    <row r="2239" spans="15:15" x14ac:dyDescent="0.25">
      <c r="O2239" s="21"/>
    </row>
    <row r="2240" spans="15:15" x14ac:dyDescent="0.25">
      <c r="O2240" s="21"/>
    </row>
    <row r="2241" spans="15:15" x14ac:dyDescent="0.25">
      <c r="O2241" s="21"/>
    </row>
    <row r="2242" spans="15:15" x14ac:dyDescent="0.25">
      <c r="O2242" s="21"/>
    </row>
    <row r="2243" spans="15:15" x14ac:dyDescent="0.25">
      <c r="O2243" s="21"/>
    </row>
    <row r="2244" spans="15:15" x14ac:dyDescent="0.25">
      <c r="O2244" s="21"/>
    </row>
    <row r="2245" spans="15:15" x14ac:dyDescent="0.25">
      <c r="O2245" s="21"/>
    </row>
    <row r="2246" spans="15:15" x14ac:dyDescent="0.25">
      <c r="O2246" s="21"/>
    </row>
    <row r="2247" spans="15:15" x14ac:dyDescent="0.25">
      <c r="O2247" s="21"/>
    </row>
    <row r="2248" spans="15:15" x14ac:dyDescent="0.25">
      <c r="O2248" s="21"/>
    </row>
    <row r="2249" spans="15:15" x14ac:dyDescent="0.25">
      <c r="O2249" s="21"/>
    </row>
    <row r="2250" spans="15:15" x14ac:dyDescent="0.25">
      <c r="O2250" s="21"/>
    </row>
    <row r="2251" spans="15:15" x14ac:dyDescent="0.25">
      <c r="O2251" s="21"/>
    </row>
    <row r="2252" spans="15:15" x14ac:dyDescent="0.25">
      <c r="O2252" s="21"/>
    </row>
    <row r="2253" spans="15:15" x14ac:dyDescent="0.25">
      <c r="O2253" s="21"/>
    </row>
    <row r="2254" spans="15:15" x14ac:dyDescent="0.25">
      <c r="O2254" s="21"/>
    </row>
    <row r="2255" spans="15:15" x14ac:dyDescent="0.25">
      <c r="O2255" s="21"/>
    </row>
    <row r="2256" spans="15:15" x14ac:dyDescent="0.25">
      <c r="O2256" s="21"/>
    </row>
    <row r="2257" spans="15:15" x14ac:dyDescent="0.25">
      <c r="O2257" s="21"/>
    </row>
    <row r="2258" spans="15:15" x14ac:dyDescent="0.25">
      <c r="O2258" s="21"/>
    </row>
    <row r="2259" spans="15:15" x14ac:dyDescent="0.25">
      <c r="O2259" s="21"/>
    </row>
    <row r="2260" spans="15:15" x14ac:dyDescent="0.25">
      <c r="O2260" s="21"/>
    </row>
    <row r="2261" spans="15:15" x14ac:dyDescent="0.25">
      <c r="O2261" s="21"/>
    </row>
    <row r="2262" spans="15:15" x14ac:dyDescent="0.25">
      <c r="O2262" s="21"/>
    </row>
    <row r="2263" spans="15:15" x14ac:dyDescent="0.25">
      <c r="O2263" s="21"/>
    </row>
    <row r="2264" spans="15:15" x14ac:dyDescent="0.25">
      <c r="O2264" s="21"/>
    </row>
    <row r="2265" spans="15:15" x14ac:dyDescent="0.25">
      <c r="O2265" s="21"/>
    </row>
    <row r="2266" spans="15:15" x14ac:dyDescent="0.25">
      <c r="O2266" s="21"/>
    </row>
    <row r="2267" spans="15:15" x14ac:dyDescent="0.25">
      <c r="O2267" s="21"/>
    </row>
    <row r="2268" spans="15:15" x14ac:dyDescent="0.25">
      <c r="O2268" s="21"/>
    </row>
    <row r="2269" spans="15:15" x14ac:dyDescent="0.25">
      <c r="O2269" s="21"/>
    </row>
    <row r="2270" spans="15:15" x14ac:dyDescent="0.25">
      <c r="O2270" s="21"/>
    </row>
    <row r="2271" spans="15:15" x14ac:dyDescent="0.25">
      <c r="O2271" s="21"/>
    </row>
    <row r="2272" spans="15:15" x14ac:dyDescent="0.25">
      <c r="O2272" s="21"/>
    </row>
    <row r="2273" spans="15:15" x14ac:dyDescent="0.25">
      <c r="O2273" s="21"/>
    </row>
    <row r="2274" spans="15:15" x14ac:dyDescent="0.25">
      <c r="O2274" s="21"/>
    </row>
    <row r="2275" spans="15:15" x14ac:dyDescent="0.25">
      <c r="O2275" s="21"/>
    </row>
    <row r="2276" spans="15:15" x14ac:dyDescent="0.25">
      <c r="O2276" s="21"/>
    </row>
    <row r="2277" spans="15:15" x14ac:dyDescent="0.25">
      <c r="O2277" s="21"/>
    </row>
    <row r="2278" spans="15:15" x14ac:dyDescent="0.25">
      <c r="O2278" s="21"/>
    </row>
    <row r="2279" spans="15:15" x14ac:dyDescent="0.25">
      <c r="O2279" s="21"/>
    </row>
    <row r="2280" spans="15:15" x14ac:dyDescent="0.25">
      <c r="O2280" s="21"/>
    </row>
    <row r="2281" spans="15:15" x14ac:dyDescent="0.25">
      <c r="O2281" s="21"/>
    </row>
    <row r="2282" spans="15:15" x14ac:dyDescent="0.25">
      <c r="O2282" s="21"/>
    </row>
    <row r="2283" spans="15:15" x14ac:dyDescent="0.25">
      <c r="O2283" s="21"/>
    </row>
    <row r="2284" spans="15:15" x14ac:dyDescent="0.25">
      <c r="O2284" s="21"/>
    </row>
    <row r="2285" spans="15:15" x14ac:dyDescent="0.25">
      <c r="O2285" s="21"/>
    </row>
    <row r="2286" spans="15:15" x14ac:dyDescent="0.25">
      <c r="O2286" s="21"/>
    </row>
    <row r="2287" spans="15:15" x14ac:dyDescent="0.25">
      <c r="O2287" s="21"/>
    </row>
    <row r="2288" spans="15:15" x14ac:dyDescent="0.25">
      <c r="O2288" s="21"/>
    </row>
    <row r="2289" spans="15:15" x14ac:dyDescent="0.25">
      <c r="O2289" s="21"/>
    </row>
    <row r="2290" spans="15:15" x14ac:dyDescent="0.25">
      <c r="O2290" s="21"/>
    </row>
    <row r="2291" spans="15:15" x14ac:dyDescent="0.25">
      <c r="O2291" s="21"/>
    </row>
    <row r="2292" spans="15:15" x14ac:dyDescent="0.25">
      <c r="O2292" s="21"/>
    </row>
    <row r="2293" spans="15:15" x14ac:dyDescent="0.25">
      <c r="O2293" s="21"/>
    </row>
    <row r="2294" spans="15:15" x14ac:dyDescent="0.25">
      <c r="O2294" s="21"/>
    </row>
    <row r="2295" spans="15:15" x14ac:dyDescent="0.25">
      <c r="O2295" s="21"/>
    </row>
    <row r="2296" spans="15:15" x14ac:dyDescent="0.25">
      <c r="O2296" s="21"/>
    </row>
    <row r="2297" spans="15:15" x14ac:dyDescent="0.25">
      <c r="O2297" s="21"/>
    </row>
    <row r="2298" spans="15:15" x14ac:dyDescent="0.25">
      <c r="O2298" s="21"/>
    </row>
    <row r="2299" spans="15:15" x14ac:dyDescent="0.25">
      <c r="O2299" s="21"/>
    </row>
    <row r="2300" spans="15:15" x14ac:dyDescent="0.25">
      <c r="O2300" s="21"/>
    </row>
    <row r="2301" spans="15:15" x14ac:dyDescent="0.25">
      <c r="O2301" s="21"/>
    </row>
    <row r="2302" spans="15:15" x14ac:dyDescent="0.25">
      <c r="O2302" s="21"/>
    </row>
    <row r="2303" spans="15:15" x14ac:dyDescent="0.25">
      <c r="O2303" s="21"/>
    </row>
    <row r="2304" spans="15:15" x14ac:dyDescent="0.25">
      <c r="O2304" s="21"/>
    </row>
    <row r="2305" spans="15:15" x14ac:dyDescent="0.25">
      <c r="O2305" s="21"/>
    </row>
    <row r="2306" spans="15:15" x14ac:dyDescent="0.25">
      <c r="O2306" s="21"/>
    </row>
    <row r="2307" spans="15:15" x14ac:dyDescent="0.25">
      <c r="O2307" s="21"/>
    </row>
    <row r="2308" spans="15:15" x14ac:dyDescent="0.25">
      <c r="O2308" s="21"/>
    </row>
    <row r="2309" spans="15:15" x14ac:dyDescent="0.25">
      <c r="O2309" s="21"/>
    </row>
    <row r="2310" spans="15:15" x14ac:dyDescent="0.25">
      <c r="O2310" s="21"/>
    </row>
    <row r="2311" spans="15:15" x14ac:dyDescent="0.25">
      <c r="O2311" s="21"/>
    </row>
    <row r="2312" spans="15:15" x14ac:dyDescent="0.25">
      <c r="O2312" s="21"/>
    </row>
    <row r="2313" spans="15:15" x14ac:dyDescent="0.25">
      <c r="O2313" s="21"/>
    </row>
    <row r="2314" spans="15:15" x14ac:dyDescent="0.25">
      <c r="O2314" s="21"/>
    </row>
    <row r="2315" spans="15:15" x14ac:dyDescent="0.25">
      <c r="O2315" s="21"/>
    </row>
    <row r="2316" spans="15:15" x14ac:dyDescent="0.25">
      <c r="O2316" s="21"/>
    </row>
    <row r="2317" spans="15:15" x14ac:dyDescent="0.25">
      <c r="O2317" s="21"/>
    </row>
    <row r="2318" spans="15:15" x14ac:dyDescent="0.25">
      <c r="O2318" s="21"/>
    </row>
    <row r="2319" spans="15:15" x14ac:dyDescent="0.25">
      <c r="O2319" s="21"/>
    </row>
    <row r="2320" spans="15:15" x14ac:dyDescent="0.25">
      <c r="O2320" s="21"/>
    </row>
    <row r="2321" spans="15:15" x14ac:dyDescent="0.25">
      <c r="O2321" s="21"/>
    </row>
    <row r="2322" spans="15:15" x14ac:dyDescent="0.25">
      <c r="O2322" s="21"/>
    </row>
    <row r="2323" spans="15:15" x14ac:dyDescent="0.25">
      <c r="O2323" s="21"/>
    </row>
    <row r="2324" spans="15:15" x14ac:dyDescent="0.25">
      <c r="O2324" s="21"/>
    </row>
    <row r="2325" spans="15:15" x14ac:dyDescent="0.25">
      <c r="O2325" s="21"/>
    </row>
    <row r="2326" spans="15:15" x14ac:dyDescent="0.25">
      <c r="O2326" s="21"/>
    </row>
    <row r="2327" spans="15:15" x14ac:dyDescent="0.25">
      <c r="O2327" s="21"/>
    </row>
    <row r="2328" spans="15:15" x14ac:dyDescent="0.25">
      <c r="O2328" s="21"/>
    </row>
    <row r="2329" spans="15:15" x14ac:dyDescent="0.25">
      <c r="O2329" s="21"/>
    </row>
    <row r="2330" spans="15:15" x14ac:dyDescent="0.25">
      <c r="O2330" s="21"/>
    </row>
    <row r="2331" spans="15:15" x14ac:dyDescent="0.25">
      <c r="O2331" s="21"/>
    </row>
    <row r="2332" spans="15:15" x14ac:dyDescent="0.25">
      <c r="O2332" s="21"/>
    </row>
    <row r="2333" spans="15:15" x14ac:dyDescent="0.25">
      <c r="O2333" s="21"/>
    </row>
    <row r="2334" spans="15:15" x14ac:dyDescent="0.25">
      <c r="O2334" s="21"/>
    </row>
    <row r="2335" spans="15:15" x14ac:dyDescent="0.25">
      <c r="O2335" s="21"/>
    </row>
    <row r="2336" spans="15:15" x14ac:dyDescent="0.25">
      <c r="O2336" s="21"/>
    </row>
    <row r="2337" spans="15:15" x14ac:dyDescent="0.25">
      <c r="O2337" s="21"/>
    </row>
    <row r="2338" spans="15:15" x14ac:dyDescent="0.25">
      <c r="O2338" s="21"/>
    </row>
    <row r="2339" spans="15:15" x14ac:dyDescent="0.25">
      <c r="O2339" s="21"/>
    </row>
    <row r="2340" spans="15:15" x14ac:dyDescent="0.25">
      <c r="O2340" s="21"/>
    </row>
    <row r="2341" spans="15:15" x14ac:dyDescent="0.25">
      <c r="O2341" s="21"/>
    </row>
    <row r="2342" spans="15:15" x14ac:dyDescent="0.25">
      <c r="O2342" s="21"/>
    </row>
    <row r="2343" spans="15:15" x14ac:dyDescent="0.25">
      <c r="O2343" s="21"/>
    </row>
    <row r="2344" spans="15:15" x14ac:dyDescent="0.25">
      <c r="O2344" s="21"/>
    </row>
    <row r="2345" spans="15:15" x14ac:dyDescent="0.25">
      <c r="O2345" s="21"/>
    </row>
    <row r="2346" spans="15:15" x14ac:dyDescent="0.25">
      <c r="O2346" s="21"/>
    </row>
    <row r="2347" spans="15:15" x14ac:dyDescent="0.25">
      <c r="O2347" s="21"/>
    </row>
    <row r="2348" spans="15:15" x14ac:dyDescent="0.25">
      <c r="O2348" s="21"/>
    </row>
    <row r="2349" spans="15:15" x14ac:dyDescent="0.25">
      <c r="O2349" s="21"/>
    </row>
    <row r="2350" spans="15:15" x14ac:dyDescent="0.25">
      <c r="O2350" s="21"/>
    </row>
    <row r="2351" spans="15:15" x14ac:dyDescent="0.25">
      <c r="O2351" s="21"/>
    </row>
    <row r="2352" spans="15:15" x14ac:dyDescent="0.25">
      <c r="O2352" s="21"/>
    </row>
    <row r="2353" spans="15:15" x14ac:dyDescent="0.25">
      <c r="O2353" s="21"/>
    </row>
    <row r="2354" spans="15:15" x14ac:dyDescent="0.25">
      <c r="O2354" s="21"/>
    </row>
    <row r="2355" spans="15:15" x14ac:dyDescent="0.25">
      <c r="O2355" s="21"/>
    </row>
    <row r="2356" spans="15:15" x14ac:dyDescent="0.25">
      <c r="O2356" s="21"/>
    </row>
    <row r="2357" spans="15:15" x14ac:dyDescent="0.25">
      <c r="O2357" s="21"/>
    </row>
    <row r="2358" spans="15:15" x14ac:dyDescent="0.25">
      <c r="O2358" s="21"/>
    </row>
    <row r="2359" spans="15:15" x14ac:dyDescent="0.25">
      <c r="O2359" s="21"/>
    </row>
    <row r="2360" spans="15:15" x14ac:dyDescent="0.25">
      <c r="O2360" s="21"/>
    </row>
    <row r="2361" spans="15:15" x14ac:dyDescent="0.25">
      <c r="O2361" s="21"/>
    </row>
    <row r="2362" spans="15:15" x14ac:dyDescent="0.25">
      <c r="O2362" s="21"/>
    </row>
    <row r="2363" spans="15:15" x14ac:dyDescent="0.25">
      <c r="O2363" s="21"/>
    </row>
    <row r="2364" spans="15:15" x14ac:dyDescent="0.25">
      <c r="O2364" s="21"/>
    </row>
    <row r="2365" spans="15:15" x14ac:dyDescent="0.25">
      <c r="O2365" s="21"/>
    </row>
    <row r="2366" spans="15:15" x14ac:dyDescent="0.25">
      <c r="O2366" s="21"/>
    </row>
    <row r="2367" spans="15:15" x14ac:dyDescent="0.25">
      <c r="O2367" s="21"/>
    </row>
    <row r="2368" spans="15:15" x14ac:dyDescent="0.25">
      <c r="O2368" s="21"/>
    </row>
    <row r="2369" spans="15:15" x14ac:dyDescent="0.25">
      <c r="O2369" s="21"/>
    </row>
    <row r="2370" spans="15:15" x14ac:dyDescent="0.25">
      <c r="O2370" s="21"/>
    </row>
    <row r="2371" spans="15:15" x14ac:dyDescent="0.25">
      <c r="O2371" s="21"/>
    </row>
    <row r="2372" spans="15:15" x14ac:dyDescent="0.25">
      <c r="O2372" s="21"/>
    </row>
    <row r="2373" spans="15:15" x14ac:dyDescent="0.25">
      <c r="O2373" s="21"/>
    </row>
    <row r="2374" spans="15:15" x14ac:dyDescent="0.25">
      <c r="O2374" s="21"/>
    </row>
    <row r="2375" spans="15:15" x14ac:dyDescent="0.25">
      <c r="O2375" s="21"/>
    </row>
    <row r="2376" spans="15:15" x14ac:dyDescent="0.25">
      <c r="O2376" s="21"/>
    </row>
    <row r="2377" spans="15:15" x14ac:dyDescent="0.25">
      <c r="O2377" s="21"/>
    </row>
    <row r="2378" spans="15:15" x14ac:dyDescent="0.25">
      <c r="O2378" s="21"/>
    </row>
    <row r="2379" spans="15:15" x14ac:dyDescent="0.25">
      <c r="O2379" s="21"/>
    </row>
    <row r="2380" spans="15:15" x14ac:dyDescent="0.25">
      <c r="O2380" s="21"/>
    </row>
    <row r="2381" spans="15:15" x14ac:dyDescent="0.25">
      <c r="O2381" s="21"/>
    </row>
    <row r="2382" spans="15:15" x14ac:dyDescent="0.25">
      <c r="O2382" s="21"/>
    </row>
    <row r="2383" spans="15:15" x14ac:dyDescent="0.25">
      <c r="O2383" s="21"/>
    </row>
    <row r="2384" spans="15:15" x14ac:dyDescent="0.25">
      <c r="O2384" s="21"/>
    </row>
    <row r="2385" spans="15:15" x14ac:dyDescent="0.25">
      <c r="O2385" s="21"/>
    </row>
    <row r="2386" spans="15:15" x14ac:dyDescent="0.25">
      <c r="O2386" s="21"/>
    </row>
    <row r="2387" spans="15:15" x14ac:dyDescent="0.25">
      <c r="O2387" s="21"/>
    </row>
    <row r="2388" spans="15:15" x14ac:dyDescent="0.25">
      <c r="O2388" s="21"/>
    </row>
    <row r="2389" spans="15:15" x14ac:dyDescent="0.25">
      <c r="O2389" s="21"/>
    </row>
    <row r="2390" spans="15:15" x14ac:dyDescent="0.25">
      <c r="O2390" s="21"/>
    </row>
    <row r="2391" spans="15:15" x14ac:dyDescent="0.25">
      <c r="O2391" s="21"/>
    </row>
    <row r="2392" spans="15:15" x14ac:dyDescent="0.25">
      <c r="O2392" s="21"/>
    </row>
    <row r="2393" spans="15:15" x14ac:dyDescent="0.25">
      <c r="O2393" s="21"/>
    </row>
    <row r="2394" spans="15:15" x14ac:dyDescent="0.25">
      <c r="O2394" s="21"/>
    </row>
    <row r="2395" spans="15:15" x14ac:dyDescent="0.25">
      <c r="O2395" s="21"/>
    </row>
    <row r="2396" spans="15:15" x14ac:dyDescent="0.25">
      <c r="O2396" s="21"/>
    </row>
    <row r="2397" spans="15:15" x14ac:dyDescent="0.25">
      <c r="O2397" s="21"/>
    </row>
    <row r="2398" spans="15:15" x14ac:dyDescent="0.25">
      <c r="O2398" s="21"/>
    </row>
    <row r="2399" spans="15:15" x14ac:dyDescent="0.25">
      <c r="O2399" s="21"/>
    </row>
    <row r="2400" spans="15:15" x14ac:dyDescent="0.25">
      <c r="O2400" s="21"/>
    </row>
    <row r="2401" spans="15:15" x14ac:dyDescent="0.25">
      <c r="O2401" s="21"/>
    </row>
    <row r="2402" spans="15:15" x14ac:dyDescent="0.25">
      <c r="O2402" s="21"/>
    </row>
    <row r="2403" spans="15:15" x14ac:dyDescent="0.25">
      <c r="O2403" s="21"/>
    </row>
    <row r="2404" spans="15:15" x14ac:dyDescent="0.25">
      <c r="O2404" s="21"/>
    </row>
    <row r="2405" spans="15:15" x14ac:dyDescent="0.25">
      <c r="O2405" s="21"/>
    </row>
    <row r="2406" spans="15:15" x14ac:dyDescent="0.25">
      <c r="O2406" s="21"/>
    </row>
    <row r="2407" spans="15:15" x14ac:dyDescent="0.25">
      <c r="O2407" s="21"/>
    </row>
    <row r="2408" spans="15:15" x14ac:dyDescent="0.25">
      <c r="O2408" s="21"/>
    </row>
    <row r="2409" spans="15:15" x14ac:dyDescent="0.25">
      <c r="O2409" s="21"/>
    </row>
    <row r="2410" spans="15:15" x14ac:dyDescent="0.25">
      <c r="O2410" s="21"/>
    </row>
    <row r="2411" spans="15:15" x14ac:dyDescent="0.25">
      <c r="O2411" s="21"/>
    </row>
    <row r="2412" spans="15:15" x14ac:dyDescent="0.25">
      <c r="O2412" s="21"/>
    </row>
    <row r="2413" spans="15:15" x14ac:dyDescent="0.25">
      <c r="O2413" s="21"/>
    </row>
    <row r="2414" spans="15:15" x14ac:dyDescent="0.25">
      <c r="O2414" s="21"/>
    </row>
    <row r="2415" spans="15:15" x14ac:dyDescent="0.25">
      <c r="O2415" s="21"/>
    </row>
    <row r="2416" spans="15:15" x14ac:dyDescent="0.25">
      <c r="O2416" s="21"/>
    </row>
    <row r="2417" spans="15:15" x14ac:dyDescent="0.25">
      <c r="O2417" s="21"/>
    </row>
    <row r="2418" spans="15:15" x14ac:dyDescent="0.25">
      <c r="O2418" s="21"/>
    </row>
    <row r="2419" spans="15:15" x14ac:dyDescent="0.25">
      <c r="O2419" s="21"/>
    </row>
    <row r="2420" spans="15:15" x14ac:dyDescent="0.25">
      <c r="O2420" s="21"/>
    </row>
    <row r="2421" spans="15:15" x14ac:dyDescent="0.25">
      <c r="O2421" s="21"/>
    </row>
    <row r="2422" spans="15:15" x14ac:dyDescent="0.25">
      <c r="O2422" s="21"/>
    </row>
    <row r="2423" spans="15:15" x14ac:dyDescent="0.25">
      <c r="O2423" s="21"/>
    </row>
    <row r="2424" spans="15:15" x14ac:dyDescent="0.25">
      <c r="O2424" s="21"/>
    </row>
    <row r="2425" spans="15:15" x14ac:dyDescent="0.25">
      <c r="O2425" s="21"/>
    </row>
    <row r="2426" spans="15:15" x14ac:dyDescent="0.25">
      <c r="O2426" s="21"/>
    </row>
    <row r="2427" spans="15:15" x14ac:dyDescent="0.25">
      <c r="O2427" s="21"/>
    </row>
    <row r="2428" spans="15:15" x14ac:dyDescent="0.25">
      <c r="O2428" s="21"/>
    </row>
    <row r="2429" spans="15:15" x14ac:dyDescent="0.25">
      <c r="O2429" s="21"/>
    </row>
    <row r="2430" spans="15:15" x14ac:dyDescent="0.25">
      <c r="O2430" s="21"/>
    </row>
    <row r="2431" spans="15:15" x14ac:dyDescent="0.25">
      <c r="O2431" s="21"/>
    </row>
    <row r="2432" spans="15:15" x14ac:dyDescent="0.25">
      <c r="O2432" s="21"/>
    </row>
    <row r="2433" spans="15:15" x14ac:dyDescent="0.25">
      <c r="O2433" s="21"/>
    </row>
    <row r="2434" spans="15:15" x14ac:dyDescent="0.25">
      <c r="O2434" s="21"/>
    </row>
    <row r="2435" spans="15:15" x14ac:dyDescent="0.25">
      <c r="O2435" s="21"/>
    </row>
    <row r="2436" spans="15:15" x14ac:dyDescent="0.25">
      <c r="O2436" s="21"/>
    </row>
    <row r="2437" spans="15:15" x14ac:dyDescent="0.25">
      <c r="O2437" s="21"/>
    </row>
    <row r="2438" spans="15:15" x14ac:dyDescent="0.25">
      <c r="O2438" s="21"/>
    </row>
    <row r="2439" spans="15:15" x14ac:dyDescent="0.25">
      <c r="O2439" s="21"/>
    </row>
    <row r="2440" spans="15:15" x14ac:dyDescent="0.25">
      <c r="O2440" s="21"/>
    </row>
    <row r="2441" spans="15:15" x14ac:dyDescent="0.25">
      <c r="O2441" s="21"/>
    </row>
    <row r="2442" spans="15:15" x14ac:dyDescent="0.25">
      <c r="O2442" s="21"/>
    </row>
    <row r="2443" spans="15:15" x14ac:dyDescent="0.25">
      <c r="O2443" s="21"/>
    </row>
    <row r="2444" spans="15:15" x14ac:dyDescent="0.25">
      <c r="O2444" s="21"/>
    </row>
    <row r="2445" spans="15:15" x14ac:dyDescent="0.25">
      <c r="O2445" s="21"/>
    </row>
    <row r="2446" spans="15:15" x14ac:dyDescent="0.25">
      <c r="O2446" s="21"/>
    </row>
    <row r="2447" spans="15:15" x14ac:dyDescent="0.25">
      <c r="O2447" s="21"/>
    </row>
    <row r="2448" spans="15:15" x14ac:dyDescent="0.25">
      <c r="O2448" s="21"/>
    </row>
    <row r="2449" spans="15:15" x14ac:dyDescent="0.25">
      <c r="O2449" s="21"/>
    </row>
    <row r="2450" spans="15:15" x14ac:dyDescent="0.25">
      <c r="O2450" s="21"/>
    </row>
    <row r="2451" spans="15:15" x14ac:dyDescent="0.25">
      <c r="O2451" s="21"/>
    </row>
    <row r="2452" spans="15:15" x14ac:dyDescent="0.25">
      <c r="O2452" s="21"/>
    </row>
    <row r="2453" spans="15:15" x14ac:dyDescent="0.25">
      <c r="O2453" s="21"/>
    </row>
    <row r="2454" spans="15:15" x14ac:dyDescent="0.25">
      <c r="O2454" s="21"/>
    </row>
    <row r="2455" spans="15:15" x14ac:dyDescent="0.25">
      <c r="O2455" s="21"/>
    </row>
    <row r="2456" spans="15:15" x14ac:dyDescent="0.25">
      <c r="O2456" s="21"/>
    </row>
    <row r="2457" spans="15:15" x14ac:dyDescent="0.25">
      <c r="O2457" s="21"/>
    </row>
    <row r="2458" spans="15:15" x14ac:dyDescent="0.25">
      <c r="O2458" s="21"/>
    </row>
    <row r="2459" spans="15:15" x14ac:dyDescent="0.25">
      <c r="O2459" s="21"/>
    </row>
    <row r="2460" spans="15:15" x14ac:dyDescent="0.25">
      <c r="O2460" s="21"/>
    </row>
    <row r="2461" spans="15:15" x14ac:dyDescent="0.25">
      <c r="O2461" s="21"/>
    </row>
    <row r="2462" spans="15:15" x14ac:dyDescent="0.25">
      <c r="O2462" s="21"/>
    </row>
    <row r="2463" spans="15:15" x14ac:dyDescent="0.25">
      <c r="O2463" s="21"/>
    </row>
    <row r="2464" spans="15:15" x14ac:dyDescent="0.25">
      <c r="O2464" s="21"/>
    </row>
    <row r="2465" spans="15:15" x14ac:dyDescent="0.25">
      <c r="O2465" s="21"/>
    </row>
    <row r="2466" spans="15:15" x14ac:dyDescent="0.25">
      <c r="O2466" s="21"/>
    </row>
    <row r="2467" spans="15:15" x14ac:dyDescent="0.25">
      <c r="O2467" s="21"/>
    </row>
    <row r="2468" spans="15:15" x14ac:dyDescent="0.25">
      <c r="O2468" s="21"/>
    </row>
    <row r="2469" spans="15:15" x14ac:dyDescent="0.25">
      <c r="O2469" s="21"/>
    </row>
    <row r="2470" spans="15:15" x14ac:dyDescent="0.25">
      <c r="O2470" s="21"/>
    </row>
    <row r="2471" spans="15:15" x14ac:dyDescent="0.25">
      <c r="O2471" s="21"/>
    </row>
    <row r="2472" spans="15:15" x14ac:dyDescent="0.25">
      <c r="O2472" s="21"/>
    </row>
    <row r="2473" spans="15:15" x14ac:dyDescent="0.25">
      <c r="O2473" s="21"/>
    </row>
    <row r="2474" spans="15:15" x14ac:dyDescent="0.25">
      <c r="O2474" s="21"/>
    </row>
    <row r="2475" spans="15:15" x14ac:dyDescent="0.25">
      <c r="O2475" s="21"/>
    </row>
    <row r="2476" spans="15:15" x14ac:dyDescent="0.25">
      <c r="O2476" s="21"/>
    </row>
    <row r="2477" spans="15:15" x14ac:dyDescent="0.25">
      <c r="O2477" s="21"/>
    </row>
    <row r="2478" spans="15:15" x14ac:dyDescent="0.25">
      <c r="O2478" s="21"/>
    </row>
    <row r="2479" spans="15:15" x14ac:dyDescent="0.25">
      <c r="O2479" s="21"/>
    </row>
    <row r="2480" spans="15:15" x14ac:dyDescent="0.25">
      <c r="O2480" s="21"/>
    </row>
    <row r="2481" spans="15:15" x14ac:dyDescent="0.25">
      <c r="O2481" s="21"/>
    </row>
    <row r="2482" spans="15:15" x14ac:dyDescent="0.25">
      <c r="O2482" s="21"/>
    </row>
    <row r="2483" spans="15:15" x14ac:dyDescent="0.25">
      <c r="O2483" s="21"/>
    </row>
    <row r="2484" spans="15:15" x14ac:dyDescent="0.25">
      <c r="O2484" s="21"/>
    </row>
    <row r="2485" spans="15:15" x14ac:dyDescent="0.25">
      <c r="O2485" s="21"/>
    </row>
    <row r="2486" spans="15:15" x14ac:dyDescent="0.25">
      <c r="O2486" s="21"/>
    </row>
    <row r="2487" spans="15:15" x14ac:dyDescent="0.25">
      <c r="O2487" s="21"/>
    </row>
    <row r="2488" spans="15:15" x14ac:dyDescent="0.25">
      <c r="O2488" s="21"/>
    </row>
    <row r="2489" spans="15:15" x14ac:dyDescent="0.25">
      <c r="O2489" s="21"/>
    </row>
    <row r="2490" spans="15:15" x14ac:dyDescent="0.25">
      <c r="O2490" s="21"/>
    </row>
    <row r="2491" spans="15:15" x14ac:dyDescent="0.25">
      <c r="O2491" s="21"/>
    </row>
    <row r="2492" spans="15:15" x14ac:dyDescent="0.25">
      <c r="O2492" s="21"/>
    </row>
    <row r="2493" spans="15:15" x14ac:dyDescent="0.25">
      <c r="O2493" s="21"/>
    </row>
    <row r="2494" spans="15:15" x14ac:dyDescent="0.25">
      <c r="O2494" s="21"/>
    </row>
    <row r="2495" spans="15:15" x14ac:dyDescent="0.25">
      <c r="O2495" s="21"/>
    </row>
    <row r="2496" spans="15:15" x14ac:dyDescent="0.25">
      <c r="O2496" s="21"/>
    </row>
    <row r="2497" spans="15:15" x14ac:dyDescent="0.25">
      <c r="O2497" s="21"/>
    </row>
    <row r="2498" spans="15:15" x14ac:dyDescent="0.25">
      <c r="O2498" s="21"/>
    </row>
    <row r="2499" spans="15:15" x14ac:dyDescent="0.25">
      <c r="O2499" s="21"/>
    </row>
    <row r="2500" spans="15:15" x14ac:dyDescent="0.25">
      <c r="O2500" s="21"/>
    </row>
    <row r="2501" spans="15:15" x14ac:dyDescent="0.25">
      <c r="O2501" s="21"/>
    </row>
    <row r="2502" spans="15:15" x14ac:dyDescent="0.25">
      <c r="O2502" s="21"/>
    </row>
    <row r="2503" spans="15:15" x14ac:dyDescent="0.25">
      <c r="O2503" s="21"/>
    </row>
    <row r="2504" spans="15:15" x14ac:dyDescent="0.25">
      <c r="O2504" s="21"/>
    </row>
    <row r="2505" spans="15:15" x14ac:dyDescent="0.25">
      <c r="O2505" s="21"/>
    </row>
    <row r="2506" spans="15:15" x14ac:dyDescent="0.25">
      <c r="O2506" s="21"/>
    </row>
    <row r="2507" spans="15:15" x14ac:dyDescent="0.25">
      <c r="O2507" s="21"/>
    </row>
    <row r="2508" spans="15:15" x14ac:dyDescent="0.25">
      <c r="O2508" s="21"/>
    </row>
    <row r="2509" spans="15:15" x14ac:dyDescent="0.25">
      <c r="O2509" s="21"/>
    </row>
    <row r="2510" spans="15:15" x14ac:dyDescent="0.25">
      <c r="O2510" s="21"/>
    </row>
    <row r="2511" spans="15:15" x14ac:dyDescent="0.25">
      <c r="O2511" s="21"/>
    </row>
    <row r="2512" spans="15:15" x14ac:dyDescent="0.25">
      <c r="O2512" s="21"/>
    </row>
    <row r="2513" spans="15:15" x14ac:dyDescent="0.25">
      <c r="O2513" s="21"/>
    </row>
    <row r="2514" spans="15:15" x14ac:dyDescent="0.25">
      <c r="O2514" s="21"/>
    </row>
    <row r="2515" spans="15:15" x14ac:dyDescent="0.25">
      <c r="O2515" s="21"/>
    </row>
    <row r="2516" spans="15:15" x14ac:dyDescent="0.25">
      <c r="O2516" s="21"/>
    </row>
    <row r="2517" spans="15:15" x14ac:dyDescent="0.25">
      <c r="O2517" s="21"/>
    </row>
    <row r="2518" spans="15:15" x14ac:dyDescent="0.25">
      <c r="O2518" s="21"/>
    </row>
    <row r="2519" spans="15:15" x14ac:dyDescent="0.25">
      <c r="O2519" s="21"/>
    </row>
    <row r="2520" spans="15:15" x14ac:dyDescent="0.25">
      <c r="O2520" s="21"/>
    </row>
    <row r="2521" spans="15:15" x14ac:dyDescent="0.25">
      <c r="O2521" s="21"/>
    </row>
    <row r="2522" spans="15:15" x14ac:dyDescent="0.25">
      <c r="O2522" s="21"/>
    </row>
    <row r="2523" spans="15:15" x14ac:dyDescent="0.25">
      <c r="O2523" s="21"/>
    </row>
    <row r="2524" spans="15:15" x14ac:dyDescent="0.25">
      <c r="O2524" s="21"/>
    </row>
    <row r="2525" spans="15:15" x14ac:dyDescent="0.25">
      <c r="O2525" s="21"/>
    </row>
    <row r="2526" spans="15:15" x14ac:dyDescent="0.25">
      <c r="O2526" s="21"/>
    </row>
    <row r="2527" spans="15:15" x14ac:dyDescent="0.25">
      <c r="O2527" s="21"/>
    </row>
    <row r="2528" spans="15:15" x14ac:dyDescent="0.25">
      <c r="O2528" s="21"/>
    </row>
    <row r="2529" spans="15:15" x14ac:dyDescent="0.25">
      <c r="O2529" s="21"/>
    </row>
    <row r="2530" spans="15:15" x14ac:dyDescent="0.25">
      <c r="O2530" s="21"/>
    </row>
    <row r="2531" spans="15:15" x14ac:dyDescent="0.25">
      <c r="O2531" s="21"/>
    </row>
    <row r="2532" spans="15:15" x14ac:dyDescent="0.25">
      <c r="O2532" s="21"/>
    </row>
    <row r="2533" spans="15:15" x14ac:dyDescent="0.25">
      <c r="O2533" s="21"/>
    </row>
    <row r="2534" spans="15:15" x14ac:dyDescent="0.25">
      <c r="O2534" s="21"/>
    </row>
    <row r="2535" spans="15:15" x14ac:dyDescent="0.25">
      <c r="O2535" s="21"/>
    </row>
    <row r="2536" spans="15:15" x14ac:dyDescent="0.25">
      <c r="O2536" s="21"/>
    </row>
    <row r="2537" spans="15:15" x14ac:dyDescent="0.25">
      <c r="O2537" s="21"/>
    </row>
    <row r="2538" spans="15:15" x14ac:dyDescent="0.25">
      <c r="O2538" s="21"/>
    </row>
    <row r="2539" spans="15:15" x14ac:dyDescent="0.25">
      <c r="O2539" s="21"/>
    </row>
    <row r="2540" spans="15:15" x14ac:dyDescent="0.25">
      <c r="O2540" s="21"/>
    </row>
    <row r="2541" spans="15:15" x14ac:dyDescent="0.25">
      <c r="O2541" s="21"/>
    </row>
    <row r="2542" spans="15:15" x14ac:dyDescent="0.25">
      <c r="O2542" s="21"/>
    </row>
    <row r="2543" spans="15:15" x14ac:dyDescent="0.25">
      <c r="O2543" s="21"/>
    </row>
    <row r="2544" spans="15:15" x14ac:dyDescent="0.25">
      <c r="O2544" s="21"/>
    </row>
    <row r="2545" spans="15:15" x14ac:dyDescent="0.25">
      <c r="O2545" s="21"/>
    </row>
    <row r="2546" spans="15:15" x14ac:dyDescent="0.25">
      <c r="O2546" s="21"/>
    </row>
    <row r="2547" spans="15:15" x14ac:dyDescent="0.25">
      <c r="O2547" s="21"/>
    </row>
    <row r="2548" spans="15:15" x14ac:dyDescent="0.25">
      <c r="O2548" s="21"/>
    </row>
    <row r="2549" spans="15:15" x14ac:dyDescent="0.25">
      <c r="O2549" s="21"/>
    </row>
    <row r="2550" spans="15:15" x14ac:dyDescent="0.25">
      <c r="O2550" s="21"/>
    </row>
    <row r="2551" spans="15:15" x14ac:dyDescent="0.25">
      <c r="O2551" s="21"/>
    </row>
    <row r="2552" spans="15:15" x14ac:dyDescent="0.25">
      <c r="O2552" s="21"/>
    </row>
    <row r="2553" spans="15:15" x14ac:dyDescent="0.25">
      <c r="O2553" s="21"/>
    </row>
    <row r="2554" spans="15:15" x14ac:dyDescent="0.25">
      <c r="O2554" s="21"/>
    </row>
    <row r="2555" spans="15:15" x14ac:dyDescent="0.25">
      <c r="O2555" s="21"/>
    </row>
    <row r="2556" spans="15:15" x14ac:dyDescent="0.25">
      <c r="O2556" s="21"/>
    </row>
    <row r="2557" spans="15:15" x14ac:dyDescent="0.25">
      <c r="O2557" s="21"/>
    </row>
    <row r="2558" spans="15:15" x14ac:dyDescent="0.25">
      <c r="O2558" s="21"/>
    </row>
    <row r="2559" spans="15:15" x14ac:dyDescent="0.25">
      <c r="O2559" s="21"/>
    </row>
    <row r="2560" spans="15:15" x14ac:dyDescent="0.25">
      <c r="O2560" s="21"/>
    </row>
    <row r="2561" spans="15:15" x14ac:dyDescent="0.25">
      <c r="O2561" s="21"/>
    </row>
    <row r="2562" spans="15:15" x14ac:dyDescent="0.25">
      <c r="O2562" s="21"/>
    </row>
    <row r="2563" spans="15:15" x14ac:dyDescent="0.25">
      <c r="O2563" s="21"/>
    </row>
    <row r="2564" spans="15:15" x14ac:dyDescent="0.25">
      <c r="O2564" s="21"/>
    </row>
    <row r="2565" spans="15:15" x14ac:dyDescent="0.25">
      <c r="O2565" s="21"/>
    </row>
    <row r="2566" spans="15:15" x14ac:dyDescent="0.25">
      <c r="O2566" s="21"/>
    </row>
    <row r="2567" spans="15:15" x14ac:dyDescent="0.25">
      <c r="O2567" s="21"/>
    </row>
    <row r="2568" spans="15:15" x14ac:dyDescent="0.25">
      <c r="O2568" s="21"/>
    </row>
    <row r="2569" spans="15:15" x14ac:dyDescent="0.25">
      <c r="O2569" s="21"/>
    </row>
    <row r="2570" spans="15:15" x14ac:dyDescent="0.25">
      <c r="O2570" s="21"/>
    </row>
    <row r="2571" spans="15:15" x14ac:dyDescent="0.25">
      <c r="O2571" s="21"/>
    </row>
    <row r="2572" spans="15:15" x14ac:dyDescent="0.25">
      <c r="O2572" s="21"/>
    </row>
    <row r="2573" spans="15:15" x14ac:dyDescent="0.25">
      <c r="O2573" s="21"/>
    </row>
    <row r="2574" spans="15:15" x14ac:dyDescent="0.25">
      <c r="O2574" s="21"/>
    </row>
    <row r="2575" spans="15:15" x14ac:dyDescent="0.25">
      <c r="O2575" s="21"/>
    </row>
    <row r="2576" spans="15:15" x14ac:dyDescent="0.25">
      <c r="O2576" s="21"/>
    </row>
    <row r="2577" spans="15:15" x14ac:dyDescent="0.25">
      <c r="O2577" s="21"/>
    </row>
    <row r="2578" spans="15:15" x14ac:dyDescent="0.25">
      <c r="O2578" s="21"/>
    </row>
    <row r="2579" spans="15:15" x14ac:dyDescent="0.25">
      <c r="O2579" s="21"/>
    </row>
    <row r="2580" spans="15:15" x14ac:dyDescent="0.25">
      <c r="O2580" s="21"/>
    </row>
    <row r="2581" spans="15:15" x14ac:dyDescent="0.25">
      <c r="O2581" s="21"/>
    </row>
    <row r="2582" spans="15:15" x14ac:dyDescent="0.25">
      <c r="O2582" s="21"/>
    </row>
    <row r="2583" spans="15:15" x14ac:dyDescent="0.25">
      <c r="O2583" s="21"/>
    </row>
    <row r="2584" spans="15:15" x14ac:dyDescent="0.25">
      <c r="O2584" s="21"/>
    </row>
    <row r="2585" spans="15:15" x14ac:dyDescent="0.25">
      <c r="O2585" s="21"/>
    </row>
    <row r="2586" spans="15:15" x14ac:dyDescent="0.25">
      <c r="O2586" s="21"/>
    </row>
    <row r="2587" spans="15:15" x14ac:dyDescent="0.25">
      <c r="O2587" s="21"/>
    </row>
    <row r="2588" spans="15:15" x14ac:dyDescent="0.25">
      <c r="O2588" s="21"/>
    </row>
    <row r="2589" spans="15:15" x14ac:dyDescent="0.25">
      <c r="O2589" s="21"/>
    </row>
    <row r="2590" spans="15:15" x14ac:dyDescent="0.25">
      <c r="O2590" s="21"/>
    </row>
    <row r="2591" spans="15:15" x14ac:dyDescent="0.25">
      <c r="O2591" s="21"/>
    </row>
    <row r="2592" spans="15:15" x14ac:dyDescent="0.25">
      <c r="O2592" s="21"/>
    </row>
    <row r="2593" spans="15:15" x14ac:dyDescent="0.25">
      <c r="O2593" s="21"/>
    </row>
    <row r="2594" spans="15:15" x14ac:dyDescent="0.25">
      <c r="O2594" s="21"/>
    </row>
    <row r="2595" spans="15:15" x14ac:dyDescent="0.25">
      <c r="O2595" s="21"/>
    </row>
    <row r="2596" spans="15:15" x14ac:dyDescent="0.25">
      <c r="O2596" s="21"/>
    </row>
    <row r="2597" spans="15:15" x14ac:dyDescent="0.25">
      <c r="O2597" s="21"/>
    </row>
    <row r="2598" spans="15:15" x14ac:dyDescent="0.25">
      <c r="O2598" s="21"/>
    </row>
    <row r="2599" spans="15:15" x14ac:dyDescent="0.25">
      <c r="O2599" s="21"/>
    </row>
    <row r="2600" spans="15:15" x14ac:dyDescent="0.25">
      <c r="O2600" s="21"/>
    </row>
    <row r="2601" spans="15:15" x14ac:dyDescent="0.25">
      <c r="O2601" s="21"/>
    </row>
    <row r="2602" spans="15:15" x14ac:dyDescent="0.25">
      <c r="O2602" s="21"/>
    </row>
    <row r="2603" spans="15:15" x14ac:dyDescent="0.25">
      <c r="O2603" s="21"/>
    </row>
    <row r="2604" spans="15:15" x14ac:dyDescent="0.25">
      <c r="O2604" s="21"/>
    </row>
    <row r="2605" spans="15:15" x14ac:dyDescent="0.25">
      <c r="O2605" s="21"/>
    </row>
    <row r="2606" spans="15:15" x14ac:dyDescent="0.25">
      <c r="O2606" s="21"/>
    </row>
    <row r="2607" spans="15:15" x14ac:dyDescent="0.25">
      <c r="O2607" s="21"/>
    </row>
    <row r="2608" spans="15:15" x14ac:dyDescent="0.25">
      <c r="O2608" s="21"/>
    </row>
    <row r="2609" spans="15:15" x14ac:dyDescent="0.25">
      <c r="O2609" s="21"/>
    </row>
    <row r="2610" spans="15:15" x14ac:dyDescent="0.25">
      <c r="O2610" s="21"/>
    </row>
    <row r="2611" spans="15:15" x14ac:dyDescent="0.25">
      <c r="O2611" s="21"/>
    </row>
    <row r="2612" spans="15:15" x14ac:dyDescent="0.25">
      <c r="O2612" s="21"/>
    </row>
    <row r="2613" spans="15:15" x14ac:dyDescent="0.25">
      <c r="O2613" s="21"/>
    </row>
    <row r="2614" spans="15:15" x14ac:dyDescent="0.25">
      <c r="O2614" s="21"/>
    </row>
    <row r="2615" spans="15:15" x14ac:dyDescent="0.25">
      <c r="O2615" s="21"/>
    </row>
    <row r="2616" spans="15:15" x14ac:dyDescent="0.25">
      <c r="O2616" s="21"/>
    </row>
    <row r="2617" spans="15:15" x14ac:dyDescent="0.25">
      <c r="O2617" s="21"/>
    </row>
    <row r="2618" spans="15:15" x14ac:dyDescent="0.25">
      <c r="O2618" s="21"/>
    </row>
    <row r="2619" spans="15:15" x14ac:dyDescent="0.25">
      <c r="O2619" s="21"/>
    </row>
    <row r="2620" spans="15:15" x14ac:dyDescent="0.25">
      <c r="O2620" s="21"/>
    </row>
    <row r="2621" spans="15:15" x14ac:dyDescent="0.25">
      <c r="O2621" s="21"/>
    </row>
    <row r="2622" spans="15:15" x14ac:dyDescent="0.25">
      <c r="O2622" s="21"/>
    </row>
    <row r="2623" spans="15:15" x14ac:dyDescent="0.25">
      <c r="O2623" s="21"/>
    </row>
    <row r="2624" spans="15:15" x14ac:dyDescent="0.25">
      <c r="O2624" s="21"/>
    </row>
    <row r="2625" spans="15:15" x14ac:dyDescent="0.25">
      <c r="O2625" s="21"/>
    </row>
    <row r="2626" spans="15:15" x14ac:dyDescent="0.25">
      <c r="O2626" s="21"/>
    </row>
    <row r="2627" spans="15:15" x14ac:dyDescent="0.25">
      <c r="O2627" s="21"/>
    </row>
    <row r="2628" spans="15:15" x14ac:dyDescent="0.25">
      <c r="O2628" s="21"/>
    </row>
    <row r="2629" spans="15:15" x14ac:dyDescent="0.25">
      <c r="O2629" s="21"/>
    </row>
    <row r="2630" spans="15:15" x14ac:dyDescent="0.25">
      <c r="O2630" s="21"/>
    </row>
    <row r="2631" spans="15:15" x14ac:dyDescent="0.25">
      <c r="O2631" s="21"/>
    </row>
    <row r="2632" spans="15:15" x14ac:dyDescent="0.25">
      <c r="O2632" s="21"/>
    </row>
    <row r="2633" spans="15:15" x14ac:dyDescent="0.25">
      <c r="O2633" s="21"/>
    </row>
    <row r="2634" spans="15:15" x14ac:dyDescent="0.25">
      <c r="O2634" s="21"/>
    </row>
    <row r="2635" spans="15:15" x14ac:dyDescent="0.25">
      <c r="O2635" s="21"/>
    </row>
    <row r="2636" spans="15:15" x14ac:dyDescent="0.25">
      <c r="O2636" s="21"/>
    </row>
    <row r="2637" spans="15:15" x14ac:dyDescent="0.25">
      <c r="O2637" s="21"/>
    </row>
    <row r="2638" spans="15:15" x14ac:dyDescent="0.25">
      <c r="O2638" s="21"/>
    </row>
    <row r="2639" spans="15:15" x14ac:dyDescent="0.25">
      <c r="O2639" s="21"/>
    </row>
    <row r="2640" spans="15:15" x14ac:dyDescent="0.25">
      <c r="O2640" s="21"/>
    </row>
    <row r="2641" spans="15:15" x14ac:dyDescent="0.25">
      <c r="O2641" s="21"/>
    </row>
    <row r="2642" spans="15:15" x14ac:dyDescent="0.25">
      <c r="O2642" s="21"/>
    </row>
    <row r="2643" spans="15:15" x14ac:dyDescent="0.25">
      <c r="O2643" s="21"/>
    </row>
    <row r="2644" spans="15:15" x14ac:dyDescent="0.25">
      <c r="O2644" s="21"/>
    </row>
    <row r="2645" spans="15:15" x14ac:dyDescent="0.25">
      <c r="O2645" s="21"/>
    </row>
    <row r="2646" spans="15:15" x14ac:dyDescent="0.25">
      <c r="O2646" s="21"/>
    </row>
    <row r="2647" spans="15:15" x14ac:dyDescent="0.25">
      <c r="O2647" s="21"/>
    </row>
    <row r="2648" spans="15:15" x14ac:dyDescent="0.25">
      <c r="O2648" s="21"/>
    </row>
    <row r="2649" spans="15:15" x14ac:dyDescent="0.25">
      <c r="O2649" s="21"/>
    </row>
    <row r="2650" spans="15:15" x14ac:dyDescent="0.25">
      <c r="O2650" s="21"/>
    </row>
    <row r="2651" spans="15:15" x14ac:dyDescent="0.25">
      <c r="O2651" s="21"/>
    </row>
    <row r="2652" spans="15:15" x14ac:dyDescent="0.25">
      <c r="O2652" s="21"/>
    </row>
    <row r="2653" spans="15:15" x14ac:dyDescent="0.25">
      <c r="O2653" s="21"/>
    </row>
    <row r="2654" spans="15:15" x14ac:dyDescent="0.25">
      <c r="O2654" s="21"/>
    </row>
    <row r="2655" spans="15:15" x14ac:dyDescent="0.25">
      <c r="O2655" s="21"/>
    </row>
    <row r="2656" spans="15:15" x14ac:dyDescent="0.25">
      <c r="O2656" s="21"/>
    </row>
    <row r="2657" spans="15:15" x14ac:dyDescent="0.25">
      <c r="O2657" s="21"/>
    </row>
    <row r="2658" spans="15:15" x14ac:dyDescent="0.25">
      <c r="O2658" s="21"/>
    </row>
    <row r="2659" spans="15:15" x14ac:dyDescent="0.25">
      <c r="O2659" s="21"/>
    </row>
    <row r="2660" spans="15:15" x14ac:dyDescent="0.25">
      <c r="O2660" s="21"/>
    </row>
    <row r="2661" spans="15:15" x14ac:dyDescent="0.25">
      <c r="O2661" s="21"/>
    </row>
    <row r="2662" spans="15:15" x14ac:dyDescent="0.25">
      <c r="O2662" s="21"/>
    </row>
    <row r="2663" spans="15:15" x14ac:dyDescent="0.25">
      <c r="O2663" s="21"/>
    </row>
    <row r="2664" spans="15:15" x14ac:dyDescent="0.25">
      <c r="O2664" s="21"/>
    </row>
    <row r="2665" spans="15:15" x14ac:dyDescent="0.25">
      <c r="O2665" s="21"/>
    </row>
    <row r="2666" spans="15:15" x14ac:dyDescent="0.25">
      <c r="O2666" s="21"/>
    </row>
    <row r="2667" spans="15:15" x14ac:dyDescent="0.25">
      <c r="O2667" s="21"/>
    </row>
    <row r="2668" spans="15:15" x14ac:dyDescent="0.25">
      <c r="O2668" s="21"/>
    </row>
    <row r="2669" spans="15:15" x14ac:dyDescent="0.25">
      <c r="O2669" s="21"/>
    </row>
    <row r="2670" spans="15:15" x14ac:dyDescent="0.25">
      <c r="O2670" s="21"/>
    </row>
    <row r="2671" spans="15:15" x14ac:dyDescent="0.25">
      <c r="O2671" s="21"/>
    </row>
    <row r="2672" spans="15:15" x14ac:dyDescent="0.25">
      <c r="O2672" s="21"/>
    </row>
    <row r="2673" spans="15:15" x14ac:dyDescent="0.25">
      <c r="O2673" s="21"/>
    </row>
    <row r="2674" spans="15:15" x14ac:dyDescent="0.25">
      <c r="O2674" s="21"/>
    </row>
    <row r="2675" spans="15:15" x14ac:dyDescent="0.25">
      <c r="O2675" s="21"/>
    </row>
    <row r="2676" spans="15:15" x14ac:dyDescent="0.25">
      <c r="O2676" s="21"/>
    </row>
    <row r="2677" spans="15:15" x14ac:dyDescent="0.25">
      <c r="O2677" s="21"/>
    </row>
    <row r="2678" spans="15:15" x14ac:dyDescent="0.25">
      <c r="O2678" s="21"/>
    </row>
    <row r="2679" spans="15:15" x14ac:dyDescent="0.25">
      <c r="O2679" s="21"/>
    </row>
    <row r="2680" spans="15:15" x14ac:dyDescent="0.25">
      <c r="O2680" s="21"/>
    </row>
    <row r="2681" spans="15:15" x14ac:dyDescent="0.25">
      <c r="O2681" s="21"/>
    </row>
    <row r="2682" spans="15:15" x14ac:dyDescent="0.25">
      <c r="O2682" s="21"/>
    </row>
    <row r="2683" spans="15:15" x14ac:dyDescent="0.25">
      <c r="O2683" s="21"/>
    </row>
    <row r="2684" spans="15:15" x14ac:dyDescent="0.25">
      <c r="O2684" s="21"/>
    </row>
    <row r="2685" spans="15:15" x14ac:dyDescent="0.25">
      <c r="O2685" s="21"/>
    </row>
    <row r="2686" spans="15:15" x14ac:dyDescent="0.25">
      <c r="O2686" s="21"/>
    </row>
    <row r="2687" spans="15:15" x14ac:dyDescent="0.25">
      <c r="O2687" s="21"/>
    </row>
    <row r="2688" spans="15:15" x14ac:dyDescent="0.25">
      <c r="O2688" s="21"/>
    </row>
    <row r="2689" spans="15:15" x14ac:dyDescent="0.25">
      <c r="O2689" s="21"/>
    </row>
    <row r="2690" spans="15:15" x14ac:dyDescent="0.25">
      <c r="O2690" s="21"/>
    </row>
    <row r="2691" spans="15:15" x14ac:dyDescent="0.25">
      <c r="O2691" s="21"/>
    </row>
    <row r="2692" spans="15:15" x14ac:dyDescent="0.25">
      <c r="O2692" s="21"/>
    </row>
    <row r="2693" spans="15:15" x14ac:dyDescent="0.25">
      <c r="O2693" s="21"/>
    </row>
    <row r="2694" spans="15:15" x14ac:dyDescent="0.25">
      <c r="O2694" s="21"/>
    </row>
    <row r="2695" spans="15:15" x14ac:dyDescent="0.25">
      <c r="O2695" s="21"/>
    </row>
    <row r="2696" spans="15:15" x14ac:dyDescent="0.25">
      <c r="O2696" s="21"/>
    </row>
    <row r="2697" spans="15:15" x14ac:dyDescent="0.25">
      <c r="O2697" s="21"/>
    </row>
    <row r="2698" spans="15:15" x14ac:dyDescent="0.25">
      <c r="O2698" s="21"/>
    </row>
    <row r="2699" spans="15:15" x14ac:dyDescent="0.25">
      <c r="O2699" s="21"/>
    </row>
    <row r="2700" spans="15:15" x14ac:dyDescent="0.25">
      <c r="O2700" s="21"/>
    </row>
    <row r="2701" spans="15:15" x14ac:dyDescent="0.25">
      <c r="O2701" s="21"/>
    </row>
    <row r="2702" spans="15:15" x14ac:dyDescent="0.25">
      <c r="O2702" s="21"/>
    </row>
    <row r="2703" spans="15:15" x14ac:dyDescent="0.25">
      <c r="O2703" s="21"/>
    </row>
    <row r="2704" spans="15:15" x14ac:dyDescent="0.25">
      <c r="O2704" s="21"/>
    </row>
    <row r="2705" spans="15:15" x14ac:dyDescent="0.25">
      <c r="O2705" s="21"/>
    </row>
    <row r="2706" spans="15:15" x14ac:dyDescent="0.25">
      <c r="O2706" s="21"/>
    </row>
    <row r="2707" spans="15:15" x14ac:dyDescent="0.25">
      <c r="O2707" s="21"/>
    </row>
    <row r="2708" spans="15:15" x14ac:dyDescent="0.25">
      <c r="O2708" s="21"/>
    </row>
    <row r="2709" spans="15:15" x14ac:dyDescent="0.25">
      <c r="O2709" s="21"/>
    </row>
    <row r="2710" spans="15:15" x14ac:dyDescent="0.25">
      <c r="O2710" s="21"/>
    </row>
    <row r="2711" spans="15:15" x14ac:dyDescent="0.25">
      <c r="O2711" s="21"/>
    </row>
    <row r="2712" spans="15:15" x14ac:dyDescent="0.25">
      <c r="O2712" s="21"/>
    </row>
    <row r="2713" spans="15:15" x14ac:dyDescent="0.25">
      <c r="O2713" s="21"/>
    </row>
    <row r="2714" spans="15:15" x14ac:dyDescent="0.25">
      <c r="O2714" s="21"/>
    </row>
    <row r="2715" spans="15:15" x14ac:dyDescent="0.25">
      <c r="O2715" s="21"/>
    </row>
    <row r="2716" spans="15:15" x14ac:dyDescent="0.25">
      <c r="O2716" s="21"/>
    </row>
    <row r="2717" spans="15:15" x14ac:dyDescent="0.25">
      <c r="O2717" s="21"/>
    </row>
    <row r="2718" spans="15:15" x14ac:dyDescent="0.25">
      <c r="O2718" s="21"/>
    </row>
    <row r="2719" spans="15:15" x14ac:dyDescent="0.25">
      <c r="O2719" s="21"/>
    </row>
    <row r="2720" spans="15:15" x14ac:dyDescent="0.25">
      <c r="O2720" s="21"/>
    </row>
    <row r="2721" spans="15:15" x14ac:dyDescent="0.25">
      <c r="O2721" s="21"/>
    </row>
    <row r="2722" spans="15:15" x14ac:dyDescent="0.25">
      <c r="O2722" s="21"/>
    </row>
    <row r="2723" spans="15:15" x14ac:dyDescent="0.25">
      <c r="O2723" s="21"/>
    </row>
    <row r="2724" spans="15:15" x14ac:dyDescent="0.25">
      <c r="O2724" s="21"/>
    </row>
    <row r="2725" spans="15:15" x14ac:dyDescent="0.25">
      <c r="O2725" s="21"/>
    </row>
    <row r="2726" spans="15:15" x14ac:dyDescent="0.25">
      <c r="O2726" s="21"/>
    </row>
    <row r="2727" spans="15:15" x14ac:dyDescent="0.25">
      <c r="O2727" s="21"/>
    </row>
    <row r="2728" spans="15:15" x14ac:dyDescent="0.25">
      <c r="O2728" s="21"/>
    </row>
    <row r="2729" spans="15:15" x14ac:dyDescent="0.25">
      <c r="O2729" s="21"/>
    </row>
    <row r="2730" spans="15:15" x14ac:dyDescent="0.25">
      <c r="O2730" s="21"/>
    </row>
    <row r="2731" spans="15:15" x14ac:dyDescent="0.25">
      <c r="O2731" s="21"/>
    </row>
    <row r="2732" spans="15:15" x14ac:dyDescent="0.25">
      <c r="O2732" s="21"/>
    </row>
    <row r="2733" spans="15:15" x14ac:dyDescent="0.25">
      <c r="O2733" s="21"/>
    </row>
    <row r="2734" spans="15:15" x14ac:dyDescent="0.25">
      <c r="O2734" s="21"/>
    </row>
    <row r="2735" spans="15:15" x14ac:dyDescent="0.25">
      <c r="O2735" s="21"/>
    </row>
    <row r="2736" spans="15:15" x14ac:dyDescent="0.25">
      <c r="O2736" s="21"/>
    </row>
    <row r="2737" spans="15:15" x14ac:dyDescent="0.25">
      <c r="O2737" s="21"/>
    </row>
    <row r="2738" spans="15:15" x14ac:dyDescent="0.25">
      <c r="O2738" s="21"/>
    </row>
    <row r="2739" spans="15:15" x14ac:dyDescent="0.25">
      <c r="O2739" s="21"/>
    </row>
    <row r="2740" spans="15:15" x14ac:dyDescent="0.25">
      <c r="O2740" s="21"/>
    </row>
    <row r="2741" spans="15:15" x14ac:dyDescent="0.25">
      <c r="O2741" s="21"/>
    </row>
    <row r="2742" spans="15:15" x14ac:dyDescent="0.25">
      <c r="O2742" s="21"/>
    </row>
    <row r="2743" spans="15:15" x14ac:dyDescent="0.25">
      <c r="O2743" s="21"/>
    </row>
    <row r="2744" spans="15:15" x14ac:dyDescent="0.25">
      <c r="O2744" s="21"/>
    </row>
    <row r="2745" spans="15:15" x14ac:dyDescent="0.25">
      <c r="O2745" s="21"/>
    </row>
    <row r="2746" spans="15:15" x14ac:dyDescent="0.25">
      <c r="O2746" s="21"/>
    </row>
    <row r="2747" spans="15:15" x14ac:dyDescent="0.25">
      <c r="O2747" s="21"/>
    </row>
    <row r="2748" spans="15:15" x14ac:dyDescent="0.25">
      <c r="O2748" s="21"/>
    </row>
    <row r="2749" spans="15:15" x14ac:dyDescent="0.25">
      <c r="O2749" s="21"/>
    </row>
    <row r="2750" spans="15:15" x14ac:dyDescent="0.25">
      <c r="O2750" s="21"/>
    </row>
    <row r="2751" spans="15:15" x14ac:dyDescent="0.25">
      <c r="O2751" s="21"/>
    </row>
    <row r="2752" spans="15:15" x14ac:dyDescent="0.25">
      <c r="O2752" s="21"/>
    </row>
    <row r="2753" spans="15:15" x14ac:dyDescent="0.25">
      <c r="O2753" s="21"/>
    </row>
    <row r="2754" spans="15:15" x14ac:dyDescent="0.25">
      <c r="O2754" s="21"/>
    </row>
    <row r="2755" spans="15:15" x14ac:dyDescent="0.25">
      <c r="O2755" s="21"/>
    </row>
    <row r="2756" spans="15:15" x14ac:dyDescent="0.25">
      <c r="O2756" s="21"/>
    </row>
    <row r="2757" spans="15:15" x14ac:dyDescent="0.25">
      <c r="O2757" s="21"/>
    </row>
    <row r="2758" spans="15:15" x14ac:dyDescent="0.25">
      <c r="O2758" s="21"/>
    </row>
    <row r="2759" spans="15:15" x14ac:dyDescent="0.25">
      <c r="O2759" s="21"/>
    </row>
    <row r="2760" spans="15:15" x14ac:dyDescent="0.25">
      <c r="O2760" s="21"/>
    </row>
    <row r="2761" spans="15:15" x14ac:dyDescent="0.25">
      <c r="O2761" s="21"/>
    </row>
    <row r="2762" spans="15:15" x14ac:dyDescent="0.25">
      <c r="O2762" s="21"/>
    </row>
    <row r="2763" spans="15:15" x14ac:dyDescent="0.25">
      <c r="O2763" s="21"/>
    </row>
    <row r="2764" spans="15:15" x14ac:dyDescent="0.25">
      <c r="O2764" s="21"/>
    </row>
    <row r="2765" spans="15:15" x14ac:dyDescent="0.25">
      <c r="O2765" s="21"/>
    </row>
    <row r="2766" spans="15:15" x14ac:dyDescent="0.25">
      <c r="O2766" s="21"/>
    </row>
    <row r="2767" spans="15:15" x14ac:dyDescent="0.25">
      <c r="O2767" s="21"/>
    </row>
    <row r="2768" spans="15:15" x14ac:dyDescent="0.25">
      <c r="O2768" s="21"/>
    </row>
    <row r="2769" spans="15:15" x14ac:dyDescent="0.25">
      <c r="O2769" s="21"/>
    </row>
    <row r="2770" spans="15:15" x14ac:dyDescent="0.25">
      <c r="O2770" s="21"/>
    </row>
    <row r="2771" spans="15:15" x14ac:dyDescent="0.25">
      <c r="O2771" s="21"/>
    </row>
    <row r="2772" spans="15:15" x14ac:dyDescent="0.25">
      <c r="O2772" s="21"/>
    </row>
    <row r="2773" spans="15:15" x14ac:dyDescent="0.25">
      <c r="O2773" s="21"/>
    </row>
    <row r="2774" spans="15:15" x14ac:dyDescent="0.25">
      <c r="O2774" s="21"/>
    </row>
    <row r="2775" spans="15:15" x14ac:dyDescent="0.25">
      <c r="O2775" s="21"/>
    </row>
    <row r="2776" spans="15:15" x14ac:dyDescent="0.25">
      <c r="O2776" s="21"/>
    </row>
    <row r="2777" spans="15:15" x14ac:dyDescent="0.25">
      <c r="O2777" s="21"/>
    </row>
    <row r="2778" spans="15:15" x14ac:dyDescent="0.25">
      <c r="O2778" s="21"/>
    </row>
    <row r="2779" spans="15:15" x14ac:dyDescent="0.25">
      <c r="O2779" s="21"/>
    </row>
    <row r="2780" spans="15:15" x14ac:dyDescent="0.25">
      <c r="O2780" s="21"/>
    </row>
    <row r="2781" spans="15:15" x14ac:dyDescent="0.25">
      <c r="O2781" s="21"/>
    </row>
    <row r="2782" spans="15:15" x14ac:dyDescent="0.25">
      <c r="O2782" s="21"/>
    </row>
    <row r="2783" spans="15:15" x14ac:dyDescent="0.25">
      <c r="O2783" s="21"/>
    </row>
    <row r="2784" spans="15:15" x14ac:dyDescent="0.25">
      <c r="O2784" s="21"/>
    </row>
    <row r="2785" spans="15:15" x14ac:dyDescent="0.25">
      <c r="O2785" s="21"/>
    </row>
    <row r="2786" spans="15:15" x14ac:dyDescent="0.25">
      <c r="O2786" s="21"/>
    </row>
    <row r="2787" spans="15:15" x14ac:dyDescent="0.25">
      <c r="O2787" s="21"/>
    </row>
    <row r="2788" spans="15:15" x14ac:dyDescent="0.25">
      <c r="O2788" s="21"/>
    </row>
    <row r="2789" spans="15:15" x14ac:dyDescent="0.25">
      <c r="O2789" s="21"/>
    </row>
    <row r="2790" spans="15:15" x14ac:dyDescent="0.25">
      <c r="O2790" s="21"/>
    </row>
    <row r="2791" spans="15:15" x14ac:dyDescent="0.25">
      <c r="O2791" s="21"/>
    </row>
    <row r="2792" spans="15:15" x14ac:dyDescent="0.25">
      <c r="O2792" s="21"/>
    </row>
    <row r="2793" spans="15:15" x14ac:dyDescent="0.25">
      <c r="O2793" s="21"/>
    </row>
    <row r="2794" spans="15:15" x14ac:dyDescent="0.25">
      <c r="O2794" s="21"/>
    </row>
    <row r="2795" spans="15:15" x14ac:dyDescent="0.25">
      <c r="O2795" s="21"/>
    </row>
    <row r="2796" spans="15:15" x14ac:dyDescent="0.25">
      <c r="O2796" s="21"/>
    </row>
    <row r="2797" spans="15:15" x14ac:dyDescent="0.25">
      <c r="O2797" s="21"/>
    </row>
    <row r="2798" spans="15:15" x14ac:dyDescent="0.25">
      <c r="O2798" s="21"/>
    </row>
    <row r="2799" spans="15:15" x14ac:dyDescent="0.25">
      <c r="O2799" s="21"/>
    </row>
    <row r="2800" spans="15:15" x14ac:dyDescent="0.25">
      <c r="O2800" s="21"/>
    </row>
    <row r="2801" spans="15:15" x14ac:dyDescent="0.25">
      <c r="O2801" s="21"/>
    </row>
    <row r="2802" spans="15:15" x14ac:dyDescent="0.25">
      <c r="O2802" s="21"/>
    </row>
    <row r="2803" spans="15:15" x14ac:dyDescent="0.25">
      <c r="O2803" s="21"/>
    </row>
    <row r="2804" spans="15:15" x14ac:dyDescent="0.25">
      <c r="O2804" s="21"/>
    </row>
    <row r="2805" spans="15:15" x14ac:dyDescent="0.25">
      <c r="O2805" s="21"/>
    </row>
    <row r="2806" spans="15:15" x14ac:dyDescent="0.25">
      <c r="O2806" s="21"/>
    </row>
    <row r="2807" spans="15:15" x14ac:dyDescent="0.25">
      <c r="O2807" s="21"/>
    </row>
    <row r="2808" spans="15:15" x14ac:dyDescent="0.25">
      <c r="O2808" s="21"/>
    </row>
    <row r="2809" spans="15:15" x14ac:dyDescent="0.25">
      <c r="O2809" s="21"/>
    </row>
    <row r="2810" spans="15:15" x14ac:dyDescent="0.25">
      <c r="O2810" s="21"/>
    </row>
    <row r="2811" spans="15:15" x14ac:dyDescent="0.25">
      <c r="O2811" s="21"/>
    </row>
    <row r="2812" spans="15:15" x14ac:dyDescent="0.25">
      <c r="O2812" s="21"/>
    </row>
    <row r="2813" spans="15:15" x14ac:dyDescent="0.25">
      <c r="O2813" s="21"/>
    </row>
    <row r="2814" spans="15:15" x14ac:dyDescent="0.25">
      <c r="O2814" s="21"/>
    </row>
    <row r="2815" spans="15:15" x14ac:dyDescent="0.25">
      <c r="O2815" s="21"/>
    </row>
    <row r="2816" spans="15:15" x14ac:dyDescent="0.25">
      <c r="O2816" s="21"/>
    </row>
    <row r="2817" spans="15:15" x14ac:dyDescent="0.25">
      <c r="O2817" s="21"/>
    </row>
    <row r="2818" spans="15:15" x14ac:dyDescent="0.25">
      <c r="O2818" s="21"/>
    </row>
    <row r="2819" spans="15:15" x14ac:dyDescent="0.25">
      <c r="O2819" s="21"/>
    </row>
    <row r="2820" spans="15:15" x14ac:dyDescent="0.25">
      <c r="O2820" s="21"/>
    </row>
    <row r="2821" spans="15:15" x14ac:dyDescent="0.25">
      <c r="O2821" s="21"/>
    </row>
    <row r="2822" spans="15:15" x14ac:dyDescent="0.25">
      <c r="O2822" s="21"/>
    </row>
    <row r="2823" spans="15:15" x14ac:dyDescent="0.25">
      <c r="O2823" s="21"/>
    </row>
    <row r="2824" spans="15:15" x14ac:dyDescent="0.25">
      <c r="O2824" s="21"/>
    </row>
    <row r="2825" spans="15:15" x14ac:dyDescent="0.25">
      <c r="O2825" s="21"/>
    </row>
    <row r="2826" spans="15:15" x14ac:dyDescent="0.25">
      <c r="O2826" s="21"/>
    </row>
    <row r="2827" spans="15:15" x14ac:dyDescent="0.25">
      <c r="O2827" s="21"/>
    </row>
    <row r="2828" spans="15:15" x14ac:dyDescent="0.25">
      <c r="O2828" s="21"/>
    </row>
    <row r="2829" spans="15:15" x14ac:dyDescent="0.25">
      <c r="O2829" s="21"/>
    </row>
    <row r="2830" spans="15:15" x14ac:dyDescent="0.25">
      <c r="O2830" s="21"/>
    </row>
    <row r="2831" spans="15:15" x14ac:dyDescent="0.25">
      <c r="O2831" s="21"/>
    </row>
    <row r="2832" spans="15:15" x14ac:dyDescent="0.25">
      <c r="O2832" s="21"/>
    </row>
    <row r="2833" spans="15:15" x14ac:dyDescent="0.25">
      <c r="O2833" s="21"/>
    </row>
    <row r="2834" spans="15:15" x14ac:dyDescent="0.25">
      <c r="O2834" s="21"/>
    </row>
    <row r="2835" spans="15:15" x14ac:dyDescent="0.25">
      <c r="O2835" s="21"/>
    </row>
    <row r="2836" spans="15:15" x14ac:dyDescent="0.25">
      <c r="O2836" s="21"/>
    </row>
    <row r="2837" spans="15:15" x14ac:dyDescent="0.25">
      <c r="O2837" s="21"/>
    </row>
    <row r="2838" spans="15:15" x14ac:dyDescent="0.25">
      <c r="O2838" s="21"/>
    </row>
    <row r="2839" spans="15:15" x14ac:dyDescent="0.25">
      <c r="O2839" s="21"/>
    </row>
    <row r="2840" spans="15:15" x14ac:dyDescent="0.25">
      <c r="O2840" s="21"/>
    </row>
    <row r="2841" spans="15:15" x14ac:dyDescent="0.25">
      <c r="O2841" s="21"/>
    </row>
    <row r="2842" spans="15:15" x14ac:dyDescent="0.25">
      <c r="O2842" s="21"/>
    </row>
    <row r="2843" spans="15:15" x14ac:dyDescent="0.25">
      <c r="O2843" s="21"/>
    </row>
    <row r="2844" spans="15:15" x14ac:dyDescent="0.25">
      <c r="O2844" s="21"/>
    </row>
    <row r="2845" spans="15:15" x14ac:dyDescent="0.25">
      <c r="O2845" s="21"/>
    </row>
    <row r="2846" spans="15:15" x14ac:dyDescent="0.25">
      <c r="O2846" s="21"/>
    </row>
    <row r="2847" spans="15:15" x14ac:dyDescent="0.25">
      <c r="O2847" s="21"/>
    </row>
    <row r="2848" spans="15:15" x14ac:dyDescent="0.25">
      <c r="O2848" s="21"/>
    </row>
    <row r="2849" spans="15:15" x14ac:dyDescent="0.25">
      <c r="O2849" s="21"/>
    </row>
    <row r="2850" spans="15:15" x14ac:dyDescent="0.25">
      <c r="O2850" s="21"/>
    </row>
    <row r="2851" spans="15:15" x14ac:dyDescent="0.25">
      <c r="O2851" s="21"/>
    </row>
    <row r="2852" spans="15:15" x14ac:dyDescent="0.25">
      <c r="O2852" s="21"/>
    </row>
    <row r="2853" spans="15:15" x14ac:dyDescent="0.25">
      <c r="O2853" s="21"/>
    </row>
    <row r="2854" spans="15:15" x14ac:dyDescent="0.25">
      <c r="O2854" s="21"/>
    </row>
    <row r="2855" spans="15:15" x14ac:dyDescent="0.25">
      <c r="O2855" s="21"/>
    </row>
    <row r="2856" spans="15:15" x14ac:dyDescent="0.25">
      <c r="O2856" s="21"/>
    </row>
    <row r="2857" spans="15:15" x14ac:dyDescent="0.25">
      <c r="O2857" s="21"/>
    </row>
    <row r="2858" spans="15:15" x14ac:dyDescent="0.25">
      <c r="O2858" s="21"/>
    </row>
    <row r="2859" spans="15:15" x14ac:dyDescent="0.25">
      <c r="O2859" s="21"/>
    </row>
    <row r="2860" spans="15:15" x14ac:dyDescent="0.25">
      <c r="O2860" s="21"/>
    </row>
    <row r="2861" spans="15:15" x14ac:dyDescent="0.25">
      <c r="O2861" s="21"/>
    </row>
    <row r="2862" spans="15:15" x14ac:dyDescent="0.25">
      <c r="O2862" s="21"/>
    </row>
    <row r="2863" spans="15:15" x14ac:dyDescent="0.25">
      <c r="O2863" s="21"/>
    </row>
    <row r="2864" spans="15:15" x14ac:dyDescent="0.25">
      <c r="O2864" s="21"/>
    </row>
    <row r="2865" spans="15:15" x14ac:dyDescent="0.25">
      <c r="O2865" s="21"/>
    </row>
    <row r="2866" spans="15:15" x14ac:dyDescent="0.25">
      <c r="O2866" s="21"/>
    </row>
    <row r="2867" spans="15:15" x14ac:dyDescent="0.25">
      <c r="O2867" s="21"/>
    </row>
    <row r="2868" spans="15:15" x14ac:dyDescent="0.25">
      <c r="O2868" s="21"/>
    </row>
    <row r="2869" spans="15:15" x14ac:dyDescent="0.25">
      <c r="O2869" s="21"/>
    </row>
    <row r="2870" spans="15:15" x14ac:dyDescent="0.25">
      <c r="O2870" s="21"/>
    </row>
    <row r="2871" spans="15:15" x14ac:dyDescent="0.25">
      <c r="O2871" s="21"/>
    </row>
    <row r="2872" spans="15:15" x14ac:dyDescent="0.25">
      <c r="O2872" s="21"/>
    </row>
    <row r="2873" spans="15:15" x14ac:dyDescent="0.25">
      <c r="O2873" s="21"/>
    </row>
    <row r="2874" spans="15:15" x14ac:dyDescent="0.25">
      <c r="O2874" s="21"/>
    </row>
    <row r="2875" spans="15:15" x14ac:dyDescent="0.25">
      <c r="O2875" s="21"/>
    </row>
    <row r="2876" spans="15:15" x14ac:dyDescent="0.25">
      <c r="O2876" s="21"/>
    </row>
    <row r="2877" spans="15:15" x14ac:dyDescent="0.25">
      <c r="O2877" s="21"/>
    </row>
    <row r="2878" spans="15:15" x14ac:dyDescent="0.25">
      <c r="O2878" s="21"/>
    </row>
    <row r="2879" spans="15:15" x14ac:dyDescent="0.25">
      <c r="O2879" s="21"/>
    </row>
    <row r="2880" spans="15:15" x14ac:dyDescent="0.25">
      <c r="O2880" s="21"/>
    </row>
    <row r="2881" spans="15:15" x14ac:dyDescent="0.25">
      <c r="O2881" s="21"/>
    </row>
    <row r="2882" spans="15:15" x14ac:dyDescent="0.25">
      <c r="O2882" s="21"/>
    </row>
    <row r="2883" spans="15:15" x14ac:dyDescent="0.25">
      <c r="O2883" s="21"/>
    </row>
    <row r="2884" spans="15:15" x14ac:dyDescent="0.25">
      <c r="O2884" s="21"/>
    </row>
    <row r="2885" spans="15:15" x14ac:dyDescent="0.25">
      <c r="O2885" s="21"/>
    </row>
    <row r="2886" spans="15:15" x14ac:dyDescent="0.25">
      <c r="O2886" s="21"/>
    </row>
    <row r="2887" spans="15:15" x14ac:dyDescent="0.25">
      <c r="O2887" s="21"/>
    </row>
    <row r="2888" spans="15:15" x14ac:dyDescent="0.25">
      <c r="O2888" s="21"/>
    </row>
    <row r="2889" spans="15:15" x14ac:dyDescent="0.25">
      <c r="O2889" s="21"/>
    </row>
    <row r="2890" spans="15:15" x14ac:dyDescent="0.25">
      <c r="O2890" s="21"/>
    </row>
    <row r="2891" spans="15:15" x14ac:dyDescent="0.25">
      <c r="O2891" s="21"/>
    </row>
    <row r="2892" spans="15:15" x14ac:dyDescent="0.25">
      <c r="O2892" s="21"/>
    </row>
    <row r="2893" spans="15:15" x14ac:dyDescent="0.25">
      <c r="O2893" s="21"/>
    </row>
    <row r="2894" spans="15:15" x14ac:dyDescent="0.25">
      <c r="O2894" s="21"/>
    </row>
    <row r="2895" spans="15:15" x14ac:dyDescent="0.25">
      <c r="O2895" s="21"/>
    </row>
    <row r="2896" spans="15:15" x14ac:dyDescent="0.25">
      <c r="O2896" s="21"/>
    </row>
    <row r="2897" spans="15:15" x14ac:dyDescent="0.25">
      <c r="O2897" s="21"/>
    </row>
    <row r="2898" spans="15:15" x14ac:dyDescent="0.25">
      <c r="O2898" s="21"/>
    </row>
    <row r="2899" spans="15:15" x14ac:dyDescent="0.25">
      <c r="O2899" s="21"/>
    </row>
    <row r="2900" spans="15:15" x14ac:dyDescent="0.25">
      <c r="O2900" s="21"/>
    </row>
    <row r="2901" spans="15:15" x14ac:dyDescent="0.25">
      <c r="O2901" s="21"/>
    </row>
    <row r="2902" spans="15:15" x14ac:dyDescent="0.25">
      <c r="O2902" s="21"/>
    </row>
    <row r="2903" spans="15:15" x14ac:dyDescent="0.25">
      <c r="O2903" s="21"/>
    </row>
    <row r="2904" spans="15:15" x14ac:dyDescent="0.25">
      <c r="O2904" s="21"/>
    </row>
    <row r="2905" spans="15:15" x14ac:dyDescent="0.25">
      <c r="O2905" s="21"/>
    </row>
    <row r="2906" spans="15:15" x14ac:dyDescent="0.25">
      <c r="O2906" s="21"/>
    </row>
    <row r="2907" spans="15:15" x14ac:dyDescent="0.25">
      <c r="O2907" s="21"/>
    </row>
    <row r="2908" spans="15:15" x14ac:dyDescent="0.25">
      <c r="O2908" s="21"/>
    </row>
    <row r="2909" spans="15:15" x14ac:dyDescent="0.25">
      <c r="O2909" s="21"/>
    </row>
    <row r="2910" spans="15:15" x14ac:dyDescent="0.25">
      <c r="O2910" s="21"/>
    </row>
    <row r="2911" spans="15:15" x14ac:dyDescent="0.25">
      <c r="O2911" s="21"/>
    </row>
    <row r="2912" spans="15:15" x14ac:dyDescent="0.25">
      <c r="O2912" s="21"/>
    </row>
    <row r="2913" spans="15:15" x14ac:dyDescent="0.25">
      <c r="O2913" s="21"/>
    </row>
    <row r="2914" spans="15:15" x14ac:dyDescent="0.25">
      <c r="O2914" s="21"/>
    </row>
    <row r="2915" spans="15:15" x14ac:dyDescent="0.25">
      <c r="O2915" s="21"/>
    </row>
    <row r="2916" spans="15:15" x14ac:dyDescent="0.25">
      <c r="O2916" s="21"/>
    </row>
    <row r="2917" spans="15:15" x14ac:dyDescent="0.25">
      <c r="O2917" s="21"/>
    </row>
    <row r="2918" spans="15:15" x14ac:dyDescent="0.25">
      <c r="O2918" s="21"/>
    </row>
    <row r="2919" spans="15:15" x14ac:dyDescent="0.25">
      <c r="O2919" s="21"/>
    </row>
    <row r="2920" spans="15:15" x14ac:dyDescent="0.25">
      <c r="O2920" s="21"/>
    </row>
    <row r="2921" spans="15:15" x14ac:dyDescent="0.25">
      <c r="O2921" s="21"/>
    </row>
    <row r="2922" spans="15:15" x14ac:dyDescent="0.25">
      <c r="O2922" s="21"/>
    </row>
    <row r="2923" spans="15:15" x14ac:dyDescent="0.25">
      <c r="O2923" s="21"/>
    </row>
    <row r="2924" spans="15:15" x14ac:dyDescent="0.25">
      <c r="O2924" s="21"/>
    </row>
    <row r="2925" spans="15:15" x14ac:dyDescent="0.25">
      <c r="O2925" s="21"/>
    </row>
    <row r="2926" spans="15:15" x14ac:dyDescent="0.25">
      <c r="O2926" s="21"/>
    </row>
    <row r="2927" spans="15:15" x14ac:dyDescent="0.25">
      <c r="O2927" s="21"/>
    </row>
    <row r="2928" spans="15:15" x14ac:dyDescent="0.25">
      <c r="O2928" s="21"/>
    </row>
    <row r="2929" spans="15:15" x14ac:dyDescent="0.25">
      <c r="O2929" s="21"/>
    </row>
    <row r="2930" spans="15:15" x14ac:dyDescent="0.25">
      <c r="O2930" s="21"/>
    </row>
    <row r="2931" spans="15:15" x14ac:dyDescent="0.25">
      <c r="O2931" s="21"/>
    </row>
    <row r="2932" spans="15:15" x14ac:dyDescent="0.25">
      <c r="O2932" s="21"/>
    </row>
    <row r="2933" spans="15:15" x14ac:dyDescent="0.25">
      <c r="O2933" s="21"/>
    </row>
    <row r="2934" spans="15:15" x14ac:dyDescent="0.25">
      <c r="O2934" s="21"/>
    </row>
    <row r="2935" spans="15:15" x14ac:dyDescent="0.25">
      <c r="O2935" s="21"/>
    </row>
    <row r="2936" spans="15:15" x14ac:dyDescent="0.25">
      <c r="O2936" s="21"/>
    </row>
    <row r="2937" spans="15:15" x14ac:dyDescent="0.25">
      <c r="O2937" s="21"/>
    </row>
    <row r="2938" spans="15:15" x14ac:dyDescent="0.25">
      <c r="O2938" s="21"/>
    </row>
    <row r="2939" spans="15:15" x14ac:dyDescent="0.25">
      <c r="O2939" s="21"/>
    </row>
    <row r="2940" spans="15:15" x14ac:dyDescent="0.25">
      <c r="O2940" s="21"/>
    </row>
    <row r="2941" spans="15:15" x14ac:dyDescent="0.25">
      <c r="O2941" s="21"/>
    </row>
    <row r="2942" spans="15:15" x14ac:dyDescent="0.25">
      <c r="O2942" s="21"/>
    </row>
    <row r="2943" spans="15:15" x14ac:dyDescent="0.25">
      <c r="O2943" s="21"/>
    </row>
    <row r="2944" spans="15:15" x14ac:dyDescent="0.25">
      <c r="O2944" s="21"/>
    </row>
    <row r="2945" spans="15:15" x14ac:dyDescent="0.25">
      <c r="O2945" s="21"/>
    </row>
    <row r="2946" spans="15:15" x14ac:dyDescent="0.25">
      <c r="O2946" s="21"/>
    </row>
    <row r="2947" spans="15:15" x14ac:dyDescent="0.25">
      <c r="O2947" s="21"/>
    </row>
    <row r="2948" spans="15:15" x14ac:dyDescent="0.25">
      <c r="O2948" s="21"/>
    </row>
    <row r="2949" spans="15:15" x14ac:dyDescent="0.25">
      <c r="O2949" s="21"/>
    </row>
    <row r="2950" spans="15:15" x14ac:dyDescent="0.25">
      <c r="O2950" s="21"/>
    </row>
    <row r="2951" spans="15:15" x14ac:dyDescent="0.25">
      <c r="O2951" s="21"/>
    </row>
    <row r="2952" spans="15:15" x14ac:dyDescent="0.25">
      <c r="O2952" s="21"/>
    </row>
    <row r="2953" spans="15:15" x14ac:dyDescent="0.25">
      <c r="O2953" s="21"/>
    </row>
    <row r="2954" spans="15:15" x14ac:dyDescent="0.25">
      <c r="O2954" s="21"/>
    </row>
    <row r="2955" spans="15:15" x14ac:dyDescent="0.25">
      <c r="O2955" s="21"/>
    </row>
    <row r="2956" spans="15:15" x14ac:dyDescent="0.25">
      <c r="O2956" s="21"/>
    </row>
    <row r="2957" spans="15:15" x14ac:dyDescent="0.25">
      <c r="O2957" s="21"/>
    </row>
    <row r="2958" spans="15:15" x14ac:dyDescent="0.25">
      <c r="O2958" s="21"/>
    </row>
    <row r="2959" spans="15:15" x14ac:dyDescent="0.25">
      <c r="O2959" s="21"/>
    </row>
    <row r="2960" spans="15:15" x14ac:dyDescent="0.25">
      <c r="O2960" s="21"/>
    </row>
    <row r="2961" spans="15:15" x14ac:dyDescent="0.25">
      <c r="O2961" s="21"/>
    </row>
    <row r="2962" spans="15:15" x14ac:dyDescent="0.25">
      <c r="O2962" s="21"/>
    </row>
    <row r="2963" spans="15:15" x14ac:dyDescent="0.25">
      <c r="O2963" s="21"/>
    </row>
    <row r="2964" spans="15:15" x14ac:dyDescent="0.25">
      <c r="O2964" s="21"/>
    </row>
    <row r="2965" spans="15:15" x14ac:dyDescent="0.25">
      <c r="O2965" s="21"/>
    </row>
    <row r="2966" spans="15:15" x14ac:dyDescent="0.25">
      <c r="O2966" s="21"/>
    </row>
    <row r="2967" spans="15:15" x14ac:dyDescent="0.25">
      <c r="O2967" s="21"/>
    </row>
    <row r="2968" spans="15:15" x14ac:dyDescent="0.25">
      <c r="O2968" s="21"/>
    </row>
    <row r="2969" spans="15:15" x14ac:dyDescent="0.25">
      <c r="O2969" s="21"/>
    </row>
    <row r="2970" spans="15:15" x14ac:dyDescent="0.25">
      <c r="O2970" s="21"/>
    </row>
    <row r="2971" spans="15:15" x14ac:dyDescent="0.25">
      <c r="O2971" s="21"/>
    </row>
    <row r="2972" spans="15:15" x14ac:dyDescent="0.25">
      <c r="O2972" s="21"/>
    </row>
    <row r="2973" spans="15:15" x14ac:dyDescent="0.25">
      <c r="O2973" s="21"/>
    </row>
    <row r="2974" spans="15:15" x14ac:dyDescent="0.25">
      <c r="O2974" s="21"/>
    </row>
    <row r="2975" spans="15:15" x14ac:dyDescent="0.25">
      <c r="O2975" s="21"/>
    </row>
    <row r="2976" spans="15:15" x14ac:dyDescent="0.25">
      <c r="O2976" s="21"/>
    </row>
    <row r="2977" spans="15:15" x14ac:dyDescent="0.25">
      <c r="O2977" s="21"/>
    </row>
    <row r="2978" spans="15:15" x14ac:dyDescent="0.25">
      <c r="O2978" s="21"/>
    </row>
    <row r="2979" spans="15:15" x14ac:dyDescent="0.25">
      <c r="O2979" s="21"/>
    </row>
    <row r="2980" spans="15:15" x14ac:dyDescent="0.25">
      <c r="O2980" s="21"/>
    </row>
    <row r="2981" spans="15:15" x14ac:dyDescent="0.25">
      <c r="O2981" s="21"/>
    </row>
    <row r="2982" spans="15:15" x14ac:dyDescent="0.25">
      <c r="O2982" s="21"/>
    </row>
    <row r="2983" spans="15:15" x14ac:dyDescent="0.25">
      <c r="O2983" s="21"/>
    </row>
    <row r="2984" spans="15:15" x14ac:dyDescent="0.25">
      <c r="O2984" s="21"/>
    </row>
    <row r="2985" spans="15:15" x14ac:dyDescent="0.25">
      <c r="O2985" s="21"/>
    </row>
    <row r="2986" spans="15:15" x14ac:dyDescent="0.25">
      <c r="O2986" s="21"/>
    </row>
    <row r="2987" spans="15:15" x14ac:dyDescent="0.25">
      <c r="O2987" s="21"/>
    </row>
    <row r="2988" spans="15:15" x14ac:dyDescent="0.25">
      <c r="O2988" s="21"/>
    </row>
    <row r="2989" spans="15:15" x14ac:dyDescent="0.25">
      <c r="O2989" s="21"/>
    </row>
    <row r="2990" spans="15:15" x14ac:dyDescent="0.25">
      <c r="O2990" s="21"/>
    </row>
    <row r="2991" spans="15:15" x14ac:dyDescent="0.25">
      <c r="O2991" s="21"/>
    </row>
    <row r="2992" spans="15:15" x14ac:dyDescent="0.25">
      <c r="O2992" s="21"/>
    </row>
    <row r="2993" spans="15:15" x14ac:dyDescent="0.25">
      <c r="O2993" s="21"/>
    </row>
    <row r="2994" spans="15:15" x14ac:dyDescent="0.25">
      <c r="O2994" s="21"/>
    </row>
    <row r="2995" spans="15:15" x14ac:dyDescent="0.25">
      <c r="O2995" s="21"/>
    </row>
    <row r="2996" spans="15:15" x14ac:dyDescent="0.25">
      <c r="O2996" s="21"/>
    </row>
    <row r="2997" spans="15:15" x14ac:dyDescent="0.25">
      <c r="O2997" s="21"/>
    </row>
    <row r="2998" spans="15:15" x14ac:dyDescent="0.25">
      <c r="O2998" s="21"/>
    </row>
    <row r="2999" spans="15:15" x14ac:dyDescent="0.25">
      <c r="O2999" s="21"/>
    </row>
    <row r="3000" spans="15:15" x14ac:dyDescent="0.25">
      <c r="O3000" s="21"/>
    </row>
    <row r="3001" spans="15:15" x14ac:dyDescent="0.25">
      <c r="O3001" s="21"/>
    </row>
    <row r="3002" spans="15:15" x14ac:dyDescent="0.25">
      <c r="O3002" s="21"/>
    </row>
    <row r="3003" spans="15:15" x14ac:dyDescent="0.25">
      <c r="O3003" s="21"/>
    </row>
    <row r="3004" spans="15:15" x14ac:dyDescent="0.25">
      <c r="O3004" s="21"/>
    </row>
    <row r="3005" spans="15:15" x14ac:dyDescent="0.25">
      <c r="O3005" s="21"/>
    </row>
    <row r="3006" spans="15:15" x14ac:dyDescent="0.25">
      <c r="O3006" s="21"/>
    </row>
    <row r="3007" spans="15:15" x14ac:dyDescent="0.25">
      <c r="O3007" s="21"/>
    </row>
    <row r="3008" spans="15:15" x14ac:dyDescent="0.25">
      <c r="O3008" s="21"/>
    </row>
    <row r="3009" spans="15:15" x14ac:dyDescent="0.25">
      <c r="O3009" s="21"/>
    </row>
    <row r="3010" spans="15:15" x14ac:dyDescent="0.25">
      <c r="O3010" s="21"/>
    </row>
    <row r="3011" spans="15:15" x14ac:dyDescent="0.25">
      <c r="O3011" s="21"/>
    </row>
    <row r="3012" spans="15:15" x14ac:dyDescent="0.25">
      <c r="O3012" s="21"/>
    </row>
    <row r="3013" spans="15:15" x14ac:dyDescent="0.25">
      <c r="O3013" s="21"/>
    </row>
    <row r="3014" spans="15:15" x14ac:dyDescent="0.25">
      <c r="O3014" s="21"/>
    </row>
    <row r="3015" spans="15:15" x14ac:dyDescent="0.25">
      <c r="O3015" s="21"/>
    </row>
    <row r="3016" spans="15:15" x14ac:dyDescent="0.25">
      <c r="O3016" s="21"/>
    </row>
    <row r="3017" spans="15:15" x14ac:dyDescent="0.25">
      <c r="O3017" s="21"/>
    </row>
    <row r="3018" spans="15:15" x14ac:dyDescent="0.25">
      <c r="O3018" s="21"/>
    </row>
    <row r="3019" spans="15:15" x14ac:dyDescent="0.25">
      <c r="O3019" s="21"/>
    </row>
    <row r="3020" spans="15:15" x14ac:dyDescent="0.25">
      <c r="O3020" s="21"/>
    </row>
    <row r="3021" spans="15:15" x14ac:dyDescent="0.25">
      <c r="O3021" s="21"/>
    </row>
    <row r="3022" spans="15:15" x14ac:dyDescent="0.25">
      <c r="O3022" s="21"/>
    </row>
    <row r="3023" spans="15:15" x14ac:dyDescent="0.25">
      <c r="O3023" s="21"/>
    </row>
    <row r="3024" spans="15:15" x14ac:dyDescent="0.25">
      <c r="O3024" s="21"/>
    </row>
    <row r="3025" spans="15:15" x14ac:dyDescent="0.25">
      <c r="O3025" s="21"/>
    </row>
    <row r="3026" spans="15:15" x14ac:dyDescent="0.25">
      <c r="O3026" s="21"/>
    </row>
    <row r="3027" spans="15:15" x14ac:dyDescent="0.25">
      <c r="O3027" s="21"/>
    </row>
    <row r="3028" spans="15:15" x14ac:dyDescent="0.25">
      <c r="O3028" s="21"/>
    </row>
    <row r="3029" spans="15:15" x14ac:dyDescent="0.25">
      <c r="O3029" s="21"/>
    </row>
    <row r="3030" spans="15:15" x14ac:dyDescent="0.25">
      <c r="O3030" s="21"/>
    </row>
    <row r="3031" spans="15:15" x14ac:dyDescent="0.25">
      <c r="O3031" s="21"/>
    </row>
    <row r="3032" spans="15:15" x14ac:dyDescent="0.25">
      <c r="O3032" s="21"/>
    </row>
    <row r="3033" spans="15:15" x14ac:dyDescent="0.25">
      <c r="O3033" s="21"/>
    </row>
    <row r="3034" spans="15:15" x14ac:dyDescent="0.25">
      <c r="O3034" s="21"/>
    </row>
    <row r="3035" spans="15:15" x14ac:dyDescent="0.25">
      <c r="O3035" s="21"/>
    </row>
    <row r="3036" spans="15:15" x14ac:dyDescent="0.25">
      <c r="O3036" s="21"/>
    </row>
    <row r="3037" spans="15:15" x14ac:dyDescent="0.25">
      <c r="O3037" s="21"/>
    </row>
    <row r="3038" spans="15:15" x14ac:dyDescent="0.25">
      <c r="O3038" s="21"/>
    </row>
    <row r="3039" spans="15:15" x14ac:dyDescent="0.25">
      <c r="O3039" s="21"/>
    </row>
    <row r="3040" spans="15:15" x14ac:dyDescent="0.25">
      <c r="O3040" s="21"/>
    </row>
    <row r="3041" spans="15:15" x14ac:dyDescent="0.25">
      <c r="O3041" s="21"/>
    </row>
    <row r="3042" spans="15:15" x14ac:dyDescent="0.25">
      <c r="O3042" s="21"/>
    </row>
    <row r="3043" spans="15:15" x14ac:dyDescent="0.25">
      <c r="O3043" s="21"/>
    </row>
    <row r="3044" spans="15:15" x14ac:dyDescent="0.25">
      <c r="O3044" s="21"/>
    </row>
    <row r="3045" spans="15:15" x14ac:dyDescent="0.25">
      <c r="O3045" s="21"/>
    </row>
    <row r="3046" spans="15:15" x14ac:dyDescent="0.25">
      <c r="O3046" s="21"/>
    </row>
    <row r="3047" spans="15:15" x14ac:dyDescent="0.25">
      <c r="O3047" s="21"/>
    </row>
    <row r="3048" spans="15:15" x14ac:dyDescent="0.25">
      <c r="O3048" s="21"/>
    </row>
    <row r="3049" spans="15:15" x14ac:dyDescent="0.25">
      <c r="O3049" s="21"/>
    </row>
    <row r="3050" spans="15:15" x14ac:dyDescent="0.25">
      <c r="O3050" s="21"/>
    </row>
    <row r="3051" spans="15:15" x14ac:dyDescent="0.25">
      <c r="O3051" s="21"/>
    </row>
    <row r="3052" spans="15:15" x14ac:dyDescent="0.25">
      <c r="O3052" s="21"/>
    </row>
    <row r="3053" spans="15:15" x14ac:dyDescent="0.25">
      <c r="O3053" s="21"/>
    </row>
    <row r="3054" spans="15:15" x14ac:dyDescent="0.25">
      <c r="O3054" s="21"/>
    </row>
    <row r="3055" spans="15:15" x14ac:dyDescent="0.25">
      <c r="O3055" s="21"/>
    </row>
    <row r="3056" spans="15:15" x14ac:dyDescent="0.25">
      <c r="O3056" s="21"/>
    </row>
    <row r="3057" spans="15:15" x14ac:dyDescent="0.25">
      <c r="O3057" s="21"/>
    </row>
    <row r="3058" spans="15:15" x14ac:dyDescent="0.25">
      <c r="O3058" s="21"/>
    </row>
    <row r="3059" spans="15:15" x14ac:dyDescent="0.25">
      <c r="O3059" s="21"/>
    </row>
    <row r="3060" spans="15:15" x14ac:dyDescent="0.25">
      <c r="O3060" s="21"/>
    </row>
    <row r="3061" spans="15:15" x14ac:dyDescent="0.25">
      <c r="O3061" s="21"/>
    </row>
    <row r="3062" spans="15:15" x14ac:dyDescent="0.25">
      <c r="O3062" s="21"/>
    </row>
    <row r="3063" spans="15:15" x14ac:dyDescent="0.25">
      <c r="O3063" s="21"/>
    </row>
    <row r="3064" spans="15:15" x14ac:dyDescent="0.25">
      <c r="O3064" s="21"/>
    </row>
    <row r="3065" spans="15:15" x14ac:dyDescent="0.25">
      <c r="O3065" s="21"/>
    </row>
    <row r="3066" spans="15:15" x14ac:dyDescent="0.25">
      <c r="O3066" s="21"/>
    </row>
    <row r="3067" spans="15:15" x14ac:dyDescent="0.25">
      <c r="O3067" s="21"/>
    </row>
    <row r="3068" spans="15:15" x14ac:dyDescent="0.25">
      <c r="O3068" s="21"/>
    </row>
    <row r="3069" spans="15:15" x14ac:dyDescent="0.25">
      <c r="O3069" s="21"/>
    </row>
    <row r="3070" spans="15:15" x14ac:dyDescent="0.25">
      <c r="O3070" s="21"/>
    </row>
    <row r="3071" spans="15:15" x14ac:dyDescent="0.25">
      <c r="O3071" s="21"/>
    </row>
    <row r="3072" spans="15:15" x14ac:dyDescent="0.25">
      <c r="O3072" s="21"/>
    </row>
    <row r="3073" spans="15:15" x14ac:dyDescent="0.25">
      <c r="O3073" s="21"/>
    </row>
    <row r="3074" spans="15:15" x14ac:dyDescent="0.25">
      <c r="O3074" s="21"/>
    </row>
    <row r="3075" spans="15:15" x14ac:dyDescent="0.25">
      <c r="O3075" s="21"/>
    </row>
    <row r="3076" spans="15:15" x14ac:dyDescent="0.25">
      <c r="O3076" s="21"/>
    </row>
    <row r="3077" spans="15:15" x14ac:dyDescent="0.25">
      <c r="O3077" s="21"/>
    </row>
    <row r="3078" spans="15:15" x14ac:dyDescent="0.25">
      <c r="O3078" s="21"/>
    </row>
    <row r="3079" spans="15:15" x14ac:dyDescent="0.25">
      <c r="O3079" s="21"/>
    </row>
    <row r="3080" spans="15:15" x14ac:dyDescent="0.25">
      <c r="O3080" s="21"/>
    </row>
    <row r="3081" spans="15:15" x14ac:dyDescent="0.25">
      <c r="O3081" s="21"/>
    </row>
    <row r="3082" spans="15:15" x14ac:dyDescent="0.25">
      <c r="O3082" s="21"/>
    </row>
    <row r="3083" spans="15:15" x14ac:dyDescent="0.25">
      <c r="O3083" s="21"/>
    </row>
    <row r="3084" spans="15:15" x14ac:dyDescent="0.25">
      <c r="O3084" s="21"/>
    </row>
    <row r="3085" spans="15:15" x14ac:dyDescent="0.25">
      <c r="O3085" s="21"/>
    </row>
    <row r="3086" spans="15:15" x14ac:dyDescent="0.25">
      <c r="O3086" s="21"/>
    </row>
    <row r="3087" spans="15:15" x14ac:dyDescent="0.25">
      <c r="O3087" s="21"/>
    </row>
    <row r="3088" spans="15:15" x14ac:dyDescent="0.25">
      <c r="O3088" s="21"/>
    </row>
    <row r="3089" spans="15:15" x14ac:dyDescent="0.25">
      <c r="O3089" s="21"/>
    </row>
    <row r="3090" spans="15:15" x14ac:dyDescent="0.25">
      <c r="O3090" s="21"/>
    </row>
    <row r="3091" spans="15:15" x14ac:dyDescent="0.25">
      <c r="O3091" s="21"/>
    </row>
    <row r="3092" spans="15:15" x14ac:dyDescent="0.25">
      <c r="O3092" s="21"/>
    </row>
    <row r="3093" spans="15:15" x14ac:dyDescent="0.25">
      <c r="O3093" s="21"/>
    </row>
    <row r="3094" spans="15:15" x14ac:dyDescent="0.25">
      <c r="O3094" s="21"/>
    </row>
    <row r="3095" spans="15:15" x14ac:dyDescent="0.25">
      <c r="O3095" s="21"/>
    </row>
    <row r="3096" spans="15:15" x14ac:dyDescent="0.25">
      <c r="O3096" s="21"/>
    </row>
    <row r="3097" spans="15:15" x14ac:dyDescent="0.25">
      <c r="O3097" s="21"/>
    </row>
    <row r="3098" spans="15:15" x14ac:dyDescent="0.25">
      <c r="O3098" s="21"/>
    </row>
    <row r="3099" spans="15:15" x14ac:dyDescent="0.25">
      <c r="O3099" s="21"/>
    </row>
    <row r="3100" spans="15:15" x14ac:dyDescent="0.25">
      <c r="O3100" s="21"/>
    </row>
    <row r="3101" spans="15:15" x14ac:dyDescent="0.25">
      <c r="O3101" s="21"/>
    </row>
    <row r="3102" spans="15:15" x14ac:dyDescent="0.25">
      <c r="O3102" s="21"/>
    </row>
    <row r="3103" spans="15:15" x14ac:dyDescent="0.25">
      <c r="O3103" s="21"/>
    </row>
    <row r="3104" spans="15:15" x14ac:dyDescent="0.25">
      <c r="O3104" s="21"/>
    </row>
    <row r="3105" spans="15:15" x14ac:dyDescent="0.25">
      <c r="O3105" s="21"/>
    </row>
    <row r="3106" spans="15:15" x14ac:dyDescent="0.25">
      <c r="O3106" s="21"/>
    </row>
    <row r="3107" spans="15:15" x14ac:dyDescent="0.25">
      <c r="O3107" s="21"/>
    </row>
    <row r="3108" spans="15:15" x14ac:dyDescent="0.25">
      <c r="O3108" s="21"/>
    </row>
    <row r="3109" spans="15:15" x14ac:dyDescent="0.25">
      <c r="O3109" s="21"/>
    </row>
    <row r="3110" spans="15:15" x14ac:dyDescent="0.25">
      <c r="O3110" s="21"/>
    </row>
    <row r="3111" spans="15:15" x14ac:dyDescent="0.25">
      <c r="O3111" s="21"/>
    </row>
    <row r="3112" spans="15:15" x14ac:dyDescent="0.25">
      <c r="O3112" s="21"/>
    </row>
    <row r="3113" spans="15:15" x14ac:dyDescent="0.25">
      <c r="O3113" s="21"/>
    </row>
    <row r="3114" spans="15:15" x14ac:dyDescent="0.25">
      <c r="O3114" s="21"/>
    </row>
    <row r="3115" spans="15:15" x14ac:dyDescent="0.25">
      <c r="O3115" s="21"/>
    </row>
    <row r="3116" spans="15:15" x14ac:dyDescent="0.25">
      <c r="O3116" s="21"/>
    </row>
    <row r="3117" spans="15:15" x14ac:dyDescent="0.25">
      <c r="O3117" s="21"/>
    </row>
    <row r="3118" spans="15:15" x14ac:dyDescent="0.25">
      <c r="O3118" s="21"/>
    </row>
    <row r="3119" spans="15:15" x14ac:dyDescent="0.25">
      <c r="O3119" s="21"/>
    </row>
    <row r="3120" spans="15:15" x14ac:dyDescent="0.25">
      <c r="O3120" s="21"/>
    </row>
    <row r="3121" spans="15:15" x14ac:dyDescent="0.25">
      <c r="O3121" s="21"/>
    </row>
    <row r="3122" spans="15:15" x14ac:dyDescent="0.25">
      <c r="O3122" s="21"/>
    </row>
    <row r="3123" spans="15:15" x14ac:dyDescent="0.25">
      <c r="O3123" s="21"/>
    </row>
    <row r="3124" spans="15:15" x14ac:dyDescent="0.25">
      <c r="O3124" s="21"/>
    </row>
    <row r="3125" spans="15:15" x14ac:dyDescent="0.25">
      <c r="O3125" s="21"/>
    </row>
    <row r="3126" spans="15:15" x14ac:dyDescent="0.25">
      <c r="O3126" s="21"/>
    </row>
    <row r="3127" spans="15:15" x14ac:dyDescent="0.25">
      <c r="O3127" s="21"/>
    </row>
    <row r="3128" spans="15:15" x14ac:dyDescent="0.25">
      <c r="O3128" s="21"/>
    </row>
    <row r="3129" spans="15:15" x14ac:dyDescent="0.25">
      <c r="O3129" s="21"/>
    </row>
    <row r="3130" spans="15:15" x14ac:dyDescent="0.25">
      <c r="O3130" s="21"/>
    </row>
    <row r="3131" spans="15:15" x14ac:dyDescent="0.25">
      <c r="O3131" s="21"/>
    </row>
    <row r="3132" spans="15:15" x14ac:dyDescent="0.25">
      <c r="O3132" s="21"/>
    </row>
    <row r="3133" spans="15:15" x14ac:dyDescent="0.25">
      <c r="O3133" s="21"/>
    </row>
    <row r="3134" spans="15:15" x14ac:dyDescent="0.25">
      <c r="O3134" s="21"/>
    </row>
    <row r="3135" spans="15:15" x14ac:dyDescent="0.25">
      <c r="O3135" s="21"/>
    </row>
    <row r="3136" spans="15:15" x14ac:dyDescent="0.25">
      <c r="O3136" s="21"/>
    </row>
    <row r="3137" spans="15:15" x14ac:dyDescent="0.25">
      <c r="O3137" s="21"/>
    </row>
    <row r="3138" spans="15:15" x14ac:dyDescent="0.25">
      <c r="O3138" s="21"/>
    </row>
    <row r="3139" spans="15:15" x14ac:dyDescent="0.25">
      <c r="O3139" s="21"/>
    </row>
    <row r="3140" spans="15:15" x14ac:dyDescent="0.25">
      <c r="O3140" s="21"/>
    </row>
    <row r="3141" spans="15:15" x14ac:dyDescent="0.25">
      <c r="O3141" s="21"/>
    </row>
    <row r="3142" spans="15:15" x14ac:dyDescent="0.25">
      <c r="O3142" s="21"/>
    </row>
    <row r="3143" spans="15:15" x14ac:dyDescent="0.25">
      <c r="O3143" s="21"/>
    </row>
    <row r="3144" spans="15:15" x14ac:dyDescent="0.25">
      <c r="O3144" s="21"/>
    </row>
    <row r="3145" spans="15:15" x14ac:dyDescent="0.25">
      <c r="O3145" s="21"/>
    </row>
    <row r="3146" spans="15:15" x14ac:dyDescent="0.25">
      <c r="O3146" s="21"/>
    </row>
    <row r="3147" spans="15:15" x14ac:dyDescent="0.25">
      <c r="O3147" s="21"/>
    </row>
    <row r="3148" spans="15:15" x14ac:dyDescent="0.25">
      <c r="O3148" s="21"/>
    </row>
    <row r="3149" spans="15:15" x14ac:dyDescent="0.25">
      <c r="O3149" s="21"/>
    </row>
    <row r="3150" spans="15:15" x14ac:dyDescent="0.25">
      <c r="O3150" s="21"/>
    </row>
    <row r="3151" spans="15:15" x14ac:dyDescent="0.25">
      <c r="O3151" s="21"/>
    </row>
    <row r="3152" spans="15:15" x14ac:dyDescent="0.25">
      <c r="O3152" s="21"/>
    </row>
    <row r="3153" spans="15:15" x14ac:dyDescent="0.25">
      <c r="O3153" s="21"/>
    </row>
    <row r="3154" spans="15:15" x14ac:dyDescent="0.25">
      <c r="O3154" s="21"/>
    </row>
    <row r="3155" spans="15:15" x14ac:dyDescent="0.25">
      <c r="O3155" s="21"/>
    </row>
    <row r="3156" spans="15:15" x14ac:dyDescent="0.25">
      <c r="O3156" s="21"/>
    </row>
    <row r="3157" spans="15:15" x14ac:dyDescent="0.25">
      <c r="O3157" s="21"/>
    </row>
    <row r="3158" spans="15:15" x14ac:dyDescent="0.25">
      <c r="O3158" s="21"/>
    </row>
    <row r="3159" spans="15:15" x14ac:dyDescent="0.25">
      <c r="O3159" s="21"/>
    </row>
    <row r="3160" spans="15:15" x14ac:dyDescent="0.25">
      <c r="O3160" s="21"/>
    </row>
    <row r="3161" spans="15:15" x14ac:dyDescent="0.25">
      <c r="O3161" s="21"/>
    </row>
    <row r="3162" spans="15:15" x14ac:dyDescent="0.25">
      <c r="O3162" s="21"/>
    </row>
    <row r="3163" spans="15:15" x14ac:dyDescent="0.25">
      <c r="O3163" s="21"/>
    </row>
    <row r="3164" spans="15:15" x14ac:dyDescent="0.25">
      <c r="O3164" s="21"/>
    </row>
    <row r="3165" spans="15:15" x14ac:dyDescent="0.25">
      <c r="O3165" s="21"/>
    </row>
    <row r="3166" spans="15:15" x14ac:dyDescent="0.25">
      <c r="O3166" s="21"/>
    </row>
    <row r="3167" spans="15:15" x14ac:dyDescent="0.25">
      <c r="O3167" s="21"/>
    </row>
    <row r="3168" spans="15:15" x14ac:dyDescent="0.25">
      <c r="O3168" s="21"/>
    </row>
    <row r="3169" spans="15:15" x14ac:dyDescent="0.25">
      <c r="O3169" s="21"/>
    </row>
    <row r="3170" spans="15:15" x14ac:dyDescent="0.25">
      <c r="O3170" s="21"/>
    </row>
    <row r="3171" spans="15:15" x14ac:dyDescent="0.25">
      <c r="O3171" s="21"/>
    </row>
    <row r="3172" spans="15:15" x14ac:dyDescent="0.25">
      <c r="O3172" s="21"/>
    </row>
    <row r="3173" spans="15:15" x14ac:dyDescent="0.25">
      <c r="O3173" s="21"/>
    </row>
    <row r="3174" spans="15:15" x14ac:dyDescent="0.25">
      <c r="O3174" s="21"/>
    </row>
    <row r="3175" spans="15:15" x14ac:dyDescent="0.25">
      <c r="O3175" s="21"/>
    </row>
    <row r="3176" spans="15:15" x14ac:dyDescent="0.25">
      <c r="O3176" s="21"/>
    </row>
    <row r="3177" spans="15:15" x14ac:dyDescent="0.25">
      <c r="O3177" s="21"/>
    </row>
    <row r="3178" spans="15:15" x14ac:dyDescent="0.25">
      <c r="O3178" s="21"/>
    </row>
    <row r="3179" spans="15:15" x14ac:dyDescent="0.25">
      <c r="O3179" s="21"/>
    </row>
    <row r="3180" spans="15:15" x14ac:dyDescent="0.25">
      <c r="O3180" s="21"/>
    </row>
    <row r="3181" spans="15:15" x14ac:dyDescent="0.25">
      <c r="O3181" s="21"/>
    </row>
    <row r="3182" spans="15:15" x14ac:dyDescent="0.25">
      <c r="O3182" s="21"/>
    </row>
    <row r="3183" spans="15:15" x14ac:dyDescent="0.25">
      <c r="O3183" s="21"/>
    </row>
    <row r="3184" spans="15:15" x14ac:dyDescent="0.25">
      <c r="O3184" s="21"/>
    </row>
    <row r="3185" spans="15:15" x14ac:dyDescent="0.25">
      <c r="O3185" s="21"/>
    </row>
    <row r="3186" spans="15:15" x14ac:dyDescent="0.25">
      <c r="O3186" s="21"/>
    </row>
    <row r="3187" spans="15:15" x14ac:dyDescent="0.25">
      <c r="O3187" s="21"/>
    </row>
    <row r="3188" spans="15:15" x14ac:dyDescent="0.25">
      <c r="O3188" s="21"/>
    </row>
    <row r="3189" spans="15:15" x14ac:dyDescent="0.25">
      <c r="O3189" s="21"/>
    </row>
    <row r="3190" spans="15:15" x14ac:dyDescent="0.25">
      <c r="O3190" s="21"/>
    </row>
    <row r="3191" spans="15:15" x14ac:dyDescent="0.25">
      <c r="O3191" s="21"/>
    </row>
    <row r="3192" spans="15:15" x14ac:dyDescent="0.25">
      <c r="O3192" s="21"/>
    </row>
    <row r="3193" spans="15:15" x14ac:dyDescent="0.25">
      <c r="O3193" s="21"/>
    </row>
    <row r="3194" spans="15:15" x14ac:dyDescent="0.25">
      <c r="O3194" s="21"/>
    </row>
    <row r="3195" spans="15:15" x14ac:dyDescent="0.25">
      <c r="O3195" s="21"/>
    </row>
    <row r="3196" spans="15:15" x14ac:dyDescent="0.25">
      <c r="O3196" s="21"/>
    </row>
    <row r="3197" spans="15:15" x14ac:dyDescent="0.25">
      <c r="O3197" s="21"/>
    </row>
    <row r="3198" spans="15:15" x14ac:dyDescent="0.25">
      <c r="O3198" s="21"/>
    </row>
    <row r="3199" spans="15:15" x14ac:dyDescent="0.25">
      <c r="O3199" s="21"/>
    </row>
    <row r="3200" spans="15:15" x14ac:dyDescent="0.25">
      <c r="O3200" s="21"/>
    </row>
    <row r="3201" spans="15:15" x14ac:dyDescent="0.25">
      <c r="O3201" s="21"/>
    </row>
    <row r="3202" spans="15:15" x14ac:dyDescent="0.25">
      <c r="O3202" s="21"/>
    </row>
    <row r="3203" spans="15:15" x14ac:dyDescent="0.25">
      <c r="O3203" s="21"/>
    </row>
    <row r="3204" spans="15:15" x14ac:dyDescent="0.25">
      <c r="O3204" s="21"/>
    </row>
    <row r="3205" spans="15:15" x14ac:dyDescent="0.25">
      <c r="O3205" s="21"/>
    </row>
    <row r="3206" spans="15:15" x14ac:dyDescent="0.25">
      <c r="O3206" s="21"/>
    </row>
    <row r="3207" spans="15:15" x14ac:dyDescent="0.25">
      <c r="O3207" s="21"/>
    </row>
    <row r="3208" spans="15:15" x14ac:dyDescent="0.25">
      <c r="O3208" s="21"/>
    </row>
    <row r="3209" spans="15:15" x14ac:dyDescent="0.25">
      <c r="O3209" s="21"/>
    </row>
    <row r="3210" spans="15:15" x14ac:dyDescent="0.25">
      <c r="O3210" s="21"/>
    </row>
    <row r="3211" spans="15:15" x14ac:dyDescent="0.25">
      <c r="O3211" s="21"/>
    </row>
    <row r="3212" spans="15:15" x14ac:dyDescent="0.25">
      <c r="O3212" s="21"/>
    </row>
    <row r="3213" spans="15:15" x14ac:dyDescent="0.25">
      <c r="O3213" s="21"/>
    </row>
    <row r="3214" spans="15:15" x14ac:dyDescent="0.25">
      <c r="O3214" s="21"/>
    </row>
    <row r="3215" spans="15:15" x14ac:dyDescent="0.25">
      <c r="O3215" s="21"/>
    </row>
    <row r="3216" spans="15:15" x14ac:dyDescent="0.25">
      <c r="O3216" s="21"/>
    </row>
    <row r="3217" spans="15:15" x14ac:dyDescent="0.25">
      <c r="O3217" s="21"/>
    </row>
    <row r="3218" spans="15:15" x14ac:dyDescent="0.25">
      <c r="O3218" s="21"/>
    </row>
    <row r="3219" spans="15:15" x14ac:dyDescent="0.25">
      <c r="O3219" s="21"/>
    </row>
    <row r="3220" spans="15:15" x14ac:dyDescent="0.25">
      <c r="O3220" s="21"/>
    </row>
    <row r="3221" spans="15:15" x14ac:dyDescent="0.25">
      <c r="O3221" s="21"/>
    </row>
    <row r="3222" spans="15:15" x14ac:dyDescent="0.25">
      <c r="O3222" s="21"/>
    </row>
    <row r="3223" spans="15:15" x14ac:dyDescent="0.25">
      <c r="O3223" s="21"/>
    </row>
    <row r="3224" spans="15:15" x14ac:dyDescent="0.25">
      <c r="O3224" s="21"/>
    </row>
    <row r="3225" spans="15:15" x14ac:dyDescent="0.25">
      <c r="O3225" s="21"/>
    </row>
    <row r="3226" spans="15:15" x14ac:dyDescent="0.25">
      <c r="O3226" s="21"/>
    </row>
    <row r="3227" spans="15:15" x14ac:dyDescent="0.25">
      <c r="O3227" s="21"/>
    </row>
    <row r="3228" spans="15:15" x14ac:dyDescent="0.25">
      <c r="O3228" s="21"/>
    </row>
    <row r="3229" spans="15:15" x14ac:dyDescent="0.25">
      <c r="O3229" s="21"/>
    </row>
    <row r="3230" spans="15:15" x14ac:dyDescent="0.25">
      <c r="O3230" s="21"/>
    </row>
    <row r="3231" spans="15:15" x14ac:dyDescent="0.25">
      <c r="O3231" s="21"/>
    </row>
    <row r="3232" spans="15:15" x14ac:dyDescent="0.25">
      <c r="O3232" s="21"/>
    </row>
    <row r="3233" spans="15:15" x14ac:dyDescent="0.25">
      <c r="O3233" s="21"/>
    </row>
    <row r="3234" spans="15:15" x14ac:dyDescent="0.25">
      <c r="O3234" s="21"/>
    </row>
    <row r="3235" spans="15:15" x14ac:dyDescent="0.25">
      <c r="O3235" s="21"/>
    </row>
    <row r="3236" spans="15:15" x14ac:dyDescent="0.25">
      <c r="O3236" s="21"/>
    </row>
    <row r="3237" spans="15:15" x14ac:dyDescent="0.25">
      <c r="O3237" s="21"/>
    </row>
    <row r="3238" spans="15:15" x14ac:dyDescent="0.25">
      <c r="O3238" s="21"/>
    </row>
    <row r="3239" spans="15:15" x14ac:dyDescent="0.25">
      <c r="O3239" s="21"/>
    </row>
    <row r="3240" spans="15:15" x14ac:dyDescent="0.25">
      <c r="O3240" s="21"/>
    </row>
    <row r="3241" spans="15:15" x14ac:dyDescent="0.25">
      <c r="O3241" s="21"/>
    </row>
    <row r="3242" spans="15:15" x14ac:dyDescent="0.25">
      <c r="O3242" s="21"/>
    </row>
    <row r="3243" spans="15:15" x14ac:dyDescent="0.25">
      <c r="O3243" s="21"/>
    </row>
    <row r="3244" spans="15:15" x14ac:dyDescent="0.25">
      <c r="O3244" s="21"/>
    </row>
    <row r="3245" spans="15:15" x14ac:dyDescent="0.25">
      <c r="O3245" s="21"/>
    </row>
    <row r="3246" spans="15:15" x14ac:dyDescent="0.25">
      <c r="O3246" s="21"/>
    </row>
    <row r="3247" spans="15:15" x14ac:dyDescent="0.25">
      <c r="O3247" s="21"/>
    </row>
    <row r="3248" spans="15:15" x14ac:dyDescent="0.25">
      <c r="O3248" s="21"/>
    </row>
    <row r="3249" spans="15:15" x14ac:dyDescent="0.25">
      <c r="O3249" s="21"/>
    </row>
    <row r="3250" spans="15:15" x14ac:dyDescent="0.25">
      <c r="O3250" s="21"/>
    </row>
    <row r="3251" spans="15:15" x14ac:dyDescent="0.25">
      <c r="O3251" s="21"/>
    </row>
    <row r="3252" spans="15:15" x14ac:dyDescent="0.25">
      <c r="O3252" s="21"/>
    </row>
    <row r="3253" spans="15:15" x14ac:dyDescent="0.25">
      <c r="O3253" s="21"/>
    </row>
    <row r="3254" spans="15:15" x14ac:dyDescent="0.25">
      <c r="O3254" s="21"/>
    </row>
    <row r="3255" spans="15:15" x14ac:dyDescent="0.25">
      <c r="O3255" s="21"/>
    </row>
    <row r="3256" spans="15:15" x14ac:dyDescent="0.25">
      <c r="O3256" s="21"/>
    </row>
    <row r="3257" spans="15:15" x14ac:dyDescent="0.25">
      <c r="O3257" s="21"/>
    </row>
    <row r="3258" spans="15:15" x14ac:dyDescent="0.25">
      <c r="O3258" s="21"/>
    </row>
    <row r="3259" spans="15:15" x14ac:dyDescent="0.25">
      <c r="O3259" s="21"/>
    </row>
    <row r="3260" spans="15:15" x14ac:dyDescent="0.25">
      <c r="O3260" s="21"/>
    </row>
    <row r="3261" spans="15:15" x14ac:dyDescent="0.25">
      <c r="O3261" s="21"/>
    </row>
    <row r="3262" spans="15:15" x14ac:dyDescent="0.25">
      <c r="O3262" s="21"/>
    </row>
    <row r="3263" spans="15:15" x14ac:dyDescent="0.25">
      <c r="O3263" s="21"/>
    </row>
    <row r="3264" spans="15:15" x14ac:dyDescent="0.25">
      <c r="O3264" s="21"/>
    </row>
    <row r="3265" spans="15:15" x14ac:dyDescent="0.25">
      <c r="O3265" s="21"/>
    </row>
    <row r="3266" spans="15:15" x14ac:dyDescent="0.25">
      <c r="O3266" s="21"/>
    </row>
    <row r="3267" spans="15:15" x14ac:dyDescent="0.25">
      <c r="O3267" s="21"/>
    </row>
    <row r="3268" spans="15:15" x14ac:dyDescent="0.25">
      <c r="O3268" s="21"/>
    </row>
    <row r="3269" spans="15:15" x14ac:dyDescent="0.25">
      <c r="O3269" s="21"/>
    </row>
    <row r="3270" spans="15:15" x14ac:dyDescent="0.25">
      <c r="O3270" s="21"/>
    </row>
    <row r="3271" spans="15:15" x14ac:dyDescent="0.25">
      <c r="O3271" s="21"/>
    </row>
    <row r="3272" spans="15:15" x14ac:dyDescent="0.25">
      <c r="O3272" s="21"/>
    </row>
    <row r="3273" spans="15:15" x14ac:dyDescent="0.25">
      <c r="O3273" s="21"/>
    </row>
    <row r="3274" spans="15:15" x14ac:dyDescent="0.25">
      <c r="O3274" s="21"/>
    </row>
    <row r="3275" spans="15:15" x14ac:dyDescent="0.25">
      <c r="O3275" s="21"/>
    </row>
    <row r="3276" spans="15:15" x14ac:dyDescent="0.25">
      <c r="O3276" s="21"/>
    </row>
    <row r="3277" spans="15:15" x14ac:dyDescent="0.25">
      <c r="O3277" s="21"/>
    </row>
    <row r="3278" spans="15:15" x14ac:dyDescent="0.25">
      <c r="O3278" s="21"/>
    </row>
    <row r="3279" spans="15:15" x14ac:dyDescent="0.25">
      <c r="O3279" s="21"/>
    </row>
    <row r="3280" spans="15:15" x14ac:dyDescent="0.25">
      <c r="O3280" s="21"/>
    </row>
    <row r="3281" spans="15:15" x14ac:dyDescent="0.25">
      <c r="O3281" s="21"/>
    </row>
    <row r="3282" spans="15:15" x14ac:dyDescent="0.25">
      <c r="O3282" s="21"/>
    </row>
    <row r="3283" spans="15:15" x14ac:dyDescent="0.25">
      <c r="O3283" s="21"/>
    </row>
    <row r="3284" spans="15:15" x14ac:dyDescent="0.25">
      <c r="O3284" s="21"/>
    </row>
    <row r="3285" spans="15:15" x14ac:dyDescent="0.25">
      <c r="O3285" s="21"/>
    </row>
    <row r="3286" spans="15:15" x14ac:dyDescent="0.25">
      <c r="O3286" s="21"/>
    </row>
    <row r="3287" spans="15:15" x14ac:dyDescent="0.25">
      <c r="O3287" s="21"/>
    </row>
    <row r="3288" spans="15:15" x14ac:dyDescent="0.25">
      <c r="O3288" s="21"/>
    </row>
    <row r="3289" spans="15:15" x14ac:dyDescent="0.25">
      <c r="O3289" s="21"/>
    </row>
    <row r="3290" spans="15:15" x14ac:dyDescent="0.25">
      <c r="O3290" s="21"/>
    </row>
    <row r="3291" spans="15:15" x14ac:dyDescent="0.25">
      <c r="O3291" s="21"/>
    </row>
    <row r="3292" spans="15:15" x14ac:dyDescent="0.25">
      <c r="O3292" s="21"/>
    </row>
    <row r="3293" spans="15:15" x14ac:dyDescent="0.25">
      <c r="O3293" s="21"/>
    </row>
    <row r="3294" spans="15:15" x14ac:dyDescent="0.25">
      <c r="O3294" s="21"/>
    </row>
    <row r="3295" spans="15:15" x14ac:dyDescent="0.25">
      <c r="O3295" s="21"/>
    </row>
    <row r="3296" spans="15:15" x14ac:dyDescent="0.25">
      <c r="O3296" s="21"/>
    </row>
    <row r="3297" spans="15:15" x14ac:dyDescent="0.25">
      <c r="O3297" s="21"/>
    </row>
    <row r="3298" spans="15:15" x14ac:dyDescent="0.25">
      <c r="O3298" s="21"/>
    </row>
    <row r="3299" spans="15:15" x14ac:dyDescent="0.25">
      <c r="O3299" s="21"/>
    </row>
    <row r="3300" spans="15:15" x14ac:dyDescent="0.25">
      <c r="O3300" s="21"/>
    </row>
    <row r="3301" spans="15:15" x14ac:dyDescent="0.25">
      <c r="O3301" s="21"/>
    </row>
    <row r="3302" spans="15:15" x14ac:dyDescent="0.25">
      <c r="O3302" s="21"/>
    </row>
    <row r="3303" spans="15:15" x14ac:dyDescent="0.25">
      <c r="O3303" s="21"/>
    </row>
    <row r="3304" spans="15:15" x14ac:dyDescent="0.25">
      <c r="O3304" s="21"/>
    </row>
    <row r="3305" spans="15:15" x14ac:dyDescent="0.25">
      <c r="O3305" s="21"/>
    </row>
    <row r="3306" spans="15:15" x14ac:dyDescent="0.25">
      <c r="O3306" s="21"/>
    </row>
    <row r="3307" spans="15:15" x14ac:dyDescent="0.25">
      <c r="O3307" s="21"/>
    </row>
    <row r="3308" spans="15:15" x14ac:dyDescent="0.25">
      <c r="O3308" s="21"/>
    </row>
    <row r="3309" spans="15:15" x14ac:dyDescent="0.25">
      <c r="O3309" s="21"/>
    </row>
    <row r="3310" spans="15:15" x14ac:dyDescent="0.25">
      <c r="O3310" s="21"/>
    </row>
    <row r="3311" spans="15:15" x14ac:dyDescent="0.25">
      <c r="O3311" s="21"/>
    </row>
    <row r="3312" spans="15:15" x14ac:dyDescent="0.25">
      <c r="O3312" s="21"/>
    </row>
    <row r="3313" spans="15:15" x14ac:dyDescent="0.25">
      <c r="O3313" s="21"/>
    </row>
    <row r="3314" spans="15:15" x14ac:dyDescent="0.25">
      <c r="O3314" s="21"/>
    </row>
    <row r="3315" spans="15:15" x14ac:dyDescent="0.25">
      <c r="O3315" s="21"/>
    </row>
    <row r="3316" spans="15:15" x14ac:dyDescent="0.25">
      <c r="O3316" s="21"/>
    </row>
    <row r="3317" spans="15:15" x14ac:dyDescent="0.25">
      <c r="O3317" s="21"/>
    </row>
    <row r="3318" spans="15:15" x14ac:dyDescent="0.25">
      <c r="O3318" s="21"/>
    </row>
    <row r="3319" spans="15:15" x14ac:dyDescent="0.25">
      <c r="O3319" s="21"/>
    </row>
    <row r="3320" spans="15:15" x14ac:dyDescent="0.25">
      <c r="O3320" s="21"/>
    </row>
    <row r="3321" spans="15:15" x14ac:dyDescent="0.25">
      <c r="O3321" s="21"/>
    </row>
    <row r="3322" spans="15:15" x14ac:dyDescent="0.25">
      <c r="O3322" s="21"/>
    </row>
    <row r="3323" spans="15:15" x14ac:dyDescent="0.25">
      <c r="O3323" s="21"/>
    </row>
    <row r="3324" spans="15:15" x14ac:dyDescent="0.25">
      <c r="O3324" s="21"/>
    </row>
    <row r="3325" spans="15:15" x14ac:dyDescent="0.25">
      <c r="O3325" s="21"/>
    </row>
    <row r="3326" spans="15:15" x14ac:dyDescent="0.25">
      <c r="O3326" s="21"/>
    </row>
    <row r="3327" spans="15:15" x14ac:dyDescent="0.25">
      <c r="O3327" s="21"/>
    </row>
    <row r="3328" spans="15:15" x14ac:dyDescent="0.25">
      <c r="O3328" s="21"/>
    </row>
    <row r="3329" spans="15:15" x14ac:dyDescent="0.25">
      <c r="O3329" s="21"/>
    </row>
    <row r="3330" spans="15:15" x14ac:dyDescent="0.25">
      <c r="O3330" s="21"/>
    </row>
    <row r="3331" spans="15:15" x14ac:dyDescent="0.25">
      <c r="O3331" s="21"/>
    </row>
    <row r="3332" spans="15:15" x14ac:dyDescent="0.25">
      <c r="O3332" s="21"/>
    </row>
    <row r="3333" spans="15:15" x14ac:dyDescent="0.25">
      <c r="O3333" s="21"/>
    </row>
    <row r="3334" spans="15:15" x14ac:dyDescent="0.25">
      <c r="O3334" s="21"/>
    </row>
    <row r="3335" spans="15:15" x14ac:dyDescent="0.25">
      <c r="O3335" s="21"/>
    </row>
    <row r="3336" spans="15:15" x14ac:dyDescent="0.25">
      <c r="O3336" s="21"/>
    </row>
    <row r="3337" spans="15:15" x14ac:dyDescent="0.25">
      <c r="O3337" s="21"/>
    </row>
    <row r="3338" spans="15:15" x14ac:dyDescent="0.25">
      <c r="O3338" s="21"/>
    </row>
    <row r="3339" spans="15:15" x14ac:dyDescent="0.25">
      <c r="O3339" s="21"/>
    </row>
    <row r="3340" spans="15:15" x14ac:dyDescent="0.25">
      <c r="O3340" s="21"/>
    </row>
    <row r="3341" spans="15:15" x14ac:dyDescent="0.25">
      <c r="O3341" s="21"/>
    </row>
    <row r="3342" spans="15:15" x14ac:dyDescent="0.25">
      <c r="O3342" s="21"/>
    </row>
    <row r="3343" spans="15:15" x14ac:dyDescent="0.25">
      <c r="O3343" s="21"/>
    </row>
    <row r="3344" spans="15:15" x14ac:dyDescent="0.25">
      <c r="O3344" s="21"/>
    </row>
    <row r="3345" spans="15:15" x14ac:dyDescent="0.25">
      <c r="O3345" s="21"/>
    </row>
    <row r="3346" spans="15:15" x14ac:dyDescent="0.25">
      <c r="O3346" s="21"/>
    </row>
    <row r="3347" spans="15:15" x14ac:dyDescent="0.25">
      <c r="O3347" s="21"/>
    </row>
    <row r="3348" spans="15:15" x14ac:dyDescent="0.25">
      <c r="O3348" s="21"/>
    </row>
    <row r="3349" spans="15:15" x14ac:dyDescent="0.25">
      <c r="O3349" s="21"/>
    </row>
    <row r="3350" spans="15:15" x14ac:dyDescent="0.25">
      <c r="O3350" s="21"/>
    </row>
    <row r="3351" spans="15:15" x14ac:dyDescent="0.25">
      <c r="O3351" s="21"/>
    </row>
    <row r="3352" spans="15:15" x14ac:dyDescent="0.25">
      <c r="O3352" s="21"/>
    </row>
    <row r="3353" spans="15:15" x14ac:dyDescent="0.25">
      <c r="O3353" s="21"/>
    </row>
    <row r="3354" spans="15:15" x14ac:dyDescent="0.25">
      <c r="O3354" s="21"/>
    </row>
    <row r="3355" spans="15:15" x14ac:dyDescent="0.25">
      <c r="O3355" s="21"/>
    </row>
    <row r="3356" spans="15:15" x14ac:dyDescent="0.25">
      <c r="O3356" s="21"/>
    </row>
    <row r="3357" spans="15:15" x14ac:dyDescent="0.25">
      <c r="O3357" s="21"/>
    </row>
    <row r="3358" spans="15:15" x14ac:dyDescent="0.25">
      <c r="O3358" s="21"/>
    </row>
    <row r="3359" spans="15:15" x14ac:dyDescent="0.25">
      <c r="O3359" s="21"/>
    </row>
    <row r="3360" spans="15:15" x14ac:dyDescent="0.25">
      <c r="O3360" s="21"/>
    </row>
    <row r="3361" spans="15:15" x14ac:dyDescent="0.25">
      <c r="O3361" s="21"/>
    </row>
    <row r="3362" spans="15:15" x14ac:dyDescent="0.25">
      <c r="O3362" s="21"/>
    </row>
    <row r="3363" spans="15:15" x14ac:dyDescent="0.25">
      <c r="O3363" s="21"/>
    </row>
    <row r="3364" spans="15:15" x14ac:dyDescent="0.25">
      <c r="O3364" s="21"/>
    </row>
    <row r="3365" spans="15:15" x14ac:dyDescent="0.25">
      <c r="O3365" s="21"/>
    </row>
    <row r="3366" spans="15:15" x14ac:dyDescent="0.25">
      <c r="O3366" s="21"/>
    </row>
    <row r="3367" spans="15:15" x14ac:dyDescent="0.25">
      <c r="O3367" s="21"/>
    </row>
    <row r="3368" spans="15:15" x14ac:dyDescent="0.25">
      <c r="O3368" s="21"/>
    </row>
    <row r="3369" spans="15:15" x14ac:dyDescent="0.25">
      <c r="O3369" s="21"/>
    </row>
    <row r="3370" spans="15:15" x14ac:dyDescent="0.25">
      <c r="O3370" s="21"/>
    </row>
    <row r="3371" spans="15:15" x14ac:dyDescent="0.25">
      <c r="O3371" s="21"/>
    </row>
    <row r="3372" spans="15:15" x14ac:dyDescent="0.25">
      <c r="O3372" s="21"/>
    </row>
    <row r="3373" spans="15:15" x14ac:dyDescent="0.25">
      <c r="O3373" s="21"/>
    </row>
    <row r="3374" spans="15:15" x14ac:dyDescent="0.25">
      <c r="O3374" s="21"/>
    </row>
    <row r="3375" spans="15:15" x14ac:dyDescent="0.25">
      <c r="O3375" s="21"/>
    </row>
    <row r="3376" spans="15:15" x14ac:dyDescent="0.25">
      <c r="O3376" s="21"/>
    </row>
    <row r="3377" spans="15:15" x14ac:dyDescent="0.25">
      <c r="O3377" s="21"/>
    </row>
    <row r="3378" spans="15:15" x14ac:dyDescent="0.25">
      <c r="O3378" s="21"/>
    </row>
    <row r="3379" spans="15:15" x14ac:dyDescent="0.25">
      <c r="O3379" s="21"/>
    </row>
    <row r="3380" spans="15:15" x14ac:dyDescent="0.25">
      <c r="O3380" s="21"/>
    </row>
    <row r="3381" spans="15:15" x14ac:dyDescent="0.25">
      <c r="O3381" s="21"/>
    </row>
    <row r="3382" spans="15:15" x14ac:dyDescent="0.25">
      <c r="O3382" s="21"/>
    </row>
    <row r="3383" spans="15:15" x14ac:dyDescent="0.25">
      <c r="O3383" s="21"/>
    </row>
    <row r="3384" spans="15:15" x14ac:dyDescent="0.25">
      <c r="O3384" s="21"/>
    </row>
    <row r="3385" spans="15:15" x14ac:dyDescent="0.25">
      <c r="O3385" s="21"/>
    </row>
    <row r="3386" spans="15:15" x14ac:dyDescent="0.25">
      <c r="O3386" s="21"/>
    </row>
    <row r="3387" spans="15:15" x14ac:dyDescent="0.25">
      <c r="O3387" s="21"/>
    </row>
    <row r="3388" spans="15:15" x14ac:dyDescent="0.25">
      <c r="O3388" s="21"/>
    </row>
    <row r="3389" spans="15:15" x14ac:dyDescent="0.25">
      <c r="O3389" s="21"/>
    </row>
    <row r="3390" spans="15:15" x14ac:dyDescent="0.25">
      <c r="O3390" s="21"/>
    </row>
    <row r="3391" spans="15:15" x14ac:dyDescent="0.25">
      <c r="O3391" s="21"/>
    </row>
    <row r="3392" spans="15:15" x14ac:dyDescent="0.25">
      <c r="O3392" s="21"/>
    </row>
    <row r="3393" spans="15:15" x14ac:dyDescent="0.25">
      <c r="O3393" s="21"/>
    </row>
    <row r="3394" spans="15:15" x14ac:dyDescent="0.25">
      <c r="O3394" s="21"/>
    </row>
    <row r="3395" spans="15:15" x14ac:dyDescent="0.25">
      <c r="O3395" s="21"/>
    </row>
    <row r="3396" spans="15:15" x14ac:dyDescent="0.25">
      <c r="O3396" s="21"/>
    </row>
    <row r="3397" spans="15:15" x14ac:dyDescent="0.25">
      <c r="O3397" s="21"/>
    </row>
    <row r="3398" spans="15:15" x14ac:dyDescent="0.25">
      <c r="O3398" s="21"/>
    </row>
    <row r="3399" spans="15:15" x14ac:dyDescent="0.25">
      <c r="O3399" s="21"/>
    </row>
    <row r="3400" spans="15:15" x14ac:dyDescent="0.25">
      <c r="O3400" s="21"/>
    </row>
    <row r="3401" spans="15:15" x14ac:dyDescent="0.25">
      <c r="O3401" s="21"/>
    </row>
    <row r="3402" spans="15:15" x14ac:dyDescent="0.25">
      <c r="O3402" s="21"/>
    </row>
    <row r="3403" spans="15:15" x14ac:dyDescent="0.25">
      <c r="O3403" s="21"/>
    </row>
    <row r="3404" spans="15:15" x14ac:dyDescent="0.25">
      <c r="O3404" s="21"/>
    </row>
    <row r="3405" spans="15:15" x14ac:dyDescent="0.25">
      <c r="O3405" s="21"/>
    </row>
    <row r="3406" spans="15:15" x14ac:dyDescent="0.25">
      <c r="O3406" s="21"/>
    </row>
    <row r="3407" spans="15:15" x14ac:dyDescent="0.25">
      <c r="O3407" s="21"/>
    </row>
    <row r="3408" spans="15:15" x14ac:dyDescent="0.25">
      <c r="O3408" s="21"/>
    </row>
    <row r="3409" spans="15:15" x14ac:dyDescent="0.25">
      <c r="O3409" s="21"/>
    </row>
    <row r="3410" spans="15:15" x14ac:dyDescent="0.25">
      <c r="O3410" s="21"/>
    </row>
    <row r="3411" spans="15:15" x14ac:dyDescent="0.25">
      <c r="O3411" s="21"/>
    </row>
    <row r="3412" spans="15:15" x14ac:dyDescent="0.25">
      <c r="O3412" s="21"/>
    </row>
    <row r="3413" spans="15:15" x14ac:dyDescent="0.25">
      <c r="O3413" s="21"/>
    </row>
    <row r="3414" spans="15:15" x14ac:dyDescent="0.25">
      <c r="O3414" s="21"/>
    </row>
    <row r="3415" spans="15:15" x14ac:dyDescent="0.25">
      <c r="O3415" s="21"/>
    </row>
    <row r="3416" spans="15:15" x14ac:dyDescent="0.25">
      <c r="O3416" s="21"/>
    </row>
    <row r="3417" spans="15:15" x14ac:dyDescent="0.25">
      <c r="O3417" s="21"/>
    </row>
    <row r="3418" spans="15:15" x14ac:dyDescent="0.25">
      <c r="O3418" s="21"/>
    </row>
    <row r="3419" spans="15:15" x14ac:dyDescent="0.25">
      <c r="O3419" s="21"/>
    </row>
    <row r="3420" spans="15:15" x14ac:dyDescent="0.25">
      <c r="O3420" s="21"/>
    </row>
    <row r="3421" spans="15:15" x14ac:dyDescent="0.25">
      <c r="O3421" s="21"/>
    </row>
    <row r="3422" spans="15:15" x14ac:dyDescent="0.25">
      <c r="O3422" s="21"/>
    </row>
    <row r="3423" spans="15:15" x14ac:dyDescent="0.25">
      <c r="O3423" s="21"/>
    </row>
    <row r="3424" spans="15:15" x14ac:dyDescent="0.25">
      <c r="O3424" s="21"/>
    </row>
    <row r="3425" spans="15:15" x14ac:dyDescent="0.25">
      <c r="O3425" s="21"/>
    </row>
    <row r="3426" spans="15:15" x14ac:dyDescent="0.25">
      <c r="O3426" s="21"/>
    </row>
    <row r="3427" spans="15:15" x14ac:dyDescent="0.25">
      <c r="O3427" s="21"/>
    </row>
    <row r="3428" spans="15:15" x14ac:dyDescent="0.25">
      <c r="O3428" s="21"/>
    </row>
    <row r="3429" spans="15:15" x14ac:dyDescent="0.25">
      <c r="O3429" s="21"/>
    </row>
    <row r="3430" spans="15:15" x14ac:dyDescent="0.25">
      <c r="O3430" s="21"/>
    </row>
    <row r="3431" spans="15:15" x14ac:dyDescent="0.25">
      <c r="O3431" s="21"/>
    </row>
    <row r="3432" spans="15:15" x14ac:dyDescent="0.25">
      <c r="O3432" s="21"/>
    </row>
    <row r="3433" spans="15:15" x14ac:dyDescent="0.25">
      <c r="O3433" s="21"/>
    </row>
    <row r="3434" spans="15:15" x14ac:dyDescent="0.25">
      <c r="O3434" s="21"/>
    </row>
    <row r="3435" spans="15:15" x14ac:dyDescent="0.25">
      <c r="O3435" s="21"/>
    </row>
    <row r="3436" spans="15:15" x14ac:dyDescent="0.25">
      <c r="O3436" s="21"/>
    </row>
    <row r="3437" spans="15:15" x14ac:dyDescent="0.25">
      <c r="O3437" s="21"/>
    </row>
    <row r="3438" spans="15:15" x14ac:dyDescent="0.25">
      <c r="O3438" s="21"/>
    </row>
    <row r="3439" spans="15:15" x14ac:dyDescent="0.25">
      <c r="O3439" s="21"/>
    </row>
    <row r="3440" spans="15:15" x14ac:dyDescent="0.25">
      <c r="O3440" s="21"/>
    </row>
    <row r="3441" spans="15:15" x14ac:dyDescent="0.25">
      <c r="O3441" s="21"/>
    </row>
    <row r="3442" spans="15:15" x14ac:dyDescent="0.25">
      <c r="O3442" s="21"/>
    </row>
    <row r="3443" spans="15:15" x14ac:dyDescent="0.25">
      <c r="O3443" s="21"/>
    </row>
    <row r="3444" spans="15:15" x14ac:dyDescent="0.25">
      <c r="O3444" s="21"/>
    </row>
    <row r="3445" spans="15:15" x14ac:dyDescent="0.25">
      <c r="O3445" s="21"/>
    </row>
    <row r="3446" spans="15:15" x14ac:dyDescent="0.25">
      <c r="O3446" s="21"/>
    </row>
    <row r="3447" spans="15:15" x14ac:dyDescent="0.25">
      <c r="O3447" s="21"/>
    </row>
    <row r="3448" spans="15:15" x14ac:dyDescent="0.25">
      <c r="O3448" s="21"/>
    </row>
    <row r="3449" spans="15:15" x14ac:dyDescent="0.25">
      <c r="O3449" s="21"/>
    </row>
    <row r="3450" spans="15:15" x14ac:dyDescent="0.25">
      <c r="O3450" s="21"/>
    </row>
    <row r="3451" spans="15:15" x14ac:dyDescent="0.25">
      <c r="O3451" s="21"/>
    </row>
    <row r="3452" spans="15:15" x14ac:dyDescent="0.25">
      <c r="O3452" s="21"/>
    </row>
    <row r="3453" spans="15:15" x14ac:dyDescent="0.25">
      <c r="O3453" s="21"/>
    </row>
    <row r="3454" spans="15:15" x14ac:dyDescent="0.25">
      <c r="O3454" s="21"/>
    </row>
    <row r="3455" spans="15:15" x14ac:dyDescent="0.25">
      <c r="O3455" s="21"/>
    </row>
    <row r="3456" spans="15:15" x14ac:dyDescent="0.25">
      <c r="O3456" s="21"/>
    </row>
    <row r="3457" spans="15:15" x14ac:dyDescent="0.25">
      <c r="O3457" s="21"/>
    </row>
    <row r="3458" spans="15:15" x14ac:dyDescent="0.25">
      <c r="O3458" s="21"/>
    </row>
    <row r="3459" spans="15:15" x14ac:dyDescent="0.25">
      <c r="O3459" s="21"/>
    </row>
    <row r="3460" spans="15:15" x14ac:dyDescent="0.25">
      <c r="O3460" s="21"/>
    </row>
    <row r="3461" spans="15:15" x14ac:dyDescent="0.25">
      <c r="O3461" s="21"/>
    </row>
    <row r="3462" spans="15:15" x14ac:dyDescent="0.25">
      <c r="O3462" s="21"/>
    </row>
    <row r="3463" spans="15:15" x14ac:dyDescent="0.25">
      <c r="O3463" s="21"/>
    </row>
    <row r="3464" spans="15:15" x14ac:dyDescent="0.25">
      <c r="O3464" s="21"/>
    </row>
    <row r="3465" spans="15:15" x14ac:dyDescent="0.25">
      <c r="O3465" s="21"/>
    </row>
    <row r="3466" spans="15:15" x14ac:dyDescent="0.25">
      <c r="O3466" s="21"/>
    </row>
    <row r="3467" spans="15:15" x14ac:dyDescent="0.25">
      <c r="O3467" s="21"/>
    </row>
    <row r="3468" spans="15:15" x14ac:dyDescent="0.25">
      <c r="O3468" s="21"/>
    </row>
    <row r="3469" spans="15:15" x14ac:dyDescent="0.25">
      <c r="O3469" s="21"/>
    </row>
    <row r="3470" spans="15:15" x14ac:dyDescent="0.25">
      <c r="O3470" s="21"/>
    </row>
    <row r="3471" spans="15:15" x14ac:dyDescent="0.25">
      <c r="O3471" s="21"/>
    </row>
    <row r="3472" spans="15:15" x14ac:dyDescent="0.25">
      <c r="O3472" s="21"/>
    </row>
    <row r="3473" spans="15:15" x14ac:dyDescent="0.25">
      <c r="O3473" s="21"/>
    </row>
    <row r="3474" spans="15:15" x14ac:dyDescent="0.25">
      <c r="O3474" s="21"/>
    </row>
    <row r="3475" spans="15:15" x14ac:dyDescent="0.25">
      <c r="O3475" s="21"/>
    </row>
    <row r="3476" spans="15:15" x14ac:dyDescent="0.25">
      <c r="O3476" s="21"/>
    </row>
    <row r="3477" spans="15:15" x14ac:dyDescent="0.25">
      <c r="O3477" s="21"/>
    </row>
    <row r="3478" spans="15:15" x14ac:dyDescent="0.25">
      <c r="O3478" s="21"/>
    </row>
    <row r="3479" spans="15:15" x14ac:dyDescent="0.25">
      <c r="O3479" s="21"/>
    </row>
    <row r="3480" spans="15:15" x14ac:dyDescent="0.25">
      <c r="O3480" s="21"/>
    </row>
    <row r="3481" spans="15:15" x14ac:dyDescent="0.25">
      <c r="O3481" s="21"/>
    </row>
    <row r="3482" spans="15:15" x14ac:dyDescent="0.25">
      <c r="O3482" s="21"/>
    </row>
    <row r="3483" spans="15:15" x14ac:dyDescent="0.25">
      <c r="O3483" s="21"/>
    </row>
    <row r="3484" spans="15:15" x14ac:dyDescent="0.25">
      <c r="O3484" s="21"/>
    </row>
    <row r="3485" spans="15:15" x14ac:dyDescent="0.25">
      <c r="O3485" s="21"/>
    </row>
    <row r="3486" spans="15:15" x14ac:dyDescent="0.25">
      <c r="O3486" s="21"/>
    </row>
    <row r="3487" spans="15:15" x14ac:dyDescent="0.25">
      <c r="O3487" s="21"/>
    </row>
    <row r="3488" spans="15:15" x14ac:dyDescent="0.25">
      <c r="O3488" s="21"/>
    </row>
    <row r="3489" spans="15:15" x14ac:dyDescent="0.25">
      <c r="O3489" s="21"/>
    </row>
    <row r="3490" spans="15:15" x14ac:dyDescent="0.25">
      <c r="O3490" s="21"/>
    </row>
    <row r="3491" spans="15:15" x14ac:dyDescent="0.25">
      <c r="O3491" s="21"/>
    </row>
    <row r="3492" spans="15:15" x14ac:dyDescent="0.25">
      <c r="O3492" s="21"/>
    </row>
    <row r="3493" spans="15:15" x14ac:dyDescent="0.25">
      <c r="O3493" s="21"/>
    </row>
    <row r="3494" spans="15:15" x14ac:dyDescent="0.25">
      <c r="O3494" s="21"/>
    </row>
    <row r="3495" spans="15:15" x14ac:dyDescent="0.25">
      <c r="O3495" s="21"/>
    </row>
    <row r="3496" spans="15:15" x14ac:dyDescent="0.25">
      <c r="O3496" s="21"/>
    </row>
    <row r="3497" spans="15:15" x14ac:dyDescent="0.25">
      <c r="O3497" s="21"/>
    </row>
    <row r="3498" spans="15:15" x14ac:dyDescent="0.25">
      <c r="O3498" s="21"/>
    </row>
    <row r="3499" spans="15:15" x14ac:dyDescent="0.25">
      <c r="O3499" s="21"/>
    </row>
    <row r="3500" spans="15:15" x14ac:dyDescent="0.25">
      <c r="O3500" s="21"/>
    </row>
    <row r="3501" spans="15:15" x14ac:dyDescent="0.25">
      <c r="O3501" s="21"/>
    </row>
    <row r="3502" spans="15:15" x14ac:dyDescent="0.25">
      <c r="O3502" s="21"/>
    </row>
    <row r="3503" spans="15:15" x14ac:dyDescent="0.25">
      <c r="O3503" s="21"/>
    </row>
    <row r="3504" spans="15:15" x14ac:dyDescent="0.25">
      <c r="O3504" s="21"/>
    </row>
    <row r="3505" spans="15:15" x14ac:dyDescent="0.25">
      <c r="O3505" s="21"/>
    </row>
    <row r="3506" spans="15:15" x14ac:dyDescent="0.25">
      <c r="O3506" s="21"/>
    </row>
    <row r="3507" spans="15:15" x14ac:dyDescent="0.25">
      <c r="O3507" s="21"/>
    </row>
    <row r="3508" spans="15:15" x14ac:dyDescent="0.25">
      <c r="O3508" s="21"/>
    </row>
    <row r="3509" spans="15:15" x14ac:dyDescent="0.25">
      <c r="O3509" s="21"/>
    </row>
    <row r="3510" spans="15:15" x14ac:dyDescent="0.25">
      <c r="O3510" s="21"/>
    </row>
    <row r="3511" spans="15:15" x14ac:dyDescent="0.25">
      <c r="O3511" s="21"/>
    </row>
    <row r="3512" spans="15:15" x14ac:dyDescent="0.25">
      <c r="O3512" s="21"/>
    </row>
    <row r="3513" spans="15:15" x14ac:dyDescent="0.25">
      <c r="O3513" s="21"/>
    </row>
    <row r="3514" spans="15:15" x14ac:dyDescent="0.25">
      <c r="O3514" s="21"/>
    </row>
    <row r="3515" spans="15:15" x14ac:dyDescent="0.25">
      <c r="O3515" s="21"/>
    </row>
    <row r="3516" spans="15:15" x14ac:dyDescent="0.25">
      <c r="O3516" s="21"/>
    </row>
    <row r="3517" spans="15:15" x14ac:dyDescent="0.25">
      <c r="O3517" s="21"/>
    </row>
    <row r="3518" spans="15:15" x14ac:dyDescent="0.25">
      <c r="O3518" s="21"/>
    </row>
    <row r="3519" spans="15:15" x14ac:dyDescent="0.25">
      <c r="O3519" s="21"/>
    </row>
    <row r="3520" spans="15:15" x14ac:dyDescent="0.25">
      <c r="O3520" s="21"/>
    </row>
    <row r="3521" spans="15:15" x14ac:dyDescent="0.25">
      <c r="O3521" s="21"/>
    </row>
    <row r="3522" spans="15:15" x14ac:dyDescent="0.25">
      <c r="O3522" s="21"/>
    </row>
    <row r="3523" spans="15:15" x14ac:dyDescent="0.25">
      <c r="O3523" s="21"/>
    </row>
    <row r="3524" spans="15:15" x14ac:dyDescent="0.25">
      <c r="O3524" s="21"/>
    </row>
    <row r="3525" spans="15:15" x14ac:dyDescent="0.25">
      <c r="O3525" s="21"/>
    </row>
    <row r="3526" spans="15:15" x14ac:dyDescent="0.25">
      <c r="O3526" s="21"/>
    </row>
    <row r="3527" spans="15:15" x14ac:dyDescent="0.25">
      <c r="O3527" s="21"/>
    </row>
    <row r="3528" spans="15:15" x14ac:dyDescent="0.25">
      <c r="O3528" s="21"/>
    </row>
    <row r="3529" spans="15:15" x14ac:dyDescent="0.25">
      <c r="O3529" s="21"/>
    </row>
    <row r="3530" spans="15:15" x14ac:dyDescent="0.25">
      <c r="O3530" s="21"/>
    </row>
    <row r="3531" spans="15:15" x14ac:dyDescent="0.25">
      <c r="O3531" s="21"/>
    </row>
    <row r="3532" spans="15:15" x14ac:dyDescent="0.25">
      <c r="O3532" s="21"/>
    </row>
    <row r="3533" spans="15:15" x14ac:dyDescent="0.25">
      <c r="O3533" s="21"/>
    </row>
    <row r="3534" spans="15:15" x14ac:dyDescent="0.25">
      <c r="O3534" s="21"/>
    </row>
    <row r="3535" spans="15:15" x14ac:dyDescent="0.25">
      <c r="O3535" s="21"/>
    </row>
    <row r="3536" spans="15:15" x14ac:dyDescent="0.25">
      <c r="O3536" s="21"/>
    </row>
    <row r="3537" spans="15:15" x14ac:dyDescent="0.25">
      <c r="O3537" s="21"/>
    </row>
    <row r="3538" spans="15:15" x14ac:dyDescent="0.25">
      <c r="O3538" s="21"/>
    </row>
    <row r="3539" spans="15:15" x14ac:dyDescent="0.25">
      <c r="O3539" s="21"/>
    </row>
    <row r="3540" spans="15:15" x14ac:dyDescent="0.25">
      <c r="O3540" s="21"/>
    </row>
    <row r="3541" spans="15:15" x14ac:dyDescent="0.25">
      <c r="O3541" s="21"/>
    </row>
    <row r="3542" spans="15:15" x14ac:dyDescent="0.25">
      <c r="O3542" s="21"/>
    </row>
    <row r="3543" spans="15:15" x14ac:dyDescent="0.25">
      <c r="O3543" s="21"/>
    </row>
    <row r="3544" spans="15:15" x14ac:dyDescent="0.25">
      <c r="O3544" s="21"/>
    </row>
    <row r="3545" spans="15:15" x14ac:dyDescent="0.25">
      <c r="O3545" s="21"/>
    </row>
    <row r="3546" spans="15:15" x14ac:dyDescent="0.25">
      <c r="O3546" s="21"/>
    </row>
    <row r="3547" spans="15:15" x14ac:dyDescent="0.25">
      <c r="O3547" s="21"/>
    </row>
    <row r="3548" spans="15:15" x14ac:dyDescent="0.25">
      <c r="O3548" s="21"/>
    </row>
    <row r="3549" spans="15:15" x14ac:dyDescent="0.25">
      <c r="O3549" s="21"/>
    </row>
    <row r="3550" spans="15:15" x14ac:dyDescent="0.25">
      <c r="O3550" s="21"/>
    </row>
    <row r="3551" spans="15:15" x14ac:dyDescent="0.25">
      <c r="O3551" s="21"/>
    </row>
    <row r="3552" spans="15:15" x14ac:dyDescent="0.25">
      <c r="O3552" s="21"/>
    </row>
    <row r="3553" spans="15:15" x14ac:dyDescent="0.25">
      <c r="O3553" s="21"/>
    </row>
    <row r="3554" spans="15:15" x14ac:dyDescent="0.25">
      <c r="O3554" s="21"/>
    </row>
    <row r="3555" spans="15:15" x14ac:dyDescent="0.25">
      <c r="O3555" s="21"/>
    </row>
    <row r="3556" spans="15:15" x14ac:dyDescent="0.25">
      <c r="O3556" s="21"/>
    </row>
    <row r="3557" spans="15:15" x14ac:dyDescent="0.25">
      <c r="O3557" s="21"/>
    </row>
    <row r="3558" spans="15:15" x14ac:dyDescent="0.25">
      <c r="O3558" s="21"/>
    </row>
    <row r="3559" spans="15:15" x14ac:dyDescent="0.25">
      <c r="O3559" s="21"/>
    </row>
    <row r="3560" spans="15:15" x14ac:dyDescent="0.25">
      <c r="O3560" s="21"/>
    </row>
    <row r="3561" spans="15:15" x14ac:dyDescent="0.25">
      <c r="O3561" s="21"/>
    </row>
    <row r="3562" spans="15:15" x14ac:dyDescent="0.25">
      <c r="O3562" s="21"/>
    </row>
    <row r="3563" spans="15:15" x14ac:dyDescent="0.25">
      <c r="O3563" s="21"/>
    </row>
    <row r="3564" spans="15:15" x14ac:dyDescent="0.25">
      <c r="O3564" s="21"/>
    </row>
    <row r="3565" spans="15:15" x14ac:dyDescent="0.25">
      <c r="O3565" s="21"/>
    </row>
    <row r="3566" spans="15:15" x14ac:dyDescent="0.25">
      <c r="O3566" s="21"/>
    </row>
    <row r="3567" spans="15:15" x14ac:dyDescent="0.25">
      <c r="O3567" s="21"/>
    </row>
    <row r="3568" spans="15:15" x14ac:dyDescent="0.25">
      <c r="O3568" s="21"/>
    </row>
    <row r="3569" spans="15:15" x14ac:dyDescent="0.25">
      <c r="O3569" s="21"/>
    </row>
    <row r="3570" spans="15:15" x14ac:dyDescent="0.25">
      <c r="O3570" s="21"/>
    </row>
    <row r="3571" spans="15:15" x14ac:dyDescent="0.25">
      <c r="O3571" s="21"/>
    </row>
    <row r="3572" spans="15:15" x14ac:dyDescent="0.25">
      <c r="O3572" s="21"/>
    </row>
    <row r="3573" spans="15:15" x14ac:dyDescent="0.25">
      <c r="O3573" s="21"/>
    </row>
    <row r="3574" spans="15:15" x14ac:dyDescent="0.25">
      <c r="O3574" s="21"/>
    </row>
    <row r="3575" spans="15:15" x14ac:dyDescent="0.25">
      <c r="O3575" s="21"/>
    </row>
    <row r="3576" spans="15:15" x14ac:dyDescent="0.25">
      <c r="O3576" s="21"/>
    </row>
    <row r="3577" spans="15:15" x14ac:dyDescent="0.25">
      <c r="O3577" s="21"/>
    </row>
    <row r="3578" spans="15:15" x14ac:dyDescent="0.25">
      <c r="O3578" s="21"/>
    </row>
    <row r="3579" spans="15:15" x14ac:dyDescent="0.25">
      <c r="O3579" s="21"/>
    </row>
    <row r="3580" spans="15:15" x14ac:dyDescent="0.25">
      <c r="O3580" s="21"/>
    </row>
    <row r="3581" spans="15:15" x14ac:dyDescent="0.25">
      <c r="O3581" s="21"/>
    </row>
    <row r="3582" spans="15:15" x14ac:dyDescent="0.25">
      <c r="O3582" s="21"/>
    </row>
    <row r="3583" spans="15:15" x14ac:dyDescent="0.25">
      <c r="O3583" s="21"/>
    </row>
    <row r="3584" spans="15:15" x14ac:dyDescent="0.25">
      <c r="O3584" s="21"/>
    </row>
    <row r="3585" spans="15:15" x14ac:dyDescent="0.25">
      <c r="O3585" s="21"/>
    </row>
    <row r="3586" spans="15:15" x14ac:dyDescent="0.25">
      <c r="O3586" s="21"/>
    </row>
    <row r="3587" spans="15:15" x14ac:dyDescent="0.25">
      <c r="O3587" s="21"/>
    </row>
    <row r="3588" spans="15:15" x14ac:dyDescent="0.25">
      <c r="O3588" s="21"/>
    </row>
    <row r="3589" spans="15:15" x14ac:dyDescent="0.25">
      <c r="O3589" s="21"/>
    </row>
    <row r="3590" spans="15:15" x14ac:dyDescent="0.25">
      <c r="O3590" s="21"/>
    </row>
    <row r="3591" spans="15:15" x14ac:dyDescent="0.25">
      <c r="O3591" s="21"/>
    </row>
    <row r="3592" spans="15:15" x14ac:dyDescent="0.25">
      <c r="O3592" s="21"/>
    </row>
    <row r="3593" spans="15:15" x14ac:dyDescent="0.25">
      <c r="O3593" s="21"/>
    </row>
    <row r="3594" spans="15:15" x14ac:dyDescent="0.25">
      <c r="O3594" s="21"/>
    </row>
    <row r="3595" spans="15:15" x14ac:dyDescent="0.25">
      <c r="O3595" s="21"/>
    </row>
    <row r="3596" spans="15:15" x14ac:dyDescent="0.25">
      <c r="O3596" s="21"/>
    </row>
    <row r="3597" spans="15:15" x14ac:dyDescent="0.25">
      <c r="O3597" s="21"/>
    </row>
    <row r="3598" spans="15:15" x14ac:dyDescent="0.25">
      <c r="O3598" s="21"/>
    </row>
    <row r="3599" spans="15:15" x14ac:dyDescent="0.25">
      <c r="O3599" s="21"/>
    </row>
    <row r="3600" spans="15:15" x14ac:dyDescent="0.25">
      <c r="O3600" s="21"/>
    </row>
    <row r="3601" spans="15:15" x14ac:dyDescent="0.25">
      <c r="O3601" s="21"/>
    </row>
    <row r="3602" spans="15:15" x14ac:dyDescent="0.25">
      <c r="O3602" s="21"/>
    </row>
    <row r="3603" spans="15:15" x14ac:dyDescent="0.25">
      <c r="O3603" s="21"/>
    </row>
    <row r="3604" spans="15:15" x14ac:dyDescent="0.25">
      <c r="O3604" s="21"/>
    </row>
    <row r="3605" spans="15:15" x14ac:dyDescent="0.25">
      <c r="O3605" s="21"/>
    </row>
    <row r="3606" spans="15:15" x14ac:dyDescent="0.25">
      <c r="O3606" s="21"/>
    </row>
    <row r="3607" spans="15:15" x14ac:dyDescent="0.25">
      <c r="O3607" s="21"/>
    </row>
    <row r="3608" spans="15:15" x14ac:dyDescent="0.25">
      <c r="O3608" s="21"/>
    </row>
    <row r="3609" spans="15:15" x14ac:dyDescent="0.25">
      <c r="O3609" s="21"/>
    </row>
    <row r="3610" spans="15:15" x14ac:dyDescent="0.25">
      <c r="O3610" s="21"/>
    </row>
    <row r="3611" spans="15:15" x14ac:dyDescent="0.25">
      <c r="O3611" s="21"/>
    </row>
    <row r="3612" spans="15:15" x14ac:dyDescent="0.25">
      <c r="O3612" s="21"/>
    </row>
    <row r="3613" spans="15:15" x14ac:dyDescent="0.25">
      <c r="O3613" s="21"/>
    </row>
    <row r="3614" spans="15:15" x14ac:dyDescent="0.25">
      <c r="O3614" s="21"/>
    </row>
    <row r="3615" spans="15:15" x14ac:dyDescent="0.25">
      <c r="O3615" s="21"/>
    </row>
    <row r="3616" spans="15:15" x14ac:dyDescent="0.25">
      <c r="O3616" s="21"/>
    </row>
    <row r="3617" spans="15:15" x14ac:dyDescent="0.25">
      <c r="O3617" s="21"/>
    </row>
    <row r="3618" spans="15:15" x14ac:dyDescent="0.25">
      <c r="O3618" s="21"/>
    </row>
    <row r="3619" spans="15:15" x14ac:dyDescent="0.25">
      <c r="O3619" s="21"/>
    </row>
    <row r="3620" spans="15:15" x14ac:dyDescent="0.25">
      <c r="O3620" s="21"/>
    </row>
    <row r="3621" spans="15:15" x14ac:dyDescent="0.25">
      <c r="O3621" s="21"/>
    </row>
    <row r="3622" spans="15:15" x14ac:dyDescent="0.25">
      <c r="O3622" s="21"/>
    </row>
    <row r="3623" spans="15:15" x14ac:dyDescent="0.25">
      <c r="O3623" s="21"/>
    </row>
    <row r="3624" spans="15:15" x14ac:dyDescent="0.25">
      <c r="O3624" s="21"/>
    </row>
    <row r="3625" spans="15:15" x14ac:dyDescent="0.25">
      <c r="O3625" s="21"/>
    </row>
    <row r="3626" spans="15:15" x14ac:dyDescent="0.25">
      <c r="O3626" s="21"/>
    </row>
    <row r="3627" spans="15:15" x14ac:dyDescent="0.25">
      <c r="O3627" s="21"/>
    </row>
    <row r="3628" spans="15:15" x14ac:dyDescent="0.25">
      <c r="O3628" s="21"/>
    </row>
    <row r="3629" spans="15:15" x14ac:dyDescent="0.25">
      <c r="O3629" s="21"/>
    </row>
    <row r="3630" spans="15:15" x14ac:dyDescent="0.25">
      <c r="O3630" s="21"/>
    </row>
    <row r="3631" spans="15:15" x14ac:dyDescent="0.25">
      <c r="O3631" s="21"/>
    </row>
    <row r="3632" spans="15:15" x14ac:dyDescent="0.25">
      <c r="O3632" s="21"/>
    </row>
    <row r="3633" spans="15:15" x14ac:dyDescent="0.25">
      <c r="O3633" s="21"/>
    </row>
    <row r="3634" spans="15:15" x14ac:dyDescent="0.25">
      <c r="O3634" s="21"/>
    </row>
    <row r="3635" spans="15:15" x14ac:dyDescent="0.25">
      <c r="O3635" s="21"/>
    </row>
    <row r="3636" spans="15:15" x14ac:dyDescent="0.25">
      <c r="O3636" s="21"/>
    </row>
    <row r="3637" spans="15:15" x14ac:dyDescent="0.25">
      <c r="O3637" s="21"/>
    </row>
    <row r="3638" spans="15:15" x14ac:dyDescent="0.25">
      <c r="O3638" s="21"/>
    </row>
    <row r="3639" spans="15:15" x14ac:dyDescent="0.25">
      <c r="O3639" s="21"/>
    </row>
    <row r="3640" spans="15:15" x14ac:dyDescent="0.25">
      <c r="O3640" s="21"/>
    </row>
    <row r="3641" spans="15:15" x14ac:dyDescent="0.25">
      <c r="O3641" s="21"/>
    </row>
    <row r="3642" spans="15:15" x14ac:dyDescent="0.25">
      <c r="O3642" s="21"/>
    </row>
    <row r="3643" spans="15:15" x14ac:dyDescent="0.25">
      <c r="O3643" s="21"/>
    </row>
    <row r="3644" spans="15:15" x14ac:dyDescent="0.25">
      <c r="O3644" s="21"/>
    </row>
    <row r="3645" spans="15:15" x14ac:dyDescent="0.25">
      <c r="O3645" s="21"/>
    </row>
    <row r="3646" spans="15:15" x14ac:dyDescent="0.25">
      <c r="O3646" s="21"/>
    </row>
    <row r="3647" spans="15:15" x14ac:dyDescent="0.25">
      <c r="O3647" s="21"/>
    </row>
    <row r="3648" spans="15:15" x14ac:dyDescent="0.25">
      <c r="O3648" s="21"/>
    </row>
    <row r="3649" spans="15:15" x14ac:dyDescent="0.25">
      <c r="O3649" s="21"/>
    </row>
    <row r="3650" spans="15:15" x14ac:dyDescent="0.25">
      <c r="O3650" s="21"/>
    </row>
    <row r="3651" spans="15:15" x14ac:dyDescent="0.25">
      <c r="O3651" s="21"/>
    </row>
    <row r="3652" spans="15:15" x14ac:dyDescent="0.25">
      <c r="O3652" s="21"/>
    </row>
    <row r="3653" spans="15:15" x14ac:dyDescent="0.25">
      <c r="O3653" s="21"/>
    </row>
    <row r="3654" spans="15:15" x14ac:dyDescent="0.25">
      <c r="O3654" s="21"/>
    </row>
    <row r="3655" spans="15:15" x14ac:dyDescent="0.25">
      <c r="O3655" s="21"/>
    </row>
    <row r="3656" spans="15:15" x14ac:dyDescent="0.25">
      <c r="O3656" s="21"/>
    </row>
    <row r="3657" spans="15:15" x14ac:dyDescent="0.25">
      <c r="O3657" s="21"/>
    </row>
    <row r="3658" spans="15:15" x14ac:dyDescent="0.25">
      <c r="O3658" s="21"/>
    </row>
    <row r="3659" spans="15:15" x14ac:dyDescent="0.25">
      <c r="O3659" s="21"/>
    </row>
    <row r="3660" spans="15:15" x14ac:dyDescent="0.25">
      <c r="O3660" s="21"/>
    </row>
    <row r="3661" spans="15:15" x14ac:dyDescent="0.25">
      <c r="O3661" s="21"/>
    </row>
    <row r="3662" spans="15:15" x14ac:dyDescent="0.25">
      <c r="O3662" s="21"/>
    </row>
    <row r="3663" spans="15:15" x14ac:dyDescent="0.25">
      <c r="O3663" s="21"/>
    </row>
    <row r="3664" spans="15:15" x14ac:dyDescent="0.25">
      <c r="O3664" s="21"/>
    </row>
    <row r="3665" spans="15:15" x14ac:dyDescent="0.25">
      <c r="O3665" s="21"/>
    </row>
    <row r="3666" spans="15:15" x14ac:dyDescent="0.25">
      <c r="O3666" s="21"/>
    </row>
    <row r="3667" spans="15:15" x14ac:dyDescent="0.25">
      <c r="O3667" s="21"/>
    </row>
    <row r="3668" spans="15:15" x14ac:dyDescent="0.25">
      <c r="O3668" s="21"/>
    </row>
    <row r="3669" spans="15:15" x14ac:dyDescent="0.25">
      <c r="O3669" s="21"/>
    </row>
    <row r="3670" spans="15:15" x14ac:dyDescent="0.25">
      <c r="O3670" s="21"/>
    </row>
    <row r="3671" spans="15:15" x14ac:dyDescent="0.25">
      <c r="O3671" s="21"/>
    </row>
    <row r="3672" spans="15:15" x14ac:dyDescent="0.25">
      <c r="O3672" s="21"/>
    </row>
    <row r="3673" spans="15:15" x14ac:dyDescent="0.25">
      <c r="O3673" s="21"/>
    </row>
    <row r="3674" spans="15:15" x14ac:dyDescent="0.25">
      <c r="O3674" s="21"/>
    </row>
    <row r="3675" spans="15:15" x14ac:dyDescent="0.25">
      <c r="O3675" s="21"/>
    </row>
    <row r="3676" spans="15:15" x14ac:dyDescent="0.25">
      <c r="O3676" s="21"/>
    </row>
    <row r="3677" spans="15:15" x14ac:dyDescent="0.25">
      <c r="O3677" s="21"/>
    </row>
    <row r="3678" spans="15:15" x14ac:dyDescent="0.25">
      <c r="O3678" s="21"/>
    </row>
    <row r="3679" spans="15:15" x14ac:dyDescent="0.25">
      <c r="O3679" s="21"/>
    </row>
    <row r="3680" spans="15:15" x14ac:dyDescent="0.25">
      <c r="O3680" s="21"/>
    </row>
    <row r="3681" spans="15:15" x14ac:dyDescent="0.25">
      <c r="O3681" s="21"/>
    </row>
    <row r="3682" spans="15:15" x14ac:dyDescent="0.25">
      <c r="O3682" s="21"/>
    </row>
    <row r="3683" spans="15:15" x14ac:dyDescent="0.25">
      <c r="O3683" s="21"/>
    </row>
    <row r="3684" spans="15:15" x14ac:dyDescent="0.25">
      <c r="O3684" s="21"/>
    </row>
    <row r="3685" spans="15:15" x14ac:dyDescent="0.25">
      <c r="O3685" s="21"/>
    </row>
    <row r="3686" spans="15:15" x14ac:dyDescent="0.25">
      <c r="O3686" s="21"/>
    </row>
    <row r="3687" spans="15:15" x14ac:dyDescent="0.25">
      <c r="O3687" s="21"/>
    </row>
    <row r="3688" spans="15:15" x14ac:dyDescent="0.25">
      <c r="O3688" s="21"/>
    </row>
    <row r="3689" spans="15:15" x14ac:dyDescent="0.25">
      <c r="O3689" s="21"/>
    </row>
    <row r="3690" spans="15:15" x14ac:dyDescent="0.25">
      <c r="O3690" s="21"/>
    </row>
    <row r="3691" spans="15:15" x14ac:dyDescent="0.25">
      <c r="O3691" s="21"/>
    </row>
    <row r="3692" spans="15:15" x14ac:dyDescent="0.25">
      <c r="O3692" s="21"/>
    </row>
    <row r="3693" spans="15:15" x14ac:dyDescent="0.25">
      <c r="O3693" s="21"/>
    </row>
    <row r="3694" spans="15:15" x14ac:dyDescent="0.25">
      <c r="O3694" s="21"/>
    </row>
    <row r="3695" spans="15:15" x14ac:dyDescent="0.25">
      <c r="O3695" s="21"/>
    </row>
    <row r="3696" spans="15:15" x14ac:dyDescent="0.25">
      <c r="O3696" s="21"/>
    </row>
    <row r="3697" spans="15:15" x14ac:dyDescent="0.25">
      <c r="O3697" s="21"/>
    </row>
    <row r="3698" spans="15:15" x14ac:dyDescent="0.25">
      <c r="O3698" s="21"/>
    </row>
    <row r="3699" spans="15:15" x14ac:dyDescent="0.25">
      <c r="O3699" s="21"/>
    </row>
    <row r="3700" spans="15:15" x14ac:dyDescent="0.25">
      <c r="O3700" s="21"/>
    </row>
    <row r="3701" spans="15:15" x14ac:dyDescent="0.25">
      <c r="O3701" s="21"/>
    </row>
    <row r="3702" spans="15:15" x14ac:dyDescent="0.25">
      <c r="O3702" s="21"/>
    </row>
    <row r="3703" spans="15:15" x14ac:dyDescent="0.25">
      <c r="O3703" s="21"/>
    </row>
    <row r="3704" spans="15:15" x14ac:dyDescent="0.25">
      <c r="O3704" s="21"/>
    </row>
    <row r="3705" spans="15:15" x14ac:dyDescent="0.25">
      <c r="O3705" s="21"/>
    </row>
    <row r="3706" spans="15:15" x14ac:dyDescent="0.25">
      <c r="O3706" s="21"/>
    </row>
    <row r="3707" spans="15:15" x14ac:dyDescent="0.25">
      <c r="O3707" s="21"/>
    </row>
    <row r="3708" spans="15:15" x14ac:dyDescent="0.25">
      <c r="O3708" s="21"/>
    </row>
    <row r="3709" spans="15:15" x14ac:dyDescent="0.25">
      <c r="O3709" s="21"/>
    </row>
    <row r="3710" spans="15:15" x14ac:dyDescent="0.25">
      <c r="O3710" s="21"/>
    </row>
    <row r="3711" spans="15:15" x14ac:dyDescent="0.25">
      <c r="O3711" s="21"/>
    </row>
    <row r="3712" spans="15:15" x14ac:dyDescent="0.25">
      <c r="O3712" s="21"/>
    </row>
    <row r="3713" spans="15:15" x14ac:dyDescent="0.25">
      <c r="O3713" s="21"/>
    </row>
    <row r="3714" spans="15:15" x14ac:dyDescent="0.25">
      <c r="O3714" s="21"/>
    </row>
    <row r="3715" spans="15:15" x14ac:dyDescent="0.25">
      <c r="O3715" s="21"/>
    </row>
    <row r="3716" spans="15:15" x14ac:dyDescent="0.25">
      <c r="O3716" s="21"/>
    </row>
    <row r="3717" spans="15:15" x14ac:dyDescent="0.25">
      <c r="O3717" s="21"/>
    </row>
    <row r="3718" spans="15:15" x14ac:dyDescent="0.25">
      <c r="O3718" s="21"/>
    </row>
    <row r="3719" spans="15:15" x14ac:dyDescent="0.25">
      <c r="O3719" s="21"/>
    </row>
    <row r="3720" spans="15:15" x14ac:dyDescent="0.25">
      <c r="O3720" s="21"/>
    </row>
    <row r="3721" spans="15:15" x14ac:dyDescent="0.25">
      <c r="O3721" s="21"/>
    </row>
    <row r="3722" spans="15:15" x14ac:dyDescent="0.25">
      <c r="O3722" s="21"/>
    </row>
    <row r="3723" spans="15:15" x14ac:dyDescent="0.25">
      <c r="O3723" s="21"/>
    </row>
    <row r="3724" spans="15:15" x14ac:dyDescent="0.25">
      <c r="O3724" s="21"/>
    </row>
    <row r="3725" spans="15:15" x14ac:dyDescent="0.25">
      <c r="O3725" s="21"/>
    </row>
    <row r="3726" spans="15:15" x14ac:dyDescent="0.25">
      <c r="O3726" s="21"/>
    </row>
    <row r="3727" spans="15:15" x14ac:dyDescent="0.25">
      <c r="O3727" s="21"/>
    </row>
    <row r="3728" spans="15:15" x14ac:dyDescent="0.25">
      <c r="O3728" s="21"/>
    </row>
    <row r="3729" spans="15:15" x14ac:dyDescent="0.25">
      <c r="O3729" s="21"/>
    </row>
    <row r="3730" spans="15:15" x14ac:dyDescent="0.25">
      <c r="O3730" s="21"/>
    </row>
    <row r="3731" spans="15:15" x14ac:dyDescent="0.25">
      <c r="O3731" s="21"/>
    </row>
    <row r="3732" spans="15:15" x14ac:dyDescent="0.25">
      <c r="O3732" s="21"/>
    </row>
    <row r="3733" spans="15:15" x14ac:dyDescent="0.25">
      <c r="O3733" s="21"/>
    </row>
    <row r="3734" spans="15:15" x14ac:dyDescent="0.25">
      <c r="O3734" s="21"/>
    </row>
    <row r="3735" spans="15:15" x14ac:dyDescent="0.25">
      <c r="O3735" s="21"/>
    </row>
    <row r="3736" spans="15:15" x14ac:dyDescent="0.25">
      <c r="O3736" s="21"/>
    </row>
    <row r="3737" spans="15:15" x14ac:dyDescent="0.25">
      <c r="O3737" s="21"/>
    </row>
    <row r="3738" spans="15:15" x14ac:dyDescent="0.25">
      <c r="O3738" s="21"/>
    </row>
    <row r="3739" spans="15:15" x14ac:dyDescent="0.25">
      <c r="O3739" s="21"/>
    </row>
    <row r="3740" spans="15:15" x14ac:dyDescent="0.25">
      <c r="O3740" s="21"/>
    </row>
    <row r="3741" spans="15:15" x14ac:dyDescent="0.25">
      <c r="O3741" s="21"/>
    </row>
    <row r="3742" spans="15:15" x14ac:dyDescent="0.25">
      <c r="O3742" s="21"/>
    </row>
    <row r="3743" spans="15:15" x14ac:dyDescent="0.25">
      <c r="O3743" s="21"/>
    </row>
    <row r="3744" spans="15:15" x14ac:dyDescent="0.25">
      <c r="O3744" s="21"/>
    </row>
    <row r="3745" spans="15:15" x14ac:dyDescent="0.25">
      <c r="O3745" s="21"/>
    </row>
    <row r="3746" spans="15:15" x14ac:dyDescent="0.25">
      <c r="O3746" s="21"/>
    </row>
    <row r="3747" spans="15:15" x14ac:dyDescent="0.25">
      <c r="O3747" s="21"/>
    </row>
    <row r="3748" spans="15:15" x14ac:dyDescent="0.25">
      <c r="O3748" s="21"/>
    </row>
    <row r="3749" spans="15:15" x14ac:dyDescent="0.25">
      <c r="O3749" s="21"/>
    </row>
    <row r="3750" spans="15:15" x14ac:dyDescent="0.25">
      <c r="O3750" s="21"/>
    </row>
    <row r="3751" spans="15:15" x14ac:dyDescent="0.25">
      <c r="O3751" s="21"/>
    </row>
    <row r="3752" spans="15:15" x14ac:dyDescent="0.25">
      <c r="O3752" s="21"/>
    </row>
    <row r="3753" spans="15:15" x14ac:dyDescent="0.25">
      <c r="O3753" s="21"/>
    </row>
    <row r="3754" spans="15:15" x14ac:dyDescent="0.25">
      <c r="O3754" s="21"/>
    </row>
    <row r="3755" spans="15:15" x14ac:dyDescent="0.25">
      <c r="O3755" s="21"/>
    </row>
    <row r="3756" spans="15:15" x14ac:dyDescent="0.25">
      <c r="O3756" s="21"/>
    </row>
    <row r="3757" spans="15:15" x14ac:dyDescent="0.25">
      <c r="O3757" s="21"/>
    </row>
    <row r="3758" spans="15:15" x14ac:dyDescent="0.25">
      <c r="O3758" s="21"/>
    </row>
    <row r="3759" spans="15:15" x14ac:dyDescent="0.25">
      <c r="O3759" s="21"/>
    </row>
    <row r="3760" spans="15:15" x14ac:dyDescent="0.25">
      <c r="O3760" s="21"/>
    </row>
    <row r="3761" spans="15:15" x14ac:dyDescent="0.25">
      <c r="O3761" s="21"/>
    </row>
    <row r="3762" spans="15:15" x14ac:dyDescent="0.25">
      <c r="O3762" s="21"/>
    </row>
    <row r="3763" spans="15:15" x14ac:dyDescent="0.25">
      <c r="O3763" s="21"/>
    </row>
    <row r="3764" spans="15:15" x14ac:dyDescent="0.25">
      <c r="O3764" s="21"/>
    </row>
    <row r="3765" spans="15:15" x14ac:dyDescent="0.25">
      <c r="O3765" s="21"/>
    </row>
    <row r="3766" spans="15:15" x14ac:dyDescent="0.25">
      <c r="O3766" s="21"/>
    </row>
    <row r="3767" spans="15:15" x14ac:dyDescent="0.25">
      <c r="O3767" s="21"/>
    </row>
    <row r="3768" spans="15:15" x14ac:dyDescent="0.25">
      <c r="O3768" s="21"/>
    </row>
    <row r="3769" spans="15:15" x14ac:dyDescent="0.25">
      <c r="O3769" s="21"/>
    </row>
    <row r="3770" spans="15:15" x14ac:dyDescent="0.25">
      <c r="O3770" s="21"/>
    </row>
    <row r="3771" spans="15:15" x14ac:dyDescent="0.25">
      <c r="O3771" s="21"/>
    </row>
    <row r="3772" spans="15:15" x14ac:dyDescent="0.25">
      <c r="O3772" s="21"/>
    </row>
    <row r="3773" spans="15:15" x14ac:dyDescent="0.25">
      <c r="O3773" s="21"/>
    </row>
    <row r="3774" spans="15:15" x14ac:dyDescent="0.25">
      <c r="O3774" s="21"/>
    </row>
    <row r="3775" spans="15:15" x14ac:dyDescent="0.25">
      <c r="O3775" s="21"/>
    </row>
    <row r="3776" spans="15:15" x14ac:dyDescent="0.25">
      <c r="O3776" s="21"/>
    </row>
    <row r="3777" spans="15:15" x14ac:dyDescent="0.25">
      <c r="O3777" s="21"/>
    </row>
    <row r="3778" spans="15:15" x14ac:dyDescent="0.25">
      <c r="O3778" s="21"/>
    </row>
    <row r="3779" spans="15:15" x14ac:dyDescent="0.25">
      <c r="O3779" s="21"/>
    </row>
    <row r="3780" spans="15:15" x14ac:dyDescent="0.25">
      <c r="O3780" s="21"/>
    </row>
    <row r="3781" spans="15:15" x14ac:dyDescent="0.25">
      <c r="O3781" s="21"/>
    </row>
    <row r="3782" spans="15:15" x14ac:dyDescent="0.25">
      <c r="O3782" s="21"/>
    </row>
    <row r="3783" spans="15:15" x14ac:dyDescent="0.25">
      <c r="O3783" s="21"/>
    </row>
    <row r="3784" spans="15:15" x14ac:dyDescent="0.25">
      <c r="O3784" s="21"/>
    </row>
    <row r="3785" spans="15:15" x14ac:dyDescent="0.25">
      <c r="O3785" s="21"/>
    </row>
    <row r="3786" spans="15:15" x14ac:dyDescent="0.25">
      <c r="O3786" s="21"/>
    </row>
    <row r="3787" spans="15:15" x14ac:dyDescent="0.25">
      <c r="O3787" s="21"/>
    </row>
    <row r="3788" spans="15:15" x14ac:dyDescent="0.25">
      <c r="O3788" s="21"/>
    </row>
    <row r="3789" spans="15:15" x14ac:dyDescent="0.25">
      <c r="O3789" s="21"/>
    </row>
    <row r="3790" spans="15:15" x14ac:dyDescent="0.25">
      <c r="O3790" s="21"/>
    </row>
    <row r="3791" spans="15:15" x14ac:dyDescent="0.25">
      <c r="O3791" s="21"/>
    </row>
    <row r="3792" spans="15:15" x14ac:dyDescent="0.25">
      <c r="O3792" s="21"/>
    </row>
    <row r="3793" spans="15:15" x14ac:dyDescent="0.25">
      <c r="O3793" s="21"/>
    </row>
    <row r="3794" spans="15:15" x14ac:dyDescent="0.25">
      <c r="O3794" s="21"/>
    </row>
    <row r="3795" spans="15:15" x14ac:dyDescent="0.25">
      <c r="O3795" s="21"/>
    </row>
    <row r="3796" spans="15:15" x14ac:dyDescent="0.25">
      <c r="O3796" s="21"/>
    </row>
    <row r="3797" spans="15:15" x14ac:dyDescent="0.25">
      <c r="O3797" s="21"/>
    </row>
    <row r="3798" spans="15:15" x14ac:dyDescent="0.25">
      <c r="O3798" s="21"/>
    </row>
    <row r="3799" spans="15:15" x14ac:dyDescent="0.25">
      <c r="O3799" s="21"/>
    </row>
    <row r="3800" spans="15:15" x14ac:dyDescent="0.25">
      <c r="O3800" s="21"/>
    </row>
    <row r="3801" spans="15:15" x14ac:dyDescent="0.25">
      <c r="O3801" s="21"/>
    </row>
    <row r="3802" spans="15:15" x14ac:dyDescent="0.25">
      <c r="O3802" s="21"/>
    </row>
    <row r="3803" spans="15:15" x14ac:dyDescent="0.25">
      <c r="O3803" s="21"/>
    </row>
    <row r="3804" spans="15:15" x14ac:dyDescent="0.25">
      <c r="O3804" s="21"/>
    </row>
    <row r="3805" spans="15:15" x14ac:dyDescent="0.25">
      <c r="O3805" s="21"/>
    </row>
    <row r="3806" spans="15:15" x14ac:dyDescent="0.25">
      <c r="O3806" s="21"/>
    </row>
    <row r="3807" spans="15:15" x14ac:dyDescent="0.25">
      <c r="O3807" s="21"/>
    </row>
    <row r="3808" spans="15:15" x14ac:dyDescent="0.25">
      <c r="O3808" s="21"/>
    </row>
    <row r="3809" spans="15:15" x14ac:dyDescent="0.25">
      <c r="O3809" s="21"/>
    </row>
    <row r="3810" spans="15:15" x14ac:dyDescent="0.25">
      <c r="O3810" s="21"/>
    </row>
    <row r="3811" spans="15:15" x14ac:dyDescent="0.25">
      <c r="O3811" s="21"/>
    </row>
    <row r="3812" spans="15:15" x14ac:dyDescent="0.25">
      <c r="O3812" s="21"/>
    </row>
    <row r="3813" spans="15:15" x14ac:dyDescent="0.25">
      <c r="O3813" s="21"/>
    </row>
    <row r="3814" spans="15:15" x14ac:dyDescent="0.25">
      <c r="O3814" s="21"/>
    </row>
    <row r="3815" spans="15:15" x14ac:dyDescent="0.25">
      <c r="O3815" s="21"/>
    </row>
    <row r="3816" spans="15:15" x14ac:dyDescent="0.25">
      <c r="O3816" s="21"/>
    </row>
    <row r="3817" spans="15:15" x14ac:dyDescent="0.25">
      <c r="O3817" s="21"/>
    </row>
    <row r="3818" spans="15:15" x14ac:dyDescent="0.25">
      <c r="O3818" s="21"/>
    </row>
    <row r="3819" spans="15:15" x14ac:dyDescent="0.25">
      <c r="O3819" s="21"/>
    </row>
    <row r="3820" spans="15:15" x14ac:dyDescent="0.25">
      <c r="O3820" s="21"/>
    </row>
    <row r="3821" spans="15:15" x14ac:dyDescent="0.25">
      <c r="O3821" s="21"/>
    </row>
    <row r="3822" spans="15:15" x14ac:dyDescent="0.25">
      <c r="O3822" s="21"/>
    </row>
    <row r="3823" spans="15:15" x14ac:dyDescent="0.25">
      <c r="O3823" s="21"/>
    </row>
    <row r="3824" spans="15:15" x14ac:dyDescent="0.25">
      <c r="O3824" s="21"/>
    </row>
    <row r="3825" spans="15:15" x14ac:dyDescent="0.25">
      <c r="O3825" s="21"/>
    </row>
    <row r="3826" spans="15:15" x14ac:dyDescent="0.25">
      <c r="O3826" s="21"/>
    </row>
    <row r="3827" spans="15:15" x14ac:dyDescent="0.25">
      <c r="O3827" s="21"/>
    </row>
    <row r="3828" spans="15:15" x14ac:dyDescent="0.25">
      <c r="O3828" s="21"/>
    </row>
    <row r="3829" spans="15:15" x14ac:dyDescent="0.25">
      <c r="O3829" s="21"/>
    </row>
    <row r="3830" spans="15:15" x14ac:dyDescent="0.25">
      <c r="O3830" s="21"/>
    </row>
    <row r="3831" spans="15:15" x14ac:dyDescent="0.25">
      <c r="O3831" s="21"/>
    </row>
    <row r="3832" spans="15:15" x14ac:dyDescent="0.25">
      <c r="O3832" s="21"/>
    </row>
    <row r="3833" spans="15:15" x14ac:dyDescent="0.25">
      <c r="O3833" s="21"/>
    </row>
    <row r="3834" spans="15:15" x14ac:dyDescent="0.25">
      <c r="O3834" s="21"/>
    </row>
    <row r="3835" spans="15:15" x14ac:dyDescent="0.25">
      <c r="O3835" s="21"/>
    </row>
    <row r="3836" spans="15:15" x14ac:dyDescent="0.25">
      <c r="O3836" s="21"/>
    </row>
    <row r="3837" spans="15:15" x14ac:dyDescent="0.25">
      <c r="O3837" s="21"/>
    </row>
    <row r="3838" spans="15:15" x14ac:dyDescent="0.25">
      <c r="O3838" s="21"/>
    </row>
    <row r="3839" spans="15:15" x14ac:dyDescent="0.25">
      <c r="O3839" s="21"/>
    </row>
    <row r="3840" spans="15:15" x14ac:dyDescent="0.25">
      <c r="O3840" s="21"/>
    </row>
    <row r="3841" spans="15:15" x14ac:dyDescent="0.25">
      <c r="O3841" s="21"/>
    </row>
    <row r="3842" spans="15:15" x14ac:dyDescent="0.25">
      <c r="O3842" s="21"/>
    </row>
    <row r="3843" spans="15:15" x14ac:dyDescent="0.25">
      <c r="O3843" s="21"/>
    </row>
    <row r="3844" spans="15:15" x14ac:dyDescent="0.25">
      <c r="O3844" s="21"/>
    </row>
    <row r="3845" spans="15:15" x14ac:dyDescent="0.25">
      <c r="O3845" s="21"/>
    </row>
    <row r="3846" spans="15:15" x14ac:dyDescent="0.25">
      <c r="O3846" s="21"/>
    </row>
    <row r="3847" spans="15:15" x14ac:dyDescent="0.25">
      <c r="O3847" s="21"/>
    </row>
    <row r="3848" spans="15:15" x14ac:dyDescent="0.25">
      <c r="O3848" s="21"/>
    </row>
    <row r="3849" spans="15:15" x14ac:dyDescent="0.25">
      <c r="O3849" s="21"/>
    </row>
    <row r="3850" spans="15:15" x14ac:dyDescent="0.25">
      <c r="O3850" s="21"/>
    </row>
    <row r="3851" spans="15:15" x14ac:dyDescent="0.25">
      <c r="O3851" s="21"/>
    </row>
    <row r="3852" spans="15:15" x14ac:dyDescent="0.25">
      <c r="O3852" s="21"/>
    </row>
    <row r="3853" spans="15:15" x14ac:dyDescent="0.25">
      <c r="O3853" s="21"/>
    </row>
    <row r="3854" spans="15:15" x14ac:dyDescent="0.25">
      <c r="O3854" s="21"/>
    </row>
    <row r="3855" spans="15:15" x14ac:dyDescent="0.25">
      <c r="O3855" s="21"/>
    </row>
    <row r="3856" spans="15:15" x14ac:dyDescent="0.25">
      <c r="O3856" s="21"/>
    </row>
    <row r="3857" spans="15:15" x14ac:dyDescent="0.25">
      <c r="O3857" s="21"/>
    </row>
    <row r="3858" spans="15:15" x14ac:dyDescent="0.25">
      <c r="O3858" s="21"/>
    </row>
    <row r="3859" spans="15:15" x14ac:dyDescent="0.25">
      <c r="O3859" s="21"/>
    </row>
    <row r="3860" spans="15:15" x14ac:dyDescent="0.25">
      <c r="O3860" s="21"/>
    </row>
    <row r="3861" spans="15:15" x14ac:dyDescent="0.25">
      <c r="O3861" s="21"/>
    </row>
    <row r="3862" spans="15:15" x14ac:dyDescent="0.25">
      <c r="O3862" s="21"/>
    </row>
    <row r="3863" spans="15:15" x14ac:dyDescent="0.25">
      <c r="O3863" s="21"/>
    </row>
    <row r="3864" spans="15:15" x14ac:dyDescent="0.25">
      <c r="O3864" s="21"/>
    </row>
    <row r="3865" spans="15:15" x14ac:dyDescent="0.25">
      <c r="O3865" s="21"/>
    </row>
    <row r="3866" spans="15:15" x14ac:dyDescent="0.25">
      <c r="O3866" s="21"/>
    </row>
    <row r="3867" spans="15:15" x14ac:dyDescent="0.25">
      <c r="O3867" s="21"/>
    </row>
    <row r="3868" spans="15:15" x14ac:dyDescent="0.25">
      <c r="O3868" s="21"/>
    </row>
    <row r="3869" spans="15:15" x14ac:dyDescent="0.25">
      <c r="O3869" s="21"/>
    </row>
    <row r="3870" spans="15:15" x14ac:dyDescent="0.25">
      <c r="O3870" s="21"/>
    </row>
    <row r="3871" spans="15:15" x14ac:dyDescent="0.25">
      <c r="O3871" s="21"/>
    </row>
    <row r="3872" spans="15:15" x14ac:dyDescent="0.25">
      <c r="O3872" s="21"/>
    </row>
    <row r="3873" spans="15:15" x14ac:dyDescent="0.25">
      <c r="O3873" s="21"/>
    </row>
    <row r="3874" spans="15:15" x14ac:dyDescent="0.25">
      <c r="O3874" s="21"/>
    </row>
    <row r="3875" spans="15:15" x14ac:dyDescent="0.25">
      <c r="O3875" s="21"/>
    </row>
    <row r="3876" spans="15:15" x14ac:dyDescent="0.25">
      <c r="O3876" s="21"/>
    </row>
    <row r="3877" spans="15:15" x14ac:dyDescent="0.25">
      <c r="O3877" s="21"/>
    </row>
    <row r="3878" spans="15:15" x14ac:dyDescent="0.25">
      <c r="O3878" s="21"/>
    </row>
    <row r="3879" spans="15:15" x14ac:dyDescent="0.25">
      <c r="O3879" s="21"/>
    </row>
    <row r="3880" spans="15:15" x14ac:dyDescent="0.25">
      <c r="O3880" s="21"/>
    </row>
    <row r="3881" spans="15:15" x14ac:dyDescent="0.25">
      <c r="O3881" s="21"/>
    </row>
    <row r="3882" spans="15:15" x14ac:dyDescent="0.25">
      <c r="O3882" s="21"/>
    </row>
    <row r="3883" spans="15:15" x14ac:dyDescent="0.25">
      <c r="O3883" s="21"/>
    </row>
    <row r="3884" spans="15:15" x14ac:dyDescent="0.25">
      <c r="O3884" s="21"/>
    </row>
    <row r="3885" spans="15:15" x14ac:dyDescent="0.25">
      <c r="O3885" s="21"/>
    </row>
    <row r="3886" spans="15:15" x14ac:dyDescent="0.25">
      <c r="O3886" s="21"/>
    </row>
    <row r="3887" spans="15:15" x14ac:dyDescent="0.25">
      <c r="O3887" s="21"/>
    </row>
    <row r="3888" spans="15:15" x14ac:dyDescent="0.25">
      <c r="O3888" s="21"/>
    </row>
    <row r="3889" spans="15:15" x14ac:dyDescent="0.25">
      <c r="O3889" s="21"/>
    </row>
    <row r="3890" spans="15:15" x14ac:dyDescent="0.25">
      <c r="O3890" s="21"/>
    </row>
    <row r="3891" spans="15:15" x14ac:dyDescent="0.25">
      <c r="O3891" s="21"/>
    </row>
    <row r="3892" spans="15:15" x14ac:dyDescent="0.25">
      <c r="O3892" s="21"/>
    </row>
    <row r="3893" spans="15:15" x14ac:dyDescent="0.25">
      <c r="O3893" s="21"/>
    </row>
    <row r="3894" spans="15:15" x14ac:dyDescent="0.25">
      <c r="O3894" s="21"/>
    </row>
    <row r="3895" spans="15:15" x14ac:dyDescent="0.25">
      <c r="O3895" s="21"/>
    </row>
    <row r="3896" spans="15:15" x14ac:dyDescent="0.25">
      <c r="O3896" s="21"/>
    </row>
    <row r="3897" spans="15:15" x14ac:dyDescent="0.25">
      <c r="O3897" s="21"/>
    </row>
    <row r="3898" spans="15:15" x14ac:dyDescent="0.25">
      <c r="O3898" s="21"/>
    </row>
    <row r="3899" spans="15:15" x14ac:dyDescent="0.25">
      <c r="O3899" s="21"/>
    </row>
    <row r="3900" spans="15:15" x14ac:dyDescent="0.25">
      <c r="O3900" s="21"/>
    </row>
    <row r="3901" spans="15:15" x14ac:dyDescent="0.25">
      <c r="O3901" s="21"/>
    </row>
    <row r="3902" spans="15:15" x14ac:dyDescent="0.25">
      <c r="O3902" s="21"/>
    </row>
    <row r="3903" spans="15:15" x14ac:dyDescent="0.25">
      <c r="O3903" s="21"/>
    </row>
    <row r="3904" spans="15:15" x14ac:dyDescent="0.25">
      <c r="O3904" s="21"/>
    </row>
    <row r="3905" spans="15:15" x14ac:dyDescent="0.25">
      <c r="O3905" s="21"/>
    </row>
    <row r="3906" spans="15:15" x14ac:dyDescent="0.25">
      <c r="O3906" s="21"/>
    </row>
    <row r="3907" spans="15:15" x14ac:dyDescent="0.25">
      <c r="O3907" s="21"/>
    </row>
    <row r="3908" spans="15:15" x14ac:dyDescent="0.25">
      <c r="O3908" s="21"/>
    </row>
    <row r="3909" spans="15:15" x14ac:dyDescent="0.25">
      <c r="O3909" s="21"/>
    </row>
    <row r="3910" spans="15:15" x14ac:dyDescent="0.25">
      <c r="O3910" s="21"/>
    </row>
    <row r="3911" spans="15:15" x14ac:dyDescent="0.25">
      <c r="O3911" s="21"/>
    </row>
    <row r="3912" spans="15:15" x14ac:dyDescent="0.25">
      <c r="O3912" s="21"/>
    </row>
    <row r="3913" spans="15:15" x14ac:dyDescent="0.25">
      <c r="O3913" s="21"/>
    </row>
    <row r="3914" spans="15:15" x14ac:dyDescent="0.25">
      <c r="O3914" s="21"/>
    </row>
    <row r="3915" spans="15:15" x14ac:dyDescent="0.25">
      <c r="O3915" s="21"/>
    </row>
    <row r="3916" spans="15:15" x14ac:dyDescent="0.25">
      <c r="O3916" s="21"/>
    </row>
    <row r="3917" spans="15:15" x14ac:dyDescent="0.25">
      <c r="O3917" s="21"/>
    </row>
    <row r="3918" spans="15:15" x14ac:dyDescent="0.25">
      <c r="O3918" s="21"/>
    </row>
    <row r="3919" spans="15:15" x14ac:dyDescent="0.25">
      <c r="O3919" s="21"/>
    </row>
    <row r="3920" spans="15:15" x14ac:dyDescent="0.25">
      <c r="O3920" s="21"/>
    </row>
    <row r="3921" spans="15:15" x14ac:dyDescent="0.25">
      <c r="O3921" s="21"/>
    </row>
    <row r="3922" spans="15:15" x14ac:dyDescent="0.25">
      <c r="O3922" s="21"/>
    </row>
    <row r="3923" spans="15:15" x14ac:dyDescent="0.25">
      <c r="O3923" s="21"/>
    </row>
    <row r="3924" spans="15:15" x14ac:dyDescent="0.25">
      <c r="O3924" s="21"/>
    </row>
    <row r="3925" spans="15:15" x14ac:dyDescent="0.25">
      <c r="O3925" s="21"/>
    </row>
    <row r="3926" spans="15:15" x14ac:dyDescent="0.25">
      <c r="O3926" s="21"/>
    </row>
    <row r="3927" spans="15:15" x14ac:dyDescent="0.25">
      <c r="O3927" s="21"/>
    </row>
    <row r="3928" spans="15:15" x14ac:dyDescent="0.25">
      <c r="O3928" s="21"/>
    </row>
    <row r="3929" spans="15:15" x14ac:dyDescent="0.25">
      <c r="O3929" s="21"/>
    </row>
    <row r="3930" spans="15:15" x14ac:dyDescent="0.25">
      <c r="O3930" s="21"/>
    </row>
    <row r="3931" spans="15:15" x14ac:dyDescent="0.25">
      <c r="O3931" s="21"/>
    </row>
    <row r="3932" spans="15:15" x14ac:dyDescent="0.25">
      <c r="O3932" s="21"/>
    </row>
    <row r="3933" spans="15:15" x14ac:dyDescent="0.25">
      <c r="O3933" s="21"/>
    </row>
    <row r="3934" spans="15:15" x14ac:dyDescent="0.25">
      <c r="O3934" s="21"/>
    </row>
    <row r="3935" spans="15:15" x14ac:dyDescent="0.25">
      <c r="O3935" s="21"/>
    </row>
    <row r="3936" spans="15:15" x14ac:dyDescent="0.25">
      <c r="O3936" s="21"/>
    </row>
    <row r="3937" spans="15:15" x14ac:dyDescent="0.25">
      <c r="O3937" s="21"/>
    </row>
    <row r="3938" spans="15:15" x14ac:dyDescent="0.25">
      <c r="O3938" s="21"/>
    </row>
    <row r="3939" spans="15:15" x14ac:dyDescent="0.25">
      <c r="O3939" s="21"/>
    </row>
    <row r="3940" spans="15:15" x14ac:dyDescent="0.25">
      <c r="O3940" s="21"/>
    </row>
    <row r="3941" spans="15:15" x14ac:dyDescent="0.25">
      <c r="O3941" s="21"/>
    </row>
    <row r="3942" spans="15:15" x14ac:dyDescent="0.25">
      <c r="O3942" s="21"/>
    </row>
    <row r="3943" spans="15:15" x14ac:dyDescent="0.25">
      <c r="O3943" s="21"/>
    </row>
    <row r="3944" spans="15:15" x14ac:dyDescent="0.25">
      <c r="O3944" s="21"/>
    </row>
    <row r="3945" spans="15:15" x14ac:dyDescent="0.25">
      <c r="O3945" s="21"/>
    </row>
    <row r="3946" spans="15:15" x14ac:dyDescent="0.25">
      <c r="O3946" s="21"/>
    </row>
    <row r="3947" spans="15:15" x14ac:dyDescent="0.25">
      <c r="O3947" s="21"/>
    </row>
    <row r="3948" spans="15:15" x14ac:dyDescent="0.25">
      <c r="O3948" s="21"/>
    </row>
    <row r="3949" spans="15:15" x14ac:dyDescent="0.25">
      <c r="O3949" s="21"/>
    </row>
    <row r="3950" spans="15:15" x14ac:dyDescent="0.25">
      <c r="O3950" s="21"/>
    </row>
    <row r="3951" spans="15:15" x14ac:dyDescent="0.25">
      <c r="O3951" s="21"/>
    </row>
    <row r="3952" spans="15:15" x14ac:dyDescent="0.25">
      <c r="O3952" s="21"/>
    </row>
    <row r="3953" spans="15:15" x14ac:dyDescent="0.25">
      <c r="O3953" s="21"/>
    </row>
    <row r="3954" spans="15:15" x14ac:dyDescent="0.25">
      <c r="O3954" s="21"/>
    </row>
    <row r="3955" spans="15:15" x14ac:dyDescent="0.25">
      <c r="O3955" s="21"/>
    </row>
    <row r="3956" spans="15:15" x14ac:dyDescent="0.25">
      <c r="O3956" s="21"/>
    </row>
    <row r="3957" spans="15:15" x14ac:dyDescent="0.25">
      <c r="O3957" s="21"/>
    </row>
    <row r="3958" spans="15:15" x14ac:dyDescent="0.25">
      <c r="O3958" s="21"/>
    </row>
    <row r="3959" spans="15:15" x14ac:dyDescent="0.25">
      <c r="O3959" s="21"/>
    </row>
    <row r="3960" spans="15:15" x14ac:dyDescent="0.25">
      <c r="O3960" s="21"/>
    </row>
    <row r="3961" spans="15:15" x14ac:dyDescent="0.25">
      <c r="O3961" s="21"/>
    </row>
    <row r="3962" spans="15:15" x14ac:dyDescent="0.25">
      <c r="O3962" s="21"/>
    </row>
    <row r="3963" spans="15:15" x14ac:dyDescent="0.25">
      <c r="O3963" s="21"/>
    </row>
    <row r="3964" spans="15:15" x14ac:dyDescent="0.25">
      <c r="O3964" s="21"/>
    </row>
    <row r="3965" spans="15:15" x14ac:dyDescent="0.25">
      <c r="O3965" s="21"/>
    </row>
    <row r="3966" spans="15:15" x14ac:dyDescent="0.25">
      <c r="O3966" s="21"/>
    </row>
    <row r="3967" spans="15:15" x14ac:dyDescent="0.25">
      <c r="O3967" s="21"/>
    </row>
    <row r="3968" spans="15:15" x14ac:dyDescent="0.25">
      <c r="O3968" s="21"/>
    </row>
    <row r="3969" spans="15:15" x14ac:dyDescent="0.25">
      <c r="O3969" s="21"/>
    </row>
    <row r="3970" spans="15:15" x14ac:dyDescent="0.25">
      <c r="O3970" s="21"/>
    </row>
    <row r="3971" spans="15:15" x14ac:dyDescent="0.25">
      <c r="O3971" s="21"/>
    </row>
    <row r="3972" spans="15:15" x14ac:dyDescent="0.25">
      <c r="O3972" s="21"/>
    </row>
    <row r="3973" spans="15:15" x14ac:dyDescent="0.25">
      <c r="O3973" s="21"/>
    </row>
    <row r="3974" spans="15:15" x14ac:dyDescent="0.25">
      <c r="O3974" s="21"/>
    </row>
    <row r="3975" spans="15:15" x14ac:dyDescent="0.25">
      <c r="O3975" s="21"/>
    </row>
    <row r="3976" spans="15:15" x14ac:dyDescent="0.25">
      <c r="O3976" s="21"/>
    </row>
    <row r="3977" spans="15:15" x14ac:dyDescent="0.25">
      <c r="O3977" s="21"/>
    </row>
    <row r="3978" spans="15:15" x14ac:dyDescent="0.25">
      <c r="O3978" s="21"/>
    </row>
    <row r="3979" spans="15:15" x14ac:dyDescent="0.25">
      <c r="O3979" s="21"/>
    </row>
    <row r="3980" spans="15:15" x14ac:dyDescent="0.25">
      <c r="O3980" s="21"/>
    </row>
    <row r="3981" spans="15:15" x14ac:dyDescent="0.25">
      <c r="O3981" s="21"/>
    </row>
    <row r="3982" spans="15:15" x14ac:dyDescent="0.25">
      <c r="O3982" s="21"/>
    </row>
    <row r="3983" spans="15:15" x14ac:dyDescent="0.25">
      <c r="O3983" s="21"/>
    </row>
    <row r="3984" spans="15:15" x14ac:dyDescent="0.25">
      <c r="O3984" s="21"/>
    </row>
    <row r="3985" spans="15:15" x14ac:dyDescent="0.25">
      <c r="O3985" s="21"/>
    </row>
    <row r="3986" spans="15:15" x14ac:dyDescent="0.25">
      <c r="O3986" s="21"/>
    </row>
    <row r="3987" spans="15:15" x14ac:dyDescent="0.25">
      <c r="O3987" s="21"/>
    </row>
    <row r="3988" spans="15:15" x14ac:dyDescent="0.25">
      <c r="O3988" s="21"/>
    </row>
    <row r="3989" spans="15:15" x14ac:dyDescent="0.25">
      <c r="O3989" s="21"/>
    </row>
    <row r="3990" spans="15:15" x14ac:dyDescent="0.25">
      <c r="O3990" s="21"/>
    </row>
    <row r="3991" spans="15:15" x14ac:dyDescent="0.25">
      <c r="O3991" s="21"/>
    </row>
    <row r="3992" spans="15:15" x14ac:dyDescent="0.25">
      <c r="O3992" s="21"/>
    </row>
    <row r="3993" spans="15:15" x14ac:dyDescent="0.25">
      <c r="O3993" s="21"/>
    </row>
    <row r="3994" spans="15:15" x14ac:dyDescent="0.25">
      <c r="O3994" s="21"/>
    </row>
    <row r="3995" spans="15:15" x14ac:dyDescent="0.25">
      <c r="O3995" s="21"/>
    </row>
    <row r="3996" spans="15:15" x14ac:dyDescent="0.25">
      <c r="O3996" s="21"/>
    </row>
    <row r="3997" spans="15:15" x14ac:dyDescent="0.25">
      <c r="O3997" s="21"/>
    </row>
    <row r="3998" spans="15:15" x14ac:dyDescent="0.25">
      <c r="O3998" s="21"/>
    </row>
    <row r="3999" spans="15:15" x14ac:dyDescent="0.25">
      <c r="O3999" s="21"/>
    </row>
    <row r="4000" spans="15:15" x14ac:dyDescent="0.25">
      <c r="O4000" s="21"/>
    </row>
    <row r="4001" spans="15:15" x14ac:dyDescent="0.25">
      <c r="O4001" s="21"/>
    </row>
    <row r="4002" spans="15:15" x14ac:dyDescent="0.25">
      <c r="O4002" s="21"/>
    </row>
    <row r="4003" spans="15:15" x14ac:dyDescent="0.25">
      <c r="O4003" s="21"/>
    </row>
    <row r="4004" spans="15:15" x14ac:dyDescent="0.25">
      <c r="O4004" s="21"/>
    </row>
    <row r="4005" spans="15:15" x14ac:dyDescent="0.25">
      <c r="O4005" s="21"/>
    </row>
    <row r="4006" spans="15:15" x14ac:dyDescent="0.25">
      <c r="O4006" s="21"/>
    </row>
    <row r="4007" spans="15:15" x14ac:dyDescent="0.25">
      <c r="O4007" s="21"/>
    </row>
    <row r="4008" spans="15:15" x14ac:dyDescent="0.25">
      <c r="O4008" s="21"/>
    </row>
    <row r="4009" spans="15:15" x14ac:dyDescent="0.25">
      <c r="O4009" s="21"/>
    </row>
    <row r="4010" spans="15:15" x14ac:dyDescent="0.25">
      <c r="O4010" s="21"/>
    </row>
    <row r="4011" spans="15:15" x14ac:dyDescent="0.25">
      <c r="O4011" s="21"/>
    </row>
    <row r="4012" spans="15:15" x14ac:dyDescent="0.25">
      <c r="O4012" s="21"/>
    </row>
    <row r="4013" spans="15:15" x14ac:dyDescent="0.25">
      <c r="O4013" s="21"/>
    </row>
    <row r="4014" spans="15:15" x14ac:dyDescent="0.25">
      <c r="O4014" s="21"/>
    </row>
    <row r="4015" spans="15:15" x14ac:dyDescent="0.25">
      <c r="O4015" s="21"/>
    </row>
    <row r="4016" spans="15:15" x14ac:dyDescent="0.25">
      <c r="O4016" s="21"/>
    </row>
    <row r="4017" spans="15:15" x14ac:dyDescent="0.25">
      <c r="O4017" s="21"/>
    </row>
    <row r="4018" spans="15:15" x14ac:dyDescent="0.25">
      <c r="O4018" s="21"/>
    </row>
    <row r="4019" spans="15:15" x14ac:dyDescent="0.25">
      <c r="O4019" s="21"/>
    </row>
    <row r="4020" spans="15:15" x14ac:dyDescent="0.25">
      <c r="O4020" s="21"/>
    </row>
    <row r="4021" spans="15:15" x14ac:dyDescent="0.25">
      <c r="O4021" s="21"/>
    </row>
    <row r="4022" spans="15:15" x14ac:dyDescent="0.25">
      <c r="O4022" s="21"/>
    </row>
    <row r="4023" spans="15:15" x14ac:dyDescent="0.25">
      <c r="O4023" s="21"/>
    </row>
    <row r="4024" spans="15:15" x14ac:dyDescent="0.25">
      <c r="O4024" s="21"/>
    </row>
    <row r="4025" spans="15:15" x14ac:dyDescent="0.25">
      <c r="O4025" s="21"/>
    </row>
    <row r="4026" spans="15:15" x14ac:dyDescent="0.25">
      <c r="O4026" s="21"/>
    </row>
    <row r="4027" spans="15:15" x14ac:dyDescent="0.25">
      <c r="O4027" s="21"/>
    </row>
    <row r="4028" spans="15:15" x14ac:dyDescent="0.25">
      <c r="O4028" s="21"/>
    </row>
    <row r="4029" spans="15:15" x14ac:dyDescent="0.25">
      <c r="O4029" s="21"/>
    </row>
    <row r="4030" spans="15:15" x14ac:dyDescent="0.25">
      <c r="O4030" s="21"/>
    </row>
    <row r="4031" spans="15:15" x14ac:dyDescent="0.25">
      <c r="O4031" s="21"/>
    </row>
    <row r="4032" spans="15:15" x14ac:dyDescent="0.25">
      <c r="O4032" s="21"/>
    </row>
    <row r="4033" spans="15:15" x14ac:dyDescent="0.25">
      <c r="O4033" s="21"/>
    </row>
    <row r="4034" spans="15:15" x14ac:dyDescent="0.25">
      <c r="O4034" s="21"/>
    </row>
    <row r="4035" spans="15:15" x14ac:dyDescent="0.25">
      <c r="O4035" s="21"/>
    </row>
    <row r="4036" spans="15:15" x14ac:dyDescent="0.25">
      <c r="O4036" s="21"/>
    </row>
    <row r="4037" spans="15:15" x14ac:dyDescent="0.25">
      <c r="O4037" s="21"/>
    </row>
    <row r="4038" spans="15:15" x14ac:dyDescent="0.25">
      <c r="O4038" s="21"/>
    </row>
    <row r="4039" spans="15:15" x14ac:dyDescent="0.25">
      <c r="O4039" s="21"/>
    </row>
    <row r="4040" spans="15:15" x14ac:dyDescent="0.25">
      <c r="O4040" s="21"/>
    </row>
    <row r="4041" spans="15:15" x14ac:dyDescent="0.25">
      <c r="O4041" s="21"/>
    </row>
    <row r="4042" spans="15:15" x14ac:dyDescent="0.25">
      <c r="O4042" s="21"/>
    </row>
    <row r="4043" spans="15:15" x14ac:dyDescent="0.25">
      <c r="O4043" s="21"/>
    </row>
    <row r="4044" spans="15:15" x14ac:dyDescent="0.25">
      <c r="O4044" s="21"/>
    </row>
    <row r="4045" spans="15:15" x14ac:dyDescent="0.25">
      <c r="O4045" s="21"/>
    </row>
    <row r="4046" spans="15:15" x14ac:dyDescent="0.25">
      <c r="O4046" s="21"/>
    </row>
    <row r="4047" spans="15:15" x14ac:dyDescent="0.25">
      <c r="O4047" s="21"/>
    </row>
    <row r="4048" spans="15:15" x14ac:dyDescent="0.25">
      <c r="O4048" s="21"/>
    </row>
    <row r="4049" spans="15:15" x14ac:dyDescent="0.25">
      <c r="O4049" s="21"/>
    </row>
    <row r="4050" spans="15:15" x14ac:dyDescent="0.25">
      <c r="O4050" s="21"/>
    </row>
    <row r="4051" spans="15:15" x14ac:dyDescent="0.25">
      <c r="O4051" s="21"/>
    </row>
    <row r="4052" spans="15:15" x14ac:dyDescent="0.25">
      <c r="O4052" s="21"/>
    </row>
    <row r="4053" spans="15:15" x14ac:dyDescent="0.25">
      <c r="O4053" s="21"/>
    </row>
    <row r="4054" spans="15:15" x14ac:dyDescent="0.25">
      <c r="O4054" s="21"/>
    </row>
    <row r="4055" spans="15:15" x14ac:dyDescent="0.25">
      <c r="O4055" s="21"/>
    </row>
    <row r="4056" spans="15:15" x14ac:dyDescent="0.25">
      <c r="O4056" s="21"/>
    </row>
    <row r="4057" spans="15:15" x14ac:dyDescent="0.25">
      <c r="O4057" s="21"/>
    </row>
    <row r="4058" spans="15:15" x14ac:dyDescent="0.25">
      <c r="O4058" s="21"/>
    </row>
    <row r="4059" spans="15:15" x14ac:dyDescent="0.25">
      <c r="O4059" s="21"/>
    </row>
    <row r="4060" spans="15:15" x14ac:dyDescent="0.25">
      <c r="O4060" s="21"/>
    </row>
    <row r="4061" spans="15:15" x14ac:dyDescent="0.25">
      <c r="O4061" s="21"/>
    </row>
    <row r="4062" spans="15:15" x14ac:dyDescent="0.25">
      <c r="O4062" s="21"/>
    </row>
    <row r="4063" spans="15:15" x14ac:dyDescent="0.25">
      <c r="O4063" s="21"/>
    </row>
    <row r="4064" spans="15:15" x14ac:dyDescent="0.25">
      <c r="O4064" s="21"/>
    </row>
    <row r="4065" spans="15:15" x14ac:dyDescent="0.25">
      <c r="O4065" s="21"/>
    </row>
    <row r="4066" spans="15:15" x14ac:dyDescent="0.25">
      <c r="O4066" s="21"/>
    </row>
    <row r="4067" spans="15:15" x14ac:dyDescent="0.25">
      <c r="O4067" s="21"/>
    </row>
    <row r="4068" spans="15:15" x14ac:dyDescent="0.25">
      <c r="O4068" s="21"/>
    </row>
    <row r="4069" spans="15:15" x14ac:dyDescent="0.25">
      <c r="O4069" s="21"/>
    </row>
    <row r="4070" spans="15:15" x14ac:dyDescent="0.25">
      <c r="O4070" s="21"/>
    </row>
    <row r="4071" spans="15:15" x14ac:dyDescent="0.25">
      <c r="O4071" s="21"/>
    </row>
    <row r="4072" spans="15:15" x14ac:dyDescent="0.25">
      <c r="O4072" s="21"/>
    </row>
    <row r="4073" spans="15:15" x14ac:dyDescent="0.25">
      <c r="O4073" s="21"/>
    </row>
    <row r="4074" spans="15:15" x14ac:dyDescent="0.25">
      <c r="O4074" s="21"/>
    </row>
    <row r="4075" spans="15:15" x14ac:dyDescent="0.25">
      <c r="O4075" s="21"/>
    </row>
    <row r="4076" spans="15:15" x14ac:dyDescent="0.25">
      <c r="O4076" s="21"/>
    </row>
    <row r="4077" spans="15:15" x14ac:dyDescent="0.25">
      <c r="O4077" s="21"/>
    </row>
    <row r="4078" spans="15:15" x14ac:dyDescent="0.25">
      <c r="O4078" s="21"/>
    </row>
    <row r="4079" spans="15:15" x14ac:dyDescent="0.25">
      <c r="O4079" s="21"/>
    </row>
    <row r="4080" spans="15:15" x14ac:dyDescent="0.25">
      <c r="O4080" s="21"/>
    </row>
    <row r="4081" spans="15:15" x14ac:dyDescent="0.25">
      <c r="O4081" s="21"/>
    </row>
    <row r="4082" spans="15:15" x14ac:dyDescent="0.25">
      <c r="O4082" s="21"/>
    </row>
    <row r="4083" spans="15:15" x14ac:dyDescent="0.25">
      <c r="O4083" s="21"/>
    </row>
    <row r="4084" spans="15:15" x14ac:dyDescent="0.25">
      <c r="O4084" s="21"/>
    </row>
    <row r="4085" spans="15:15" x14ac:dyDescent="0.25">
      <c r="O4085" s="21"/>
    </row>
    <row r="4086" spans="15:15" x14ac:dyDescent="0.25">
      <c r="O4086" s="21"/>
    </row>
    <row r="4087" spans="15:15" x14ac:dyDescent="0.25">
      <c r="O4087" s="21"/>
    </row>
    <row r="4088" spans="15:15" x14ac:dyDescent="0.25">
      <c r="O4088" s="21"/>
    </row>
    <row r="4089" spans="15:15" x14ac:dyDescent="0.25">
      <c r="O4089" s="21"/>
    </row>
    <row r="4090" spans="15:15" x14ac:dyDescent="0.25">
      <c r="O4090" s="21"/>
    </row>
    <row r="4091" spans="15:15" x14ac:dyDescent="0.25">
      <c r="O4091" s="21"/>
    </row>
    <row r="4092" spans="15:15" x14ac:dyDescent="0.25">
      <c r="O4092" s="21"/>
    </row>
    <row r="4093" spans="15:15" x14ac:dyDescent="0.25">
      <c r="O4093" s="21"/>
    </row>
    <row r="4094" spans="15:15" x14ac:dyDescent="0.25">
      <c r="O4094" s="21"/>
    </row>
    <row r="4095" spans="15:15" x14ac:dyDescent="0.25">
      <c r="O4095" s="21"/>
    </row>
    <row r="4096" spans="15:15" x14ac:dyDescent="0.25">
      <c r="O4096" s="21"/>
    </row>
    <row r="4097" spans="15:15" x14ac:dyDescent="0.25">
      <c r="O4097" s="21"/>
    </row>
    <row r="4098" spans="15:15" x14ac:dyDescent="0.25">
      <c r="O4098" s="21"/>
    </row>
    <row r="4099" spans="15:15" x14ac:dyDescent="0.25">
      <c r="O4099" s="21"/>
    </row>
    <row r="4100" spans="15:15" x14ac:dyDescent="0.25">
      <c r="O4100" s="21"/>
    </row>
    <row r="4101" spans="15:15" x14ac:dyDescent="0.25">
      <c r="O4101" s="21"/>
    </row>
    <row r="4102" spans="15:15" x14ac:dyDescent="0.25">
      <c r="O4102" s="21"/>
    </row>
    <row r="4103" spans="15:15" x14ac:dyDescent="0.25">
      <c r="O4103" s="21"/>
    </row>
    <row r="4104" spans="15:15" x14ac:dyDescent="0.25">
      <c r="O4104" s="21"/>
    </row>
    <row r="4105" spans="15:15" x14ac:dyDescent="0.25">
      <c r="O4105" s="21"/>
    </row>
    <row r="4106" spans="15:15" x14ac:dyDescent="0.25">
      <c r="O4106" s="21"/>
    </row>
    <row r="4107" spans="15:15" x14ac:dyDescent="0.25">
      <c r="O4107" s="21"/>
    </row>
    <row r="4108" spans="15:15" x14ac:dyDescent="0.25">
      <c r="O4108" s="21"/>
    </row>
    <row r="4109" spans="15:15" x14ac:dyDescent="0.25">
      <c r="O4109" s="21"/>
    </row>
    <row r="4110" spans="15:15" x14ac:dyDescent="0.25">
      <c r="O4110" s="21"/>
    </row>
    <row r="4111" spans="15:15" x14ac:dyDescent="0.25">
      <c r="O4111" s="21"/>
    </row>
    <row r="4112" spans="15:15" x14ac:dyDescent="0.25">
      <c r="O4112" s="21"/>
    </row>
    <row r="4113" spans="15:15" x14ac:dyDescent="0.25">
      <c r="O4113" s="21"/>
    </row>
    <row r="4114" spans="15:15" x14ac:dyDescent="0.25">
      <c r="O4114" s="21"/>
    </row>
    <row r="4115" spans="15:15" x14ac:dyDescent="0.25">
      <c r="O4115" s="21"/>
    </row>
    <row r="4116" spans="15:15" x14ac:dyDescent="0.25">
      <c r="O4116" s="21"/>
    </row>
    <row r="4117" spans="15:15" x14ac:dyDescent="0.25">
      <c r="O4117" s="21"/>
    </row>
    <row r="4118" spans="15:15" x14ac:dyDescent="0.25">
      <c r="O4118" s="21"/>
    </row>
    <row r="4119" spans="15:15" x14ac:dyDescent="0.25">
      <c r="O4119" s="21"/>
    </row>
    <row r="4120" spans="15:15" x14ac:dyDescent="0.25">
      <c r="O4120" s="21"/>
    </row>
    <row r="4121" spans="15:15" x14ac:dyDescent="0.25">
      <c r="O4121" s="21"/>
    </row>
    <row r="4122" spans="15:15" x14ac:dyDescent="0.25">
      <c r="O4122" s="21"/>
    </row>
    <row r="4123" spans="15:15" x14ac:dyDescent="0.25">
      <c r="O4123" s="21"/>
    </row>
    <row r="4124" spans="15:15" x14ac:dyDescent="0.25">
      <c r="O4124" s="21"/>
    </row>
    <row r="4125" spans="15:15" x14ac:dyDescent="0.25">
      <c r="O4125" s="21"/>
    </row>
    <row r="4126" spans="15:15" x14ac:dyDescent="0.25">
      <c r="O4126" s="21"/>
    </row>
    <row r="4127" spans="15:15" x14ac:dyDescent="0.25">
      <c r="O4127" s="21"/>
    </row>
    <row r="4128" spans="15:15" x14ac:dyDescent="0.25">
      <c r="O4128" s="21"/>
    </row>
    <row r="4129" spans="15:15" x14ac:dyDescent="0.25">
      <c r="O4129" s="21"/>
    </row>
    <row r="4130" spans="15:15" x14ac:dyDescent="0.25">
      <c r="O4130" s="21"/>
    </row>
    <row r="4131" spans="15:15" x14ac:dyDescent="0.25">
      <c r="O4131" s="21"/>
    </row>
    <row r="4132" spans="15:15" x14ac:dyDescent="0.25">
      <c r="O4132" s="21"/>
    </row>
    <row r="4133" spans="15:15" x14ac:dyDescent="0.25">
      <c r="O4133" s="21"/>
    </row>
    <row r="4134" spans="15:15" x14ac:dyDescent="0.25">
      <c r="O4134" s="21"/>
    </row>
    <row r="4135" spans="15:15" x14ac:dyDescent="0.25">
      <c r="O4135" s="21"/>
    </row>
    <row r="4136" spans="15:15" x14ac:dyDescent="0.25">
      <c r="O4136" s="21"/>
    </row>
    <row r="4137" spans="15:15" x14ac:dyDescent="0.25">
      <c r="O4137" s="21"/>
    </row>
    <row r="4138" spans="15:15" x14ac:dyDescent="0.25">
      <c r="O4138" s="21"/>
    </row>
    <row r="4139" spans="15:15" x14ac:dyDescent="0.25">
      <c r="O4139" s="21"/>
    </row>
    <row r="4140" spans="15:15" x14ac:dyDescent="0.25">
      <c r="O4140" s="21"/>
    </row>
    <row r="4141" spans="15:15" x14ac:dyDescent="0.25">
      <c r="O4141" s="21"/>
    </row>
    <row r="4142" spans="15:15" x14ac:dyDescent="0.25">
      <c r="O4142" s="21"/>
    </row>
    <row r="4143" spans="15:15" x14ac:dyDescent="0.25">
      <c r="O4143" s="21"/>
    </row>
    <row r="4144" spans="15:15" x14ac:dyDescent="0.25">
      <c r="O4144" s="21"/>
    </row>
    <row r="4145" spans="15:15" x14ac:dyDescent="0.25">
      <c r="O4145" s="21"/>
    </row>
    <row r="4146" spans="15:15" x14ac:dyDescent="0.25">
      <c r="O4146" s="21"/>
    </row>
    <row r="4147" spans="15:15" x14ac:dyDescent="0.25">
      <c r="O4147" s="21"/>
    </row>
    <row r="4148" spans="15:15" x14ac:dyDescent="0.25">
      <c r="O4148" s="21"/>
    </row>
    <row r="4149" spans="15:15" x14ac:dyDescent="0.25">
      <c r="O4149" s="21"/>
    </row>
    <row r="4150" spans="15:15" x14ac:dyDescent="0.25">
      <c r="O4150" s="21"/>
    </row>
    <row r="4151" spans="15:15" x14ac:dyDescent="0.25">
      <c r="O4151" s="21"/>
    </row>
    <row r="4152" spans="15:15" x14ac:dyDescent="0.25">
      <c r="O4152" s="21"/>
    </row>
    <row r="4153" spans="15:15" x14ac:dyDescent="0.25">
      <c r="O4153" s="21"/>
    </row>
    <row r="4154" spans="15:15" x14ac:dyDescent="0.25">
      <c r="O4154" s="21"/>
    </row>
    <row r="4155" spans="15:15" x14ac:dyDescent="0.25">
      <c r="O4155" s="21"/>
    </row>
    <row r="4156" spans="15:15" x14ac:dyDescent="0.25">
      <c r="O4156" s="21"/>
    </row>
    <row r="4157" spans="15:15" x14ac:dyDescent="0.25">
      <c r="O4157" s="21"/>
    </row>
    <row r="4158" spans="15:15" x14ac:dyDescent="0.25">
      <c r="O4158" s="21"/>
    </row>
    <row r="4159" spans="15:15" x14ac:dyDescent="0.25">
      <c r="O4159" s="21"/>
    </row>
    <row r="4160" spans="15:15" x14ac:dyDescent="0.25">
      <c r="O4160" s="21"/>
    </row>
    <row r="4161" spans="15:15" x14ac:dyDescent="0.25">
      <c r="O4161" s="21"/>
    </row>
    <row r="4162" spans="15:15" x14ac:dyDescent="0.25">
      <c r="O4162" s="21"/>
    </row>
    <row r="4163" spans="15:15" x14ac:dyDescent="0.25">
      <c r="O4163" s="21"/>
    </row>
    <row r="4164" spans="15:15" x14ac:dyDescent="0.25">
      <c r="O4164" s="21"/>
    </row>
    <row r="4165" spans="15:15" x14ac:dyDescent="0.25">
      <c r="O4165" s="21"/>
    </row>
    <row r="4166" spans="15:15" x14ac:dyDescent="0.25">
      <c r="O4166" s="21"/>
    </row>
    <row r="4167" spans="15:15" x14ac:dyDescent="0.25">
      <c r="O4167" s="21"/>
    </row>
    <row r="4168" spans="15:15" x14ac:dyDescent="0.25">
      <c r="O4168" s="21"/>
    </row>
    <row r="4169" spans="15:15" x14ac:dyDescent="0.25">
      <c r="O4169" s="21"/>
    </row>
    <row r="4170" spans="15:15" x14ac:dyDescent="0.25">
      <c r="O4170" s="21"/>
    </row>
    <row r="4171" spans="15:15" x14ac:dyDescent="0.25">
      <c r="O4171" s="21"/>
    </row>
    <row r="4172" spans="15:15" x14ac:dyDescent="0.25">
      <c r="O4172" s="21"/>
    </row>
    <row r="4173" spans="15:15" x14ac:dyDescent="0.25">
      <c r="O4173" s="21"/>
    </row>
    <row r="4174" spans="15:15" x14ac:dyDescent="0.25">
      <c r="O4174" s="21"/>
    </row>
    <row r="4175" spans="15:15" x14ac:dyDescent="0.25">
      <c r="O4175" s="21"/>
    </row>
    <row r="4176" spans="15:15" x14ac:dyDescent="0.25">
      <c r="O4176" s="21"/>
    </row>
    <row r="4177" spans="15:15" x14ac:dyDescent="0.25">
      <c r="O4177" s="21"/>
    </row>
    <row r="4178" spans="15:15" x14ac:dyDescent="0.25">
      <c r="O4178" s="21"/>
    </row>
    <row r="4179" spans="15:15" x14ac:dyDescent="0.25">
      <c r="O4179" s="21"/>
    </row>
    <row r="4180" spans="15:15" x14ac:dyDescent="0.25">
      <c r="O4180" s="21"/>
    </row>
    <row r="4181" spans="15:15" x14ac:dyDescent="0.25">
      <c r="O4181" s="21"/>
    </row>
    <row r="4182" spans="15:15" x14ac:dyDescent="0.25">
      <c r="O4182" s="21"/>
    </row>
    <row r="4183" spans="15:15" x14ac:dyDescent="0.25">
      <c r="O4183" s="21"/>
    </row>
    <row r="4184" spans="15:15" x14ac:dyDescent="0.25">
      <c r="O4184" s="21"/>
    </row>
    <row r="4185" spans="15:15" x14ac:dyDescent="0.25">
      <c r="O4185" s="21"/>
    </row>
    <row r="4186" spans="15:15" x14ac:dyDescent="0.25">
      <c r="O4186" s="21"/>
    </row>
    <row r="4187" spans="15:15" x14ac:dyDescent="0.25">
      <c r="O4187" s="21"/>
    </row>
    <row r="4188" spans="15:15" x14ac:dyDescent="0.25">
      <c r="O4188" s="21"/>
    </row>
    <row r="4189" spans="15:15" x14ac:dyDescent="0.25">
      <c r="O4189" s="21"/>
    </row>
    <row r="4190" spans="15:15" x14ac:dyDescent="0.25">
      <c r="O4190" s="21"/>
    </row>
    <row r="4191" spans="15:15" x14ac:dyDescent="0.25">
      <c r="O4191" s="21"/>
    </row>
    <row r="4192" spans="15:15" x14ac:dyDescent="0.25">
      <c r="O4192" s="21"/>
    </row>
    <row r="4193" spans="15:15" x14ac:dyDescent="0.25">
      <c r="O4193" s="21"/>
    </row>
    <row r="4194" spans="15:15" x14ac:dyDescent="0.25">
      <c r="O4194" s="21"/>
    </row>
    <row r="4195" spans="15:15" x14ac:dyDescent="0.25">
      <c r="O4195" s="21"/>
    </row>
    <row r="4196" spans="15:15" x14ac:dyDescent="0.25">
      <c r="O4196" s="21"/>
    </row>
    <row r="4197" spans="15:15" x14ac:dyDescent="0.25">
      <c r="O4197" s="21"/>
    </row>
    <row r="4198" spans="15:15" x14ac:dyDescent="0.25">
      <c r="O4198" s="21"/>
    </row>
    <row r="4199" spans="15:15" x14ac:dyDescent="0.25">
      <c r="O4199" s="21"/>
    </row>
    <row r="4200" spans="15:15" x14ac:dyDescent="0.25">
      <c r="O4200" s="21"/>
    </row>
    <row r="4201" spans="15:15" x14ac:dyDescent="0.25">
      <c r="O4201" s="21"/>
    </row>
    <row r="4202" spans="15:15" x14ac:dyDescent="0.25">
      <c r="O4202" s="21"/>
    </row>
    <row r="4203" spans="15:15" x14ac:dyDescent="0.25">
      <c r="O4203" s="21"/>
    </row>
    <row r="4204" spans="15:15" x14ac:dyDescent="0.25">
      <c r="O4204" s="21"/>
    </row>
    <row r="4205" spans="15:15" x14ac:dyDescent="0.25">
      <c r="O4205" s="21"/>
    </row>
    <row r="4206" spans="15:15" x14ac:dyDescent="0.25">
      <c r="O4206" s="21"/>
    </row>
    <row r="4207" spans="15:15" x14ac:dyDescent="0.25">
      <c r="O4207" s="21"/>
    </row>
    <row r="4208" spans="15:15" x14ac:dyDescent="0.25">
      <c r="O4208" s="21"/>
    </row>
    <row r="4209" spans="15:15" x14ac:dyDescent="0.25">
      <c r="O4209" s="21"/>
    </row>
    <row r="4210" spans="15:15" x14ac:dyDescent="0.25">
      <c r="O4210" s="21"/>
    </row>
    <row r="4211" spans="15:15" x14ac:dyDescent="0.25">
      <c r="O4211" s="21"/>
    </row>
    <row r="4212" spans="15:15" x14ac:dyDescent="0.25">
      <c r="O4212" s="21"/>
    </row>
    <row r="4213" spans="15:15" x14ac:dyDescent="0.25">
      <c r="O4213" s="21"/>
    </row>
    <row r="4214" spans="15:15" x14ac:dyDescent="0.25">
      <c r="O4214" s="21"/>
    </row>
    <row r="4215" spans="15:15" x14ac:dyDescent="0.25">
      <c r="O4215" s="21"/>
    </row>
    <row r="4216" spans="15:15" x14ac:dyDescent="0.25">
      <c r="O4216" s="21"/>
    </row>
    <row r="4217" spans="15:15" x14ac:dyDescent="0.25">
      <c r="O4217" s="21"/>
    </row>
    <row r="4218" spans="15:15" x14ac:dyDescent="0.25">
      <c r="O4218" s="21"/>
    </row>
    <row r="4219" spans="15:15" x14ac:dyDescent="0.25">
      <c r="O4219" s="21"/>
    </row>
    <row r="4220" spans="15:15" x14ac:dyDescent="0.25">
      <c r="O4220" s="21"/>
    </row>
    <row r="4221" spans="15:15" x14ac:dyDescent="0.25">
      <c r="O4221" s="21"/>
    </row>
    <row r="4222" spans="15:15" x14ac:dyDescent="0.25">
      <c r="O4222" s="21"/>
    </row>
    <row r="4223" spans="15:15" x14ac:dyDescent="0.25">
      <c r="O4223" s="21"/>
    </row>
    <row r="4224" spans="15:15" x14ac:dyDescent="0.25">
      <c r="O4224" s="21"/>
    </row>
    <row r="4225" spans="15:15" x14ac:dyDescent="0.25">
      <c r="O4225" s="21"/>
    </row>
    <row r="4226" spans="15:15" x14ac:dyDescent="0.25">
      <c r="O4226" s="21"/>
    </row>
    <row r="4227" spans="15:15" x14ac:dyDescent="0.25">
      <c r="O4227" s="21"/>
    </row>
    <row r="4228" spans="15:15" x14ac:dyDescent="0.25">
      <c r="O4228" s="21"/>
    </row>
    <row r="4229" spans="15:15" x14ac:dyDescent="0.25">
      <c r="O4229" s="21"/>
    </row>
    <row r="4230" spans="15:15" x14ac:dyDescent="0.25">
      <c r="O4230" s="21"/>
    </row>
    <row r="4231" spans="15:15" x14ac:dyDescent="0.25">
      <c r="O4231" s="21"/>
    </row>
    <row r="4232" spans="15:15" x14ac:dyDescent="0.25">
      <c r="O4232" s="21"/>
    </row>
    <row r="4233" spans="15:15" x14ac:dyDescent="0.25">
      <c r="O4233" s="21"/>
    </row>
    <row r="4234" spans="15:15" x14ac:dyDescent="0.25">
      <c r="O4234" s="21"/>
    </row>
    <row r="4235" spans="15:15" x14ac:dyDescent="0.25">
      <c r="O4235" s="21"/>
    </row>
    <row r="4236" spans="15:15" x14ac:dyDescent="0.25">
      <c r="O4236" s="21"/>
    </row>
    <row r="4237" spans="15:15" x14ac:dyDescent="0.25">
      <c r="O4237" s="21"/>
    </row>
    <row r="4238" spans="15:15" x14ac:dyDescent="0.25">
      <c r="O4238" s="21"/>
    </row>
    <row r="4239" spans="15:15" x14ac:dyDescent="0.25">
      <c r="O4239" s="21"/>
    </row>
    <row r="4240" spans="15:15" x14ac:dyDescent="0.25">
      <c r="O4240" s="21"/>
    </row>
    <row r="4241" spans="15:15" x14ac:dyDescent="0.25">
      <c r="O4241" s="21"/>
    </row>
    <row r="4242" spans="15:15" x14ac:dyDescent="0.25">
      <c r="O4242" s="21"/>
    </row>
    <row r="4243" spans="15:15" x14ac:dyDescent="0.25">
      <c r="O4243" s="21"/>
    </row>
    <row r="4244" spans="15:15" x14ac:dyDescent="0.25">
      <c r="O4244" s="21"/>
    </row>
    <row r="4245" spans="15:15" x14ac:dyDescent="0.25">
      <c r="O4245" s="21"/>
    </row>
    <row r="4246" spans="15:15" x14ac:dyDescent="0.25">
      <c r="O4246" s="21"/>
    </row>
    <row r="4247" spans="15:15" x14ac:dyDescent="0.25">
      <c r="O4247" s="21"/>
    </row>
    <row r="4248" spans="15:15" x14ac:dyDescent="0.25">
      <c r="O4248" s="21"/>
    </row>
    <row r="4249" spans="15:15" x14ac:dyDescent="0.25">
      <c r="O4249" s="21"/>
    </row>
    <row r="4250" spans="15:15" x14ac:dyDescent="0.25">
      <c r="O4250" s="21"/>
    </row>
    <row r="4251" spans="15:15" x14ac:dyDescent="0.25">
      <c r="O4251" s="21"/>
    </row>
    <row r="4252" spans="15:15" x14ac:dyDescent="0.25">
      <c r="O4252" s="21"/>
    </row>
    <row r="4253" spans="15:15" x14ac:dyDescent="0.25">
      <c r="O4253" s="21"/>
    </row>
    <row r="4254" spans="15:15" x14ac:dyDescent="0.25">
      <c r="O4254" s="21"/>
    </row>
    <row r="4255" spans="15:15" x14ac:dyDescent="0.25">
      <c r="O4255" s="21"/>
    </row>
    <row r="4256" spans="15:15" x14ac:dyDescent="0.25">
      <c r="O4256" s="21"/>
    </row>
    <row r="4257" spans="15:15" x14ac:dyDescent="0.25">
      <c r="O4257" s="21"/>
    </row>
    <row r="4258" spans="15:15" x14ac:dyDescent="0.25">
      <c r="O4258" s="21"/>
    </row>
    <row r="4259" spans="15:15" x14ac:dyDescent="0.25">
      <c r="O4259" s="21"/>
    </row>
    <row r="4260" spans="15:15" x14ac:dyDescent="0.25">
      <c r="O4260" s="21"/>
    </row>
    <row r="4261" spans="15:15" x14ac:dyDescent="0.25">
      <c r="O4261" s="21"/>
    </row>
    <row r="4262" spans="15:15" x14ac:dyDescent="0.25">
      <c r="O4262" s="21"/>
    </row>
    <row r="4263" spans="15:15" x14ac:dyDescent="0.25">
      <c r="O4263" s="21"/>
    </row>
    <row r="4264" spans="15:15" x14ac:dyDescent="0.25">
      <c r="O4264" s="21"/>
    </row>
    <row r="4265" spans="15:15" x14ac:dyDescent="0.25">
      <c r="O4265" s="21"/>
    </row>
    <row r="4266" spans="15:15" x14ac:dyDescent="0.25">
      <c r="O4266" s="21"/>
    </row>
    <row r="4267" spans="15:15" x14ac:dyDescent="0.25">
      <c r="O4267" s="21"/>
    </row>
    <row r="4268" spans="15:15" x14ac:dyDescent="0.25">
      <c r="O4268" s="21"/>
    </row>
    <row r="4269" spans="15:15" x14ac:dyDescent="0.25">
      <c r="O4269" s="21"/>
    </row>
    <row r="4270" spans="15:15" x14ac:dyDescent="0.25">
      <c r="O4270" s="21"/>
    </row>
    <row r="4271" spans="15:15" x14ac:dyDescent="0.25">
      <c r="O4271" s="21"/>
    </row>
    <row r="4272" spans="15:15" x14ac:dyDescent="0.25">
      <c r="O4272" s="21"/>
    </row>
    <row r="4273" spans="15:15" x14ac:dyDescent="0.25">
      <c r="O4273" s="21"/>
    </row>
    <row r="4274" spans="15:15" x14ac:dyDescent="0.25">
      <c r="O4274" s="21"/>
    </row>
    <row r="4275" spans="15:15" x14ac:dyDescent="0.25">
      <c r="O4275" s="21"/>
    </row>
    <row r="4276" spans="15:15" x14ac:dyDescent="0.25">
      <c r="O4276" s="21"/>
    </row>
    <row r="4277" spans="15:15" x14ac:dyDescent="0.25">
      <c r="O4277" s="21"/>
    </row>
    <row r="4278" spans="15:15" x14ac:dyDescent="0.25">
      <c r="O4278" s="21"/>
    </row>
    <row r="4279" spans="15:15" x14ac:dyDescent="0.25">
      <c r="O4279" s="21"/>
    </row>
    <row r="4280" spans="15:15" x14ac:dyDescent="0.25">
      <c r="O4280" s="21"/>
    </row>
    <row r="4281" spans="15:15" x14ac:dyDescent="0.25">
      <c r="O4281" s="21"/>
    </row>
    <row r="4282" spans="15:15" x14ac:dyDescent="0.25">
      <c r="O4282" s="21"/>
    </row>
    <row r="4283" spans="15:15" x14ac:dyDescent="0.25">
      <c r="O4283" s="21"/>
    </row>
    <row r="4284" spans="15:15" x14ac:dyDescent="0.25">
      <c r="O4284" s="21"/>
    </row>
    <row r="4285" spans="15:15" x14ac:dyDescent="0.25">
      <c r="O4285" s="21"/>
    </row>
    <row r="4286" spans="15:15" x14ac:dyDescent="0.25">
      <c r="O4286" s="21"/>
    </row>
    <row r="4287" spans="15:15" x14ac:dyDescent="0.25">
      <c r="O4287" s="21"/>
    </row>
    <row r="4288" spans="15:15" x14ac:dyDescent="0.25">
      <c r="O4288" s="21"/>
    </row>
    <row r="4289" spans="15:15" x14ac:dyDescent="0.25">
      <c r="O4289" s="21"/>
    </row>
    <row r="4290" spans="15:15" x14ac:dyDescent="0.25">
      <c r="O4290" s="21"/>
    </row>
    <row r="4291" spans="15:15" x14ac:dyDescent="0.25">
      <c r="O4291" s="21"/>
    </row>
    <row r="4292" spans="15:15" x14ac:dyDescent="0.25">
      <c r="O4292" s="21"/>
    </row>
    <row r="4293" spans="15:15" x14ac:dyDescent="0.25">
      <c r="O4293" s="21"/>
    </row>
    <row r="4294" spans="15:15" x14ac:dyDescent="0.25">
      <c r="O4294" s="21"/>
    </row>
    <row r="4295" spans="15:15" x14ac:dyDescent="0.25">
      <c r="O4295" s="21"/>
    </row>
    <row r="4296" spans="15:15" x14ac:dyDescent="0.25">
      <c r="O4296" s="21"/>
    </row>
    <row r="4297" spans="15:15" x14ac:dyDescent="0.25">
      <c r="O4297" s="21"/>
    </row>
    <row r="4298" spans="15:15" x14ac:dyDescent="0.25">
      <c r="O4298" s="21"/>
    </row>
    <row r="4299" spans="15:15" x14ac:dyDescent="0.25">
      <c r="O4299" s="21"/>
    </row>
    <row r="4300" spans="15:15" x14ac:dyDescent="0.25">
      <c r="O4300" s="21"/>
    </row>
    <row r="4301" spans="15:15" x14ac:dyDescent="0.25">
      <c r="O4301" s="21"/>
    </row>
    <row r="4302" spans="15:15" x14ac:dyDescent="0.25">
      <c r="O4302" s="21"/>
    </row>
    <row r="4303" spans="15:15" x14ac:dyDescent="0.25">
      <c r="O4303" s="21"/>
    </row>
    <row r="4304" spans="15:15" x14ac:dyDescent="0.25">
      <c r="O4304" s="21"/>
    </row>
    <row r="4305" spans="15:15" x14ac:dyDescent="0.25">
      <c r="O4305" s="21"/>
    </row>
    <row r="4306" spans="15:15" x14ac:dyDescent="0.25">
      <c r="O4306" s="21"/>
    </row>
    <row r="4307" spans="15:15" x14ac:dyDescent="0.25">
      <c r="O4307" s="21"/>
    </row>
    <row r="4308" spans="15:15" x14ac:dyDescent="0.25">
      <c r="O4308" s="21"/>
    </row>
    <row r="4309" spans="15:15" x14ac:dyDescent="0.25">
      <c r="O4309" s="21"/>
    </row>
    <row r="4310" spans="15:15" x14ac:dyDescent="0.25">
      <c r="O4310" s="21"/>
    </row>
    <row r="4311" spans="15:15" x14ac:dyDescent="0.25">
      <c r="O4311" s="21"/>
    </row>
    <row r="4312" spans="15:15" x14ac:dyDescent="0.25">
      <c r="O4312" s="21"/>
    </row>
    <row r="4313" spans="15:15" x14ac:dyDescent="0.25">
      <c r="O4313" s="21"/>
    </row>
    <row r="4314" spans="15:15" x14ac:dyDescent="0.25">
      <c r="O4314" s="21"/>
    </row>
    <row r="4315" spans="15:15" x14ac:dyDescent="0.25">
      <c r="O4315" s="21"/>
    </row>
    <row r="4316" spans="15:15" x14ac:dyDescent="0.25">
      <c r="O4316" s="21"/>
    </row>
    <row r="4317" spans="15:15" x14ac:dyDescent="0.25">
      <c r="O4317" s="21"/>
    </row>
    <row r="4318" spans="15:15" x14ac:dyDescent="0.25">
      <c r="O4318" s="21"/>
    </row>
    <row r="4319" spans="15:15" x14ac:dyDescent="0.25">
      <c r="O4319" s="21"/>
    </row>
    <row r="4320" spans="15:15" x14ac:dyDescent="0.25">
      <c r="O4320" s="21"/>
    </row>
    <row r="4321" spans="15:15" x14ac:dyDescent="0.25">
      <c r="O4321" s="21"/>
    </row>
    <row r="4322" spans="15:15" x14ac:dyDescent="0.25">
      <c r="O4322" s="21"/>
    </row>
    <row r="4323" spans="15:15" x14ac:dyDescent="0.25">
      <c r="O4323" s="21"/>
    </row>
    <row r="4324" spans="15:15" x14ac:dyDescent="0.25">
      <c r="O4324" s="21"/>
    </row>
    <row r="4325" spans="15:15" x14ac:dyDescent="0.25">
      <c r="O4325" s="21"/>
    </row>
    <row r="4326" spans="15:15" x14ac:dyDescent="0.25">
      <c r="O4326" s="21"/>
    </row>
    <row r="4327" spans="15:15" x14ac:dyDescent="0.25">
      <c r="O4327" s="21"/>
    </row>
    <row r="4328" spans="15:15" x14ac:dyDescent="0.25">
      <c r="O4328" s="21"/>
    </row>
    <row r="4329" spans="15:15" x14ac:dyDescent="0.25">
      <c r="O4329" s="21"/>
    </row>
    <row r="4330" spans="15:15" x14ac:dyDescent="0.25">
      <c r="O4330" s="21"/>
    </row>
    <row r="4331" spans="15:15" x14ac:dyDescent="0.25">
      <c r="O4331" s="21"/>
    </row>
    <row r="4332" spans="15:15" x14ac:dyDescent="0.25">
      <c r="O4332" s="21"/>
    </row>
    <row r="4333" spans="15:15" x14ac:dyDescent="0.25">
      <c r="O4333" s="21"/>
    </row>
    <row r="4334" spans="15:15" x14ac:dyDescent="0.25">
      <c r="O4334" s="21"/>
    </row>
    <row r="4335" spans="15:15" x14ac:dyDescent="0.25">
      <c r="O4335" s="21"/>
    </row>
    <row r="4336" spans="15:15" x14ac:dyDescent="0.25">
      <c r="O4336" s="21"/>
    </row>
    <row r="4337" spans="15:15" x14ac:dyDescent="0.25">
      <c r="O4337" s="21"/>
    </row>
    <row r="4338" spans="15:15" x14ac:dyDescent="0.25">
      <c r="O4338" s="21"/>
    </row>
    <row r="4339" spans="15:15" x14ac:dyDescent="0.25">
      <c r="O4339" s="21"/>
    </row>
    <row r="4340" spans="15:15" x14ac:dyDescent="0.25">
      <c r="O4340" s="21"/>
    </row>
    <row r="4341" spans="15:15" x14ac:dyDescent="0.25">
      <c r="O4341" s="21"/>
    </row>
    <row r="4342" spans="15:15" x14ac:dyDescent="0.25">
      <c r="O4342" s="21"/>
    </row>
    <row r="4343" spans="15:15" x14ac:dyDescent="0.25">
      <c r="O4343" s="21"/>
    </row>
    <row r="4344" spans="15:15" x14ac:dyDescent="0.25">
      <c r="O4344" s="21"/>
    </row>
    <row r="4345" spans="15:15" x14ac:dyDescent="0.25">
      <c r="O4345" s="21"/>
    </row>
    <row r="4346" spans="15:15" x14ac:dyDescent="0.25">
      <c r="O4346" s="21"/>
    </row>
    <row r="4347" spans="15:15" x14ac:dyDescent="0.25">
      <c r="O4347" s="21"/>
    </row>
    <row r="4348" spans="15:15" x14ac:dyDescent="0.25">
      <c r="O4348" s="21"/>
    </row>
    <row r="4349" spans="15:15" x14ac:dyDescent="0.25">
      <c r="O4349" s="21"/>
    </row>
    <row r="4350" spans="15:15" x14ac:dyDescent="0.25">
      <c r="O4350" s="21"/>
    </row>
    <row r="4351" spans="15:15" x14ac:dyDescent="0.25">
      <c r="O4351" s="21"/>
    </row>
    <row r="4352" spans="15:15" x14ac:dyDescent="0.25">
      <c r="O4352" s="21"/>
    </row>
    <row r="4353" spans="15:15" x14ac:dyDescent="0.25">
      <c r="O4353" s="21"/>
    </row>
    <row r="4354" spans="15:15" x14ac:dyDescent="0.25">
      <c r="O4354" s="21"/>
    </row>
    <row r="4355" spans="15:15" x14ac:dyDescent="0.25">
      <c r="O4355" s="21"/>
    </row>
    <row r="4356" spans="15:15" x14ac:dyDescent="0.25">
      <c r="O4356" s="21"/>
    </row>
    <row r="4357" spans="15:15" x14ac:dyDescent="0.25">
      <c r="O4357" s="21"/>
    </row>
    <row r="4358" spans="15:15" x14ac:dyDescent="0.25">
      <c r="O4358" s="21"/>
    </row>
    <row r="4359" spans="15:15" x14ac:dyDescent="0.25">
      <c r="O4359" s="21"/>
    </row>
    <row r="4360" spans="15:15" x14ac:dyDescent="0.25">
      <c r="O4360" s="21"/>
    </row>
    <row r="4361" spans="15:15" x14ac:dyDescent="0.25">
      <c r="O4361" s="21"/>
    </row>
    <row r="4362" spans="15:15" x14ac:dyDescent="0.25">
      <c r="O4362" s="21"/>
    </row>
    <row r="4363" spans="15:15" x14ac:dyDescent="0.25">
      <c r="O4363" s="21"/>
    </row>
    <row r="4364" spans="15:15" x14ac:dyDescent="0.25">
      <c r="O4364" s="21"/>
    </row>
    <row r="4365" spans="15:15" x14ac:dyDescent="0.25">
      <c r="O4365" s="21"/>
    </row>
    <row r="4366" spans="15:15" x14ac:dyDescent="0.25">
      <c r="O4366" s="21"/>
    </row>
    <row r="4367" spans="15:15" x14ac:dyDescent="0.25">
      <c r="O4367" s="21"/>
    </row>
    <row r="4368" spans="15:15" x14ac:dyDescent="0.25">
      <c r="O4368" s="21"/>
    </row>
    <row r="4369" spans="15:15" x14ac:dyDescent="0.25">
      <c r="O4369" s="21"/>
    </row>
    <row r="4370" spans="15:15" x14ac:dyDescent="0.25">
      <c r="O4370" s="21"/>
    </row>
    <row r="4371" spans="15:15" x14ac:dyDescent="0.25">
      <c r="O4371" s="21"/>
    </row>
    <row r="4372" spans="15:15" x14ac:dyDescent="0.25">
      <c r="O4372" s="21"/>
    </row>
    <row r="4373" spans="15:15" x14ac:dyDescent="0.25">
      <c r="O4373" s="21"/>
    </row>
    <row r="4374" spans="15:15" x14ac:dyDescent="0.25">
      <c r="O4374" s="21"/>
    </row>
    <row r="4375" spans="15:15" x14ac:dyDescent="0.25">
      <c r="O4375" s="21"/>
    </row>
    <row r="4376" spans="15:15" x14ac:dyDescent="0.25">
      <c r="O4376" s="21"/>
    </row>
    <row r="4377" spans="15:15" x14ac:dyDescent="0.25">
      <c r="O4377" s="21"/>
    </row>
    <row r="4378" spans="15:15" x14ac:dyDescent="0.25">
      <c r="O4378" s="21"/>
    </row>
    <row r="4379" spans="15:15" x14ac:dyDescent="0.25">
      <c r="O4379" s="21"/>
    </row>
    <row r="4380" spans="15:15" x14ac:dyDescent="0.25">
      <c r="O4380" s="21"/>
    </row>
    <row r="4381" spans="15:15" x14ac:dyDescent="0.25">
      <c r="O4381" s="21"/>
    </row>
    <row r="4382" spans="15:15" x14ac:dyDescent="0.25">
      <c r="O4382" s="21"/>
    </row>
    <row r="4383" spans="15:15" x14ac:dyDescent="0.25">
      <c r="O4383" s="21"/>
    </row>
    <row r="4384" spans="15:15" x14ac:dyDescent="0.25">
      <c r="O4384" s="21"/>
    </row>
    <row r="4385" spans="15:15" x14ac:dyDescent="0.25">
      <c r="O4385" s="21"/>
    </row>
    <row r="4386" spans="15:15" x14ac:dyDescent="0.25">
      <c r="O4386" s="21"/>
    </row>
    <row r="4387" spans="15:15" x14ac:dyDescent="0.25">
      <c r="O4387" s="21"/>
    </row>
    <row r="4388" spans="15:15" x14ac:dyDescent="0.25">
      <c r="O4388" s="21"/>
    </row>
    <row r="4389" spans="15:15" x14ac:dyDescent="0.25">
      <c r="O4389" s="21"/>
    </row>
    <row r="4390" spans="15:15" x14ac:dyDescent="0.25">
      <c r="O4390" s="21"/>
    </row>
    <row r="4391" spans="15:15" x14ac:dyDescent="0.25">
      <c r="O4391" s="21"/>
    </row>
    <row r="4392" spans="15:15" x14ac:dyDescent="0.25">
      <c r="O4392" s="21"/>
    </row>
    <row r="4393" spans="15:15" x14ac:dyDescent="0.25">
      <c r="O4393" s="21"/>
    </row>
    <row r="4394" spans="15:15" x14ac:dyDescent="0.25">
      <c r="O4394" s="21"/>
    </row>
    <row r="4395" spans="15:15" x14ac:dyDescent="0.25">
      <c r="O4395" s="21"/>
    </row>
    <row r="4396" spans="15:15" x14ac:dyDescent="0.25">
      <c r="O4396" s="21"/>
    </row>
    <row r="4397" spans="15:15" x14ac:dyDescent="0.25">
      <c r="O4397" s="21"/>
    </row>
    <row r="4398" spans="15:15" x14ac:dyDescent="0.25">
      <c r="O4398" s="21"/>
    </row>
    <row r="4399" spans="15:15" x14ac:dyDescent="0.25">
      <c r="O4399" s="21"/>
    </row>
    <row r="4400" spans="15:15" x14ac:dyDescent="0.25">
      <c r="O4400" s="21"/>
    </row>
    <row r="4401" spans="15:15" x14ac:dyDescent="0.25">
      <c r="O4401" s="21"/>
    </row>
    <row r="4402" spans="15:15" x14ac:dyDescent="0.25">
      <c r="O4402" s="21"/>
    </row>
    <row r="4403" spans="15:15" x14ac:dyDescent="0.25">
      <c r="O4403" s="21"/>
    </row>
    <row r="4404" spans="15:15" x14ac:dyDescent="0.25">
      <c r="O4404" s="21"/>
    </row>
    <row r="4405" spans="15:15" x14ac:dyDescent="0.25">
      <c r="O4405" s="21"/>
    </row>
    <row r="4406" spans="15:15" x14ac:dyDescent="0.25">
      <c r="O4406" s="21"/>
    </row>
    <row r="4407" spans="15:15" x14ac:dyDescent="0.25">
      <c r="O4407" s="21"/>
    </row>
    <row r="4408" spans="15:15" x14ac:dyDescent="0.25">
      <c r="O4408" s="21"/>
    </row>
    <row r="4409" spans="15:15" x14ac:dyDescent="0.25">
      <c r="O4409" s="21"/>
    </row>
    <row r="4410" spans="15:15" x14ac:dyDescent="0.25">
      <c r="O4410" s="21"/>
    </row>
    <row r="4411" spans="15:15" x14ac:dyDescent="0.25">
      <c r="O4411" s="21"/>
    </row>
    <row r="4412" spans="15:15" x14ac:dyDescent="0.25">
      <c r="O4412" s="21"/>
    </row>
    <row r="4413" spans="15:15" x14ac:dyDescent="0.25">
      <c r="O4413" s="21"/>
    </row>
    <row r="4414" spans="15:15" x14ac:dyDescent="0.25">
      <c r="O4414" s="21"/>
    </row>
    <row r="4415" spans="15:15" x14ac:dyDescent="0.25">
      <c r="O4415" s="21"/>
    </row>
    <row r="4416" spans="15:15" x14ac:dyDescent="0.25">
      <c r="O4416" s="21"/>
    </row>
    <row r="4417" spans="15:15" x14ac:dyDescent="0.25">
      <c r="O4417" s="21"/>
    </row>
    <row r="4418" spans="15:15" x14ac:dyDescent="0.25">
      <c r="O4418" s="21"/>
    </row>
    <row r="4419" spans="15:15" x14ac:dyDescent="0.25">
      <c r="O4419" s="21"/>
    </row>
    <row r="4420" spans="15:15" x14ac:dyDescent="0.25">
      <c r="O4420" s="21"/>
    </row>
    <row r="4421" spans="15:15" x14ac:dyDescent="0.25">
      <c r="O4421" s="21"/>
    </row>
    <row r="4422" spans="15:15" x14ac:dyDescent="0.25">
      <c r="O4422" s="21"/>
    </row>
    <row r="4423" spans="15:15" x14ac:dyDescent="0.25">
      <c r="O4423" s="21"/>
    </row>
    <row r="4424" spans="15:15" x14ac:dyDescent="0.25">
      <c r="O4424" s="21"/>
    </row>
    <row r="4425" spans="15:15" x14ac:dyDescent="0.25">
      <c r="O4425" s="21"/>
    </row>
    <row r="4426" spans="15:15" x14ac:dyDescent="0.25">
      <c r="O4426" s="21"/>
    </row>
    <row r="4427" spans="15:15" x14ac:dyDescent="0.25">
      <c r="O4427" s="21"/>
    </row>
    <row r="4428" spans="15:15" x14ac:dyDescent="0.25">
      <c r="O4428" s="21"/>
    </row>
    <row r="4429" spans="15:15" x14ac:dyDescent="0.25">
      <c r="O4429" s="21"/>
    </row>
    <row r="4430" spans="15:15" x14ac:dyDescent="0.25">
      <c r="O4430" s="21"/>
    </row>
    <row r="4431" spans="15:15" x14ac:dyDescent="0.25">
      <c r="O4431" s="21"/>
    </row>
    <row r="4432" spans="15:15" x14ac:dyDescent="0.25">
      <c r="O4432" s="21"/>
    </row>
    <row r="4433" spans="15:15" x14ac:dyDescent="0.25">
      <c r="O4433" s="21"/>
    </row>
    <row r="4434" spans="15:15" x14ac:dyDescent="0.25">
      <c r="O4434" s="21"/>
    </row>
    <row r="4435" spans="15:15" x14ac:dyDescent="0.25">
      <c r="O4435" s="21"/>
    </row>
    <row r="4436" spans="15:15" x14ac:dyDescent="0.25">
      <c r="O4436" s="21"/>
    </row>
    <row r="4437" spans="15:15" x14ac:dyDescent="0.25">
      <c r="O4437" s="21"/>
    </row>
    <row r="4438" spans="15:15" x14ac:dyDescent="0.25">
      <c r="O4438" s="21"/>
    </row>
    <row r="4439" spans="15:15" x14ac:dyDescent="0.25">
      <c r="O4439" s="21"/>
    </row>
    <row r="4440" spans="15:15" x14ac:dyDescent="0.25">
      <c r="O4440" s="21"/>
    </row>
    <row r="4441" spans="15:15" x14ac:dyDescent="0.25">
      <c r="O4441" s="21"/>
    </row>
    <row r="4442" spans="15:15" x14ac:dyDescent="0.25">
      <c r="O4442" s="21"/>
    </row>
    <row r="4443" spans="15:15" x14ac:dyDescent="0.25">
      <c r="O4443" s="21"/>
    </row>
    <row r="4444" spans="15:15" x14ac:dyDescent="0.25">
      <c r="O4444" s="21"/>
    </row>
    <row r="4445" spans="15:15" x14ac:dyDescent="0.25">
      <c r="O4445" s="21"/>
    </row>
    <row r="4446" spans="15:15" x14ac:dyDescent="0.25">
      <c r="O4446" s="21"/>
    </row>
    <row r="4447" spans="15:15" x14ac:dyDescent="0.25">
      <c r="O4447" s="21"/>
    </row>
    <row r="4448" spans="15:15" x14ac:dyDescent="0.25">
      <c r="O4448" s="21"/>
    </row>
    <row r="4449" spans="15:15" x14ac:dyDescent="0.25">
      <c r="O4449" s="21"/>
    </row>
    <row r="4450" spans="15:15" x14ac:dyDescent="0.25">
      <c r="O4450" s="21"/>
    </row>
    <row r="4451" spans="15:15" x14ac:dyDescent="0.25">
      <c r="O4451" s="21"/>
    </row>
    <row r="4452" spans="15:15" x14ac:dyDescent="0.25">
      <c r="O4452" s="21"/>
    </row>
    <row r="4453" spans="15:15" x14ac:dyDescent="0.25">
      <c r="O4453" s="21"/>
    </row>
    <row r="4454" spans="15:15" x14ac:dyDescent="0.25">
      <c r="O4454" s="21"/>
    </row>
    <row r="4455" spans="15:15" x14ac:dyDescent="0.25">
      <c r="O4455" s="21"/>
    </row>
    <row r="4456" spans="15:15" x14ac:dyDescent="0.25">
      <c r="O4456" s="21"/>
    </row>
    <row r="4457" spans="15:15" x14ac:dyDescent="0.25">
      <c r="O4457" s="21"/>
    </row>
    <row r="4458" spans="15:15" x14ac:dyDescent="0.25">
      <c r="O4458" s="21"/>
    </row>
    <row r="4459" spans="15:15" x14ac:dyDescent="0.25">
      <c r="O4459" s="21"/>
    </row>
    <row r="4460" spans="15:15" x14ac:dyDescent="0.25">
      <c r="O4460" s="21"/>
    </row>
    <row r="4461" spans="15:15" x14ac:dyDescent="0.25">
      <c r="O4461" s="21"/>
    </row>
    <row r="4462" spans="15:15" x14ac:dyDescent="0.25">
      <c r="O4462" s="21"/>
    </row>
    <row r="4463" spans="15:15" x14ac:dyDescent="0.25">
      <c r="O4463" s="21"/>
    </row>
    <row r="4464" spans="15:15" x14ac:dyDescent="0.25">
      <c r="O4464" s="21"/>
    </row>
    <row r="4465" spans="15:15" x14ac:dyDescent="0.25">
      <c r="O4465" s="21"/>
    </row>
    <row r="4466" spans="15:15" x14ac:dyDescent="0.25">
      <c r="O4466" s="21"/>
    </row>
    <row r="4467" spans="15:15" x14ac:dyDescent="0.25">
      <c r="O4467" s="21"/>
    </row>
    <row r="4468" spans="15:15" x14ac:dyDescent="0.25">
      <c r="O4468" s="21"/>
    </row>
    <row r="4469" spans="15:15" x14ac:dyDescent="0.25">
      <c r="O4469" s="21"/>
    </row>
    <row r="4470" spans="15:15" x14ac:dyDescent="0.25">
      <c r="O4470" s="21"/>
    </row>
    <row r="4471" spans="15:15" x14ac:dyDescent="0.25">
      <c r="O4471" s="21"/>
    </row>
    <row r="4472" spans="15:15" x14ac:dyDescent="0.25">
      <c r="O4472" s="21"/>
    </row>
    <row r="4473" spans="15:15" x14ac:dyDescent="0.25">
      <c r="O4473" s="21"/>
    </row>
    <row r="4474" spans="15:15" x14ac:dyDescent="0.25">
      <c r="O4474" s="21"/>
    </row>
    <row r="4475" spans="15:15" x14ac:dyDescent="0.25">
      <c r="O4475" s="21"/>
    </row>
    <row r="4476" spans="15:15" x14ac:dyDescent="0.25">
      <c r="O4476" s="21"/>
    </row>
    <row r="4477" spans="15:15" x14ac:dyDescent="0.25">
      <c r="O4477" s="21"/>
    </row>
    <row r="4478" spans="15:15" x14ac:dyDescent="0.25">
      <c r="O4478" s="21"/>
    </row>
    <row r="4479" spans="15:15" x14ac:dyDescent="0.25">
      <c r="O4479" s="21"/>
    </row>
    <row r="4480" spans="15:15" x14ac:dyDescent="0.25">
      <c r="O4480" s="21"/>
    </row>
    <row r="4481" spans="15:15" x14ac:dyDescent="0.25">
      <c r="O4481" s="21"/>
    </row>
    <row r="4482" spans="15:15" x14ac:dyDescent="0.25">
      <c r="O4482" s="21"/>
    </row>
    <row r="4483" spans="15:15" x14ac:dyDescent="0.25">
      <c r="O4483" s="21"/>
    </row>
    <row r="4484" spans="15:15" x14ac:dyDescent="0.25">
      <c r="O4484" s="21"/>
    </row>
    <row r="4485" spans="15:15" x14ac:dyDescent="0.25">
      <c r="O4485" s="21"/>
    </row>
    <row r="4486" spans="15:15" x14ac:dyDescent="0.25">
      <c r="O4486" s="21"/>
    </row>
    <row r="4487" spans="15:15" x14ac:dyDescent="0.25">
      <c r="O4487" s="21"/>
    </row>
    <row r="4488" spans="15:15" x14ac:dyDescent="0.25">
      <c r="O4488" s="21"/>
    </row>
    <row r="4489" spans="15:15" x14ac:dyDescent="0.25">
      <c r="O4489" s="21"/>
    </row>
    <row r="4490" spans="15:15" x14ac:dyDescent="0.25">
      <c r="O4490" s="21"/>
    </row>
    <row r="4491" spans="15:15" x14ac:dyDescent="0.25">
      <c r="O4491" s="21"/>
    </row>
    <row r="4492" spans="15:15" x14ac:dyDescent="0.25">
      <c r="O4492" s="21"/>
    </row>
    <row r="4493" spans="15:15" x14ac:dyDescent="0.25">
      <c r="O4493" s="21"/>
    </row>
    <row r="4494" spans="15:15" x14ac:dyDescent="0.25">
      <c r="O4494" s="21"/>
    </row>
    <row r="4495" spans="15:15" x14ac:dyDescent="0.25">
      <c r="O4495" s="21"/>
    </row>
    <row r="4496" spans="15:15" x14ac:dyDescent="0.25">
      <c r="O4496" s="21"/>
    </row>
    <row r="4497" spans="15:15" x14ac:dyDescent="0.25">
      <c r="O4497" s="21"/>
    </row>
    <row r="4498" spans="15:15" x14ac:dyDescent="0.25">
      <c r="O4498" s="21"/>
    </row>
    <row r="4499" spans="15:15" x14ac:dyDescent="0.25">
      <c r="O4499" s="21"/>
    </row>
    <row r="4500" spans="15:15" x14ac:dyDescent="0.25">
      <c r="O4500" s="21"/>
    </row>
    <row r="4501" spans="15:15" x14ac:dyDescent="0.25">
      <c r="O4501" s="21"/>
    </row>
    <row r="4502" spans="15:15" x14ac:dyDescent="0.25">
      <c r="O4502" s="21"/>
    </row>
    <row r="4503" spans="15:15" x14ac:dyDescent="0.25">
      <c r="O4503" s="21"/>
    </row>
    <row r="4504" spans="15:15" x14ac:dyDescent="0.25">
      <c r="O4504" s="21"/>
    </row>
    <row r="4505" spans="15:15" x14ac:dyDescent="0.25">
      <c r="O4505" s="21"/>
    </row>
    <row r="4506" spans="15:15" x14ac:dyDescent="0.25">
      <c r="O4506" s="21"/>
    </row>
    <row r="4507" spans="15:15" x14ac:dyDescent="0.25">
      <c r="O4507" s="21"/>
    </row>
    <row r="4508" spans="15:15" x14ac:dyDescent="0.25">
      <c r="O4508" s="21"/>
    </row>
    <row r="4509" spans="15:15" x14ac:dyDescent="0.25">
      <c r="O4509" s="21"/>
    </row>
    <row r="4510" spans="15:15" x14ac:dyDescent="0.25">
      <c r="O4510" s="21"/>
    </row>
    <row r="4511" spans="15:15" x14ac:dyDescent="0.25">
      <c r="O4511" s="21"/>
    </row>
    <row r="4512" spans="15:15" x14ac:dyDescent="0.25">
      <c r="O4512" s="21"/>
    </row>
    <row r="4513" spans="15:15" x14ac:dyDescent="0.25">
      <c r="O4513" s="21"/>
    </row>
    <row r="4514" spans="15:15" x14ac:dyDescent="0.25">
      <c r="O4514" s="21"/>
    </row>
    <row r="4515" spans="15:15" x14ac:dyDescent="0.25">
      <c r="O4515" s="21"/>
    </row>
    <row r="4516" spans="15:15" x14ac:dyDescent="0.25">
      <c r="O4516" s="21"/>
    </row>
    <row r="4517" spans="15:15" x14ac:dyDescent="0.25">
      <c r="O4517" s="21"/>
    </row>
    <row r="4518" spans="15:15" x14ac:dyDescent="0.25">
      <c r="O4518" s="21"/>
    </row>
    <row r="4519" spans="15:15" x14ac:dyDescent="0.25">
      <c r="O4519" s="21"/>
    </row>
    <row r="4520" spans="15:15" x14ac:dyDescent="0.25">
      <c r="O4520" s="21"/>
    </row>
    <row r="4521" spans="15:15" x14ac:dyDescent="0.25">
      <c r="O4521" s="21"/>
    </row>
    <row r="4522" spans="15:15" x14ac:dyDescent="0.25">
      <c r="O4522" s="21"/>
    </row>
    <row r="4523" spans="15:15" x14ac:dyDescent="0.25">
      <c r="O4523" s="21"/>
    </row>
    <row r="4524" spans="15:15" x14ac:dyDescent="0.25">
      <c r="O4524" s="21"/>
    </row>
    <row r="4525" spans="15:15" x14ac:dyDescent="0.25">
      <c r="O4525" s="21"/>
    </row>
    <row r="4526" spans="15:15" x14ac:dyDescent="0.25">
      <c r="O4526" s="21"/>
    </row>
    <row r="4527" spans="15:15" x14ac:dyDescent="0.25">
      <c r="O4527" s="21"/>
    </row>
    <row r="4528" spans="15:15" x14ac:dyDescent="0.25">
      <c r="O4528" s="21"/>
    </row>
    <row r="4529" spans="15:15" x14ac:dyDescent="0.25">
      <c r="O4529" s="21"/>
    </row>
    <row r="4530" spans="15:15" x14ac:dyDescent="0.25">
      <c r="O4530" s="21"/>
    </row>
    <row r="4531" spans="15:15" x14ac:dyDescent="0.25">
      <c r="O4531" s="21"/>
    </row>
    <row r="4532" spans="15:15" x14ac:dyDescent="0.25">
      <c r="O4532" s="21"/>
    </row>
    <row r="4533" spans="15:15" x14ac:dyDescent="0.25">
      <c r="O4533" s="21"/>
    </row>
    <row r="4534" spans="15:15" x14ac:dyDescent="0.25">
      <c r="O4534" s="21"/>
    </row>
    <row r="4535" spans="15:15" x14ac:dyDescent="0.25">
      <c r="O4535" s="21"/>
    </row>
    <row r="4536" spans="15:15" x14ac:dyDescent="0.25">
      <c r="O4536" s="21"/>
    </row>
    <row r="4537" spans="15:15" x14ac:dyDescent="0.25">
      <c r="O4537" s="21"/>
    </row>
    <row r="4538" spans="15:15" x14ac:dyDescent="0.25">
      <c r="O4538" s="21"/>
    </row>
    <row r="4539" spans="15:15" x14ac:dyDescent="0.25">
      <c r="O4539" s="21"/>
    </row>
    <row r="4540" spans="15:15" x14ac:dyDescent="0.25">
      <c r="O4540" s="21"/>
    </row>
    <row r="4541" spans="15:15" x14ac:dyDescent="0.25">
      <c r="O4541" s="21"/>
    </row>
    <row r="4542" spans="15:15" x14ac:dyDescent="0.25">
      <c r="O4542" s="21"/>
    </row>
    <row r="4543" spans="15:15" x14ac:dyDescent="0.25">
      <c r="O4543" s="21"/>
    </row>
    <row r="4544" spans="15:15" x14ac:dyDescent="0.25">
      <c r="O4544" s="21"/>
    </row>
    <row r="4545" spans="15:15" x14ac:dyDescent="0.25">
      <c r="O4545" s="21"/>
    </row>
    <row r="4546" spans="15:15" x14ac:dyDescent="0.25">
      <c r="O4546" s="21"/>
    </row>
    <row r="4547" spans="15:15" x14ac:dyDescent="0.25">
      <c r="O4547" s="21"/>
    </row>
    <row r="4548" spans="15:15" x14ac:dyDescent="0.25">
      <c r="O4548" s="21"/>
    </row>
    <row r="4549" spans="15:15" x14ac:dyDescent="0.25">
      <c r="O4549" s="21"/>
    </row>
    <row r="4550" spans="15:15" x14ac:dyDescent="0.25">
      <c r="O4550" s="21"/>
    </row>
    <row r="4551" spans="15:15" x14ac:dyDescent="0.25">
      <c r="O4551" s="21"/>
    </row>
    <row r="4552" spans="15:15" x14ac:dyDescent="0.25">
      <c r="O4552" s="21"/>
    </row>
    <row r="4553" spans="15:15" x14ac:dyDescent="0.25">
      <c r="O4553" s="21"/>
    </row>
    <row r="4554" spans="15:15" x14ac:dyDescent="0.25">
      <c r="O4554" s="21"/>
    </row>
    <row r="4555" spans="15:15" x14ac:dyDescent="0.25">
      <c r="O4555" s="21"/>
    </row>
    <row r="4556" spans="15:15" x14ac:dyDescent="0.25">
      <c r="O4556" s="21"/>
    </row>
    <row r="4557" spans="15:15" x14ac:dyDescent="0.25">
      <c r="O4557" s="21"/>
    </row>
    <row r="4558" spans="15:15" x14ac:dyDescent="0.25">
      <c r="O4558" s="21"/>
    </row>
    <row r="4559" spans="15:15" x14ac:dyDescent="0.25">
      <c r="O4559" s="21"/>
    </row>
    <row r="4560" spans="15:15" x14ac:dyDescent="0.25">
      <c r="O4560" s="21"/>
    </row>
    <row r="4561" spans="15:15" x14ac:dyDescent="0.25">
      <c r="O4561" s="21"/>
    </row>
    <row r="4562" spans="15:15" x14ac:dyDescent="0.25">
      <c r="O4562" s="21"/>
    </row>
    <row r="4563" spans="15:15" x14ac:dyDescent="0.25">
      <c r="O4563" s="21"/>
    </row>
    <row r="4564" spans="15:15" x14ac:dyDescent="0.25">
      <c r="O4564" s="21"/>
    </row>
    <row r="4565" spans="15:15" x14ac:dyDescent="0.25">
      <c r="O4565" s="21"/>
    </row>
    <row r="4566" spans="15:15" x14ac:dyDescent="0.25">
      <c r="O4566" s="21"/>
    </row>
    <row r="4567" spans="15:15" x14ac:dyDescent="0.25">
      <c r="O4567" s="21"/>
    </row>
    <row r="4568" spans="15:15" x14ac:dyDescent="0.25">
      <c r="O4568" s="21"/>
    </row>
    <row r="4569" spans="15:15" x14ac:dyDescent="0.25">
      <c r="O4569" s="21"/>
    </row>
    <row r="4570" spans="15:15" x14ac:dyDescent="0.25">
      <c r="O4570" s="21"/>
    </row>
    <row r="4571" spans="15:15" x14ac:dyDescent="0.25">
      <c r="O4571" s="21"/>
    </row>
    <row r="4572" spans="15:15" x14ac:dyDescent="0.25">
      <c r="O4572" s="21"/>
    </row>
    <row r="4573" spans="15:15" x14ac:dyDescent="0.25">
      <c r="O4573" s="21"/>
    </row>
    <row r="4574" spans="15:15" x14ac:dyDescent="0.25">
      <c r="O4574" s="21"/>
    </row>
    <row r="4575" spans="15:15" x14ac:dyDescent="0.25">
      <c r="O4575" s="21"/>
    </row>
    <row r="4576" spans="15:15" x14ac:dyDescent="0.25">
      <c r="O4576" s="21"/>
    </row>
    <row r="4577" spans="15:15" x14ac:dyDescent="0.25">
      <c r="O4577" s="21"/>
    </row>
    <row r="4578" spans="15:15" x14ac:dyDescent="0.25">
      <c r="O4578" s="21"/>
    </row>
    <row r="4579" spans="15:15" x14ac:dyDescent="0.25">
      <c r="O4579" s="21"/>
    </row>
    <row r="4580" spans="15:15" x14ac:dyDescent="0.25">
      <c r="O4580" s="21"/>
    </row>
    <row r="4581" spans="15:15" x14ac:dyDescent="0.25">
      <c r="O4581" s="21"/>
    </row>
    <row r="4582" spans="15:15" x14ac:dyDescent="0.25">
      <c r="O4582" s="21"/>
    </row>
    <row r="4583" spans="15:15" x14ac:dyDescent="0.25">
      <c r="O4583" s="21"/>
    </row>
    <row r="4584" spans="15:15" x14ac:dyDescent="0.25">
      <c r="O4584" s="21"/>
    </row>
    <row r="4585" spans="15:15" x14ac:dyDescent="0.25">
      <c r="O4585" s="21"/>
    </row>
    <row r="4586" spans="15:15" x14ac:dyDescent="0.25">
      <c r="O4586" s="21"/>
    </row>
    <row r="4587" spans="15:15" x14ac:dyDescent="0.25">
      <c r="O4587" s="21"/>
    </row>
    <row r="4588" spans="15:15" x14ac:dyDescent="0.25">
      <c r="O4588" s="21"/>
    </row>
    <row r="4589" spans="15:15" x14ac:dyDescent="0.25">
      <c r="O4589" s="21"/>
    </row>
    <row r="4590" spans="15:15" x14ac:dyDescent="0.25">
      <c r="O4590" s="21"/>
    </row>
    <row r="4591" spans="15:15" x14ac:dyDescent="0.25">
      <c r="O4591" s="21"/>
    </row>
    <row r="4592" spans="15:15" x14ac:dyDescent="0.25">
      <c r="O4592" s="21"/>
    </row>
    <row r="4593" spans="15:15" x14ac:dyDescent="0.25">
      <c r="O4593" s="21"/>
    </row>
    <row r="4594" spans="15:15" x14ac:dyDescent="0.25">
      <c r="O4594" s="21"/>
    </row>
    <row r="4595" spans="15:15" x14ac:dyDescent="0.25">
      <c r="O4595" s="21"/>
    </row>
    <row r="4596" spans="15:15" x14ac:dyDescent="0.25">
      <c r="O4596" s="21"/>
    </row>
    <row r="4597" spans="15:15" x14ac:dyDescent="0.25">
      <c r="O4597" s="21"/>
    </row>
    <row r="4598" spans="15:15" x14ac:dyDescent="0.25">
      <c r="O4598" s="21"/>
    </row>
    <row r="4599" spans="15:15" x14ac:dyDescent="0.25">
      <c r="O4599" s="21"/>
    </row>
    <row r="4600" spans="15:15" x14ac:dyDescent="0.25">
      <c r="O4600" s="21"/>
    </row>
    <row r="4601" spans="15:15" x14ac:dyDescent="0.25">
      <c r="O4601" s="21"/>
    </row>
    <row r="4602" spans="15:15" x14ac:dyDescent="0.25">
      <c r="O4602" s="21"/>
    </row>
    <row r="4603" spans="15:15" x14ac:dyDescent="0.25">
      <c r="O4603" s="21"/>
    </row>
    <row r="4604" spans="15:15" x14ac:dyDescent="0.25">
      <c r="O4604" s="21"/>
    </row>
    <row r="4605" spans="15:15" x14ac:dyDescent="0.25">
      <c r="O4605" s="21"/>
    </row>
    <row r="4606" spans="15:15" x14ac:dyDescent="0.25">
      <c r="O4606" s="21"/>
    </row>
    <row r="4607" spans="15:15" x14ac:dyDescent="0.25">
      <c r="O4607" s="21"/>
    </row>
    <row r="4608" spans="15:15" x14ac:dyDescent="0.25">
      <c r="O4608" s="21"/>
    </row>
    <row r="4609" spans="15:15" x14ac:dyDescent="0.25">
      <c r="O4609" s="21"/>
    </row>
    <row r="4610" spans="15:15" x14ac:dyDescent="0.25">
      <c r="O4610" s="21"/>
    </row>
    <row r="4611" spans="15:15" x14ac:dyDescent="0.25">
      <c r="O4611" s="21"/>
    </row>
    <row r="4612" spans="15:15" x14ac:dyDescent="0.25">
      <c r="O4612" s="21"/>
    </row>
    <row r="4613" spans="15:15" x14ac:dyDescent="0.25">
      <c r="O4613" s="21"/>
    </row>
    <row r="4614" spans="15:15" x14ac:dyDescent="0.25">
      <c r="O4614" s="21"/>
    </row>
    <row r="4615" spans="15:15" x14ac:dyDescent="0.25">
      <c r="O4615" s="21"/>
    </row>
    <row r="4616" spans="15:15" x14ac:dyDescent="0.25">
      <c r="O4616" s="21"/>
    </row>
    <row r="4617" spans="15:15" x14ac:dyDescent="0.25">
      <c r="O4617" s="21"/>
    </row>
    <row r="4618" spans="15:15" x14ac:dyDescent="0.25">
      <c r="O4618" s="21"/>
    </row>
    <row r="4619" spans="15:15" x14ac:dyDescent="0.25">
      <c r="O4619" s="21"/>
    </row>
    <row r="4620" spans="15:15" x14ac:dyDescent="0.25">
      <c r="O4620" s="21"/>
    </row>
    <row r="4621" spans="15:15" x14ac:dyDescent="0.25">
      <c r="O4621" s="21"/>
    </row>
    <row r="4622" spans="15:15" x14ac:dyDescent="0.25">
      <c r="O4622" s="21"/>
    </row>
    <row r="4623" spans="15:15" x14ac:dyDescent="0.25">
      <c r="O4623" s="21"/>
    </row>
    <row r="4624" spans="15:15" x14ac:dyDescent="0.25">
      <c r="O4624" s="21"/>
    </row>
    <row r="4625" spans="15:15" x14ac:dyDescent="0.25">
      <c r="O4625" s="21"/>
    </row>
    <row r="4626" spans="15:15" x14ac:dyDescent="0.25">
      <c r="O4626" s="21"/>
    </row>
    <row r="4627" spans="15:15" x14ac:dyDescent="0.25">
      <c r="O4627" s="21"/>
    </row>
    <row r="4628" spans="15:15" x14ac:dyDescent="0.25">
      <c r="O4628" s="21"/>
    </row>
    <row r="4629" spans="15:15" x14ac:dyDescent="0.25">
      <c r="O4629" s="21"/>
    </row>
    <row r="4630" spans="15:15" x14ac:dyDescent="0.25">
      <c r="O4630" s="21"/>
    </row>
    <row r="4631" spans="15:15" x14ac:dyDescent="0.25">
      <c r="O4631" s="21"/>
    </row>
    <row r="4632" spans="15:15" x14ac:dyDescent="0.25">
      <c r="O4632" s="21"/>
    </row>
    <row r="4633" spans="15:15" x14ac:dyDescent="0.25">
      <c r="O4633" s="21"/>
    </row>
    <row r="4634" spans="15:15" x14ac:dyDescent="0.25">
      <c r="O4634" s="21"/>
    </row>
    <row r="4635" spans="15:15" x14ac:dyDescent="0.25">
      <c r="O4635" s="21"/>
    </row>
    <row r="4636" spans="15:15" x14ac:dyDescent="0.25">
      <c r="O4636" s="21"/>
    </row>
    <row r="4637" spans="15:15" x14ac:dyDescent="0.25">
      <c r="O4637" s="21"/>
    </row>
    <row r="4638" spans="15:15" x14ac:dyDescent="0.25">
      <c r="O4638" s="21"/>
    </row>
    <row r="4639" spans="15:15" x14ac:dyDescent="0.25">
      <c r="O4639" s="21"/>
    </row>
    <row r="4640" spans="15:15" x14ac:dyDescent="0.25">
      <c r="O4640" s="21"/>
    </row>
    <row r="4641" spans="15:15" x14ac:dyDescent="0.25">
      <c r="O4641" s="21"/>
    </row>
    <row r="4642" spans="15:15" x14ac:dyDescent="0.25">
      <c r="O4642" s="21"/>
    </row>
    <row r="4643" spans="15:15" x14ac:dyDescent="0.25">
      <c r="O4643" s="21"/>
    </row>
    <row r="4644" spans="15:15" x14ac:dyDescent="0.25">
      <c r="O4644" s="21"/>
    </row>
    <row r="4645" spans="15:15" x14ac:dyDescent="0.25">
      <c r="O4645" s="21"/>
    </row>
    <row r="4646" spans="15:15" x14ac:dyDescent="0.25">
      <c r="O4646" s="21"/>
    </row>
    <row r="4647" spans="15:15" x14ac:dyDescent="0.25">
      <c r="O4647" s="21"/>
    </row>
    <row r="4648" spans="15:15" x14ac:dyDescent="0.25">
      <c r="O4648" s="21"/>
    </row>
    <row r="4649" spans="15:15" x14ac:dyDescent="0.25">
      <c r="O4649" s="21"/>
    </row>
    <row r="4650" spans="15:15" x14ac:dyDescent="0.25">
      <c r="O4650" s="21"/>
    </row>
    <row r="4651" spans="15:15" x14ac:dyDescent="0.25">
      <c r="O4651" s="21"/>
    </row>
    <row r="4652" spans="15:15" x14ac:dyDescent="0.25">
      <c r="O4652" s="21"/>
    </row>
    <row r="4653" spans="15:15" x14ac:dyDescent="0.25">
      <c r="O4653" s="21"/>
    </row>
    <row r="4654" spans="15:15" x14ac:dyDescent="0.25">
      <c r="O4654" s="21"/>
    </row>
    <row r="4655" spans="15:15" x14ac:dyDescent="0.25">
      <c r="O4655" s="21"/>
    </row>
    <row r="4656" spans="15:15" x14ac:dyDescent="0.25">
      <c r="O4656" s="21"/>
    </row>
    <row r="4657" spans="15:15" x14ac:dyDescent="0.25">
      <c r="O4657" s="21"/>
    </row>
    <row r="4658" spans="15:15" x14ac:dyDescent="0.25">
      <c r="O4658" s="21"/>
    </row>
    <row r="4659" spans="15:15" x14ac:dyDescent="0.25">
      <c r="O4659" s="21"/>
    </row>
    <row r="4660" spans="15:15" x14ac:dyDescent="0.25">
      <c r="O4660" s="21"/>
    </row>
    <row r="4661" spans="15:15" x14ac:dyDescent="0.25">
      <c r="O4661" s="21"/>
    </row>
    <row r="4662" spans="15:15" x14ac:dyDescent="0.25">
      <c r="O4662" s="21"/>
    </row>
    <row r="4663" spans="15:15" x14ac:dyDescent="0.25">
      <c r="O4663" s="21"/>
    </row>
    <row r="4664" spans="15:15" x14ac:dyDescent="0.25">
      <c r="O4664" s="21"/>
    </row>
    <row r="4665" spans="15:15" x14ac:dyDescent="0.25">
      <c r="O4665" s="21"/>
    </row>
    <row r="4666" spans="15:15" x14ac:dyDescent="0.25">
      <c r="O4666" s="21"/>
    </row>
    <row r="4667" spans="15:15" x14ac:dyDescent="0.25">
      <c r="O4667" s="21"/>
    </row>
    <row r="4668" spans="15:15" x14ac:dyDescent="0.25">
      <c r="O4668" s="21"/>
    </row>
    <row r="4669" spans="15:15" x14ac:dyDescent="0.25">
      <c r="O4669" s="21"/>
    </row>
    <row r="4670" spans="15:15" x14ac:dyDescent="0.25">
      <c r="O4670" s="21"/>
    </row>
    <row r="4671" spans="15:15" x14ac:dyDescent="0.25">
      <c r="O4671" s="21"/>
    </row>
    <row r="4672" spans="15:15" x14ac:dyDescent="0.25">
      <c r="O4672" s="21"/>
    </row>
    <row r="4673" spans="15:15" x14ac:dyDescent="0.25">
      <c r="O4673" s="21"/>
    </row>
    <row r="4674" spans="15:15" x14ac:dyDescent="0.25">
      <c r="O4674" s="21"/>
    </row>
    <row r="4675" spans="15:15" x14ac:dyDescent="0.25">
      <c r="O4675" s="21"/>
    </row>
    <row r="4676" spans="15:15" x14ac:dyDescent="0.25">
      <c r="O4676" s="21"/>
    </row>
    <row r="4677" spans="15:15" x14ac:dyDescent="0.25">
      <c r="O4677" s="21"/>
    </row>
    <row r="4678" spans="15:15" x14ac:dyDescent="0.25">
      <c r="O4678" s="21"/>
    </row>
    <row r="4679" spans="15:15" x14ac:dyDescent="0.25">
      <c r="O4679" s="21"/>
    </row>
    <row r="4680" spans="15:15" x14ac:dyDescent="0.25">
      <c r="O4680" s="21"/>
    </row>
    <row r="4681" spans="15:15" x14ac:dyDescent="0.25">
      <c r="O4681" s="21"/>
    </row>
    <row r="4682" spans="15:15" x14ac:dyDescent="0.25">
      <c r="O4682" s="21"/>
    </row>
    <row r="4683" spans="15:15" x14ac:dyDescent="0.25">
      <c r="O4683" s="21"/>
    </row>
    <row r="4684" spans="15:15" x14ac:dyDescent="0.25">
      <c r="O4684" s="21"/>
    </row>
    <row r="4685" spans="15:15" x14ac:dyDescent="0.25">
      <c r="O4685" s="21"/>
    </row>
    <row r="4686" spans="15:15" x14ac:dyDescent="0.25">
      <c r="O4686" s="21"/>
    </row>
    <row r="4687" spans="15:15" x14ac:dyDescent="0.25">
      <c r="O4687" s="21"/>
    </row>
    <row r="4688" spans="15:15" x14ac:dyDescent="0.25">
      <c r="O4688" s="21"/>
    </row>
    <row r="4689" spans="15:15" x14ac:dyDescent="0.25">
      <c r="O4689" s="21"/>
    </row>
    <row r="4690" spans="15:15" x14ac:dyDescent="0.25">
      <c r="O4690" s="21"/>
    </row>
    <row r="4691" spans="15:15" x14ac:dyDescent="0.25">
      <c r="O4691" s="21"/>
    </row>
    <row r="4692" spans="15:15" x14ac:dyDescent="0.25">
      <c r="O4692" s="21"/>
    </row>
    <row r="4693" spans="15:15" x14ac:dyDescent="0.25">
      <c r="O4693" s="21"/>
    </row>
    <row r="4694" spans="15:15" x14ac:dyDescent="0.25">
      <c r="O4694" s="21"/>
    </row>
    <row r="4695" spans="15:15" x14ac:dyDescent="0.25">
      <c r="O4695" s="21"/>
    </row>
    <row r="4696" spans="15:15" x14ac:dyDescent="0.25">
      <c r="O4696" s="21"/>
    </row>
    <row r="4697" spans="15:15" x14ac:dyDescent="0.25">
      <c r="O4697" s="21"/>
    </row>
    <row r="4698" spans="15:15" x14ac:dyDescent="0.25">
      <c r="O4698" s="21"/>
    </row>
    <row r="4699" spans="15:15" x14ac:dyDescent="0.25">
      <c r="O4699" s="21"/>
    </row>
    <row r="4700" spans="15:15" x14ac:dyDescent="0.25">
      <c r="O4700" s="21"/>
    </row>
    <row r="4701" spans="15:15" x14ac:dyDescent="0.25">
      <c r="O4701" s="21"/>
    </row>
    <row r="4702" spans="15:15" x14ac:dyDescent="0.25">
      <c r="O4702" s="21"/>
    </row>
    <row r="4703" spans="15:15" x14ac:dyDescent="0.25">
      <c r="O4703" s="21"/>
    </row>
    <row r="4704" spans="15:15" x14ac:dyDescent="0.25">
      <c r="O4704" s="21"/>
    </row>
    <row r="4705" spans="15:15" x14ac:dyDescent="0.25">
      <c r="O4705" s="21"/>
    </row>
    <row r="4706" spans="15:15" x14ac:dyDescent="0.25">
      <c r="O4706" s="21"/>
    </row>
    <row r="4707" spans="15:15" x14ac:dyDescent="0.25">
      <c r="O4707" s="21"/>
    </row>
    <row r="4708" spans="15:15" x14ac:dyDescent="0.25">
      <c r="O4708" s="21"/>
    </row>
    <row r="4709" spans="15:15" x14ac:dyDescent="0.25">
      <c r="O4709" s="21"/>
    </row>
    <row r="4710" spans="15:15" x14ac:dyDescent="0.25">
      <c r="O4710" s="21"/>
    </row>
    <row r="4711" spans="15:15" x14ac:dyDescent="0.25">
      <c r="O4711" s="21"/>
    </row>
    <row r="4712" spans="15:15" x14ac:dyDescent="0.25">
      <c r="O4712" s="21"/>
    </row>
    <row r="4713" spans="15:15" x14ac:dyDescent="0.25">
      <c r="O4713" s="21"/>
    </row>
    <row r="4714" spans="15:15" x14ac:dyDescent="0.25">
      <c r="O4714" s="21"/>
    </row>
    <row r="4715" spans="15:15" x14ac:dyDescent="0.25">
      <c r="O4715" s="21"/>
    </row>
    <row r="4716" spans="15:15" x14ac:dyDescent="0.25">
      <c r="O4716" s="21"/>
    </row>
    <row r="4717" spans="15:15" x14ac:dyDescent="0.25">
      <c r="O4717" s="21"/>
    </row>
    <row r="4718" spans="15:15" x14ac:dyDescent="0.25">
      <c r="O4718" s="21"/>
    </row>
    <row r="4719" spans="15:15" x14ac:dyDescent="0.25">
      <c r="O4719" s="21"/>
    </row>
    <row r="4720" spans="15:15" x14ac:dyDescent="0.25">
      <c r="O4720" s="21"/>
    </row>
    <row r="4721" spans="15:15" x14ac:dyDescent="0.25">
      <c r="O4721" s="21"/>
    </row>
    <row r="4722" spans="15:15" x14ac:dyDescent="0.25">
      <c r="O4722" s="21"/>
    </row>
    <row r="4723" spans="15:15" x14ac:dyDescent="0.25">
      <c r="O4723" s="21"/>
    </row>
    <row r="4724" spans="15:15" x14ac:dyDescent="0.25">
      <c r="O4724" s="21"/>
    </row>
    <row r="4725" spans="15:15" x14ac:dyDescent="0.25">
      <c r="O4725" s="21"/>
    </row>
    <row r="4726" spans="15:15" x14ac:dyDescent="0.25">
      <c r="O4726" s="21"/>
    </row>
    <row r="4727" spans="15:15" x14ac:dyDescent="0.25">
      <c r="O4727" s="21"/>
    </row>
    <row r="4728" spans="15:15" x14ac:dyDescent="0.25">
      <c r="O4728" s="21"/>
    </row>
    <row r="4729" spans="15:15" x14ac:dyDescent="0.25">
      <c r="O4729" s="21"/>
    </row>
    <row r="4730" spans="15:15" x14ac:dyDescent="0.25">
      <c r="O4730" s="21"/>
    </row>
    <row r="4731" spans="15:15" x14ac:dyDescent="0.25">
      <c r="O4731" s="21"/>
    </row>
    <row r="4732" spans="15:15" x14ac:dyDescent="0.25">
      <c r="O4732" s="21"/>
    </row>
    <row r="4733" spans="15:15" x14ac:dyDescent="0.25">
      <c r="O4733" s="21"/>
    </row>
    <row r="4734" spans="15:15" x14ac:dyDescent="0.25">
      <c r="O4734" s="21"/>
    </row>
    <row r="4735" spans="15:15" x14ac:dyDescent="0.25">
      <c r="O4735" s="21"/>
    </row>
    <row r="4736" spans="15:15" x14ac:dyDescent="0.25">
      <c r="O4736" s="21"/>
    </row>
    <row r="4737" spans="15:15" x14ac:dyDescent="0.25">
      <c r="O4737" s="21"/>
    </row>
    <row r="4738" spans="15:15" x14ac:dyDescent="0.25">
      <c r="O4738" s="21"/>
    </row>
    <row r="4739" spans="15:15" x14ac:dyDescent="0.25">
      <c r="O4739" s="21"/>
    </row>
    <row r="4740" spans="15:15" x14ac:dyDescent="0.25">
      <c r="O4740" s="21"/>
    </row>
    <row r="4741" spans="15:15" x14ac:dyDescent="0.25">
      <c r="O4741" s="21"/>
    </row>
    <row r="4742" spans="15:15" x14ac:dyDescent="0.25">
      <c r="O4742" s="21"/>
    </row>
    <row r="4743" spans="15:15" x14ac:dyDescent="0.25">
      <c r="O4743" s="21"/>
    </row>
    <row r="4744" spans="15:15" x14ac:dyDescent="0.25">
      <c r="O4744" s="21"/>
    </row>
    <row r="4745" spans="15:15" x14ac:dyDescent="0.25">
      <c r="O4745" s="21"/>
    </row>
    <row r="4746" spans="15:15" x14ac:dyDescent="0.25">
      <c r="O4746" s="21"/>
    </row>
    <row r="4747" spans="15:15" x14ac:dyDescent="0.25">
      <c r="O4747" s="21"/>
    </row>
    <row r="4748" spans="15:15" x14ac:dyDescent="0.25">
      <c r="O4748" s="21"/>
    </row>
    <row r="4749" spans="15:15" x14ac:dyDescent="0.25">
      <c r="O4749" s="21"/>
    </row>
    <row r="4750" spans="15:15" x14ac:dyDescent="0.25">
      <c r="O4750" s="21"/>
    </row>
    <row r="4751" spans="15:15" x14ac:dyDescent="0.25">
      <c r="O4751" s="21"/>
    </row>
    <row r="4752" spans="15:15" x14ac:dyDescent="0.25">
      <c r="O4752" s="21"/>
    </row>
    <row r="4753" spans="15:15" x14ac:dyDescent="0.25">
      <c r="O4753" s="21"/>
    </row>
    <row r="4754" spans="15:15" x14ac:dyDescent="0.25">
      <c r="O4754" s="21"/>
    </row>
    <row r="4755" spans="15:15" x14ac:dyDescent="0.25">
      <c r="O4755" s="21"/>
    </row>
    <row r="4756" spans="15:15" x14ac:dyDescent="0.25">
      <c r="O4756" s="21"/>
    </row>
    <row r="4757" spans="15:15" x14ac:dyDescent="0.25">
      <c r="O4757" s="21"/>
    </row>
    <row r="4758" spans="15:15" x14ac:dyDescent="0.25">
      <c r="O4758" s="21"/>
    </row>
    <row r="4759" spans="15:15" x14ac:dyDescent="0.25">
      <c r="O4759" s="21"/>
    </row>
    <row r="4760" spans="15:15" x14ac:dyDescent="0.25">
      <c r="O4760" s="21"/>
    </row>
    <row r="4761" spans="15:15" x14ac:dyDescent="0.25">
      <c r="O4761" s="21"/>
    </row>
    <row r="4762" spans="15:15" x14ac:dyDescent="0.25">
      <c r="O4762" s="21"/>
    </row>
    <row r="4763" spans="15:15" x14ac:dyDescent="0.25">
      <c r="O4763" s="21"/>
    </row>
    <row r="4764" spans="15:15" x14ac:dyDescent="0.25">
      <c r="O4764" s="21"/>
    </row>
    <row r="4765" spans="15:15" x14ac:dyDescent="0.25">
      <c r="O4765" s="21"/>
    </row>
    <row r="4766" spans="15:15" x14ac:dyDescent="0.25">
      <c r="O4766" s="21"/>
    </row>
    <row r="4767" spans="15:15" x14ac:dyDescent="0.25">
      <c r="O4767" s="21"/>
    </row>
    <row r="4768" spans="15:15" x14ac:dyDescent="0.25">
      <c r="O4768" s="21"/>
    </row>
    <row r="4769" spans="15:15" x14ac:dyDescent="0.25">
      <c r="O4769" s="21"/>
    </row>
    <row r="4770" spans="15:15" x14ac:dyDescent="0.25">
      <c r="O4770" s="21"/>
    </row>
    <row r="4771" spans="15:15" x14ac:dyDescent="0.25">
      <c r="O4771" s="21"/>
    </row>
    <row r="4772" spans="15:15" x14ac:dyDescent="0.25">
      <c r="O4772" s="21"/>
    </row>
    <row r="4773" spans="15:15" x14ac:dyDescent="0.25">
      <c r="O4773" s="21"/>
    </row>
    <row r="4774" spans="15:15" x14ac:dyDescent="0.25">
      <c r="O4774" s="21"/>
    </row>
    <row r="4775" spans="15:15" x14ac:dyDescent="0.25">
      <c r="O4775" s="21"/>
    </row>
    <row r="4776" spans="15:15" x14ac:dyDescent="0.25">
      <c r="O4776" s="21"/>
    </row>
    <row r="4777" spans="15:15" x14ac:dyDescent="0.25">
      <c r="O4777" s="21"/>
    </row>
    <row r="4778" spans="15:15" x14ac:dyDescent="0.25">
      <c r="O4778" s="21"/>
    </row>
    <row r="4779" spans="15:15" x14ac:dyDescent="0.25">
      <c r="O4779" s="21"/>
    </row>
    <row r="4780" spans="15:15" x14ac:dyDescent="0.25">
      <c r="O4780" s="21"/>
    </row>
    <row r="4781" spans="15:15" x14ac:dyDescent="0.25">
      <c r="O4781" s="21"/>
    </row>
    <row r="4782" spans="15:15" x14ac:dyDescent="0.25">
      <c r="O4782" s="21"/>
    </row>
    <row r="4783" spans="15:15" x14ac:dyDescent="0.25">
      <c r="O4783" s="21"/>
    </row>
    <row r="4784" spans="15:15" x14ac:dyDescent="0.25">
      <c r="O4784" s="21"/>
    </row>
    <row r="4785" spans="15:15" x14ac:dyDescent="0.25">
      <c r="O4785" s="21"/>
    </row>
    <row r="4786" spans="15:15" x14ac:dyDescent="0.25">
      <c r="O4786" s="21"/>
    </row>
    <row r="4787" spans="15:15" x14ac:dyDescent="0.25">
      <c r="O4787" s="21"/>
    </row>
    <row r="4788" spans="15:15" x14ac:dyDescent="0.25">
      <c r="O4788" s="21"/>
    </row>
    <row r="4789" spans="15:15" x14ac:dyDescent="0.25">
      <c r="O4789" s="21"/>
    </row>
    <row r="4790" spans="15:15" x14ac:dyDescent="0.25">
      <c r="O4790" s="21"/>
    </row>
    <row r="4791" spans="15:15" x14ac:dyDescent="0.25">
      <c r="O4791" s="21"/>
    </row>
    <row r="4792" spans="15:15" x14ac:dyDescent="0.25">
      <c r="O4792" s="21"/>
    </row>
    <row r="4793" spans="15:15" x14ac:dyDescent="0.25">
      <c r="O4793" s="21"/>
    </row>
    <row r="4794" spans="15:15" x14ac:dyDescent="0.25">
      <c r="O4794" s="21"/>
    </row>
    <row r="4795" spans="15:15" x14ac:dyDescent="0.25">
      <c r="O4795" s="21"/>
    </row>
    <row r="4796" spans="15:15" x14ac:dyDescent="0.25">
      <c r="O4796" s="21"/>
    </row>
    <row r="4797" spans="15:15" x14ac:dyDescent="0.25">
      <c r="O4797" s="21"/>
    </row>
    <row r="4798" spans="15:15" x14ac:dyDescent="0.25">
      <c r="O4798" s="21"/>
    </row>
    <row r="4799" spans="15:15" x14ac:dyDescent="0.25">
      <c r="O4799" s="21"/>
    </row>
    <row r="4800" spans="15:15" x14ac:dyDescent="0.25">
      <c r="O4800" s="21"/>
    </row>
    <row r="4801" spans="15:15" x14ac:dyDescent="0.25">
      <c r="O4801" s="21"/>
    </row>
    <row r="4802" spans="15:15" x14ac:dyDescent="0.25">
      <c r="O4802" s="21"/>
    </row>
    <row r="4803" spans="15:15" x14ac:dyDescent="0.25">
      <c r="O4803" s="21"/>
    </row>
    <row r="4804" spans="15:15" x14ac:dyDescent="0.25">
      <c r="O4804" s="21"/>
    </row>
    <row r="4805" spans="15:15" x14ac:dyDescent="0.25">
      <c r="O4805" s="21"/>
    </row>
    <row r="4806" spans="15:15" x14ac:dyDescent="0.25">
      <c r="O4806" s="21"/>
    </row>
    <row r="4807" spans="15:15" x14ac:dyDescent="0.25">
      <c r="O4807" s="21"/>
    </row>
    <row r="4808" spans="15:15" x14ac:dyDescent="0.25">
      <c r="O4808" s="21"/>
    </row>
    <row r="4809" spans="15:15" x14ac:dyDescent="0.25">
      <c r="O4809" s="21"/>
    </row>
    <row r="4810" spans="15:15" x14ac:dyDescent="0.25">
      <c r="O4810" s="21"/>
    </row>
    <row r="4811" spans="15:15" x14ac:dyDescent="0.25">
      <c r="O4811" s="21"/>
    </row>
    <row r="4812" spans="15:15" x14ac:dyDescent="0.25">
      <c r="O4812" s="21"/>
    </row>
    <row r="4813" spans="15:15" x14ac:dyDescent="0.25">
      <c r="O4813" s="21"/>
    </row>
    <row r="4814" spans="15:15" x14ac:dyDescent="0.25">
      <c r="O4814" s="21"/>
    </row>
    <row r="4815" spans="15:15" x14ac:dyDescent="0.25">
      <c r="O4815" s="21"/>
    </row>
    <row r="4816" spans="15:15" x14ac:dyDescent="0.25">
      <c r="O4816" s="21"/>
    </row>
    <row r="4817" spans="15:15" x14ac:dyDescent="0.25">
      <c r="O4817" s="21"/>
    </row>
    <row r="4818" spans="15:15" x14ac:dyDescent="0.25">
      <c r="O4818" s="21"/>
    </row>
    <row r="4819" spans="15:15" x14ac:dyDescent="0.25">
      <c r="O4819" s="21"/>
    </row>
    <row r="4820" spans="15:15" x14ac:dyDescent="0.25">
      <c r="O4820" s="21"/>
    </row>
    <row r="4821" spans="15:15" x14ac:dyDescent="0.25">
      <c r="O4821" s="21"/>
    </row>
    <row r="4822" spans="15:15" x14ac:dyDescent="0.25">
      <c r="O4822" s="21"/>
    </row>
    <row r="4823" spans="15:15" x14ac:dyDescent="0.25">
      <c r="O4823" s="21"/>
    </row>
    <row r="4824" spans="15:15" x14ac:dyDescent="0.25">
      <c r="O4824" s="21"/>
    </row>
    <row r="4825" spans="15:15" x14ac:dyDescent="0.25">
      <c r="O4825" s="21"/>
    </row>
    <row r="4826" spans="15:15" x14ac:dyDescent="0.25">
      <c r="O4826" s="21"/>
    </row>
    <row r="4827" spans="15:15" x14ac:dyDescent="0.25">
      <c r="O4827" s="21"/>
    </row>
    <row r="4828" spans="15:15" x14ac:dyDescent="0.25">
      <c r="O4828" s="21"/>
    </row>
    <row r="4829" spans="15:15" x14ac:dyDescent="0.25">
      <c r="O4829" s="21"/>
    </row>
    <row r="4830" spans="15:15" x14ac:dyDescent="0.25">
      <c r="O4830" s="21"/>
    </row>
    <row r="4831" spans="15:15" x14ac:dyDescent="0.25">
      <c r="O4831" s="21"/>
    </row>
    <row r="4832" spans="15:15" x14ac:dyDescent="0.25">
      <c r="O4832" s="21"/>
    </row>
    <row r="4833" spans="15:15" x14ac:dyDescent="0.25">
      <c r="O4833" s="21"/>
    </row>
    <row r="4834" spans="15:15" x14ac:dyDescent="0.25">
      <c r="O4834" s="21"/>
    </row>
    <row r="4835" spans="15:15" x14ac:dyDescent="0.25">
      <c r="O4835" s="21"/>
    </row>
    <row r="4836" spans="15:15" x14ac:dyDescent="0.25">
      <c r="O4836" s="21"/>
    </row>
    <row r="4837" spans="15:15" x14ac:dyDescent="0.25">
      <c r="O4837" s="21"/>
    </row>
    <row r="4838" spans="15:15" x14ac:dyDescent="0.25">
      <c r="O4838" s="21"/>
    </row>
    <row r="4839" spans="15:15" x14ac:dyDescent="0.25">
      <c r="O4839" s="21"/>
    </row>
    <row r="4840" spans="15:15" x14ac:dyDescent="0.25">
      <c r="O4840" s="21"/>
    </row>
    <row r="4841" spans="15:15" x14ac:dyDescent="0.25">
      <c r="O4841" s="21"/>
    </row>
    <row r="4842" spans="15:15" x14ac:dyDescent="0.25">
      <c r="O4842" s="21"/>
    </row>
    <row r="4843" spans="15:15" x14ac:dyDescent="0.25">
      <c r="O4843" s="21"/>
    </row>
    <row r="4844" spans="15:15" x14ac:dyDescent="0.25">
      <c r="O4844" s="21"/>
    </row>
    <row r="4845" spans="15:15" x14ac:dyDescent="0.25">
      <c r="O4845" s="21"/>
    </row>
    <row r="4846" spans="15:15" x14ac:dyDescent="0.25">
      <c r="O4846" s="21"/>
    </row>
    <row r="4847" spans="15:15" x14ac:dyDescent="0.25">
      <c r="O4847" s="21"/>
    </row>
    <row r="4848" spans="15:15" x14ac:dyDescent="0.25">
      <c r="O4848" s="21"/>
    </row>
    <row r="4849" spans="15:15" x14ac:dyDescent="0.25">
      <c r="O4849" s="21"/>
    </row>
    <row r="4850" spans="15:15" x14ac:dyDescent="0.25">
      <c r="O4850" s="21"/>
    </row>
    <row r="4851" spans="15:15" x14ac:dyDescent="0.25">
      <c r="O4851" s="21"/>
    </row>
    <row r="4852" spans="15:15" x14ac:dyDescent="0.25">
      <c r="O4852" s="21"/>
    </row>
    <row r="4853" spans="15:15" x14ac:dyDescent="0.25">
      <c r="O4853" s="21"/>
    </row>
    <row r="4854" spans="15:15" x14ac:dyDescent="0.25">
      <c r="O4854" s="21"/>
    </row>
    <row r="4855" spans="15:15" x14ac:dyDescent="0.25">
      <c r="O4855" s="21"/>
    </row>
    <row r="4856" spans="15:15" x14ac:dyDescent="0.25">
      <c r="O4856" s="21"/>
    </row>
    <row r="4857" spans="15:15" x14ac:dyDescent="0.25">
      <c r="O4857" s="21"/>
    </row>
    <row r="4858" spans="15:15" x14ac:dyDescent="0.25">
      <c r="O4858" s="21"/>
    </row>
    <row r="4859" spans="15:15" x14ac:dyDescent="0.25">
      <c r="O4859" s="21"/>
    </row>
    <row r="4860" spans="15:15" x14ac:dyDescent="0.25">
      <c r="O4860" s="21"/>
    </row>
    <row r="4861" spans="15:15" x14ac:dyDescent="0.25">
      <c r="O4861" s="21"/>
    </row>
    <row r="4862" spans="15:15" x14ac:dyDescent="0.25">
      <c r="O4862" s="21"/>
    </row>
    <row r="4863" spans="15:15" x14ac:dyDescent="0.25">
      <c r="O4863" s="21"/>
    </row>
    <row r="4864" spans="15:15" x14ac:dyDescent="0.25">
      <c r="O4864" s="21"/>
    </row>
    <row r="4865" spans="15:15" x14ac:dyDescent="0.25">
      <c r="O4865" s="21"/>
    </row>
    <row r="4866" spans="15:15" x14ac:dyDescent="0.25">
      <c r="O4866" s="21"/>
    </row>
    <row r="4867" spans="15:15" x14ac:dyDescent="0.25">
      <c r="O4867" s="21"/>
    </row>
    <row r="4868" spans="15:15" x14ac:dyDescent="0.25">
      <c r="O4868" s="21"/>
    </row>
    <row r="4869" spans="15:15" x14ac:dyDescent="0.25">
      <c r="O4869" s="21"/>
    </row>
    <row r="4870" spans="15:15" x14ac:dyDescent="0.25">
      <c r="O4870" s="21"/>
    </row>
    <row r="4871" spans="15:15" x14ac:dyDescent="0.25">
      <c r="O4871" s="21"/>
    </row>
    <row r="4872" spans="15:15" x14ac:dyDescent="0.25">
      <c r="O4872" s="21"/>
    </row>
    <row r="4873" spans="15:15" x14ac:dyDescent="0.25">
      <c r="O4873" s="21"/>
    </row>
    <row r="4874" spans="15:15" x14ac:dyDescent="0.25">
      <c r="O4874" s="21"/>
    </row>
    <row r="4875" spans="15:15" x14ac:dyDescent="0.25">
      <c r="O4875" s="21"/>
    </row>
    <row r="4876" spans="15:15" x14ac:dyDescent="0.25">
      <c r="O4876" s="21"/>
    </row>
    <row r="4877" spans="15:15" x14ac:dyDescent="0.25">
      <c r="O4877" s="21"/>
    </row>
    <row r="4878" spans="15:15" x14ac:dyDescent="0.25">
      <c r="O4878" s="21"/>
    </row>
    <row r="4879" spans="15:15" x14ac:dyDescent="0.25">
      <c r="O4879" s="21"/>
    </row>
    <row r="4880" spans="15:15" x14ac:dyDescent="0.25">
      <c r="O4880" s="21"/>
    </row>
    <row r="4881" spans="15:15" x14ac:dyDescent="0.25">
      <c r="O4881" s="21"/>
    </row>
    <row r="4882" spans="15:15" x14ac:dyDescent="0.25">
      <c r="O4882" s="21"/>
    </row>
    <row r="4883" spans="15:15" x14ac:dyDescent="0.25">
      <c r="O4883" s="21"/>
    </row>
    <row r="4884" spans="15:15" x14ac:dyDescent="0.25">
      <c r="O4884" s="21"/>
    </row>
    <row r="4885" spans="15:15" x14ac:dyDescent="0.25">
      <c r="O4885" s="21"/>
    </row>
    <row r="4886" spans="15:15" x14ac:dyDescent="0.25">
      <c r="O4886" s="21"/>
    </row>
    <row r="4887" spans="15:15" x14ac:dyDescent="0.25">
      <c r="O4887" s="21"/>
    </row>
    <row r="4888" spans="15:15" x14ac:dyDescent="0.25">
      <c r="O4888" s="21"/>
    </row>
    <row r="4889" spans="15:15" x14ac:dyDescent="0.25">
      <c r="O4889" s="21"/>
    </row>
    <row r="4890" spans="15:15" x14ac:dyDescent="0.25">
      <c r="O4890" s="21"/>
    </row>
    <row r="4891" spans="15:15" x14ac:dyDescent="0.25">
      <c r="O4891" s="21"/>
    </row>
    <row r="4892" spans="15:15" x14ac:dyDescent="0.25">
      <c r="O4892" s="21"/>
    </row>
    <row r="4893" spans="15:15" x14ac:dyDescent="0.25">
      <c r="O4893" s="21"/>
    </row>
    <row r="4894" spans="15:15" x14ac:dyDescent="0.25">
      <c r="O4894" s="21"/>
    </row>
    <row r="4895" spans="15:15" x14ac:dyDescent="0.25">
      <c r="O4895" s="21"/>
    </row>
    <row r="4896" spans="15:15" x14ac:dyDescent="0.25">
      <c r="O4896" s="21"/>
    </row>
    <row r="4897" spans="15:15" x14ac:dyDescent="0.25">
      <c r="O4897" s="21"/>
    </row>
    <row r="4898" spans="15:15" x14ac:dyDescent="0.25">
      <c r="O4898" s="21"/>
    </row>
    <row r="4899" spans="15:15" x14ac:dyDescent="0.25">
      <c r="O4899" s="21"/>
    </row>
    <row r="4900" spans="15:15" x14ac:dyDescent="0.25">
      <c r="O4900" s="21"/>
    </row>
    <row r="4901" spans="15:15" x14ac:dyDescent="0.25">
      <c r="O4901" s="21"/>
    </row>
    <row r="4902" spans="15:15" x14ac:dyDescent="0.25">
      <c r="O4902" s="21"/>
    </row>
    <row r="4903" spans="15:15" x14ac:dyDescent="0.25">
      <c r="O4903" s="21"/>
    </row>
    <row r="4904" spans="15:15" x14ac:dyDescent="0.25">
      <c r="O4904" s="21"/>
    </row>
    <row r="4905" spans="15:15" x14ac:dyDescent="0.25">
      <c r="O4905" s="21"/>
    </row>
    <row r="4906" spans="15:15" x14ac:dyDescent="0.25">
      <c r="O4906" s="21"/>
    </row>
    <row r="4907" spans="15:15" x14ac:dyDescent="0.25">
      <c r="O4907" s="21"/>
    </row>
    <row r="4908" spans="15:15" x14ac:dyDescent="0.25">
      <c r="O4908" s="21"/>
    </row>
    <row r="4909" spans="15:15" x14ac:dyDescent="0.25">
      <c r="O4909" s="21"/>
    </row>
    <row r="4910" spans="15:15" x14ac:dyDescent="0.25">
      <c r="O4910" s="21"/>
    </row>
    <row r="4911" spans="15:15" x14ac:dyDescent="0.25">
      <c r="O4911" s="21"/>
    </row>
    <row r="4912" spans="15:15" x14ac:dyDescent="0.25">
      <c r="O4912" s="21"/>
    </row>
    <row r="4913" spans="15:15" x14ac:dyDescent="0.25">
      <c r="O4913" s="21"/>
    </row>
    <row r="4914" spans="15:15" x14ac:dyDescent="0.25">
      <c r="O4914" s="21"/>
    </row>
    <row r="4915" spans="15:15" x14ac:dyDescent="0.25">
      <c r="O4915" s="21"/>
    </row>
    <row r="4916" spans="15:15" x14ac:dyDescent="0.25">
      <c r="O4916" s="21"/>
    </row>
    <row r="4917" spans="15:15" x14ac:dyDescent="0.25">
      <c r="O4917" s="21"/>
    </row>
    <row r="4918" spans="15:15" x14ac:dyDescent="0.25">
      <c r="O4918" s="21"/>
    </row>
    <row r="4919" spans="15:15" x14ac:dyDescent="0.25">
      <c r="O4919" s="21"/>
    </row>
    <row r="4920" spans="15:15" x14ac:dyDescent="0.25">
      <c r="O4920" s="21"/>
    </row>
    <row r="4921" spans="15:15" x14ac:dyDescent="0.25">
      <c r="O4921" s="21"/>
    </row>
    <row r="4922" spans="15:15" x14ac:dyDescent="0.25">
      <c r="O4922" s="21"/>
    </row>
    <row r="4923" spans="15:15" x14ac:dyDescent="0.25">
      <c r="O4923" s="21"/>
    </row>
    <row r="4924" spans="15:15" x14ac:dyDescent="0.25">
      <c r="O4924" s="21"/>
    </row>
    <row r="4925" spans="15:15" x14ac:dyDescent="0.25">
      <c r="O4925" s="21"/>
    </row>
    <row r="4926" spans="15:15" x14ac:dyDescent="0.25">
      <c r="O4926" s="21"/>
    </row>
    <row r="4927" spans="15:15" x14ac:dyDescent="0.25">
      <c r="O4927" s="21"/>
    </row>
    <row r="4928" spans="15:15" x14ac:dyDescent="0.25">
      <c r="O4928" s="21"/>
    </row>
    <row r="4929" spans="15:15" x14ac:dyDescent="0.25">
      <c r="O4929" s="21"/>
    </row>
    <row r="4930" spans="15:15" x14ac:dyDescent="0.25">
      <c r="O4930" s="21"/>
    </row>
    <row r="4931" spans="15:15" x14ac:dyDescent="0.25">
      <c r="O4931" s="21"/>
    </row>
    <row r="4932" spans="15:15" x14ac:dyDescent="0.25">
      <c r="O4932" s="21"/>
    </row>
    <row r="4933" spans="15:15" x14ac:dyDescent="0.25">
      <c r="O4933" s="21"/>
    </row>
    <row r="4934" spans="15:15" x14ac:dyDescent="0.25">
      <c r="O4934" s="21"/>
    </row>
    <row r="4935" spans="15:15" x14ac:dyDescent="0.25">
      <c r="O4935" s="21"/>
    </row>
    <row r="4936" spans="15:15" x14ac:dyDescent="0.25">
      <c r="O4936" s="21"/>
    </row>
    <row r="4937" spans="15:15" x14ac:dyDescent="0.25">
      <c r="O4937" s="21"/>
    </row>
    <row r="4938" spans="15:15" x14ac:dyDescent="0.25">
      <c r="O4938" s="21"/>
    </row>
    <row r="4939" spans="15:15" x14ac:dyDescent="0.25">
      <c r="O4939" s="21"/>
    </row>
    <row r="4940" spans="15:15" x14ac:dyDescent="0.25">
      <c r="O4940" s="21"/>
    </row>
    <row r="4941" spans="15:15" x14ac:dyDescent="0.25">
      <c r="O4941" s="21"/>
    </row>
    <row r="4942" spans="15:15" x14ac:dyDescent="0.25">
      <c r="O4942" s="21"/>
    </row>
    <row r="4943" spans="15:15" x14ac:dyDescent="0.25">
      <c r="O4943" s="21"/>
    </row>
    <row r="4944" spans="15:15" x14ac:dyDescent="0.25">
      <c r="O4944" s="21"/>
    </row>
    <row r="4945" spans="15:15" x14ac:dyDescent="0.25">
      <c r="O4945" s="21"/>
    </row>
    <row r="4946" spans="15:15" x14ac:dyDescent="0.25">
      <c r="O4946" s="21"/>
    </row>
    <row r="4947" spans="15:15" x14ac:dyDescent="0.25">
      <c r="O4947" s="21"/>
    </row>
    <row r="4948" spans="15:15" x14ac:dyDescent="0.25">
      <c r="O4948" s="21"/>
    </row>
    <row r="4949" spans="15:15" x14ac:dyDescent="0.25">
      <c r="O4949" s="21"/>
    </row>
    <row r="4950" spans="15:15" x14ac:dyDescent="0.25">
      <c r="O4950" s="21"/>
    </row>
    <row r="4951" spans="15:15" x14ac:dyDescent="0.25">
      <c r="O4951" s="21"/>
    </row>
    <row r="4952" spans="15:15" x14ac:dyDescent="0.25">
      <c r="O4952" s="21"/>
    </row>
    <row r="4953" spans="15:15" x14ac:dyDescent="0.25">
      <c r="O4953" s="21"/>
    </row>
    <row r="4954" spans="15:15" x14ac:dyDescent="0.25">
      <c r="O4954" s="21"/>
    </row>
    <row r="4955" spans="15:15" x14ac:dyDescent="0.25">
      <c r="O4955" s="21"/>
    </row>
    <row r="4956" spans="15:15" x14ac:dyDescent="0.25">
      <c r="O4956" s="21"/>
    </row>
    <row r="4957" spans="15:15" x14ac:dyDescent="0.25">
      <c r="O4957" s="21"/>
    </row>
    <row r="4958" spans="15:15" x14ac:dyDescent="0.25">
      <c r="O4958" s="21"/>
    </row>
    <row r="4959" spans="15:15" x14ac:dyDescent="0.25">
      <c r="O4959" s="21"/>
    </row>
    <row r="4960" spans="15:15" x14ac:dyDescent="0.25">
      <c r="O4960" s="21"/>
    </row>
    <row r="4961" spans="15:15" x14ac:dyDescent="0.25">
      <c r="O4961" s="21"/>
    </row>
    <row r="4962" spans="15:15" x14ac:dyDescent="0.25">
      <c r="O4962" s="21"/>
    </row>
    <row r="4963" spans="15:15" x14ac:dyDescent="0.25">
      <c r="O4963" s="21"/>
    </row>
    <row r="4964" spans="15:15" x14ac:dyDescent="0.25">
      <c r="O4964" s="21"/>
    </row>
    <row r="4965" spans="15:15" x14ac:dyDescent="0.25">
      <c r="O4965" s="21"/>
    </row>
    <row r="4966" spans="15:15" x14ac:dyDescent="0.25">
      <c r="O4966" s="21"/>
    </row>
    <row r="4967" spans="15:15" x14ac:dyDescent="0.25">
      <c r="O4967" s="21"/>
    </row>
    <row r="4968" spans="15:15" x14ac:dyDescent="0.25">
      <c r="O4968" s="21"/>
    </row>
    <row r="4969" spans="15:15" x14ac:dyDescent="0.25">
      <c r="O4969" s="21"/>
    </row>
    <row r="4970" spans="15:15" x14ac:dyDescent="0.25">
      <c r="O4970" s="21"/>
    </row>
    <row r="4971" spans="15:15" x14ac:dyDescent="0.25">
      <c r="O4971" s="21"/>
    </row>
    <row r="4972" spans="15:15" x14ac:dyDescent="0.25">
      <c r="O4972" s="21"/>
    </row>
    <row r="4973" spans="15:15" x14ac:dyDescent="0.25">
      <c r="O4973" s="21"/>
    </row>
    <row r="4974" spans="15:15" x14ac:dyDescent="0.25">
      <c r="O4974" s="21"/>
    </row>
    <row r="4975" spans="15:15" x14ac:dyDescent="0.25">
      <c r="O4975" s="21"/>
    </row>
    <row r="4976" spans="15:15" x14ac:dyDescent="0.25">
      <c r="O4976" s="21"/>
    </row>
    <row r="4977" spans="15:15" x14ac:dyDescent="0.25">
      <c r="O4977" s="21"/>
    </row>
    <row r="4978" spans="15:15" x14ac:dyDescent="0.25">
      <c r="O4978" s="21"/>
    </row>
    <row r="4979" spans="15:15" x14ac:dyDescent="0.25">
      <c r="O4979" s="21"/>
    </row>
    <row r="4980" spans="15:15" x14ac:dyDescent="0.25">
      <c r="O4980" s="21"/>
    </row>
    <row r="4981" spans="15:15" x14ac:dyDescent="0.25">
      <c r="O4981" s="21"/>
    </row>
    <row r="4982" spans="15:15" x14ac:dyDescent="0.25">
      <c r="O4982" s="21"/>
    </row>
    <row r="4983" spans="15:15" x14ac:dyDescent="0.25">
      <c r="O4983" s="21"/>
    </row>
    <row r="4984" spans="15:15" x14ac:dyDescent="0.25">
      <c r="O4984" s="21"/>
    </row>
    <row r="4985" spans="15:15" x14ac:dyDescent="0.25">
      <c r="O4985" s="21"/>
    </row>
    <row r="4986" spans="15:15" x14ac:dyDescent="0.25">
      <c r="O4986" s="21"/>
    </row>
    <row r="4987" spans="15:15" x14ac:dyDescent="0.25">
      <c r="O4987" s="21"/>
    </row>
    <row r="4988" spans="15:15" x14ac:dyDescent="0.25">
      <c r="O4988" s="21"/>
    </row>
    <row r="4989" spans="15:15" x14ac:dyDescent="0.25">
      <c r="O4989" s="21"/>
    </row>
    <row r="4990" spans="15:15" x14ac:dyDescent="0.25">
      <c r="O4990" s="21"/>
    </row>
    <row r="4991" spans="15:15" x14ac:dyDescent="0.25">
      <c r="O4991" s="21"/>
    </row>
    <row r="4992" spans="15:15" x14ac:dyDescent="0.25">
      <c r="O4992" s="21"/>
    </row>
    <row r="4993" spans="15:15" x14ac:dyDescent="0.25">
      <c r="O4993" s="21"/>
    </row>
    <row r="4994" spans="15:15" x14ac:dyDescent="0.25">
      <c r="O4994" s="21"/>
    </row>
    <row r="4995" spans="15:15" x14ac:dyDescent="0.25">
      <c r="O4995" s="21"/>
    </row>
    <row r="4996" spans="15:15" x14ac:dyDescent="0.25">
      <c r="O4996" s="21"/>
    </row>
    <row r="4997" spans="15:15" x14ac:dyDescent="0.25">
      <c r="O4997" s="21"/>
    </row>
    <row r="4998" spans="15:15" x14ac:dyDescent="0.25">
      <c r="O4998" s="21"/>
    </row>
    <row r="4999" spans="15:15" x14ac:dyDescent="0.25">
      <c r="O4999" s="21"/>
    </row>
    <row r="5000" spans="15:15" x14ac:dyDescent="0.25">
      <c r="O5000" s="21"/>
    </row>
    <row r="5001" spans="15:15" x14ac:dyDescent="0.25">
      <c r="O5001" s="21"/>
    </row>
    <row r="5002" spans="15:15" x14ac:dyDescent="0.25">
      <c r="O5002" s="21"/>
    </row>
    <row r="5003" spans="15:15" x14ac:dyDescent="0.25">
      <c r="O5003" s="21"/>
    </row>
    <row r="5004" spans="15:15" x14ac:dyDescent="0.25">
      <c r="O5004" s="21"/>
    </row>
    <row r="5005" spans="15:15" x14ac:dyDescent="0.25">
      <c r="O5005" s="21"/>
    </row>
    <row r="5006" spans="15:15" x14ac:dyDescent="0.25">
      <c r="O5006" s="21"/>
    </row>
    <row r="5007" spans="15:15" x14ac:dyDescent="0.25">
      <c r="O5007" s="21"/>
    </row>
    <row r="5008" spans="15:15" x14ac:dyDescent="0.25">
      <c r="O5008" s="21"/>
    </row>
    <row r="5009" spans="15:15" x14ac:dyDescent="0.25">
      <c r="O5009" s="21"/>
    </row>
    <row r="5010" spans="15:15" x14ac:dyDescent="0.25">
      <c r="O5010" s="21"/>
    </row>
    <row r="5011" spans="15:15" x14ac:dyDescent="0.25">
      <c r="O5011" s="21"/>
    </row>
    <row r="5012" spans="15:15" x14ac:dyDescent="0.25">
      <c r="O5012" s="21"/>
    </row>
    <row r="5013" spans="15:15" x14ac:dyDescent="0.25">
      <c r="O5013" s="21"/>
    </row>
    <row r="5014" spans="15:15" x14ac:dyDescent="0.25">
      <c r="O5014" s="21"/>
    </row>
    <row r="5015" spans="15:15" x14ac:dyDescent="0.25">
      <c r="O5015" s="21"/>
    </row>
    <row r="5016" spans="15:15" x14ac:dyDescent="0.25">
      <c r="O5016" s="21"/>
    </row>
    <row r="5017" spans="15:15" x14ac:dyDescent="0.25">
      <c r="O5017" s="21"/>
    </row>
    <row r="5018" spans="15:15" x14ac:dyDescent="0.25">
      <c r="O5018" s="21"/>
    </row>
    <row r="5019" spans="15:15" x14ac:dyDescent="0.25">
      <c r="O5019" s="21"/>
    </row>
    <row r="5020" spans="15:15" x14ac:dyDescent="0.25">
      <c r="O5020" s="21"/>
    </row>
    <row r="5021" spans="15:15" x14ac:dyDescent="0.25">
      <c r="O5021" s="21"/>
    </row>
    <row r="5022" spans="15:15" x14ac:dyDescent="0.25">
      <c r="O5022" s="21"/>
    </row>
    <row r="5023" spans="15:15" x14ac:dyDescent="0.25">
      <c r="O5023" s="21"/>
    </row>
    <row r="5024" spans="15:15" x14ac:dyDescent="0.25">
      <c r="O5024" s="21"/>
    </row>
    <row r="5025" spans="15:15" x14ac:dyDescent="0.25">
      <c r="O5025" s="21"/>
    </row>
    <row r="5026" spans="15:15" x14ac:dyDescent="0.25">
      <c r="O5026" s="21"/>
    </row>
    <row r="5027" spans="15:15" x14ac:dyDescent="0.25">
      <c r="O5027" s="21"/>
    </row>
    <row r="5028" spans="15:15" x14ac:dyDescent="0.25">
      <c r="O5028" s="21"/>
    </row>
    <row r="5029" spans="15:15" x14ac:dyDescent="0.25">
      <c r="O5029" s="21"/>
    </row>
    <row r="5030" spans="15:15" x14ac:dyDescent="0.25">
      <c r="O5030" s="21"/>
    </row>
    <row r="5031" spans="15:15" x14ac:dyDescent="0.25">
      <c r="O5031" s="21"/>
    </row>
    <row r="5032" spans="15:15" x14ac:dyDescent="0.25">
      <c r="O5032" s="21"/>
    </row>
    <row r="5033" spans="15:15" x14ac:dyDescent="0.25">
      <c r="O5033" s="21"/>
    </row>
    <row r="5034" spans="15:15" x14ac:dyDescent="0.25">
      <c r="O5034" s="21"/>
    </row>
    <row r="5035" spans="15:15" x14ac:dyDescent="0.25">
      <c r="O5035" s="21"/>
    </row>
    <row r="5036" spans="15:15" x14ac:dyDescent="0.25">
      <c r="O5036" s="21"/>
    </row>
    <row r="5037" spans="15:15" x14ac:dyDescent="0.25">
      <c r="O5037" s="21"/>
    </row>
    <row r="5038" spans="15:15" x14ac:dyDescent="0.25">
      <c r="O5038" s="21"/>
    </row>
    <row r="5039" spans="15:15" x14ac:dyDescent="0.25">
      <c r="O5039" s="21"/>
    </row>
    <row r="5040" spans="15:15" x14ac:dyDescent="0.25">
      <c r="O5040" s="21"/>
    </row>
    <row r="5041" spans="15:15" x14ac:dyDescent="0.25">
      <c r="O5041" s="21"/>
    </row>
    <row r="5042" spans="15:15" x14ac:dyDescent="0.25">
      <c r="O5042" s="21"/>
    </row>
    <row r="5043" spans="15:15" x14ac:dyDescent="0.25">
      <c r="O5043" s="21"/>
    </row>
    <row r="5044" spans="15:15" x14ac:dyDescent="0.25">
      <c r="O5044" s="21"/>
    </row>
    <row r="5045" spans="15:15" x14ac:dyDescent="0.25">
      <c r="O5045" s="21"/>
    </row>
    <row r="5046" spans="15:15" x14ac:dyDescent="0.25">
      <c r="O5046" s="21"/>
    </row>
    <row r="5047" spans="15:15" x14ac:dyDescent="0.25">
      <c r="O5047" s="21"/>
    </row>
    <row r="5048" spans="15:15" x14ac:dyDescent="0.25">
      <c r="O5048" s="21"/>
    </row>
    <row r="5049" spans="15:15" x14ac:dyDescent="0.25">
      <c r="O5049" s="21"/>
    </row>
    <row r="5050" spans="15:15" x14ac:dyDescent="0.25">
      <c r="O5050" s="21"/>
    </row>
    <row r="5051" spans="15:15" x14ac:dyDescent="0.25">
      <c r="O5051" s="21"/>
    </row>
    <row r="5052" spans="15:15" x14ac:dyDescent="0.25">
      <c r="O5052" s="21"/>
    </row>
    <row r="5053" spans="15:15" x14ac:dyDescent="0.25">
      <c r="O5053" s="21"/>
    </row>
    <row r="5054" spans="15:15" x14ac:dyDescent="0.25">
      <c r="O5054" s="21"/>
    </row>
    <row r="5055" spans="15:15" x14ac:dyDescent="0.25">
      <c r="O5055" s="21"/>
    </row>
    <row r="5056" spans="15:15" x14ac:dyDescent="0.25">
      <c r="O5056" s="21"/>
    </row>
    <row r="5057" spans="15:15" x14ac:dyDescent="0.25">
      <c r="O5057" s="21"/>
    </row>
    <row r="5058" spans="15:15" x14ac:dyDescent="0.25">
      <c r="O5058" s="21"/>
    </row>
    <row r="5059" spans="15:15" x14ac:dyDescent="0.25">
      <c r="O5059" s="21"/>
    </row>
    <row r="5060" spans="15:15" x14ac:dyDescent="0.25">
      <c r="O5060" s="21"/>
    </row>
    <row r="5061" spans="15:15" x14ac:dyDescent="0.25">
      <c r="O5061" s="21"/>
    </row>
    <row r="5062" spans="15:15" x14ac:dyDescent="0.25">
      <c r="O5062" s="21"/>
    </row>
    <row r="5063" spans="15:15" x14ac:dyDescent="0.25">
      <c r="O5063" s="21"/>
    </row>
    <row r="5064" spans="15:15" x14ac:dyDescent="0.25">
      <c r="O5064" s="21"/>
    </row>
    <row r="5065" spans="15:15" x14ac:dyDescent="0.25">
      <c r="O5065" s="21"/>
    </row>
    <row r="5066" spans="15:15" x14ac:dyDescent="0.25">
      <c r="O5066" s="21"/>
    </row>
    <row r="5067" spans="15:15" x14ac:dyDescent="0.25">
      <c r="O5067" s="21"/>
    </row>
    <row r="5068" spans="15:15" x14ac:dyDescent="0.25">
      <c r="O5068" s="21"/>
    </row>
    <row r="5069" spans="15:15" x14ac:dyDescent="0.25">
      <c r="O5069" s="21"/>
    </row>
    <row r="5070" spans="15:15" x14ac:dyDescent="0.25">
      <c r="O5070" s="21"/>
    </row>
    <row r="5071" spans="15:15" x14ac:dyDescent="0.25">
      <c r="O5071" s="21"/>
    </row>
    <row r="5072" spans="15:15" x14ac:dyDescent="0.25">
      <c r="O5072" s="21"/>
    </row>
    <row r="5073" spans="15:15" x14ac:dyDescent="0.25">
      <c r="O5073" s="21"/>
    </row>
    <row r="5074" spans="15:15" x14ac:dyDescent="0.25">
      <c r="O5074" s="21"/>
    </row>
    <row r="5075" spans="15:15" x14ac:dyDescent="0.25">
      <c r="O5075" s="21"/>
    </row>
    <row r="5076" spans="15:15" x14ac:dyDescent="0.25">
      <c r="O5076" s="21"/>
    </row>
    <row r="5077" spans="15:15" x14ac:dyDescent="0.25">
      <c r="O5077" s="21"/>
    </row>
    <row r="5078" spans="15:15" x14ac:dyDescent="0.25">
      <c r="O5078" s="21"/>
    </row>
    <row r="5079" spans="15:15" x14ac:dyDescent="0.25">
      <c r="O5079" s="21"/>
    </row>
    <row r="5080" spans="15:15" x14ac:dyDescent="0.25">
      <c r="O5080" s="21"/>
    </row>
    <row r="5081" spans="15:15" x14ac:dyDescent="0.25">
      <c r="O5081" s="21"/>
    </row>
    <row r="5082" spans="15:15" x14ac:dyDescent="0.25">
      <c r="O5082" s="21"/>
    </row>
    <row r="5083" spans="15:15" x14ac:dyDescent="0.25">
      <c r="O5083" s="21"/>
    </row>
    <row r="5084" spans="15:15" x14ac:dyDescent="0.25">
      <c r="O5084" s="21"/>
    </row>
    <row r="5085" spans="15:15" x14ac:dyDescent="0.25">
      <c r="O5085" s="21"/>
    </row>
    <row r="5086" spans="15:15" x14ac:dyDescent="0.25">
      <c r="O5086" s="21"/>
    </row>
    <row r="5087" spans="15:15" x14ac:dyDescent="0.25">
      <c r="O5087" s="21"/>
    </row>
    <row r="5088" spans="15:15" x14ac:dyDescent="0.25">
      <c r="O5088" s="21"/>
    </row>
    <row r="5089" spans="15:15" x14ac:dyDescent="0.25">
      <c r="O5089" s="21"/>
    </row>
    <row r="5090" spans="15:15" x14ac:dyDescent="0.25">
      <c r="O5090" s="21"/>
    </row>
    <row r="5091" spans="15:15" x14ac:dyDescent="0.25">
      <c r="O5091" s="21"/>
    </row>
    <row r="5092" spans="15:15" x14ac:dyDescent="0.25">
      <c r="O5092" s="21"/>
    </row>
    <row r="5093" spans="15:15" x14ac:dyDescent="0.25">
      <c r="O5093" s="21"/>
    </row>
    <row r="5094" spans="15:15" x14ac:dyDescent="0.25">
      <c r="O5094" s="21"/>
    </row>
    <row r="5095" spans="15:15" x14ac:dyDescent="0.25">
      <c r="O5095" s="21"/>
    </row>
    <row r="5096" spans="15:15" x14ac:dyDescent="0.25">
      <c r="O5096" s="21"/>
    </row>
    <row r="5097" spans="15:15" x14ac:dyDescent="0.25">
      <c r="O5097" s="21"/>
    </row>
    <row r="5098" spans="15:15" x14ac:dyDescent="0.25">
      <c r="O5098" s="21"/>
    </row>
    <row r="5099" spans="15:15" x14ac:dyDescent="0.25">
      <c r="O5099" s="21"/>
    </row>
    <row r="5100" spans="15:15" x14ac:dyDescent="0.25">
      <c r="O5100" s="21"/>
    </row>
    <row r="5101" spans="15:15" x14ac:dyDescent="0.25">
      <c r="O5101" s="21"/>
    </row>
    <row r="5102" spans="15:15" x14ac:dyDescent="0.25">
      <c r="O5102" s="21"/>
    </row>
    <row r="5103" spans="15:15" x14ac:dyDescent="0.25">
      <c r="O5103" s="21"/>
    </row>
    <row r="5104" spans="15:15" x14ac:dyDescent="0.25">
      <c r="O5104" s="21"/>
    </row>
    <row r="5105" spans="15:15" x14ac:dyDescent="0.25">
      <c r="O5105" s="21"/>
    </row>
    <row r="5106" spans="15:15" x14ac:dyDescent="0.25">
      <c r="O5106" s="21"/>
    </row>
    <row r="5107" spans="15:15" x14ac:dyDescent="0.25">
      <c r="O5107" s="21"/>
    </row>
    <row r="5108" spans="15:15" x14ac:dyDescent="0.25">
      <c r="O5108" s="21"/>
    </row>
    <row r="5109" spans="15:15" x14ac:dyDescent="0.25">
      <c r="O5109" s="21"/>
    </row>
    <row r="5110" spans="15:15" x14ac:dyDescent="0.25">
      <c r="O5110" s="21"/>
    </row>
    <row r="5111" spans="15:15" x14ac:dyDescent="0.25">
      <c r="O5111" s="21"/>
    </row>
    <row r="5112" spans="15:15" x14ac:dyDescent="0.25">
      <c r="O5112" s="21"/>
    </row>
    <row r="5113" spans="15:15" x14ac:dyDescent="0.25">
      <c r="O5113" s="21"/>
    </row>
    <row r="5114" spans="15:15" x14ac:dyDescent="0.25">
      <c r="O5114" s="21"/>
    </row>
    <row r="5115" spans="15:15" x14ac:dyDescent="0.25">
      <c r="O5115" s="21"/>
    </row>
    <row r="5116" spans="15:15" x14ac:dyDescent="0.25">
      <c r="O5116" s="21"/>
    </row>
    <row r="5117" spans="15:15" x14ac:dyDescent="0.25">
      <c r="O5117" s="21"/>
    </row>
    <row r="5118" spans="15:15" x14ac:dyDescent="0.25">
      <c r="O5118" s="21"/>
    </row>
    <row r="5119" spans="15:15" x14ac:dyDescent="0.25">
      <c r="O5119" s="21"/>
    </row>
    <row r="5120" spans="15:15" x14ac:dyDescent="0.25">
      <c r="O5120" s="21"/>
    </row>
    <row r="5121" spans="15:15" x14ac:dyDescent="0.25">
      <c r="O5121" s="21"/>
    </row>
    <row r="5122" spans="15:15" x14ac:dyDescent="0.25">
      <c r="O5122" s="21"/>
    </row>
    <row r="5123" spans="15:15" x14ac:dyDescent="0.25">
      <c r="O5123" s="21"/>
    </row>
    <row r="5124" spans="15:15" x14ac:dyDescent="0.25">
      <c r="O5124" s="21"/>
    </row>
    <row r="5125" spans="15:15" x14ac:dyDescent="0.25">
      <c r="O5125" s="21"/>
    </row>
    <row r="5126" spans="15:15" x14ac:dyDescent="0.25">
      <c r="O5126" s="21"/>
    </row>
    <row r="5127" spans="15:15" x14ac:dyDescent="0.25">
      <c r="O5127" s="21"/>
    </row>
    <row r="5128" spans="15:15" x14ac:dyDescent="0.25">
      <c r="O5128" s="21"/>
    </row>
    <row r="5129" spans="15:15" x14ac:dyDescent="0.25">
      <c r="O5129" s="21"/>
    </row>
    <row r="5130" spans="15:15" x14ac:dyDescent="0.25">
      <c r="O5130" s="21"/>
    </row>
    <row r="5131" spans="15:15" x14ac:dyDescent="0.25">
      <c r="O5131" s="21"/>
    </row>
    <row r="5132" spans="15:15" x14ac:dyDescent="0.25">
      <c r="O5132" s="21"/>
    </row>
    <row r="5133" spans="15:15" x14ac:dyDescent="0.25">
      <c r="O5133" s="21"/>
    </row>
    <row r="5134" spans="15:15" x14ac:dyDescent="0.25">
      <c r="O5134" s="21"/>
    </row>
    <row r="5135" spans="15:15" x14ac:dyDescent="0.25">
      <c r="O5135" s="21"/>
    </row>
    <row r="5136" spans="15:15" x14ac:dyDescent="0.25">
      <c r="O5136" s="21"/>
    </row>
    <row r="5137" spans="15:15" x14ac:dyDescent="0.25">
      <c r="O5137" s="21"/>
    </row>
    <row r="5138" spans="15:15" x14ac:dyDescent="0.25">
      <c r="O5138" s="21"/>
    </row>
    <row r="5139" spans="15:15" x14ac:dyDescent="0.25">
      <c r="O5139" s="21"/>
    </row>
    <row r="5140" spans="15:15" x14ac:dyDescent="0.25">
      <c r="O5140" s="21"/>
    </row>
    <row r="5141" spans="15:15" x14ac:dyDescent="0.25">
      <c r="O5141" s="21"/>
    </row>
    <row r="5142" spans="15:15" x14ac:dyDescent="0.25">
      <c r="O5142" s="21"/>
    </row>
    <row r="5143" spans="15:15" x14ac:dyDescent="0.25">
      <c r="O5143" s="21"/>
    </row>
    <row r="5144" spans="15:15" x14ac:dyDescent="0.25">
      <c r="O5144" s="21"/>
    </row>
    <row r="5145" spans="15:15" x14ac:dyDescent="0.25">
      <c r="O5145" s="21"/>
    </row>
    <row r="5146" spans="15:15" x14ac:dyDescent="0.25">
      <c r="O5146" s="21"/>
    </row>
    <row r="5147" spans="15:15" x14ac:dyDescent="0.25">
      <c r="O5147" s="21"/>
    </row>
    <row r="5148" spans="15:15" x14ac:dyDescent="0.25">
      <c r="O5148" s="21"/>
    </row>
    <row r="5149" spans="15:15" x14ac:dyDescent="0.25">
      <c r="O5149" s="21"/>
    </row>
    <row r="5150" spans="15:15" x14ac:dyDescent="0.25">
      <c r="O5150" s="21"/>
    </row>
    <row r="5151" spans="15:15" x14ac:dyDescent="0.25">
      <c r="O5151" s="21"/>
    </row>
    <row r="5152" spans="15:15" x14ac:dyDescent="0.25">
      <c r="O5152" s="21"/>
    </row>
    <row r="5153" spans="15:15" x14ac:dyDescent="0.25">
      <c r="O5153" s="21"/>
    </row>
    <row r="5154" spans="15:15" x14ac:dyDescent="0.25">
      <c r="O5154" s="21"/>
    </row>
    <row r="5155" spans="15:15" x14ac:dyDescent="0.25">
      <c r="O5155" s="21"/>
    </row>
    <row r="5156" spans="15:15" x14ac:dyDescent="0.25">
      <c r="O5156" s="21"/>
    </row>
    <row r="5157" spans="15:15" x14ac:dyDescent="0.25">
      <c r="O5157" s="21"/>
    </row>
    <row r="5158" spans="15:15" x14ac:dyDescent="0.25">
      <c r="O5158" s="21"/>
    </row>
    <row r="5159" spans="15:15" x14ac:dyDescent="0.25">
      <c r="O5159" s="21"/>
    </row>
    <row r="5160" spans="15:15" x14ac:dyDescent="0.25">
      <c r="O5160" s="21"/>
    </row>
    <row r="5161" spans="15:15" x14ac:dyDescent="0.25">
      <c r="O5161" s="21"/>
    </row>
    <row r="5162" spans="15:15" x14ac:dyDescent="0.25">
      <c r="O5162" s="21"/>
    </row>
    <row r="5163" spans="15:15" x14ac:dyDescent="0.25">
      <c r="O5163" s="21"/>
    </row>
    <row r="5164" spans="15:15" x14ac:dyDescent="0.25">
      <c r="O5164" s="21"/>
    </row>
    <row r="5165" spans="15:15" x14ac:dyDescent="0.25">
      <c r="O5165" s="21"/>
    </row>
    <row r="5166" spans="15:15" x14ac:dyDescent="0.25">
      <c r="O5166" s="21"/>
    </row>
    <row r="5167" spans="15:15" x14ac:dyDescent="0.25">
      <c r="O5167" s="21"/>
    </row>
    <row r="5168" spans="15:15" x14ac:dyDescent="0.25">
      <c r="O5168" s="21"/>
    </row>
    <row r="5169" spans="15:15" x14ac:dyDescent="0.25">
      <c r="O5169" s="21"/>
    </row>
    <row r="5170" spans="15:15" x14ac:dyDescent="0.25">
      <c r="O5170" s="21"/>
    </row>
    <row r="5171" spans="15:15" x14ac:dyDescent="0.25">
      <c r="O5171" s="21"/>
    </row>
    <row r="5172" spans="15:15" x14ac:dyDescent="0.25">
      <c r="O5172" s="21"/>
    </row>
    <row r="5173" spans="15:15" x14ac:dyDescent="0.25">
      <c r="O5173" s="21"/>
    </row>
    <row r="5174" spans="15:15" x14ac:dyDescent="0.25">
      <c r="O5174" s="21"/>
    </row>
    <row r="5175" spans="15:15" x14ac:dyDescent="0.25">
      <c r="O5175" s="21"/>
    </row>
    <row r="5176" spans="15:15" x14ac:dyDescent="0.25">
      <c r="O5176" s="21"/>
    </row>
    <row r="5177" spans="15:15" x14ac:dyDescent="0.25">
      <c r="O5177" s="21"/>
    </row>
    <row r="5178" spans="15:15" x14ac:dyDescent="0.25">
      <c r="O5178" s="21"/>
    </row>
    <row r="5179" spans="15:15" x14ac:dyDescent="0.25">
      <c r="O5179" s="21"/>
    </row>
    <row r="5180" spans="15:15" x14ac:dyDescent="0.25">
      <c r="O5180" s="21"/>
    </row>
    <row r="5181" spans="15:15" x14ac:dyDescent="0.25">
      <c r="O5181" s="21"/>
    </row>
    <row r="5182" spans="15:15" x14ac:dyDescent="0.25">
      <c r="O5182" s="21"/>
    </row>
    <row r="5183" spans="15:15" x14ac:dyDescent="0.25">
      <c r="O5183" s="21"/>
    </row>
    <row r="5184" spans="15:15" x14ac:dyDescent="0.25">
      <c r="O5184" s="21"/>
    </row>
    <row r="5185" spans="15:15" x14ac:dyDescent="0.25">
      <c r="O5185" s="21"/>
    </row>
    <row r="5186" spans="15:15" x14ac:dyDescent="0.25">
      <c r="O5186" s="21"/>
    </row>
    <row r="5187" spans="15:15" x14ac:dyDescent="0.25">
      <c r="O5187" s="21"/>
    </row>
    <row r="5188" spans="15:15" x14ac:dyDescent="0.25">
      <c r="O5188" s="21"/>
    </row>
    <row r="5189" spans="15:15" x14ac:dyDescent="0.25">
      <c r="O5189" s="21"/>
    </row>
    <row r="5190" spans="15:15" x14ac:dyDescent="0.25">
      <c r="O5190" s="21"/>
    </row>
    <row r="5191" spans="15:15" x14ac:dyDescent="0.25">
      <c r="O5191" s="21"/>
    </row>
    <row r="5192" spans="15:15" x14ac:dyDescent="0.25">
      <c r="O5192" s="21"/>
    </row>
    <row r="5193" spans="15:15" x14ac:dyDescent="0.25">
      <c r="O5193" s="21"/>
    </row>
    <row r="5194" spans="15:15" x14ac:dyDescent="0.25">
      <c r="O5194" s="21"/>
    </row>
    <row r="5195" spans="15:15" x14ac:dyDescent="0.25">
      <c r="O5195" s="21"/>
    </row>
    <row r="5196" spans="15:15" x14ac:dyDescent="0.25">
      <c r="O5196" s="21"/>
    </row>
    <row r="5197" spans="15:15" x14ac:dyDescent="0.25">
      <c r="O5197" s="21"/>
    </row>
    <row r="5198" spans="15:15" x14ac:dyDescent="0.25">
      <c r="O5198" s="21"/>
    </row>
    <row r="5199" spans="15:15" x14ac:dyDescent="0.25">
      <c r="O5199" s="21"/>
    </row>
    <row r="5200" spans="15:15" x14ac:dyDescent="0.25">
      <c r="O5200" s="21"/>
    </row>
    <row r="5201" spans="15:15" x14ac:dyDescent="0.25">
      <c r="O5201" s="21"/>
    </row>
    <row r="5202" spans="15:15" x14ac:dyDescent="0.25">
      <c r="O5202" s="21"/>
    </row>
    <row r="5203" spans="15:15" x14ac:dyDescent="0.25">
      <c r="O5203" s="21"/>
    </row>
    <row r="5204" spans="15:15" x14ac:dyDescent="0.25">
      <c r="O5204" s="21"/>
    </row>
    <row r="5205" spans="15:15" x14ac:dyDescent="0.25">
      <c r="O5205" s="21"/>
    </row>
    <row r="5206" spans="15:15" x14ac:dyDescent="0.25">
      <c r="O5206" s="21"/>
    </row>
    <row r="5207" spans="15:15" x14ac:dyDescent="0.25">
      <c r="O5207" s="21"/>
    </row>
    <row r="5208" spans="15:15" x14ac:dyDescent="0.25">
      <c r="O5208" s="21"/>
    </row>
    <row r="5209" spans="15:15" x14ac:dyDescent="0.25">
      <c r="O5209" s="21"/>
    </row>
    <row r="5210" spans="15:15" x14ac:dyDescent="0.25">
      <c r="O5210" s="21"/>
    </row>
    <row r="5211" spans="15:15" x14ac:dyDescent="0.25">
      <c r="O5211" s="21"/>
    </row>
    <row r="5212" spans="15:15" x14ac:dyDescent="0.25">
      <c r="O5212" s="21"/>
    </row>
    <row r="5213" spans="15:15" x14ac:dyDescent="0.25">
      <c r="O5213" s="21"/>
    </row>
    <row r="5214" spans="15:15" x14ac:dyDescent="0.25">
      <c r="O5214" s="21"/>
    </row>
    <row r="5215" spans="15:15" x14ac:dyDescent="0.25">
      <c r="O5215" s="21"/>
    </row>
    <row r="5216" spans="15:15" x14ac:dyDescent="0.25">
      <c r="O5216" s="21"/>
    </row>
    <row r="5217" spans="15:15" x14ac:dyDescent="0.25">
      <c r="O5217" s="21"/>
    </row>
    <row r="5218" spans="15:15" x14ac:dyDescent="0.25">
      <c r="O5218" s="21"/>
    </row>
    <row r="5219" spans="15:15" x14ac:dyDescent="0.25">
      <c r="O5219" s="21"/>
    </row>
    <row r="5220" spans="15:15" x14ac:dyDescent="0.25">
      <c r="O5220" s="21"/>
    </row>
    <row r="5221" spans="15:15" x14ac:dyDescent="0.25">
      <c r="O5221" s="21"/>
    </row>
    <row r="5222" spans="15:15" x14ac:dyDescent="0.25">
      <c r="O5222" s="21"/>
    </row>
    <row r="5223" spans="15:15" x14ac:dyDescent="0.25">
      <c r="O5223" s="21"/>
    </row>
    <row r="5224" spans="15:15" x14ac:dyDescent="0.25">
      <c r="O5224" s="21"/>
    </row>
    <row r="5225" spans="15:15" x14ac:dyDescent="0.25">
      <c r="O5225" s="21"/>
    </row>
    <row r="5226" spans="15:15" x14ac:dyDescent="0.25">
      <c r="O5226" s="21"/>
    </row>
    <row r="5227" spans="15:15" x14ac:dyDescent="0.25">
      <c r="O5227" s="21"/>
    </row>
    <row r="5228" spans="15:15" x14ac:dyDescent="0.25">
      <c r="O5228" s="21"/>
    </row>
    <row r="5229" spans="15:15" x14ac:dyDescent="0.25">
      <c r="O5229" s="21"/>
    </row>
    <row r="5230" spans="15:15" x14ac:dyDescent="0.25">
      <c r="O5230" s="21"/>
    </row>
    <row r="5231" spans="15:15" x14ac:dyDescent="0.25">
      <c r="O5231" s="21"/>
    </row>
    <row r="5232" spans="15:15" x14ac:dyDescent="0.25">
      <c r="O5232" s="21"/>
    </row>
    <row r="5233" spans="15:15" x14ac:dyDescent="0.25">
      <c r="O5233" s="21"/>
    </row>
    <row r="5234" spans="15:15" x14ac:dyDescent="0.25">
      <c r="O5234" s="21"/>
    </row>
    <row r="5235" spans="15:15" x14ac:dyDescent="0.25">
      <c r="O5235" s="21"/>
    </row>
    <row r="5236" spans="15:15" x14ac:dyDescent="0.25">
      <c r="O5236" s="21"/>
    </row>
    <row r="5237" spans="15:15" x14ac:dyDescent="0.25">
      <c r="O5237" s="21"/>
    </row>
    <row r="5238" spans="15:15" x14ac:dyDescent="0.25">
      <c r="O5238" s="21"/>
    </row>
    <row r="5239" spans="15:15" x14ac:dyDescent="0.25">
      <c r="O5239" s="21"/>
    </row>
    <row r="5240" spans="15:15" x14ac:dyDescent="0.25">
      <c r="O5240" s="21"/>
    </row>
    <row r="5241" spans="15:15" x14ac:dyDescent="0.25">
      <c r="O5241" s="21"/>
    </row>
    <row r="5242" spans="15:15" x14ac:dyDescent="0.25">
      <c r="O5242" s="21"/>
    </row>
    <row r="5243" spans="15:15" x14ac:dyDescent="0.25">
      <c r="O5243" s="21"/>
    </row>
    <row r="5244" spans="15:15" x14ac:dyDescent="0.25">
      <c r="O5244" s="21"/>
    </row>
    <row r="5245" spans="15:15" x14ac:dyDescent="0.25">
      <c r="O5245" s="21"/>
    </row>
    <row r="5246" spans="15:15" x14ac:dyDescent="0.25">
      <c r="O5246" s="21"/>
    </row>
    <row r="5247" spans="15:15" x14ac:dyDescent="0.25">
      <c r="O5247" s="21"/>
    </row>
    <row r="5248" spans="15:15" x14ac:dyDescent="0.25">
      <c r="O5248" s="21"/>
    </row>
    <row r="5249" spans="15:15" x14ac:dyDescent="0.25">
      <c r="O5249" s="21"/>
    </row>
    <row r="5250" spans="15:15" x14ac:dyDescent="0.25">
      <c r="O5250" s="21"/>
    </row>
    <row r="5251" spans="15:15" x14ac:dyDescent="0.25">
      <c r="O5251" s="21"/>
    </row>
    <row r="5252" spans="15:15" x14ac:dyDescent="0.25">
      <c r="O5252" s="21"/>
    </row>
    <row r="5253" spans="15:15" x14ac:dyDescent="0.25">
      <c r="O5253" s="21"/>
    </row>
    <row r="5254" spans="15:15" x14ac:dyDescent="0.25">
      <c r="O5254" s="21"/>
    </row>
    <row r="5255" spans="15:15" x14ac:dyDescent="0.25">
      <c r="O5255" s="21"/>
    </row>
    <row r="5256" spans="15:15" x14ac:dyDescent="0.25">
      <c r="O5256" s="21"/>
    </row>
    <row r="5257" spans="15:15" x14ac:dyDescent="0.25">
      <c r="O5257" s="21"/>
    </row>
    <row r="5258" spans="15:15" x14ac:dyDescent="0.25">
      <c r="O5258" s="21"/>
    </row>
    <row r="5259" spans="15:15" x14ac:dyDescent="0.25">
      <c r="O5259" s="21"/>
    </row>
    <row r="5260" spans="15:15" x14ac:dyDescent="0.25">
      <c r="O5260" s="21"/>
    </row>
    <row r="5261" spans="15:15" x14ac:dyDescent="0.25">
      <c r="O5261" s="21"/>
    </row>
    <row r="5262" spans="15:15" x14ac:dyDescent="0.25">
      <c r="O5262" s="21"/>
    </row>
    <row r="5263" spans="15:15" x14ac:dyDescent="0.25">
      <c r="O5263" s="21"/>
    </row>
    <row r="5264" spans="15:15" x14ac:dyDescent="0.25">
      <c r="O5264" s="21"/>
    </row>
    <row r="5265" spans="15:15" x14ac:dyDescent="0.25">
      <c r="O5265" s="21"/>
    </row>
    <row r="5266" spans="15:15" x14ac:dyDescent="0.25">
      <c r="O5266" s="21"/>
    </row>
    <row r="5267" spans="15:15" x14ac:dyDescent="0.25">
      <c r="O5267" s="21"/>
    </row>
    <row r="5268" spans="15:15" x14ac:dyDescent="0.25">
      <c r="O5268" s="21"/>
    </row>
    <row r="5269" spans="15:15" x14ac:dyDescent="0.25">
      <c r="O5269" s="21"/>
    </row>
    <row r="5270" spans="15:15" x14ac:dyDescent="0.25">
      <c r="O5270" s="21"/>
    </row>
    <row r="5271" spans="15:15" x14ac:dyDescent="0.25">
      <c r="O5271" s="21"/>
    </row>
    <row r="5272" spans="15:15" x14ac:dyDescent="0.25">
      <c r="O5272" s="21"/>
    </row>
    <row r="5273" spans="15:15" x14ac:dyDescent="0.25">
      <c r="O5273" s="21"/>
    </row>
    <row r="5274" spans="15:15" x14ac:dyDescent="0.25">
      <c r="O5274" s="21"/>
    </row>
    <row r="5275" spans="15:15" x14ac:dyDescent="0.25">
      <c r="O5275" s="21"/>
    </row>
    <row r="5276" spans="15:15" x14ac:dyDescent="0.25">
      <c r="O5276" s="21"/>
    </row>
    <row r="5277" spans="15:15" x14ac:dyDescent="0.25">
      <c r="O5277" s="21"/>
    </row>
    <row r="5278" spans="15:15" x14ac:dyDescent="0.25">
      <c r="O5278" s="21"/>
    </row>
    <row r="5279" spans="15:15" x14ac:dyDescent="0.25">
      <c r="O5279" s="21"/>
    </row>
    <row r="5280" spans="15:15" x14ac:dyDescent="0.25">
      <c r="O5280" s="21"/>
    </row>
    <row r="5281" spans="15:15" x14ac:dyDescent="0.25">
      <c r="O5281" s="21"/>
    </row>
    <row r="5282" spans="15:15" x14ac:dyDescent="0.25">
      <c r="O5282" s="21"/>
    </row>
    <row r="5283" spans="15:15" x14ac:dyDescent="0.25">
      <c r="O5283" s="21"/>
    </row>
    <row r="5284" spans="15:15" x14ac:dyDescent="0.25">
      <c r="O5284" s="21"/>
    </row>
    <row r="5285" spans="15:15" x14ac:dyDescent="0.25">
      <c r="O5285" s="21"/>
    </row>
    <row r="5286" spans="15:15" x14ac:dyDescent="0.25">
      <c r="O5286" s="21"/>
    </row>
    <row r="5287" spans="15:15" x14ac:dyDescent="0.25">
      <c r="O5287" s="21"/>
    </row>
    <row r="5288" spans="15:15" x14ac:dyDescent="0.25">
      <c r="O5288" s="21"/>
    </row>
    <row r="5289" spans="15:15" x14ac:dyDescent="0.25">
      <c r="O5289" s="21"/>
    </row>
    <row r="5290" spans="15:15" x14ac:dyDescent="0.25">
      <c r="O5290" s="21"/>
    </row>
    <row r="5291" spans="15:15" x14ac:dyDescent="0.25">
      <c r="O5291" s="21"/>
    </row>
    <row r="5292" spans="15:15" x14ac:dyDescent="0.25">
      <c r="O5292" s="21"/>
    </row>
    <row r="5293" spans="15:15" x14ac:dyDescent="0.25">
      <c r="O5293" s="21"/>
    </row>
    <row r="5294" spans="15:15" x14ac:dyDescent="0.25">
      <c r="O5294" s="21"/>
    </row>
    <row r="5295" spans="15:15" x14ac:dyDescent="0.25">
      <c r="O5295" s="21"/>
    </row>
    <row r="5296" spans="15:15" x14ac:dyDescent="0.25">
      <c r="O5296" s="21"/>
    </row>
    <row r="5297" spans="15:15" x14ac:dyDescent="0.25">
      <c r="O5297" s="21"/>
    </row>
    <row r="5298" spans="15:15" x14ac:dyDescent="0.25">
      <c r="O5298" s="21"/>
    </row>
    <row r="5299" spans="15:15" x14ac:dyDescent="0.25">
      <c r="O5299" s="21"/>
    </row>
    <row r="5300" spans="15:15" x14ac:dyDescent="0.25">
      <c r="O5300" s="21"/>
    </row>
    <row r="5301" spans="15:15" x14ac:dyDescent="0.25">
      <c r="O5301" s="21"/>
    </row>
    <row r="5302" spans="15:15" x14ac:dyDescent="0.25">
      <c r="O5302" s="21"/>
    </row>
    <row r="5303" spans="15:15" x14ac:dyDescent="0.25">
      <c r="O5303" s="21"/>
    </row>
    <row r="5304" spans="15:15" x14ac:dyDescent="0.25">
      <c r="O5304" s="21"/>
    </row>
    <row r="5305" spans="15:15" x14ac:dyDescent="0.25">
      <c r="O5305" s="21"/>
    </row>
    <row r="5306" spans="15:15" x14ac:dyDescent="0.25">
      <c r="O5306" s="21"/>
    </row>
    <row r="5307" spans="15:15" x14ac:dyDescent="0.25">
      <c r="O5307" s="21"/>
    </row>
    <row r="5308" spans="15:15" x14ac:dyDescent="0.25">
      <c r="O5308" s="21"/>
    </row>
    <row r="5309" spans="15:15" x14ac:dyDescent="0.25">
      <c r="O5309" s="21"/>
    </row>
    <row r="5310" spans="15:15" x14ac:dyDescent="0.25">
      <c r="O5310" s="21"/>
    </row>
    <row r="5311" spans="15:15" x14ac:dyDescent="0.25">
      <c r="O5311" s="21"/>
    </row>
    <row r="5312" spans="15:15" x14ac:dyDescent="0.25">
      <c r="O5312" s="21"/>
    </row>
    <row r="5313" spans="15:15" x14ac:dyDescent="0.25">
      <c r="O5313" s="21"/>
    </row>
    <row r="5314" spans="15:15" x14ac:dyDescent="0.25">
      <c r="O5314" s="21"/>
    </row>
    <row r="5315" spans="15:15" x14ac:dyDescent="0.25">
      <c r="O5315" s="21"/>
    </row>
    <row r="5316" spans="15:15" x14ac:dyDescent="0.25">
      <c r="O5316" s="21"/>
    </row>
    <row r="5317" spans="15:15" x14ac:dyDescent="0.25">
      <c r="O5317" s="21"/>
    </row>
    <row r="5318" spans="15:15" x14ac:dyDescent="0.25">
      <c r="O5318" s="21"/>
    </row>
    <row r="5319" spans="15:15" x14ac:dyDescent="0.25">
      <c r="O5319" s="21"/>
    </row>
    <row r="5320" spans="15:15" x14ac:dyDescent="0.25">
      <c r="O5320" s="21"/>
    </row>
    <row r="5321" spans="15:15" x14ac:dyDescent="0.25">
      <c r="O5321" s="21"/>
    </row>
    <row r="5322" spans="15:15" x14ac:dyDescent="0.25">
      <c r="O5322" s="21"/>
    </row>
    <row r="5323" spans="15:15" x14ac:dyDescent="0.25">
      <c r="O5323" s="21"/>
    </row>
    <row r="5324" spans="15:15" x14ac:dyDescent="0.25">
      <c r="O5324" s="21"/>
    </row>
    <row r="5325" spans="15:15" x14ac:dyDescent="0.25">
      <c r="O5325" s="21"/>
    </row>
    <row r="5326" spans="15:15" x14ac:dyDescent="0.25">
      <c r="O5326" s="21"/>
    </row>
    <row r="5327" spans="15:15" x14ac:dyDescent="0.25">
      <c r="O5327" s="21"/>
    </row>
    <row r="5328" spans="15:15" x14ac:dyDescent="0.25">
      <c r="O5328" s="21"/>
    </row>
    <row r="5329" spans="15:15" x14ac:dyDescent="0.25">
      <c r="O5329" s="21"/>
    </row>
    <row r="5330" spans="15:15" x14ac:dyDescent="0.25">
      <c r="O5330" s="21"/>
    </row>
    <row r="5331" spans="15:15" x14ac:dyDescent="0.25">
      <c r="O5331" s="21"/>
    </row>
    <row r="5332" spans="15:15" x14ac:dyDescent="0.25">
      <c r="O5332" s="21"/>
    </row>
    <row r="5333" spans="15:15" x14ac:dyDescent="0.25">
      <c r="O5333" s="21"/>
    </row>
    <row r="5334" spans="15:15" x14ac:dyDescent="0.25">
      <c r="O5334" s="21"/>
    </row>
    <row r="5335" spans="15:15" x14ac:dyDescent="0.25">
      <c r="O5335" s="21"/>
    </row>
    <row r="5336" spans="15:15" x14ac:dyDescent="0.25">
      <c r="O5336" s="21"/>
    </row>
    <row r="5337" spans="15:15" x14ac:dyDescent="0.25">
      <c r="O5337" s="21"/>
    </row>
    <row r="5338" spans="15:15" x14ac:dyDescent="0.25">
      <c r="O5338" s="21"/>
    </row>
    <row r="5339" spans="15:15" x14ac:dyDescent="0.25">
      <c r="O5339" s="21"/>
    </row>
    <row r="5340" spans="15:15" x14ac:dyDescent="0.25">
      <c r="O5340" s="21"/>
    </row>
    <row r="5341" spans="15:15" x14ac:dyDescent="0.25">
      <c r="O5341" s="21"/>
    </row>
    <row r="5342" spans="15:15" x14ac:dyDescent="0.25">
      <c r="O5342" s="21"/>
    </row>
    <row r="5343" spans="15:15" x14ac:dyDescent="0.25">
      <c r="O5343" s="21"/>
    </row>
    <row r="5344" spans="15:15" x14ac:dyDescent="0.25">
      <c r="O5344" s="21"/>
    </row>
    <row r="5345" spans="15:15" x14ac:dyDescent="0.25">
      <c r="O5345" s="21"/>
    </row>
    <row r="5346" spans="15:15" x14ac:dyDescent="0.25">
      <c r="O5346" s="21"/>
    </row>
    <row r="5347" spans="15:15" x14ac:dyDescent="0.25">
      <c r="O5347" s="21"/>
    </row>
    <row r="5348" spans="15:15" x14ac:dyDescent="0.25">
      <c r="O5348" s="21"/>
    </row>
    <row r="5349" spans="15:15" x14ac:dyDescent="0.25">
      <c r="O5349" s="21"/>
    </row>
    <row r="5350" spans="15:15" x14ac:dyDescent="0.25">
      <c r="O5350" s="21"/>
    </row>
    <row r="5351" spans="15:15" x14ac:dyDescent="0.25">
      <c r="O5351" s="21"/>
    </row>
    <row r="5352" spans="15:15" x14ac:dyDescent="0.25">
      <c r="O5352" s="21"/>
    </row>
    <row r="5353" spans="15:15" x14ac:dyDescent="0.25">
      <c r="O5353" s="21"/>
    </row>
    <row r="5354" spans="15:15" x14ac:dyDescent="0.25">
      <c r="O5354" s="21"/>
    </row>
    <row r="5355" spans="15:15" x14ac:dyDescent="0.25">
      <c r="O5355" s="21"/>
    </row>
    <row r="5356" spans="15:15" x14ac:dyDescent="0.25">
      <c r="O5356" s="21"/>
    </row>
    <row r="5357" spans="15:15" x14ac:dyDescent="0.25">
      <c r="O5357" s="21"/>
    </row>
    <row r="5358" spans="15:15" x14ac:dyDescent="0.25">
      <c r="O5358" s="21"/>
    </row>
    <row r="5359" spans="15:15" x14ac:dyDescent="0.25">
      <c r="O5359" s="21"/>
    </row>
    <row r="5360" spans="15:15" x14ac:dyDescent="0.25">
      <c r="O5360" s="21"/>
    </row>
    <row r="5361" spans="15:15" x14ac:dyDescent="0.25">
      <c r="O5361" s="21"/>
    </row>
    <row r="5362" spans="15:15" x14ac:dyDescent="0.25">
      <c r="O5362" s="21"/>
    </row>
    <row r="5363" spans="15:15" x14ac:dyDescent="0.25">
      <c r="O5363" s="21"/>
    </row>
    <row r="5364" spans="15:15" x14ac:dyDescent="0.25">
      <c r="O5364" s="21"/>
    </row>
    <row r="5365" spans="15:15" x14ac:dyDescent="0.25">
      <c r="O5365" s="21"/>
    </row>
    <row r="5366" spans="15:15" x14ac:dyDescent="0.25">
      <c r="O5366" s="21"/>
    </row>
    <row r="5367" spans="15:15" x14ac:dyDescent="0.25">
      <c r="O5367" s="21"/>
    </row>
    <row r="5368" spans="15:15" x14ac:dyDescent="0.25">
      <c r="O5368" s="21"/>
    </row>
    <row r="5369" spans="15:15" x14ac:dyDescent="0.25">
      <c r="O5369" s="21"/>
    </row>
    <row r="5370" spans="15:15" x14ac:dyDescent="0.25">
      <c r="O5370" s="21"/>
    </row>
    <row r="5371" spans="15:15" x14ac:dyDescent="0.25">
      <c r="O5371" s="21"/>
    </row>
    <row r="5372" spans="15:15" x14ac:dyDescent="0.25">
      <c r="O5372" s="21"/>
    </row>
    <row r="5373" spans="15:15" x14ac:dyDescent="0.25">
      <c r="O5373" s="21"/>
    </row>
    <row r="5374" spans="15:15" x14ac:dyDescent="0.25">
      <c r="O5374" s="21"/>
    </row>
    <row r="5375" spans="15:15" x14ac:dyDescent="0.25">
      <c r="O5375" s="21"/>
    </row>
    <row r="5376" spans="15:15" x14ac:dyDescent="0.25">
      <c r="O5376" s="21"/>
    </row>
    <row r="5377" spans="15:15" x14ac:dyDescent="0.25">
      <c r="O5377" s="21"/>
    </row>
    <row r="5378" spans="15:15" x14ac:dyDescent="0.25">
      <c r="O5378" s="21"/>
    </row>
    <row r="5379" spans="15:15" x14ac:dyDescent="0.25">
      <c r="O5379" s="21"/>
    </row>
    <row r="5380" spans="15:15" x14ac:dyDescent="0.25">
      <c r="O5380" s="21"/>
    </row>
    <row r="5381" spans="15:15" x14ac:dyDescent="0.25">
      <c r="O5381" s="21"/>
    </row>
    <row r="5382" spans="15:15" x14ac:dyDescent="0.25">
      <c r="O5382" s="21"/>
    </row>
    <row r="5383" spans="15:15" x14ac:dyDescent="0.25">
      <c r="O5383" s="21"/>
    </row>
    <row r="5384" spans="15:15" x14ac:dyDescent="0.25">
      <c r="O5384" s="21"/>
    </row>
    <row r="5385" spans="15:15" x14ac:dyDescent="0.25">
      <c r="O5385" s="21"/>
    </row>
    <row r="5386" spans="15:15" x14ac:dyDescent="0.25">
      <c r="O5386" s="21"/>
    </row>
    <row r="5387" spans="15:15" x14ac:dyDescent="0.25">
      <c r="O5387" s="21"/>
    </row>
    <row r="5388" spans="15:15" x14ac:dyDescent="0.25">
      <c r="O5388" s="21"/>
    </row>
    <row r="5389" spans="15:15" x14ac:dyDescent="0.25">
      <c r="O5389" s="21"/>
    </row>
    <row r="5390" spans="15:15" x14ac:dyDescent="0.25">
      <c r="O5390" s="21"/>
    </row>
    <row r="5391" spans="15:15" x14ac:dyDescent="0.25">
      <c r="O5391" s="21"/>
    </row>
    <row r="5392" spans="15:15" x14ac:dyDescent="0.25">
      <c r="O5392" s="21"/>
    </row>
    <row r="5393" spans="15:15" x14ac:dyDescent="0.25">
      <c r="O5393" s="21"/>
    </row>
    <row r="5394" spans="15:15" x14ac:dyDescent="0.25">
      <c r="O5394" s="21"/>
    </row>
    <row r="5395" spans="15:15" x14ac:dyDescent="0.25">
      <c r="O5395" s="21"/>
    </row>
    <row r="5396" spans="15:15" x14ac:dyDescent="0.25">
      <c r="O5396" s="21"/>
    </row>
    <row r="5397" spans="15:15" x14ac:dyDescent="0.25">
      <c r="O5397" s="21"/>
    </row>
    <row r="5398" spans="15:15" x14ac:dyDescent="0.25">
      <c r="O5398" s="21"/>
    </row>
    <row r="5399" spans="15:15" x14ac:dyDescent="0.25">
      <c r="O5399" s="21"/>
    </row>
    <row r="5400" spans="15:15" x14ac:dyDescent="0.25">
      <c r="O5400" s="21"/>
    </row>
    <row r="5401" spans="15:15" x14ac:dyDescent="0.25">
      <c r="O5401" s="21"/>
    </row>
    <row r="5402" spans="15:15" x14ac:dyDescent="0.25">
      <c r="O5402" s="21"/>
    </row>
    <row r="5403" spans="15:15" x14ac:dyDescent="0.25">
      <c r="O5403" s="21"/>
    </row>
    <row r="5404" spans="15:15" x14ac:dyDescent="0.25">
      <c r="O5404" s="21"/>
    </row>
    <row r="5405" spans="15:15" x14ac:dyDescent="0.25">
      <c r="O5405" s="21"/>
    </row>
    <row r="5406" spans="15:15" x14ac:dyDescent="0.25">
      <c r="O5406" s="21"/>
    </row>
    <row r="5407" spans="15:15" x14ac:dyDescent="0.25">
      <c r="O5407" s="21"/>
    </row>
    <row r="5408" spans="15:15" x14ac:dyDescent="0.25">
      <c r="O5408" s="21"/>
    </row>
    <row r="5409" spans="15:15" x14ac:dyDescent="0.25">
      <c r="O5409" s="21"/>
    </row>
    <row r="5410" spans="15:15" x14ac:dyDescent="0.25">
      <c r="O5410" s="21"/>
    </row>
    <row r="5411" spans="15:15" x14ac:dyDescent="0.25">
      <c r="O5411" s="21"/>
    </row>
    <row r="5412" spans="15:15" x14ac:dyDescent="0.25">
      <c r="O5412" s="21"/>
    </row>
    <row r="5413" spans="15:15" x14ac:dyDescent="0.25">
      <c r="O5413" s="21"/>
    </row>
    <row r="5414" spans="15:15" x14ac:dyDescent="0.25">
      <c r="O5414" s="21"/>
    </row>
    <row r="5415" spans="15:15" x14ac:dyDescent="0.25">
      <c r="O5415" s="21"/>
    </row>
    <row r="5416" spans="15:15" x14ac:dyDescent="0.25">
      <c r="O5416" s="21"/>
    </row>
    <row r="5417" spans="15:15" x14ac:dyDescent="0.25">
      <c r="O5417" s="21"/>
    </row>
    <row r="5418" spans="15:15" x14ac:dyDescent="0.25">
      <c r="O5418" s="21"/>
    </row>
    <row r="5419" spans="15:15" x14ac:dyDescent="0.25">
      <c r="O5419" s="21"/>
    </row>
    <row r="5420" spans="15:15" x14ac:dyDescent="0.25">
      <c r="O5420" s="21"/>
    </row>
    <row r="5421" spans="15:15" x14ac:dyDescent="0.25">
      <c r="O5421" s="21"/>
    </row>
    <row r="5422" spans="15:15" x14ac:dyDescent="0.25">
      <c r="O5422" s="21"/>
    </row>
    <row r="5423" spans="15:15" x14ac:dyDescent="0.25">
      <c r="O5423" s="21"/>
    </row>
    <row r="5424" spans="15:15" x14ac:dyDescent="0.25">
      <c r="O5424" s="21"/>
    </row>
    <row r="5425" spans="15:15" x14ac:dyDescent="0.25">
      <c r="O5425" s="21"/>
    </row>
    <row r="5426" spans="15:15" x14ac:dyDescent="0.25">
      <c r="O5426" s="21"/>
    </row>
    <row r="5427" spans="15:15" x14ac:dyDescent="0.25">
      <c r="O5427" s="21"/>
    </row>
    <row r="5428" spans="15:15" x14ac:dyDescent="0.25">
      <c r="O5428" s="21"/>
    </row>
    <row r="5429" spans="15:15" x14ac:dyDescent="0.25">
      <c r="O5429" s="21"/>
    </row>
    <row r="5430" spans="15:15" x14ac:dyDescent="0.25">
      <c r="O5430" s="21"/>
    </row>
    <row r="5431" spans="15:15" x14ac:dyDescent="0.25">
      <c r="O5431" s="21"/>
    </row>
    <row r="5432" spans="15:15" x14ac:dyDescent="0.25">
      <c r="O5432" s="21"/>
    </row>
    <row r="5433" spans="15:15" x14ac:dyDescent="0.25">
      <c r="O5433" s="21"/>
    </row>
    <row r="5434" spans="15:15" x14ac:dyDescent="0.25">
      <c r="O5434" s="21"/>
    </row>
    <row r="5435" spans="15:15" x14ac:dyDescent="0.25">
      <c r="O5435" s="21"/>
    </row>
    <row r="5436" spans="15:15" x14ac:dyDescent="0.25">
      <c r="O5436" s="21"/>
    </row>
    <row r="5437" spans="15:15" x14ac:dyDescent="0.25">
      <c r="O5437" s="21"/>
    </row>
    <row r="5438" spans="15:15" x14ac:dyDescent="0.25">
      <c r="O5438" s="21"/>
    </row>
    <row r="5439" spans="15:15" x14ac:dyDescent="0.25">
      <c r="O5439" s="21"/>
    </row>
    <row r="5440" spans="15:15" x14ac:dyDescent="0.25">
      <c r="O5440" s="21"/>
    </row>
    <row r="5441" spans="15:15" x14ac:dyDescent="0.25">
      <c r="O5441" s="21"/>
    </row>
    <row r="5442" spans="15:15" x14ac:dyDescent="0.25">
      <c r="O5442" s="21"/>
    </row>
    <row r="5443" spans="15:15" x14ac:dyDescent="0.25">
      <c r="O5443" s="21"/>
    </row>
    <row r="5444" spans="15:15" x14ac:dyDescent="0.25">
      <c r="O5444" s="21"/>
    </row>
    <row r="5445" spans="15:15" x14ac:dyDescent="0.25">
      <c r="O5445" s="21"/>
    </row>
    <row r="5446" spans="15:15" x14ac:dyDescent="0.25">
      <c r="O5446" s="21"/>
    </row>
    <row r="5447" spans="15:15" x14ac:dyDescent="0.25">
      <c r="O5447" s="21"/>
    </row>
    <row r="5448" spans="15:15" x14ac:dyDescent="0.25">
      <c r="O5448" s="21"/>
    </row>
    <row r="5449" spans="15:15" x14ac:dyDescent="0.25">
      <c r="O5449" s="21"/>
    </row>
    <row r="5450" spans="15:15" x14ac:dyDescent="0.25">
      <c r="O5450" s="21"/>
    </row>
    <row r="5451" spans="15:15" x14ac:dyDescent="0.25">
      <c r="O5451" s="21"/>
    </row>
    <row r="5452" spans="15:15" x14ac:dyDescent="0.25">
      <c r="O5452" s="21"/>
    </row>
    <row r="5453" spans="15:15" x14ac:dyDescent="0.25">
      <c r="O5453" s="21"/>
    </row>
    <row r="5454" spans="15:15" x14ac:dyDescent="0.25">
      <c r="O5454" s="21"/>
    </row>
    <row r="5455" spans="15:15" x14ac:dyDescent="0.25">
      <c r="O5455" s="21"/>
    </row>
    <row r="5456" spans="15:15" x14ac:dyDescent="0.25">
      <c r="O5456" s="21"/>
    </row>
    <row r="5457" spans="15:15" x14ac:dyDescent="0.25">
      <c r="O5457" s="21"/>
    </row>
    <row r="5458" spans="15:15" x14ac:dyDescent="0.25">
      <c r="O5458" s="21"/>
    </row>
    <row r="5459" spans="15:15" x14ac:dyDescent="0.25">
      <c r="O5459" s="21"/>
    </row>
    <row r="5460" spans="15:15" x14ac:dyDescent="0.25">
      <c r="O5460" s="21"/>
    </row>
    <row r="5461" spans="15:15" x14ac:dyDescent="0.25">
      <c r="O5461" s="21"/>
    </row>
    <row r="5462" spans="15:15" x14ac:dyDescent="0.25">
      <c r="O5462" s="21"/>
    </row>
    <row r="5463" spans="15:15" x14ac:dyDescent="0.25">
      <c r="O5463" s="21"/>
    </row>
    <row r="5464" spans="15:15" x14ac:dyDescent="0.25">
      <c r="O5464" s="21"/>
    </row>
    <row r="5465" spans="15:15" x14ac:dyDescent="0.25">
      <c r="O5465" s="21"/>
    </row>
    <row r="5466" spans="15:15" x14ac:dyDescent="0.25">
      <c r="O5466" s="21"/>
    </row>
    <row r="5467" spans="15:15" x14ac:dyDescent="0.25">
      <c r="O5467" s="21"/>
    </row>
    <row r="5468" spans="15:15" x14ac:dyDescent="0.25">
      <c r="O5468" s="21"/>
    </row>
    <row r="5469" spans="15:15" x14ac:dyDescent="0.25">
      <c r="O5469" s="21"/>
    </row>
    <row r="5470" spans="15:15" x14ac:dyDescent="0.25">
      <c r="O5470" s="21"/>
    </row>
    <row r="5471" spans="15:15" x14ac:dyDescent="0.25">
      <c r="O5471" s="21"/>
    </row>
    <row r="5472" spans="15:15" x14ac:dyDescent="0.25">
      <c r="O5472" s="21"/>
    </row>
    <row r="5473" spans="15:15" x14ac:dyDescent="0.25">
      <c r="O5473" s="21"/>
    </row>
    <row r="5474" spans="15:15" x14ac:dyDescent="0.25">
      <c r="O5474" s="21"/>
    </row>
    <row r="5475" spans="15:15" x14ac:dyDescent="0.25">
      <c r="O5475" s="21"/>
    </row>
    <row r="5476" spans="15:15" x14ac:dyDescent="0.25">
      <c r="O5476" s="21"/>
    </row>
    <row r="5477" spans="15:15" x14ac:dyDescent="0.25">
      <c r="O5477" s="21"/>
    </row>
    <row r="5478" spans="15:15" x14ac:dyDescent="0.25">
      <c r="O5478" s="21"/>
    </row>
    <row r="5479" spans="15:15" x14ac:dyDescent="0.25">
      <c r="O5479" s="21"/>
    </row>
    <row r="5480" spans="15:15" x14ac:dyDescent="0.25">
      <c r="O5480" s="21"/>
    </row>
    <row r="5481" spans="15:15" x14ac:dyDescent="0.25">
      <c r="O5481" s="21"/>
    </row>
    <row r="5482" spans="15:15" x14ac:dyDescent="0.25">
      <c r="O5482" s="21"/>
    </row>
    <row r="5483" spans="15:15" x14ac:dyDescent="0.25">
      <c r="O5483" s="21"/>
    </row>
    <row r="5484" spans="15:15" x14ac:dyDescent="0.25">
      <c r="O5484" s="21"/>
    </row>
    <row r="5485" spans="15:15" x14ac:dyDescent="0.25">
      <c r="O5485" s="21"/>
    </row>
    <row r="5486" spans="15:15" x14ac:dyDescent="0.25">
      <c r="O5486" s="21"/>
    </row>
    <row r="5487" spans="15:15" x14ac:dyDescent="0.25">
      <c r="O5487" s="21"/>
    </row>
    <row r="5488" spans="15:15" x14ac:dyDescent="0.25">
      <c r="O5488" s="21"/>
    </row>
    <row r="5489" spans="15:15" x14ac:dyDescent="0.25">
      <c r="O5489" s="21"/>
    </row>
    <row r="5490" spans="15:15" x14ac:dyDescent="0.25">
      <c r="O5490" s="21"/>
    </row>
    <row r="5491" spans="15:15" x14ac:dyDescent="0.25">
      <c r="O5491" s="21"/>
    </row>
    <row r="5492" spans="15:15" x14ac:dyDescent="0.25">
      <c r="O5492" s="21"/>
    </row>
    <row r="5493" spans="15:15" x14ac:dyDescent="0.25">
      <c r="O5493" s="21"/>
    </row>
    <row r="5494" spans="15:15" x14ac:dyDescent="0.25">
      <c r="O5494" s="21"/>
    </row>
    <row r="5495" spans="15:15" x14ac:dyDescent="0.25">
      <c r="O5495" s="21"/>
    </row>
    <row r="5496" spans="15:15" x14ac:dyDescent="0.25">
      <c r="O5496" s="21"/>
    </row>
    <row r="5497" spans="15:15" x14ac:dyDescent="0.25">
      <c r="O5497" s="21"/>
    </row>
    <row r="5498" spans="15:15" x14ac:dyDescent="0.25">
      <c r="O5498" s="21"/>
    </row>
    <row r="5499" spans="15:15" x14ac:dyDescent="0.25">
      <c r="O5499" s="21"/>
    </row>
    <row r="5500" spans="15:15" x14ac:dyDescent="0.25">
      <c r="O5500" s="21"/>
    </row>
    <row r="5501" spans="15:15" x14ac:dyDescent="0.25">
      <c r="O5501" s="21"/>
    </row>
    <row r="5502" spans="15:15" x14ac:dyDescent="0.25">
      <c r="O5502" s="21"/>
    </row>
    <row r="5503" spans="15:15" x14ac:dyDescent="0.25">
      <c r="O5503" s="21"/>
    </row>
    <row r="5504" spans="15:15" x14ac:dyDescent="0.25">
      <c r="O5504" s="21"/>
    </row>
    <row r="5505" spans="15:15" x14ac:dyDescent="0.25">
      <c r="O5505" s="21"/>
    </row>
    <row r="5506" spans="15:15" x14ac:dyDescent="0.25">
      <c r="O5506" s="21"/>
    </row>
    <row r="5507" spans="15:15" x14ac:dyDescent="0.25">
      <c r="O5507" s="21"/>
    </row>
    <row r="5508" spans="15:15" x14ac:dyDescent="0.25">
      <c r="O5508" s="21"/>
    </row>
    <row r="5509" spans="15:15" x14ac:dyDescent="0.25">
      <c r="O5509" s="21"/>
    </row>
    <row r="5510" spans="15:15" x14ac:dyDescent="0.25">
      <c r="O5510" s="21"/>
    </row>
    <row r="5511" spans="15:15" x14ac:dyDescent="0.25">
      <c r="O5511" s="21"/>
    </row>
    <row r="5512" spans="15:15" x14ac:dyDescent="0.25">
      <c r="O5512" s="21"/>
    </row>
    <row r="5513" spans="15:15" x14ac:dyDescent="0.25">
      <c r="O5513" s="21"/>
    </row>
    <row r="5514" spans="15:15" x14ac:dyDescent="0.25">
      <c r="O5514" s="21"/>
    </row>
    <row r="5515" spans="15:15" x14ac:dyDescent="0.25">
      <c r="O5515" s="21"/>
    </row>
    <row r="5516" spans="15:15" x14ac:dyDescent="0.25">
      <c r="O5516" s="21"/>
    </row>
    <row r="5517" spans="15:15" x14ac:dyDescent="0.25">
      <c r="O5517" s="21"/>
    </row>
    <row r="5518" spans="15:15" x14ac:dyDescent="0.25">
      <c r="O5518" s="21"/>
    </row>
    <row r="5519" spans="15:15" x14ac:dyDescent="0.25">
      <c r="O5519" s="21"/>
    </row>
    <row r="5520" spans="15:15" x14ac:dyDescent="0.25">
      <c r="O5520" s="21"/>
    </row>
    <row r="5521" spans="15:15" x14ac:dyDescent="0.25">
      <c r="O5521" s="21"/>
    </row>
    <row r="5522" spans="15:15" x14ac:dyDescent="0.25">
      <c r="O5522" s="21"/>
    </row>
    <row r="5523" spans="15:15" x14ac:dyDescent="0.25">
      <c r="O5523" s="21"/>
    </row>
    <row r="5524" spans="15:15" x14ac:dyDescent="0.25">
      <c r="O5524" s="21"/>
    </row>
    <row r="5525" spans="15:15" x14ac:dyDescent="0.25">
      <c r="O5525" s="21"/>
    </row>
    <row r="5526" spans="15:15" x14ac:dyDescent="0.25">
      <c r="O5526" s="21"/>
    </row>
    <row r="5527" spans="15:15" x14ac:dyDescent="0.25">
      <c r="O5527" s="21"/>
    </row>
    <row r="5528" spans="15:15" x14ac:dyDescent="0.25">
      <c r="O5528" s="21"/>
    </row>
    <row r="5529" spans="15:15" x14ac:dyDescent="0.25">
      <c r="O5529" s="21"/>
    </row>
    <row r="5530" spans="15:15" x14ac:dyDescent="0.25">
      <c r="O5530" s="21"/>
    </row>
    <row r="5531" spans="15:15" x14ac:dyDescent="0.25">
      <c r="O5531" s="21"/>
    </row>
    <row r="5532" spans="15:15" x14ac:dyDescent="0.25">
      <c r="O5532" s="21"/>
    </row>
    <row r="5533" spans="15:15" x14ac:dyDescent="0.25">
      <c r="O5533" s="21"/>
    </row>
    <row r="5534" spans="15:15" x14ac:dyDescent="0.25">
      <c r="O5534" s="21"/>
    </row>
    <row r="5535" spans="15:15" x14ac:dyDescent="0.25">
      <c r="O5535" s="21"/>
    </row>
    <row r="5536" spans="15:15" x14ac:dyDescent="0.25">
      <c r="O5536" s="21"/>
    </row>
    <row r="5537" spans="15:15" x14ac:dyDescent="0.25">
      <c r="O5537" s="21"/>
    </row>
    <row r="5538" spans="15:15" x14ac:dyDescent="0.25">
      <c r="O5538" s="21"/>
    </row>
    <row r="5539" spans="15:15" x14ac:dyDescent="0.25">
      <c r="O5539" s="21"/>
    </row>
    <row r="5540" spans="15:15" x14ac:dyDescent="0.25">
      <c r="O5540" s="21"/>
    </row>
    <row r="5541" spans="15:15" x14ac:dyDescent="0.25">
      <c r="O5541" s="21"/>
    </row>
    <row r="5542" spans="15:15" x14ac:dyDescent="0.25">
      <c r="O5542" s="21"/>
    </row>
    <row r="5543" spans="15:15" x14ac:dyDescent="0.25">
      <c r="O5543" s="21"/>
    </row>
    <row r="5544" spans="15:15" x14ac:dyDescent="0.25">
      <c r="O5544" s="21"/>
    </row>
    <row r="5545" spans="15:15" x14ac:dyDescent="0.25">
      <c r="O5545" s="21"/>
    </row>
    <row r="5546" spans="15:15" x14ac:dyDescent="0.25">
      <c r="O5546" s="21"/>
    </row>
    <row r="5547" spans="15:15" x14ac:dyDescent="0.25">
      <c r="O5547" s="21"/>
    </row>
    <row r="5548" spans="15:15" x14ac:dyDescent="0.25">
      <c r="O5548" s="21"/>
    </row>
    <row r="5549" spans="15:15" x14ac:dyDescent="0.25">
      <c r="O5549" s="21"/>
    </row>
    <row r="5550" spans="15:15" x14ac:dyDescent="0.25">
      <c r="O5550" s="21"/>
    </row>
    <row r="5551" spans="15:15" x14ac:dyDescent="0.25">
      <c r="O5551" s="21"/>
    </row>
    <row r="5552" spans="15:15" x14ac:dyDescent="0.25">
      <c r="O5552" s="21"/>
    </row>
    <row r="5553" spans="15:15" x14ac:dyDescent="0.25">
      <c r="O5553" s="21"/>
    </row>
    <row r="5554" spans="15:15" x14ac:dyDescent="0.25">
      <c r="O5554" s="21"/>
    </row>
    <row r="5555" spans="15:15" x14ac:dyDescent="0.25">
      <c r="O5555" s="21"/>
    </row>
    <row r="5556" spans="15:15" x14ac:dyDescent="0.25">
      <c r="O5556" s="21"/>
    </row>
    <row r="5557" spans="15:15" x14ac:dyDescent="0.25">
      <c r="O5557" s="21"/>
    </row>
    <row r="5558" spans="15:15" x14ac:dyDescent="0.25">
      <c r="O5558" s="21"/>
    </row>
    <row r="5559" spans="15:15" x14ac:dyDescent="0.25">
      <c r="O5559" s="21"/>
    </row>
    <row r="5560" spans="15:15" x14ac:dyDescent="0.25">
      <c r="O5560" s="21"/>
    </row>
    <row r="5561" spans="15:15" x14ac:dyDescent="0.25">
      <c r="O5561" s="21"/>
    </row>
    <row r="5562" spans="15:15" x14ac:dyDescent="0.25">
      <c r="O5562" s="21"/>
    </row>
    <row r="5563" spans="15:15" x14ac:dyDescent="0.25">
      <c r="O5563" s="21"/>
    </row>
    <row r="5564" spans="15:15" x14ac:dyDescent="0.25">
      <c r="O5564" s="21"/>
    </row>
    <row r="5565" spans="15:15" x14ac:dyDescent="0.25">
      <c r="O5565" s="21"/>
    </row>
    <row r="5566" spans="15:15" x14ac:dyDescent="0.25">
      <c r="O5566" s="21"/>
    </row>
    <row r="5567" spans="15:15" x14ac:dyDescent="0.25">
      <c r="O5567" s="21"/>
    </row>
    <row r="5568" spans="15:15" x14ac:dyDescent="0.25">
      <c r="O5568" s="21"/>
    </row>
    <row r="5569" spans="15:15" x14ac:dyDescent="0.25">
      <c r="O5569" s="21"/>
    </row>
    <row r="5570" spans="15:15" x14ac:dyDescent="0.25">
      <c r="O5570" s="21"/>
    </row>
    <row r="5571" spans="15:15" x14ac:dyDescent="0.25">
      <c r="O5571" s="21"/>
    </row>
    <row r="5572" spans="15:15" x14ac:dyDescent="0.25">
      <c r="O5572" s="21"/>
    </row>
    <row r="5573" spans="15:15" x14ac:dyDescent="0.25">
      <c r="O5573" s="21"/>
    </row>
    <row r="5574" spans="15:15" x14ac:dyDescent="0.25">
      <c r="O5574" s="21"/>
    </row>
    <row r="5575" spans="15:15" x14ac:dyDescent="0.25">
      <c r="O5575" s="21"/>
    </row>
    <row r="5576" spans="15:15" x14ac:dyDescent="0.25">
      <c r="O5576" s="21"/>
    </row>
    <row r="5577" spans="15:15" x14ac:dyDescent="0.25">
      <c r="O5577" s="21"/>
    </row>
    <row r="5578" spans="15:15" x14ac:dyDescent="0.25">
      <c r="O5578" s="21"/>
    </row>
    <row r="5579" spans="15:15" x14ac:dyDescent="0.25">
      <c r="O5579" s="21"/>
    </row>
    <row r="5580" spans="15:15" x14ac:dyDescent="0.25">
      <c r="O5580" s="21"/>
    </row>
    <row r="5581" spans="15:15" x14ac:dyDescent="0.25">
      <c r="O5581" s="21"/>
    </row>
    <row r="5582" spans="15:15" x14ac:dyDescent="0.25">
      <c r="O5582" s="21"/>
    </row>
    <row r="5583" spans="15:15" x14ac:dyDescent="0.25">
      <c r="O5583" s="21"/>
    </row>
    <row r="5584" spans="15:15" x14ac:dyDescent="0.25">
      <c r="O5584" s="21"/>
    </row>
    <row r="5585" spans="15:15" x14ac:dyDescent="0.25">
      <c r="O5585" s="21"/>
    </row>
    <row r="5586" spans="15:15" x14ac:dyDescent="0.25">
      <c r="O5586" s="21"/>
    </row>
    <row r="5587" spans="15:15" x14ac:dyDescent="0.25">
      <c r="O5587" s="21"/>
    </row>
    <row r="5588" spans="15:15" x14ac:dyDescent="0.25">
      <c r="O5588" s="21"/>
    </row>
    <row r="5589" spans="15:15" x14ac:dyDescent="0.25">
      <c r="O5589" s="21"/>
    </row>
    <row r="5590" spans="15:15" x14ac:dyDescent="0.25">
      <c r="O5590" s="21"/>
    </row>
    <row r="5591" spans="15:15" x14ac:dyDescent="0.25">
      <c r="O5591" s="21"/>
    </row>
    <row r="5592" spans="15:15" x14ac:dyDescent="0.25">
      <c r="O5592" s="21"/>
    </row>
    <row r="5593" spans="15:15" x14ac:dyDescent="0.25">
      <c r="O5593" s="21"/>
    </row>
    <row r="5594" spans="15:15" x14ac:dyDescent="0.25">
      <c r="O5594" s="21"/>
    </row>
    <row r="5595" spans="15:15" x14ac:dyDescent="0.25">
      <c r="O5595" s="21"/>
    </row>
    <row r="5596" spans="15:15" x14ac:dyDescent="0.25">
      <c r="O5596" s="21"/>
    </row>
    <row r="5597" spans="15:15" x14ac:dyDescent="0.25">
      <c r="O5597" s="21"/>
    </row>
    <row r="5598" spans="15:15" x14ac:dyDescent="0.25">
      <c r="O5598" s="21"/>
    </row>
    <row r="5599" spans="15:15" x14ac:dyDescent="0.25">
      <c r="O5599" s="21"/>
    </row>
    <row r="5600" spans="15:15" x14ac:dyDescent="0.25">
      <c r="O5600" s="21"/>
    </row>
    <row r="5601" spans="15:15" x14ac:dyDescent="0.25">
      <c r="O5601" s="21"/>
    </row>
    <row r="5602" spans="15:15" x14ac:dyDescent="0.25">
      <c r="O5602" s="21"/>
    </row>
    <row r="5603" spans="15:15" x14ac:dyDescent="0.25">
      <c r="O5603" s="21"/>
    </row>
    <row r="5604" spans="15:15" x14ac:dyDescent="0.25">
      <c r="O5604" s="21"/>
    </row>
    <row r="5605" spans="15:15" x14ac:dyDescent="0.25">
      <c r="O5605" s="21"/>
    </row>
    <row r="5606" spans="15:15" x14ac:dyDescent="0.25">
      <c r="O5606" s="21"/>
    </row>
    <row r="5607" spans="15:15" x14ac:dyDescent="0.25">
      <c r="O5607" s="21"/>
    </row>
    <row r="5608" spans="15:15" x14ac:dyDescent="0.25">
      <c r="O5608" s="21"/>
    </row>
    <row r="5609" spans="15:15" x14ac:dyDescent="0.25">
      <c r="O5609" s="21"/>
    </row>
    <row r="5610" spans="15:15" x14ac:dyDescent="0.25">
      <c r="O5610" s="21"/>
    </row>
    <row r="5611" spans="15:15" x14ac:dyDescent="0.25">
      <c r="O5611" s="21"/>
    </row>
    <row r="5612" spans="15:15" x14ac:dyDescent="0.25">
      <c r="O5612" s="21"/>
    </row>
    <row r="5613" spans="15:15" x14ac:dyDescent="0.25">
      <c r="O5613" s="21"/>
    </row>
    <row r="5614" spans="15:15" x14ac:dyDescent="0.25">
      <c r="O5614" s="21"/>
    </row>
    <row r="5615" spans="15:15" x14ac:dyDescent="0.25">
      <c r="O5615" s="21"/>
    </row>
    <row r="5616" spans="15:15" x14ac:dyDescent="0.25">
      <c r="O5616" s="21"/>
    </row>
    <row r="5617" spans="15:15" x14ac:dyDescent="0.25">
      <c r="O5617" s="21"/>
    </row>
    <row r="5618" spans="15:15" x14ac:dyDescent="0.25">
      <c r="O5618" s="21"/>
    </row>
    <row r="5619" spans="15:15" x14ac:dyDescent="0.25">
      <c r="O5619" s="21"/>
    </row>
    <row r="5620" spans="15:15" x14ac:dyDescent="0.25">
      <c r="O5620" s="21"/>
    </row>
    <row r="5621" spans="15:15" x14ac:dyDescent="0.25">
      <c r="O5621" s="21"/>
    </row>
    <row r="5622" spans="15:15" x14ac:dyDescent="0.25">
      <c r="O5622" s="21"/>
    </row>
    <row r="5623" spans="15:15" x14ac:dyDescent="0.25">
      <c r="O5623" s="21"/>
    </row>
    <row r="5624" spans="15:15" x14ac:dyDescent="0.25">
      <c r="O5624" s="21"/>
    </row>
    <row r="5625" spans="15:15" x14ac:dyDescent="0.25">
      <c r="O5625" s="21"/>
    </row>
    <row r="5626" spans="15:15" x14ac:dyDescent="0.25">
      <c r="O5626" s="21"/>
    </row>
    <row r="5627" spans="15:15" x14ac:dyDescent="0.25">
      <c r="O5627" s="21"/>
    </row>
    <row r="5628" spans="15:15" x14ac:dyDescent="0.25">
      <c r="O5628" s="21"/>
    </row>
    <row r="5629" spans="15:15" x14ac:dyDescent="0.25">
      <c r="O5629" s="21"/>
    </row>
    <row r="5630" spans="15:15" x14ac:dyDescent="0.25">
      <c r="O5630" s="21"/>
    </row>
    <row r="5631" spans="15:15" x14ac:dyDescent="0.25">
      <c r="O5631" s="21"/>
    </row>
    <row r="5632" spans="15:15" x14ac:dyDescent="0.25">
      <c r="O5632" s="21"/>
    </row>
    <row r="5633" spans="15:15" x14ac:dyDescent="0.25">
      <c r="O5633" s="21"/>
    </row>
    <row r="5634" spans="15:15" x14ac:dyDescent="0.25">
      <c r="O5634" s="21"/>
    </row>
    <row r="5635" spans="15:15" x14ac:dyDescent="0.25">
      <c r="O5635" s="21"/>
    </row>
    <row r="5636" spans="15:15" x14ac:dyDescent="0.25">
      <c r="O5636" s="21"/>
    </row>
    <row r="5637" spans="15:15" x14ac:dyDescent="0.25">
      <c r="O5637" s="21"/>
    </row>
    <row r="5638" spans="15:15" x14ac:dyDescent="0.25">
      <c r="O5638" s="21"/>
    </row>
    <row r="5639" spans="15:15" x14ac:dyDescent="0.25">
      <c r="O5639" s="21"/>
    </row>
    <row r="5640" spans="15:15" x14ac:dyDescent="0.25">
      <c r="O5640" s="21"/>
    </row>
    <row r="5641" spans="15:15" x14ac:dyDescent="0.25">
      <c r="O5641" s="21"/>
    </row>
    <row r="5642" spans="15:15" x14ac:dyDescent="0.25">
      <c r="O5642" s="21"/>
    </row>
    <row r="5643" spans="15:15" x14ac:dyDescent="0.25">
      <c r="O5643" s="21"/>
    </row>
    <row r="5644" spans="15:15" x14ac:dyDescent="0.25">
      <c r="O5644" s="21"/>
    </row>
    <row r="5645" spans="15:15" x14ac:dyDescent="0.25">
      <c r="O5645" s="21"/>
    </row>
    <row r="5646" spans="15:15" x14ac:dyDescent="0.25">
      <c r="O5646" s="21"/>
    </row>
    <row r="5647" spans="15:15" x14ac:dyDescent="0.25">
      <c r="O5647" s="21"/>
    </row>
    <row r="5648" spans="15:15" x14ac:dyDescent="0.25">
      <c r="O5648" s="21"/>
    </row>
    <row r="5649" spans="15:15" x14ac:dyDescent="0.25">
      <c r="O5649" s="21"/>
    </row>
    <row r="5650" spans="15:15" x14ac:dyDescent="0.25">
      <c r="O5650" s="21"/>
    </row>
    <row r="5651" spans="15:15" x14ac:dyDescent="0.25">
      <c r="O5651" s="21"/>
    </row>
    <row r="5652" spans="15:15" x14ac:dyDescent="0.25">
      <c r="O5652" s="21"/>
    </row>
    <row r="5653" spans="15:15" x14ac:dyDescent="0.25">
      <c r="O5653" s="21"/>
    </row>
    <row r="5654" spans="15:15" x14ac:dyDescent="0.25">
      <c r="O5654" s="21"/>
    </row>
    <row r="5655" spans="15:15" x14ac:dyDescent="0.25">
      <c r="O5655" s="21"/>
    </row>
    <row r="5656" spans="15:15" x14ac:dyDescent="0.25">
      <c r="O5656" s="21"/>
    </row>
    <row r="5657" spans="15:15" x14ac:dyDescent="0.25">
      <c r="O5657" s="21"/>
    </row>
    <row r="5658" spans="15:15" x14ac:dyDescent="0.25">
      <c r="O5658" s="21"/>
    </row>
    <row r="5659" spans="15:15" x14ac:dyDescent="0.25">
      <c r="O5659" s="21"/>
    </row>
    <row r="5660" spans="15:15" x14ac:dyDescent="0.25">
      <c r="O5660" s="21"/>
    </row>
    <row r="5661" spans="15:15" x14ac:dyDescent="0.25">
      <c r="O5661" s="21"/>
    </row>
    <row r="5662" spans="15:15" x14ac:dyDescent="0.25">
      <c r="O5662" s="21"/>
    </row>
    <row r="5663" spans="15:15" x14ac:dyDescent="0.25">
      <c r="O5663" s="21"/>
    </row>
    <row r="5664" spans="15:15" x14ac:dyDescent="0.25">
      <c r="O5664" s="21"/>
    </row>
    <row r="5665" spans="15:15" x14ac:dyDescent="0.25">
      <c r="O5665" s="21"/>
    </row>
    <row r="5666" spans="15:15" x14ac:dyDescent="0.25">
      <c r="O5666" s="21"/>
    </row>
    <row r="5667" spans="15:15" x14ac:dyDescent="0.25">
      <c r="O5667" s="21"/>
    </row>
    <row r="5668" spans="15:15" x14ac:dyDescent="0.25">
      <c r="O5668" s="21"/>
    </row>
    <row r="5669" spans="15:15" x14ac:dyDescent="0.25">
      <c r="O5669" s="21"/>
    </row>
    <row r="5670" spans="15:15" x14ac:dyDescent="0.25">
      <c r="O5670" s="21"/>
    </row>
    <row r="5671" spans="15:15" x14ac:dyDescent="0.25">
      <c r="O5671" s="21"/>
    </row>
    <row r="5672" spans="15:15" x14ac:dyDescent="0.25">
      <c r="O5672" s="21"/>
    </row>
    <row r="5673" spans="15:15" x14ac:dyDescent="0.25">
      <c r="O5673" s="21"/>
    </row>
    <row r="5674" spans="15:15" x14ac:dyDescent="0.25">
      <c r="O5674" s="21"/>
    </row>
    <row r="5675" spans="15:15" x14ac:dyDescent="0.25">
      <c r="O5675" s="21"/>
    </row>
    <row r="5676" spans="15:15" x14ac:dyDescent="0.25">
      <c r="O5676" s="21"/>
    </row>
    <row r="5677" spans="15:15" x14ac:dyDescent="0.25">
      <c r="O5677" s="21"/>
    </row>
    <row r="5678" spans="15:15" x14ac:dyDescent="0.25">
      <c r="O5678" s="21"/>
    </row>
    <row r="5679" spans="15:15" x14ac:dyDescent="0.25">
      <c r="O5679" s="21"/>
    </row>
    <row r="5680" spans="15:15" x14ac:dyDescent="0.25">
      <c r="O5680" s="21"/>
    </row>
    <row r="5681" spans="15:15" x14ac:dyDescent="0.25">
      <c r="O5681" s="21"/>
    </row>
    <row r="5682" spans="15:15" x14ac:dyDescent="0.25">
      <c r="O5682" s="21"/>
    </row>
    <row r="5683" spans="15:15" x14ac:dyDescent="0.25">
      <c r="O5683" s="21"/>
    </row>
    <row r="5684" spans="15:15" x14ac:dyDescent="0.25">
      <c r="O5684" s="21"/>
    </row>
    <row r="5685" spans="15:15" x14ac:dyDescent="0.25">
      <c r="O5685" s="21"/>
    </row>
    <row r="5686" spans="15:15" x14ac:dyDescent="0.25">
      <c r="O5686" s="21"/>
    </row>
    <row r="5687" spans="15:15" x14ac:dyDescent="0.25">
      <c r="O5687" s="21"/>
    </row>
    <row r="5688" spans="15:15" x14ac:dyDescent="0.25">
      <c r="O5688" s="21"/>
    </row>
    <row r="5689" spans="15:15" x14ac:dyDescent="0.25">
      <c r="O5689" s="21"/>
    </row>
    <row r="5690" spans="15:15" x14ac:dyDescent="0.25">
      <c r="O5690" s="21"/>
    </row>
    <row r="5691" spans="15:15" x14ac:dyDescent="0.25">
      <c r="O5691" s="21"/>
    </row>
    <row r="5692" spans="15:15" x14ac:dyDescent="0.25">
      <c r="O5692" s="21"/>
    </row>
    <row r="5693" spans="15:15" x14ac:dyDescent="0.25">
      <c r="O5693" s="21"/>
    </row>
    <row r="5694" spans="15:15" x14ac:dyDescent="0.25">
      <c r="O5694" s="21"/>
    </row>
    <row r="5695" spans="15:15" x14ac:dyDescent="0.25">
      <c r="O5695" s="21"/>
    </row>
    <row r="5696" spans="15:15" x14ac:dyDescent="0.25">
      <c r="O5696" s="21"/>
    </row>
    <row r="5697" spans="15:15" x14ac:dyDescent="0.25">
      <c r="O5697" s="21"/>
    </row>
    <row r="5698" spans="15:15" x14ac:dyDescent="0.25">
      <c r="O5698" s="21"/>
    </row>
    <row r="5699" spans="15:15" x14ac:dyDescent="0.25">
      <c r="O5699" s="21"/>
    </row>
    <row r="5700" spans="15:15" x14ac:dyDescent="0.25">
      <c r="O5700" s="21"/>
    </row>
    <row r="5701" spans="15:15" x14ac:dyDescent="0.25">
      <c r="O5701" s="21"/>
    </row>
    <row r="5702" spans="15:15" x14ac:dyDescent="0.25">
      <c r="O5702" s="21"/>
    </row>
    <row r="5703" spans="15:15" x14ac:dyDescent="0.25">
      <c r="O5703" s="21"/>
    </row>
    <row r="5704" spans="15:15" x14ac:dyDescent="0.25">
      <c r="O5704" s="21"/>
    </row>
    <row r="5705" spans="15:15" x14ac:dyDescent="0.25">
      <c r="O5705" s="21"/>
    </row>
    <row r="5706" spans="15:15" x14ac:dyDescent="0.25">
      <c r="O5706" s="21"/>
    </row>
    <row r="5707" spans="15:15" x14ac:dyDescent="0.25">
      <c r="O5707" s="21"/>
    </row>
    <row r="5708" spans="15:15" x14ac:dyDescent="0.25">
      <c r="O5708" s="21"/>
    </row>
    <row r="5709" spans="15:15" x14ac:dyDescent="0.25">
      <c r="O5709" s="21"/>
    </row>
    <row r="5710" spans="15:15" x14ac:dyDescent="0.25">
      <c r="O5710" s="21"/>
    </row>
    <row r="5711" spans="15:15" x14ac:dyDescent="0.25">
      <c r="O5711" s="21"/>
    </row>
    <row r="5712" spans="15:15" x14ac:dyDescent="0.25">
      <c r="O5712" s="21"/>
    </row>
    <row r="5713" spans="15:15" x14ac:dyDescent="0.25">
      <c r="O5713" s="21"/>
    </row>
    <row r="5714" spans="15:15" x14ac:dyDescent="0.25">
      <c r="O5714" s="21"/>
    </row>
    <row r="5715" spans="15:15" x14ac:dyDescent="0.25">
      <c r="O5715" s="21"/>
    </row>
    <row r="5716" spans="15:15" x14ac:dyDescent="0.25">
      <c r="O5716" s="21"/>
    </row>
    <row r="5717" spans="15:15" x14ac:dyDescent="0.25">
      <c r="O5717" s="21"/>
    </row>
    <row r="5718" spans="15:15" x14ac:dyDescent="0.25">
      <c r="O5718" s="21"/>
    </row>
    <row r="5719" spans="15:15" x14ac:dyDescent="0.25">
      <c r="O5719" s="21"/>
    </row>
    <row r="5720" spans="15:15" x14ac:dyDescent="0.25">
      <c r="O5720" s="21"/>
    </row>
    <row r="5721" spans="15:15" x14ac:dyDescent="0.25">
      <c r="O5721" s="21"/>
    </row>
    <row r="5722" spans="15:15" x14ac:dyDescent="0.25">
      <c r="O5722" s="21"/>
    </row>
    <row r="5723" spans="15:15" x14ac:dyDescent="0.25">
      <c r="O5723" s="21"/>
    </row>
    <row r="5724" spans="15:15" x14ac:dyDescent="0.25">
      <c r="O5724" s="21"/>
    </row>
    <row r="5725" spans="15:15" x14ac:dyDescent="0.25">
      <c r="O5725" s="21"/>
    </row>
    <row r="5726" spans="15:15" x14ac:dyDescent="0.25">
      <c r="O5726" s="21"/>
    </row>
    <row r="5727" spans="15:15" x14ac:dyDescent="0.25">
      <c r="O5727" s="21"/>
    </row>
    <row r="5728" spans="15:15" x14ac:dyDescent="0.25">
      <c r="O5728" s="21"/>
    </row>
    <row r="5729" spans="15:15" x14ac:dyDescent="0.25">
      <c r="O5729" s="21"/>
    </row>
    <row r="5730" spans="15:15" x14ac:dyDescent="0.25">
      <c r="O5730" s="21"/>
    </row>
    <row r="5731" spans="15:15" x14ac:dyDescent="0.25">
      <c r="O5731" s="21"/>
    </row>
    <row r="5732" spans="15:15" x14ac:dyDescent="0.25">
      <c r="O5732" s="21"/>
    </row>
    <row r="5733" spans="15:15" x14ac:dyDescent="0.25">
      <c r="O5733" s="21"/>
    </row>
    <row r="5734" spans="15:15" x14ac:dyDescent="0.25">
      <c r="O5734" s="21"/>
    </row>
    <row r="5735" spans="15:15" x14ac:dyDescent="0.25">
      <c r="O5735" s="21"/>
    </row>
    <row r="5736" spans="15:15" x14ac:dyDescent="0.25">
      <c r="O5736" s="21"/>
    </row>
    <row r="5737" spans="15:15" x14ac:dyDescent="0.25">
      <c r="O5737" s="21"/>
    </row>
    <row r="5738" spans="15:15" x14ac:dyDescent="0.25">
      <c r="O5738" s="21"/>
    </row>
    <row r="5739" spans="15:15" x14ac:dyDescent="0.25">
      <c r="O5739" s="21"/>
    </row>
    <row r="5740" spans="15:15" x14ac:dyDescent="0.25">
      <c r="O5740" s="21"/>
    </row>
    <row r="5741" spans="15:15" x14ac:dyDescent="0.25">
      <c r="O5741" s="21"/>
    </row>
    <row r="5742" spans="15:15" x14ac:dyDescent="0.25">
      <c r="O5742" s="21"/>
    </row>
    <row r="5743" spans="15:15" x14ac:dyDescent="0.25">
      <c r="O5743" s="21"/>
    </row>
    <row r="5744" spans="15:15" x14ac:dyDescent="0.25">
      <c r="O5744" s="21"/>
    </row>
    <row r="5745" spans="15:15" x14ac:dyDescent="0.25">
      <c r="O5745" s="21"/>
    </row>
    <row r="5746" spans="15:15" x14ac:dyDescent="0.25">
      <c r="O5746" s="21"/>
    </row>
    <row r="5747" spans="15:15" x14ac:dyDescent="0.25">
      <c r="O5747" s="21"/>
    </row>
    <row r="5748" spans="15:15" x14ac:dyDescent="0.25">
      <c r="O5748" s="21"/>
    </row>
    <row r="5749" spans="15:15" x14ac:dyDescent="0.25">
      <c r="O5749" s="21"/>
    </row>
    <row r="5750" spans="15:15" x14ac:dyDescent="0.25">
      <c r="O5750" s="21"/>
    </row>
    <row r="5751" spans="15:15" x14ac:dyDescent="0.25">
      <c r="O5751" s="21"/>
    </row>
    <row r="5752" spans="15:15" x14ac:dyDescent="0.25">
      <c r="O5752" s="21"/>
    </row>
    <row r="5753" spans="15:15" x14ac:dyDescent="0.25">
      <c r="O5753" s="21"/>
    </row>
    <row r="5754" spans="15:15" x14ac:dyDescent="0.25">
      <c r="O5754" s="21"/>
    </row>
    <row r="5755" spans="15:15" x14ac:dyDescent="0.25">
      <c r="O5755" s="21"/>
    </row>
    <row r="5756" spans="15:15" x14ac:dyDescent="0.25">
      <c r="O5756" s="21"/>
    </row>
    <row r="5757" spans="15:15" x14ac:dyDescent="0.25">
      <c r="O5757" s="21"/>
    </row>
    <row r="5758" spans="15:15" x14ac:dyDescent="0.25">
      <c r="O5758" s="21"/>
    </row>
    <row r="5759" spans="15:15" x14ac:dyDescent="0.25">
      <c r="O5759" s="21"/>
    </row>
    <row r="5760" spans="15:15" x14ac:dyDescent="0.25">
      <c r="O5760" s="21"/>
    </row>
    <row r="5761" spans="15:15" x14ac:dyDescent="0.25">
      <c r="O5761" s="21"/>
    </row>
    <row r="5762" spans="15:15" x14ac:dyDescent="0.25">
      <c r="O5762" s="21"/>
    </row>
    <row r="5763" spans="15:15" x14ac:dyDescent="0.25">
      <c r="O5763" s="21"/>
    </row>
    <row r="5764" spans="15:15" x14ac:dyDescent="0.25">
      <c r="O5764" s="21"/>
    </row>
    <row r="5765" spans="15:15" x14ac:dyDescent="0.25">
      <c r="O5765" s="21"/>
    </row>
    <row r="5766" spans="15:15" x14ac:dyDescent="0.25">
      <c r="O5766" s="21"/>
    </row>
    <row r="5767" spans="15:15" x14ac:dyDescent="0.25">
      <c r="O5767" s="21"/>
    </row>
    <row r="5768" spans="15:15" x14ac:dyDescent="0.25">
      <c r="O5768" s="21"/>
    </row>
    <row r="5769" spans="15:15" x14ac:dyDescent="0.25">
      <c r="O5769" s="21"/>
    </row>
    <row r="5770" spans="15:15" x14ac:dyDescent="0.25">
      <c r="O5770" s="21"/>
    </row>
    <row r="5771" spans="15:15" x14ac:dyDescent="0.25">
      <c r="O5771" s="21"/>
    </row>
    <row r="5772" spans="15:15" x14ac:dyDescent="0.25">
      <c r="O5772" s="21"/>
    </row>
    <row r="5773" spans="15:15" x14ac:dyDescent="0.25">
      <c r="O5773" s="21"/>
    </row>
    <row r="5774" spans="15:15" x14ac:dyDescent="0.25">
      <c r="O5774" s="21"/>
    </row>
    <row r="5775" spans="15:15" x14ac:dyDescent="0.25">
      <c r="O5775" s="21"/>
    </row>
    <row r="5776" spans="15:15" x14ac:dyDescent="0.25">
      <c r="O5776" s="21"/>
    </row>
    <row r="5777" spans="15:15" x14ac:dyDescent="0.25">
      <c r="O5777" s="21"/>
    </row>
    <row r="5778" spans="15:15" x14ac:dyDescent="0.25">
      <c r="O5778" s="21"/>
    </row>
    <row r="5779" spans="15:15" x14ac:dyDescent="0.25">
      <c r="O5779" s="21"/>
    </row>
    <row r="5780" spans="15:15" x14ac:dyDescent="0.25">
      <c r="O5780" s="21"/>
    </row>
    <row r="5781" spans="15:15" x14ac:dyDescent="0.25">
      <c r="O5781" s="21"/>
    </row>
    <row r="5782" spans="15:15" x14ac:dyDescent="0.25">
      <c r="O5782" s="21"/>
    </row>
    <row r="5783" spans="15:15" x14ac:dyDescent="0.25">
      <c r="O5783" s="21"/>
    </row>
    <row r="5784" spans="15:15" x14ac:dyDescent="0.25">
      <c r="O5784" s="21"/>
    </row>
    <row r="5785" spans="15:15" x14ac:dyDescent="0.25">
      <c r="O5785" s="21"/>
    </row>
    <row r="5786" spans="15:15" x14ac:dyDescent="0.25">
      <c r="O5786" s="21"/>
    </row>
    <row r="5787" spans="15:15" x14ac:dyDescent="0.25">
      <c r="O5787" s="21"/>
    </row>
    <row r="5788" spans="15:15" x14ac:dyDescent="0.25">
      <c r="O5788" s="21"/>
    </row>
    <row r="5789" spans="15:15" x14ac:dyDescent="0.25">
      <c r="O5789" s="21"/>
    </row>
    <row r="5790" spans="15:15" x14ac:dyDescent="0.25">
      <c r="O5790" s="21"/>
    </row>
    <row r="5791" spans="15:15" x14ac:dyDescent="0.25">
      <c r="O5791" s="21"/>
    </row>
    <row r="5792" spans="15:15" x14ac:dyDescent="0.25">
      <c r="O5792" s="21"/>
    </row>
    <row r="5793" spans="15:15" x14ac:dyDescent="0.25">
      <c r="O5793" s="21"/>
    </row>
    <row r="5794" spans="15:15" x14ac:dyDescent="0.25">
      <c r="O5794" s="21"/>
    </row>
    <row r="5795" spans="15:15" x14ac:dyDescent="0.25">
      <c r="O5795" s="21"/>
    </row>
    <row r="5796" spans="15:15" x14ac:dyDescent="0.25">
      <c r="O5796" s="21"/>
    </row>
    <row r="5797" spans="15:15" x14ac:dyDescent="0.25">
      <c r="O5797" s="21"/>
    </row>
    <row r="5798" spans="15:15" x14ac:dyDescent="0.25">
      <c r="O5798" s="21"/>
    </row>
    <row r="5799" spans="15:15" x14ac:dyDescent="0.25">
      <c r="O5799" s="21"/>
    </row>
    <row r="5800" spans="15:15" x14ac:dyDescent="0.25">
      <c r="O5800" s="21"/>
    </row>
    <row r="5801" spans="15:15" x14ac:dyDescent="0.25">
      <c r="O5801" s="21"/>
    </row>
    <row r="5802" spans="15:15" x14ac:dyDescent="0.25">
      <c r="O5802" s="21"/>
    </row>
    <row r="5803" spans="15:15" x14ac:dyDescent="0.25">
      <c r="O5803" s="21"/>
    </row>
    <row r="5804" spans="15:15" x14ac:dyDescent="0.25">
      <c r="O5804" s="21"/>
    </row>
    <row r="5805" spans="15:15" x14ac:dyDescent="0.25">
      <c r="O5805" s="21"/>
    </row>
    <row r="5806" spans="15:15" x14ac:dyDescent="0.25">
      <c r="O5806" s="21"/>
    </row>
    <row r="5807" spans="15:15" x14ac:dyDescent="0.25">
      <c r="O5807" s="21"/>
    </row>
    <row r="5808" spans="15:15" x14ac:dyDescent="0.25">
      <c r="O5808" s="21"/>
    </row>
    <row r="5809" spans="15:15" x14ac:dyDescent="0.25">
      <c r="O5809" s="21"/>
    </row>
    <row r="5810" spans="15:15" x14ac:dyDescent="0.25">
      <c r="O5810" s="21"/>
    </row>
    <row r="5811" spans="15:15" x14ac:dyDescent="0.25">
      <c r="O5811" s="21"/>
    </row>
    <row r="5812" spans="15:15" x14ac:dyDescent="0.25">
      <c r="O5812" s="21"/>
    </row>
    <row r="5813" spans="15:15" x14ac:dyDescent="0.25">
      <c r="O5813" s="21"/>
    </row>
    <row r="5814" spans="15:15" x14ac:dyDescent="0.25">
      <c r="O5814" s="21"/>
    </row>
    <row r="5815" spans="15:15" x14ac:dyDescent="0.25">
      <c r="O5815" s="21"/>
    </row>
    <row r="5816" spans="15:15" x14ac:dyDescent="0.25">
      <c r="O5816" s="21"/>
    </row>
    <row r="5817" spans="15:15" x14ac:dyDescent="0.25">
      <c r="O5817" s="21"/>
    </row>
    <row r="5818" spans="15:15" x14ac:dyDescent="0.25">
      <c r="O5818" s="21"/>
    </row>
    <row r="5819" spans="15:15" x14ac:dyDescent="0.25">
      <c r="O5819" s="21"/>
    </row>
    <row r="5820" spans="15:15" x14ac:dyDescent="0.25">
      <c r="O5820" s="21"/>
    </row>
    <row r="5821" spans="15:15" x14ac:dyDescent="0.25">
      <c r="O5821" s="21"/>
    </row>
    <row r="5822" spans="15:15" x14ac:dyDescent="0.25">
      <c r="O5822" s="21"/>
    </row>
    <row r="5823" spans="15:15" x14ac:dyDescent="0.25">
      <c r="O5823" s="21"/>
    </row>
    <row r="5824" spans="15:15" x14ac:dyDescent="0.25">
      <c r="O5824" s="21"/>
    </row>
    <row r="5825" spans="15:15" x14ac:dyDescent="0.25">
      <c r="O5825" s="21"/>
    </row>
    <row r="5826" spans="15:15" x14ac:dyDescent="0.25">
      <c r="O5826" s="21"/>
    </row>
    <row r="5827" spans="15:15" x14ac:dyDescent="0.25">
      <c r="O5827" s="21"/>
    </row>
    <row r="5828" spans="15:15" x14ac:dyDescent="0.25">
      <c r="O5828" s="21"/>
    </row>
    <row r="5829" spans="15:15" x14ac:dyDescent="0.25">
      <c r="O5829" s="21"/>
    </row>
    <row r="5830" spans="15:15" x14ac:dyDescent="0.25">
      <c r="O5830" s="21"/>
    </row>
    <row r="5831" spans="15:15" x14ac:dyDescent="0.25">
      <c r="O5831" s="21"/>
    </row>
    <row r="5832" spans="15:15" x14ac:dyDescent="0.25">
      <c r="O5832" s="21"/>
    </row>
    <row r="5833" spans="15:15" x14ac:dyDescent="0.25">
      <c r="O5833" s="21"/>
    </row>
    <row r="5834" spans="15:15" x14ac:dyDescent="0.25">
      <c r="O5834" s="21"/>
    </row>
    <row r="5835" spans="15:15" x14ac:dyDescent="0.25">
      <c r="O5835" s="21"/>
    </row>
    <row r="5836" spans="15:15" x14ac:dyDescent="0.25">
      <c r="O5836" s="21"/>
    </row>
    <row r="5837" spans="15:15" x14ac:dyDescent="0.25">
      <c r="O5837" s="21"/>
    </row>
    <row r="5838" spans="15:15" x14ac:dyDescent="0.25">
      <c r="O5838" s="21"/>
    </row>
    <row r="5839" spans="15:15" x14ac:dyDescent="0.25">
      <c r="O5839" s="21"/>
    </row>
    <row r="5840" spans="15:15" x14ac:dyDescent="0.25">
      <c r="O5840" s="21"/>
    </row>
    <row r="5841" spans="15:15" x14ac:dyDescent="0.25">
      <c r="O5841" s="21"/>
    </row>
    <row r="5842" spans="15:15" x14ac:dyDescent="0.25">
      <c r="O5842" s="21"/>
    </row>
    <row r="5843" spans="15:15" x14ac:dyDescent="0.25">
      <c r="O5843" s="21"/>
    </row>
    <row r="5844" spans="15:15" x14ac:dyDescent="0.25">
      <c r="O5844" s="21"/>
    </row>
    <row r="5845" spans="15:15" x14ac:dyDescent="0.25">
      <c r="O5845" s="21"/>
    </row>
    <row r="5846" spans="15:15" x14ac:dyDescent="0.25">
      <c r="O5846" s="21"/>
    </row>
    <row r="5847" spans="15:15" x14ac:dyDescent="0.25">
      <c r="O5847" s="21"/>
    </row>
    <row r="5848" spans="15:15" x14ac:dyDescent="0.25">
      <c r="O5848" s="21"/>
    </row>
    <row r="5849" spans="15:15" x14ac:dyDescent="0.25">
      <c r="O5849" s="21"/>
    </row>
    <row r="5850" spans="15:15" x14ac:dyDescent="0.25">
      <c r="O5850" s="21"/>
    </row>
    <row r="5851" spans="15:15" x14ac:dyDescent="0.25">
      <c r="O5851" s="21"/>
    </row>
    <row r="5852" spans="15:15" x14ac:dyDescent="0.25">
      <c r="O5852" s="21"/>
    </row>
    <row r="5853" spans="15:15" x14ac:dyDescent="0.25">
      <c r="O5853" s="21"/>
    </row>
    <row r="5854" spans="15:15" x14ac:dyDescent="0.25">
      <c r="O5854" s="21"/>
    </row>
    <row r="5855" spans="15:15" x14ac:dyDescent="0.25">
      <c r="O5855" s="21"/>
    </row>
    <row r="5856" spans="15:15" x14ac:dyDescent="0.25">
      <c r="O5856" s="21"/>
    </row>
    <row r="5857" spans="15:15" x14ac:dyDescent="0.25">
      <c r="O5857" s="21"/>
    </row>
    <row r="5858" spans="15:15" x14ac:dyDescent="0.25">
      <c r="O5858" s="21"/>
    </row>
    <row r="5859" spans="15:15" x14ac:dyDescent="0.25">
      <c r="O5859" s="21"/>
    </row>
    <row r="5860" spans="15:15" x14ac:dyDescent="0.25">
      <c r="O5860" s="21"/>
    </row>
    <row r="5861" spans="15:15" x14ac:dyDescent="0.25">
      <c r="O5861" s="21"/>
    </row>
    <row r="5862" spans="15:15" x14ac:dyDescent="0.25">
      <c r="O5862" s="21"/>
    </row>
    <row r="5863" spans="15:15" x14ac:dyDescent="0.25">
      <c r="O5863" s="21"/>
    </row>
    <row r="5864" spans="15:15" x14ac:dyDescent="0.25">
      <c r="O5864" s="21"/>
    </row>
    <row r="5865" spans="15:15" x14ac:dyDescent="0.25">
      <c r="O5865" s="21"/>
    </row>
    <row r="5866" spans="15:15" x14ac:dyDescent="0.25">
      <c r="O5866" s="21"/>
    </row>
    <row r="5867" spans="15:15" x14ac:dyDescent="0.25">
      <c r="O5867" s="21"/>
    </row>
    <row r="5868" spans="15:15" x14ac:dyDescent="0.25">
      <c r="O5868" s="21"/>
    </row>
    <row r="5869" spans="15:15" x14ac:dyDescent="0.25">
      <c r="O5869" s="21"/>
    </row>
    <row r="5870" spans="15:15" x14ac:dyDescent="0.25">
      <c r="O5870" s="21"/>
    </row>
    <row r="5871" spans="15:15" x14ac:dyDescent="0.25">
      <c r="O5871" s="21"/>
    </row>
    <row r="5872" spans="15:15" x14ac:dyDescent="0.25">
      <c r="O5872" s="21"/>
    </row>
    <row r="5873" spans="15:15" x14ac:dyDescent="0.25">
      <c r="O5873" s="21"/>
    </row>
    <row r="5874" spans="15:15" x14ac:dyDescent="0.25">
      <c r="O5874" s="21"/>
    </row>
    <row r="5875" spans="15:15" x14ac:dyDescent="0.25">
      <c r="O5875" s="21"/>
    </row>
    <row r="5876" spans="15:15" x14ac:dyDescent="0.25">
      <c r="O5876" s="21"/>
    </row>
    <row r="5877" spans="15:15" x14ac:dyDescent="0.25">
      <c r="O5877" s="21"/>
    </row>
    <row r="5878" spans="15:15" x14ac:dyDescent="0.25">
      <c r="O5878" s="21"/>
    </row>
    <row r="5879" spans="15:15" x14ac:dyDescent="0.25">
      <c r="O5879" s="21"/>
    </row>
    <row r="5880" spans="15:15" x14ac:dyDescent="0.25">
      <c r="O5880" s="21"/>
    </row>
    <row r="5881" spans="15:15" x14ac:dyDescent="0.25">
      <c r="O5881" s="21"/>
    </row>
    <row r="5882" spans="15:15" x14ac:dyDescent="0.25">
      <c r="O5882" s="21"/>
    </row>
    <row r="5883" spans="15:15" x14ac:dyDescent="0.25">
      <c r="O5883" s="21"/>
    </row>
    <row r="5884" spans="15:15" x14ac:dyDescent="0.25">
      <c r="O5884" s="21"/>
    </row>
    <row r="5885" spans="15:15" x14ac:dyDescent="0.25">
      <c r="O5885" s="21"/>
    </row>
    <row r="5886" spans="15:15" x14ac:dyDescent="0.25">
      <c r="O5886" s="21"/>
    </row>
    <row r="5887" spans="15:15" x14ac:dyDescent="0.25">
      <c r="O5887" s="21"/>
    </row>
    <row r="5888" spans="15:15" x14ac:dyDescent="0.25">
      <c r="O5888" s="21"/>
    </row>
    <row r="5889" spans="15:15" x14ac:dyDescent="0.25">
      <c r="O5889" s="21"/>
    </row>
    <row r="5890" spans="15:15" x14ac:dyDescent="0.25">
      <c r="O5890" s="21"/>
    </row>
    <row r="5891" spans="15:15" x14ac:dyDescent="0.25">
      <c r="O5891" s="21"/>
    </row>
    <row r="5892" spans="15:15" x14ac:dyDescent="0.25">
      <c r="O5892" s="21"/>
    </row>
    <row r="5893" spans="15:15" x14ac:dyDescent="0.25">
      <c r="O5893" s="21"/>
    </row>
    <row r="5894" spans="15:15" x14ac:dyDescent="0.25">
      <c r="O5894" s="21"/>
    </row>
    <row r="5895" spans="15:15" x14ac:dyDescent="0.25">
      <c r="O5895" s="21"/>
    </row>
    <row r="5896" spans="15:15" x14ac:dyDescent="0.25">
      <c r="O5896" s="21"/>
    </row>
    <row r="5897" spans="15:15" x14ac:dyDescent="0.25">
      <c r="O5897" s="21"/>
    </row>
    <row r="5898" spans="15:15" x14ac:dyDescent="0.25">
      <c r="O5898" s="21"/>
    </row>
    <row r="5899" spans="15:15" x14ac:dyDescent="0.25">
      <c r="O5899" s="21"/>
    </row>
    <row r="5900" spans="15:15" x14ac:dyDescent="0.25">
      <c r="O5900" s="21"/>
    </row>
    <row r="5901" spans="15:15" x14ac:dyDescent="0.25">
      <c r="O5901" s="21"/>
    </row>
    <row r="5902" spans="15:15" x14ac:dyDescent="0.25">
      <c r="O5902" s="21"/>
    </row>
    <row r="5903" spans="15:15" x14ac:dyDescent="0.25">
      <c r="O5903" s="21"/>
    </row>
    <row r="5904" spans="15:15" x14ac:dyDescent="0.25">
      <c r="O5904" s="21"/>
    </row>
    <row r="5905" spans="15:15" x14ac:dyDescent="0.25">
      <c r="O5905" s="21"/>
    </row>
    <row r="5906" spans="15:15" x14ac:dyDescent="0.25">
      <c r="O5906" s="21"/>
    </row>
    <row r="5907" spans="15:15" x14ac:dyDescent="0.25">
      <c r="O5907" s="21"/>
    </row>
    <row r="5908" spans="15:15" x14ac:dyDescent="0.25">
      <c r="O5908" s="21"/>
    </row>
    <row r="5909" spans="15:15" x14ac:dyDescent="0.25">
      <c r="O5909" s="21"/>
    </row>
    <row r="5910" spans="15:15" x14ac:dyDescent="0.25">
      <c r="O5910" s="21"/>
    </row>
    <row r="5911" spans="15:15" x14ac:dyDescent="0.25">
      <c r="O5911" s="21"/>
    </row>
    <row r="5912" spans="15:15" x14ac:dyDescent="0.25">
      <c r="O5912" s="21"/>
    </row>
    <row r="5913" spans="15:15" x14ac:dyDescent="0.25">
      <c r="O5913" s="21"/>
    </row>
    <row r="5914" spans="15:15" x14ac:dyDescent="0.25">
      <c r="O5914" s="21"/>
    </row>
    <row r="5915" spans="15:15" x14ac:dyDescent="0.25">
      <c r="O5915" s="21"/>
    </row>
    <row r="5916" spans="15:15" x14ac:dyDescent="0.25">
      <c r="O5916" s="21"/>
    </row>
    <row r="5917" spans="15:15" x14ac:dyDescent="0.25">
      <c r="O5917" s="21"/>
    </row>
    <row r="5918" spans="15:15" x14ac:dyDescent="0.25">
      <c r="O5918" s="21"/>
    </row>
    <row r="5919" spans="15:15" x14ac:dyDescent="0.25">
      <c r="O5919" s="21"/>
    </row>
    <row r="5920" spans="15:15" x14ac:dyDescent="0.25">
      <c r="O5920" s="21"/>
    </row>
    <row r="5921" spans="15:15" x14ac:dyDescent="0.25">
      <c r="O5921" s="21"/>
    </row>
    <row r="5922" spans="15:15" x14ac:dyDescent="0.25">
      <c r="O5922" s="21"/>
    </row>
    <row r="5923" spans="15:15" x14ac:dyDescent="0.25">
      <c r="O5923" s="21"/>
    </row>
    <row r="5924" spans="15:15" x14ac:dyDescent="0.25">
      <c r="O5924" s="21"/>
    </row>
    <row r="5925" spans="15:15" x14ac:dyDescent="0.25">
      <c r="O5925" s="21"/>
    </row>
    <row r="5926" spans="15:15" x14ac:dyDescent="0.25">
      <c r="O5926" s="21"/>
    </row>
    <row r="5927" spans="15:15" x14ac:dyDescent="0.25">
      <c r="O5927" s="21"/>
    </row>
    <row r="5928" spans="15:15" x14ac:dyDescent="0.25">
      <c r="O5928" s="21"/>
    </row>
    <row r="5929" spans="15:15" x14ac:dyDescent="0.25">
      <c r="O5929" s="21"/>
    </row>
    <row r="5930" spans="15:15" x14ac:dyDescent="0.25">
      <c r="O5930" s="21"/>
    </row>
    <row r="5931" spans="15:15" x14ac:dyDescent="0.25">
      <c r="O5931" s="21"/>
    </row>
    <row r="5932" spans="15:15" x14ac:dyDescent="0.25">
      <c r="O5932" s="21"/>
    </row>
    <row r="5933" spans="15:15" x14ac:dyDescent="0.25">
      <c r="O5933" s="21"/>
    </row>
    <row r="5934" spans="15:15" x14ac:dyDescent="0.25">
      <c r="O5934" s="21"/>
    </row>
    <row r="5935" spans="15:15" x14ac:dyDescent="0.25">
      <c r="O5935" s="21"/>
    </row>
    <row r="5936" spans="15:15" x14ac:dyDescent="0.25">
      <c r="O5936" s="21"/>
    </row>
    <row r="5937" spans="15:15" x14ac:dyDescent="0.25">
      <c r="O5937" s="21"/>
    </row>
    <row r="5938" spans="15:15" x14ac:dyDescent="0.25">
      <c r="O5938" s="21"/>
    </row>
    <row r="5939" spans="15:15" x14ac:dyDescent="0.25">
      <c r="O5939" s="21"/>
    </row>
    <row r="5940" spans="15:15" x14ac:dyDescent="0.25">
      <c r="O5940" s="21"/>
    </row>
    <row r="5941" spans="15:15" x14ac:dyDescent="0.25">
      <c r="O5941" s="21"/>
    </row>
    <row r="5942" spans="15:15" x14ac:dyDescent="0.25">
      <c r="O5942" s="21"/>
    </row>
    <row r="5943" spans="15:15" x14ac:dyDescent="0.25">
      <c r="O5943" s="21"/>
    </row>
    <row r="5944" spans="15:15" x14ac:dyDescent="0.25">
      <c r="O5944" s="21"/>
    </row>
    <row r="5945" spans="15:15" x14ac:dyDescent="0.25">
      <c r="O5945" s="21"/>
    </row>
    <row r="5946" spans="15:15" x14ac:dyDescent="0.25">
      <c r="O5946" s="21"/>
    </row>
    <row r="5947" spans="15:15" x14ac:dyDescent="0.25">
      <c r="O5947" s="21"/>
    </row>
    <row r="5948" spans="15:15" x14ac:dyDescent="0.25">
      <c r="O5948" s="21"/>
    </row>
    <row r="5949" spans="15:15" x14ac:dyDescent="0.25">
      <c r="O5949" s="21"/>
    </row>
    <row r="5950" spans="15:15" x14ac:dyDescent="0.25">
      <c r="O5950" s="21"/>
    </row>
    <row r="5951" spans="15:15" x14ac:dyDescent="0.25">
      <c r="O5951" s="21"/>
    </row>
    <row r="5952" spans="15:15" x14ac:dyDescent="0.25">
      <c r="O5952" s="21"/>
    </row>
    <row r="5953" spans="15:15" x14ac:dyDescent="0.25">
      <c r="O5953" s="21"/>
    </row>
    <row r="5954" spans="15:15" x14ac:dyDescent="0.25">
      <c r="O5954" s="21"/>
    </row>
    <row r="5955" spans="15:15" x14ac:dyDescent="0.25">
      <c r="O5955" s="21"/>
    </row>
    <row r="5956" spans="15:15" x14ac:dyDescent="0.25">
      <c r="O5956" s="21"/>
    </row>
    <row r="5957" spans="15:15" x14ac:dyDescent="0.25">
      <c r="O5957" s="21"/>
    </row>
    <row r="5958" spans="15:15" x14ac:dyDescent="0.25">
      <c r="O5958" s="21"/>
    </row>
    <row r="5959" spans="15:15" x14ac:dyDescent="0.25">
      <c r="O5959" s="21"/>
    </row>
    <row r="5960" spans="15:15" x14ac:dyDescent="0.25">
      <c r="O5960" s="21"/>
    </row>
    <row r="5961" spans="15:15" x14ac:dyDescent="0.25">
      <c r="O5961" s="21"/>
    </row>
    <row r="5962" spans="15:15" x14ac:dyDescent="0.25">
      <c r="O5962" s="21"/>
    </row>
    <row r="5963" spans="15:15" x14ac:dyDescent="0.25">
      <c r="O5963" s="21"/>
    </row>
    <row r="5964" spans="15:15" x14ac:dyDescent="0.25">
      <c r="O5964" s="21"/>
    </row>
    <row r="5965" spans="15:15" x14ac:dyDescent="0.25">
      <c r="O5965" s="21"/>
    </row>
    <row r="5966" spans="15:15" x14ac:dyDescent="0.25">
      <c r="O5966" s="21"/>
    </row>
    <row r="5967" spans="15:15" x14ac:dyDescent="0.25">
      <c r="O5967" s="21"/>
    </row>
    <row r="5968" spans="15:15" x14ac:dyDescent="0.25">
      <c r="O5968" s="21"/>
    </row>
    <row r="5969" spans="15:15" x14ac:dyDescent="0.25">
      <c r="O5969" s="21"/>
    </row>
    <row r="5970" spans="15:15" x14ac:dyDescent="0.25">
      <c r="O5970" s="21"/>
    </row>
    <row r="5971" spans="15:15" x14ac:dyDescent="0.25">
      <c r="O5971" s="21"/>
    </row>
    <row r="5972" spans="15:15" x14ac:dyDescent="0.25">
      <c r="O5972" s="21"/>
    </row>
    <row r="5973" spans="15:15" x14ac:dyDescent="0.25">
      <c r="O5973" s="21"/>
    </row>
    <row r="5974" spans="15:15" x14ac:dyDescent="0.25">
      <c r="O5974" s="21"/>
    </row>
    <row r="5975" spans="15:15" x14ac:dyDescent="0.25">
      <c r="O5975" s="21"/>
    </row>
    <row r="5976" spans="15:15" x14ac:dyDescent="0.25">
      <c r="O5976" s="21"/>
    </row>
    <row r="5977" spans="15:15" x14ac:dyDescent="0.25">
      <c r="O5977" s="21"/>
    </row>
    <row r="5978" spans="15:15" x14ac:dyDescent="0.25">
      <c r="O5978" s="21"/>
    </row>
    <row r="5979" spans="15:15" x14ac:dyDescent="0.25">
      <c r="O5979" s="21"/>
    </row>
    <row r="5980" spans="15:15" x14ac:dyDescent="0.25">
      <c r="O5980" s="21"/>
    </row>
    <row r="5981" spans="15:15" x14ac:dyDescent="0.25">
      <c r="O5981" s="21"/>
    </row>
    <row r="5982" spans="15:15" x14ac:dyDescent="0.25">
      <c r="O5982" s="21"/>
    </row>
    <row r="5983" spans="15:15" x14ac:dyDescent="0.25">
      <c r="O5983" s="21"/>
    </row>
    <row r="5984" spans="15:15" x14ac:dyDescent="0.25">
      <c r="O5984" s="21"/>
    </row>
    <row r="5985" spans="15:15" x14ac:dyDescent="0.25">
      <c r="O5985" s="21"/>
    </row>
    <row r="5986" spans="15:15" x14ac:dyDescent="0.25">
      <c r="O5986" s="21"/>
    </row>
    <row r="5987" spans="15:15" x14ac:dyDescent="0.25">
      <c r="O5987" s="21"/>
    </row>
    <row r="5988" spans="15:15" x14ac:dyDescent="0.25">
      <c r="O5988" s="21"/>
    </row>
    <row r="5989" spans="15:15" x14ac:dyDescent="0.25">
      <c r="O5989" s="21"/>
    </row>
    <row r="5990" spans="15:15" x14ac:dyDescent="0.25">
      <c r="O5990" s="21"/>
    </row>
    <row r="5991" spans="15:15" x14ac:dyDescent="0.25">
      <c r="O5991" s="21"/>
    </row>
    <row r="5992" spans="15:15" x14ac:dyDescent="0.25">
      <c r="O5992" s="21"/>
    </row>
    <row r="5993" spans="15:15" x14ac:dyDescent="0.25">
      <c r="O5993" s="21"/>
    </row>
    <row r="5994" spans="15:15" x14ac:dyDescent="0.25">
      <c r="O5994" s="21"/>
    </row>
    <row r="5995" spans="15:15" x14ac:dyDescent="0.25">
      <c r="O5995" s="21"/>
    </row>
    <row r="5996" spans="15:15" x14ac:dyDescent="0.25">
      <c r="O5996" s="21"/>
    </row>
    <row r="5997" spans="15:15" x14ac:dyDescent="0.25">
      <c r="O5997" s="21"/>
    </row>
    <row r="5998" spans="15:15" x14ac:dyDescent="0.25">
      <c r="O5998" s="21"/>
    </row>
    <row r="5999" spans="15:15" x14ac:dyDescent="0.25">
      <c r="O5999" s="21"/>
    </row>
    <row r="6000" spans="15:15" x14ac:dyDescent="0.25">
      <c r="O6000" s="21"/>
    </row>
    <row r="6001" spans="15:15" x14ac:dyDescent="0.25">
      <c r="O6001" s="21"/>
    </row>
    <row r="6002" spans="15:15" x14ac:dyDescent="0.25">
      <c r="O6002" s="21"/>
    </row>
    <row r="6003" spans="15:15" x14ac:dyDescent="0.25">
      <c r="O6003" s="21"/>
    </row>
    <row r="6004" spans="15:15" x14ac:dyDescent="0.25">
      <c r="O6004" s="21"/>
    </row>
    <row r="6005" spans="15:15" x14ac:dyDescent="0.25">
      <c r="O6005" s="21"/>
    </row>
    <row r="6006" spans="15:15" x14ac:dyDescent="0.25">
      <c r="O6006" s="21"/>
    </row>
    <row r="6007" spans="15:15" x14ac:dyDescent="0.25">
      <c r="O6007" s="21"/>
    </row>
    <row r="6008" spans="15:15" x14ac:dyDescent="0.25">
      <c r="O6008" s="21"/>
    </row>
    <row r="6009" spans="15:15" x14ac:dyDescent="0.25">
      <c r="O6009" s="21"/>
    </row>
    <row r="6010" spans="15:15" x14ac:dyDescent="0.25">
      <c r="O6010" s="21"/>
    </row>
    <row r="6011" spans="15:15" x14ac:dyDescent="0.25">
      <c r="O6011" s="21"/>
    </row>
    <row r="6012" spans="15:15" x14ac:dyDescent="0.25">
      <c r="O6012" s="21"/>
    </row>
    <row r="6013" spans="15:15" x14ac:dyDescent="0.25">
      <c r="O6013" s="21"/>
    </row>
    <row r="6014" spans="15:15" x14ac:dyDescent="0.25">
      <c r="O6014" s="21"/>
    </row>
    <row r="6015" spans="15:15" x14ac:dyDescent="0.25">
      <c r="O6015" s="21"/>
    </row>
    <row r="6016" spans="15:15" x14ac:dyDescent="0.25">
      <c r="O6016" s="21"/>
    </row>
    <row r="6017" spans="15:15" x14ac:dyDescent="0.25">
      <c r="O6017" s="21"/>
    </row>
    <row r="6018" spans="15:15" x14ac:dyDescent="0.25">
      <c r="O6018" s="21"/>
    </row>
    <row r="6019" spans="15:15" x14ac:dyDescent="0.25">
      <c r="O6019" s="21"/>
    </row>
    <row r="6020" spans="15:15" x14ac:dyDescent="0.25">
      <c r="O6020" s="21"/>
    </row>
    <row r="6021" spans="15:15" x14ac:dyDescent="0.25">
      <c r="O6021" s="21"/>
    </row>
    <row r="6022" spans="15:15" x14ac:dyDescent="0.25">
      <c r="O6022" s="21"/>
    </row>
    <row r="6023" spans="15:15" x14ac:dyDescent="0.25">
      <c r="O6023" s="21"/>
    </row>
    <row r="6024" spans="15:15" x14ac:dyDescent="0.25">
      <c r="O6024" s="21"/>
    </row>
    <row r="6025" spans="15:15" x14ac:dyDescent="0.25">
      <c r="O6025" s="21"/>
    </row>
    <row r="6026" spans="15:15" x14ac:dyDescent="0.25">
      <c r="O6026" s="21"/>
    </row>
    <row r="6027" spans="15:15" x14ac:dyDescent="0.25">
      <c r="O6027" s="21"/>
    </row>
    <row r="6028" spans="15:15" x14ac:dyDescent="0.25">
      <c r="O6028" s="21"/>
    </row>
    <row r="6029" spans="15:15" x14ac:dyDescent="0.25">
      <c r="O6029" s="21"/>
    </row>
    <row r="6030" spans="15:15" x14ac:dyDescent="0.25">
      <c r="O6030" s="21"/>
    </row>
    <row r="6031" spans="15:15" x14ac:dyDescent="0.25">
      <c r="O6031" s="21"/>
    </row>
    <row r="6032" spans="15:15" x14ac:dyDescent="0.25">
      <c r="O6032" s="21"/>
    </row>
    <row r="6033" spans="15:15" x14ac:dyDescent="0.25">
      <c r="O6033" s="21"/>
    </row>
    <row r="6034" spans="15:15" x14ac:dyDescent="0.25">
      <c r="O6034" s="21"/>
    </row>
    <row r="6035" spans="15:15" x14ac:dyDescent="0.25">
      <c r="O6035" s="21"/>
    </row>
    <row r="6036" spans="15:15" x14ac:dyDescent="0.25">
      <c r="O6036" s="21"/>
    </row>
    <row r="6037" spans="15:15" x14ac:dyDescent="0.25">
      <c r="O6037" s="21"/>
    </row>
    <row r="6038" spans="15:15" x14ac:dyDescent="0.25">
      <c r="O6038" s="21"/>
    </row>
    <row r="6039" spans="15:15" x14ac:dyDescent="0.25">
      <c r="O6039" s="21"/>
    </row>
    <row r="6040" spans="15:15" x14ac:dyDescent="0.25">
      <c r="O6040" s="21"/>
    </row>
    <row r="6041" spans="15:15" x14ac:dyDescent="0.25">
      <c r="O6041" s="21"/>
    </row>
    <row r="6042" spans="15:15" x14ac:dyDescent="0.25">
      <c r="O6042" s="21"/>
    </row>
    <row r="6043" spans="15:15" x14ac:dyDescent="0.25">
      <c r="O6043" s="21"/>
    </row>
    <row r="6044" spans="15:15" x14ac:dyDescent="0.25">
      <c r="O6044" s="21"/>
    </row>
    <row r="6045" spans="15:15" x14ac:dyDescent="0.25">
      <c r="O6045" s="21"/>
    </row>
    <row r="6046" spans="15:15" x14ac:dyDescent="0.25">
      <c r="O6046" s="21"/>
    </row>
    <row r="6047" spans="15:15" x14ac:dyDescent="0.25">
      <c r="O6047" s="21"/>
    </row>
    <row r="6048" spans="15:15" x14ac:dyDescent="0.25">
      <c r="O6048" s="21"/>
    </row>
    <row r="6049" spans="15:15" x14ac:dyDescent="0.25">
      <c r="O6049" s="21"/>
    </row>
    <row r="6050" spans="15:15" x14ac:dyDescent="0.25">
      <c r="O6050" s="21"/>
    </row>
    <row r="6051" spans="15:15" x14ac:dyDescent="0.25">
      <c r="O6051" s="21"/>
    </row>
    <row r="6052" spans="15:15" x14ac:dyDescent="0.25">
      <c r="O6052" s="21"/>
    </row>
    <row r="6053" spans="15:15" x14ac:dyDescent="0.25">
      <c r="O6053" s="21"/>
    </row>
    <row r="6054" spans="15:15" x14ac:dyDescent="0.25">
      <c r="O6054" s="21"/>
    </row>
    <row r="6055" spans="15:15" x14ac:dyDescent="0.25">
      <c r="O6055" s="21"/>
    </row>
    <row r="6056" spans="15:15" x14ac:dyDescent="0.25">
      <c r="O6056" s="21"/>
    </row>
    <row r="6057" spans="15:15" x14ac:dyDescent="0.25">
      <c r="O6057" s="21"/>
    </row>
    <row r="6058" spans="15:15" x14ac:dyDescent="0.25">
      <c r="O6058" s="21"/>
    </row>
    <row r="6059" spans="15:15" x14ac:dyDescent="0.25">
      <c r="O6059" s="21"/>
    </row>
    <row r="6060" spans="15:15" x14ac:dyDescent="0.25">
      <c r="O6060" s="21"/>
    </row>
    <row r="6061" spans="15:15" x14ac:dyDescent="0.25">
      <c r="O6061" s="21"/>
    </row>
    <row r="6062" spans="15:15" x14ac:dyDescent="0.25">
      <c r="O6062" s="21"/>
    </row>
    <row r="6063" spans="15:15" x14ac:dyDescent="0.25">
      <c r="O6063" s="21"/>
    </row>
    <row r="6064" spans="15:15" x14ac:dyDescent="0.25">
      <c r="O6064" s="21"/>
    </row>
    <row r="6065" spans="15:15" x14ac:dyDescent="0.25">
      <c r="O6065" s="21"/>
    </row>
    <row r="6066" spans="15:15" x14ac:dyDescent="0.25">
      <c r="O6066" s="21"/>
    </row>
    <row r="6067" spans="15:15" x14ac:dyDescent="0.25">
      <c r="O6067" s="21"/>
    </row>
    <row r="6068" spans="15:15" x14ac:dyDescent="0.25">
      <c r="O6068" s="21"/>
    </row>
    <row r="6069" spans="15:15" x14ac:dyDescent="0.25">
      <c r="O6069" s="21"/>
    </row>
    <row r="6070" spans="15:15" x14ac:dyDescent="0.25">
      <c r="O6070" s="21"/>
    </row>
    <row r="6071" spans="15:15" x14ac:dyDescent="0.25">
      <c r="O6071" s="21"/>
    </row>
    <row r="6072" spans="15:15" x14ac:dyDescent="0.25">
      <c r="O6072" s="21"/>
    </row>
    <row r="6073" spans="15:15" x14ac:dyDescent="0.25">
      <c r="O6073" s="21"/>
    </row>
    <row r="6074" spans="15:15" x14ac:dyDescent="0.25">
      <c r="O6074" s="21"/>
    </row>
    <row r="6075" spans="15:15" x14ac:dyDescent="0.25">
      <c r="O6075" s="21"/>
    </row>
    <row r="6076" spans="15:15" x14ac:dyDescent="0.25">
      <c r="O6076" s="21"/>
    </row>
    <row r="6077" spans="15:15" x14ac:dyDescent="0.25">
      <c r="O6077" s="21"/>
    </row>
    <row r="6078" spans="15:15" x14ac:dyDescent="0.25">
      <c r="O6078" s="21"/>
    </row>
    <row r="6079" spans="15:15" x14ac:dyDescent="0.25">
      <c r="O6079" s="21"/>
    </row>
    <row r="6080" spans="15:15" x14ac:dyDescent="0.25">
      <c r="O6080" s="21"/>
    </row>
    <row r="6081" spans="15:15" x14ac:dyDescent="0.25">
      <c r="O6081" s="21"/>
    </row>
    <row r="6082" spans="15:15" x14ac:dyDescent="0.25">
      <c r="O6082" s="21"/>
    </row>
    <row r="6083" spans="15:15" x14ac:dyDescent="0.25">
      <c r="O6083" s="21"/>
    </row>
    <row r="6084" spans="15:15" x14ac:dyDescent="0.25">
      <c r="O6084" s="21"/>
    </row>
    <row r="6085" spans="15:15" x14ac:dyDescent="0.25">
      <c r="O6085" s="21"/>
    </row>
    <row r="6086" spans="15:15" x14ac:dyDescent="0.25">
      <c r="O6086" s="21"/>
    </row>
    <row r="6087" spans="15:15" x14ac:dyDescent="0.25">
      <c r="O6087" s="21"/>
    </row>
    <row r="6088" spans="15:15" x14ac:dyDescent="0.25">
      <c r="O6088" s="21"/>
    </row>
    <row r="6089" spans="15:15" x14ac:dyDescent="0.25">
      <c r="O6089" s="21"/>
    </row>
    <row r="6090" spans="15:15" x14ac:dyDescent="0.25">
      <c r="O6090" s="21"/>
    </row>
    <row r="6091" spans="15:15" x14ac:dyDescent="0.25">
      <c r="O6091" s="21"/>
    </row>
    <row r="6092" spans="15:15" x14ac:dyDescent="0.25">
      <c r="O6092" s="21"/>
    </row>
    <row r="6093" spans="15:15" x14ac:dyDescent="0.25">
      <c r="O6093" s="21"/>
    </row>
    <row r="6094" spans="15:15" x14ac:dyDescent="0.25">
      <c r="O6094" s="21"/>
    </row>
    <row r="6095" spans="15:15" x14ac:dyDescent="0.25">
      <c r="O6095" s="21"/>
    </row>
    <row r="6096" spans="15:15" x14ac:dyDescent="0.25">
      <c r="O6096" s="21"/>
    </row>
    <row r="6097" spans="15:15" x14ac:dyDescent="0.25">
      <c r="O6097" s="21"/>
    </row>
    <row r="6098" spans="15:15" x14ac:dyDescent="0.25">
      <c r="O6098" s="21"/>
    </row>
    <row r="6099" spans="15:15" x14ac:dyDescent="0.25">
      <c r="O6099" s="21"/>
    </row>
    <row r="6100" spans="15:15" x14ac:dyDescent="0.25">
      <c r="O6100" s="21"/>
    </row>
    <row r="6101" spans="15:15" x14ac:dyDescent="0.25">
      <c r="O6101" s="21"/>
    </row>
    <row r="6102" spans="15:15" x14ac:dyDescent="0.25">
      <c r="O6102" s="21"/>
    </row>
    <row r="6103" spans="15:15" x14ac:dyDescent="0.25">
      <c r="O6103" s="21"/>
    </row>
    <row r="6104" spans="15:15" x14ac:dyDescent="0.25">
      <c r="O6104" s="21"/>
    </row>
    <row r="6105" spans="15:15" x14ac:dyDescent="0.25">
      <c r="O6105" s="21"/>
    </row>
    <row r="6106" spans="15:15" x14ac:dyDescent="0.25">
      <c r="O6106" s="21"/>
    </row>
    <row r="6107" spans="15:15" x14ac:dyDescent="0.25">
      <c r="O6107" s="21"/>
    </row>
    <row r="6108" spans="15:15" x14ac:dyDescent="0.25">
      <c r="O6108" s="21"/>
    </row>
    <row r="6109" spans="15:15" x14ac:dyDescent="0.25">
      <c r="O6109" s="21"/>
    </row>
    <row r="6110" spans="15:15" x14ac:dyDescent="0.25">
      <c r="O6110" s="21"/>
    </row>
    <row r="6111" spans="15:15" x14ac:dyDescent="0.25">
      <c r="O6111" s="21"/>
    </row>
    <row r="6112" spans="15:15" x14ac:dyDescent="0.25">
      <c r="O6112" s="21"/>
    </row>
    <row r="6113" spans="15:15" x14ac:dyDescent="0.25">
      <c r="O6113" s="21"/>
    </row>
    <row r="6114" spans="15:15" x14ac:dyDescent="0.25">
      <c r="O6114" s="21"/>
    </row>
    <row r="6115" spans="15:15" x14ac:dyDescent="0.25">
      <c r="O6115" s="21"/>
    </row>
    <row r="6116" spans="15:15" x14ac:dyDescent="0.25">
      <c r="O6116" s="21"/>
    </row>
    <row r="6117" spans="15:15" x14ac:dyDescent="0.25">
      <c r="O6117" s="21"/>
    </row>
    <row r="6118" spans="15:15" x14ac:dyDescent="0.25">
      <c r="O6118" s="21"/>
    </row>
    <row r="6119" spans="15:15" x14ac:dyDescent="0.25">
      <c r="O6119" s="21"/>
    </row>
    <row r="6120" spans="15:15" x14ac:dyDescent="0.25">
      <c r="O6120" s="21"/>
    </row>
    <row r="6121" spans="15:15" x14ac:dyDescent="0.25">
      <c r="O6121" s="21"/>
    </row>
    <row r="6122" spans="15:15" x14ac:dyDescent="0.25">
      <c r="O6122" s="21"/>
    </row>
    <row r="6123" spans="15:15" x14ac:dyDescent="0.25">
      <c r="O6123" s="21"/>
    </row>
    <row r="6124" spans="15:15" x14ac:dyDescent="0.25">
      <c r="O6124" s="21"/>
    </row>
    <row r="6125" spans="15:15" x14ac:dyDescent="0.25">
      <c r="O6125" s="21"/>
    </row>
    <row r="6126" spans="15:15" x14ac:dyDescent="0.25">
      <c r="O6126" s="21"/>
    </row>
    <row r="6127" spans="15:15" x14ac:dyDescent="0.25">
      <c r="O6127" s="21"/>
    </row>
    <row r="6128" spans="15:15" x14ac:dyDescent="0.25">
      <c r="O6128" s="21"/>
    </row>
    <row r="6129" spans="15:15" x14ac:dyDescent="0.25">
      <c r="O6129" s="21"/>
    </row>
    <row r="6130" spans="15:15" x14ac:dyDescent="0.25">
      <c r="O6130" s="21"/>
    </row>
    <row r="6131" spans="15:15" x14ac:dyDescent="0.25">
      <c r="O6131" s="21"/>
    </row>
    <row r="6132" spans="15:15" x14ac:dyDescent="0.25">
      <c r="O6132" s="21"/>
    </row>
    <row r="6133" spans="15:15" x14ac:dyDescent="0.25">
      <c r="O6133" s="21"/>
    </row>
    <row r="6134" spans="15:15" x14ac:dyDescent="0.25">
      <c r="O6134" s="21"/>
    </row>
    <row r="6135" spans="15:15" x14ac:dyDescent="0.25">
      <c r="O6135" s="21"/>
    </row>
    <row r="6136" spans="15:15" x14ac:dyDescent="0.25">
      <c r="O6136" s="21"/>
    </row>
    <row r="6137" spans="15:15" x14ac:dyDescent="0.25">
      <c r="O6137" s="21"/>
    </row>
    <row r="6138" spans="15:15" x14ac:dyDescent="0.25">
      <c r="O6138" s="21"/>
    </row>
    <row r="6139" spans="15:15" x14ac:dyDescent="0.25">
      <c r="O6139" s="21"/>
    </row>
    <row r="6140" spans="15:15" x14ac:dyDescent="0.25">
      <c r="O6140" s="21"/>
    </row>
    <row r="6141" spans="15:15" x14ac:dyDescent="0.25">
      <c r="O6141" s="21"/>
    </row>
    <row r="6142" spans="15:15" x14ac:dyDescent="0.25">
      <c r="O6142" s="21"/>
    </row>
    <row r="6143" spans="15:15" x14ac:dyDescent="0.25">
      <c r="O6143" s="21"/>
    </row>
    <row r="6144" spans="15:15" x14ac:dyDescent="0.25">
      <c r="O6144" s="21"/>
    </row>
    <row r="6145" spans="15:15" x14ac:dyDescent="0.25">
      <c r="O6145" s="21"/>
    </row>
    <row r="6146" spans="15:15" x14ac:dyDescent="0.25">
      <c r="O6146" s="21"/>
    </row>
    <row r="6147" spans="15:15" x14ac:dyDescent="0.25">
      <c r="O6147" s="21"/>
    </row>
    <row r="6148" spans="15:15" x14ac:dyDescent="0.25">
      <c r="O6148" s="21"/>
    </row>
    <row r="6149" spans="15:15" x14ac:dyDescent="0.25">
      <c r="O6149" s="21"/>
    </row>
    <row r="6150" spans="15:15" x14ac:dyDescent="0.25">
      <c r="O6150" s="21"/>
    </row>
    <row r="6151" spans="15:15" x14ac:dyDescent="0.25">
      <c r="O6151" s="21"/>
    </row>
    <row r="6152" spans="15:15" x14ac:dyDescent="0.25">
      <c r="O6152" s="21"/>
    </row>
    <row r="6153" spans="15:15" x14ac:dyDescent="0.25">
      <c r="O6153" s="21"/>
    </row>
    <row r="6154" spans="15:15" x14ac:dyDescent="0.25">
      <c r="O6154" s="21"/>
    </row>
    <row r="6155" spans="15:15" x14ac:dyDescent="0.25">
      <c r="O6155" s="21"/>
    </row>
    <row r="6156" spans="15:15" x14ac:dyDescent="0.25">
      <c r="O6156" s="21"/>
    </row>
    <row r="6157" spans="15:15" x14ac:dyDescent="0.25">
      <c r="O6157" s="21"/>
    </row>
    <row r="6158" spans="15:15" x14ac:dyDescent="0.25">
      <c r="O6158" s="21"/>
    </row>
    <row r="6159" spans="15:15" x14ac:dyDescent="0.25">
      <c r="O6159" s="21"/>
    </row>
    <row r="6160" spans="15:15" x14ac:dyDescent="0.25">
      <c r="O6160" s="21"/>
    </row>
    <row r="6161" spans="15:15" x14ac:dyDescent="0.25">
      <c r="O6161" s="21"/>
    </row>
    <row r="6162" spans="15:15" x14ac:dyDescent="0.25">
      <c r="O6162" s="21"/>
    </row>
    <row r="6163" spans="15:15" x14ac:dyDescent="0.25">
      <c r="O6163" s="21"/>
    </row>
    <row r="6164" spans="15:15" x14ac:dyDescent="0.25">
      <c r="O6164" s="21"/>
    </row>
    <row r="6165" spans="15:15" x14ac:dyDescent="0.25">
      <c r="O6165" s="21"/>
    </row>
    <row r="6166" spans="15:15" x14ac:dyDescent="0.25">
      <c r="O6166" s="21"/>
    </row>
    <row r="6167" spans="15:15" x14ac:dyDescent="0.25">
      <c r="O6167" s="21"/>
    </row>
    <row r="6168" spans="15:15" x14ac:dyDescent="0.25">
      <c r="O6168" s="21"/>
    </row>
    <row r="6169" spans="15:15" x14ac:dyDescent="0.25">
      <c r="O6169" s="21"/>
    </row>
    <row r="6170" spans="15:15" x14ac:dyDescent="0.25">
      <c r="O6170" s="21"/>
    </row>
    <row r="6171" spans="15:15" x14ac:dyDescent="0.25">
      <c r="O6171" s="21"/>
    </row>
    <row r="6172" spans="15:15" x14ac:dyDescent="0.25">
      <c r="O6172" s="21"/>
    </row>
    <row r="6173" spans="15:15" x14ac:dyDescent="0.25">
      <c r="O6173" s="21"/>
    </row>
    <row r="6174" spans="15:15" x14ac:dyDescent="0.25">
      <c r="O6174" s="21"/>
    </row>
    <row r="6175" spans="15:15" x14ac:dyDescent="0.25">
      <c r="O6175" s="21"/>
    </row>
    <row r="6176" spans="15:15" x14ac:dyDescent="0.25">
      <c r="O6176" s="21"/>
    </row>
    <row r="6177" spans="15:15" x14ac:dyDescent="0.25">
      <c r="O6177" s="21"/>
    </row>
    <row r="6178" spans="15:15" x14ac:dyDescent="0.25">
      <c r="O6178" s="21"/>
    </row>
    <row r="6179" spans="15:15" x14ac:dyDescent="0.25">
      <c r="O6179" s="21"/>
    </row>
    <row r="6180" spans="15:15" x14ac:dyDescent="0.25">
      <c r="O6180" s="21"/>
    </row>
    <row r="6181" spans="15:15" x14ac:dyDescent="0.25">
      <c r="O6181" s="21"/>
    </row>
    <row r="6182" spans="15:15" x14ac:dyDescent="0.25">
      <c r="O6182" s="21"/>
    </row>
    <row r="6183" spans="15:15" x14ac:dyDescent="0.25">
      <c r="O6183" s="21"/>
    </row>
    <row r="6184" spans="15:15" x14ac:dyDescent="0.25">
      <c r="O6184" s="21"/>
    </row>
    <row r="6185" spans="15:15" x14ac:dyDescent="0.25">
      <c r="O6185" s="21"/>
    </row>
    <row r="6186" spans="15:15" x14ac:dyDescent="0.25">
      <c r="O6186" s="21"/>
    </row>
    <row r="6187" spans="15:15" x14ac:dyDescent="0.25">
      <c r="O6187" s="21"/>
    </row>
    <row r="6188" spans="15:15" x14ac:dyDescent="0.25">
      <c r="O6188" s="21"/>
    </row>
    <row r="6189" spans="15:15" x14ac:dyDescent="0.25">
      <c r="O6189" s="21"/>
    </row>
    <row r="6190" spans="15:15" x14ac:dyDescent="0.25">
      <c r="O6190" s="21"/>
    </row>
    <row r="6191" spans="15:15" x14ac:dyDescent="0.25">
      <c r="O6191" s="21"/>
    </row>
    <row r="6192" spans="15:15" x14ac:dyDescent="0.25">
      <c r="O6192" s="21"/>
    </row>
    <row r="6193" spans="15:15" x14ac:dyDescent="0.25">
      <c r="O6193" s="21"/>
    </row>
    <row r="6194" spans="15:15" x14ac:dyDescent="0.25">
      <c r="O6194" s="21"/>
    </row>
    <row r="6195" spans="15:15" x14ac:dyDescent="0.25">
      <c r="O6195" s="21"/>
    </row>
    <row r="6196" spans="15:15" x14ac:dyDescent="0.25">
      <c r="O6196" s="21"/>
    </row>
    <row r="6197" spans="15:15" x14ac:dyDescent="0.25">
      <c r="O6197" s="21"/>
    </row>
    <row r="6198" spans="15:15" x14ac:dyDescent="0.25">
      <c r="O6198" s="21"/>
    </row>
    <row r="6199" spans="15:15" x14ac:dyDescent="0.25">
      <c r="O6199" s="21"/>
    </row>
    <row r="6200" spans="15:15" x14ac:dyDescent="0.25">
      <c r="O6200" s="21"/>
    </row>
    <row r="6201" spans="15:15" x14ac:dyDescent="0.25">
      <c r="O6201" s="21"/>
    </row>
    <row r="6202" spans="15:15" x14ac:dyDescent="0.25">
      <c r="O6202" s="21"/>
    </row>
    <row r="6203" spans="15:15" x14ac:dyDescent="0.25">
      <c r="O6203" s="21"/>
    </row>
    <row r="6204" spans="15:15" x14ac:dyDescent="0.25">
      <c r="O6204" s="21"/>
    </row>
    <row r="6205" spans="15:15" x14ac:dyDescent="0.25">
      <c r="O6205" s="21"/>
    </row>
    <row r="6206" spans="15:15" x14ac:dyDescent="0.25">
      <c r="O6206" s="21"/>
    </row>
    <row r="6207" spans="15:15" x14ac:dyDescent="0.25">
      <c r="O6207" s="21"/>
    </row>
    <row r="6208" spans="15:15" x14ac:dyDescent="0.25">
      <c r="O6208" s="21"/>
    </row>
    <row r="6209" spans="15:15" x14ac:dyDescent="0.25">
      <c r="O6209" s="21"/>
    </row>
    <row r="6210" spans="15:15" x14ac:dyDescent="0.25">
      <c r="O6210" s="21"/>
    </row>
    <row r="6211" spans="15:15" x14ac:dyDescent="0.25">
      <c r="O6211" s="21"/>
    </row>
    <row r="6212" spans="15:15" x14ac:dyDescent="0.25">
      <c r="O6212" s="21"/>
    </row>
    <row r="6213" spans="15:15" x14ac:dyDescent="0.25">
      <c r="O6213" s="21"/>
    </row>
    <row r="6214" spans="15:15" x14ac:dyDescent="0.25">
      <c r="O6214" s="21"/>
    </row>
    <row r="6215" spans="15:15" x14ac:dyDescent="0.25">
      <c r="O6215" s="21"/>
    </row>
    <row r="6216" spans="15:15" x14ac:dyDescent="0.25">
      <c r="O6216" s="21"/>
    </row>
    <row r="6217" spans="15:15" x14ac:dyDescent="0.25">
      <c r="O6217" s="21"/>
    </row>
    <row r="6218" spans="15:15" x14ac:dyDescent="0.25">
      <c r="O6218" s="21"/>
    </row>
    <row r="6219" spans="15:15" x14ac:dyDescent="0.25">
      <c r="O6219" s="21"/>
    </row>
    <row r="6220" spans="15:15" x14ac:dyDescent="0.25">
      <c r="O6220" s="21"/>
    </row>
    <row r="6221" spans="15:15" x14ac:dyDescent="0.25">
      <c r="O6221" s="21"/>
    </row>
    <row r="6222" spans="15:15" x14ac:dyDescent="0.25">
      <c r="O6222" s="21"/>
    </row>
    <row r="6223" spans="15:15" x14ac:dyDescent="0.25">
      <c r="O6223" s="21"/>
    </row>
    <row r="6224" spans="15:15" x14ac:dyDescent="0.25">
      <c r="O6224" s="21"/>
    </row>
    <row r="6225" spans="15:15" x14ac:dyDescent="0.25">
      <c r="O6225" s="21"/>
    </row>
    <row r="6226" spans="15:15" x14ac:dyDescent="0.25">
      <c r="O6226" s="21"/>
    </row>
    <row r="6227" spans="15:15" x14ac:dyDescent="0.25">
      <c r="O6227" s="21"/>
    </row>
    <row r="6228" spans="15:15" x14ac:dyDescent="0.25">
      <c r="O6228" s="21"/>
    </row>
    <row r="6229" spans="15:15" x14ac:dyDescent="0.25">
      <c r="O6229" s="21"/>
    </row>
    <row r="6230" spans="15:15" x14ac:dyDescent="0.25">
      <c r="O6230" s="21"/>
    </row>
    <row r="6231" spans="15:15" x14ac:dyDescent="0.25">
      <c r="O6231" s="21"/>
    </row>
    <row r="6232" spans="15:15" x14ac:dyDescent="0.25">
      <c r="O6232" s="21"/>
    </row>
    <row r="6233" spans="15:15" x14ac:dyDescent="0.25">
      <c r="O6233" s="21"/>
    </row>
    <row r="6234" spans="15:15" x14ac:dyDescent="0.25">
      <c r="O6234" s="21"/>
    </row>
    <row r="6235" spans="15:15" x14ac:dyDescent="0.25">
      <c r="O6235" s="21"/>
    </row>
    <row r="6236" spans="15:15" x14ac:dyDescent="0.25">
      <c r="O6236" s="21"/>
    </row>
    <row r="6237" spans="15:15" x14ac:dyDescent="0.25">
      <c r="O6237" s="21"/>
    </row>
    <row r="6238" spans="15:15" x14ac:dyDescent="0.25">
      <c r="O6238" s="21"/>
    </row>
    <row r="6239" spans="15:15" x14ac:dyDescent="0.25">
      <c r="O6239" s="21"/>
    </row>
    <row r="6240" spans="15:15" x14ac:dyDescent="0.25">
      <c r="O6240" s="21"/>
    </row>
    <row r="6241" spans="15:15" x14ac:dyDescent="0.25">
      <c r="O6241" s="21"/>
    </row>
    <row r="6242" spans="15:15" x14ac:dyDescent="0.25">
      <c r="O6242" s="21"/>
    </row>
    <row r="6243" spans="15:15" x14ac:dyDescent="0.25">
      <c r="O6243" s="21"/>
    </row>
    <row r="6244" spans="15:15" x14ac:dyDescent="0.25">
      <c r="O6244" s="21"/>
    </row>
    <row r="6245" spans="15:15" x14ac:dyDescent="0.25">
      <c r="O6245" s="21"/>
    </row>
    <row r="6246" spans="15:15" x14ac:dyDescent="0.25">
      <c r="O6246" s="21"/>
    </row>
    <row r="6247" spans="15:15" x14ac:dyDescent="0.25">
      <c r="O6247" s="21"/>
    </row>
    <row r="6248" spans="15:15" x14ac:dyDescent="0.25">
      <c r="O6248" s="21"/>
    </row>
    <row r="6249" spans="15:15" x14ac:dyDescent="0.25">
      <c r="O6249" s="21"/>
    </row>
    <row r="6250" spans="15:15" x14ac:dyDescent="0.25">
      <c r="O6250" s="21"/>
    </row>
    <row r="6251" spans="15:15" x14ac:dyDescent="0.25">
      <c r="O6251" s="21"/>
    </row>
    <row r="6252" spans="15:15" x14ac:dyDescent="0.25">
      <c r="O6252" s="21"/>
    </row>
    <row r="6253" spans="15:15" x14ac:dyDescent="0.25">
      <c r="O6253" s="21"/>
    </row>
    <row r="6254" spans="15:15" x14ac:dyDescent="0.25">
      <c r="O6254" s="21"/>
    </row>
    <row r="6255" spans="15:15" x14ac:dyDescent="0.25">
      <c r="O6255" s="21"/>
    </row>
    <row r="6256" spans="15:15" x14ac:dyDescent="0.25">
      <c r="O6256" s="21"/>
    </row>
    <row r="6257" spans="15:15" x14ac:dyDescent="0.25">
      <c r="O6257" s="21"/>
    </row>
    <row r="6258" spans="15:15" x14ac:dyDescent="0.25">
      <c r="O6258" s="21"/>
    </row>
    <row r="6259" spans="15:15" x14ac:dyDescent="0.25">
      <c r="O6259" s="21"/>
    </row>
    <row r="6260" spans="15:15" x14ac:dyDescent="0.25">
      <c r="O6260" s="21"/>
    </row>
    <row r="6261" spans="15:15" x14ac:dyDescent="0.25">
      <c r="O6261" s="21"/>
    </row>
    <row r="6262" spans="15:15" x14ac:dyDescent="0.25">
      <c r="O6262" s="21"/>
    </row>
    <row r="6263" spans="15:15" x14ac:dyDescent="0.25">
      <c r="O6263" s="21"/>
    </row>
    <row r="6264" spans="15:15" x14ac:dyDescent="0.25">
      <c r="O6264" s="21"/>
    </row>
    <row r="6265" spans="15:15" x14ac:dyDescent="0.25">
      <c r="O6265" s="21"/>
    </row>
    <row r="6266" spans="15:15" x14ac:dyDescent="0.25">
      <c r="O6266" s="21"/>
    </row>
    <row r="6267" spans="15:15" x14ac:dyDescent="0.25">
      <c r="O6267" s="21"/>
    </row>
    <row r="6268" spans="15:15" x14ac:dyDescent="0.25">
      <c r="O6268" s="21"/>
    </row>
    <row r="6269" spans="15:15" x14ac:dyDescent="0.25">
      <c r="O6269" s="21"/>
    </row>
    <row r="6270" spans="15:15" x14ac:dyDescent="0.25">
      <c r="O6270" s="21"/>
    </row>
    <row r="6271" spans="15:15" x14ac:dyDescent="0.25">
      <c r="O6271" s="21"/>
    </row>
    <row r="6272" spans="15:15" x14ac:dyDescent="0.25">
      <c r="O6272" s="21"/>
    </row>
    <row r="6273" spans="15:15" x14ac:dyDescent="0.25">
      <c r="O6273" s="21"/>
    </row>
    <row r="6274" spans="15:15" x14ac:dyDescent="0.25">
      <c r="O6274" s="21"/>
    </row>
    <row r="6275" spans="15:15" x14ac:dyDescent="0.25">
      <c r="O6275" s="21"/>
    </row>
    <row r="6276" spans="15:15" x14ac:dyDescent="0.25">
      <c r="O6276" s="21"/>
    </row>
    <row r="6277" spans="15:15" x14ac:dyDescent="0.25">
      <c r="O6277" s="21"/>
    </row>
    <row r="6278" spans="15:15" x14ac:dyDescent="0.25">
      <c r="O6278" s="21"/>
    </row>
    <row r="6279" spans="15:15" x14ac:dyDescent="0.25">
      <c r="O6279" s="21"/>
    </row>
    <row r="6280" spans="15:15" x14ac:dyDescent="0.25">
      <c r="O6280" s="21"/>
    </row>
    <row r="6281" spans="15:15" x14ac:dyDescent="0.25">
      <c r="O6281" s="21"/>
    </row>
    <row r="6282" spans="15:15" x14ac:dyDescent="0.25">
      <c r="O6282" s="21"/>
    </row>
    <row r="6283" spans="15:15" x14ac:dyDescent="0.25">
      <c r="O6283" s="21"/>
    </row>
    <row r="6284" spans="15:15" x14ac:dyDescent="0.25">
      <c r="O6284" s="21"/>
    </row>
    <row r="6285" spans="15:15" x14ac:dyDescent="0.25">
      <c r="O6285" s="21"/>
    </row>
    <row r="6286" spans="15:15" x14ac:dyDescent="0.25">
      <c r="O6286" s="21"/>
    </row>
    <row r="6287" spans="15:15" x14ac:dyDescent="0.25">
      <c r="O6287" s="21"/>
    </row>
    <row r="6288" spans="15:15" x14ac:dyDescent="0.25">
      <c r="O6288" s="21"/>
    </row>
    <row r="6289" spans="15:15" x14ac:dyDescent="0.25">
      <c r="O6289" s="21"/>
    </row>
    <row r="6290" spans="15:15" x14ac:dyDescent="0.25">
      <c r="O6290" s="21"/>
    </row>
    <row r="6291" spans="15:15" x14ac:dyDescent="0.25">
      <c r="O6291" s="21"/>
    </row>
    <row r="6292" spans="15:15" x14ac:dyDescent="0.25">
      <c r="O6292" s="21"/>
    </row>
    <row r="6293" spans="15:15" x14ac:dyDescent="0.25">
      <c r="O6293" s="21"/>
    </row>
    <row r="6294" spans="15:15" x14ac:dyDescent="0.25">
      <c r="O6294" s="21"/>
    </row>
    <row r="6295" spans="15:15" x14ac:dyDescent="0.25">
      <c r="O6295" s="21"/>
    </row>
    <row r="6296" spans="15:15" x14ac:dyDescent="0.25">
      <c r="O6296" s="21"/>
    </row>
    <row r="6297" spans="15:15" x14ac:dyDescent="0.25">
      <c r="O6297" s="21"/>
    </row>
    <row r="6298" spans="15:15" x14ac:dyDescent="0.25">
      <c r="O6298" s="21"/>
    </row>
    <row r="6299" spans="15:15" x14ac:dyDescent="0.25">
      <c r="O6299" s="21"/>
    </row>
    <row r="6300" spans="15:15" x14ac:dyDescent="0.25">
      <c r="O6300" s="21"/>
    </row>
    <row r="6301" spans="15:15" x14ac:dyDescent="0.25">
      <c r="O6301" s="21"/>
    </row>
    <row r="6302" spans="15:15" x14ac:dyDescent="0.25">
      <c r="O6302" s="21"/>
    </row>
    <row r="6303" spans="15:15" x14ac:dyDescent="0.25">
      <c r="O6303" s="21"/>
    </row>
    <row r="6304" spans="15:15" x14ac:dyDescent="0.25">
      <c r="O6304" s="21"/>
    </row>
    <row r="6305" spans="15:15" x14ac:dyDescent="0.25">
      <c r="O6305" s="21"/>
    </row>
    <row r="6306" spans="15:15" x14ac:dyDescent="0.25">
      <c r="O6306" s="21"/>
    </row>
    <row r="6307" spans="15:15" x14ac:dyDescent="0.25">
      <c r="O6307" s="21"/>
    </row>
    <row r="6308" spans="15:15" x14ac:dyDescent="0.25">
      <c r="O6308" s="21"/>
    </row>
    <row r="6309" spans="15:15" x14ac:dyDescent="0.25">
      <c r="O6309" s="21"/>
    </row>
    <row r="6310" spans="15:15" x14ac:dyDescent="0.25">
      <c r="O6310" s="21"/>
    </row>
    <row r="6311" spans="15:15" x14ac:dyDescent="0.25">
      <c r="O6311" s="21"/>
    </row>
    <row r="6312" spans="15:15" x14ac:dyDescent="0.25">
      <c r="O6312" s="21"/>
    </row>
    <row r="6313" spans="15:15" x14ac:dyDescent="0.25">
      <c r="O6313" s="21"/>
    </row>
    <row r="6314" spans="15:15" x14ac:dyDescent="0.25">
      <c r="O6314" s="21"/>
    </row>
    <row r="6315" spans="15:15" x14ac:dyDescent="0.25">
      <c r="O6315" s="21"/>
    </row>
    <row r="6316" spans="15:15" x14ac:dyDescent="0.25">
      <c r="O6316" s="21"/>
    </row>
    <row r="6317" spans="15:15" x14ac:dyDescent="0.25">
      <c r="O6317" s="21"/>
    </row>
    <row r="6318" spans="15:15" x14ac:dyDescent="0.25">
      <c r="O6318" s="21"/>
    </row>
    <row r="6319" spans="15:15" x14ac:dyDescent="0.25">
      <c r="O6319" s="21"/>
    </row>
    <row r="6320" spans="15:15" x14ac:dyDescent="0.25">
      <c r="O6320" s="21"/>
    </row>
    <row r="6321" spans="15:15" x14ac:dyDescent="0.25">
      <c r="O6321" s="21"/>
    </row>
    <row r="6322" spans="15:15" x14ac:dyDescent="0.25">
      <c r="O6322" s="21"/>
    </row>
    <row r="6323" spans="15:15" x14ac:dyDescent="0.25">
      <c r="O6323" s="21"/>
    </row>
    <row r="6324" spans="15:15" x14ac:dyDescent="0.25">
      <c r="O6324" s="21"/>
    </row>
    <row r="6325" spans="15:15" x14ac:dyDescent="0.25">
      <c r="O6325" s="21"/>
    </row>
    <row r="6326" spans="15:15" x14ac:dyDescent="0.25">
      <c r="O6326" s="21"/>
    </row>
    <row r="6327" spans="15:15" x14ac:dyDescent="0.25">
      <c r="O6327" s="21"/>
    </row>
    <row r="6328" spans="15:15" x14ac:dyDescent="0.25">
      <c r="O6328" s="21"/>
    </row>
    <row r="6329" spans="15:15" x14ac:dyDescent="0.25">
      <c r="O6329" s="21"/>
    </row>
    <row r="6330" spans="15:15" x14ac:dyDescent="0.25">
      <c r="O6330" s="21"/>
    </row>
    <row r="6331" spans="15:15" x14ac:dyDescent="0.25">
      <c r="O6331" s="21"/>
    </row>
    <row r="6332" spans="15:15" x14ac:dyDescent="0.25">
      <c r="O6332" s="21"/>
    </row>
    <row r="6333" spans="15:15" x14ac:dyDescent="0.25">
      <c r="O6333" s="21"/>
    </row>
    <row r="6334" spans="15:15" x14ac:dyDescent="0.25">
      <c r="O6334" s="21"/>
    </row>
    <row r="6335" spans="15:15" x14ac:dyDescent="0.25">
      <c r="O6335" s="21"/>
    </row>
    <row r="6336" spans="15:15" x14ac:dyDescent="0.25">
      <c r="O6336" s="21"/>
    </row>
    <row r="6337" spans="15:15" x14ac:dyDescent="0.25">
      <c r="O6337" s="21"/>
    </row>
    <row r="6338" spans="15:15" x14ac:dyDescent="0.25">
      <c r="O6338" s="21"/>
    </row>
    <row r="6339" spans="15:15" x14ac:dyDescent="0.25">
      <c r="O6339" s="21"/>
    </row>
    <row r="6340" spans="15:15" x14ac:dyDescent="0.25">
      <c r="O6340" s="21"/>
    </row>
    <row r="6341" spans="15:15" x14ac:dyDescent="0.25">
      <c r="O6341" s="21"/>
    </row>
    <row r="6342" spans="15:15" x14ac:dyDescent="0.25">
      <c r="O6342" s="21"/>
    </row>
    <row r="6343" spans="15:15" x14ac:dyDescent="0.25">
      <c r="O6343" s="21"/>
    </row>
    <row r="6344" spans="15:15" x14ac:dyDescent="0.25">
      <c r="O6344" s="21"/>
    </row>
    <row r="6345" spans="15:15" x14ac:dyDescent="0.25">
      <c r="O6345" s="21"/>
    </row>
    <row r="6346" spans="15:15" x14ac:dyDescent="0.25">
      <c r="O6346" s="21"/>
    </row>
    <row r="6347" spans="15:15" x14ac:dyDescent="0.25">
      <c r="O6347" s="21"/>
    </row>
    <row r="6348" spans="15:15" x14ac:dyDescent="0.25">
      <c r="O6348" s="21"/>
    </row>
    <row r="6349" spans="15:15" x14ac:dyDescent="0.25">
      <c r="O6349" s="21"/>
    </row>
    <row r="6350" spans="15:15" x14ac:dyDescent="0.25">
      <c r="O6350" s="21"/>
    </row>
    <row r="6351" spans="15:15" x14ac:dyDescent="0.25">
      <c r="O6351" s="21"/>
    </row>
    <row r="6352" spans="15:15" x14ac:dyDescent="0.25">
      <c r="O6352" s="21"/>
    </row>
    <row r="6353" spans="15:15" x14ac:dyDescent="0.25">
      <c r="O6353" s="21"/>
    </row>
    <row r="6354" spans="15:15" x14ac:dyDescent="0.25">
      <c r="O6354" s="21"/>
    </row>
    <row r="6355" spans="15:15" x14ac:dyDescent="0.25">
      <c r="O6355" s="21"/>
    </row>
    <row r="6356" spans="15:15" x14ac:dyDescent="0.25">
      <c r="O6356" s="21"/>
    </row>
    <row r="6357" spans="15:15" x14ac:dyDescent="0.25">
      <c r="O6357" s="21"/>
    </row>
    <row r="6358" spans="15:15" x14ac:dyDescent="0.25">
      <c r="O6358" s="21"/>
    </row>
    <row r="6359" spans="15:15" x14ac:dyDescent="0.25">
      <c r="O6359" s="21"/>
    </row>
    <row r="6360" spans="15:15" x14ac:dyDescent="0.25">
      <c r="O6360" s="21"/>
    </row>
    <row r="6361" spans="15:15" x14ac:dyDescent="0.25">
      <c r="O6361" s="21"/>
    </row>
    <row r="6362" spans="15:15" x14ac:dyDescent="0.25">
      <c r="O6362" s="21"/>
    </row>
    <row r="6363" spans="15:15" x14ac:dyDescent="0.25">
      <c r="O6363" s="21"/>
    </row>
    <row r="6364" spans="15:15" x14ac:dyDescent="0.25">
      <c r="O6364" s="21"/>
    </row>
    <row r="6365" spans="15:15" x14ac:dyDescent="0.25">
      <c r="O6365" s="21"/>
    </row>
    <row r="6366" spans="15:15" x14ac:dyDescent="0.25">
      <c r="O6366" s="21"/>
    </row>
    <row r="6367" spans="15:15" x14ac:dyDescent="0.25">
      <c r="O6367" s="21"/>
    </row>
    <row r="6368" spans="15:15" x14ac:dyDescent="0.25">
      <c r="O6368" s="21"/>
    </row>
    <row r="6369" spans="15:15" x14ac:dyDescent="0.25">
      <c r="O6369" s="21"/>
    </row>
    <row r="6370" spans="15:15" x14ac:dyDescent="0.25">
      <c r="O6370" s="21"/>
    </row>
    <row r="6371" spans="15:15" x14ac:dyDescent="0.25">
      <c r="O6371" s="21"/>
    </row>
    <row r="6372" spans="15:15" x14ac:dyDescent="0.25">
      <c r="O6372" s="21"/>
    </row>
    <row r="6373" spans="15:15" x14ac:dyDescent="0.25">
      <c r="O6373" s="21"/>
    </row>
    <row r="6374" spans="15:15" x14ac:dyDescent="0.25">
      <c r="O6374" s="21"/>
    </row>
    <row r="6375" spans="15:15" x14ac:dyDescent="0.25">
      <c r="O6375" s="21"/>
    </row>
    <row r="6376" spans="15:15" x14ac:dyDescent="0.25">
      <c r="O6376" s="21"/>
    </row>
    <row r="6377" spans="15:15" x14ac:dyDescent="0.25">
      <c r="O6377" s="21"/>
    </row>
    <row r="6378" spans="15:15" x14ac:dyDescent="0.25">
      <c r="O6378" s="21"/>
    </row>
    <row r="6379" spans="15:15" x14ac:dyDescent="0.25">
      <c r="O6379" s="21"/>
    </row>
    <row r="6380" spans="15:15" x14ac:dyDescent="0.25">
      <c r="O6380" s="21"/>
    </row>
    <row r="6381" spans="15:15" x14ac:dyDescent="0.25">
      <c r="O6381" s="21"/>
    </row>
    <row r="6382" spans="15:15" x14ac:dyDescent="0.25">
      <c r="O6382" s="21"/>
    </row>
    <row r="6383" spans="15:15" x14ac:dyDescent="0.25">
      <c r="O6383" s="21"/>
    </row>
    <row r="6384" spans="15:15" x14ac:dyDescent="0.25">
      <c r="O6384" s="21"/>
    </row>
    <row r="6385" spans="15:15" x14ac:dyDescent="0.25">
      <c r="O6385" s="21"/>
    </row>
    <row r="6386" spans="15:15" x14ac:dyDescent="0.25">
      <c r="O6386" s="21"/>
    </row>
    <row r="6387" spans="15:15" x14ac:dyDescent="0.25">
      <c r="O6387" s="21"/>
    </row>
    <row r="6388" spans="15:15" x14ac:dyDescent="0.25">
      <c r="O6388" s="21"/>
    </row>
    <row r="6389" spans="15:15" x14ac:dyDescent="0.25">
      <c r="O6389" s="21"/>
    </row>
    <row r="6390" spans="15:15" x14ac:dyDescent="0.25">
      <c r="O6390" s="21"/>
    </row>
    <row r="6391" spans="15:15" x14ac:dyDescent="0.25">
      <c r="O6391" s="21"/>
    </row>
    <row r="6392" spans="15:15" x14ac:dyDescent="0.25">
      <c r="O6392" s="21"/>
    </row>
    <row r="6393" spans="15:15" x14ac:dyDescent="0.25">
      <c r="O6393" s="21"/>
    </row>
    <row r="6394" spans="15:15" x14ac:dyDescent="0.25">
      <c r="O6394" s="21"/>
    </row>
    <row r="6395" spans="15:15" x14ac:dyDescent="0.25">
      <c r="O6395" s="21"/>
    </row>
    <row r="6396" spans="15:15" x14ac:dyDescent="0.25">
      <c r="O6396" s="21"/>
    </row>
    <row r="6397" spans="15:15" x14ac:dyDescent="0.25">
      <c r="O6397" s="21"/>
    </row>
    <row r="6398" spans="15:15" x14ac:dyDescent="0.25">
      <c r="O6398" s="21"/>
    </row>
    <row r="6399" spans="15:15" x14ac:dyDescent="0.25">
      <c r="O6399" s="21"/>
    </row>
    <row r="6400" spans="15:15" x14ac:dyDescent="0.25">
      <c r="O6400" s="21"/>
    </row>
    <row r="6401" spans="15:15" x14ac:dyDescent="0.25">
      <c r="O6401" s="21"/>
    </row>
    <row r="6402" spans="15:15" x14ac:dyDescent="0.25">
      <c r="O6402" s="21"/>
    </row>
    <row r="6403" spans="15:15" x14ac:dyDescent="0.25">
      <c r="O6403" s="21"/>
    </row>
    <row r="6404" spans="15:15" x14ac:dyDescent="0.25">
      <c r="O6404" s="21"/>
    </row>
    <row r="6405" spans="15:15" x14ac:dyDescent="0.25">
      <c r="O6405" s="21"/>
    </row>
    <row r="6406" spans="15:15" x14ac:dyDescent="0.25">
      <c r="O6406" s="21"/>
    </row>
    <row r="6407" spans="15:15" x14ac:dyDescent="0.25">
      <c r="O6407" s="21"/>
    </row>
    <row r="6408" spans="15:15" x14ac:dyDescent="0.25">
      <c r="O6408" s="21"/>
    </row>
    <row r="6409" spans="15:15" x14ac:dyDescent="0.25">
      <c r="O6409" s="21"/>
    </row>
    <row r="6410" spans="15:15" x14ac:dyDescent="0.25">
      <c r="O6410" s="21"/>
    </row>
    <row r="6411" spans="15:15" x14ac:dyDescent="0.25">
      <c r="O6411" s="21"/>
    </row>
    <row r="6412" spans="15:15" x14ac:dyDescent="0.25">
      <c r="O6412" s="21"/>
    </row>
    <row r="6413" spans="15:15" x14ac:dyDescent="0.25">
      <c r="O6413" s="21"/>
    </row>
    <row r="6414" spans="15:15" x14ac:dyDescent="0.25">
      <c r="O6414" s="21"/>
    </row>
    <row r="6415" spans="15:15" x14ac:dyDescent="0.25">
      <c r="O6415" s="21"/>
    </row>
    <row r="6416" spans="15:15" x14ac:dyDescent="0.25">
      <c r="O6416" s="21"/>
    </row>
    <row r="6417" spans="15:15" x14ac:dyDescent="0.25">
      <c r="O6417" s="21"/>
    </row>
    <row r="6418" spans="15:15" x14ac:dyDescent="0.25">
      <c r="O6418" s="21"/>
    </row>
    <row r="6419" spans="15:15" x14ac:dyDescent="0.25">
      <c r="O6419" s="21"/>
    </row>
    <row r="6420" spans="15:15" x14ac:dyDescent="0.25">
      <c r="O6420" s="21"/>
    </row>
    <row r="6421" spans="15:15" x14ac:dyDescent="0.25">
      <c r="O6421" s="21"/>
    </row>
    <row r="6422" spans="15:15" x14ac:dyDescent="0.25">
      <c r="O6422" s="21"/>
    </row>
    <row r="6423" spans="15:15" x14ac:dyDescent="0.25">
      <c r="O6423" s="21"/>
    </row>
    <row r="6424" spans="15:15" x14ac:dyDescent="0.25">
      <c r="O6424" s="21"/>
    </row>
    <row r="6425" spans="15:15" x14ac:dyDescent="0.25">
      <c r="O6425" s="21"/>
    </row>
    <row r="6426" spans="15:15" x14ac:dyDescent="0.25">
      <c r="O6426" s="21"/>
    </row>
    <row r="6427" spans="15:15" x14ac:dyDescent="0.25">
      <c r="O6427" s="21"/>
    </row>
    <row r="6428" spans="15:15" x14ac:dyDescent="0.25">
      <c r="O6428" s="21"/>
    </row>
    <row r="6429" spans="15:15" x14ac:dyDescent="0.25">
      <c r="O6429" s="21"/>
    </row>
    <row r="6430" spans="15:15" x14ac:dyDescent="0.25">
      <c r="O6430" s="21"/>
    </row>
    <row r="6431" spans="15:15" x14ac:dyDescent="0.25">
      <c r="O6431" s="21"/>
    </row>
    <row r="6432" spans="15:15" x14ac:dyDescent="0.25">
      <c r="O6432" s="21"/>
    </row>
    <row r="6433" spans="15:15" x14ac:dyDescent="0.25">
      <c r="O6433" s="21"/>
    </row>
    <row r="6434" spans="15:15" x14ac:dyDescent="0.25">
      <c r="O6434" s="21"/>
    </row>
    <row r="6435" spans="15:15" x14ac:dyDescent="0.25">
      <c r="O6435" s="21"/>
    </row>
    <row r="6436" spans="15:15" x14ac:dyDescent="0.25">
      <c r="O6436" s="21"/>
    </row>
    <row r="6437" spans="15:15" x14ac:dyDescent="0.25">
      <c r="O6437" s="21"/>
    </row>
    <row r="6438" spans="15:15" x14ac:dyDescent="0.25">
      <c r="O6438" s="21"/>
    </row>
    <row r="6439" spans="15:15" x14ac:dyDescent="0.25">
      <c r="O6439" s="21"/>
    </row>
    <row r="6440" spans="15:15" x14ac:dyDescent="0.25">
      <c r="O6440" s="21"/>
    </row>
    <row r="6441" spans="15:15" x14ac:dyDescent="0.25">
      <c r="O6441" s="21"/>
    </row>
    <row r="6442" spans="15:15" x14ac:dyDescent="0.25">
      <c r="O6442" s="21"/>
    </row>
    <row r="6443" spans="15:15" x14ac:dyDescent="0.25">
      <c r="O6443" s="21"/>
    </row>
    <row r="6444" spans="15:15" x14ac:dyDescent="0.25">
      <c r="O6444" s="21"/>
    </row>
    <row r="6445" spans="15:15" x14ac:dyDescent="0.25">
      <c r="O6445" s="21"/>
    </row>
    <row r="6446" spans="15:15" x14ac:dyDescent="0.25">
      <c r="O6446" s="21"/>
    </row>
    <row r="6447" spans="15:15" x14ac:dyDescent="0.25">
      <c r="O6447" s="21"/>
    </row>
    <row r="6448" spans="15:15" x14ac:dyDescent="0.25">
      <c r="O6448" s="21"/>
    </row>
    <row r="6449" spans="15:15" x14ac:dyDescent="0.25">
      <c r="O6449" s="21"/>
    </row>
    <row r="6450" spans="15:15" x14ac:dyDescent="0.25">
      <c r="O6450" s="21"/>
    </row>
    <row r="6451" spans="15:15" x14ac:dyDescent="0.25">
      <c r="O6451" s="21"/>
    </row>
    <row r="6452" spans="15:15" x14ac:dyDescent="0.25">
      <c r="O6452" s="21"/>
    </row>
    <row r="6453" spans="15:15" x14ac:dyDescent="0.25">
      <c r="O6453" s="21"/>
    </row>
    <row r="6454" spans="15:15" x14ac:dyDescent="0.25">
      <c r="O6454" s="21"/>
    </row>
    <row r="6455" spans="15:15" x14ac:dyDescent="0.25">
      <c r="O6455" s="21"/>
    </row>
    <row r="6456" spans="15:15" x14ac:dyDescent="0.25">
      <c r="O6456" s="21"/>
    </row>
    <row r="6457" spans="15:15" x14ac:dyDescent="0.25">
      <c r="O6457" s="21"/>
    </row>
    <row r="6458" spans="15:15" x14ac:dyDescent="0.25">
      <c r="O6458" s="21"/>
    </row>
    <row r="6459" spans="15:15" x14ac:dyDescent="0.25">
      <c r="O6459" s="21"/>
    </row>
    <row r="6460" spans="15:15" x14ac:dyDescent="0.25">
      <c r="O6460" s="21"/>
    </row>
    <row r="6461" spans="15:15" x14ac:dyDescent="0.25">
      <c r="O6461" s="21"/>
    </row>
    <row r="6462" spans="15:15" x14ac:dyDescent="0.25">
      <c r="O6462" s="21"/>
    </row>
    <row r="6463" spans="15:15" x14ac:dyDescent="0.25">
      <c r="O6463" s="21"/>
    </row>
    <row r="6464" spans="15:15" x14ac:dyDescent="0.25">
      <c r="O6464" s="21"/>
    </row>
    <row r="6465" spans="15:15" x14ac:dyDescent="0.25">
      <c r="O6465" s="21"/>
    </row>
    <row r="6466" spans="15:15" x14ac:dyDescent="0.25">
      <c r="O6466" s="21"/>
    </row>
    <row r="6467" spans="15:15" x14ac:dyDescent="0.25">
      <c r="O6467" s="21"/>
    </row>
    <row r="6468" spans="15:15" x14ac:dyDescent="0.25">
      <c r="O6468" s="21"/>
    </row>
    <row r="6469" spans="15:15" x14ac:dyDescent="0.25">
      <c r="O6469" s="21"/>
    </row>
    <row r="6470" spans="15:15" x14ac:dyDescent="0.25">
      <c r="O6470" s="21"/>
    </row>
    <row r="6471" spans="15:15" x14ac:dyDescent="0.25">
      <c r="O6471" s="21"/>
    </row>
    <row r="6472" spans="15:15" x14ac:dyDescent="0.25">
      <c r="O6472" s="21"/>
    </row>
    <row r="6473" spans="15:15" x14ac:dyDescent="0.25">
      <c r="O6473" s="21"/>
    </row>
    <row r="6474" spans="15:15" x14ac:dyDescent="0.25">
      <c r="O6474" s="21"/>
    </row>
    <row r="6475" spans="15:15" x14ac:dyDescent="0.25">
      <c r="O6475" s="21"/>
    </row>
    <row r="6476" spans="15:15" x14ac:dyDescent="0.25">
      <c r="O6476" s="21"/>
    </row>
    <row r="6477" spans="15:15" x14ac:dyDescent="0.25">
      <c r="O6477" s="21"/>
    </row>
    <row r="6478" spans="15:15" x14ac:dyDescent="0.25">
      <c r="O6478" s="21"/>
    </row>
    <row r="6479" spans="15:15" x14ac:dyDescent="0.25">
      <c r="O6479" s="21"/>
    </row>
    <row r="6480" spans="15:15" x14ac:dyDescent="0.25">
      <c r="O6480" s="21"/>
    </row>
    <row r="6481" spans="15:15" x14ac:dyDescent="0.25">
      <c r="O6481" s="21"/>
    </row>
    <row r="6482" spans="15:15" x14ac:dyDescent="0.25">
      <c r="O6482" s="21"/>
    </row>
    <row r="6483" spans="15:15" x14ac:dyDescent="0.25">
      <c r="O6483" s="21"/>
    </row>
    <row r="6484" spans="15:15" x14ac:dyDescent="0.25">
      <c r="O6484" s="21"/>
    </row>
    <row r="6485" spans="15:15" x14ac:dyDescent="0.25">
      <c r="O6485" s="21"/>
    </row>
    <row r="6486" spans="15:15" x14ac:dyDescent="0.25">
      <c r="O6486" s="21"/>
    </row>
    <row r="6487" spans="15:15" x14ac:dyDescent="0.25">
      <c r="O6487" s="21"/>
    </row>
    <row r="6488" spans="15:15" x14ac:dyDescent="0.25">
      <c r="O6488" s="21"/>
    </row>
    <row r="6489" spans="15:15" x14ac:dyDescent="0.25">
      <c r="O6489" s="21"/>
    </row>
    <row r="6490" spans="15:15" x14ac:dyDescent="0.25">
      <c r="O6490" s="21"/>
    </row>
    <row r="6491" spans="15:15" x14ac:dyDescent="0.25">
      <c r="O6491" s="21"/>
    </row>
    <row r="6492" spans="15:15" x14ac:dyDescent="0.25">
      <c r="O6492" s="21"/>
    </row>
    <row r="6493" spans="15:15" x14ac:dyDescent="0.25">
      <c r="O6493" s="21"/>
    </row>
    <row r="6494" spans="15:15" x14ac:dyDescent="0.25">
      <c r="O6494" s="21"/>
    </row>
    <row r="6495" spans="15:15" x14ac:dyDescent="0.25">
      <c r="O6495" s="21"/>
    </row>
    <row r="6496" spans="15:15" x14ac:dyDescent="0.25">
      <c r="O6496" s="21"/>
    </row>
    <row r="6497" spans="15:15" x14ac:dyDescent="0.25">
      <c r="O6497" s="21"/>
    </row>
    <row r="6498" spans="15:15" x14ac:dyDescent="0.25">
      <c r="O6498" s="21"/>
    </row>
    <row r="6499" spans="15:15" x14ac:dyDescent="0.25">
      <c r="O6499" s="21"/>
    </row>
    <row r="6500" spans="15:15" x14ac:dyDescent="0.25">
      <c r="O6500" s="21"/>
    </row>
    <row r="6501" spans="15:15" x14ac:dyDescent="0.25">
      <c r="O6501" s="21"/>
    </row>
    <row r="6502" spans="15:15" x14ac:dyDescent="0.25">
      <c r="O6502" s="21"/>
    </row>
    <row r="6503" spans="15:15" x14ac:dyDescent="0.25">
      <c r="O6503" s="21"/>
    </row>
    <row r="6504" spans="15:15" x14ac:dyDescent="0.25">
      <c r="O6504" s="21"/>
    </row>
    <row r="6505" spans="15:15" x14ac:dyDescent="0.25">
      <c r="O6505" s="21"/>
    </row>
    <row r="6506" spans="15:15" x14ac:dyDescent="0.25">
      <c r="O6506" s="21"/>
    </row>
    <row r="6507" spans="15:15" x14ac:dyDescent="0.25">
      <c r="O6507" s="21"/>
    </row>
    <row r="6508" spans="15:15" x14ac:dyDescent="0.25">
      <c r="O6508" s="21"/>
    </row>
    <row r="6509" spans="15:15" x14ac:dyDescent="0.25">
      <c r="O6509" s="21"/>
    </row>
    <row r="6510" spans="15:15" x14ac:dyDescent="0.25">
      <c r="O6510" s="21"/>
    </row>
    <row r="6511" spans="15:15" x14ac:dyDescent="0.25">
      <c r="O6511" s="21"/>
    </row>
    <row r="6512" spans="15:15" x14ac:dyDescent="0.25">
      <c r="O6512" s="21"/>
    </row>
    <row r="6513" spans="15:15" x14ac:dyDescent="0.25">
      <c r="O6513" s="21"/>
    </row>
    <row r="6514" spans="15:15" x14ac:dyDescent="0.25">
      <c r="O6514" s="21"/>
    </row>
    <row r="6515" spans="15:15" x14ac:dyDescent="0.25">
      <c r="O6515" s="21"/>
    </row>
    <row r="6516" spans="15:15" x14ac:dyDescent="0.25">
      <c r="O6516" s="21"/>
    </row>
    <row r="6517" spans="15:15" x14ac:dyDescent="0.25">
      <c r="O6517" s="21"/>
    </row>
    <row r="6518" spans="15:15" x14ac:dyDescent="0.25">
      <c r="O6518" s="21"/>
    </row>
    <row r="6519" spans="15:15" x14ac:dyDescent="0.25">
      <c r="O6519" s="21"/>
    </row>
    <row r="6520" spans="15:15" x14ac:dyDescent="0.25">
      <c r="O6520" s="21"/>
    </row>
    <row r="6521" spans="15:15" x14ac:dyDescent="0.25">
      <c r="O6521" s="21"/>
    </row>
    <row r="6522" spans="15:15" x14ac:dyDescent="0.25">
      <c r="O6522" s="21"/>
    </row>
    <row r="6523" spans="15:15" x14ac:dyDescent="0.25">
      <c r="O6523" s="21"/>
    </row>
    <row r="6524" spans="15:15" x14ac:dyDescent="0.25">
      <c r="O6524" s="21"/>
    </row>
    <row r="6525" spans="15:15" x14ac:dyDescent="0.25">
      <c r="O6525" s="21"/>
    </row>
    <row r="6526" spans="15:15" x14ac:dyDescent="0.25">
      <c r="O6526" s="21"/>
    </row>
    <row r="6527" spans="15:15" x14ac:dyDescent="0.25">
      <c r="O6527" s="21"/>
    </row>
    <row r="6528" spans="15:15" x14ac:dyDescent="0.25">
      <c r="O6528" s="21"/>
    </row>
    <row r="6529" spans="15:15" x14ac:dyDescent="0.25">
      <c r="O6529" s="21"/>
    </row>
    <row r="6530" spans="15:15" x14ac:dyDescent="0.25">
      <c r="O6530" s="21"/>
    </row>
    <row r="6531" spans="15:15" x14ac:dyDescent="0.25">
      <c r="O6531" s="21"/>
    </row>
    <row r="6532" spans="15:15" x14ac:dyDescent="0.25">
      <c r="O6532" s="21"/>
    </row>
    <row r="6533" spans="15:15" x14ac:dyDescent="0.25">
      <c r="O6533" s="21"/>
    </row>
    <row r="6534" spans="15:15" x14ac:dyDescent="0.25">
      <c r="O6534" s="21"/>
    </row>
    <row r="6535" spans="15:15" x14ac:dyDescent="0.25">
      <c r="O6535" s="21"/>
    </row>
    <row r="6536" spans="15:15" x14ac:dyDescent="0.25">
      <c r="O6536" s="21"/>
    </row>
    <row r="6537" spans="15:15" x14ac:dyDescent="0.25">
      <c r="O6537" s="21"/>
    </row>
    <row r="6538" spans="15:15" x14ac:dyDescent="0.25">
      <c r="O6538" s="21"/>
    </row>
    <row r="6539" spans="15:15" x14ac:dyDescent="0.25">
      <c r="O6539" s="21"/>
    </row>
    <row r="6540" spans="15:15" x14ac:dyDescent="0.25">
      <c r="O6540" s="21"/>
    </row>
    <row r="6541" spans="15:15" x14ac:dyDescent="0.25">
      <c r="O6541" s="21"/>
    </row>
    <row r="6542" spans="15:15" x14ac:dyDescent="0.25">
      <c r="O6542" s="21"/>
    </row>
    <row r="6543" spans="15:15" x14ac:dyDescent="0.25">
      <c r="O6543" s="21"/>
    </row>
    <row r="6544" spans="15:15" x14ac:dyDescent="0.25">
      <c r="O6544" s="21"/>
    </row>
    <row r="6545" spans="15:15" x14ac:dyDescent="0.25">
      <c r="O6545" s="21"/>
    </row>
    <row r="6546" spans="15:15" x14ac:dyDescent="0.25">
      <c r="O6546" s="21"/>
    </row>
    <row r="6547" spans="15:15" x14ac:dyDescent="0.25">
      <c r="O6547" s="21"/>
    </row>
    <row r="6548" spans="15:15" x14ac:dyDescent="0.25">
      <c r="O6548" s="21"/>
    </row>
    <row r="6549" spans="15:15" x14ac:dyDescent="0.25">
      <c r="O6549" s="21"/>
    </row>
    <row r="6550" spans="15:15" x14ac:dyDescent="0.25">
      <c r="O6550" s="21"/>
    </row>
    <row r="6551" spans="15:15" x14ac:dyDescent="0.25">
      <c r="O6551" s="21"/>
    </row>
    <row r="6552" spans="15:15" x14ac:dyDescent="0.25">
      <c r="O6552" s="21"/>
    </row>
    <row r="6553" spans="15:15" x14ac:dyDescent="0.25">
      <c r="O6553" s="21"/>
    </row>
    <row r="6554" spans="15:15" x14ac:dyDescent="0.25">
      <c r="O6554" s="21"/>
    </row>
    <row r="6555" spans="15:15" x14ac:dyDescent="0.25">
      <c r="O6555" s="21"/>
    </row>
    <row r="6556" spans="15:15" x14ac:dyDescent="0.25">
      <c r="O6556" s="21"/>
    </row>
    <row r="6557" spans="15:15" x14ac:dyDescent="0.25">
      <c r="O6557" s="21"/>
    </row>
    <row r="6558" spans="15:15" x14ac:dyDescent="0.25">
      <c r="O6558" s="21"/>
    </row>
    <row r="6559" spans="15:15" x14ac:dyDescent="0.25">
      <c r="O6559" s="21"/>
    </row>
    <row r="6560" spans="15:15" x14ac:dyDescent="0.25">
      <c r="O6560" s="21"/>
    </row>
    <row r="6561" spans="15:15" x14ac:dyDescent="0.25">
      <c r="O6561" s="21"/>
    </row>
    <row r="6562" spans="15:15" x14ac:dyDescent="0.25">
      <c r="O6562" s="21"/>
    </row>
    <row r="6563" spans="15:15" x14ac:dyDescent="0.25">
      <c r="O6563" s="21"/>
    </row>
    <row r="6564" spans="15:15" x14ac:dyDescent="0.25">
      <c r="O6564" s="21"/>
    </row>
    <row r="6565" spans="15:15" x14ac:dyDescent="0.25">
      <c r="O6565" s="21"/>
    </row>
    <row r="6566" spans="15:15" x14ac:dyDescent="0.25">
      <c r="O6566" s="21"/>
    </row>
    <row r="6567" spans="15:15" x14ac:dyDescent="0.25">
      <c r="O6567" s="21"/>
    </row>
    <row r="6568" spans="15:15" x14ac:dyDescent="0.25">
      <c r="O6568" s="21"/>
    </row>
    <row r="6569" spans="15:15" x14ac:dyDescent="0.25">
      <c r="O6569" s="21"/>
    </row>
    <row r="6570" spans="15:15" x14ac:dyDescent="0.25">
      <c r="O6570" s="21"/>
    </row>
    <row r="6571" spans="15:15" x14ac:dyDescent="0.25">
      <c r="O6571" s="21"/>
    </row>
    <row r="6572" spans="15:15" x14ac:dyDescent="0.25">
      <c r="O6572" s="21"/>
    </row>
    <row r="6573" spans="15:15" x14ac:dyDescent="0.25">
      <c r="O6573" s="21"/>
    </row>
    <row r="6574" spans="15:15" x14ac:dyDescent="0.25">
      <c r="O6574" s="21"/>
    </row>
    <row r="6575" spans="15:15" x14ac:dyDescent="0.25">
      <c r="O6575" s="21"/>
    </row>
    <row r="6576" spans="15:15" x14ac:dyDescent="0.25">
      <c r="O6576" s="21"/>
    </row>
    <row r="6577" spans="15:15" x14ac:dyDescent="0.25">
      <c r="O6577" s="21"/>
    </row>
    <row r="6578" spans="15:15" x14ac:dyDescent="0.25">
      <c r="O6578" s="21"/>
    </row>
    <row r="6579" spans="15:15" x14ac:dyDescent="0.25">
      <c r="O6579" s="21"/>
    </row>
    <row r="6580" spans="15:15" x14ac:dyDescent="0.25">
      <c r="O6580" s="21"/>
    </row>
    <row r="6581" spans="15:15" x14ac:dyDescent="0.25">
      <c r="O6581" s="21"/>
    </row>
    <row r="6582" spans="15:15" x14ac:dyDescent="0.25">
      <c r="O6582" s="21"/>
    </row>
    <row r="6583" spans="15:15" x14ac:dyDescent="0.25">
      <c r="O6583" s="21"/>
    </row>
    <row r="6584" spans="15:15" x14ac:dyDescent="0.25">
      <c r="O6584" s="21"/>
    </row>
    <row r="6585" spans="15:15" x14ac:dyDescent="0.25">
      <c r="O6585" s="21"/>
    </row>
    <row r="6586" spans="15:15" x14ac:dyDescent="0.25">
      <c r="O6586" s="21"/>
    </row>
    <row r="6587" spans="15:15" x14ac:dyDescent="0.25">
      <c r="O6587" s="21"/>
    </row>
    <row r="6588" spans="15:15" x14ac:dyDescent="0.25">
      <c r="O6588" s="21"/>
    </row>
    <row r="6589" spans="15:15" x14ac:dyDescent="0.25">
      <c r="O6589" s="21"/>
    </row>
    <row r="6590" spans="15:15" x14ac:dyDescent="0.25">
      <c r="O6590" s="21"/>
    </row>
    <row r="6591" spans="15:15" x14ac:dyDescent="0.25">
      <c r="O6591" s="21"/>
    </row>
    <row r="6592" spans="15:15" x14ac:dyDescent="0.25">
      <c r="O6592" s="21"/>
    </row>
    <row r="6593" spans="15:15" x14ac:dyDescent="0.25">
      <c r="O6593" s="21"/>
    </row>
    <row r="6594" spans="15:15" x14ac:dyDescent="0.25">
      <c r="O6594" s="21"/>
    </row>
    <row r="6595" spans="15:15" x14ac:dyDescent="0.25">
      <c r="O6595" s="21"/>
    </row>
    <row r="6596" spans="15:15" x14ac:dyDescent="0.25">
      <c r="O6596" s="21"/>
    </row>
    <row r="6597" spans="15:15" x14ac:dyDescent="0.25">
      <c r="O6597" s="21"/>
    </row>
    <row r="6598" spans="15:15" x14ac:dyDescent="0.25">
      <c r="O6598" s="21"/>
    </row>
    <row r="6599" spans="15:15" x14ac:dyDescent="0.25">
      <c r="O6599" s="21"/>
    </row>
    <row r="6600" spans="15:15" x14ac:dyDescent="0.25">
      <c r="O6600" s="21"/>
    </row>
    <row r="6601" spans="15:15" x14ac:dyDescent="0.25">
      <c r="O6601" s="21"/>
    </row>
    <row r="6602" spans="15:15" x14ac:dyDescent="0.25">
      <c r="O6602" s="21"/>
    </row>
    <row r="6603" spans="15:15" x14ac:dyDescent="0.25">
      <c r="O6603" s="21"/>
    </row>
    <row r="6604" spans="15:15" x14ac:dyDescent="0.25">
      <c r="O6604" s="21"/>
    </row>
    <row r="6605" spans="15:15" x14ac:dyDescent="0.25">
      <c r="O6605" s="21"/>
    </row>
    <row r="6606" spans="15:15" x14ac:dyDescent="0.25">
      <c r="O6606" s="21"/>
    </row>
    <row r="6607" spans="15:15" x14ac:dyDescent="0.25">
      <c r="O6607" s="21"/>
    </row>
    <row r="6608" spans="15:15" x14ac:dyDescent="0.25">
      <c r="O6608" s="21"/>
    </row>
    <row r="6609" spans="15:15" x14ac:dyDescent="0.25">
      <c r="O6609" s="21"/>
    </row>
    <row r="6610" spans="15:15" x14ac:dyDescent="0.25">
      <c r="O6610" s="21"/>
    </row>
    <row r="6611" spans="15:15" x14ac:dyDescent="0.25">
      <c r="O6611" s="21"/>
    </row>
    <row r="6612" spans="15:15" x14ac:dyDescent="0.25">
      <c r="O6612" s="21"/>
    </row>
    <row r="6613" spans="15:15" x14ac:dyDescent="0.25">
      <c r="O6613" s="21"/>
    </row>
    <row r="6614" spans="15:15" x14ac:dyDescent="0.25">
      <c r="O6614" s="21"/>
    </row>
    <row r="6615" spans="15:15" x14ac:dyDescent="0.25">
      <c r="O6615" s="21"/>
    </row>
    <row r="6616" spans="15:15" x14ac:dyDescent="0.25">
      <c r="O6616" s="21"/>
    </row>
    <row r="6617" spans="15:15" x14ac:dyDescent="0.25">
      <c r="O6617" s="21"/>
    </row>
    <row r="6618" spans="15:15" x14ac:dyDescent="0.25">
      <c r="O6618" s="21"/>
    </row>
    <row r="6619" spans="15:15" x14ac:dyDescent="0.25">
      <c r="O6619" s="21"/>
    </row>
    <row r="6620" spans="15:15" x14ac:dyDescent="0.25">
      <c r="O6620" s="21"/>
    </row>
    <row r="6621" spans="15:15" x14ac:dyDescent="0.25">
      <c r="O6621" s="21"/>
    </row>
    <row r="6622" spans="15:15" x14ac:dyDescent="0.25">
      <c r="O6622" s="21"/>
    </row>
    <row r="6623" spans="15:15" x14ac:dyDescent="0.25">
      <c r="O6623" s="21"/>
    </row>
    <row r="6624" spans="15:15" x14ac:dyDescent="0.25">
      <c r="O6624" s="21"/>
    </row>
    <row r="6625" spans="15:15" x14ac:dyDescent="0.25">
      <c r="O6625" s="21"/>
    </row>
    <row r="6626" spans="15:15" x14ac:dyDescent="0.25">
      <c r="O6626" s="21"/>
    </row>
    <row r="6627" spans="15:15" x14ac:dyDescent="0.25">
      <c r="O6627" s="21"/>
    </row>
    <row r="6628" spans="15:15" x14ac:dyDescent="0.25">
      <c r="O6628" s="21"/>
    </row>
    <row r="6629" spans="15:15" x14ac:dyDescent="0.25">
      <c r="O6629" s="21"/>
    </row>
    <row r="6630" spans="15:15" x14ac:dyDescent="0.25">
      <c r="O6630" s="21"/>
    </row>
    <row r="6631" spans="15:15" x14ac:dyDescent="0.25">
      <c r="O6631" s="21"/>
    </row>
    <row r="6632" spans="15:15" x14ac:dyDescent="0.25">
      <c r="O6632" s="21"/>
    </row>
    <row r="6633" spans="15:15" x14ac:dyDescent="0.25">
      <c r="O6633" s="21"/>
    </row>
    <row r="6634" spans="15:15" x14ac:dyDescent="0.25">
      <c r="O6634" s="21"/>
    </row>
    <row r="6635" spans="15:15" x14ac:dyDescent="0.25">
      <c r="O6635" s="21"/>
    </row>
    <row r="6636" spans="15:15" x14ac:dyDescent="0.25">
      <c r="O6636" s="21"/>
    </row>
    <row r="6637" spans="15:15" x14ac:dyDescent="0.25">
      <c r="O6637" s="21"/>
    </row>
    <row r="6638" spans="15:15" x14ac:dyDescent="0.25">
      <c r="O6638" s="21"/>
    </row>
    <row r="6639" spans="15:15" x14ac:dyDescent="0.25">
      <c r="O6639" s="21"/>
    </row>
    <row r="6640" spans="15:15" x14ac:dyDescent="0.25">
      <c r="O6640" s="21"/>
    </row>
    <row r="6641" spans="15:15" x14ac:dyDescent="0.25">
      <c r="O6641" s="21"/>
    </row>
    <row r="6642" spans="15:15" x14ac:dyDescent="0.25">
      <c r="O6642" s="21"/>
    </row>
    <row r="6643" spans="15:15" x14ac:dyDescent="0.25">
      <c r="O6643" s="21"/>
    </row>
    <row r="6644" spans="15:15" x14ac:dyDescent="0.25">
      <c r="O6644" s="21"/>
    </row>
    <row r="6645" spans="15:15" x14ac:dyDescent="0.25">
      <c r="O6645" s="21"/>
    </row>
    <row r="6646" spans="15:15" x14ac:dyDescent="0.25">
      <c r="O6646" s="21"/>
    </row>
    <row r="6647" spans="15:15" x14ac:dyDescent="0.25">
      <c r="O6647" s="21"/>
    </row>
    <row r="6648" spans="15:15" x14ac:dyDescent="0.25">
      <c r="O6648" s="21"/>
    </row>
    <row r="6649" spans="15:15" x14ac:dyDescent="0.25">
      <c r="O6649" s="21"/>
    </row>
    <row r="6650" spans="15:15" x14ac:dyDescent="0.25">
      <c r="O6650" s="21"/>
    </row>
    <row r="6651" spans="15:15" x14ac:dyDescent="0.25">
      <c r="O6651" s="21"/>
    </row>
    <row r="6652" spans="15:15" x14ac:dyDescent="0.25">
      <c r="O6652" s="21"/>
    </row>
    <row r="6653" spans="15:15" x14ac:dyDescent="0.25">
      <c r="O6653" s="21"/>
    </row>
    <row r="6654" spans="15:15" x14ac:dyDescent="0.25">
      <c r="O6654" s="21"/>
    </row>
    <row r="6655" spans="15:15" x14ac:dyDescent="0.25">
      <c r="O6655" s="21"/>
    </row>
    <row r="6656" spans="15:15" x14ac:dyDescent="0.25">
      <c r="O6656" s="21"/>
    </row>
    <row r="6657" spans="15:15" x14ac:dyDescent="0.25">
      <c r="O6657" s="21"/>
    </row>
    <row r="6658" spans="15:15" x14ac:dyDescent="0.25">
      <c r="O6658" s="21"/>
    </row>
    <row r="6659" spans="15:15" x14ac:dyDescent="0.25">
      <c r="O6659" s="21"/>
    </row>
    <row r="6660" spans="15:15" x14ac:dyDescent="0.25">
      <c r="O6660" s="21"/>
    </row>
    <row r="6661" spans="15:15" x14ac:dyDescent="0.25">
      <c r="O6661" s="21"/>
    </row>
    <row r="6662" spans="15:15" x14ac:dyDescent="0.25">
      <c r="O6662" s="21"/>
    </row>
    <row r="6663" spans="15:15" x14ac:dyDescent="0.25">
      <c r="O6663" s="21"/>
    </row>
    <row r="6664" spans="15:15" x14ac:dyDescent="0.25">
      <c r="O6664" s="21"/>
    </row>
    <row r="6665" spans="15:15" x14ac:dyDescent="0.25">
      <c r="O6665" s="21"/>
    </row>
    <row r="6666" spans="15:15" x14ac:dyDescent="0.25">
      <c r="O6666" s="21"/>
    </row>
    <row r="6667" spans="15:15" x14ac:dyDescent="0.25">
      <c r="O6667" s="21"/>
    </row>
    <row r="6668" spans="15:15" x14ac:dyDescent="0.25">
      <c r="O6668" s="21"/>
    </row>
    <row r="6669" spans="15:15" x14ac:dyDescent="0.25">
      <c r="O6669" s="21"/>
    </row>
    <row r="6670" spans="15:15" x14ac:dyDescent="0.25">
      <c r="O6670" s="21"/>
    </row>
    <row r="6671" spans="15:15" x14ac:dyDescent="0.25">
      <c r="O6671" s="21"/>
    </row>
    <row r="6672" spans="15:15" x14ac:dyDescent="0.25">
      <c r="O6672" s="21"/>
    </row>
    <row r="6673" spans="15:15" x14ac:dyDescent="0.25">
      <c r="O6673" s="21"/>
    </row>
    <row r="6674" spans="15:15" x14ac:dyDescent="0.25">
      <c r="O6674" s="21"/>
    </row>
    <row r="6675" spans="15:15" x14ac:dyDescent="0.25">
      <c r="O6675" s="21"/>
    </row>
    <row r="6676" spans="15:15" x14ac:dyDescent="0.25">
      <c r="O6676" s="21"/>
    </row>
    <row r="6677" spans="15:15" x14ac:dyDescent="0.25">
      <c r="O6677" s="21"/>
    </row>
    <row r="6678" spans="15:15" x14ac:dyDescent="0.25">
      <c r="O6678" s="21"/>
    </row>
    <row r="6679" spans="15:15" x14ac:dyDescent="0.25">
      <c r="O6679" s="21"/>
    </row>
    <row r="6680" spans="15:15" x14ac:dyDescent="0.25">
      <c r="O6680" s="21"/>
    </row>
    <row r="6681" spans="15:15" x14ac:dyDescent="0.25">
      <c r="O6681" s="21"/>
    </row>
    <row r="6682" spans="15:15" x14ac:dyDescent="0.25">
      <c r="O6682" s="21"/>
    </row>
    <row r="6683" spans="15:15" x14ac:dyDescent="0.25">
      <c r="O6683" s="21"/>
    </row>
    <row r="6684" spans="15:15" x14ac:dyDescent="0.25">
      <c r="O6684" s="21"/>
    </row>
    <row r="6685" spans="15:15" x14ac:dyDescent="0.25">
      <c r="O6685" s="21"/>
    </row>
    <row r="6686" spans="15:15" x14ac:dyDescent="0.25">
      <c r="O6686" s="21"/>
    </row>
    <row r="6687" spans="15:15" x14ac:dyDescent="0.25">
      <c r="O6687" s="21"/>
    </row>
    <row r="6688" spans="15:15" x14ac:dyDescent="0.25">
      <c r="O6688" s="21"/>
    </row>
    <row r="6689" spans="15:15" x14ac:dyDescent="0.25">
      <c r="O6689" s="21"/>
    </row>
    <row r="6690" spans="15:15" x14ac:dyDescent="0.25">
      <c r="O6690" s="21"/>
    </row>
    <row r="6691" spans="15:15" x14ac:dyDescent="0.25">
      <c r="O6691" s="21"/>
    </row>
    <row r="6692" spans="15:15" x14ac:dyDescent="0.25">
      <c r="O6692" s="21"/>
    </row>
    <row r="6693" spans="15:15" x14ac:dyDescent="0.25">
      <c r="O6693" s="21"/>
    </row>
    <row r="6694" spans="15:15" x14ac:dyDescent="0.25">
      <c r="O6694" s="21"/>
    </row>
    <row r="6695" spans="15:15" x14ac:dyDescent="0.25">
      <c r="O6695" s="21"/>
    </row>
    <row r="6696" spans="15:15" x14ac:dyDescent="0.25">
      <c r="O6696" s="21"/>
    </row>
    <row r="6697" spans="15:15" x14ac:dyDescent="0.25">
      <c r="O6697" s="21"/>
    </row>
    <row r="6698" spans="15:15" x14ac:dyDescent="0.25">
      <c r="O6698" s="21"/>
    </row>
    <row r="6699" spans="15:15" x14ac:dyDescent="0.25">
      <c r="O6699" s="21"/>
    </row>
    <row r="6700" spans="15:15" x14ac:dyDescent="0.25">
      <c r="O6700" s="21"/>
    </row>
    <row r="6701" spans="15:15" x14ac:dyDescent="0.25">
      <c r="O6701" s="21"/>
    </row>
    <row r="6702" spans="15:15" x14ac:dyDescent="0.25">
      <c r="O6702" s="21"/>
    </row>
    <row r="6703" spans="15:15" x14ac:dyDescent="0.25">
      <c r="O6703" s="21"/>
    </row>
    <row r="6704" spans="15:15" x14ac:dyDescent="0.25">
      <c r="O6704" s="21"/>
    </row>
    <row r="6705" spans="15:15" x14ac:dyDescent="0.25">
      <c r="O6705" s="21"/>
    </row>
    <row r="6706" spans="15:15" x14ac:dyDescent="0.25">
      <c r="O6706" s="21"/>
    </row>
    <row r="6707" spans="15:15" x14ac:dyDescent="0.25">
      <c r="O6707" s="21"/>
    </row>
    <row r="6708" spans="15:15" x14ac:dyDescent="0.25">
      <c r="O6708" s="21"/>
    </row>
    <row r="6709" spans="15:15" x14ac:dyDescent="0.25">
      <c r="O6709" s="21"/>
    </row>
    <row r="6710" spans="15:15" x14ac:dyDescent="0.25">
      <c r="O6710" s="21"/>
    </row>
    <row r="6711" spans="15:15" x14ac:dyDescent="0.25">
      <c r="O6711" s="21"/>
    </row>
    <row r="6712" spans="15:15" x14ac:dyDescent="0.25">
      <c r="O6712" s="21"/>
    </row>
    <row r="6713" spans="15:15" x14ac:dyDescent="0.25">
      <c r="O6713" s="21"/>
    </row>
    <row r="6714" spans="15:15" x14ac:dyDescent="0.25">
      <c r="O6714" s="21"/>
    </row>
    <row r="6715" spans="15:15" x14ac:dyDescent="0.25">
      <c r="O6715" s="21"/>
    </row>
    <row r="6716" spans="15:15" x14ac:dyDescent="0.25">
      <c r="O6716" s="21"/>
    </row>
    <row r="6717" spans="15:15" x14ac:dyDescent="0.25">
      <c r="O6717" s="21"/>
    </row>
    <row r="6718" spans="15:15" x14ac:dyDescent="0.25">
      <c r="O6718" s="21"/>
    </row>
    <row r="6719" spans="15:15" x14ac:dyDescent="0.25">
      <c r="O6719" s="21"/>
    </row>
    <row r="6720" spans="15:15" x14ac:dyDescent="0.25">
      <c r="O6720" s="21"/>
    </row>
    <row r="6721" spans="15:15" x14ac:dyDescent="0.25">
      <c r="O6721" s="21"/>
    </row>
    <row r="6722" spans="15:15" x14ac:dyDescent="0.25">
      <c r="O6722" s="21"/>
    </row>
    <row r="6723" spans="15:15" x14ac:dyDescent="0.25">
      <c r="O6723" s="21"/>
    </row>
    <row r="6724" spans="15:15" x14ac:dyDescent="0.25">
      <c r="O6724" s="21"/>
    </row>
    <row r="6725" spans="15:15" x14ac:dyDescent="0.25">
      <c r="O6725" s="21"/>
    </row>
    <row r="6726" spans="15:15" x14ac:dyDescent="0.25">
      <c r="O6726" s="21"/>
    </row>
    <row r="6727" spans="15:15" x14ac:dyDescent="0.25">
      <c r="O6727" s="21"/>
    </row>
    <row r="6728" spans="15:15" x14ac:dyDescent="0.25">
      <c r="O6728" s="21"/>
    </row>
    <row r="6729" spans="15:15" x14ac:dyDescent="0.25">
      <c r="O6729" s="21"/>
    </row>
    <row r="6730" spans="15:15" x14ac:dyDescent="0.25">
      <c r="O6730" s="21"/>
    </row>
    <row r="6731" spans="15:15" x14ac:dyDescent="0.25">
      <c r="O6731" s="21"/>
    </row>
    <row r="6732" spans="15:15" x14ac:dyDescent="0.25">
      <c r="O6732" s="21"/>
    </row>
    <row r="6733" spans="15:15" x14ac:dyDescent="0.25">
      <c r="O6733" s="21"/>
    </row>
    <row r="6734" spans="15:15" x14ac:dyDescent="0.25">
      <c r="O6734" s="21"/>
    </row>
    <row r="6735" spans="15:15" x14ac:dyDescent="0.25">
      <c r="O6735" s="21"/>
    </row>
    <row r="6736" spans="15:15" x14ac:dyDescent="0.25">
      <c r="O6736" s="21"/>
    </row>
    <row r="6737" spans="15:15" x14ac:dyDescent="0.25">
      <c r="O6737" s="21"/>
    </row>
    <row r="6738" spans="15:15" x14ac:dyDescent="0.25">
      <c r="O6738" s="21"/>
    </row>
    <row r="6739" spans="15:15" x14ac:dyDescent="0.25">
      <c r="O6739" s="21"/>
    </row>
    <row r="6740" spans="15:15" x14ac:dyDescent="0.25">
      <c r="O6740" s="21"/>
    </row>
    <row r="6741" spans="15:15" x14ac:dyDescent="0.25">
      <c r="O6741" s="21"/>
    </row>
    <row r="6742" spans="15:15" x14ac:dyDescent="0.25">
      <c r="O6742" s="21"/>
    </row>
    <row r="6743" spans="15:15" x14ac:dyDescent="0.25">
      <c r="O6743" s="21"/>
    </row>
    <row r="6744" spans="15:15" x14ac:dyDescent="0.25">
      <c r="O6744" s="21"/>
    </row>
    <row r="6745" spans="15:15" x14ac:dyDescent="0.25">
      <c r="O6745" s="21"/>
    </row>
    <row r="6746" spans="15:15" x14ac:dyDescent="0.25">
      <c r="O6746" s="21"/>
    </row>
    <row r="6747" spans="15:15" x14ac:dyDescent="0.25">
      <c r="O6747" s="21"/>
    </row>
    <row r="6748" spans="15:15" x14ac:dyDescent="0.25">
      <c r="O6748" s="21"/>
    </row>
    <row r="6749" spans="15:15" x14ac:dyDescent="0.25">
      <c r="O6749" s="21"/>
    </row>
    <row r="6750" spans="15:15" x14ac:dyDescent="0.25">
      <c r="O6750" s="21"/>
    </row>
    <row r="6751" spans="15:15" x14ac:dyDescent="0.25">
      <c r="O6751" s="21"/>
    </row>
    <row r="6752" spans="15:15" x14ac:dyDescent="0.25">
      <c r="O6752" s="21"/>
    </row>
    <row r="6753" spans="15:15" x14ac:dyDescent="0.25">
      <c r="O6753" s="21"/>
    </row>
    <row r="6754" spans="15:15" x14ac:dyDescent="0.25">
      <c r="O6754" s="21"/>
    </row>
    <row r="6755" spans="15:15" x14ac:dyDescent="0.25">
      <c r="O6755" s="21"/>
    </row>
    <row r="6756" spans="15:15" x14ac:dyDescent="0.25">
      <c r="O6756" s="21"/>
    </row>
    <row r="6757" spans="15:15" x14ac:dyDescent="0.25">
      <c r="O6757" s="21"/>
    </row>
    <row r="6758" spans="15:15" x14ac:dyDescent="0.25">
      <c r="O6758" s="21"/>
    </row>
    <row r="6759" spans="15:15" x14ac:dyDescent="0.25">
      <c r="O6759" s="21"/>
    </row>
    <row r="6760" spans="15:15" x14ac:dyDescent="0.25">
      <c r="O6760" s="21"/>
    </row>
    <row r="6761" spans="15:15" x14ac:dyDescent="0.25">
      <c r="O6761" s="21"/>
    </row>
    <row r="6762" spans="15:15" x14ac:dyDescent="0.25">
      <c r="O6762" s="21"/>
    </row>
    <row r="6763" spans="15:15" x14ac:dyDescent="0.25">
      <c r="O6763" s="21"/>
    </row>
    <row r="6764" spans="15:15" x14ac:dyDescent="0.25">
      <c r="O6764" s="21"/>
    </row>
    <row r="6765" spans="15:15" x14ac:dyDescent="0.25">
      <c r="O6765" s="21"/>
    </row>
    <row r="6766" spans="15:15" x14ac:dyDescent="0.25">
      <c r="O6766" s="21"/>
    </row>
    <row r="6767" spans="15:15" x14ac:dyDescent="0.25">
      <c r="O6767" s="21"/>
    </row>
    <row r="6768" spans="15:15" x14ac:dyDescent="0.25">
      <c r="O6768" s="21"/>
    </row>
    <row r="6769" spans="15:15" x14ac:dyDescent="0.25">
      <c r="O6769" s="21"/>
    </row>
    <row r="6770" spans="15:15" x14ac:dyDescent="0.25">
      <c r="O6770" s="21"/>
    </row>
    <row r="6771" spans="15:15" x14ac:dyDescent="0.25">
      <c r="O6771" s="21"/>
    </row>
    <row r="6772" spans="15:15" x14ac:dyDescent="0.25">
      <c r="O6772" s="21"/>
    </row>
    <row r="6773" spans="15:15" x14ac:dyDescent="0.25">
      <c r="O6773" s="21"/>
    </row>
    <row r="6774" spans="15:15" x14ac:dyDescent="0.25">
      <c r="O6774" s="21"/>
    </row>
    <row r="6775" spans="15:15" x14ac:dyDescent="0.25">
      <c r="O6775" s="21"/>
    </row>
    <row r="6776" spans="15:15" x14ac:dyDescent="0.25">
      <c r="O6776" s="21"/>
    </row>
    <row r="6777" spans="15:15" x14ac:dyDescent="0.25">
      <c r="O6777" s="21"/>
    </row>
    <row r="6778" spans="15:15" x14ac:dyDescent="0.25">
      <c r="O6778" s="21"/>
    </row>
    <row r="6779" spans="15:15" x14ac:dyDescent="0.25">
      <c r="O6779" s="21"/>
    </row>
    <row r="6780" spans="15:15" x14ac:dyDescent="0.25">
      <c r="O6780" s="21"/>
    </row>
    <row r="6781" spans="15:15" x14ac:dyDescent="0.25">
      <c r="O6781" s="21"/>
    </row>
    <row r="6782" spans="15:15" x14ac:dyDescent="0.25">
      <c r="O6782" s="21"/>
    </row>
    <row r="6783" spans="15:15" x14ac:dyDescent="0.25">
      <c r="O6783" s="21"/>
    </row>
    <row r="6784" spans="15:15" x14ac:dyDescent="0.25">
      <c r="O6784" s="21"/>
    </row>
    <row r="6785" spans="15:15" x14ac:dyDescent="0.25">
      <c r="O6785" s="21"/>
    </row>
    <row r="6786" spans="15:15" x14ac:dyDescent="0.25">
      <c r="O6786" s="21"/>
    </row>
    <row r="6787" spans="15:15" x14ac:dyDescent="0.25">
      <c r="O6787" s="21"/>
    </row>
    <row r="6788" spans="15:15" x14ac:dyDescent="0.25">
      <c r="O6788" s="21"/>
    </row>
    <row r="6789" spans="15:15" x14ac:dyDescent="0.25">
      <c r="O6789" s="21"/>
    </row>
    <row r="6790" spans="15:15" x14ac:dyDescent="0.25">
      <c r="O6790" s="21"/>
    </row>
    <row r="6791" spans="15:15" x14ac:dyDescent="0.25">
      <c r="O6791" s="21"/>
    </row>
    <row r="6792" spans="15:15" x14ac:dyDescent="0.25">
      <c r="O6792" s="21"/>
    </row>
    <row r="6793" spans="15:15" x14ac:dyDescent="0.25">
      <c r="O6793" s="21"/>
    </row>
    <row r="6794" spans="15:15" x14ac:dyDescent="0.25">
      <c r="O6794" s="21"/>
    </row>
    <row r="6795" spans="15:15" x14ac:dyDescent="0.25">
      <c r="O6795" s="21"/>
    </row>
    <row r="6796" spans="15:15" x14ac:dyDescent="0.25">
      <c r="O6796" s="21"/>
    </row>
    <row r="6797" spans="15:15" x14ac:dyDescent="0.25">
      <c r="O6797" s="21"/>
    </row>
    <row r="6798" spans="15:15" x14ac:dyDescent="0.25">
      <c r="O6798" s="21"/>
    </row>
    <row r="6799" spans="15:15" x14ac:dyDescent="0.25">
      <c r="O6799" s="21"/>
    </row>
    <row r="6800" spans="15:15" x14ac:dyDescent="0.25">
      <c r="O6800" s="21"/>
    </row>
    <row r="6801" spans="15:15" x14ac:dyDescent="0.25">
      <c r="O6801" s="21"/>
    </row>
    <row r="6802" spans="15:15" x14ac:dyDescent="0.25">
      <c r="O6802" s="21"/>
    </row>
    <row r="6803" spans="15:15" x14ac:dyDescent="0.25">
      <c r="O6803" s="21"/>
    </row>
    <row r="6804" spans="15:15" x14ac:dyDescent="0.25">
      <c r="O6804" s="21"/>
    </row>
    <row r="6805" spans="15:15" x14ac:dyDescent="0.25">
      <c r="O6805" s="21"/>
    </row>
    <row r="6806" spans="15:15" x14ac:dyDescent="0.25">
      <c r="O6806" s="21"/>
    </row>
    <row r="6807" spans="15:15" x14ac:dyDescent="0.25">
      <c r="O6807" s="21"/>
    </row>
    <row r="6808" spans="15:15" x14ac:dyDescent="0.25">
      <c r="O6808" s="21"/>
    </row>
    <row r="6809" spans="15:15" x14ac:dyDescent="0.25">
      <c r="O6809" s="21"/>
    </row>
    <row r="6810" spans="15:15" x14ac:dyDescent="0.25">
      <c r="O6810" s="21"/>
    </row>
    <row r="6811" spans="15:15" x14ac:dyDescent="0.25">
      <c r="O6811" s="21"/>
    </row>
    <row r="6812" spans="15:15" x14ac:dyDescent="0.25">
      <c r="O6812" s="21"/>
    </row>
    <row r="6813" spans="15:15" x14ac:dyDescent="0.25">
      <c r="O6813" s="21"/>
    </row>
    <row r="6814" spans="15:15" x14ac:dyDescent="0.25">
      <c r="O6814" s="21"/>
    </row>
    <row r="6815" spans="15:15" x14ac:dyDescent="0.25">
      <c r="O6815" s="21"/>
    </row>
    <row r="6816" spans="15:15" x14ac:dyDescent="0.25">
      <c r="O6816" s="21"/>
    </row>
    <row r="6817" spans="15:15" x14ac:dyDescent="0.25">
      <c r="O6817" s="21"/>
    </row>
    <row r="6818" spans="15:15" x14ac:dyDescent="0.25">
      <c r="O6818" s="21"/>
    </row>
    <row r="6819" spans="15:15" x14ac:dyDescent="0.25">
      <c r="O6819" s="21"/>
    </row>
    <row r="6820" spans="15:15" x14ac:dyDescent="0.25">
      <c r="O6820" s="21"/>
    </row>
    <row r="6821" spans="15:15" x14ac:dyDescent="0.25">
      <c r="O6821" s="21"/>
    </row>
    <row r="6822" spans="15:15" x14ac:dyDescent="0.25">
      <c r="O6822" s="21"/>
    </row>
    <row r="6823" spans="15:15" x14ac:dyDescent="0.25">
      <c r="O6823" s="21"/>
    </row>
    <row r="6824" spans="15:15" x14ac:dyDescent="0.25">
      <c r="O6824" s="21"/>
    </row>
    <row r="6825" spans="15:15" x14ac:dyDescent="0.25">
      <c r="O6825" s="21"/>
    </row>
    <row r="6826" spans="15:15" x14ac:dyDescent="0.25">
      <c r="O6826" s="21"/>
    </row>
    <row r="6827" spans="15:15" x14ac:dyDescent="0.25">
      <c r="O6827" s="21"/>
    </row>
    <row r="6828" spans="15:15" x14ac:dyDescent="0.25">
      <c r="O6828" s="21"/>
    </row>
    <row r="6829" spans="15:15" x14ac:dyDescent="0.25">
      <c r="O6829" s="21"/>
    </row>
    <row r="6830" spans="15:15" x14ac:dyDescent="0.25">
      <c r="O6830" s="21"/>
    </row>
    <row r="6831" spans="15:15" x14ac:dyDescent="0.25">
      <c r="O6831" s="21"/>
    </row>
    <row r="6832" spans="15:15" x14ac:dyDescent="0.25">
      <c r="O6832" s="21"/>
    </row>
    <row r="6833" spans="15:15" x14ac:dyDescent="0.25">
      <c r="O6833" s="21"/>
    </row>
    <row r="6834" spans="15:15" x14ac:dyDescent="0.25">
      <c r="O6834" s="21"/>
    </row>
    <row r="6835" spans="15:15" x14ac:dyDescent="0.25">
      <c r="O6835" s="21"/>
    </row>
    <row r="6836" spans="15:15" x14ac:dyDescent="0.25">
      <c r="O6836" s="21"/>
    </row>
    <row r="6837" spans="15:15" x14ac:dyDescent="0.25">
      <c r="O6837" s="21"/>
    </row>
    <row r="6838" spans="15:15" x14ac:dyDescent="0.25">
      <c r="O6838" s="21"/>
    </row>
    <row r="6839" spans="15:15" x14ac:dyDescent="0.25">
      <c r="O6839" s="21"/>
    </row>
    <row r="6840" spans="15:15" x14ac:dyDescent="0.25">
      <c r="O6840" s="21"/>
    </row>
    <row r="6841" spans="15:15" x14ac:dyDescent="0.25">
      <c r="O6841" s="21"/>
    </row>
    <row r="6842" spans="15:15" x14ac:dyDescent="0.25">
      <c r="O6842" s="21"/>
    </row>
    <row r="6843" spans="15:15" x14ac:dyDescent="0.25">
      <c r="O6843" s="21"/>
    </row>
    <row r="6844" spans="15:15" x14ac:dyDescent="0.25">
      <c r="O6844" s="21"/>
    </row>
    <row r="6845" spans="15:15" x14ac:dyDescent="0.25">
      <c r="O6845" s="21"/>
    </row>
    <row r="6846" spans="15:15" x14ac:dyDescent="0.25">
      <c r="O6846" s="21"/>
    </row>
    <row r="6847" spans="15:15" x14ac:dyDescent="0.25">
      <c r="O6847" s="21"/>
    </row>
    <row r="6848" spans="15:15" x14ac:dyDescent="0.25">
      <c r="O6848" s="21"/>
    </row>
    <row r="6849" spans="15:15" x14ac:dyDescent="0.25">
      <c r="O6849" s="21"/>
    </row>
    <row r="6850" spans="15:15" x14ac:dyDescent="0.25">
      <c r="O6850" s="21"/>
    </row>
    <row r="6851" spans="15:15" x14ac:dyDescent="0.25">
      <c r="O6851" s="21"/>
    </row>
    <row r="6852" spans="15:15" x14ac:dyDescent="0.25">
      <c r="O6852" s="21"/>
    </row>
    <row r="6853" spans="15:15" x14ac:dyDescent="0.25">
      <c r="O6853" s="21"/>
    </row>
    <row r="6854" spans="15:15" x14ac:dyDescent="0.25">
      <c r="O6854" s="21"/>
    </row>
    <row r="6855" spans="15:15" x14ac:dyDescent="0.25">
      <c r="O6855" s="21"/>
    </row>
    <row r="6856" spans="15:15" x14ac:dyDescent="0.25">
      <c r="O6856" s="21"/>
    </row>
    <row r="6857" spans="15:15" x14ac:dyDescent="0.25">
      <c r="O6857" s="21"/>
    </row>
    <row r="6858" spans="15:15" x14ac:dyDescent="0.25">
      <c r="O6858" s="21"/>
    </row>
    <row r="6859" spans="15:15" x14ac:dyDescent="0.25">
      <c r="O6859" s="21"/>
    </row>
    <row r="6860" spans="15:15" x14ac:dyDescent="0.25">
      <c r="O6860" s="21"/>
    </row>
    <row r="6861" spans="15:15" x14ac:dyDescent="0.25">
      <c r="O6861" s="21"/>
    </row>
    <row r="6862" spans="15:15" x14ac:dyDescent="0.25">
      <c r="O6862" s="21"/>
    </row>
    <row r="6863" spans="15:15" x14ac:dyDescent="0.25">
      <c r="O6863" s="21"/>
    </row>
    <row r="6864" spans="15:15" x14ac:dyDescent="0.25">
      <c r="O6864" s="21"/>
    </row>
    <row r="6865" spans="15:15" x14ac:dyDescent="0.25">
      <c r="O6865" s="21"/>
    </row>
    <row r="6866" spans="15:15" x14ac:dyDescent="0.25">
      <c r="O6866" s="21"/>
    </row>
    <row r="6867" spans="15:15" x14ac:dyDescent="0.25">
      <c r="O6867" s="21"/>
    </row>
    <row r="6868" spans="15:15" x14ac:dyDescent="0.25">
      <c r="O6868" s="21"/>
    </row>
    <row r="6869" spans="15:15" x14ac:dyDescent="0.25">
      <c r="O6869" s="21"/>
    </row>
    <row r="6870" spans="15:15" x14ac:dyDescent="0.25">
      <c r="O6870" s="21"/>
    </row>
    <row r="6871" spans="15:15" x14ac:dyDescent="0.25">
      <c r="O6871" s="21"/>
    </row>
    <row r="6872" spans="15:15" x14ac:dyDescent="0.25">
      <c r="O6872" s="21"/>
    </row>
    <row r="6873" spans="15:15" x14ac:dyDescent="0.25">
      <c r="O6873" s="21"/>
    </row>
    <row r="6874" spans="15:15" x14ac:dyDescent="0.25">
      <c r="O6874" s="21"/>
    </row>
    <row r="6875" spans="15:15" x14ac:dyDescent="0.25">
      <c r="O6875" s="21"/>
    </row>
    <row r="6876" spans="15:15" x14ac:dyDescent="0.25">
      <c r="O6876" s="21"/>
    </row>
    <row r="6877" spans="15:15" x14ac:dyDescent="0.25">
      <c r="O6877" s="21"/>
    </row>
    <row r="6878" spans="15:15" x14ac:dyDescent="0.25">
      <c r="O6878" s="21"/>
    </row>
    <row r="6879" spans="15:15" x14ac:dyDescent="0.25">
      <c r="O6879" s="21"/>
    </row>
    <row r="6880" spans="15:15" x14ac:dyDescent="0.25">
      <c r="O6880" s="21"/>
    </row>
    <row r="6881" spans="15:15" x14ac:dyDescent="0.25">
      <c r="O6881" s="21"/>
    </row>
    <row r="6882" spans="15:15" x14ac:dyDescent="0.25">
      <c r="O6882" s="21"/>
    </row>
    <row r="6883" spans="15:15" x14ac:dyDescent="0.25">
      <c r="O6883" s="21"/>
    </row>
    <row r="6884" spans="15:15" x14ac:dyDescent="0.25">
      <c r="O6884" s="21"/>
    </row>
    <row r="6885" spans="15:15" x14ac:dyDescent="0.25">
      <c r="O6885" s="21"/>
    </row>
    <row r="6886" spans="15:15" x14ac:dyDescent="0.25">
      <c r="O6886" s="21"/>
    </row>
    <row r="6887" spans="15:15" x14ac:dyDescent="0.25">
      <c r="O6887" s="21"/>
    </row>
    <row r="6888" spans="15:15" x14ac:dyDescent="0.25">
      <c r="O6888" s="21"/>
    </row>
    <row r="6889" spans="15:15" x14ac:dyDescent="0.25">
      <c r="O6889" s="21"/>
    </row>
    <row r="6890" spans="15:15" x14ac:dyDescent="0.25">
      <c r="O6890" s="21"/>
    </row>
    <row r="6891" spans="15:15" x14ac:dyDescent="0.25">
      <c r="O6891" s="21"/>
    </row>
    <row r="6892" spans="15:15" x14ac:dyDescent="0.25">
      <c r="O6892" s="21"/>
    </row>
    <row r="6893" spans="15:15" x14ac:dyDescent="0.25">
      <c r="O6893" s="21"/>
    </row>
    <row r="6894" spans="15:15" x14ac:dyDescent="0.25">
      <c r="O6894" s="21"/>
    </row>
    <row r="6895" spans="15:15" x14ac:dyDescent="0.25">
      <c r="O6895" s="21"/>
    </row>
    <row r="6896" spans="15:15" x14ac:dyDescent="0.25">
      <c r="O6896" s="21"/>
    </row>
    <row r="6897" spans="15:15" x14ac:dyDescent="0.25">
      <c r="O6897" s="21"/>
    </row>
    <row r="6898" spans="15:15" x14ac:dyDescent="0.25">
      <c r="O6898" s="21"/>
    </row>
    <row r="6899" spans="15:15" x14ac:dyDescent="0.25">
      <c r="O6899" s="21"/>
    </row>
    <row r="6900" spans="15:15" x14ac:dyDescent="0.25">
      <c r="O6900" s="21"/>
    </row>
    <row r="6901" spans="15:15" x14ac:dyDescent="0.25">
      <c r="O6901" s="21"/>
    </row>
    <row r="6902" spans="15:15" x14ac:dyDescent="0.25">
      <c r="O6902" s="21"/>
    </row>
    <row r="6903" spans="15:15" x14ac:dyDescent="0.25">
      <c r="O6903" s="21"/>
    </row>
    <row r="6904" spans="15:15" x14ac:dyDescent="0.25">
      <c r="O6904" s="21"/>
    </row>
    <row r="6905" spans="15:15" x14ac:dyDescent="0.25">
      <c r="O6905" s="21"/>
    </row>
    <row r="6906" spans="15:15" x14ac:dyDescent="0.25">
      <c r="O6906" s="21"/>
    </row>
    <row r="6907" spans="15:15" x14ac:dyDescent="0.25">
      <c r="O6907" s="21"/>
    </row>
    <row r="6908" spans="15:15" x14ac:dyDescent="0.25">
      <c r="O6908" s="21"/>
    </row>
    <row r="6909" spans="15:15" x14ac:dyDescent="0.25">
      <c r="O6909" s="21"/>
    </row>
    <row r="6910" spans="15:15" x14ac:dyDescent="0.25">
      <c r="O6910" s="21"/>
    </row>
    <row r="6911" spans="15:15" x14ac:dyDescent="0.25">
      <c r="O6911" s="21"/>
    </row>
    <row r="6912" spans="15:15" x14ac:dyDescent="0.25">
      <c r="O6912" s="21"/>
    </row>
    <row r="6913" spans="15:15" x14ac:dyDescent="0.25">
      <c r="O6913" s="21"/>
    </row>
    <row r="6914" spans="15:15" x14ac:dyDescent="0.25">
      <c r="O6914" s="21"/>
    </row>
    <row r="6915" spans="15:15" x14ac:dyDescent="0.25">
      <c r="O6915" s="21"/>
    </row>
    <row r="6916" spans="15:15" x14ac:dyDescent="0.25">
      <c r="O6916" s="21"/>
    </row>
    <row r="6917" spans="15:15" x14ac:dyDescent="0.25">
      <c r="O6917" s="21"/>
    </row>
    <row r="6918" spans="15:15" x14ac:dyDescent="0.25">
      <c r="O6918" s="21"/>
    </row>
    <row r="6919" spans="15:15" x14ac:dyDescent="0.25">
      <c r="O6919" s="21"/>
    </row>
    <row r="6920" spans="15:15" x14ac:dyDescent="0.25">
      <c r="O6920" s="21"/>
    </row>
    <row r="6921" spans="15:15" x14ac:dyDescent="0.25">
      <c r="O6921" s="21"/>
    </row>
    <row r="6922" spans="15:15" x14ac:dyDescent="0.25">
      <c r="O6922" s="21"/>
    </row>
    <row r="6923" spans="15:15" x14ac:dyDescent="0.25">
      <c r="O6923" s="21"/>
    </row>
    <row r="6924" spans="15:15" x14ac:dyDescent="0.25">
      <c r="O6924" s="21"/>
    </row>
    <row r="6925" spans="15:15" x14ac:dyDescent="0.25">
      <c r="O6925" s="21"/>
    </row>
    <row r="6926" spans="15:15" x14ac:dyDescent="0.25">
      <c r="O6926" s="21"/>
    </row>
    <row r="6927" spans="15:15" x14ac:dyDescent="0.25">
      <c r="O6927" s="21"/>
    </row>
    <row r="6928" spans="15:15" x14ac:dyDescent="0.25">
      <c r="O6928" s="21"/>
    </row>
    <row r="6929" spans="15:15" x14ac:dyDescent="0.25">
      <c r="O6929" s="21"/>
    </row>
    <row r="6930" spans="15:15" x14ac:dyDescent="0.25">
      <c r="O6930" s="21"/>
    </row>
    <row r="6931" spans="15:15" x14ac:dyDescent="0.25">
      <c r="O6931" s="21"/>
    </row>
    <row r="6932" spans="15:15" x14ac:dyDescent="0.25">
      <c r="O6932" s="21"/>
    </row>
    <row r="6933" spans="15:15" x14ac:dyDescent="0.25">
      <c r="O6933" s="21"/>
    </row>
    <row r="6934" spans="15:15" x14ac:dyDescent="0.25">
      <c r="O6934" s="21"/>
    </row>
    <row r="6935" spans="15:15" x14ac:dyDescent="0.25">
      <c r="O6935" s="21"/>
    </row>
    <row r="6936" spans="15:15" x14ac:dyDescent="0.25">
      <c r="O6936" s="21"/>
    </row>
    <row r="6937" spans="15:15" x14ac:dyDescent="0.25">
      <c r="O6937" s="21"/>
    </row>
    <row r="6938" spans="15:15" x14ac:dyDescent="0.25">
      <c r="O6938" s="21"/>
    </row>
    <row r="6939" spans="15:15" x14ac:dyDescent="0.25">
      <c r="O6939" s="21"/>
    </row>
    <row r="6940" spans="15:15" x14ac:dyDescent="0.25">
      <c r="O6940" s="21"/>
    </row>
    <row r="6941" spans="15:15" x14ac:dyDescent="0.25">
      <c r="O6941" s="21"/>
    </row>
    <row r="6942" spans="15:15" x14ac:dyDescent="0.25">
      <c r="O6942" s="21"/>
    </row>
    <row r="6943" spans="15:15" x14ac:dyDescent="0.25">
      <c r="O6943" s="21"/>
    </row>
    <row r="6944" spans="15:15" x14ac:dyDescent="0.25">
      <c r="O6944" s="21"/>
    </row>
    <row r="6945" spans="15:15" x14ac:dyDescent="0.25">
      <c r="O6945" s="21"/>
    </row>
    <row r="6946" spans="15:15" x14ac:dyDescent="0.25">
      <c r="O6946" s="21"/>
    </row>
    <row r="6947" spans="15:15" x14ac:dyDescent="0.25">
      <c r="O6947" s="21"/>
    </row>
    <row r="6948" spans="15:15" x14ac:dyDescent="0.25">
      <c r="O6948" s="21"/>
    </row>
    <row r="6949" spans="15:15" x14ac:dyDescent="0.25">
      <c r="O6949" s="21"/>
    </row>
    <row r="6950" spans="15:15" x14ac:dyDescent="0.25">
      <c r="O6950" s="21"/>
    </row>
    <row r="6951" spans="15:15" x14ac:dyDescent="0.25">
      <c r="O6951" s="21"/>
    </row>
    <row r="6952" spans="15:15" x14ac:dyDescent="0.25">
      <c r="O6952" s="21"/>
    </row>
    <row r="6953" spans="15:15" x14ac:dyDescent="0.25">
      <c r="O6953" s="21"/>
    </row>
    <row r="6954" spans="15:15" x14ac:dyDescent="0.25">
      <c r="O6954" s="21"/>
    </row>
    <row r="6955" spans="15:15" x14ac:dyDescent="0.25">
      <c r="O6955" s="21"/>
    </row>
    <row r="6956" spans="15:15" x14ac:dyDescent="0.25">
      <c r="O6956" s="21"/>
    </row>
    <row r="6957" spans="15:15" x14ac:dyDescent="0.25">
      <c r="O6957" s="21"/>
    </row>
    <row r="6958" spans="15:15" x14ac:dyDescent="0.25">
      <c r="O6958" s="21"/>
    </row>
    <row r="6959" spans="15:15" x14ac:dyDescent="0.25">
      <c r="O6959" s="21"/>
    </row>
    <row r="6960" spans="15:15" x14ac:dyDescent="0.25">
      <c r="O6960" s="21"/>
    </row>
    <row r="6961" spans="15:15" x14ac:dyDescent="0.25">
      <c r="O6961" s="21"/>
    </row>
    <row r="6962" spans="15:15" x14ac:dyDescent="0.25">
      <c r="O6962" s="21"/>
    </row>
    <row r="6963" spans="15:15" x14ac:dyDescent="0.25">
      <c r="O6963" s="21"/>
    </row>
    <row r="6964" spans="15:15" x14ac:dyDescent="0.25">
      <c r="O6964" s="21"/>
    </row>
    <row r="6965" spans="15:15" x14ac:dyDescent="0.25">
      <c r="O6965" s="21"/>
    </row>
    <row r="6966" spans="15:15" x14ac:dyDescent="0.25">
      <c r="O6966" s="21"/>
    </row>
    <row r="6967" spans="15:15" x14ac:dyDescent="0.25">
      <c r="O6967" s="21"/>
    </row>
    <row r="6968" spans="15:15" x14ac:dyDescent="0.25">
      <c r="O6968" s="21"/>
    </row>
    <row r="6969" spans="15:15" x14ac:dyDescent="0.25">
      <c r="O6969" s="21"/>
    </row>
    <row r="6970" spans="15:15" x14ac:dyDescent="0.25">
      <c r="O6970" s="21"/>
    </row>
    <row r="6971" spans="15:15" x14ac:dyDescent="0.25">
      <c r="O6971" s="21"/>
    </row>
    <row r="6972" spans="15:15" x14ac:dyDescent="0.25">
      <c r="O6972" s="21"/>
    </row>
    <row r="6973" spans="15:15" x14ac:dyDescent="0.25">
      <c r="O6973" s="21"/>
    </row>
    <row r="6974" spans="15:15" x14ac:dyDescent="0.25">
      <c r="O6974" s="21"/>
    </row>
    <row r="6975" spans="15:15" x14ac:dyDescent="0.25">
      <c r="O6975" s="21"/>
    </row>
    <row r="6976" spans="15:15" x14ac:dyDescent="0.25">
      <c r="O6976" s="21"/>
    </row>
    <row r="6977" spans="15:15" x14ac:dyDescent="0.25">
      <c r="O6977" s="21"/>
    </row>
    <row r="6978" spans="15:15" x14ac:dyDescent="0.25">
      <c r="O6978" s="21"/>
    </row>
    <row r="6979" spans="15:15" x14ac:dyDescent="0.25">
      <c r="O6979" s="21"/>
    </row>
    <row r="6980" spans="15:15" x14ac:dyDescent="0.25">
      <c r="O6980" s="21"/>
    </row>
    <row r="6981" spans="15:15" x14ac:dyDescent="0.25">
      <c r="O6981" s="21"/>
    </row>
    <row r="6982" spans="15:15" x14ac:dyDescent="0.25">
      <c r="O6982" s="21"/>
    </row>
    <row r="6983" spans="15:15" x14ac:dyDescent="0.25">
      <c r="O6983" s="21"/>
    </row>
    <row r="6984" spans="15:15" x14ac:dyDescent="0.25">
      <c r="O6984" s="21"/>
    </row>
    <row r="6985" spans="15:15" x14ac:dyDescent="0.25">
      <c r="O6985" s="21"/>
    </row>
    <row r="6986" spans="15:15" x14ac:dyDescent="0.25">
      <c r="O6986" s="21"/>
    </row>
    <row r="6987" spans="15:15" x14ac:dyDescent="0.25">
      <c r="O6987" s="21"/>
    </row>
    <row r="6988" spans="15:15" x14ac:dyDescent="0.25">
      <c r="O6988" s="21"/>
    </row>
    <row r="6989" spans="15:15" x14ac:dyDescent="0.25">
      <c r="O6989" s="21"/>
    </row>
    <row r="6990" spans="15:15" x14ac:dyDescent="0.25">
      <c r="O6990" s="21"/>
    </row>
    <row r="6991" spans="15:15" x14ac:dyDescent="0.25">
      <c r="O6991" s="21"/>
    </row>
    <row r="6992" spans="15:15" x14ac:dyDescent="0.25">
      <c r="O6992" s="21"/>
    </row>
    <row r="6993" spans="15:15" x14ac:dyDescent="0.25">
      <c r="O6993" s="21"/>
    </row>
    <row r="6994" spans="15:15" x14ac:dyDescent="0.25">
      <c r="O6994" s="21"/>
    </row>
    <row r="6995" spans="15:15" x14ac:dyDescent="0.25">
      <c r="O6995" s="21"/>
    </row>
    <row r="6996" spans="15:15" x14ac:dyDescent="0.25">
      <c r="O6996" s="21"/>
    </row>
    <row r="6997" spans="15:15" x14ac:dyDescent="0.25">
      <c r="O6997" s="21"/>
    </row>
    <row r="6998" spans="15:15" x14ac:dyDescent="0.25">
      <c r="O6998" s="21"/>
    </row>
    <row r="6999" spans="15:15" x14ac:dyDescent="0.25">
      <c r="O6999" s="21"/>
    </row>
    <row r="7000" spans="15:15" x14ac:dyDescent="0.25">
      <c r="O7000" s="21"/>
    </row>
    <row r="7001" spans="15:15" x14ac:dyDescent="0.25">
      <c r="O7001" s="21"/>
    </row>
    <row r="7002" spans="15:15" x14ac:dyDescent="0.25">
      <c r="O7002" s="21"/>
    </row>
    <row r="7003" spans="15:15" x14ac:dyDescent="0.25">
      <c r="O7003" s="21"/>
    </row>
    <row r="7004" spans="15:15" x14ac:dyDescent="0.25">
      <c r="O7004" s="21"/>
    </row>
    <row r="7005" spans="15:15" x14ac:dyDescent="0.25">
      <c r="O7005" s="21"/>
    </row>
    <row r="7006" spans="15:15" x14ac:dyDescent="0.25">
      <c r="O7006" s="21"/>
    </row>
    <row r="7007" spans="15:15" x14ac:dyDescent="0.25">
      <c r="O7007" s="21"/>
    </row>
    <row r="7008" spans="15:15" x14ac:dyDescent="0.25">
      <c r="O7008" s="21"/>
    </row>
    <row r="7009" spans="15:15" x14ac:dyDescent="0.25">
      <c r="O7009" s="21"/>
    </row>
    <row r="7010" spans="15:15" x14ac:dyDescent="0.25">
      <c r="O7010" s="21"/>
    </row>
    <row r="7011" spans="15:15" x14ac:dyDescent="0.25">
      <c r="O7011" s="21"/>
    </row>
    <row r="7012" spans="15:15" x14ac:dyDescent="0.25">
      <c r="O7012" s="21"/>
    </row>
    <row r="7013" spans="15:15" x14ac:dyDescent="0.25">
      <c r="O7013" s="21"/>
    </row>
    <row r="7014" spans="15:15" x14ac:dyDescent="0.25">
      <c r="O7014" s="21"/>
    </row>
    <row r="7015" spans="15:15" x14ac:dyDescent="0.25">
      <c r="O7015" s="21"/>
    </row>
    <row r="7016" spans="15:15" x14ac:dyDescent="0.25">
      <c r="O7016" s="21"/>
    </row>
    <row r="7017" spans="15:15" x14ac:dyDescent="0.25">
      <c r="O7017" s="21"/>
    </row>
    <row r="7018" spans="15:15" x14ac:dyDescent="0.25">
      <c r="O7018" s="21"/>
    </row>
    <row r="7019" spans="15:15" x14ac:dyDescent="0.25">
      <c r="O7019" s="21"/>
    </row>
    <row r="7020" spans="15:15" x14ac:dyDescent="0.25">
      <c r="O7020" s="21"/>
    </row>
    <row r="7021" spans="15:15" x14ac:dyDescent="0.25">
      <c r="O7021" s="21"/>
    </row>
    <row r="7022" spans="15:15" x14ac:dyDescent="0.25">
      <c r="O7022" s="21"/>
    </row>
    <row r="7023" spans="15:15" x14ac:dyDescent="0.25">
      <c r="O7023" s="21"/>
    </row>
    <row r="7024" spans="15:15" x14ac:dyDescent="0.25">
      <c r="O7024" s="21"/>
    </row>
    <row r="7025" spans="15:15" x14ac:dyDescent="0.25">
      <c r="O7025" s="21"/>
    </row>
    <row r="7026" spans="15:15" x14ac:dyDescent="0.25">
      <c r="O7026" s="21"/>
    </row>
    <row r="7027" spans="15:15" x14ac:dyDescent="0.25">
      <c r="O7027" s="21"/>
    </row>
    <row r="7028" spans="15:15" x14ac:dyDescent="0.25">
      <c r="O7028" s="21"/>
    </row>
    <row r="7029" spans="15:15" x14ac:dyDescent="0.25">
      <c r="O7029" s="21"/>
    </row>
    <row r="7030" spans="15:15" x14ac:dyDescent="0.25">
      <c r="O7030" s="21"/>
    </row>
    <row r="7031" spans="15:15" x14ac:dyDescent="0.25">
      <c r="O7031" s="21"/>
    </row>
    <row r="7032" spans="15:15" x14ac:dyDescent="0.25">
      <c r="O7032" s="21"/>
    </row>
    <row r="7033" spans="15:15" x14ac:dyDescent="0.25">
      <c r="O7033" s="21"/>
    </row>
    <row r="7034" spans="15:15" x14ac:dyDescent="0.25">
      <c r="O7034" s="21"/>
    </row>
    <row r="7035" spans="15:15" x14ac:dyDescent="0.25">
      <c r="O7035" s="21"/>
    </row>
    <row r="7036" spans="15:15" x14ac:dyDescent="0.25">
      <c r="O7036" s="21"/>
    </row>
    <row r="7037" spans="15:15" x14ac:dyDescent="0.25">
      <c r="O7037" s="21"/>
    </row>
    <row r="7038" spans="15:15" x14ac:dyDescent="0.25">
      <c r="O7038" s="21"/>
    </row>
    <row r="7039" spans="15:15" x14ac:dyDescent="0.25">
      <c r="O7039" s="21"/>
    </row>
    <row r="7040" spans="15:15" x14ac:dyDescent="0.25">
      <c r="O7040" s="21"/>
    </row>
    <row r="7041" spans="15:15" x14ac:dyDescent="0.25">
      <c r="O7041" s="21"/>
    </row>
    <row r="7042" spans="15:15" x14ac:dyDescent="0.25">
      <c r="O7042" s="21"/>
    </row>
    <row r="7043" spans="15:15" x14ac:dyDescent="0.25">
      <c r="O7043" s="21"/>
    </row>
    <row r="7044" spans="15:15" x14ac:dyDescent="0.25">
      <c r="O7044" s="21"/>
    </row>
    <row r="7045" spans="15:15" x14ac:dyDescent="0.25">
      <c r="O7045" s="21"/>
    </row>
    <row r="7046" spans="15:15" x14ac:dyDescent="0.25">
      <c r="O7046" s="21"/>
    </row>
    <row r="7047" spans="15:15" x14ac:dyDescent="0.25">
      <c r="O7047" s="21"/>
    </row>
    <row r="7048" spans="15:15" x14ac:dyDescent="0.25">
      <c r="O7048" s="21"/>
    </row>
    <row r="7049" spans="15:15" x14ac:dyDescent="0.25">
      <c r="O7049" s="21"/>
    </row>
    <row r="7050" spans="15:15" x14ac:dyDescent="0.25">
      <c r="O7050" s="21"/>
    </row>
    <row r="7051" spans="15:15" x14ac:dyDescent="0.25">
      <c r="O7051" s="21"/>
    </row>
    <row r="7052" spans="15:15" x14ac:dyDescent="0.25">
      <c r="O7052" s="21"/>
    </row>
    <row r="7053" spans="15:15" x14ac:dyDescent="0.25">
      <c r="O7053" s="21"/>
    </row>
    <row r="7054" spans="15:15" x14ac:dyDescent="0.25">
      <c r="O7054" s="21"/>
    </row>
    <row r="7055" spans="15:15" x14ac:dyDescent="0.25">
      <c r="O7055" s="21"/>
    </row>
    <row r="7056" spans="15:15" x14ac:dyDescent="0.25">
      <c r="O7056" s="21"/>
    </row>
    <row r="7057" spans="15:15" x14ac:dyDescent="0.25">
      <c r="O7057" s="21"/>
    </row>
    <row r="7058" spans="15:15" x14ac:dyDescent="0.25">
      <c r="O7058" s="21"/>
    </row>
    <row r="7059" spans="15:15" x14ac:dyDescent="0.25">
      <c r="O7059" s="21"/>
    </row>
    <row r="7060" spans="15:15" x14ac:dyDescent="0.25">
      <c r="O7060" s="21"/>
    </row>
    <row r="7061" spans="15:15" x14ac:dyDescent="0.25">
      <c r="O7061" s="21"/>
    </row>
    <row r="7062" spans="15:15" x14ac:dyDescent="0.25">
      <c r="O7062" s="21"/>
    </row>
    <row r="7063" spans="15:15" x14ac:dyDescent="0.25">
      <c r="O7063" s="21"/>
    </row>
    <row r="7064" spans="15:15" x14ac:dyDescent="0.25">
      <c r="O7064" s="21"/>
    </row>
    <row r="7065" spans="15:15" x14ac:dyDescent="0.25">
      <c r="O7065" s="21"/>
    </row>
    <row r="7066" spans="15:15" x14ac:dyDescent="0.25">
      <c r="O7066" s="21"/>
    </row>
    <row r="7067" spans="15:15" x14ac:dyDescent="0.25">
      <c r="O7067" s="21"/>
    </row>
    <row r="7068" spans="15:15" x14ac:dyDescent="0.25">
      <c r="O7068" s="21"/>
    </row>
    <row r="7069" spans="15:15" x14ac:dyDescent="0.25">
      <c r="O7069" s="21"/>
    </row>
    <row r="7070" spans="15:15" x14ac:dyDescent="0.25">
      <c r="O7070" s="21"/>
    </row>
    <row r="7071" spans="15:15" x14ac:dyDescent="0.25">
      <c r="O7071" s="21"/>
    </row>
    <row r="7072" spans="15:15" x14ac:dyDescent="0.25">
      <c r="O7072" s="21"/>
    </row>
    <row r="7073" spans="15:15" x14ac:dyDescent="0.25">
      <c r="O7073" s="21"/>
    </row>
    <row r="7074" spans="15:15" x14ac:dyDescent="0.25">
      <c r="O7074" s="21"/>
    </row>
    <row r="7075" spans="15:15" x14ac:dyDescent="0.25">
      <c r="O7075" s="21"/>
    </row>
    <row r="7076" spans="15:15" x14ac:dyDescent="0.25">
      <c r="O7076" s="21"/>
    </row>
    <row r="7077" spans="15:15" x14ac:dyDescent="0.25">
      <c r="O7077" s="21"/>
    </row>
    <row r="7078" spans="15:15" x14ac:dyDescent="0.25">
      <c r="O7078" s="21"/>
    </row>
    <row r="7079" spans="15:15" x14ac:dyDescent="0.25">
      <c r="O7079" s="21"/>
    </row>
    <row r="7080" spans="15:15" x14ac:dyDescent="0.25">
      <c r="O7080" s="21"/>
    </row>
    <row r="7081" spans="15:15" x14ac:dyDescent="0.25">
      <c r="O7081" s="21"/>
    </row>
    <row r="7082" spans="15:15" x14ac:dyDescent="0.25">
      <c r="O7082" s="21"/>
    </row>
    <row r="7083" spans="15:15" x14ac:dyDescent="0.25">
      <c r="O7083" s="21"/>
    </row>
    <row r="7084" spans="15:15" x14ac:dyDescent="0.25">
      <c r="O7084" s="21"/>
    </row>
    <row r="7085" spans="15:15" x14ac:dyDescent="0.25">
      <c r="O7085" s="21"/>
    </row>
    <row r="7086" spans="15:15" x14ac:dyDescent="0.25">
      <c r="O7086" s="21"/>
    </row>
    <row r="7087" spans="15:15" x14ac:dyDescent="0.25">
      <c r="O7087" s="21"/>
    </row>
    <row r="7088" spans="15:15" x14ac:dyDescent="0.25">
      <c r="O7088" s="21"/>
    </row>
    <row r="7089" spans="15:15" x14ac:dyDescent="0.25">
      <c r="O7089" s="21"/>
    </row>
    <row r="7090" spans="15:15" x14ac:dyDescent="0.25">
      <c r="O7090" s="21"/>
    </row>
    <row r="7091" spans="15:15" x14ac:dyDescent="0.25">
      <c r="O7091" s="21"/>
    </row>
    <row r="7092" spans="15:15" x14ac:dyDescent="0.25">
      <c r="O7092" s="21"/>
    </row>
    <row r="7093" spans="15:15" x14ac:dyDescent="0.25">
      <c r="O7093" s="21"/>
    </row>
    <row r="7094" spans="15:15" x14ac:dyDescent="0.25">
      <c r="O7094" s="21"/>
    </row>
    <row r="7095" spans="15:15" x14ac:dyDescent="0.25">
      <c r="O7095" s="21"/>
    </row>
    <row r="7096" spans="15:15" x14ac:dyDescent="0.25">
      <c r="O7096" s="21"/>
    </row>
    <row r="7097" spans="15:15" x14ac:dyDescent="0.25">
      <c r="O7097" s="21"/>
    </row>
    <row r="7098" spans="15:15" x14ac:dyDescent="0.25">
      <c r="O7098" s="21"/>
    </row>
    <row r="7099" spans="15:15" x14ac:dyDescent="0.25">
      <c r="O7099" s="21"/>
    </row>
    <row r="7100" spans="15:15" x14ac:dyDescent="0.25">
      <c r="O7100" s="21"/>
    </row>
    <row r="7101" spans="15:15" x14ac:dyDescent="0.25">
      <c r="O7101" s="21"/>
    </row>
    <row r="7102" spans="15:15" x14ac:dyDescent="0.25">
      <c r="O7102" s="21"/>
    </row>
    <row r="7103" spans="15:15" x14ac:dyDescent="0.25">
      <c r="O7103" s="21"/>
    </row>
    <row r="7104" spans="15:15" x14ac:dyDescent="0.25">
      <c r="O7104" s="21"/>
    </row>
    <row r="7105" spans="15:15" x14ac:dyDescent="0.25">
      <c r="O7105" s="21"/>
    </row>
    <row r="7106" spans="15:15" x14ac:dyDescent="0.25">
      <c r="O7106" s="21"/>
    </row>
    <row r="7107" spans="15:15" x14ac:dyDescent="0.25">
      <c r="O7107" s="21"/>
    </row>
    <row r="7108" spans="15:15" x14ac:dyDescent="0.25">
      <c r="O7108" s="21"/>
    </row>
    <row r="7109" spans="15:15" x14ac:dyDescent="0.25">
      <c r="O7109" s="21"/>
    </row>
    <row r="7110" spans="15:15" x14ac:dyDescent="0.25">
      <c r="O7110" s="21"/>
    </row>
    <row r="7111" spans="15:15" x14ac:dyDescent="0.25">
      <c r="O7111" s="21"/>
    </row>
    <row r="7112" spans="15:15" x14ac:dyDescent="0.25">
      <c r="O7112" s="21"/>
    </row>
    <row r="7113" spans="15:15" x14ac:dyDescent="0.25">
      <c r="O7113" s="21"/>
    </row>
    <row r="7114" spans="15:15" x14ac:dyDescent="0.25">
      <c r="O7114" s="21"/>
    </row>
    <row r="7115" spans="15:15" x14ac:dyDescent="0.25">
      <c r="O7115" s="21"/>
    </row>
    <row r="7116" spans="15:15" x14ac:dyDescent="0.25">
      <c r="O7116" s="21"/>
    </row>
    <row r="7117" spans="15:15" x14ac:dyDescent="0.25">
      <c r="O7117" s="21"/>
    </row>
    <row r="7118" spans="15:15" x14ac:dyDescent="0.25">
      <c r="O7118" s="21"/>
    </row>
    <row r="7119" spans="15:15" x14ac:dyDescent="0.25">
      <c r="O7119" s="21"/>
    </row>
    <row r="7120" spans="15:15" x14ac:dyDescent="0.25">
      <c r="O7120" s="21"/>
    </row>
    <row r="7121" spans="15:15" x14ac:dyDescent="0.25">
      <c r="O7121" s="21"/>
    </row>
    <row r="7122" spans="15:15" x14ac:dyDescent="0.25">
      <c r="O7122" s="21"/>
    </row>
    <row r="7123" spans="15:15" x14ac:dyDescent="0.25">
      <c r="O7123" s="21"/>
    </row>
    <row r="7124" spans="15:15" x14ac:dyDescent="0.25">
      <c r="O7124" s="21"/>
    </row>
    <row r="7125" spans="15:15" x14ac:dyDescent="0.25">
      <c r="O7125" s="21"/>
    </row>
    <row r="7126" spans="15:15" x14ac:dyDescent="0.25">
      <c r="O7126" s="21"/>
    </row>
    <row r="7127" spans="15:15" x14ac:dyDescent="0.25">
      <c r="O7127" s="21"/>
    </row>
    <row r="7128" spans="15:15" x14ac:dyDescent="0.25">
      <c r="O7128" s="21"/>
    </row>
    <row r="7129" spans="15:15" x14ac:dyDescent="0.25">
      <c r="O7129" s="21"/>
    </row>
    <row r="7130" spans="15:15" x14ac:dyDescent="0.25">
      <c r="O7130" s="21"/>
    </row>
    <row r="7131" spans="15:15" x14ac:dyDescent="0.25">
      <c r="O7131" s="21"/>
    </row>
    <row r="7132" spans="15:15" x14ac:dyDescent="0.25">
      <c r="O7132" s="21"/>
    </row>
    <row r="7133" spans="15:15" x14ac:dyDescent="0.25">
      <c r="O7133" s="21"/>
    </row>
    <row r="7134" spans="15:15" x14ac:dyDescent="0.25">
      <c r="O7134" s="21"/>
    </row>
    <row r="7135" spans="15:15" x14ac:dyDescent="0.25">
      <c r="O7135" s="21"/>
    </row>
    <row r="7136" spans="15:15" x14ac:dyDescent="0.25">
      <c r="O7136" s="21"/>
    </row>
    <row r="7137" spans="15:15" x14ac:dyDescent="0.25">
      <c r="O7137" s="21"/>
    </row>
    <row r="7138" spans="15:15" x14ac:dyDescent="0.25">
      <c r="O7138" s="21"/>
    </row>
    <row r="7139" spans="15:15" x14ac:dyDescent="0.25">
      <c r="O7139" s="21"/>
    </row>
    <row r="7140" spans="15:15" x14ac:dyDescent="0.25">
      <c r="O7140" s="21"/>
    </row>
    <row r="7141" spans="15:15" x14ac:dyDescent="0.25">
      <c r="O7141" s="21"/>
    </row>
    <row r="7142" spans="15:15" x14ac:dyDescent="0.25">
      <c r="O7142" s="21"/>
    </row>
    <row r="7143" spans="15:15" x14ac:dyDescent="0.25">
      <c r="O7143" s="21"/>
    </row>
    <row r="7144" spans="15:15" x14ac:dyDescent="0.25">
      <c r="O7144" s="21"/>
    </row>
    <row r="7145" spans="15:15" x14ac:dyDescent="0.25">
      <c r="O7145" s="21"/>
    </row>
    <row r="7146" spans="15:15" x14ac:dyDescent="0.25">
      <c r="O7146" s="21"/>
    </row>
    <row r="7147" spans="15:15" x14ac:dyDescent="0.25">
      <c r="O7147" s="21"/>
    </row>
    <row r="7148" spans="15:15" x14ac:dyDescent="0.25">
      <c r="O7148" s="21"/>
    </row>
    <row r="7149" spans="15:15" x14ac:dyDescent="0.25">
      <c r="O7149" s="21"/>
    </row>
    <row r="7150" spans="15:15" x14ac:dyDescent="0.25">
      <c r="O7150" s="21"/>
    </row>
    <row r="7151" spans="15:15" x14ac:dyDescent="0.25">
      <c r="O7151" s="21"/>
    </row>
    <row r="7152" spans="15:15" x14ac:dyDescent="0.25">
      <c r="O7152" s="21"/>
    </row>
    <row r="7153" spans="15:15" x14ac:dyDescent="0.25">
      <c r="O7153" s="21"/>
    </row>
    <row r="7154" spans="15:15" x14ac:dyDescent="0.25">
      <c r="O7154" s="21"/>
    </row>
    <row r="7155" spans="15:15" x14ac:dyDescent="0.25">
      <c r="O7155" s="21"/>
    </row>
    <row r="7156" spans="15:15" x14ac:dyDescent="0.25">
      <c r="O7156" s="21"/>
    </row>
    <row r="7157" spans="15:15" x14ac:dyDescent="0.25">
      <c r="O7157" s="21"/>
    </row>
    <row r="7158" spans="15:15" x14ac:dyDescent="0.25">
      <c r="O7158" s="21"/>
    </row>
    <row r="7159" spans="15:15" x14ac:dyDescent="0.25">
      <c r="O7159" s="21"/>
    </row>
    <row r="7160" spans="15:15" x14ac:dyDescent="0.25">
      <c r="O7160" s="21"/>
    </row>
    <row r="7161" spans="15:15" x14ac:dyDescent="0.25">
      <c r="O7161" s="21"/>
    </row>
    <row r="7162" spans="15:15" x14ac:dyDescent="0.25">
      <c r="O7162" s="21"/>
    </row>
    <row r="7163" spans="15:15" x14ac:dyDescent="0.25">
      <c r="O7163" s="21"/>
    </row>
    <row r="7164" spans="15:15" x14ac:dyDescent="0.25">
      <c r="O7164" s="21"/>
    </row>
    <row r="7165" spans="15:15" x14ac:dyDescent="0.25">
      <c r="O7165" s="21"/>
    </row>
    <row r="7166" spans="15:15" x14ac:dyDescent="0.25">
      <c r="O7166" s="21"/>
    </row>
    <row r="7167" spans="15:15" x14ac:dyDescent="0.25">
      <c r="O7167" s="21"/>
    </row>
    <row r="7168" spans="15:15" x14ac:dyDescent="0.25">
      <c r="O7168" s="21"/>
    </row>
    <row r="7169" spans="15:15" x14ac:dyDescent="0.25">
      <c r="O7169" s="21"/>
    </row>
    <row r="7170" spans="15:15" x14ac:dyDescent="0.25">
      <c r="O7170" s="21"/>
    </row>
    <row r="7171" spans="15:15" x14ac:dyDescent="0.25">
      <c r="O7171" s="21"/>
    </row>
    <row r="7172" spans="15:15" x14ac:dyDescent="0.25">
      <c r="O7172" s="21"/>
    </row>
    <row r="7173" spans="15:15" x14ac:dyDescent="0.25">
      <c r="O7173" s="21"/>
    </row>
    <row r="7174" spans="15:15" x14ac:dyDescent="0.25">
      <c r="O7174" s="21"/>
    </row>
    <row r="7175" spans="15:15" x14ac:dyDescent="0.25">
      <c r="O7175" s="21"/>
    </row>
    <row r="7176" spans="15:15" x14ac:dyDescent="0.25">
      <c r="O7176" s="21"/>
    </row>
    <row r="7177" spans="15:15" x14ac:dyDescent="0.25">
      <c r="O7177" s="21"/>
    </row>
    <row r="7178" spans="15:15" x14ac:dyDescent="0.25">
      <c r="O7178" s="21"/>
    </row>
    <row r="7179" spans="15:15" x14ac:dyDescent="0.25">
      <c r="O7179" s="21"/>
    </row>
    <row r="7180" spans="15:15" x14ac:dyDescent="0.25">
      <c r="O7180" s="21"/>
    </row>
    <row r="7181" spans="15:15" x14ac:dyDescent="0.25">
      <c r="O7181" s="21"/>
    </row>
    <row r="7182" spans="15:15" x14ac:dyDescent="0.25">
      <c r="O7182" s="21"/>
    </row>
    <row r="7183" spans="15:15" x14ac:dyDescent="0.25">
      <c r="O7183" s="21"/>
    </row>
    <row r="7184" spans="15:15" x14ac:dyDescent="0.25">
      <c r="O7184" s="21"/>
    </row>
    <row r="7185" spans="15:15" x14ac:dyDescent="0.25">
      <c r="O7185" s="21"/>
    </row>
    <row r="7186" spans="15:15" x14ac:dyDescent="0.25">
      <c r="O7186" s="21"/>
    </row>
    <row r="7187" spans="15:15" x14ac:dyDescent="0.25">
      <c r="O7187" s="21"/>
    </row>
    <row r="7188" spans="15:15" x14ac:dyDescent="0.25">
      <c r="O7188" s="21"/>
    </row>
    <row r="7189" spans="15:15" x14ac:dyDescent="0.25">
      <c r="O7189" s="21"/>
    </row>
    <row r="7190" spans="15:15" x14ac:dyDescent="0.25">
      <c r="O7190" s="21"/>
    </row>
    <row r="7191" spans="15:15" x14ac:dyDescent="0.25">
      <c r="O7191" s="21"/>
    </row>
    <row r="7192" spans="15:15" x14ac:dyDescent="0.25">
      <c r="O7192" s="21"/>
    </row>
    <row r="7193" spans="15:15" x14ac:dyDescent="0.25">
      <c r="O7193" s="21"/>
    </row>
    <row r="7194" spans="15:15" x14ac:dyDescent="0.25">
      <c r="O7194" s="21"/>
    </row>
    <row r="7195" spans="15:15" x14ac:dyDescent="0.25">
      <c r="O7195" s="21"/>
    </row>
    <row r="7196" spans="15:15" x14ac:dyDescent="0.25">
      <c r="O7196" s="21"/>
    </row>
    <row r="7197" spans="15:15" x14ac:dyDescent="0.25">
      <c r="O7197" s="21"/>
    </row>
    <row r="7198" spans="15:15" x14ac:dyDescent="0.25">
      <c r="O7198" s="21"/>
    </row>
    <row r="7199" spans="15:15" x14ac:dyDescent="0.25">
      <c r="O7199" s="21"/>
    </row>
    <row r="7200" spans="15:15" x14ac:dyDescent="0.25">
      <c r="O7200" s="21"/>
    </row>
    <row r="7201" spans="15:15" x14ac:dyDescent="0.25">
      <c r="O7201" s="21"/>
    </row>
    <row r="7202" spans="15:15" x14ac:dyDescent="0.25">
      <c r="O7202" s="21"/>
    </row>
    <row r="7203" spans="15:15" x14ac:dyDescent="0.25">
      <c r="O7203" s="21"/>
    </row>
    <row r="7204" spans="15:15" x14ac:dyDescent="0.25">
      <c r="O7204" s="21"/>
    </row>
    <row r="7205" spans="15:15" x14ac:dyDescent="0.25">
      <c r="O7205" s="21"/>
    </row>
    <row r="7206" spans="15:15" x14ac:dyDescent="0.25">
      <c r="O7206" s="21"/>
    </row>
    <row r="7207" spans="15:15" x14ac:dyDescent="0.25">
      <c r="O7207" s="21"/>
    </row>
    <row r="7208" spans="15:15" x14ac:dyDescent="0.25">
      <c r="O7208" s="21"/>
    </row>
    <row r="7209" spans="15:15" x14ac:dyDescent="0.25">
      <c r="O7209" s="21"/>
    </row>
    <row r="7210" spans="15:15" x14ac:dyDescent="0.25">
      <c r="O7210" s="21"/>
    </row>
    <row r="7211" spans="15:15" x14ac:dyDescent="0.25">
      <c r="O7211" s="21"/>
    </row>
    <row r="7212" spans="15:15" x14ac:dyDescent="0.25">
      <c r="O7212" s="21"/>
    </row>
    <row r="7213" spans="15:15" x14ac:dyDescent="0.25">
      <c r="O7213" s="21"/>
    </row>
    <row r="7214" spans="15:15" x14ac:dyDescent="0.25">
      <c r="O7214" s="21"/>
    </row>
    <row r="7215" spans="15:15" x14ac:dyDescent="0.25">
      <c r="O7215" s="21"/>
    </row>
    <row r="7216" spans="15:15" x14ac:dyDescent="0.25">
      <c r="O7216" s="21"/>
    </row>
    <row r="7217" spans="15:15" x14ac:dyDescent="0.25">
      <c r="O7217" s="21"/>
    </row>
    <row r="7218" spans="15:15" x14ac:dyDescent="0.25">
      <c r="O7218" s="21"/>
    </row>
    <row r="7219" spans="15:15" x14ac:dyDescent="0.25">
      <c r="O7219" s="21"/>
    </row>
    <row r="7220" spans="15:15" x14ac:dyDescent="0.25">
      <c r="O7220" s="21"/>
    </row>
    <row r="7221" spans="15:15" x14ac:dyDescent="0.25">
      <c r="O7221" s="21"/>
    </row>
    <row r="7222" spans="15:15" x14ac:dyDescent="0.25">
      <c r="O7222" s="21"/>
    </row>
    <row r="7223" spans="15:15" x14ac:dyDescent="0.25">
      <c r="O7223" s="21"/>
    </row>
    <row r="7224" spans="15:15" x14ac:dyDescent="0.25">
      <c r="O7224" s="21"/>
    </row>
    <row r="7225" spans="15:15" x14ac:dyDescent="0.25">
      <c r="O7225" s="21"/>
    </row>
    <row r="7226" spans="15:15" x14ac:dyDescent="0.25">
      <c r="O7226" s="21"/>
    </row>
    <row r="7227" spans="15:15" x14ac:dyDescent="0.25">
      <c r="O7227" s="21"/>
    </row>
    <row r="7228" spans="15:15" x14ac:dyDescent="0.25">
      <c r="O7228" s="21"/>
    </row>
    <row r="7229" spans="15:15" x14ac:dyDescent="0.25">
      <c r="O7229" s="21"/>
    </row>
    <row r="7230" spans="15:15" x14ac:dyDescent="0.25">
      <c r="O7230" s="21"/>
    </row>
    <row r="7231" spans="15:15" x14ac:dyDescent="0.25">
      <c r="O7231" s="21"/>
    </row>
    <row r="7232" spans="15:15" x14ac:dyDescent="0.25">
      <c r="O7232" s="21"/>
    </row>
    <row r="7233" spans="15:15" x14ac:dyDescent="0.25">
      <c r="O7233" s="21"/>
    </row>
    <row r="7234" spans="15:15" x14ac:dyDescent="0.25">
      <c r="O7234" s="21"/>
    </row>
    <row r="7235" spans="15:15" x14ac:dyDescent="0.25">
      <c r="O7235" s="21"/>
    </row>
    <row r="7236" spans="15:15" x14ac:dyDescent="0.25">
      <c r="O7236" s="21"/>
    </row>
    <row r="7237" spans="15:15" x14ac:dyDescent="0.25">
      <c r="O7237" s="21"/>
    </row>
    <row r="7238" spans="15:15" x14ac:dyDescent="0.25">
      <c r="O7238" s="21"/>
    </row>
    <row r="7239" spans="15:15" x14ac:dyDescent="0.25">
      <c r="O7239" s="21"/>
    </row>
    <row r="7240" spans="15:15" x14ac:dyDescent="0.25">
      <c r="O7240" s="21"/>
    </row>
    <row r="7241" spans="15:15" x14ac:dyDescent="0.25">
      <c r="O7241" s="21"/>
    </row>
    <row r="7242" spans="15:15" x14ac:dyDescent="0.25">
      <c r="O7242" s="21"/>
    </row>
    <row r="7243" spans="15:15" x14ac:dyDescent="0.25">
      <c r="O7243" s="21"/>
    </row>
    <row r="7244" spans="15:15" x14ac:dyDescent="0.25">
      <c r="O7244" s="21"/>
    </row>
    <row r="7245" spans="15:15" x14ac:dyDescent="0.25">
      <c r="O7245" s="21"/>
    </row>
    <row r="7246" spans="15:15" x14ac:dyDescent="0.25">
      <c r="O7246" s="21"/>
    </row>
    <row r="7247" spans="15:15" x14ac:dyDescent="0.25">
      <c r="O7247" s="21"/>
    </row>
    <row r="7248" spans="15:15" x14ac:dyDescent="0.25">
      <c r="O7248" s="21"/>
    </row>
    <row r="7249" spans="15:15" x14ac:dyDescent="0.25">
      <c r="O7249" s="21"/>
    </row>
    <row r="7250" spans="15:15" x14ac:dyDescent="0.25">
      <c r="O7250" s="21"/>
    </row>
    <row r="7251" spans="15:15" x14ac:dyDescent="0.25">
      <c r="O7251" s="21"/>
    </row>
    <row r="7252" spans="15:15" x14ac:dyDescent="0.25">
      <c r="O7252" s="21"/>
    </row>
    <row r="7253" spans="15:15" x14ac:dyDescent="0.25">
      <c r="O7253" s="21"/>
    </row>
    <row r="7254" spans="15:15" x14ac:dyDescent="0.25">
      <c r="O7254" s="21"/>
    </row>
    <row r="7255" spans="15:15" x14ac:dyDescent="0.25">
      <c r="O7255" s="21"/>
    </row>
    <row r="7256" spans="15:15" x14ac:dyDescent="0.25">
      <c r="O7256" s="21"/>
    </row>
    <row r="7257" spans="15:15" x14ac:dyDescent="0.25">
      <c r="O7257" s="21"/>
    </row>
    <row r="7258" spans="15:15" x14ac:dyDescent="0.25">
      <c r="O7258" s="21"/>
    </row>
    <row r="7259" spans="15:15" x14ac:dyDescent="0.25">
      <c r="O7259" s="21"/>
    </row>
    <row r="7260" spans="15:15" x14ac:dyDescent="0.25">
      <c r="O7260" s="21"/>
    </row>
    <row r="7261" spans="15:15" x14ac:dyDescent="0.25">
      <c r="O7261" s="21"/>
    </row>
    <row r="7262" spans="15:15" x14ac:dyDescent="0.25">
      <c r="O7262" s="21"/>
    </row>
    <row r="7263" spans="15:15" x14ac:dyDescent="0.25">
      <c r="O7263" s="21"/>
    </row>
    <row r="7264" spans="15:15" x14ac:dyDescent="0.25">
      <c r="O7264" s="21"/>
    </row>
    <row r="7265" spans="15:15" x14ac:dyDescent="0.25">
      <c r="O7265" s="21"/>
    </row>
    <row r="7266" spans="15:15" x14ac:dyDescent="0.25">
      <c r="O7266" s="21"/>
    </row>
    <row r="7267" spans="15:15" x14ac:dyDescent="0.25">
      <c r="O7267" s="21"/>
    </row>
    <row r="7268" spans="15:15" x14ac:dyDescent="0.25">
      <c r="O7268" s="21"/>
    </row>
    <row r="7269" spans="15:15" x14ac:dyDescent="0.25">
      <c r="O7269" s="21"/>
    </row>
    <row r="7270" spans="15:15" x14ac:dyDescent="0.25">
      <c r="O7270" s="21"/>
    </row>
    <row r="7271" spans="15:15" x14ac:dyDescent="0.25">
      <c r="O7271" s="21"/>
    </row>
    <row r="7272" spans="15:15" x14ac:dyDescent="0.25">
      <c r="O7272" s="21"/>
    </row>
    <row r="7273" spans="15:15" x14ac:dyDescent="0.25">
      <c r="O7273" s="21"/>
    </row>
    <row r="7274" spans="15:15" x14ac:dyDescent="0.25">
      <c r="O7274" s="21"/>
    </row>
    <row r="7275" spans="15:15" x14ac:dyDescent="0.25">
      <c r="O7275" s="21"/>
    </row>
    <row r="7276" spans="15:15" x14ac:dyDescent="0.25">
      <c r="O7276" s="21"/>
    </row>
    <row r="7277" spans="15:15" x14ac:dyDescent="0.25">
      <c r="O7277" s="21"/>
    </row>
    <row r="7278" spans="15:15" x14ac:dyDescent="0.25">
      <c r="O7278" s="21"/>
    </row>
    <row r="7279" spans="15:15" x14ac:dyDescent="0.25">
      <c r="O7279" s="21"/>
    </row>
    <row r="7280" spans="15:15" x14ac:dyDescent="0.25">
      <c r="O7280" s="21"/>
    </row>
    <row r="7281" spans="15:15" x14ac:dyDescent="0.25">
      <c r="O7281" s="21"/>
    </row>
    <row r="7282" spans="15:15" x14ac:dyDescent="0.25">
      <c r="O7282" s="21"/>
    </row>
    <row r="7283" spans="15:15" x14ac:dyDescent="0.25">
      <c r="O7283" s="21"/>
    </row>
    <row r="7284" spans="15:15" x14ac:dyDescent="0.25">
      <c r="O7284" s="21"/>
    </row>
    <row r="7285" spans="15:15" x14ac:dyDescent="0.25">
      <c r="O7285" s="21"/>
    </row>
    <row r="7286" spans="15:15" x14ac:dyDescent="0.25">
      <c r="O7286" s="21"/>
    </row>
    <row r="7287" spans="15:15" x14ac:dyDescent="0.25">
      <c r="O7287" s="21"/>
    </row>
    <row r="7288" spans="15:15" x14ac:dyDescent="0.25">
      <c r="O7288" s="21"/>
    </row>
    <row r="7289" spans="15:15" x14ac:dyDescent="0.25">
      <c r="O7289" s="21"/>
    </row>
    <row r="7290" spans="15:15" x14ac:dyDescent="0.25">
      <c r="O7290" s="21"/>
    </row>
    <row r="7291" spans="15:15" x14ac:dyDescent="0.25">
      <c r="O7291" s="21"/>
    </row>
    <row r="7292" spans="15:15" x14ac:dyDescent="0.25">
      <c r="O7292" s="21"/>
    </row>
    <row r="7293" spans="15:15" x14ac:dyDescent="0.25">
      <c r="O7293" s="21"/>
    </row>
    <row r="7294" spans="15:15" x14ac:dyDescent="0.25">
      <c r="O7294" s="21"/>
    </row>
    <row r="7295" spans="15:15" x14ac:dyDescent="0.25">
      <c r="O7295" s="21"/>
    </row>
    <row r="7296" spans="15:15" x14ac:dyDescent="0.25">
      <c r="O7296" s="21"/>
    </row>
    <row r="7297" spans="15:15" x14ac:dyDescent="0.25">
      <c r="O7297" s="21"/>
    </row>
    <row r="7298" spans="15:15" x14ac:dyDescent="0.25">
      <c r="O7298" s="21"/>
    </row>
    <row r="7299" spans="15:15" x14ac:dyDescent="0.25">
      <c r="O7299" s="21"/>
    </row>
    <row r="7300" spans="15:15" x14ac:dyDescent="0.25">
      <c r="O7300" s="21"/>
    </row>
    <row r="7301" spans="15:15" x14ac:dyDescent="0.25">
      <c r="O7301" s="21"/>
    </row>
    <row r="7302" spans="15:15" x14ac:dyDescent="0.25">
      <c r="O7302" s="21"/>
    </row>
    <row r="7303" spans="15:15" x14ac:dyDescent="0.25">
      <c r="O7303" s="21"/>
    </row>
    <row r="7304" spans="15:15" x14ac:dyDescent="0.25">
      <c r="O7304" s="21"/>
    </row>
    <row r="7305" spans="15:15" x14ac:dyDescent="0.25">
      <c r="O7305" s="21"/>
    </row>
    <row r="7306" spans="15:15" x14ac:dyDescent="0.25">
      <c r="O7306" s="21"/>
    </row>
    <row r="7307" spans="15:15" x14ac:dyDescent="0.25">
      <c r="O7307" s="21"/>
    </row>
    <row r="7308" spans="15:15" x14ac:dyDescent="0.25">
      <c r="O7308" s="21"/>
    </row>
    <row r="7309" spans="15:15" x14ac:dyDescent="0.25">
      <c r="O7309" s="21"/>
    </row>
    <row r="7310" spans="15:15" x14ac:dyDescent="0.25">
      <c r="O7310" s="21"/>
    </row>
    <row r="7311" spans="15:15" x14ac:dyDescent="0.25">
      <c r="O7311" s="21"/>
    </row>
    <row r="7312" spans="15:15" x14ac:dyDescent="0.25">
      <c r="O7312" s="21"/>
    </row>
    <row r="7313" spans="15:15" x14ac:dyDescent="0.25">
      <c r="O7313" s="21"/>
    </row>
    <row r="7314" spans="15:15" x14ac:dyDescent="0.25">
      <c r="O7314" s="21"/>
    </row>
    <row r="7315" spans="15:15" x14ac:dyDescent="0.25">
      <c r="O7315" s="21"/>
    </row>
    <row r="7316" spans="15:15" x14ac:dyDescent="0.25">
      <c r="O7316" s="21"/>
    </row>
    <row r="7317" spans="15:15" x14ac:dyDescent="0.25">
      <c r="O7317" s="21"/>
    </row>
    <row r="7318" spans="15:15" x14ac:dyDescent="0.25">
      <c r="O7318" s="21"/>
    </row>
    <row r="7319" spans="15:15" x14ac:dyDescent="0.25">
      <c r="O7319" s="21"/>
    </row>
    <row r="7320" spans="15:15" x14ac:dyDescent="0.25">
      <c r="O7320" s="21"/>
    </row>
    <row r="7321" spans="15:15" x14ac:dyDescent="0.25">
      <c r="O7321" s="21"/>
    </row>
    <row r="7322" spans="15:15" x14ac:dyDescent="0.25">
      <c r="O7322" s="21"/>
    </row>
    <row r="7323" spans="15:15" x14ac:dyDescent="0.25">
      <c r="O7323" s="21"/>
    </row>
    <row r="7324" spans="15:15" x14ac:dyDescent="0.25">
      <c r="O7324" s="21"/>
    </row>
    <row r="7325" spans="15:15" x14ac:dyDescent="0.25">
      <c r="O7325" s="21"/>
    </row>
    <row r="7326" spans="15:15" x14ac:dyDescent="0.25">
      <c r="O7326" s="21"/>
    </row>
    <row r="7327" spans="15:15" x14ac:dyDescent="0.25">
      <c r="O7327" s="21"/>
    </row>
    <row r="7328" spans="15:15" x14ac:dyDescent="0.25">
      <c r="O7328" s="21"/>
    </row>
    <row r="7329" spans="15:15" x14ac:dyDescent="0.25">
      <c r="O7329" s="21"/>
    </row>
    <row r="7330" spans="15:15" x14ac:dyDescent="0.25">
      <c r="O7330" s="21"/>
    </row>
    <row r="7331" spans="15:15" x14ac:dyDescent="0.25">
      <c r="O7331" s="21"/>
    </row>
    <row r="7332" spans="15:15" x14ac:dyDescent="0.25">
      <c r="O7332" s="21"/>
    </row>
    <row r="7333" spans="15:15" x14ac:dyDescent="0.25">
      <c r="O7333" s="21"/>
    </row>
    <row r="7334" spans="15:15" x14ac:dyDescent="0.25">
      <c r="O7334" s="21"/>
    </row>
    <row r="7335" spans="15:15" x14ac:dyDescent="0.25">
      <c r="O7335" s="21"/>
    </row>
    <row r="7336" spans="15:15" x14ac:dyDescent="0.25">
      <c r="O7336" s="21"/>
    </row>
    <row r="7337" spans="15:15" x14ac:dyDescent="0.25">
      <c r="O7337" s="21"/>
    </row>
    <row r="7338" spans="15:15" x14ac:dyDescent="0.25">
      <c r="O7338" s="21"/>
    </row>
    <row r="7339" spans="15:15" x14ac:dyDescent="0.25">
      <c r="O7339" s="21"/>
    </row>
    <row r="7340" spans="15:15" x14ac:dyDescent="0.25">
      <c r="O7340" s="21"/>
    </row>
    <row r="7341" spans="15:15" x14ac:dyDescent="0.25">
      <c r="O7341" s="21"/>
    </row>
    <row r="7342" spans="15:15" x14ac:dyDescent="0.25">
      <c r="O7342" s="21"/>
    </row>
    <row r="7343" spans="15:15" x14ac:dyDescent="0.25">
      <c r="O7343" s="21"/>
    </row>
    <row r="7344" spans="15:15" x14ac:dyDescent="0.25">
      <c r="O7344" s="21"/>
    </row>
    <row r="7345" spans="15:15" x14ac:dyDescent="0.25">
      <c r="O7345" s="21"/>
    </row>
    <row r="7346" spans="15:15" x14ac:dyDescent="0.25">
      <c r="O7346" s="21"/>
    </row>
    <row r="7347" spans="15:15" x14ac:dyDescent="0.25">
      <c r="O7347" s="21"/>
    </row>
    <row r="7348" spans="15:15" x14ac:dyDescent="0.25">
      <c r="O7348" s="21"/>
    </row>
    <row r="7349" spans="15:15" x14ac:dyDescent="0.25">
      <c r="O7349" s="21"/>
    </row>
    <row r="7350" spans="15:15" x14ac:dyDescent="0.25">
      <c r="O7350" s="21"/>
    </row>
    <row r="7351" spans="15:15" x14ac:dyDescent="0.25">
      <c r="O7351" s="21"/>
    </row>
    <row r="7352" spans="15:15" x14ac:dyDescent="0.25">
      <c r="O7352" s="21"/>
    </row>
    <row r="7353" spans="15:15" x14ac:dyDescent="0.25">
      <c r="O7353" s="21"/>
    </row>
    <row r="7354" spans="15:15" x14ac:dyDescent="0.25">
      <c r="O7354" s="21"/>
    </row>
    <row r="7355" spans="15:15" x14ac:dyDescent="0.25">
      <c r="O7355" s="21"/>
    </row>
    <row r="7356" spans="15:15" x14ac:dyDescent="0.25">
      <c r="O7356" s="21"/>
    </row>
    <row r="7357" spans="15:15" x14ac:dyDescent="0.25">
      <c r="O7357" s="21"/>
    </row>
    <row r="7358" spans="15:15" x14ac:dyDescent="0.25">
      <c r="O7358" s="21"/>
    </row>
    <row r="7359" spans="15:15" x14ac:dyDescent="0.25">
      <c r="O7359" s="21"/>
    </row>
    <row r="7360" spans="15:15" x14ac:dyDescent="0.25">
      <c r="O7360" s="21"/>
    </row>
    <row r="7361" spans="15:15" x14ac:dyDescent="0.25">
      <c r="O7361" s="21"/>
    </row>
    <row r="7362" spans="15:15" x14ac:dyDescent="0.25">
      <c r="O7362" s="21"/>
    </row>
    <row r="7363" spans="15:15" x14ac:dyDescent="0.25">
      <c r="O7363" s="21"/>
    </row>
    <row r="7364" spans="15:15" x14ac:dyDescent="0.25">
      <c r="O7364" s="21"/>
    </row>
    <row r="7365" spans="15:15" x14ac:dyDescent="0.25">
      <c r="O7365" s="21"/>
    </row>
    <row r="7366" spans="15:15" x14ac:dyDescent="0.25">
      <c r="O7366" s="21"/>
    </row>
    <row r="7367" spans="15:15" x14ac:dyDescent="0.25">
      <c r="O7367" s="21"/>
    </row>
    <row r="7368" spans="15:15" x14ac:dyDescent="0.25">
      <c r="O7368" s="21"/>
    </row>
    <row r="7369" spans="15:15" x14ac:dyDescent="0.25">
      <c r="O7369" s="21"/>
    </row>
    <row r="7370" spans="15:15" x14ac:dyDescent="0.25">
      <c r="O7370" s="21"/>
    </row>
    <row r="7371" spans="15:15" x14ac:dyDescent="0.25">
      <c r="O7371" s="21"/>
    </row>
    <row r="7372" spans="15:15" x14ac:dyDescent="0.25">
      <c r="O7372" s="21"/>
    </row>
    <row r="7373" spans="15:15" x14ac:dyDescent="0.25">
      <c r="O7373" s="21"/>
    </row>
    <row r="7374" spans="15:15" x14ac:dyDescent="0.25">
      <c r="O7374" s="21"/>
    </row>
    <row r="7375" spans="15:15" x14ac:dyDescent="0.25">
      <c r="O7375" s="21"/>
    </row>
    <row r="7376" spans="15:15" x14ac:dyDescent="0.25">
      <c r="O7376" s="21"/>
    </row>
    <row r="7377" spans="15:15" x14ac:dyDescent="0.25">
      <c r="O7377" s="21"/>
    </row>
    <row r="7378" spans="15:15" x14ac:dyDescent="0.25">
      <c r="O7378" s="21"/>
    </row>
    <row r="7379" spans="15:15" x14ac:dyDescent="0.25">
      <c r="O7379" s="21"/>
    </row>
    <row r="7380" spans="15:15" x14ac:dyDescent="0.25">
      <c r="O7380" s="21"/>
    </row>
    <row r="7381" spans="15:15" x14ac:dyDescent="0.25">
      <c r="O7381" s="21"/>
    </row>
    <row r="7382" spans="15:15" x14ac:dyDescent="0.25">
      <c r="O7382" s="21"/>
    </row>
    <row r="7383" spans="15:15" x14ac:dyDescent="0.25">
      <c r="O7383" s="21"/>
    </row>
    <row r="7384" spans="15:15" x14ac:dyDescent="0.25">
      <c r="O7384" s="21"/>
    </row>
    <row r="7385" spans="15:15" x14ac:dyDescent="0.25">
      <c r="O7385" s="21"/>
    </row>
    <row r="7386" spans="15:15" x14ac:dyDescent="0.25">
      <c r="O7386" s="21"/>
    </row>
    <row r="7387" spans="15:15" x14ac:dyDescent="0.25">
      <c r="O7387" s="21"/>
    </row>
    <row r="7388" spans="15:15" x14ac:dyDescent="0.25">
      <c r="O7388" s="21"/>
    </row>
    <row r="7389" spans="15:15" x14ac:dyDescent="0.25">
      <c r="O7389" s="21"/>
    </row>
    <row r="7390" spans="15:15" x14ac:dyDescent="0.25">
      <c r="O7390" s="21"/>
    </row>
    <row r="7391" spans="15:15" x14ac:dyDescent="0.25">
      <c r="O7391" s="21"/>
    </row>
    <row r="7392" spans="15:15" x14ac:dyDescent="0.25">
      <c r="O7392" s="21"/>
    </row>
    <row r="7393" spans="15:15" x14ac:dyDescent="0.25">
      <c r="O7393" s="21"/>
    </row>
    <row r="7394" spans="15:15" x14ac:dyDescent="0.25">
      <c r="O7394" s="21"/>
    </row>
    <row r="7395" spans="15:15" x14ac:dyDescent="0.25">
      <c r="O7395" s="21"/>
    </row>
    <row r="7396" spans="15:15" x14ac:dyDescent="0.25">
      <c r="O7396" s="21"/>
    </row>
    <row r="7397" spans="15:15" x14ac:dyDescent="0.25">
      <c r="O7397" s="21"/>
    </row>
    <row r="7398" spans="15:15" x14ac:dyDescent="0.25">
      <c r="O7398" s="21"/>
    </row>
    <row r="7399" spans="15:15" x14ac:dyDescent="0.25">
      <c r="O7399" s="21"/>
    </row>
    <row r="7400" spans="15:15" x14ac:dyDescent="0.25">
      <c r="O7400" s="21"/>
    </row>
    <row r="7401" spans="15:15" x14ac:dyDescent="0.25">
      <c r="O7401" s="21"/>
    </row>
    <row r="7402" spans="15:15" x14ac:dyDescent="0.25">
      <c r="O7402" s="21"/>
    </row>
    <row r="7403" spans="15:15" x14ac:dyDescent="0.25">
      <c r="O7403" s="21"/>
    </row>
    <row r="7404" spans="15:15" x14ac:dyDescent="0.25">
      <c r="O7404" s="21"/>
    </row>
    <row r="7405" spans="15:15" x14ac:dyDescent="0.25">
      <c r="O7405" s="21"/>
    </row>
    <row r="7406" spans="15:15" x14ac:dyDescent="0.25">
      <c r="O7406" s="21"/>
    </row>
    <row r="7407" spans="15:15" x14ac:dyDescent="0.25">
      <c r="O7407" s="21"/>
    </row>
    <row r="7408" spans="15:15" x14ac:dyDescent="0.25">
      <c r="O7408" s="21"/>
    </row>
    <row r="7409" spans="15:15" x14ac:dyDescent="0.25">
      <c r="O7409" s="21"/>
    </row>
    <row r="7410" spans="15:15" x14ac:dyDescent="0.25">
      <c r="O7410" s="21"/>
    </row>
    <row r="7411" spans="15:15" x14ac:dyDescent="0.25">
      <c r="O7411" s="21"/>
    </row>
    <row r="7412" spans="15:15" x14ac:dyDescent="0.25">
      <c r="O7412" s="21"/>
    </row>
    <row r="7413" spans="15:15" x14ac:dyDescent="0.25">
      <c r="O7413" s="21"/>
    </row>
    <row r="7414" spans="15:15" x14ac:dyDescent="0.25">
      <c r="O7414" s="21"/>
    </row>
    <row r="7415" spans="15:15" x14ac:dyDescent="0.25">
      <c r="O7415" s="21"/>
    </row>
    <row r="7416" spans="15:15" x14ac:dyDescent="0.25">
      <c r="O7416" s="21"/>
    </row>
    <row r="7417" spans="15:15" x14ac:dyDescent="0.25">
      <c r="O7417" s="21"/>
    </row>
    <row r="7418" spans="15:15" x14ac:dyDescent="0.25">
      <c r="O7418" s="21"/>
    </row>
    <row r="7419" spans="15:15" x14ac:dyDescent="0.25">
      <c r="O7419" s="21"/>
    </row>
    <row r="7420" spans="15:15" x14ac:dyDescent="0.25">
      <c r="O7420" s="21"/>
    </row>
    <row r="7421" spans="15:15" x14ac:dyDescent="0.25">
      <c r="O7421" s="21"/>
    </row>
    <row r="7422" spans="15:15" x14ac:dyDescent="0.25">
      <c r="O7422" s="21"/>
    </row>
    <row r="7423" spans="15:15" x14ac:dyDescent="0.25">
      <c r="O7423" s="21"/>
    </row>
    <row r="7424" spans="15:15" x14ac:dyDescent="0.25">
      <c r="O7424" s="21"/>
    </row>
    <row r="7425" spans="15:15" x14ac:dyDescent="0.25">
      <c r="O7425" s="21"/>
    </row>
    <row r="7426" spans="15:15" x14ac:dyDescent="0.25">
      <c r="O7426" s="21"/>
    </row>
    <row r="7427" spans="15:15" x14ac:dyDescent="0.25">
      <c r="O7427" s="21"/>
    </row>
    <row r="7428" spans="15:15" x14ac:dyDescent="0.25">
      <c r="O7428" s="21"/>
    </row>
    <row r="7429" spans="15:15" x14ac:dyDescent="0.25">
      <c r="O7429" s="21"/>
    </row>
    <row r="7430" spans="15:15" x14ac:dyDescent="0.25">
      <c r="O7430" s="21"/>
    </row>
    <row r="7431" spans="15:15" x14ac:dyDescent="0.25">
      <c r="O7431" s="21"/>
    </row>
    <row r="7432" spans="15:15" x14ac:dyDescent="0.25">
      <c r="O7432" s="21"/>
    </row>
    <row r="7433" spans="15:15" x14ac:dyDescent="0.25">
      <c r="O7433" s="21"/>
    </row>
    <row r="7434" spans="15:15" x14ac:dyDescent="0.25">
      <c r="O7434" s="21"/>
    </row>
    <row r="7435" spans="15:15" x14ac:dyDescent="0.25">
      <c r="O7435" s="21"/>
    </row>
    <row r="7436" spans="15:15" x14ac:dyDescent="0.25">
      <c r="O7436" s="21"/>
    </row>
    <row r="7437" spans="15:15" x14ac:dyDescent="0.25">
      <c r="O7437" s="21"/>
    </row>
    <row r="7438" spans="15:15" x14ac:dyDescent="0.25">
      <c r="O7438" s="21"/>
    </row>
    <row r="7439" spans="15:15" x14ac:dyDescent="0.25">
      <c r="O7439" s="21"/>
    </row>
    <row r="7440" spans="15:15" x14ac:dyDescent="0.25">
      <c r="O7440" s="21"/>
    </row>
    <row r="7441" spans="15:15" x14ac:dyDescent="0.25">
      <c r="O7441" s="21"/>
    </row>
    <row r="7442" spans="15:15" x14ac:dyDescent="0.25">
      <c r="O7442" s="21"/>
    </row>
    <row r="7443" spans="15:15" x14ac:dyDescent="0.25">
      <c r="O7443" s="21"/>
    </row>
    <row r="7444" spans="15:15" x14ac:dyDescent="0.25">
      <c r="O7444" s="21"/>
    </row>
    <row r="7445" spans="15:15" x14ac:dyDescent="0.25">
      <c r="O7445" s="21"/>
    </row>
    <row r="7446" spans="15:15" x14ac:dyDescent="0.25">
      <c r="O7446" s="21"/>
    </row>
    <row r="7447" spans="15:15" x14ac:dyDescent="0.25">
      <c r="O7447" s="21"/>
    </row>
    <row r="7448" spans="15:15" x14ac:dyDescent="0.25">
      <c r="O7448" s="21"/>
    </row>
    <row r="7449" spans="15:15" x14ac:dyDescent="0.25">
      <c r="O7449" s="21"/>
    </row>
    <row r="7450" spans="15:15" x14ac:dyDescent="0.25">
      <c r="O7450" s="21"/>
    </row>
    <row r="7451" spans="15:15" x14ac:dyDescent="0.25">
      <c r="O7451" s="21"/>
    </row>
    <row r="7452" spans="15:15" x14ac:dyDescent="0.25">
      <c r="O7452" s="21"/>
    </row>
    <row r="7453" spans="15:15" x14ac:dyDescent="0.25">
      <c r="O7453" s="21"/>
    </row>
    <row r="7454" spans="15:15" x14ac:dyDescent="0.25">
      <c r="O7454" s="21"/>
    </row>
    <row r="7455" spans="15:15" x14ac:dyDescent="0.25">
      <c r="O7455" s="21"/>
    </row>
    <row r="7456" spans="15:15" x14ac:dyDescent="0.25">
      <c r="O7456" s="21"/>
    </row>
    <row r="7457" spans="15:15" x14ac:dyDescent="0.25">
      <c r="O7457" s="21"/>
    </row>
    <row r="7458" spans="15:15" x14ac:dyDescent="0.25">
      <c r="O7458" s="21"/>
    </row>
    <row r="7459" spans="15:15" x14ac:dyDescent="0.25">
      <c r="O7459" s="21"/>
    </row>
    <row r="7460" spans="15:15" x14ac:dyDescent="0.25">
      <c r="O7460" s="21"/>
    </row>
    <row r="7461" spans="15:15" x14ac:dyDescent="0.25">
      <c r="O7461" s="21"/>
    </row>
    <row r="7462" spans="15:15" x14ac:dyDescent="0.25">
      <c r="O7462" s="21"/>
    </row>
    <row r="7463" spans="15:15" x14ac:dyDescent="0.25">
      <c r="O7463" s="21"/>
    </row>
    <row r="7464" spans="15:15" x14ac:dyDescent="0.25">
      <c r="O7464" s="21"/>
    </row>
    <row r="7465" spans="15:15" x14ac:dyDescent="0.25">
      <c r="O7465" s="21"/>
    </row>
    <row r="7466" spans="15:15" x14ac:dyDescent="0.25">
      <c r="O7466" s="21"/>
    </row>
    <row r="7467" spans="15:15" x14ac:dyDescent="0.25">
      <c r="O7467" s="21"/>
    </row>
    <row r="7468" spans="15:15" x14ac:dyDescent="0.25">
      <c r="O7468" s="21"/>
    </row>
    <row r="7469" spans="15:15" x14ac:dyDescent="0.25">
      <c r="O7469" s="21"/>
    </row>
    <row r="7470" spans="15:15" x14ac:dyDescent="0.25">
      <c r="O7470" s="21"/>
    </row>
    <row r="7471" spans="15:15" x14ac:dyDescent="0.25">
      <c r="O7471" s="21"/>
    </row>
    <row r="7472" spans="15:15" x14ac:dyDescent="0.25">
      <c r="O7472" s="21"/>
    </row>
    <row r="7473" spans="15:15" x14ac:dyDescent="0.25">
      <c r="O7473" s="21"/>
    </row>
    <row r="7474" spans="15:15" x14ac:dyDescent="0.25">
      <c r="O7474" s="21"/>
    </row>
    <row r="7475" spans="15:15" x14ac:dyDescent="0.25">
      <c r="O7475" s="21"/>
    </row>
    <row r="7476" spans="15:15" x14ac:dyDescent="0.25">
      <c r="O7476" s="21"/>
    </row>
    <row r="7477" spans="15:15" x14ac:dyDescent="0.25">
      <c r="O7477" s="21"/>
    </row>
    <row r="7478" spans="15:15" x14ac:dyDescent="0.25">
      <c r="O7478" s="21"/>
    </row>
    <row r="7479" spans="15:15" x14ac:dyDescent="0.25">
      <c r="O7479" s="21"/>
    </row>
    <row r="7480" spans="15:15" x14ac:dyDescent="0.25">
      <c r="O7480" s="21"/>
    </row>
    <row r="7481" spans="15:15" x14ac:dyDescent="0.25">
      <c r="O7481" s="21"/>
    </row>
    <row r="7482" spans="15:15" x14ac:dyDescent="0.25">
      <c r="O7482" s="21"/>
    </row>
    <row r="7483" spans="15:15" x14ac:dyDescent="0.25">
      <c r="O7483" s="21"/>
    </row>
    <row r="7484" spans="15:15" x14ac:dyDescent="0.25">
      <c r="O7484" s="21"/>
    </row>
    <row r="7485" spans="15:15" x14ac:dyDescent="0.25">
      <c r="O7485" s="21"/>
    </row>
    <row r="7486" spans="15:15" x14ac:dyDescent="0.25">
      <c r="O7486" s="21"/>
    </row>
    <row r="7487" spans="15:15" x14ac:dyDescent="0.25">
      <c r="O7487" s="21"/>
    </row>
    <row r="7488" spans="15:15" x14ac:dyDescent="0.25">
      <c r="O7488" s="21"/>
    </row>
    <row r="7489" spans="15:15" x14ac:dyDescent="0.25">
      <c r="O7489" s="21"/>
    </row>
    <row r="7490" spans="15:15" x14ac:dyDescent="0.25">
      <c r="O7490" s="21"/>
    </row>
    <row r="7491" spans="15:15" x14ac:dyDescent="0.25">
      <c r="O7491" s="21"/>
    </row>
    <row r="7492" spans="15:15" x14ac:dyDescent="0.25">
      <c r="O7492" s="21"/>
    </row>
    <row r="7493" spans="15:15" x14ac:dyDescent="0.25">
      <c r="O7493" s="21"/>
    </row>
    <row r="7494" spans="15:15" x14ac:dyDescent="0.25">
      <c r="O7494" s="21"/>
    </row>
    <row r="7495" spans="15:15" x14ac:dyDescent="0.25">
      <c r="O7495" s="21"/>
    </row>
    <row r="7496" spans="15:15" x14ac:dyDescent="0.25">
      <c r="O7496" s="21"/>
    </row>
    <row r="7497" spans="15:15" x14ac:dyDescent="0.25">
      <c r="O7497" s="21"/>
    </row>
    <row r="7498" spans="15:15" x14ac:dyDescent="0.25">
      <c r="O7498" s="21"/>
    </row>
    <row r="7499" spans="15:15" x14ac:dyDescent="0.25">
      <c r="O7499" s="21"/>
    </row>
    <row r="7500" spans="15:15" x14ac:dyDescent="0.25">
      <c r="O7500" s="21"/>
    </row>
    <row r="7501" spans="15:15" x14ac:dyDescent="0.25">
      <c r="O7501" s="21"/>
    </row>
    <row r="7502" spans="15:15" x14ac:dyDescent="0.25">
      <c r="O7502" s="21"/>
    </row>
    <row r="7503" spans="15:15" x14ac:dyDescent="0.25">
      <c r="O7503" s="21"/>
    </row>
    <row r="7504" spans="15:15" x14ac:dyDescent="0.25">
      <c r="O7504" s="21"/>
    </row>
    <row r="7505" spans="15:15" x14ac:dyDescent="0.25">
      <c r="O7505" s="21"/>
    </row>
    <row r="7506" spans="15:15" x14ac:dyDescent="0.25">
      <c r="O7506" s="21"/>
    </row>
    <row r="7507" spans="15:15" x14ac:dyDescent="0.25">
      <c r="O7507" s="21"/>
    </row>
    <row r="7508" spans="15:15" x14ac:dyDescent="0.25">
      <c r="O7508" s="21"/>
    </row>
    <row r="7509" spans="15:15" x14ac:dyDescent="0.25">
      <c r="O7509" s="21"/>
    </row>
    <row r="7510" spans="15:15" x14ac:dyDescent="0.25">
      <c r="O7510" s="21"/>
    </row>
    <row r="7511" spans="15:15" x14ac:dyDescent="0.25">
      <c r="O7511" s="21"/>
    </row>
    <row r="7512" spans="15:15" x14ac:dyDescent="0.25">
      <c r="O7512" s="21"/>
    </row>
    <row r="7513" spans="15:15" x14ac:dyDescent="0.25">
      <c r="O7513" s="21"/>
    </row>
    <row r="7514" spans="15:15" x14ac:dyDescent="0.25">
      <c r="O7514" s="21"/>
    </row>
    <row r="7515" spans="15:15" x14ac:dyDescent="0.25">
      <c r="O7515" s="21"/>
    </row>
    <row r="7516" spans="15:15" x14ac:dyDescent="0.25">
      <c r="O7516" s="21"/>
    </row>
    <row r="7517" spans="15:15" x14ac:dyDescent="0.25">
      <c r="O7517" s="21"/>
    </row>
    <row r="7518" spans="15:15" x14ac:dyDescent="0.25">
      <c r="O7518" s="21"/>
    </row>
    <row r="7519" spans="15:15" x14ac:dyDescent="0.25">
      <c r="O7519" s="21"/>
    </row>
    <row r="7520" spans="15:15" x14ac:dyDescent="0.25">
      <c r="O7520" s="21"/>
    </row>
    <row r="7521" spans="15:15" x14ac:dyDescent="0.25">
      <c r="O7521" s="21"/>
    </row>
    <row r="7522" spans="15:15" x14ac:dyDescent="0.25">
      <c r="O7522" s="21"/>
    </row>
    <row r="7523" spans="15:15" x14ac:dyDescent="0.25">
      <c r="O7523" s="21"/>
    </row>
    <row r="7524" spans="15:15" x14ac:dyDescent="0.25">
      <c r="O7524" s="21"/>
    </row>
    <row r="7525" spans="15:15" x14ac:dyDescent="0.25">
      <c r="O7525" s="21"/>
    </row>
    <row r="7526" spans="15:15" x14ac:dyDescent="0.25">
      <c r="O7526" s="21"/>
    </row>
    <row r="7527" spans="15:15" x14ac:dyDescent="0.25">
      <c r="O7527" s="21"/>
    </row>
    <row r="7528" spans="15:15" x14ac:dyDescent="0.25">
      <c r="O7528" s="21"/>
    </row>
    <row r="7529" spans="15:15" x14ac:dyDescent="0.25">
      <c r="O7529" s="21"/>
    </row>
    <row r="7530" spans="15:15" x14ac:dyDescent="0.25">
      <c r="O7530" s="21"/>
    </row>
    <row r="7531" spans="15:15" x14ac:dyDescent="0.25">
      <c r="O7531" s="21"/>
    </row>
    <row r="7532" spans="15:15" x14ac:dyDescent="0.25">
      <c r="O7532" s="21"/>
    </row>
    <row r="7533" spans="15:15" x14ac:dyDescent="0.25">
      <c r="O7533" s="21"/>
    </row>
    <row r="7534" spans="15:15" x14ac:dyDescent="0.25">
      <c r="O7534" s="21"/>
    </row>
    <row r="7535" spans="15:15" x14ac:dyDescent="0.25">
      <c r="O7535" s="21"/>
    </row>
    <row r="7536" spans="15:15" x14ac:dyDescent="0.25">
      <c r="O7536" s="21"/>
    </row>
    <row r="7537" spans="15:15" x14ac:dyDescent="0.25">
      <c r="O7537" s="21"/>
    </row>
    <row r="7538" spans="15:15" x14ac:dyDescent="0.25">
      <c r="O7538" s="21"/>
    </row>
    <row r="7539" spans="15:15" x14ac:dyDescent="0.25">
      <c r="O7539" s="21"/>
    </row>
    <row r="7540" spans="15:15" x14ac:dyDescent="0.25">
      <c r="O7540" s="21"/>
    </row>
    <row r="7541" spans="15:15" x14ac:dyDescent="0.25">
      <c r="O7541" s="21"/>
    </row>
    <row r="7542" spans="15:15" x14ac:dyDescent="0.25">
      <c r="O7542" s="21"/>
    </row>
    <row r="7543" spans="15:15" x14ac:dyDescent="0.25">
      <c r="O7543" s="21"/>
    </row>
    <row r="7544" spans="15:15" x14ac:dyDescent="0.25">
      <c r="O7544" s="21"/>
    </row>
    <row r="7545" spans="15:15" x14ac:dyDescent="0.25">
      <c r="O7545" s="21"/>
    </row>
    <row r="7546" spans="15:15" x14ac:dyDescent="0.25">
      <c r="O7546" s="21"/>
    </row>
    <row r="7547" spans="15:15" x14ac:dyDescent="0.25">
      <c r="O7547" s="21"/>
    </row>
    <row r="7548" spans="15:15" x14ac:dyDescent="0.25">
      <c r="O7548" s="21"/>
    </row>
    <row r="7549" spans="15:15" x14ac:dyDescent="0.25">
      <c r="O7549" s="21"/>
    </row>
    <row r="7550" spans="15:15" x14ac:dyDescent="0.25">
      <c r="O7550" s="21"/>
    </row>
    <row r="7551" spans="15:15" x14ac:dyDescent="0.25">
      <c r="O7551" s="21"/>
    </row>
    <row r="7552" spans="15:15" x14ac:dyDescent="0.25">
      <c r="O7552" s="21"/>
    </row>
    <row r="7553" spans="15:15" x14ac:dyDescent="0.25">
      <c r="O7553" s="21"/>
    </row>
    <row r="7554" spans="15:15" x14ac:dyDescent="0.25">
      <c r="O7554" s="21"/>
    </row>
    <row r="7555" spans="15:15" x14ac:dyDescent="0.25">
      <c r="O7555" s="21"/>
    </row>
    <row r="7556" spans="15:15" x14ac:dyDescent="0.25">
      <c r="O7556" s="21"/>
    </row>
    <row r="7557" spans="15:15" x14ac:dyDescent="0.25">
      <c r="O7557" s="21"/>
    </row>
    <row r="7558" spans="15:15" x14ac:dyDescent="0.25">
      <c r="O7558" s="21"/>
    </row>
    <row r="7559" spans="15:15" x14ac:dyDescent="0.25">
      <c r="O7559" s="21"/>
    </row>
    <row r="7560" spans="15:15" x14ac:dyDescent="0.25">
      <c r="O7560" s="21"/>
    </row>
    <row r="7561" spans="15:15" x14ac:dyDescent="0.25">
      <c r="O7561" s="21"/>
    </row>
    <row r="7562" spans="15:15" x14ac:dyDescent="0.25">
      <c r="O7562" s="21"/>
    </row>
    <row r="7563" spans="15:15" x14ac:dyDescent="0.25">
      <c r="O7563" s="21"/>
    </row>
    <row r="7564" spans="15:15" x14ac:dyDescent="0.25">
      <c r="O7564" s="21"/>
    </row>
    <row r="7565" spans="15:15" x14ac:dyDescent="0.25">
      <c r="O7565" s="21"/>
    </row>
    <row r="7566" spans="15:15" x14ac:dyDescent="0.25">
      <c r="O7566" s="21"/>
    </row>
    <row r="7567" spans="15:15" x14ac:dyDescent="0.25">
      <c r="O7567" s="21"/>
    </row>
    <row r="7568" spans="15:15" x14ac:dyDescent="0.25">
      <c r="O7568" s="21"/>
    </row>
    <row r="7569" spans="15:15" x14ac:dyDescent="0.25">
      <c r="O7569" s="21"/>
    </row>
    <row r="7570" spans="15:15" x14ac:dyDescent="0.25">
      <c r="O7570" s="21"/>
    </row>
    <row r="7571" spans="15:15" x14ac:dyDescent="0.25">
      <c r="O7571" s="21"/>
    </row>
    <row r="7572" spans="15:15" x14ac:dyDescent="0.25">
      <c r="O7572" s="21"/>
    </row>
    <row r="7573" spans="15:15" x14ac:dyDescent="0.25">
      <c r="O7573" s="21"/>
    </row>
    <row r="7574" spans="15:15" x14ac:dyDescent="0.25">
      <c r="O7574" s="21"/>
    </row>
    <row r="7575" spans="15:15" x14ac:dyDescent="0.25">
      <c r="O7575" s="21"/>
    </row>
    <row r="7576" spans="15:15" x14ac:dyDescent="0.25">
      <c r="O7576" s="21"/>
    </row>
    <row r="7577" spans="15:15" x14ac:dyDescent="0.25">
      <c r="O7577" s="21"/>
    </row>
    <row r="7578" spans="15:15" x14ac:dyDescent="0.25">
      <c r="O7578" s="21"/>
    </row>
    <row r="7579" spans="15:15" x14ac:dyDescent="0.25">
      <c r="O7579" s="21"/>
    </row>
    <row r="7580" spans="15:15" x14ac:dyDescent="0.25">
      <c r="O7580" s="21"/>
    </row>
    <row r="7581" spans="15:15" x14ac:dyDescent="0.25">
      <c r="O7581" s="21"/>
    </row>
    <row r="7582" spans="15:15" x14ac:dyDescent="0.25">
      <c r="O7582" s="21"/>
    </row>
    <row r="7583" spans="15:15" x14ac:dyDescent="0.25">
      <c r="O7583" s="21"/>
    </row>
    <row r="7584" spans="15:15" x14ac:dyDescent="0.25">
      <c r="O7584" s="21"/>
    </row>
    <row r="7585" spans="15:15" x14ac:dyDescent="0.25">
      <c r="O7585" s="21"/>
    </row>
    <row r="7586" spans="15:15" x14ac:dyDescent="0.25">
      <c r="O7586" s="21"/>
    </row>
    <row r="7587" spans="15:15" x14ac:dyDescent="0.25">
      <c r="O7587" s="21"/>
    </row>
    <row r="7588" spans="15:15" x14ac:dyDescent="0.25">
      <c r="O7588" s="21"/>
    </row>
    <row r="7589" spans="15:15" x14ac:dyDescent="0.25">
      <c r="O7589" s="21"/>
    </row>
    <row r="7590" spans="15:15" x14ac:dyDescent="0.25">
      <c r="O7590" s="21"/>
    </row>
    <row r="7591" spans="15:15" x14ac:dyDescent="0.25">
      <c r="O7591" s="21"/>
    </row>
    <row r="7592" spans="15:15" x14ac:dyDescent="0.25">
      <c r="O7592" s="21"/>
    </row>
    <row r="7593" spans="15:15" x14ac:dyDescent="0.25">
      <c r="O7593" s="21"/>
    </row>
    <row r="7594" spans="15:15" x14ac:dyDescent="0.25">
      <c r="O7594" s="21"/>
    </row>
    <row r="7595" spans="15:15" x14ac:dyDescent="0.25">
      <c r="O7595" s="21"/>
    </row>
    <row r="7596" spans="15:15" x14ac:dyDescent="0.25">
      <c r="O7596" s="21"/>
    </row>
    <row r="7597" spans="15:15" x14ac:dyDescent="0.25">
      <c r="O7597" s="21"/>
    </row>
    <row r="7598" spans="15:15" x14ac:dyDescent="0.25">
      <c r="O7598" s="21"/>
    </row>
    <row r="7599" spans="15:15" x14ac:dyDescent="0.25">
      <c r="O7599" s="21"/>
    </row>
    <row r="7600" spans="15:15" x14ac:dyDescent="0.25">
      <c r="O7600" s="21"/>
    </row>
    <row r="7601" spans="15:15" x14ac:dyDescent="0.25">
      <c r="O7601" s="21"/>
    </row>
    <row r="7602" spans="15:15" x14ac:dyDescent="0.25">
      <c r="O7602" s="21"/>
    </row>
    <row r="7603" spans="15:15" x14ac:dyDescent="0.25">
      <c r="O7603" s="21"/>
    </row>
    <row r="7604" spans="15:15" x14ac:dyDescent="0.25">
      <c r="O7604" s="21"/>
    </row>
    <row r="7605" spans="15:15" x14ac:dyDescent="0.25">
      <c r="O7605" s="21"/>
    </row>
    <row r="7606" spans="15:15" x14ac:dyDescent="0.25">
      <c r="O7606" s="21"/>
    </row>
    <row r="7607" spans="15:15" x14ac:dyDescent="0.25">
      <c r="O7607" s="21"/>
    </row>
    <row r="7608" spans="15:15" x14ac:dyDescent="0.25">
      <c r="O7608" s="21"/>
    </row>
    <row r="7609" spans="15:15" x14ac:dyDescent="0.25">
      <c r="O7609" s="21"/>
    </row>
    <row r="7610" spans="15:15" x14ac:dyDescent="0.25">
      <c r="O7610" s="21"/>
    </row>
    <row r="7611" spans="15:15" x14ac:dyDescent="0.25">
      <c r="O7611" s="21"/>
    </row>
    <row r="7612" spans="15:15" x14ac:dyDescent="0.25">
      <c r="O7612" s="21"/>
    </row>
    <row r="7613" spans="15:15" x14ac:dyDescent="0.25">
      <c r="O7613" s="21"/>
    </row>
    <row r="7614" spans="15:15" x14ac:dyDescent="0.25">
      <c r="O7614" s="21"/>
    </row>
    <row r="7615" spans="15:15" x14ac:dyDescent="0.25">
      <c r="O7615" s="21"/>
    </row>
    <row r="7616" spans="15:15" x14ac:dyDescent="0.25">
      <c r="O7616" s="21"/>
    </row>
    <row r="7617" spans="15:15" x14ac:dyDescent="0.25">
      <c r="O7617" s="21"/>
    </row>
    <row r="7618" spans="15:15" x14ac:dyDescent="0.25">
      <c r="O7618" s="21"/>
    </row>
    <row r="7619" spans="15:15" x14ac:dyDescent="0.25">
      <c r="O7619" s="21"/>
    </row>
    <row r="7620" spans="15:15" x14ac:dyDescent="0.25">
      <c r="O7620" s="21"/>
    </row>
    <row r="7621" spans="15:15" x14ac:dyDescent="0.25">
      <c r="O7621" s="21"/>
    </row>
    <row r="7622" spans="15:15" x14ac:dyDescent="0.25">
      <c r="O7622" s="21"/>
    </row>
    <row r="7623" spans="15:15" x14ac:dyDescent="0.25">
      <c r="O7623" s="21"/>
    </row>
    <row r="7624" spans="15:15" x14ac:dyDescent="0.25">
      <c r="O7624" s="21"/>
    </row>
    <row r="7625" spans="15:15" x14ac:dyDescent="0.25">
      <c r="O7625" s="21"/>
    </row>
    <row r="7626" spans="15:15" x14ac:dyDescent="0.25">
      <c r="O7626" s="21"/>
    </row>
    <row r="7627" spans="15:15" x14ac:dyDescent="0.25">
      <c r="O7627" s="21"/>
    </row>
    <row r="7628" spans="15:15" x14ac:dyDescent="0.25">
      <c r="O7628" s="21"/>
    </row>
    <row r="7629" spans="15:15" x14ac:dyDescent="0.25">
      <c r="O7629" s="21"/>
    </row>
    <row r="7630" spans="15:15" x14ac:dyDescent="0.25">
      <c r="O7630" s="21"/>
    </row>
    <row r="7631" spans="15:15" x14ac:dyDescent="0.25">
      <c r="O7631" s="21"/>
    </row>
    <row r="7632" spans="15:15" x14ac:dyDescent="0.25">
      <c r="O7632" s="21"/>
    </row>
    <row r="7633" spans="15:15" x14ac:dyDescent="0.25">
      <c r="O7633" s="21"/>
    </row>
    <row r="7634" spans="15:15" x14ac:dyDescent="0.25">
      <c r="O7634" s="21"/>
    </row>
    <row r="7635" spans="15:15" x14ac:dyDescent="0.25">
      <c r="O7635" s="21"/>
    </row>
    <row r="7636" spans="15:15" x14ac:dyDescent="0.25">
      <c r="O7636" s="21"/>
    </row>
    <row r="7637" spans="15:15" x14ac:dyDescent="0.25">
      <c r="O7637" s="21"/>
    </row>
    <row r="7638" spans="15:15" x14ac:dyDescent="0.25">
      <c r="O7638" s="21"/>
    </row>
    <row r="7639" spans="15:15" x14ac:dyDescent="0.25">
      <c r="O7639" s="21"/>
    </row>
    <row r="7640" spans="15:15" x14ac:dyDescent="0.25">
      <c r="O7640" s="21"/>
    </row>
    <row r="7641" spans="15:15" x14ac:dyDescent="0.25">
      <c r="O7641" s="21"/>
    </row>
    <row r="7642" spans="15:15" x14ac:dyDescent="0.25">
      <c r="O7642" s="21"/>
    </row>
    <row r="7643" spans="15:15" x14ac:dyDescent="0.25">
      <c r="O7643" s="21"/>
    </row>
    <row r="7644" spans="15:15" x14ac:dyDescent="0.25">
      <c r="O7644" s="21"/>
    </row>
    <row r="7645" spans="15:15" x14ac:dyDescent="0.25">
      <c r="O7645" s="21"/>
    </row>
    <row r="7646" spans="15:15" x14ac:dyDescent="0.25">
      <c r="O7646" s="21"/>
    </row>
    <row r="7647" spans="15:15" x14ac:dyDescent="0.25">
      <c r="O7647" s="21"/>
    </row>
    <row r="7648" spans="15:15" x14ac:dyDescent="0.25">
      <c r="O7648" s="21"/>
    </row>
    <row r="7649" spans="15:15" x14ac:dyDescent="0.25">
      <c r="O7649" s="21"/>
    </row>
    <row r="7650" spans="15:15" x14ac:dyDescent="0.25">
      <c r="O7650" s="21"/>
    </row>
    <row r="7651" spans="15:15" x14ac:dyDescent="0.25">
      <c r="O7651" s="21"/>
    </row>
    <row r="7652" spans="15:15" x14ac:dyDescent="0.25">
      <c r="O7652" s="21"/>
    </row>
    <row r="7653" spans="15:15" x14ac:dyDescent="0.25">
      <c r="O7653" s="21"/>
    </row>
    <row r="7654" spans="15:15" x14ac:dyDescent="0.25">
      <c r="O7654" s="21"/>
    </row>
    <row r="7655" spans="15:15" x14ac:dyDescent="0.25">
      <c r="O7655" s="21"/>
    </row>
    <row r="7656" spans="15:15" x14ac:dyDescent="0.25">
      <c r="O7656" s="21"/>
    </row>
    <row r="7657" spans="15:15" x14ac:dyDescent="0.25">
      <c r="O7657" s="21"/>
    </row>
    <row r="7658" spans="15:15" x14ac:dyDescent="0.25">
      <c r="O7658" s="21"/>
    </row>
    <row r="7659" spans="15:15" x14ac:dyDescent="0.25">
      <c r="O7659" s="21"/>
    </row>
    <row r="7660" spans="15:15" x14ac:dyDescent="0.25">
      <c r="O7660" s="21"/>
    </row>
    <row r="7661" spans="15:15" x14ac:dyDescent="0.25">
      <c r="O7661" s="21"/>
    </row>
    <row r="7662" spans="15:15" x14ac:dyDescent="0.25">
      <c r="O7662" s="21"/>
    </row>
    <row r="7663" spans="15:15" x14ac:dyDescent="0.25">
      <c r="O7663" s="21"/>
    </row>
    <row r="7664" spans="15:15" x14ac:dyDescent="0.25">
      <c r="O7664" s="21"/>
    </row>
    <row r="7665" spans="15:15" x14ac:dyDescent="0.25">
      <c r="O7665" s="21"/>
    </row>
    <row r="7666" spans="15:15" x14ac:dyDescent="0.25">
      <c r="O7666" s="21"/>
    </row>
    <row r="7667" spans="15:15" x14ac:dyDescent="0.25">
      <c r="O7667" s="21"/>
    </row>
    <row r="7668" spans="15:15" x14ac:dyDescent="0.25">
      <c r="O7668" s="21"/>
    </row>
    <row r="7669" spans="15:15" x14ac:dyDescent="0.25">
      <c r="O7669" s="21"/>
    </row>
    <row r="7670" spans="15:15" x14ac:dyDescent="0.25">
      <c r="O7670" s="21"/>
    </row>
    <row r="7671" spans="15:15" x14ac:dyDescent="0.25">
      <c r="O7671" s="21"/>
    </row>
    <row r="7672" spans="15:15" x14ac:dyDescent="0.25">
      <c r="O7672" s="21"/>
    </row>
    <row r="7673" spans="15:15" x14ac:dyDescent="0.25">
      <c r="O7673" s="21"/>
    </row>
    <row r="7674" spans="15:15" x14ac:dyDescent="0.25">
      <c r="O7674" s="21"/>
    </row>
    <row r="7675" spans="15:15" x14ac:dyDescent="0.25">
      <c r="O7675" s="21"/>
    </row>
    <row r="7676" spans="15:15" x14ac:dyDescent="0.25">
      <c r="O7676" s="21"/>
    </row>
    <row r="7677" spans="15:15" x14ac:dyDescent="0.25">
      <c r="O7677" s="21"/>
    </row>
    <row r="7678" spans="15:15" x14ac:dyDescent="0.25">
      <c r="O7678" s="21"/>
    </row>
    <row r="7679" spans="15:15" x14ac:dyDescent="0.25">
      <c r="O7679" s="21"/>
    </row>
    <row r="7680" spans="15:15" x14ac:dyDescent="0.25">
      <c r="O7680" s="21"/>
    </row>
    <row r="7681" spans="15:15" x14ac:dyDescent="0.25">
      <c r="O7681" s="21"/>
    </row>
    <row r="7682" spans="15:15" x14ac:dyDescent="0.25">
      <c r="O7682" s="21"/>
    </row>
    <row r="7683" spans="15:15" x14ac:dyDescent="0.25">
      <c r="O7683" s="21"/>
    </row>
    <row r="7684" spans="15:15" x14ac:dyDescent="0.25">
      <c r="O7684" s="21"/>
    </row>
    <row r="7685" spans="15:15" x14ac:dyDescent="0.25">
      <c r="O7685" s="21"/>
    </row>
    <row r="7686" spans="15:15" x14ac:dyDescent="0.25">
      <c r="O7686" s="21"/>
    </row>
    <row r="7687" spans="15:15" x14ac:dyDescent="0.25">
      <c r="O7687" s="21"/>
    </row>
    <row r="7688" spans="15:15" x14ac:dyDescent="0.25">
      <c r="O7688" s="21"/>
    </row>
    <row r="7689" spans="15:15" x14ac:dyDescent="0.25">
      <c r="O7689" s="21"/>
    </row>
    <row r="7690" spans="15:15" x14ac:dyDescent="0.25">
      <c r="O7690" s="21"/>
    </row>
    <row r="7691" spans="15:15" x14ac:dyDescent="0.25">
      <c r="O7691" s="21"/>
    </row>
    <row r="7692" spans="15:15" x14ac:dyDescent="0.25">
      <c r="O7692" s="21"/>
    </row>
    <row r="7693" spans="15:15" x14ac:dyDescent="0.25">
      <c r="O7693" s="21"/>
    </row>
    <row r="7694" spans="15:15" x14ac:dyDescent="0.25">
      <c r="O7694" s="21"/>
    </row>
    <row r="7695" spans="15:15" x14ac:dyDescent="0.25">
      <c r="O7695" s="21"/>
    </row>
    <row r="7696" spans="15:15" x14ac:dyDescent="0.25">
      <c r="O7696" s="21"/>
    </row>
    <row r="7697" spans="15:15" x14ac:dyDescent="0.25">
      <c r="O7697" s="21"/>
    </row>
    <row r="7698" spans="15:15" x14ac:dyDescent="0.25">
      <c r="O7698" s="21"/>
    </row>
    <row r="7699" spans="15:15" x14ac:dyDescent="0.25">
      <c r="O7699" s="21"/>
    </row>
    <row r="7700" spans="15:15" x14ac:dyDescent="0.25">
      <c r="O7700" s="21"/>
    </row>
    <row r="7701" spans="15:15" x14ac:dyDescent="0.25">
      <c r="O7701" s="21"/>
    </row>
    <row r="7702" spans="15:15" x14ac:dyDescent="0.25">
      <c r="O7702" s="21"/>
    </row>
    <row r="7703" spans="15:15" x14ac:dyDescent="0.25">
      <c r="O7703" s="21"/>
    </row>
    <row r="7704" spans="15:15" x14ac:dyDescent="0.25">
      <c r="O7704" s="21"/>
    </row>
    <row r="7705" spans="15:15" x14ac:dyDescent="0.25">
      <c r="O7705" s="21"/>
    </row>
    <row r="7706" spans="15:15" x14ac:dyDescent="0.25">
      <c r="O7706" s="21"/>
    </row>
    <row r="7707" spans="15:15" x14ac:dyDescent="0.25">
      <c r="O7707" s="21"/>
    </row>
    <row r="7708" spans="15:15" x14ac:dyDescent="0.25">
      <c r="O7708" s="21"/>
    </row>
    <row r="7709" spans="15:15" x14ac:dyDescent="0.25">
      <c r="O7709" s="21"/>
    </row>
    <row r="7710" spans="15:15" x14ac:dyDescent="0.25">
      <c r="O7710" s="21"/>
    </row>
    <row r="7711" spans="15:15" x14ac:dyDescent="0.25">
      <c r="O7711" s="21"/>
    </row>
    <row r="7712" spans="15:15" x14ac:dyDescent="0.25">
      <c r="O7712" s="21"/>
    </row>
    <row r="7713" spans="15:15" x14ac:dyDescent="0.25">
      <c r="O7713" s="21"/>
    </row>
    <row r="7714" spans="15:15" x14ac:dyDescent="0.25">
      <c r="O7714" s="21"/>
    </row>
    <row r="7715" spans="15:15" x14ac:dyDescent="0.25">
      <c r="O7715" s="21"/>
    </row>
    <row r="7716" spans="15:15" x14ac:dyDescent="0.25">
      <c r="O7716" s="21"/>
    </row>
    <row r="7717" spans="15:15" x14ac:dyDescent="0.25">
      <c r="O7717" s="21"/>
    </row>
    <row r="7718" spans="15:15" x14ac:dyDescent="0.25">
      <c r="O7718" s="21"/>
    </row>
    <row r="7719" spans="15:15" x14ac:dyDescent="0.25">
      <c r="O7719" s="21"/>
    </row>
    <row r="7720" spans="15:15" x14ac:dyDescent="0.25">
      <c r="O7720" s="21"/>
    </row>
    <row r="7721" spans="15:15" x14ac:dyDescent="0.25">
      <c r="O7721" s="21"/>
    </row>
    <row r="7722" spans="15:15" x14ac:dyDescent="0.25">
      <c r="O7722" s="21"/>
    </row>
    <row r="7723" spans="15:15" x14ac:dyDescent="0.25">
      <c r="O7723" s="21"/>
    </row>
    <row r="7724" spans="15:15" x14ac:dyDescent="0.25">
      <c r="O7724" s="21"/>
    </row>
    <row r="7725" spans="15:15" x14ac:dyDescent="0.25">
      <c r="O7725" s="21"/>
    </row>
    <row r="7726" spans="15:15" x14ac:dyDescent="0.25">
      <c r="O7726" s="21"/>
    </row>
    <row r="7727" spans="15:15" x14ac:dyDescent="0.25">
      <c r="O7727" s="21"/>
    </row>
    <row r="7728" spans="15:15" x14ac:dyDescent="0.25">
      <c r="O7728" s="21"/>
    </row>
    <row r="7729" spans="15:15" x14ac:dyDescent="0.25">
      <c r="O7729" s="21"/>
    </row>
    <row r="7730" spans="15:15" x14ac:dyDescent="0.25">
      <c r="O7730" s="21"/>
    </row>
    <row r="7731" spans="15:15" x14ac:dyDescent="0.25">
      <c r="O7731" s="21"/>
    </row>
    <row r="7732" spans="15:15" x14ac:dyDescent="0.25">
      <c r="O7732" s="21"/>
    </row>
    <row r="7733" spans="15:15" x14ac:dyDescent="0.25">
      <c r="O7733" s="21"/>
    </row>
    <row r="7734" spans="15:15" x14ac:dyDescent="0.25">
      <c r="O7734" s="21"/>
    </row>
    <row r="7735" spans="15:15" x14ac:dyDescent="0.25">
      <c r="O7735" s="21"/>
    </row>
    <row r="7736" spans="15:15" x14ac:dyDescent="0.25">
      <c r="O7736" s="21"/>
    </row>
    <row r="7737" spans="15:15" x14ac:dyDescent="0.25">
      <c r="O7737" s="21"/>
    </row>
    <row r="7738" spans="15:15" x14ac:dyDescent="0.25">
      <c r="O7738" s="21"/>
    </row>
    <row r="7739" spans="15:15" x14ac:dyDescent="0.25">
      <c r="O7739" s="21"/>
    </row>
    <row r="7740" spans="15:15" x14ac:dyDescent="0.25">
      <c r="O7740" s="21"/>
    </row>
    <row r="7741" spans="15:15" x14ac:dyDescent="0.25">
      <c r="O7741" s="21"/>
    </row>
    <row r="7742" spans="15:15" x14ac:dyDescent="0.25">
      <c r="O7742" s="21"/>
    </row>
    <row r="7743" spans="15:15" x14ac:dyDescent="0.25">
      <c r="O7743" s="21"/>
    </row>
    <row r="7744" spans="15:15" x14ac:dyDescent="0.25">
      <c r="O7744" s="21"/>
    </row>
    <row r="7745" spans="15:15" x14ac:dyDescent="0.25">
      <c r="O7745" s="21"/>
    </row>
    <row r="7746" spans="15:15" x14ac:dyDescent="0.25">
      <c r="O7746" s="21"/>
    </row>
    <row r="7747" spans="15:15" x14ac:dyDescent="0.25">
      <c r="O7747" s="21"/>
    </row>
    <row r="7748" spans="15:15" x14ac:dyDescent="0.25">
      <c r="O7748" s="21"/>
    </row>
    <row r="7749" spans="15:15" x14ac:dyDescent="0.25">
      <c r="O7749" s="21"/>
    </row>
    <row r="7750" spans="15:15" x14ac:dyDescent="0.25">
      <c r="O7750" s="21"/>
    </row>
    <row r="7751" spans="15:15" x14ac:dyDescent="0.25">
      <c r="O7751" s="21"/>
    </row>
    <row r="7752" spans="15:15" x14ac:dyDescent="0.25">
      <c r="O7752" s="21"/>
    </row>
    <row r="7753" spans="15:15" x14ac:dyDescent="0.25">
      <c r="O7753" s="21"/>
    </row>
    <row r="7754" spans="15:15" x14ac:dyDescent="0.25">
      <c r="O7754" s="21"/>
    </row>
    <row r="7755" spans="15:15" x14ac:dyDescent="0.25">
      <c r="O7755" s="21"/>
    </row>
    <row r="7756" spans="15:15" x14ac:dyDescent="0.25">
      <c r="O7756" s="21"/>
    </row>
    <row r="7757" spans="15:15" x14ac:dyDescent="0.25">
      <c r="O7757" s="21"/>
    </row>
    <row r="7758" spans="15:15" x14ac:dyDescent="0.25">
      <c r="O7758" s="21"/>
    </row>
    <row r="7759" spans="15:15" x14ac:dyDescent="0.25">
      <c r="O7759" s="21"/>
    </row>
    <row r="7760" spans="15:15" x14ac:dyDescent="0.25">
      <c r="O7760" s="21"/>
    </row>
    <row r="7761" spans="15:15" x14ac:dyDescent="0.25">
      <c r="O7761" s="21"/>
    </row>
    <row r="7762" spans="15:15" x14ac:dyDescent="0.25">
      <c r="O7762" s="21"/>
    </row>
    <row r="7763" spans="15:15" x14ac:dyDescent="0.25">
      <c r="O7763" s="21"/>
    </row>
    <row r="7764" spans="15:15" x14ac:dyDescent="0.25">
      <c r="O7764" s="21"/>
    </row>
    <row r="7765" spans="15:15" x14ac:dyDescent="0.25">
      <c r="O7765" s="21"/>
    </row>
    <row r="7766" spans="15:15" x14ac:dyDescent="0.25">
      <c r="O7766" s="21"/>
    </row>
    <row r="7767" spans="15:15" x14ac:dyDescent="0.25">
      <c r="O7767" s="21"/>
    </row>
    <row r="7768" spans="15:15" x14ac:dyDescent="0.25">
      <c r="O7768" s="21"/>
    </row>
    <row r="7769" spans="15:15" x14ac:dyDescent="0.25">
      <c r="O7769" s="21"/>
    </row>
    <row r="7770" spans="15:15" x14ac:dyDescent="0.25">
      <c r="O7770" s="21"/>
    </row>
    <row r="7771" spans="15:15" x14ac:dyDescent="0.25">
      <c r="O7771" s="21"/>
    </row>
    <row r="7772" spans="15:15" x14ac:dyDescent="0.25">
      <c r="O7772" s="21"/>
    </row>
    <row r="7773" spans="15:15" x14ac:dyDescent="0.25">
      <c r="O7773" s="21"/>
    </row>
    <row r="7774" spans="15:15" x14ac:dyDescent="0.25">
      <c r="O7774" s="21"/>
    </row>
    <row r="7775" spans="15:15" x14ac:dyDescent="0.25">
      <c r="O7775" s="21"/>
    </row>
    <row r="7776" spans="15:15" x14ac:dyDescent="0.25">
      <c r="O7776" s="21"/>
    </row>
    <row r="7777" spans="15:15" x14ac:dyDescent="0.25">
      <c r="O7777" s="21"/>
    </row>
    <row r="7778" spans="15:15" x14ac:dyDescent="0.25">
      <c r="O7778" s="21"/>
    </row>
    <row r="7779" spans="15:15" x14ac:dyDescent="0.25">
      <c r="O7779" s="21"/>
    </row>
    <row r="7780" spans="15:15" x14ac:dyDescent="0.25">
      <c r="O7780" s="21"/>
    </row>
    <row r="7781" spans="15:15" x14ac:dyDescent="0.25">
      <c r="O7781" s="21"/>
    </row>
    <row r="7782" spans="15:15" x14ac:dyDescent="0.25">
      <c r="O7782" s="21"/>
    </row>
    <row r="7783" spans="15:15" x14ac:dyDescent="0.25">
      <c r="O7783" s="21"/>
    </row>
    <row r="7784" spans="15:15" x14ac:dyDescent="0.25">
      <c r="O7784" s="21"/>
    </row>
    <row r="7785" spans="15:15" x14ac:dyDescent="0.25">
      <c r="O7785" s="21"/>
    </row>
    <row r="7786" spans="15:15" x14ac:dyDescent="0.25">
      <c r="O7786" s="21"/>
    </row>
    <row r="7787" spans="15:15" x14ac:dyDescent="0.25">
      <c r="O7787" s="21"/>
    </row>
    <row r="7788" spans="15:15" x14ac:dyDescent="0.25">
      <c r="O7788" s="21"/>
    </row>
    <row r="7789" spans="15:15" x14ac:dyDescent="0.25">
      <c r="O7789" s="21"/>
    </row>
    <row r="7790" spans="15:15" x14ac:dyDescent="0.25">
      <c r="O7790" s="21"/>
    </row>
    <row r="7791" spans="15:15" x14ac:dyDescent="0.25">
      <c r="O7791" s="21"/>
    </row>
    <row r="7792" spans="15:15" x14ac:dyDescent="0.25">
      <c r="O7792" s="21"/>
    </row>
    <row r="7793" spans="15:15" x14ac:dyDescent="0.25">
      <c r="O7793" s="21"/>
    </row>
    <row r="7794" spans="15:15" x14ac:dyDescent="0.25">
      <c r="O7794" s="21"/>
    </row>
    <row r="7795" spans="15:15" x14ac:dyDescent="0.25">
      <c r="O7795" s="21"/>
    </row>
    <row r="7796" spans="15:15" x14ac:dyDescent="0.25">
      <c r="O7796" s="21"/>
    </row>
    <row r="7797" spans="15:15" x14ac:dyDescent="0.25">
      <c r="O7797" s="21"/>
    </row>
    <row r="7798" spans="15:15" x14ac:dyDescent="0.25">
      <c r="O7798" s="21"/>
    </row>
    <row r="7799" spans="15:15" x14ac:dyDescent="0.25">
      <c r="O7799" s="21"/>
    </row>
    <row r="7800" spans="15:15" x14ac:dyDescent="0.25">
      <c r="O7800" s="21"/>
    </row>
    <row r="7801" spans="15:15" x14ac:dyDescent="0.25">
      <c r="O7801" s="21"/>
    </row>
    <row r="7802" spans="15:15" x14ac:dyDescent="0.25">
      <c r="O7802" s="21"/>
    </row>
    <row r="7803" spans="15:15" x14ac:dyDescent="0.25">
      <c r="O7803" s="21"/>
    </row>
    <row r="7804" spans="15:15" x14ac:dyDescent="0.25">
      <c r="O7804" s="21"/>
    </row>
    <row r="7805" spans="15:15" x14ac:dyDescent="0.25">
      <c r="O7805" s="21"/>
    </row>
    <row r="7806" spans="15:15" x14ac:dyDescent="0.25">
      <c r="O7806" s="21"/>
    </row>
    <row r="7807" spans="15:15" x14ac:dyDescent="0.25">
      <c r="O7807" s="21"/>
    </row>
    <row r="7808" spans="15:15" x14ac:dyDescent="0.25">
      <c r="O7808" s="21"/>
    </row>
    <row r="7809" spans="15:15" x14ac:dyDescent="0.25">
      <c r="O7809" s="21"/>
    </row>
    <row r="7810" spans="15:15" x14ac:dyDescent="0.25">
      <c r="O7810" s="21"/>
    </row>
    <row r="7811" spans="15:15" x14ac:dyDescent="0.25">
      <c r="O7811" s="21"/>
    </row>
    <row r="7812" spans="15:15" x14ac:dyDescent="0.25">
      <c r="O7812" s="21"/>
    </row>
    <row r="7813" spans="15:15" x14ac:dyDescent="0.25">
      <c r="O7813" s="21"/>
    </row>
    <row r="7814" spans="15:15" x14ac:dyDescent="0.25">
      <c r="O7814" s="21"/>
    </row>
    <row r="7815" spans="15:15" x14ac:dyDescent="0.25">
      <c r="O7815" s="21"/>
    </row>
    <row r="7816" spans="15:15" x14ac:dyDescent="0.25">
      <c r="O7816" s="21"/>
    </row>
    <row r="7817" spans="15:15" x14ac:dyDescent="0.25">
      <c r="O7817" s="21"/>
    </row>
    <row r="7818" spans="15:15" x14ac:dyDescent="0.25">
      <c r="O7818" s="21"/>
    </row>
    <row r="7819" spans="15:15" x14ac:dyDescent="0.25">
      <c r="O7819" s="21"/>
    </row>
    <row r="7820" spans="15:15" x14ac:dyDescent="0.25">
      <c r="O7820" s="21"/>
    </row>
    <row r="7821" spans="15:15" x14ac:dyDescent="0.25">
      <c r="O7821" s="21"/>
    </row>
    <row r="7822" spans="15:15" x14ac:dyDescent="0.25">
      <c r="O7822" s="21"/>
    </row>
    <row r="7823" spans="15:15" x14ac:dyDescent="0.25">
      <c r="O7823" s="21"/>
    </row>
    <row r="7824" spans="15:15" x14ac:dyDescent="0.25">
      <c r="O7824" s="21"/>
    </row>
    <row r="7825" spans="15:15" x14ac:dyDescent="0.25">
      <c r="O7825" s="21"/>
    </row>
    <row r="7826" spans="15:15" x14ac:dyDescent="0.25">
      <c r="O7826" s="21"/>
    </row>
    <row r="7827" spans="15:15" x14ac:dyDescent="0.25">
      <c r="O7827" s="21"/>
    </row>
    <row r="7828" spans="15:15" x14ac:dyDescent="0.25">
      <c r="O7828" s="21"/>
    </row>
    <row r="7829" spans="15:15" x14ac:dyDescent="0.25">
      <c r="O7829" s="21"/>
    </row>
    <row r="7830" spans="15:15" x14ac:dyDescent="0.25">
      <c r="O7830" s="21"/>
    </row>
    <row r="7831" spans="15:15" x14ac:dyDescent="0.25">
      <c r="O7831" s="21"/>
    </row>
    <row r="7832" spans="15:15" x14ac:dyDescent="0.25">
      <c r="O7832" s="21"/>
    </row>
    <row r="7833" spans="15:15" x14ac:dyDescent="0.25">
      <c r="O7833" s="21"/>
    </row>
    <row r="7834" spans="15:15" x14ac:dyDescent="0.25">
      <c r="O7834" s="21"/>
    </row>
    <row r="7835" spans="15:15" x14ac:dyDescent="0.25">
      <c r="O7835" s="21"/>
    </row>
    <row r="7836" spans="15:15" x14ac:dyDescent="0.25">
      <c r="O7836" s="21"/>
    </row>
    <row r="7837" spans="15:15" x14ac:dyDescent="0.25">
      <c r="O7837" s="21"/>
    </row>
    <row r="7838" spans="15:15" x14ac:dyDescent="0.25">
      <c r="O7838" s="21"/>
    </row>
    <row r="7839" spans="15:15" x14ac:dyDescent="0.25">
      <c r="O7839" s="21"/>
    </row>
    <row r="7840" spans="15:15" x14ac:dyDescent="0.25">
      <c r="O7840" s="21"/>
    </row>
    <row r="7841" spans="15:15" x14ac:dyDescent="0.25">
      <c r="O7841" s="21"/>
    </row>
    <row r="7842" spans="15:15" x14ac:dyDescent="0.25">
      <c r="O7842" s="21"/>
    </row>
    <row r="7843" spans="15:15" x14ac:dyDescent="0.25">
      <c r="O7843" s="21"/>
    </row>
    <row r="7844" spans="15:15" x14ac:dyDescent="0.25">
      <c r="O7844" s="21"/>
    </row>
    <row r="7845" spans="15:15" x14ac:dyDescent="0.25">
      <c r="O7845" s="21"/>
    </row>
    <row r="7846" spans="15:15" x14ac:dyDescent="0.25">
      <c r="O7846" s="21"/>
    </row>
    <row r="7847" spans="15:15" x14ac:dyDescent="0.25">
      <c r="O7847" s="21"/>
    </row>
    <row r="7848" spans="15:15" x14ac:dyDescent="0.25">
      <c r="O7848" s="21"/>
    </row>
    <row r="7849" spans="15:15" x14ac:dyDescent="0.25">
      <c r="O7849" s="21"/>
    </row>
    <row r="7850" spans="15:15" x14ac:dyDescent="0.25">
      <c r="O7850" s="21"/>
    </row>
    <row r="7851" spans="15:15" x14ac:dyDescent="0.25">
      <c r="O7851" s="21"/>
    </row>
    <row r="7852" spans="15:15" x14ac:dyDescent="0.25">
      <c r="O7852" s="21"/>
    </row>
    <row r="7853" spans="15:15" x14ac:dyDescent="0.25">
      <c r="O7853" s="21"/>
    </row>
    <row r="7854" spans="15:15" x14ac:dyDescent="0.25">
      <c r="O7854" s="21"/>
    </row>
    <row r="7855" spans="15:15" x14ac:dyDescent="0.25">
      <c r="O7855" s="21"/>
    </row>
    <row r="7856" spans="15:15" x14ac:dyDescent="0.25">
      <c r="O7856" s="21"/>
    </row>
    <row r="7857" spans="15:15" x14ac:dyDescent="0.25">
      <c r="O7857" s="21"/>
    </row>
    <row r="7858" spans="15:15" x14ac:dyDescent="0.25">
      <c r="O7858" s="21"/>
    </row>
    <row r="7859" spans="15:15" x14ac:dyDescent="0.25">
      <c r="O7859" s="21"/>
    </row>
    <row r="7860" spans="15:15" x14ac:dyDescent="0.25">
      <c r="O7860" s="21"/>
    </row>
    <row r="7861" spans="15:15" x14ac:dyDescent="0.25">
      <c r="O7861" s="21"/>
    </row>
    <row r="7862" spans="15:15" x14ac:dyDescent="0.25">
      <c r="O7862" s="21"/>
    </row>
    <row r="7863" spans="15:15" x14ac:dyDescent="0.25">
      <c r="O7863" s="21"/>
    </row>
    <row r="7864" spans="15:15" x14ac:dyDescent="0.25">
      <c r="O7864" s="21"/>
    </row>
    <row r="7865" spans="15:15" x14ac:dyDescent="0.25">
      <c r="O7865" s="21"/>
    </row>
    <row r="7866" spans="15:15" x14ac:dyDescent="0.25">
      <c r="O7866" s="21"/>
    </row>
    <row r="7867" spans="15:15" x14ac:dyDescent="0.25">
      <c r="O7867" s="21"/>
    </row>
    <row r="7868" spans="15:15" x14ac:dyDescent="0.25">
      <c r="O7868" s="21"/>
    </row>
    <row r="7869" spans="15:15" x14ac:dyDescent="0.25">
      <c r="O7869" s="21"/>
    </row>
    <row r="7870" spans="15:15" x14ac:dyDescent="0.25">
      <c r="O7870" s="21"/>
    </row>
    <row r="7871" spans="15:15" x14ac:dyDescent="0.25">
      <c r="O7871" s="21"/>
    </row>
    <row r="7872" spans="15:15" x14ac:dyDescent="0.25">
      <c r="O7872" s="21"/>
    </row>
    <row r="7873" spans="15:15" x14ac:dyDescent="0.25">
      <c r="O7873" s="21"/>
    </row>
    <row r="7874" spans="15:15" x14ac:dyDescent="0.25">
      <c r="O7874" s="21"/>
    </row>
    <row r="7875" spans="15:15" x14ac:dyDescent="0.25">
      <c r="O7875" s="21"/>
    </row>
    <row r="7876" spans="15:15" x14ac:dyDescent="0.25">
      <c r="O7876" s="21"/>
    </row>
    <row r="7877" spans="15:15" x14ac:dyDescent="0.25">
      <c r="O7877" s="21"/>
    </row>
    <row r="7878" spans="15:15" x14ac:dyDescent="0.25">
      <c r="O7878" s="21"/>
    </row>
    <row r="7879" spans="15:15" x14ac:dyDescent="0.25">
      <c r="O7879" s="21"/>
    </row>
    <row r="7880" spans="15:15" x14ac:dyDescent="0.25">
      <c r="O7880" s="21"/>
    </row>
    <row r="7881" spans="15:15" x14ac:dyDescent="0.25">
      <c r="O7881" s="21"/>
    </row>
    <row r="7882" spans="15:15" x14ac:dyDescent="0.25">
      <c r="O7882" s="21"/>
    </row>
    <row r="7883" spans="15:15" x14ac:dyDescent="0.25">
      <c r="O7883" s="21"/>
    </row>
    <row r="7884" spans="15:15" x14ac:dyDescent="0.25">
      <c r="O7884" s="21"/>
    </row>
    <row r="7885" spans="15:15" x14ac:dyDescent="0.25">
      <c r="O7885" s="21"/>
    </row>
    <row r="7886" spans="15:15" x14ac:dyDescent="0.25">
      <c r="O7886" s="21"/>
    </row>
    <row r="7887" spans="15:15" x14ac:dyDescent="0.25">
      <c r="O7887" s="21"/>
    </row>
    <row r="7888" spans="15:15" x14ac:dyDescent="0.25">
      <c r="O7888" s="21"/>
    </row>
    <row r="7889" spans="15:15" x14ac:dyDescent="0.25">
      <c r="O7889" s="21"/>
    </row>
    <row r="7890" spans="15:15" x14ac:dyDescent="0.25">
      <c r="O7890" s="21"/>
    </row>
    <row r="7891" spans="15:15" x14ac:dyDescent="0.25">
      <c r="O7891" s="21"/>
    </row>
    <row r="7892" spans="15:15" x14ac:dyDescent="0.25">
      <c r="O7892" s="21"/>
    </row>
    <row r="7893" spans="15:15" x14ac:dyDescent="0.25">
      <c r="O7893" s="21"/>
    </row>
    <row r="7894" spans="15:15" x14ac:dyDescent="0.25">
      <c r="O7894" s="21"/>
    </row>
    <row r="7895" spans="15:15" x14ac:dyDescent="0.25">
      <c r="O7895" s="21"/>
    </row>
    <row r="7896" spans="15:15" x14ac:dyDescent="0.25">
      <c r="O7896" s="21"/>
    </row>
    <row r="7897" spans="15:15" x14ac:dyDescent="0.25">
      <c r="O7897" s="21"/>
    </row>
    <row r="7898" spans="15:15" x14ac:dyDescent="0.25">
      <c r="O7898" s="21"/>
    </row>
    <row r="7899" spans="15:15" x14ac:dyDescent="0.25">
      <c r="O7899" s="21"/>
    </row>
    <row r="7900" spans="15:15" x14ac:dyDescent="0.25">
      <c r="O7900" s="21"/>
    </row>
    <row r="7901" spans="15:15" x14ac:dyDescent="0.25">
      <c r="O7901" s="21"/>
    </row>
    <row r="7902" spans="15:15" x14ac:dyDescent="0.25">
      <c r="O7902" s="21"/>
    </row>
    <row r="7903" spans="15:15" x14ac:dyDescent="0.25">
      <c r="O7903" s="21"/>
    </row>
    <row r="7904" spans="15:15" x14ac:dyDescent="0.25">
      <c r="O7904" s="21"/>
    </row>
    <row r="7905" spans="15:15" x14ac:dyDescent="0.25">
      <c r="O7905" s="21"/>
    </row>
    <row r="7906" spans="15:15" x14ac:dyDescent="0.25">
      <c r="O7906" s="21"/>
    </row>
    <row r="7907" spans="15:15" x14ac:dyDescent="0.25">
      <c r="O7907" s="21"/>
    </row>
    <row r="7908" spans="15:15" x14ac:dyDescent="0.25">
      <c r="O7908" s="21"/>
    </row>
    <row r="7909" spans="15:15" x14ac:dyDescent="0.25">
      <c r="O7909" s="21"/>
    </row>
    <row r="7910" spans="15:15" x14ac:dyDescent="0.25">
      <c r="O7910" s="21"/>
    </row>
    <row r="7911" spans="15:15" x14ac:dyDescent="0.25">
      <c r="O7911" s="21"/>
    </row>
    <row r="7912" spans="15:15" x14ac:dyDescent="0.25">
      <c r="O7912" s="21"/>
    </row>
    <row r="7913" spans="15:15" x14ac:dyDescent="0.25">
      <c r="O7913" s="21"/>
    </row>
    <row r="7914" spans="15:15" x14ac:dyDescent="0.25">
      <c r="O7914" s="21"/>
    </row>
    <row r="7915" spans="15:15" x14ac:dyDescent="0.25">
      <c r="O7915" s="21"/>
    </row>
    <row r="7916" spans="15:15" x14ac:dyDescent="0.25">
      <c r="O7916" s="21"/>
    </row>
    <row r="7917" spans="15:15" x14ac:dyDescent="0.25">
      <c r="O7917" s="21"/>
    </row>
    <row r="7918" spans="15:15" x14ac:dyDescent="0.25">
      <c r="O7918" s="21"/>
    </row>
    <row r="7919" spans="15:15" x14ac:dyDescent="0.25">
      <c r="O7919" s="21"/>
    </row>
    <row r="7920" spans="15:15" x14ac:dyDescent="0.25">
      <c r="O7920" s="21"/>
    </row>
    <row r="7921" spans="15:15" x14ac:dyDescent="0.25">
      <c r="O7921" s="21"/>
    </row>
    <row r="7922" spans="15:15" x14ac:dyDescent="0.25">
      <c r="O7922" s="21"/>
    </row>
    <row r="7923" spans="15:15" x14ac:dyDescent="0.25">
      <c r="O7923" s="21"/>
    </row>
    <row r="7924" spans="15:15" x14ac:dyDescent="0.25">
      <c r="O7924" s="21"/>
    </row>
    <row r="7925" spans="15:15" x14ac:dyDescent="0.25">
      <c r="O7925" s="21"/>
    </row>
    <row r="7926" spans="15:15" x14ac:dyDescent="0.25">
      <c r="O7926" s="21"/>
    </row>
    <row r="7927" spans="15:15" x14ac:dyDescent="0.25">
      <c r="O7927" s="21"/>
    </row>
    <row r="7928" spans="15:15" x14ac:dyDescent="0.25">
      <c r="O7928" s="21"/>
    </row>
    <row r="7929" spans="15:15" x14ac:dyDescent="0.25">
      <c r="O7929" s="21"/>
    </row>
    <row r="7930" spans="15:15" x14ac:dyDescent="0.25">
      <c r="O7930" s="21"/>
    </row>
    <row r="7931" spans="15:15" x14ac:dyDescent="0.25">
      <c r="O7931" s="21"/>
    </row>
    <row r="7932" spans="15:15" x14ac:dyDescent="0.25">
      <c r="O7932" s="21"/>
    </row>
    <row r="7933" spans="15:15" x14ac:dyDescent="0.25">
      <c r="O7933" s="21"/>
    </row>
    <row r="7934" spans="15:15" x14ac:dyDescent="0.25">
      <c r="O7934" s="21"/>
    </row>
    <row r="7935" spans="15:15" x14ac:dyDescent="0.25">
      <c r="O7935" s="21"/>
    </row>
    <row r="7936" spans="15:15" x14ac:dyDescent="0.25">
      <c r="O7936" s="21"/>
    </row>
    <row r="7937" spans="15:15" x14ac:dyDescent="0.25">
      <c r="O7937" s="21"/>
    </row>
    <row r="7938" spans="15:15" x14ac:dyDescent="0.25">
      <c r="O7938" s="21"/>
    </row>
    <row r="7939" spans="15:15" x14ac:dyDescent="0.25">
      <c r="O7939" s="21"/>
    </row>
    <row r="7940" spans="15:15" x14ac:dyDescent="0.25">
      <c r="O7940" s="21"/>
    </row>
    <row r="7941" spans="15:15" x14ac:dyDescent="0.25">
      <c r="O7941" s="21"/>
    </row>
    <row r="7942" spans="15:15" x14ac:dyDescent="0.25">
      <c r="O7942" s="21"/>
    </row>
    <row r="7943" spans="15:15" x14ac:dyDescent="0.25">
      <c r="O7943" s="21"/>
    </row>
    <row r="7944" spans="15:15" x14ac:dyDescent="0.25">
      <c r="O7944" s="21"/>
    </row>
    <row r="7945" spans="15:15" x14ac:dyDescent="0.25">
      <c r="O7945" s="21"/>
    </row>
    <row r="7946" spans="15:15" x14ac:dyDescent="0.25">
      <c r="O7946" s="21"/>
    </row>
    <row r="7947" spans="15:15" x14ac:dyDescent="0.25">
      <c r="O7947" s="21"/>
    </row>
    <row r="7948" spans="15:15" x14ac:dyDescent="0.25">
      <c r="O7948" s="21"/>
    </row>
    <row r="7949" spans="15:15" x14ac:dyDescent="0.25">
      <c r="O7949" s="21"/>
    </row>
    <row r="7950" spans="15:15" x14ac:dyDescent="0.25">
      <c r="O7950" s="21"/>
    </row>
    <row r="7951" spans="15:15" x14ac:dyDescent="0.25">
      <c r="O7951" s="21"/>
    </row>
    <row r="7952" spans="15:15" x14ac:dyDescent="0.25">
      <c r="O7952" s="21"/>
    </row>
    <row r="7953" spans="15:15" x14ac:dyDescent="0.25">
      <c r="O7953" s="21"/>
    </row>
    <row r="7954" spans="15:15" x14ac:dyDescent="0.25">
      <c r="O7954" s="21"/>
    </row>
    <row r="7955" spans="15:15" x14ac:dyDescent="0.25">
      <c r="O7955" s="21"/>
    </row>
    <row r="7956" spans="15:15" x14ac:dyDescent="0.25">
      <c r="O7956" s="21"/>
    </row>
    <row r="7957" spans="15:15" x14ac:dyDescent="0.25">
      <c r="O7957" s="21"/>
    </row>
    <row r="7958" spans="15:15" x14ac:dyDescent="0.25">
      <c r="O7958" s="21"/>
    </row>
    <row r="7959" spans="15:15" x14ac:dyDescent="0.25">
      <c r="O7959" s="21"/>
    </row>
    <row r="7960" spans="15:15" x14ac:dyDescent="0.25">
      <c r="O7960" s="21"/>
    </row>
    <row r="7961" spans="15:15" x14ac:dyDescent="0.25">
      <c r="O7961" s="21"/>
    </row>
    <row r="7962" spans="15:15" x14ac:dyDescent="0.25">
      <c r="O7962" s="21"/>
    </row>
    <row r="7963" spans="15:15" x14ac:dyDescent="0.25">
      <c r="O7963" s="21"/>
    </row>
    <row r="7964" spans="15:15" x14ac:dyDescent="0.25">
      <c r="O7964" s="21"/>
    </row>
    <row r="7965" spans="15:15" x14ac:dyDescent="0.25">
      <c r="O7965" s="21"/>
    </row>
    <row r="7966" spans="15:15" x14ac:dyDescent="0.25">
      <c r="O7966" s="21"/>
    </row>
    <row r="7967" spans="15:15" x14ac:dyDescent="0.25">
      <c r="O7967" s="21"/>
    </row>
    <row r="7968" spans="15:15" x14ac:dyDescent="0.25">
      <c r="O7968" s="21"/>
    </row>
    <row r="7969" spans="15:15" x14ac:dyDescent="0.25">
      <c r="O7969" s="21"/>
    </row>
    <row r="7970" spans="15:15" x14ac:dyDescent="0.25">
      <c r="O7970" s="21"/>
    </row>
    <row r="7971" spans="15:15" x14ac:dyDescent="0.25">
      <c r="O7971" s="21"/>
    </row>
    <row r="7972" spans="15:15" x14ac:dyDescent="0.25">
      <c r="O7972" s="21"/>
    </row>
    <row r="7973" spans="15:15" x14ac:dyDescent="0.25">
      <c r="O7973" s="21"/>
    </row>
    <row r="7974" spans="15:15" x14ac:dyDescent="0.25">
      <c r="O7974" s="21"/>
    </row>
    <row r="7975" spans="15:15" x14ac:dyDescent="0.25">
      <c r="O7975" s="21"/>
    </row>
    <row r="7976" spans="15:15" x14ac:dyDescent="0.25">
      <c r="O7976" s="21"/>
    </row>
    <row r="7977" spans="15:15" x14ac:dyDescent="0.25">
      <c r="O7977" s="21"/>
    </row>
    <row r="7978" spans="15:15" x14ac:dyDescent="0.25">
      <c r="O7978" s="21"/>
    </row>
    <row r="7979" spans="15:15" x14ac:dyDescent="0.25">
      <c r="O7979" s="21"/>
    </row>
    <row r="7980" spans="15:15" x14ac:dyDescent="0.25">
      <c r="O7980" s="21"/>
    </row>
    <row r="7981" spans="15:15" x14ac:dyDescent="0.25">
      <c r="O7981" s="21"/>
    </row>
    <row r="7982" spans="15:15" x14ac:dyDescent="0.25">
      <c r="O7982" s="21"/>
    </row>
    <row r="7983" spans="15:15" x14ac:dyDescent="0.25">
      <c r="O7983" s="21"/>
    </row>
    <row r="7984" spans="15:15" x14ac:dyDescent="0.25">
      <c r="O7984" s="21"/>
    </row>
    <row r="7985" spans="15:15" x14ac:dyDescent="0.25">
      <c r="O7985" s="21"/>
    </row>
    <row r="7986" spans="15:15" x14ac:dyDescent="0.25">
      <c r="O7986" s="21"/>
    </row>
    <row r="7987" spans="15:15" x14ac:dyDescent="0.25">
      <c r="O7987" s="21"/>
    </row>
    <row r="7988" spans="15:15" x14ac:dyDescent="0.25">
      <c r="O7988" s="21"/>
    </row>
    <row r="7989" spans="15:15" x14ac:dyDescent="0.25">
      <c r="O7989" s="21"/>
    </row>
    <row r="7990" spans="15:15" x14ac:dyDescent="0.25">
      <c r="O7990" s="21"/>
    </row>
    <row r="7991" spans="15:15" x14ac:dyDescent="0.25">
      <c r="O7991" s="21"/>
    </row>
    <row r="7992" spans="15:15" x14ac:dyDescent="0.25">
      <c r="O7992" s="21"/>
    </row>
    <row r="7993" spans="15:15" x14ac:dyDescent="0.25">
      <c r="O7993" s="21"/>
    </row>
    <row r="7994" spans="15:15" x14ac:dyDescent="0.25">
      <c r="O7994" s="21"/>
    </row>
    <row r="7995" spans="15:15" x14ac:dyDescent="0.25">
      <c r="O7995" s="21"/>
    </row>
    <row r="7996" spans="15:15" x14ac:dyDescent="0.25">
      <c r="O7996" s="21"/>
    </row>
    <row r="7997" spans="15:15" x14ac:dyDescent="0.25">
      <c r="O7997" s="21"/>
    </row>
    <row r="7998" spans="15:15" x14ac:dyDescent="0.25">
      <c r="O7998" s="21"/>
    </row>
    <row r="7999" spans="15:15" x14ac:dyDescent="0.25">
      <c r="O7999" s="21"/>
    </row>
    <row r="8000" spans="15:15" x14ac:dyDescent="0.25">
      <c r="O8000" s="21"/>
    </row>
    <row r="8001" spans="15:15" x14ac:dyDescent="0.25">
      <c r="O8001" s="21"/>
    </row>
    <row r="8002" spans="15:15" x14ac:dyDescent="0.25">
      <c r="O8002" s="21"/>
    </row>
    <row r="8003" spans="15:15" x14ac:dyDescent="0.25">
      <c r="O8003" s="21"/>
    </row>
    <row r="8004" spans="15:15" x14ac:dyDescent="0.25">
      <c r="O8004" s="21"/>
    </row>
    <row r="8005" spans="15:15" x14ac:dyDescent="0.25">
      <c r="O8005" s="21"/>
    </row>
    <row r="8006" spans="15:15" x14ac:dyDescent="0.25">
      <c r="O8006" s="21"/>
    </row>
    <row r="8007" spans="15:15" x14ac:dyDescent="0.25">
      <c r="O8007" s="21"/>
    </row>
    <row r="8008" spans="15:15" x14ac:dyDescent="0.25">
      <c r="O8008" s="21"/>
    </row>
    <row r="8009" spans="15:15" x14ac:dyDescent="0.25">
      <c r="O8009" s="21"/>
    </row>
    <row r="8010" spans="15:15" x14ac:dyDescent="0.25">
      <c r="O8010" s="21"/>
    </row>
    <row r="8011" spans="15:15" x14ac:dyDescent="0.25">
      <c r="O8011" s="21"/>
    </row>
    <row r="8012" spans="15:15" x14ac:dyDescent="0.25">
      <c r="O8012" s="21"/>
    </row>
    <row r="8013" spans="15:15" x14ac:dyDescent="0.25">
      <c r="O8013" s="21"/>
    </row>
    <row r="8014" spans="15:15" x14ac:dyDescent="0.25">
      <c r="O8014" s="21"/>
    </row>
    <row r="8015" spans="15:15" x14ac:dyDescent="0.25">
      <c r="O8015" s="21"/>
    </row>
    <row r="8016" spans="15:15" x14ac:dyDescent="0.25">
      <c r="O8016" s="21"/>
    </row>
    <row r="8017" spans="15:15" x14ac:dyDescent="0.25">
      <c r="O8017" s="21"/>
    </row>
    <row r="8018" spans="15:15" x14ac:dyDescent="0.25">
      <c r="O8018" s="21"/>
    </row>
    <row r="8019" spans="15:15" x14ac:dyDescent="0.25">
      <c r="O8019" s="21"/>
    </row>
    <row r="8020" spans="15:15" x14ac:dyDescent="0.25">
      <c r="O8020" s="21"/>
    </row>
    <row r="8021" spans="15:15" x14ac:dyDescent="0.25">
      <c r="O8021" s="21"/>
    </row>
    <row r="8022" spans="15:15" x14ac:dyDescent="0.25">
      <c r="O8022" s="21"/>
    </row>
    <row r="8023" spans="15:15" x14ac:dyDescent="0.25">
      <c r="O8023" s="21"/>
    </row>
    <row r="8024" spans="15:15" x14ac:dyDescent="0.25">
      <c r="O8024" s="21"/>
    </row>
    <row r="8025" spans="15:15" x14ac:dyDescent="0.25">
      <c r="O8025" s="21"/>
    </row>
    <row r="8026" spans="15:15" x14ac:dyDescent="0.25">
      <c r="O8026" s="21"/>
    </row>
    <row r="8027" spans="15:15" x14ac:dyDescent="0.25">
      <c r="O8027" s="21"/>
    </row>
    <row r="8028" spans="15:15" x14ac:dyDescent="0.25">
      <c r="O8028" s="21"/>
    </row>
    <row r="8029" spans="15:15" x14ac:dyDescent="0.25">
      <c r="O8029" s="21"/>
    </row>
    <row r="8030" spans="15:15" x14ac:dyDescent="0.25">
      <c r="O8030" s="21"/>
    </row>
    <row r="8031" spans="15:15" x14ac:dyDescent="0.25">
      <c r="O8031" s="21"/>
    </row>
    <row r="8032" spans="15:15" x14ac:dyDescent="0.25">
      <c r="O8032" s="21"/>
    </row>
    <row r="8033" spans="15:15" x14ac:dyDescent="0.25">
      <c r="O8033" s="21"/>
    </row>
    <row r="8034" spans="15:15" x14ac:dyDescent="0.25">
      <c r="O8034" s="21"/>
    </row>
    <row r="8035" spans="15:15" x14ac:dyDescent="0.25">
      <c r="O8035" s="21"/>
    </row>
    <row r="8036" spans="15:15" x14ac:dyDescent="0.25">
      <c r="O8036" s="21"/>
    </row>
    <row r="8037" spans="15:15" x14ac:dyDescent="0.25">
      <c r="O8037" s="21"/>
    </row>
    <row r="8038" spans="15:15" x14ac:dyDescent="0.25">
      <c r="O8038" s="21"/>
    </row>
    <row r="8039" spans="15:15" x14ac:dyDescent="0.25">
      <c r="O8039" s="21"/>
    </row>
    <row r="8040" spans="15:15" x14ac:dyDescent="0.25">
      <c r="O8040" s="21"/>
    </row>
    <row r="8041" spans="15:15" x14ac:dyDescent="0.25">
      <c r="O8041" s="21"/>
    </row>
    <row r="8042" spans="15:15" x14ac:dyDescent="0.25">
      <c r="O8042" s="21"/>
    </row>
    <row r="8043" spans="15:15" x14ac:dyDescent="0.25">
      <c r="O8043" s="21"/>
    </row>
    <row r="8044" spans="15:15" x14ac:dyDescent="0.25">
      <c r="O8044" s="21"/>
    </row>
    <row r="8045" spans="15:15" x14ac:dyDescent="0.25">
      <c r="O8045" s="21"/>
    </row>
    <row r="8046" spans="15:15" x14ac:dyDescent="0.25">
      <c r="O8046" s="21"/>
    </row>
    <row r="8047" spans="15:15" x14ac:dyDescent="0.25">
      <c r="O8047" s="21"/>
    </row>
    <row r="8048" spans="15:15" x14ac:dyDescent="0.25">
      <c r="O8048" s="21"/>
    </row>
    <row r="8049" spans="15:15" x14ac:dyDescent="0.25">
      <c r="O8049" s="21"/>
    </row>
    <row r="8050" spans="15:15" x14ac:dyDescent="0.25">
      <c r="O8050" s="21"/>
    </row>
    <row r="8051" spans="15:15" x14ac:dyDescent="0.25">
      <c r="O8051" s="21"/>
    </row>
    <row r="8052" spans="15:15" x14ac:dyDescent="0.25">
      <c r="O8052" s="21"/>
    </row>
    <row r="8053" spans="15:15" x14ac:dyDescent="0.25">
      <c r="O8053" s="21"/>
    </row>
    <row r="8054" spans="15:15" x14ac:dyDescent="0.25">
      <c r="O8054" s="21"/>
    </row>
    <row r="8055" spans="15:15" x14ac:dyDescent="0.25">
      <c r="O8055" s="21"/>
    </row>
    <row r="8056" spans="15:15" x14ac:dyDescent="0.25">
      <c r="O8056" s="21"/>
    </row>
    <row r="8057" spans="15:15" x14ac:dyDescent="0.25">
      <c r="O8057" s="21"/>
    </row>
    <row r="8058" spans="15:15" x14ac:dyDescent="0.25">
      <c r="O8058" s="21"/>
    </row>
    <row r="8059" spans="15:15" x14ac:dyDescent="0.25">
      <c r="O8059" s="21"/>
    </row>
    <row r="8060" spans="15:15" x14ac:dyDescent="0.25">
      <c r="O8060" s="21"/>
    </row>
    <row r="8061" spans="15:15" x14ac:dyDescent="0.25">
      <c r="O8061" s="21"/>
    </row>
    <row r="8062" spans="15:15" x14ac:dyDescent="0.25">
      <c r="O8062" s="21"/>
    </row>
    <row r="8063" spans="15:15" x14ac:dyDescent="0.25">
      <c r="O8063" s="21"/>
    </row>
    <row r="8064" spans="15:15" x14ac:dyDescent="0.25">
      <c r="O8064" s="21"/>
    </row>
    <row r="8065" spans="15:15" x14ac:dyDescent="0.25">
      <c r="O8065" s="21"/>
    </row>
    <row r="8066" spans="15:15" x14ac:dyDescent="0.25">
      <c r="O8066" s="21"/>
    </row>
    <row r="8067" spans="15:15" x14ac:dyDescent="0.25">
      <c r="O8067" s="21"/>
    </row>
    <row r="8068" spans="15:15" x14ac:dyDescent="0.25">
      <c r="O8068" s="21"/>
    </row>
    <row r="8069" spans="15:15" x14ac:dyDescent="0.25">
      <c r="O8069" s="21"/>
    </row>
    <row r="8070" spans="15:15" x14ac:dyDescent="0.25">
      <c r="O8070" s="21"/>
    </row>
    <row r="8071" spans="15:15" x14ac:dyDescent="0.25">
      <c r="O8071" s="21"/>
    </row>
    <row r="8072" spans="15:15" x14ac:dyDescent="0.25">
      <c r="O8072" s="21"/>
    </row>
    <row r="8073" spans="15:15" x14ac:dyDescent="0.25">
      <c r="O8073" s="21"/>
    </row>
    <row r="8074" spans="15:15" x14ac:dyDescent="0.25">
      <c r="O8074" s="21"/>
    </row>
    <row r="8075" spans="15:15" x14ac:dyDescent="0.25">
      <c r="O8075" s="21"/>
    </row>
    <row r="8076" spans="15:15" x14ac:dyDescent="0.25">
      <c r="O8076" s="21"/>
    </row>
    <row r="8077" spans="15:15" x14ac:dyDescent="0.25">
      <c r="O8077" s="21"/>
    </row>
    <row r="8078" spans="15:15" x14ac:dyDescent="0.25">
      <c r="O8078" s="21"/>
    </row>
    <row r="8079" spans="15:15" x14ac:dyDescent="0.25">
      <c r="O8079" s="21"/>
    </row>
    <row r="8080" spans="15:15" x14ac:dyDescent="0.25">
      <c r="O8080" s="21"/>
    </row>
    <row r="8081" spans="15:15" x14ac:dyDescent="0.25">
      <c r="O8081" s="21"/>
    </row>
    <row r="8082" spans="15:15" x14ac:dyDescent="0.25">
      <c r="O8082" s="21"/>
    </row>
    <row r="8083" spans="15:15" x14ac:dyDescent="0.25">
      <c r="O8083" s="21"/>
    </row>
    <row r="8084" spans="15:15" x14ac:dyDescent="0.25">
      <c r="O8084" s="21"/>
    </row>
    <row r="8085" spans="15:15" x14ac:dyDescent="0.25">
      <c r="O8085" s="21"/>
    </row>
    <row r="8086" spans="15:15" x14ac:dyDescent="0.25">
      <c r="O8086" s="21"/>
    </row>
    <row r="8087" spans="15:15" x14ac:dyDescent="0.25">
      <c r="O8087" s="21"/>
    </row>
    <row r="8088" spans="15:15" x14ac:dyDescent="0.25">
      <c r="O8088" s="21"/>
    </row>
    <row r="8089" spans="15:15" x14ac:dyDescent="0.25">
      <c r="O8089" s="21"/>
    </row>
    <row r="8090" spans="15:15" x14ac:dyDescent="0.25">
      <c r="O8090" s="21"/>
    </row>
    <row r="8091" spans="15:15" x14ac:dyDescent="0.25">
      <c r="O8091" s="21"/>
    </row>
    <row r="8092" spans="15:15" x14ac:dyDescent="0.25">
      <c r="O8092" s="21"/>
    </row>
    <row r="8093" spans="15:15" x14ac:dyDescent="0.25">
      <c r="O8093" s="21"/>
    </row>
    <row r="8094" spans="15:15" x14ac:dyDescent="0.25">
      <c r="O8094" s="21"/>
    </row>
    <row r="8095" spans="15:15" x14ac:dyDescent="0.25">
      <c r="O8095" s="21"/>
    </row>
    <row r="8096" spans="15:15" x14ac:dyDescent="0.25">
      <c r="O8096" s="21"/>
    </row>
    <row r="8097" spans="15:15" x14ac:dyDescent="0.25">
      <c r="O8097" s="21"/>
    </row>
    <row r="8098" spans="15:15" x14ac:dyDescent="0.25">
      <c r="O8098" s="21"/>
    </row>
    <row r="8099" spans="15:15" x14ac:dyDescent="0.25">
      <c r="O8099" s="21"/>
    </row>
    <row r="8100" spans="15:15" x14ac:dyDescent="0.25">
      <c r="O8100" s="21"/>
    </row>
    <row r="8101" spans="15:15" x14ac:dyDescent="0.25">
      <c r="O8101" s="21"/>
    </row>
    <row r="8102" spans="15:15" x14ac:dyDescent="0.25">
      <c r="O8102" s="21"/>
    </row>
    <row r="8103" spans="15:15" x14ac:dyDescent="0.25">
      <c r="O8103" s="21"/>
    </row>
    <row r="8104" spans="15:15" x14ac:dyDescent="0.25">
      <c r="O8104" s="21"/>
    </row>
    <row r="8105" spans="15:15" x14ac:dyDescent="0.25">
      <c r="O8105" s="21"/>
    </row>
    <row r="8106" spans="15:15" x14ac:dyDescent="0.25">
      <c r="O8106" s="21"/>
    </row>
    <row r="8107" spans="15:15" x14ac:dyDescent="0.25">
      <c r="O8107" s="21"/>
    </row>
    <row r="8108" spans="15:15" x14ac:dyDescent="0.25">
      <c r="O8108" s="21"/>
    </row>
    <row r="8109" spans="15:15" x14ac:dyDescent="0.25">
      <c r="O8109" s="21"/>
    </row>
    <row r="8110" spans="15:15" x14ac:dyDescent="0.25">
      <c r="O8110" s="21"/>
    </row>
    <row r="8111" spans="15:15" x14ac:dyDescent="0.25">
      <c r="O8111" s="21"/>
    </row>
    <row r="8112" spans="15:15" x14ac:dyDescent="0.25">
      <c r="O8112" s="21"/>
    </row>
    <row r="8113" spans="15:15" x14ac:dyDescent="0.25">
      <c r="O8113" s="21"/>
    </row>
    <row r="8114" spans="15:15" x14ac:dyDescent="0.25">
      <c r="O8114" s="21"/>
    </row>
    <row r="8115" spans="15:15" x14ac:dyDescent="0.25">
      <c r="O8115" s="21"/>
    </row>
    <row r="8116" spans="15:15" x14ac:dyDescent="0.25">
      <c r="O8116" s="21"/>
    </row>
    <row r="8117" spans="15:15" x14ac:dyDescent="0.25">
      <c r="O8117" s="21"/>
    </row>
    <row r="8118" spans="15:15" x14ac:dyDescent="0.25">
      <c r="O8118" s="21"/>
    </row>
    <row r="8119" spans="15:15" x14ac:dyDescent="0.25">
      <c r="O8119" s="21"/>
    </row>
    <row r="8120" spans="15:15" x14ac:dyDescent="0.25">
      <c r="O8120" s="21"/>
    </row>
    <row r="8121" spans="15:15" x14ac:dyDescent="0.25">
      <c r="O8121" s="21"/>
    </row>
    <row r="8122" spans="15:15" x14ac:dyDescent="0.25">
      <c r="O8122" s="21"/>
    </row>
    <row r="8123" spans="15:15" x14ac:dyDescent="0.25">
      <c r="O8123" s="21"/>
    </row>
    <row r="8124" spans="15:15" x14ac:dyDescent="0.25">
      <c r="O8124" s="21"/>
    </row>
    <row r="8125" spans="15:15" x14ac:dyDescent="0.25">
      <c r="O8125" s="21"/>
    </row>
    <row r="8126" spans="15:15" x14ac:dyDescent="0.25">
      <c r="O8126" s="21"/>
    </row>
    <row r="8127" spans="15:15" x14ac:dyDescent="0.25">
      <c r="O8127" s="21"/>
    </row>
    <row r="8128" spans="15:15" x14ac:dyDescent="0.25">
      <c r="O8128" s="21"/>
    </row>
    <row r="8129" spans="15:15" x14ac:dyDescent="0.25">
      <c r="O8129" s="21"/>
    </row>
    <row r="8130" spans="15:15" x14ac:dyDescent="0.25">
      <c r="O8130" s="21"/>
    </row>
    <row r="8131" spans="15:15" x14ac:dyDescent="0.25">
      <c r="O8131" s="21"/>
    </row>
    <row r="8132" spans="15:15" x14ac:dyDescent="0.25">
      <c r="O8132" s="21"/>
    </row>
    <row r="8133" spans="15:15" x14ac:dyDescent="0.25">
      <c r="O8133" s="21"/>
    </row>
    <row r="8134" spans="15:15" x14ac:dyDescent="0.25">
      <c r="O8134" s="21"/>
    </row>
    <row r="8135" spans="15:15" x14ac:dyDescent="0.25">
      <c r="O8135" s="21"/>
    </row>
    <row r="8136" spans="15:15" x14ac:dyDescent="0.25">
      <c r="O8136" s="21"/>
    </row>
    <row r="8137" spans="15:15" x14ac:dyDescent="0.25">
      <c r="O8137" s="21"/>
    </row>
    <row r="8138" spans="15:15" x14ac:dyDescent="0.25">
      <c r="O8138" s="21"/>
    </row>
    <row r="8139" spans="15:15" x14ac:dyDescent="0.25">
      <c r="O8139" s="21"/>
    </row>
    <row r="8140" spans="15:15" x14ac:dyDescent="0.25">
      <c r="O8140" s="21"/>
    </row>
    <row r="8141" spans="15:15" x14ac:dyDescent="0.25">
      <c r="O8141" s="21"/>
    </row>
    <row r="8142" spans="15:15" x14ac:dyDescent="0.25">
      <c r="O8142" s="21"/>
    </row>
    <row r="8143" spans="15:15" x14ac:dyDescent="0.25">
      <c r="O8143" s="21"/>
    </row>
    <row r="8144" spans="15:15" x14ac:dyDescent="0.25">
      <c r="O8144" s="21"/>
    </row>
    <row r="8145" spans="15:15" x14ac:dyDescent="0.25">
      <c r="O8145" s="21"/>
    </row>
    <row r="8146" spans="15:15" x14ac:dyDescent="0.25">
      <c r="O8146" s="21"/>
    </row>
    <row r="8147" spans="15:15" x14ac:dyDescent="0.25">
      <c r="O8147" s="21"/>
    </row>
    <row r="8148" spans="15:15" x14ac:dyDescent="0.25">
      <c r="O8148" s="21"/>
    </row>
    <row r="8149" spans="15:15" x14ac:dyDescent="0.25">
      <c r="O8149" s="21"/>
    </row>
    <row r="8150" spans="15:15" x14ac:dyDescent="0.25">
      <c r="O8150" s="21"/>
    </row>
    <row r="8151" spans="15:15" x14ac:dyDescent="0.25">
      <c r="O8151" s="21"/>
    </row>
    <row r="8152" spans="15:15" x14ac:dyDescent="0.25">
      <c r="O8152" s="21"/>
    </row>
    <row r="8153" spans="15:15" x14ac:dyDescent="0.25">
      <c r="O8153" s="21"/>
    </row>
    <row r="8154" spans="15:15" x14ac:dyDescent="0.25">
      <c r="O8154" s="21"/>
    </row>
    <row r="8155" spans="15:15" x14ac:dyDescent="0.25">
      <c r="O8155" s="21"/>
    </row>
    <row r="8156" spans="15:15" x14ac:dyDescent="0.25">
      <c r="O8156" s="21"/>
    </row>
    <row r="8157" spans="15:15" x14ac:dyDescent="0.25">
      <c r="O8157" s="21"/>
    </row>
    <row r="8158" spans="15:15" x14ac:dyDescent="0.25">
      <c r="O8158" s="21"/>
    </row>
    <row r="8159" spans="15:15" x14ac:dyDescent="0.25">
      <c r="O8159" s="21"/>
    </row>
    <row r="8160" spans="15:15" x14ac:dyDescent="0.25">
      <c r="O8160" s="21"/>
    </row>
    <row r="8161" spans="15:15" x14ac:dyDescent="0.25">
      <c r="O8161" s="21"/>
    </row>
    <row r="8162" spans="15:15" x14ac:dyDescent="0.25">
      <c r="O8162" s="21"/>
    </row>
    <row r="8163" spans="15:15" x14ac:dyDescent="0.25">
      <c r="O8163" s="21"/>
    </row>
    <row r="8164" spans="15:15" x14ac:dyDescent="0.25">
      <c r="O8164" s="21"/>
    </row>
    <row r="8165" spans="15:15" x14ac:dyDescent="0.25">
      <c r="O8165" s="21"/>
    </row>
    <row r="8166" spans="15:15" x14ac:dyDescent="0.25">
      <c r="O8166" s="21"/>
    </row>
    <row r="8167" spans="15:15" x14ac:dyDescent="0.25">
      <c r="O8167" s="21"/>
    </row>
    <row r="8168" spans="15:15" x14ac:dyDescent="0.25">
      <c r="O8168" s="21"/>
    </row>
    <row r="8169" spans="15:15" x14ac:dyDescent="0.25">
      <c r="O8169" s="21"/>
    </row>
    <row r="8170" spans="15:15" x14ac:dyDescent="0.25">
      <c r="O8170" s="21"/>
    </row>
    <row r="8171" spans="15:15" x14ac:dyDescent="0.25">
      <c r="O8171" s="21"/>
    </row>
    <row r="8172" spans="15:15" x14ac:dyDescent="0.25">
      <c r="O8172" s="21"/>
    </row>
    <row r="8173" spans="15:15" x14ac:dyDescent="0.25">
      <c r="O8173" s="21"/>
    </row>
    <row r="8174" spans="15:15" x14ac:dyDescent="0.25">
      <c r="O8174" s="21"/>
    </row>
    <row r="8175" spans="15:15" x14ac:dyDescent="0.25">
      <c r="O8175" s="21"/>
    </row>
    <row r="8176" spans="15:15" x14ac:dyDescent="0.25">
      <c r="O8176" s="21"/>
    </row>
    <row r="8177" spans="15:15" x14ac:dyDescent="0.25">
      <c r="O8177" s="21"/>
    </row>
    <row r="8178" spans="15:15" x14ac:dyDescent="0.25">
      <c r="O8178" s="21"/>
    </row>
    <row r="8179" spans="15:15" x14ac:dyDescent="0.25">
      <c r="O8179" s="21"/>
    </row>
    <row r="8180" spans="15:15" x14ac:dyDescent="0.25">
      <c r="O8180" s="21"/>
    </row>
    <row r="8181" spans="15:15" x14ac:dyDescent="0.25">
      <c r="O8181" s="21"/>
    </row>
    <row r="8182" spans="15:15" x14ac:dyDescent="0.25">
      <c r="O8182" s="21"/>
    </row>
    <row r="8183" spans="15:15" x14ac:dyDescent="0.25">
      <c r="O8183" s="21"/>
    </row>
    <row r="8184" spans="15:15" x14ac:dyDescent="0.25">
      <c r="O8184" s="21"/>
    </row>
    <row r="8185" spans="15:15" x14ac:dyDescent="0.25">
      <c r="O8185" s="21"/>
    </row>
    <row r="8186" spans="15:15" x14ac:dyDescent="0.25">
      <c r="O8186" s="21"/>
    </row>
    <row r="8187" spans="15:15" x14ac:dyDescent="0.25">
      <c r="O8187" s="21"/>
    </row>
    <row r="8188" spans="15:15" x14ac:dyDescent="0.25">
      <c r="O8188" s="21"/>
    </row>
    <row r="8189" spans="15:15" x14ac:dyDescent="0.25">
      <c r="O8189" s="21"/>
    </row>
    <row r="8190" spans="15:15" x14ac:dyDescent="0.25">
      <c r="O8190" s="21"/>
    </row>
    <row r="8191" spans="15:15" x14ac:dyDescent="0.25">
      <c r="O8191" s="21"/>
    </row>
    <row r="8192" spans="15:15" x14ac:dyDescent="0.25">
      <c r="O8192" s="21"/>
    </row>
    <row r="8193" spans="15:15" x14ac:dyDescent="0.25">
      <c r="O8193" s="21"/>
    </row>
    <row r="8194" spans="15:15" x14ac:dyDescent="0.25">
      <c r="O8194" s="21"/>
    </row>
    <row r="8195" spans="15:15" x14ac:dyDescent="0.25">
      <c r="O8195" s="21"/>
    </row>
    <row r="8196" spans="15:15" x14ac:dyDescent="0.25">
      <c r="O8196" s="21"/>
    </row>
    <row r="8197" spans="15:15" x14ac:dyDescent="0.25">
      <c r="O8197" s="21"/>
    </row>
    <row r="8198" spans="15:15" x14ac:dyDescent="0.25">
      <c r="O8198" s="21"/>
    </row>
    <row r="8199" spans="15:15" x14ac:dyDescent="0.25">
      <c r="O8199" s="21"/>
    </row>
    <row r="8200" spans="15:15" x14ac:dyDescent="0.25">
      <c r="O8200" s="21"/>
    </row>
    <row r="8201" spans="15:15" x14ac:dyDescent="0.25">
      <c r="O8201" s="21"/>
    </row>
    <row r="8202" spans="15:15" x14ac:dyDescent="0.25">
      <c r="O8202" s="21"/>
    </row>
    <row r="8203" spans="15:15" x14ac:dyDescent="0.25">
      <c r="O8203" s="21"/>
    </row>
    <row r="8204" spans="15:15" x14ac:dyDescent="0.25">
      <c r="O8204" s="21"/>
    </row>
    <row r="8205" spans="15:15" x14ac:dyDescent="0.25">
      <c r="O8205" s="21"/>
    </row>
    <row r="8206" spans="15:15" x14ac:dyDescent="0.25">
      <c r="O8206" s="21"/>
    </row>
    <row r="8207" spans="15:15" x14ac:dyDescent="0.25">
      <c r="O8207" s="21"/>
    </row>
    <row r="8208" spans="15:15" x14ac:dyDescent="0.25">
      <c r="O8208" s="21"/>
    </row>
    <row r="8209" spans="15:15" x14ac:dyDescent="0.25">
      <c r="O8209" s="21"/>
    </row>
    <row r="8210" spans="15:15" x14ac:dyDescent="0.25">
      <c r="O8210" s="21"/>
    </row>
    <row r="8211" spans="15:15" x14ac:dyDescent="0.25">
      <c r="O8211" s="21"/>
    </row>
    <row r="8212" spans="15:15" x14ac:dyDescent="0.25">
      <c r="O8212" s="21"/>
    </row>
    <row r="8213" spans="15:15" x14ac:dyDescent="0.25">
      <c r="O8213" s="21"/>
    </row>
    <row r="8214" spans="15:15" x14ac:dyDescent="0.25">
      <c r="O8214" s="21"/>
    </row>
    <row r="8215" spans="15:15" x14ac:dyDescent="0.25">
      <c r="O8215" s="21"/>
    </row>
    <row r="8216" spans="15:15" x14ac:dyDescent="0.25">
      <c r="O8216" s="21"/>
    </row>
    <row r="8217" spans="15:15" x14ac:dyDescent="0.25">
      <c r="O8217" s="21"/>
    </row>
    <row r="8218" spans="15:15" x14ac:dyDescent="0.25">
      <c r="O8218" s="21"/>
    </row>
    <row r="8219" spans="15:15" x14ac:dyDescent="0.25">
      <c r="O8219" s="21"/>
    </row>
    <row r="8220" spans="15:15" x14ac:dyDescent="0.25">
      <c r="O8220" s="21"/>
    </row>
    <row r="8221" spans="15:15" x14ac:dyDescent="0.25">
      <c r="O8221" s="21"/>
    </row>
    <row r="8222" spans="15:15" x14ac:dyDescent="0.25">
      <c r="O8222" s="21"/>
    </row>
    <row r="8223" spans="15:15" x14ac:dyDescent="0.25">
      <c r="O8223" s="21"/>
    </row>
    <row r="8224" spans="15:15" x14ac:dyDescent="0.25">
      <c r="O8224" s="21"/>
    </row>
    <row r="8225" spans="15:15" x14ac:dyDescent="0.25">
      <c r="O8225" s="21"/>
    </row>
    <row r="8226" spans="15:15" x14ac:dyDescent="0.25">
      <c r="O8226" s="21"/>
    </row>
    <row r="8227" spans="15:15" x14ac:dyDescent="0.25">
      <c r="O8227" s="21"/>
    </row>
    <row r="8228" spans="15:15" x14ac:dyDescent="0.25">
      <c r="O8228" s="21"/>
    </row>
    <row r="8229" spans="15:15" x14ac:dyDescent="0.25">
      <c r="O8229" s="21"/>
    </row>
    <row r="8230" spans="15:15" x14ac:dyDescent="0.25">
      <c r="O8230" s="21"/>
    </row>
    <row r="8231" spans="15:15" x14ac:dyDescent="0.25">
      <c r="O8231" s="21"/>
    </row>
    <row r="8232" spans="15:15" x14ac:dyDescent="0.25">
      <c r="O8232" s="21"/>
    </row>
    <row r="8233" spans="15:15" x14ac:dyDescent="0.25">
      <c r="O8233" s="21"/>
    </row>
    <row r="8234" spans="15:15" x14ac:dyDescent="0.25">
      <c r="O8234" s="21"/>
    </row>
    <row r="8235" spans="15:15" x14ac:dyDescent="0.25">
      <c r="O8235" s="21"/>
    </row>
    <row r="8236" spans="15:15" x14ac:dyDescent="0.25">
      <c r="O8236" s="21"/>
    </row>
    <row r="8237" spans="15:15" x14ac:dyDescent="0.25">
      <c r="O8237" s="21"/>
    </row>
    <row r="8238" spans="15:15" x14ac:dyDescent="0.25">
      <c r="O8238" s="21"/>
    </row>
    <row r="8239" spans="15:15" x14ac:dyDescent="0.25">
      <c r="O8239" s="21"/>
    </row>
    <row r="8240" spans="15:15" x14ac:dyDescent="0.25">
      <c r="O8240" s="21"/>
    </row>
    <row r="8241" spans="15:15" x14ac:dyDescent="0.25">
      <c r="O8241" s="21"/>
    </row>
    <row r="8242" spans="15:15" x14ac:dyDescent="0.25">
      <c r="O8242" s="21"/>
    </row>
    <row r="8243" spans="15:15" x14ac:dyDescent="0.25">
      <c r="O8243" s="21"/>
    </row>
    <row r="8244" spans="15:15" x14ac:dyDescent="0.25">
      <c r="O8244" s="21"/>
    </row>
    <row r="8245" spans="15:15" x14ac:dyDescent="0.25">
      <c r="O8245" s="21"/>
    </row>
    <row r="8246" spans="15:15" x14ac:dyDescent="0.25">
      <c r="O8246" s="21"/>
    </row>
    <row r="8247" spans="15:15" x14ac:dyDescent="0.25">
      <c r="O8247" s="21"/>
    </row>
    <row r="8248" spans="15:15" x14ac:dyDescent="0.25">
      <c r="O8248" s="21"/>
    </row>
    <row r="8249" spans="15:15" x14ac:dyDescent="0.25">
      <c r="O8249" s="21"/>
    </row>
    <row r="8250" spans="15:15" x14ac:dyDescent="0.25">
      <c r="O8250" s="21"/>
    </row>
    <row r="8251" spans="15:15" x14ac:dyDescent="0.25">
      <c r="O8251" s="21"/>
    </row>
    <row r="8252" spans="15:15" x14ac:dyDescent="0.25">
      <c r="O8252" s="21"/>
    </row>
    <row r="8253" spans="15:15" x14ac:dyDescent="0.25">
      <c r="O8253" s="21"/>
    </row>
    <row r="8254" spans="15:15" x14ac:dyDescent="0.25">
      <c r="O8254" s="21"/>
    </row>
    <row r="8255" spans="15:15" x14ac:dyDescent="0.25">
      <c r="O8255" s="21"/>
    </row>
    <row r="8256" spans="15:15" x14ac:dyDescent="0.25">
      <c r="O8256" s="21"/>
    </row>
    <row r="8257" spans="15:15" x14ac:dyDescent="0.25">
      <c r="O8257" s="21"/>
    </row>
    <row r="8258" spans="15:15" x14ac:dyDescent="0.25">
      <c r="O8258" s="21"/>
    </row>
    <row r="8259" spans="15:15" x14ac:dyDescent="0.25">
      <c r="O8259" s="21"/>
    </row>
    <row r="8260" spans="15:15" x14ac:dyDescent="0.25">
      <c r="O8260" s="21"/>
    </row>
    <row r="8261" spans="15:15" x14ac:dyDescent="0.25">
      <c r="O8261" s="21"/>
    </row>
    <row r="8262" spans="15:15" x14ac:dyDescent="0.25">
      <c r="O8262" s="21"/>
    </row>
    <row r="8263" spans="15:15" x14ac:dyDescent="0.25">
      <c r="O8263" s="21"/>
    </row>
    <row r="8264" spans="15:15" x14ac:dyDescent="0.25">
      <c r="O8264" s="21"/>
    </row>
    <row r="8265" spans="15:15" x14ac:dyDescent="0.25">
      <c r="O8265" s="21"/>
    </row>
    <row r="8266" spans="15:15" x14ac:dyDescent="0.25">
      <c r="O8266" s="21"/>
    </row>
    <row r="8267" spans="15:15" x14ac:dyDescent="0.25">
      <c r="O8267" s="21"/>
    </row>
    <row r="8268" spans="15:15" x14ac:dyDescent="0.25">
      <c r="O8268" s="21"/>
    </row>
    <row r="8269" spans="15:15" x14ac:dyDescent="0.25">
      <c r="O8269" s="21"/>
    </row>
    <row r="8270" spans="15:15" x14ac:dyDescent="0.25">
      <c r="O8270" s="21"/>
    </row>
    <row r="8271" spans="15:15" x14ac:dyDescent="0.25">
      <c r="O8271" s="21"/>
    </row>
    <row r="8272" spans="15:15" x14ac:dyDescent="0.25">
      <c r="O8272" s="21"/>
    </row>
    <row r="8273" spans="15:15" x14ac:dyDescent="0.25">
      <c r="O8273" s="21"/>
    </row>
    <row r="8274" spans="15:15" x14ac:dyDescent="0.25">
      <c r="O8274" s="21"/>
    </row>
    <row r="8275" spans="15:15" x14ac:dyDescent="0.25">
      <c r="O8275" s="21"/>
    </row>
    <row r="8276" spans="15:15" x14ac:dyDescent="0.25">
      <c r="O8276" s="21"/>
    </row>
    <row r="8277" spans="15:15" x14ac:dyDescent="0.25">
      <c r="O8277" s="21"/>
    </row>
    <row r="8278" spans="15:15" x14ac:dyDescent="0.25">
      <c r="O8278" s="21"/>
    </row>
    <row r="8279" spans="15:15" x14ac:dyDescent="0.25">
      <c r="O8279" s="21"/>
    </row>
    <row r="8280" spans="15:15" x14ac:dyDescent="0.25">
      <c r="O8280" s="21"/>
    </row>
    <row r="8281" spans="15:15" x14ac:dyDescent="0.25">
      <c r="O8281" s="21"/>
    </row>
    <row r="8282" spans="15:15" x14ac:dyDescent="0.25">
      <c r="O8282" s="21"/>
    </row>
    <row r="8283" spans="15:15" x14ac:dyDescent="0.25">
      <c r="O8283" s="21"/>
    </row>
    <row r="8284" spans="15:15" x14ac:dyDescent="0.25">
      <c r="O8284" s="21"/>
    </row>
    <row r="8285" spans="15:15" x14ac:dyDescent="0.25">
      <c r="O8285" s="21"/>
    </row>
    <row r="8286" spans="15:15" x14ac:dyDescent="0.25">
      <c r="O8286" s="21"/>
    </row>
    <row r="8287" spans="15:15" x14ac:dyDescent="0.25">
      <c r="O8287" s="21"/>
    </row>
    <row r="8288" spans="15:15" x14ac:dyDescent="0.25">
      <c r="O8288" s="21"/>
    </row>
    <row r="8289" spans="15:15" x14ac:dyDescent="0.25">
      <c r="O8289" s="21"/>
    </row>
    <row r="8290" spans="15:15" x14ac:dyDescent="0.25">
      <c r="O8290" s="21"/>
    </row>
    <row r="8291" spans="15:15" x14ac:dyDescent="0.25">
      <c r="O8291" s="21"/>
    </row>
    <row r="8292" spans="15:15" x14ac:dyDescent="0.25">
      <c r="O8292" s="21"/>
    </row>
    <row r="8293" spans="15:15" x14ac:dyDescent="0.25">
      <c r="O8293" s="21"/>
    </row>
    <row r="8294" spans="15:15" x14ac:dyDescent="0.25">
      <c r="O8294" s="21"/>
    </row>
    <row r="8295" spans="15:15" x14ac:dyDescent="0.25">
      <c r="O8295" s="21"/>
    </row>
    <row r="8296" spans="15:15" x14ac:dyDescent="0.25">
      <c r="O8296" s="21"/>
    </row>
    <row r="8297" spans="15:15" x14ac:dyDescent="0.25">
      <c r="O8297" s="21"/>
    </row>
    <row r="8298" spans="15:15" x14ac:dyDescent="0.25">
      <c r="O8298" s="21"/>
    </row>
    <row r="8299" spans="15:15" x14ac:dyDescent="0.25">
      <c r="O8299" s="21"/>
    </row>
    <row r="8300" spans="15:15" x14ac:dyDescent="0.25">
      <c r="O8300" s="21"/>
    </row>
    <row r="8301" spans="15:15" x14ac:dyDescent="0.25">
      <c r="O8301" s="21"/>
    </row>
    <row r="8302" spans="15:15" x14ac:dyDescent="0.25">
      <c r="O8302" s="21"/>
    </row>
    <row r="8303" spans="15:15" x14ac:dyDescent="0.25">
      <c r="O8303" s="21"/>
    </row>
    <row r="8304" spans="15:15" x14ac:dyDescent="0.25">
      <c r="O8304" s="21"/>
    </row>
    <row r="8305" spans="15:15" x14ac:dyDescent="0.25">
      <c r="O8305" s="21"/>
    </row>
    <row r="8306" spans="15:15" x14ac:dyDescent="0.25">
      <c r="O8306" s="21"/>
    </row>
    <row r="8307" spans="15:15" x14ac:dyDescent="0.25">
      <c r="O8307" s="21"/>
    </row>
    <row r="8308" spans="15:15" x14ac:dyDescent="0.25">
      <c r="O8308" s="21"/>
    </row>
    <row r="8309" spans="15:15" x14ac:dyDescent="0.25">
      <c r="O8309" s="21"/>
    </row>
    <row r="8310" spans="15:15" x14ac:dyDescent="0.25">
      <c r="O8310" s="21"/>
    </row>
    <row r="8311" spans="15:15" x14ac:dyDescent="0.25">
      <c r="O8311" s="21"/>
    </row>
    <row r="8312" spans="15:15" x14ac:dyDescent="0.25">
      <c r="O8312" s="21"/>
    </row>
    <row r="8313" spans="15:15" x14ac:dyDescent="0.25">
      <c r="O8313" s="21"/>
    </row>
    <row r="8314" spans="15:15" x14ac:dyDescent="0.25">
      <c r="O8314" s="21"/>
    </row>
    <row r="8315" spans="15:15" x14ac:dyDescent="0.25">
      <c r="O8315" s="21"/>
    </row>
    <row r="8316" spans="15:15" x14ac:dyDescent="0.25">
      <c r="O8316" s="21"/>
    </row>
    <row r="8317" spans="15:15" x14ac:dyDescent="0.25">
      <c r="O8317" s="21"/>
    </row>
    <row r="8318" spans="15:15" x14ac:dyDescent="0.25">
      <c r="O8318" s="21"/>
    </row>
    <row r="8319" spans="15:15" x14ac:dyDescent="0.25">
      <c r="O8319" s="21"/>
    </row>
    <row r="8320" spans="15:15" x14ac:dyDescent="0.25">
      <c r="O8320" s="21"/>
    </row>
    <row r="8321" spans="15:15" x14ac:dyDescent="0.25">
      <c r="O8321" s="21"/>
    </row>
    <row r="8322" spans="15:15" x14ac:dyDescent="0.25">
      <c r="O8322" s="21"/>
    </row>
    <row r="8323" spans="15:15" x14ac:dyDescent="0.25">
      <c r="O8323" s="21"/>
    </row>
    <row r="8324" spans="15:15" x14ac:dyDescent="0.25">
      <c r="O8324" s="21"/>
    </row>
    <row r="8325" spans="15:15" x14ac:dyDescent="0.25">
      <c r="O8325" s="21"/>
    </row>
    <row r="8326" spans="15:15" x14ac:dyDescent="0.25">
      <c r="O8326" s="21"/>
    </row>
    <row r="8327" spans="15:15" x14ac:dyDescent="0.25">
      <c r="O8327" s="21"/>
    </row>
    <row r="8328" spans="15:15" x14ac:dyDescent="0.25">
      <c r="O8328" s="21"/>
    </row>
    <row r="8329" spans="15:15" x14ac:dyDescent="0.25">
      <c r="O8329" s="21"/>
    </row>
    <row r="8330" spans="15:15" x14ac:dyDescent="0.25">
      <c r="O8330" s="21"/>
    </row>
    <row r="8331" spans="15:15" x14ac:dyDescent="0.25">
      <c r="O8331" s="21"/>
    </row>
    <row r="8332" spans="15:15" x14ac:dyDescent="0.25">
      <c r="O8332" s="21"/>
    </row>
    <row r="8333" spans="15:15" x14ac:dyDescent="0.25">
      <c r="O8333" s="21"/>
    </row>
    <row r="8334" spans="15:15" x14ac:dyDescent="0.25">
      <c r="O8334" s="21"/>
    </row>
    <row r="8335" spans="15:15" x14ac:dyDescent="0.25">
      <c r="O8335" s="21"/>
    </row>
    <row r="8336" spans="15:15" x14ac:dyDescent="0.25">
      <c r="O8336" s="21"/>
    </row>
    <row r="8337" spans="15:15" x14ac:dyDescent="0.25">
      <c r="O8337" s="21"/>
    </row>
    <row r="8338" spans="15:15" x14ac:dyDescent="0.25">
      <c r="O8338" s="21"/>
    </row>
    <row r="8339" spans="15:15" x14ac:dyDescent="0.25">
      <c r="O8339" s="21"/>
    </row>
    <row r="8340" spans="15:15" x14ac:dyDescent="0.25">
      <c r="O8340" s="21"/>
    </row>
    <row r="8341" spans="15:15" x14ac:dyDescent="0.25">
      <c r="O8341" s="21"/>
    </row>
    <row r="8342" spans="15:15" x14ac:dyDescent="0.25">
      <c r="O8342" s="21"/>
    </row>
    <row r="8343" spans="15:15" x14ac:dyDescent="0.25">
      <c r="O8343" s="21"/>
    </row>
    <row r="8344" spans="15:15" x14ac:dyDescent="0.25">
      <c r="O8344" s="21"/>
    </row>
    <row r="8345" spans="15:15" x14ac:dyDescent="0.25">
      <c r="O8345" s="21"/>
    </row>
    <row r="8346" spans="15:15" x14ac:dyDescent="0.25">
      <c r="O8346" s="21"/>
    </row>
    <row r="8347" spans="15:15" x14ac:dyDescent="0.25">
      <c r="O8347" s="21"/>
    </row>
    <row r="8348" spans="15:15" x14ac:dyDescent="0.25">
      <c r="O8348" s="21"/>
    </row>
    <row r="8349" spans="15:15" x14ac:dyDescent="0.25">
      <c r="O8349" s="21"/>
    </row>
    <row r="8350" spans="15:15" x14ac:dyDescent="0.25">
      <c r="O8350" s="21"/>
    </row>
    <row r="8351" spans="15:15" x14ac:dyDescent="0.25">
      <c r="O8351" s="21"/>
    </row>
    <row r="8352" spans="15:15" x14ac:dyDescent="0.25">
      <c r="O8352" s="21"/>
    </row>
    <row r="8353" spans="15:15" x14ac:dyDescent="0.25">
      <c r="O8353" s="21"/>
    </row>
    <row r="8354" spans="15:15" x14ac:dyDescent="0.25">
      <c r="O8354" s="21"/>
    </row>
    <row r="8355" spans="15:15" x14ac:dyDescent="0.25">
      <c r="O8355" s="21"/>
    </row>
    <row r="8356" spans="15:15" x14ac:dyDescent="0.25">
      <c r="O8356" s="21"/>
    </row>
    <row r="8357" spans="15:15" x14ac:dyDescent="0.25">
      <c r="O8357" s="21"/>
    </row>
    <row r="8358" spans="15:15" x14ac:dyDescent="0.25">
      <c r="O8358" s="21"/>
    </row>
    <row r="8359" spans="15:15" x14ac:dyDescent="0.25">
      <c r="O8359" s="21"/>
    </row>
    <row r="8360" spans="15:15" x14ac:dyDescent="0.25">
      <c r="O8360" s="21"/>
    </row>
    <row r="8361" spans="15:15" x14ac:dyDescent="0.25">
      <c r="O8361" s="21"/>
    </row>
    <row r="8362" spans="15:15" x14ac:dyDescent="0.25">
      <c r="O8362" s="21"/>
    </row>
    <row r="8363" spans="15:15" x14ac:dyDescent="0.25">
      <c r="O8363" s="21"/>
    </row>
    <row r="8364" spans="15:15" x14ac:dyDescent="0.25">
      <c r="O8364" s="21"/>
    </row>
    <row r="8365" spans="15:15" x14ac:dyDescent="0.25">
      <c r="O8365" s="21"/>
    </row>
    <row r="8366" spans="15:15" x14ac:dyDescent="0.25">
      <c r="O8366" s="21"/>
    </row>
    <row r="8367" spans="15:15" x14ac:dyDescent="0.25">
      <c r="O8367" s="21"/>
    </row>
    <row r="8368" spans="15:15" x14ac:dyDescent="0.25">
      <c r="O8368" s="21"/>
    </row>
    <row r="8369" spans="15:15" x14ac:dyDescent="0.25">
      <c r="O8369" s="21"/>
    </row>
    <row r="8370" spans="15:15" x14ac:dyDescent="0.25">
      <c r="O8370" s="21"/>
    </row>
    <row r="8371" spans="15:15" x14ac:dyDescent="0.25">
      <c r="O8371" s="21"/>
    </row>
    <row r="8372" spans="15:15" x14ac:dyDescent="0.25">
      <c r="O8372" s="21"/>
    </row>
    <row r="8373" spans="15:15" x14ac:dyDescent="0.25">
      <c r="O8373" s="21"/>
    </row>
    <row r="8374" spans="15:15" x14ac:dyDescent="0.25">
      <c r="O8374" s="21"/>
    </row>
    <row r="8375" spans="15:15" x14ac:dyDescent="0.25">
      <c r="O8375" s="21"/>
    </row>
    <row r="8376" spans="15:15" x14ac:dyDescent="0.25">
      <c r="O8376" s="21"/>
    </row>
    <row r="8377" spans="15:15" x14ac:dyDescent="0.25">
      <c r="O8377" s="21"/>
    </row>
    <row r="8378" spans="15:15" x14ac:dyDescent="0.25">
      <c r="O8378" s="21"/>
    </row>
    <row r="8379" spans="15:15" x14ac:dyDescent="0.25">
      <c r="O8379" s="21"/>
    </row>
    <row r="8380" spans="15:15" x14ac:dyDescent="0.25">
      <c r="O8380" s="21"/>
    </row>
    <row r="8381" spans="15:15" x14ac:dyDescent="0.25">
      <c r="O8381" s="21"/>
    </row>
    <row r="8382" spans="15:15" x14ac:dyDescent="0.25">
      <c r="O8382" s="21"/>
    </row>
    <row r="8383" spans="15:15" x14ac:dyDescent="0.25">
      <c r="O8383" s="21"/>
    </row>
    <row r="8384" spans="15:15" x14ac:dyDescent="0.25">
      <c r="O8384" s="21"/>
    </row>
    <row r="8385" spans="15:15" x14ac:dyDescent="0.25">
      <c r="O8385" s="21"/>
    </row>
    <row r="8386" spans="15:15" x14ac:dyDescent="0.25">
      <c r="O8386" s="21"/>
    </row>
    <row r="8387" spans="15:15" x14ac:dyDescent="0.25">
      <c r="O8387" s="21"/>
    </row>
    <row r="8388" spans="15:15" x14ac:dyDescent="0.25">
      <c r="O8388" s="21"/>
    </row>
    <row r="8389" spans="15:15" x14ac:dyDescent="0.25">
      <c r="O8389" s="21"/>
    </row>
    <row r="8390" spans="15:15" x14ac:dyDescent="0.25">
      <c r="O8390" s="21"/>
    </row>
    <row r="8391" spans="15:15" x14ac:dyDescent="0.25">
      <c r="O8391" s="21"/>
    </row>
    <row r="8392" spans="15:15" x14ac:dyDescent="0.25">
      <c r="O8392" s="21"/>
    </row>
    <row r="8393" spans="15:15" x14ac:dyDescent="0.25">
      <c r="O8393" s="21"/>
    </row>
    <row r="8394" spans="15:15" x14ac:dyDescent="0.25">
      <c r="O8394" s="21"/>
    </row>
    <row r="8395" spans="15:15" x14ac:dyDescent="0.25">
      <c r="O8395" s="21"/>
    </row>
    <row r="8396" spans="15:15" x14ac:dyDescent="0.25">
      <c r="O8396" s="21"/>
    </row>
    <row r="8397" spans="15:15" x14ac:dyDescent="0.25">
      <c r="O8397" s="21"/>
    </row>
    <row r="8398" spans="15:15" x14ac:dyDescent="0.25">
      <c r="O8398" s="21"/>
    </row>
    <row r="8399" spans="15:15" x14ac:dyDescent="0.25">
      <c r="O8399" s="21"/>
    </row>
    <row r="8400" spans="15:15" x14ac:dyDescent="0.25">
      <c r="O8400" s="21"/>
    </row>
    <row r="8401" spans="15:15" x14ac:dyDescent="0.25">
      <c r="O8401" s="21"/>
    </row>
    <row r="8402" spans="15:15" x14ac:dyDescent="0.25">
      <c r="O8402" s="21"/>
    </row>
    <row r="8403" spans="15:15" x14ac:dyDescent="0.25">
      <c r="O8403" s="21"/>
    </row>
    <row r="8404" spans="15:15" x14ac:dyDescent="0.25">
      <c r="O8404" s="21"/>
    </row>
    <row r="8405" spans="15:15" x14ac:dyDescent="0.25">
      <c r="O8405" s="21"/>
    </row>
    <row r="8406" spans="15:15" x14ac:dyDescent="0.25">
      <c r="O8406" s="21"/>
    </row>
    <row r="8407" spans="15:15" x14ac:dyDescent="0.25">
      <c r="O8407" s="21"/>
    </row>
    <row r="8408" spans="15:15" x14ac:dyDescent="0.25">
      <c r="O8408" s="21"/>
    </row>
    <row r="8409" spans="15:15" x14ac:dyDescent="0.25">
      <c r="O8409" s="21"/>
    </row>
    <row r="8410" spans="15:15" x14ac:dyDescent="0.25">
      <c r="O8410" s="21"/>
    </row>
    <row r="8411" spans="15:15" x14ac:dyDescent="0.25">
      <c r="O8411" s="21"/>
    </row>
    <row r="8412" spans="15:15" x14ac:dyDescent="0.25">
      <c r="O8412" s="21"/>
    </row>
    <row r="8413" spans="15:15" x14ac:dyDescent="0.25">
      <c r="O8413" s="21"/>
    </row>
    <row r="8414" spans="15:15" x14ac:dyDescent="0.25">
      <c r="O8414" s="21"/>
    </row>
    <row r="8415" spans="15:15" x14ac:dyDescent="0.25">
      <c r="O8415" s="21"/>
    </row>
    <row r="8416" spans="15:15" x14ac:dyDescent="0.25">
      <c r="O8416" s="21"/>
    </row>
    <row r="8417" spans="15:15" x14ac:dyDescent="0.25">
      <c r="O8417" s="21"/>
    </row>
    <row r="8418" spans="15:15" x14ac:dyDescent="0.25">
      <c r="O8418" s="21"/>
    </row>
    <row r="8419" spans="15:15" x14ac:dyDescent="0.25">
      <c r="O8419" s="21"/>
    </row>
    <row r="8420" spans="15:15" x14ac:dyDescent="0.25">
      <c r="O8420" s="21"/>
    </row>
    <row r="8421" spans="15:15" x14ac:dyDescent="0.25">
      <c r="O8421" s="21"/>
    </row>
    <row r="8422" spans="15:15" x14ac:dyDescent="0.25">
      <c r="O8422" s="21"/>
    </row>
    <row r="8423" spans="15:15" x14ac:dyDescent="0.25">
      <c r="O8423" s="21"/>
    </row>
    <row r="8424" spans="15:15" x14ac:dyDescent="0.25">
      <c r="O8424" s="21"/>
    </row>
    <row r="8425" spans="15:15" x14ac:dyDescent="0.25">
      <c r="O8425" s="21"/>
    </row>
    <row r="8426" spans="15:15" x14ac:dyDescent="0.25">
      <c r="O8426" s="21"/>
    </row>
    <row r="8427" spans="15:15" x14ac:dyDescent="0.25">
      <c r="O8427" s="21"/>
    </row>
    <row r="8428" spans="15:15" x14ac:dyDescent="0.25">
      <c r="O8428" s="21"/>
    </row>
    <row r="8429" spans="15:15" x14ac:dyDescent="0.25">
      <c r="O8429" s="21"/>
    </row>
    <row r="8430" spans="15:15" x14ac:dyDescent="0.25">
      <c r="O8430" s="21"/>
    </row>
    <row r="8431" spans="15:15" x14ac:dyDescent="0.25">
      <c r="O8431" s="21"/>
    </row>
    <row r="8432" spans="15:15" x14ac:dyDescent="0.25">
      <c r="O8432" s="21"/>
    </row>
    <row r="8433" spans="15:15" x14ac:dyDescent="0.25">
      <c r="O8433" s="21"/>
    </row>
    <row r="8434" spans="15:15" x14ac:dyDescent="0.25">
      <c r="O8434" s="21"/>
    </row>
    <row r="8435" spans="15:15" x14ac:dyDescent="0.25">
      <c r="O8435" s="21"/>
    </row>
    <row r="8436" spans="15:15" x14ac:dyDescent="0.25">
      <c r="O8436" s="21"/>
    </row>
    <row r="8437" spans="15:15" x14ac:dyDescent="0.25">
      <c r="O8437" s="21"/>
    </row>
    <row r="8438" spans="15:15" x14ac:dyDescent="0.25">
      <c r="O8438" s="21"/>
    </row>
    <row r="8439" spans="15:15" x14ac:dyDescent="0.25">
      <c r="O8439" s="21"/>
    </row>
    <row r="8440" spans="15:15" x14ac:dyDescent="0.25">
      <c r="O8440" s="21"/>
    </row>
    <row r="8441" spans="15:15" x14ac:dyDescent="0.25">
      <c r="O8441" s="21"/>
    </row>
    <row r="8442" spans="15:15" x14ac:dyDescent="0.25">
      <c r="O8442" s="21"/>
    </row>
    <row r="8443" spans="15:15" x14ac:dyDescent="0.25">
      <c r="O8443" s="21"/>
    </row>
    <row r="8444" spans="15:15" x14ac:dyDescent="0.25">
      <c r="O8444" s="21"/>
    </row>
    <row r="8445" spans="15:15" x14ac:dyDescent="0.25">
      <c r="O8445" s="21"/>
    </row>
    <row r="8446" spans="15:15" x14ac:dyDescent="0.25">
      <c r="O8446" s="21"/>
    </row>
    <row r="8447" spans="15:15" x14ac:dyDescent="0.25">
      <c r="O8447" s="21"/>
    </row>
    <row r="8448" spans="15:15" x14ac:dyDescent="0.25">
      <c r="O8448" s="21"/>
    </row>
    <row r="8449" spans="15:15" x14ac:dyDescent="0.25">
      <c r="O8449" s="21"/>
    </row>
    <row r="8450" spans="15:15" x14ac:dyDescent="0.25">
      <c r="O8450" s="21"/>
    </row>
    <row r="8451" spans="15:15" x14ac:dyDescent="0.25">
      <c r="O8451" s="21"/>
    </row>
    <row r="8452" spans="15:15" x14ac:dyDescent="0.25">
      <c r="O8452" s="21"/>
    </row>
    <row r="8453" spans="15:15" x14ac:dyDescent="0.25">
      <c r="O8453" s="21"/>
    </row>
    <row r="8454" spans="15:15" x14ac:dyDescent="0.25">
      <c r="O8454" s="21"/>
    </row>
    <row r="8455" spans="15:15" x14ac:dyDescent="0.25">
      <c r="O8455" s="21"/>
    </row>
    <row r="8456" spans="15:15" x14ac:dyDescent="0.25">
      <c r="O8456" s="21"/>
    </row>
    <row r="8457" spans="15:15" x14ac:dyDescent="0.25">
      <c r="O8457" s="21"/>
    </row>
    <row r="8458" spans="15:15" x14ac:dyDescent="0.25">
      <c r="O8458" s="21"/>
    </row>
    <row r="8459" spans="15:15" x14ac:dyDescent="0.25">
      <c r="O8459" s="21"/>
    </row>
    <row r="8460" spans="15:15" x14ac:dyDescent="0.25">
      <c r="O8460" s="21"/>
    </row>
    <row r="8461" spans="15:15" x14ac:dyDescent="0.25">
      <c r="O8461" s="21"/>
    </row>
    <row r="8462" spans="15:15" x14ac:dyDescent="0.25">
      <c r="O8462" s="21"/>
    </row>
    <row r="8463" spans="15:15" x14ac:dyDescent="0.25">
      <c r="O8463" s="21"/>
    </row>
    <row r="8464" spans="15:15" x14ac:dyDescent="0.25">
      <c r="O8464" s="21"/>
    </row>
    <row r="8465" spans="15:15" x14ac:dyDescent="0.25">
      <c r="O8465" s="21"/>
    </row>
    <row r="8466" spans="15:15" x14ac:dyDescent="0.25">
      <c r="O8466" s="21"/>
    </row>
    <row r="8467" spans="15:15" x14ac:dyDescent="0.25">
      <c r="O8467" s="21"/>
    </row>
    <row r="8468" spans="15:15" x14ac:dyDescent="0.25">
      <c r="O8468" s="21"/>
    </row>
    <row r="8469" spans="15:15" x14ac:dyDescent="0.25">
      <c r="O8469" s="21"/>
    </row>
    <row r="8470" spans="15:15" x14ac:dyDescent="0.25">
      <c r="O8470" s="21"/>
    </row>
    <row r="8471" spans="15:15" x14ac:dyDescent="0.25">
      <c r="O8471" s="21"/>
    </row>
    <row r="8472" spans="15:15" x14ac:dyDescent="0.25">
      <c r="O8472" s="21"/>
    </row>
    <row r="8473" spans="15:15" x14ac:dyDescent="0.25">
      <c r="O8473" s="21"/>
    </row>
    <row r="8474" spans="15:15" x14ac:dyDescent="0.25">
      <c r="O8474" s="21"/>
    </row>
    <row r="8475" spans="15:15" x14ac:dyDescent="0.25">
      <c r="O8475" s="21"/>
    </row>
    <row r="8476" spans="15:15" x14ac:dyDescent="0.25">
      <c r="O8476" s="21"/>
    </row>
    <row r="8477" spans="15:15" x14ac:dyDescent="0.25">
      <c r="O8477" s="21"/>
    </row>
    <row r="8478" spans="15:15" x14ac:dyDescent="0.25">
      <c r="O8478" s="21"/>
    </row>
    <row r="8479" spans="15:15" x14ac:dyDescent="0.25">
      <c r="O8479" s="21"/>
    </row>
    <row r="8480" spans="15:15" x14ac:dyDescent="0.25">
      <c r="O8480" s="21"/>
    </row>
    <row r="8481" spans="15:15" x14ac:dyDescent="0.25">
      <c r="O8481" s="21"/>
    </row>
    <row r="8482" spans="15:15" x14ac:dyDescent="0.25">
      <c r="O8482" s="21"/>
    </row>
    <row r="8483" spans="15:15" x14ac:dyDescent="0.25">
      <c r="O8483" s="21"/>
    </row>
    <row r="8484" spans="15:15" x14ac:dyDescent="0.25">
      <c r="O8484" s="21"/>
    </row>
    <row r="8485" spans="15:15" x14ac:dyDescent="0.25">
      <c r="O8485" s="21"/>
    </row>
    <row r="8486" spans="15:15" x14ac:dyDescent="0.25">
      <c r="O8486" s="21"/>
    </row>
    <row r="8487" spans="15:15" x14ac:dyDescent="0.25">
      <c r="O8487" s="21"/>
    </row>
    <row r="8488" spans="15:15" x14ac:dyDescent="0.25">
      <c r="O8488" s="21"/>
    </row>
    <row r="8489" spans="15:15" x14ac:dyDescent="0.25">
      <c r="O8489" s="21"/>
    </row>
    <row r="8490" spans="15:15" x14ac:dyDescent="0.25">
      <c r="O8490" s="21"/>
    </row>
    <row r="8491" spans="15:15" x14ac:dyDescent="0.25">
      <c r="O8491" s="21"/>
    </row>
    <row r="8492" spans="15:15" x14ac:dyDescent="0.25">
      <c r="O8492" s="21"/>
    </row>
    <row r="8493" spans="15:15" x14ac:dyDescent="0.25">
      <c r="O8493" s="21"/>
    </row>
    <row r="8494" spans="15:15" x14ac:dyDescent="0.25">
      <c r="O8494" s="21"/>
    </row>
    <row r="8495" spans="15:15" x14ac:dyDescent="0.25">
      <c r="O8495" s="21"/>
    </row>
    <row r="8496" spans="15:15" x14ac:dyDescent="0.25">
      <c r="O8496" s="21"/>
    </row>
    <row r="8497" spans="15:15" x14ac:dyDescent="0.25">
      <c r="O8497" s="21"/>
    </row>
    <row r="8498" spans="15:15" x14ac:dyDescent="0.25">
      <c r="O8498" s="21"/>
    </row>
    <row r="8499" spans="15:15" x14ac:dyDescent="0.25">
      <c r="O8499" s="21"/>
    </row>
    <row r="8500" spans="15:15" x14ac:dyDescent="0.25">
      <c r="O8500" s="21"/>
    </row>
    <row r="8501" spans="15:15" x14ac:dyDescent="0.25">
      <c r="O8501" s="21"/>
    </row>
    <row r="8502" spans="15:15" x14ac:dyDescent="0.25">
      <c r="O8502" s="21"/>
    </row>
    <row r="8503" spans="15:15" x14ac:dyDescent="0.25">
      <c r="O8503" s="21"/>
    </row>
    <row r="8504" spans="15:15" x14ac:dyDescent="0.25">
      <c r="O8504" s="21"/>
    </row>
    <row r="8505" spans="15:15" x14ac:dyDescent="0.25">
      <c r="O8505" s="21"/>
    </row>
    <row r="8506" spans="15:15" x14ac:dyDescent="0.25">
      <c r="O8506" s="21"/>
    </row>
    <row r="8507" spans="15:15" x14ac:dyDescent="0.25">
      <c r="O8507" s="21"/>
    </row>
    <row r="8508" spans="15:15" x14ac:dyDescent="0.25">
      <c r="O8508" s="21"/>
    </row>
    <row r="8509" spans="15:15" x14ac:dyDescent="0.25">
      <c r="O8509" s="21"/>
    </row>
    <row r="8510" spans="15:15" x14ac:dyDescent="0.25">
      <c r="O8510" s="21"/>
    </row>
    <row r="8511" spans="15:15" x14ac:dyDescent="0.25">
      <c r="O8511" s="21"/>
    </row>
    <row r="8512" spans="15:15" x14ac:dyDescent="0.25">
      <c r="O8512" s="21"/>
    </row>
    <row r="8513" spans="15:15" x14ac:dyDescent="0.25">
      <c r="O8513" s="21"/>
    </row>
    <row r="8514" spans="15:15" x14ac:dyDescent="0.25">
      <c r="O8514" s="21"/>
    </row>
    <row r="8515" spans="15:15" x14ac:dyDescent="0.25">
      <c r="O8515" s="21"/>
    </row>
    <row r="8516" spans="15:15" x14ac:dyDescent="0.25">
      <c r="O8516" s="21"/>
    </row>
    <row r="8517" spans="15:15" x14ac:dyDescent="0.25">
      <c r="O8517" s="21"/>
    </row>
    <row r="8518" spans="15:15" x14ac:dyDescent="0.25">
      <c r="O8518" s="21"/>
    </row>
    <row r="8519" spans="15:15" x14ac:dyDescent="0.25">
      <c r="O8519" s="21"/>
    </row>
    <row r="8520" spans="15:15" x14ac:dyDescent="0.25">
      <c r="O8520" s="21"/>
    </row>
    <row r="8521" spans="15:15" x14ac:dyDescent="0.25">
      <c r="O8521" s="21"/>
    </row>
    <row r="8522" spans="15:15" x14ac:dyDescent="0.25">
      <c r="O8522" s="21"/>
    </row>
    <row r="8523" spans="15:15" x14ac:dyDescent="0.25">
      <c r="O8523" s="21"/>
    </row>
    <row r="8524" spans="15:15" x14ac:dyDescent="0.25">
      <c r="O8524" s="21"/>
    </row>
    <row r="8525" spans="15:15" x14ac:dyDescent="0.25">
      <c r="O8525" s="21"/>
    </row>
    <row r="8526" spans="15:15" x14ac:dyDescent="0.25">
      <c r="O8526" s="21"/>
    </row>
    <row r="8527" spans="15:15" x14ac:dyDescent="0.25">
      <c r="O8527" s="21"/>
    </row>
    <row r="8528" spans="15:15" x14ac:dyDescent="0.25">
      <c r="O8528" s="21"/>
    </row>
    <row r="8529" spans="15:15" x14ac:dyDescent="0.25">
      <c r="O8529" s="21"/>
    </row>
    <row r="8530" spans="15:15" x14ac:dyDescent="0.25">
      <c r="O8530" s="21"/>
    </row>
    <row r="8531" spans="15:15" x14ac:dyDescent="0.25">
      <c r="O8531" s="21"/>
    </row>
    <row r="8532" spans="15:15" x14ac:dyDescent="0.25">
      <c r="O8532" s="21"/>
    </row>
    <row r="8533" spans="15:15" x14ac:dyDescent="0.25">
      <c r="O8533" s="21"/>
    </row>
    <row r="8534" spans="15:15" x14ac:dyDescent="0.25">
      <c r="O8534" s="21"/>
    </row>
    <row r="8535" spans="15:15" x14ac:dyDescent="0.25">
      <c r="O8535" s="21"/>
    </row>
    <row r="8536" spans="15:15" x14ac:dyDescent="0.25">
      <c r="O8536" s="21"/>
    </row>
    <row r="8537" spans="15:15" x14ac:dyDescent="0.25">
      <c r="O8537" s="21"/>
    </row>
    <row r="8538" spans="15:15" x14ac:dyDescent="0.25">
      <c r="O8538" s="21"/>
    </row>
    <row r="8539" spans="15:15" x14ac:dyDescent="0.25">
      <c r="O8539" s="21"/>
    </row>
    <row r="8540" spans="15:15" x14ac:dyDescent="0.25">
      <c r="O8540" s="21"/>
    </row>
    <row r="8541" spans="15:15" x14ac:dyDescent="0.25">
      <c r="O8541" s="21"/>
    </row>
    <row r="8542" spans="15:15" x14ac:dyDescent="0.25">
      <c r="O8542" s="21"/>
    </row>
    <row r="8543" spans="15:15" x14ac:dyDescent="0.25">
      <c r="O8543" s="21"/>
    </row>
    <row r="8544" spans="15:15" x14ac:dyDescent="0.25">
      <c r="O8544" s="21"/>
    </row>
    <row r="8545" spans="15:15" x14ac:dyDescent="0.25">
      <c r="O8545" s="21"/>
    </row>
    <row r="8546" spans="15:15" x14ac:dyDescent="0.25">
      <c r="O8546" s="21"/>
    </row>
    <row r="8547" spans="15:15" x14ac:dyDescent="0.25">
      <c r="O8547" s="21"/>
    </row>
    <row r="8548" spans="15:15" x14ac:dyDescent="0.25">
      <c r="O8548" s="21"/>
    </row>
    <row r="8549" spans="15:15" x14ac:dyDescent="0.25">
      <c r="O8549" s="21"/>
    </row>
    <row r="8550" spans="15:15" x14ac:dyDescent="0.25">
      <c r="O8550" s="21"/>
    </row>
    <row r="8551" spans="15:15" x14ac:dyDescent="0.25">
      <c r="O8551" s="21"/>
    </row>
    <row r="8552" spans="15:15" x14ac:dyDescent="0.25">
      <c r="O8552" s="21"/>
    </row>
    <row r="8553" spans="15:15" x14ac:dyDescent="0.25">
      <c r="O8553" s="21"/>
    </row>
    <row r="8554" spans="15:15" x14ac:dyDescent="0.25">
      <c r="O8554" s="21"/>
    </row>
    <row r="8555" spans="15:15" x14ac:dyDescent="0.25">
      <c r="O8555" s="21"/>
    </row>
    <row r="8556" spans="15:15" x14ac:dyDescent="0.25">
      <c r="O8556" s="21"/>
    </row>
    <row r="8557" spans="15:15" x14ac:dyDescent="0.25">
      <c r="O8557" s="21"/>
    </row>
    <row r="8558" spans="15:15" x14ac:dyDescent="0.25">
      <c r="O8558" s="21"/>
    </row>
    <row r="8559" spans="15:15" x14ac:dyDescent="0.25">
      <c r="O8559" s="21"/>
    </row>
    <row r="8560" spans="15:15" x14ac:dyDescent="0.25">
      <c r="O8560" s="21"/>
    </row>
    <row r="8561" spans="15:15" x14ac:dyDescent="0.25">
      <c r="O8561" s="21"/>
    </row>
    <row r="8562" spans="15:15" x14ac:dyDescent="0.25">
      <c r="O8562" s="21"/>
    </row>
    <row r="8563" spans="15:15" x14ac:dyDescent="0.25">
      <c r="O8563" s="21"/>
    </row>
    <row r="8564" spans="15:15" x14ac:dyDescent="0.25">
      <c r="O8564" s="21"/>
    </row>
    <row r="8565" spans="15:15" x14ac:dyDescent="0.25">
      <c r="O8565" s="21"/>
    </row>
    <row r="8566" spans="15:15" x14ac:dyDescent="0.25">
      <c r="O8566" s="21"/>
    </row>
    <row r="8567" spans="15:15" x14ac:dyDescent="0.25">
      <c r="O8567" s="21"/>
    </row>
    <row r="8568" spans="15:15" x14ac:dyDescent="0.25">
      <c r="O8568" s="21"/>
    </row>
    <row r="8569" spans="15:15" x14ac:dyDescent="0.25">
      <c r="O8569" s="21"/>
    </row>
    <row r="8570" spans="15:15" x14ac:dyDescent="0.25">
      <c r="O8570" s="21"/>
    </row>
    <row r="8571" spans="15:15" x14ac:dyDescent="0.25">
      <c r="O8571" s="21"/>
    </row>
    <row r="8572" spans="15:15" x14ac:dyDescent="0.25">
      <c r="O8572" s="21"/>
    </row>
    <row r="8573" spans="15:15" x14ac:dyDescent="0.25">
      <c r="O8573" s="21"/>
    </row>
    <row r="8574" spans="15:15" x14ac:dyDescent="0.25">
      <c r="O8574" s="21"/>
    </row>
    <row r="8575" spans="15:15" x14ac:dyDescent="0.25">
      <c r="O8575" s="21"/>
    </row>
    <row r="8576" spans="15:15" x14ac:dyDescent="0.25">
      <c r="O8576" s="21"/>
    </row>
    <row r="8577" spans="15:15" x14ac:dyDescent="0.25">
      <c r="O8577" s="21"/>
    </row>
    <row r="8578" spans="15:15" x14ac:dyDescent="0.25">
      <c r="O8578" s="21"/>
    </row>
    <row r="8579" spans="15:15" x14ac:dyDescent="0.25">
      <c r="O8579" s="21"/>
    </row>
    <row r="8580" spans="15:15" x14ac:dyDescent="0.25">
      <c r="O8580" s="21"/>
    </row>
    <row r="8581" spans="15:15" x14ac:dyDescent="0.25">
      <c r="O8581" s="21"/>
    </row>
    <row r="8582" spans="15:15" x14ac:dyDescent="0.25">
      <c r="O8582" s="21"/>
    </row>
    <row r="8583" spans="15:15" x14ac:dyDescent="0.25">
      <c r="O8583" s="21"/>
    </row>
    <row r="8584" spans="15:15" x14ac:dyDescent="0.25">
      <c r="O8584" s="21"/>
    </row>
    <row r="8585" spans="15:15" x14ac:dyDescent="0.25">
      <c r="O8585" s="21"/>
    </row>
    <row r="8586" spans="15:15" x14ac:dyDescent="0.25">
      <c r="O8586" s="21"/>
    </row>
    <row r="8587" spans="15:15" x14ac:dyDescent="0.25">
      <c r="O8587" s="21"/>
    </row>
    <row r="8588" spans="15:15" x14ac:dyDescent="0.25">
      <c r="O8588" s="21"/>
    </row>
    <row r="8589" spans="15:15" x14ac:dyDescent="0.25">
      <c r="O8589" s="21"/>
    </row>
    <row r="8590" spans="15:15" x14ac:dyDescent="0.25">
      <c r="O8590" s="21"/>
    </row>
    <row r="8591" spans="15:15" x14ac:dyDescent="0.25">
      <c r="O8591" s="21"/>
    </row>
    <row r="8592" spans="15:15" x14ac:dyDescent="0.25">
      <c r="O8592" s="21"/>
    </row>
    <row r="8593" spans="15:15" x14ac:dyDescent="0.25">
      <c r="O8593" s="21"/>
    </row>
    <row r="8594" spans="15:15" x14ac:dyDescent="0.25">
      <c r="O8594" s="21"/>
    </row>
    <row r="8595" spans="15:15" x14ac:dyDescent="0.25">
      <c r="O8595" s="21"/>
    </row>
    <row r="8596" spans="15:15" x14ac:dyDescent="0.25">
      <c r="O8596" s="21"/>
    </row>
    <row r="8597" spans="15:15" x14ac:dyDescent="0.25">
      <c r="O8597" s="21"/>
    </row>
    <row r="8598" spans="15:15" x14ac:dyDescent="0.25">
      <c r="O8598" s="21"/>
    </row>
    <row r="8599" spans="15:15" x14ac:dyDescent="0.25">
      <c r="O8599" s="21"/>
    </row>
    <row r="8600" spans="15:15" x14ac:dyDescent="0.25">
      <c r="O8600" s="21"/>
    </row>
    <row r="8601" spans="15:15" x14ac:dyDescent="0.25">
      <c r="O8601" s="21"/>
    </row>
    <row r="8602" spans="15:15" x14ac:dyDescent="0.25">
      <c r="O8602" s="21"/>
    </row>
    <row r="8603" spans="15:15" x14ac:dyDescent="0.25">
      <c r="O8603" s="21"/>
    </row>
    <row r="8604" spans="15:15" x14ac:dyDescent="0.25">
      <c r="O8604" s="21"/>
    </row>
    <row r="8605" spans="15:15" x14ac:dyDescent="0.25">
      <c r="O8605" s="21"/>
    </row>
    <row r="8606" spans="15:15" x14ac:dyDescent="0.25">
      <c r="O8606" s="21"/>
    </row>
    <row r="8607" spans="15:15" x14ac:dyDescent="0.25">
      <c r="O8607" s="21"/>
    </row>
    <row r="8608" spans="15:15" x14ac:dyDescent="0.25">
      <c r="O8608" s="21"/>
    </row>
    <row r="8609" spans="15:15" x14ac:dyDescent="0.25">
      <c r="O8609" s="21"/>
    </row>
    <row r="8610" spans="15:15" x14ac:dyDescent="0.25">
      <c r="O8610" s="21"/>
    </row>
    <row r="8611" spans="15:15" x14ac:dyDescent="0.25">
      <c r="O8611" s="21"/>
    </row>
    <row r="8612" spans="15:15" x14ac:dyDescent="0.25">
      <c r="O8612" s="21"/>
    </row>
    <row r="8613" spans="15:15" x14ac:dyDescent="0.25">
      <c r="O8613" s="21"/>
    </row>
    <row r="8614" spans="15:15" x14ac:dyDescent="0.25">
      <c r="O8614" s="21"/>
    </row>
    <row r="8615" spans="15:15" x14ac:dyDescent="0.25">
      <c r="O8615" s="21"/>
    </row>
    <row r="8616" spans="15:15" x14ac:dyDescent="0.25">
      <c r="O8616" s="21"/>
    </row>
    <row r="8617" spans="15:15" x14ac:dyDescent="0.25">
      <c r="O8617" s="21"/>
    </row>
    <row r="8618" spans="15:15" x14ac:dyDescent="0.25">
      <c r="O8618" s="21"/>
    </row>
    <row r="8619" spans="15:15" x14ac:dyDescent="0.25">
      <c r="O8619" s="21"/>
    </row>
    <row r="8620" spans="15:15" x14ac:dyDescent="0.25">
      <c r="O8620" s="21"/>
    </row>
    <row r="8621" spans="15:15" x14ac:dyDescent="0.25">
      <c r="O8621" s="21"/>
    </row>
    <row r="8622" spans="15:15" x14ac:dyDescent="0.25">
      <c r="O8622" s="21"/>
    </row>
    <row r="8623" spans="15:15" x14ac:dyDescent="0.25">
      <c r="O8623" s="21"/>
    </row>
    <row r="8624" spans="15:15" x14ac:dyDescent="0.25">
      <c r="O8624" s="21"/>
    </row>
    <row r="8625" spans="15:15" x14ac:dyDescent="0.25">
      <c r="O8625" s="21"/>
    </row>
    <row r="8626" spans="15:15" x14ac:dyDescent="0.25">
      <c r="O8626" s="21"/>
    </row>
    <row r="8627" spans="15:15" x14ac:dyDescent="0.25">
      <c r="O8627" s="21"/>
    </row>
    <row r="8628" spans="15:15" x14ac:dyDescent="0.25">
      <c r="O8628" s="21"/>
    </row>
    <row r="8629" spans="15:15" x14ac:dyDescent="0.25">
      <c r="O8629" s="21"/>
    </row>
    <row r="8630" spans="15:15" x14ac:dyDescent="0.25">
      <c r="O8630" s="21"/>
    </row>
    <row r="8631" spans="15:15" x14ac:dyDescent="0.25">
      <c r="O8631" s="21"/>
    </row>
    <row r="8632" spans="15:15" x14ac:dyDescent="0.25">
      <c r="O8632" s="21"/>
    </row>
    <row r="8633" spans="15:15" x14ac:dyDescent="0.25">
      <c r="O8633" s="21"/>
    </row>
    <row r="8634" spans="15:15" x14ac:dyDescent="0.25">
      <c r="O8634" s="21"/>
    </row>
    <row r="8635" spans="15:15" x14ac:dyDescent="0.25">
      <c r="O8635" s="21"/>
    </row>
    <row r="8636" spans="15:15" x14ac:dyDescent="0.25">
      <c r="O8636" s="21"/>
    </row>
    <row r="8637" spans="15:15" x14ac:dyDescent="0.25">
      <c r="O8637" s="21"/>
    </row>
    <row r="8638" spans="15:15" x14ac:dyDescent="0.25">
      <c r="O8638" s="21"/>
    </row>
    <row r="8639" spans="15:15" x14ac:dyDescent="0.25">
      <c r="O8639" s="21"/>
    </row>
    <row r="8640" spans="15:15" x14ac:dyDescent="0.25">
      <c r="O8640" s="21"/>
    </row>
    <row r="8641" spans="15:15" x14ac:dyDescent="0.25">
      <c r="O8641" s="21"/>
    </row>
    <row r="8642" spans="15:15" x14ac:dyDescent="0.25">
      <c r="O8642" s="21"/>
    </row>
    <row r="8643" spans="15:15" x14ac:dyDescent="0.25">
      <c r="O8643" s="21"/>
    </row>
    <row r="8644" spans="15:15" x14ac:dyDescent="0.25">
      <c r="O8644" s="21"/>
    </row>
    <row r="8645" spans="15:15" x14ac:dyDescent="0.25">
      <c r="O8645" s="21"/>
    </row>
    <row r="8646" spans="15:15" x14ac:dyDescent="0.25">
      <c r="O8646" s="21"/>
    </row>
    <row r="8647" spans="15:15" x14ac:dyDescent="0.25">
      <c r="O8647" s="21"/>
    </row>
    <row r="8648" spans="15:15" x14ac:dyDescent="0.25">
      <c r="O8648" s="21"/>
    </row>
    <row r="8649" spans="15:15" x14ac:dyDescent="0.25">
      <c r="O8649" s="21"/>
    </row>
    <row r="8650" spans="15:15" x14ac:dyDescent="0.25">
      <c r="O8650" s="21"/>
    </row>
    <row r="8651" spans="15:15" x14ac:dyDescent="0.25">
      <c r="O8651" s="21"/>
    </row>
    <row r="8652" spans="15:15" x14ac:dyDescent="0.25">
      <c r="O8652" s="21"/>
    </row>
    <row r="8653" spans="15:15" x14ac:dyDescent="0.25">
      <c r="O8653" s="21"/>
    </row>
    <row r="8654" spans="15:15" x14ac:dyDescent="0.25">
      <c r="O8654" s="21"/>
    </row>
    <row r="8655" spans="15:15" x14ac:dyDescent="0.25">
      <c r="O8655" s="21"/>
    </row>
    <row r="8656" spans="15:15" x14ac:dyDescent="0.25">
      <c r="O8656" s="21"/>
    </row>
    <row r="8657" spans="15:15" x14ac:dyDescent="0.25">
      <c r="O8657" s="21"/>
    </row>
    <row r="8658" spans="15:15" x14ac:dyDescent="0.25">
      <c r="O8658" s="21"/>
    </row>
    <row r="8659" spans="15:15" x14ac:dyDescent="0.25">
      <c r="O8659" s="21"/>
    </row>
    <row r="8660" spans="15:15" x14ac:dyDescent="0.25">
      <c r="O8660" s="21"/>
    </row>
    <row r="8661" spans="15:15" x14ac:dyDescent="0.25">
      <c r="O8661" s="21"/>
    </row>
    <row r="8662" spans="15:15" x14ac:dyDescent="0.25">
      <c r="O8662" s="21"/>
    </row>
    <row r="8663" spans="15:15" x14ac:dyDescent="0.25">
      <c r="O8663" s="21"/>
    </row>
    <row r="8664" spans="15:15" x14ac:dyDescent="0.25">
      <c r="O8664" s="21"/>
    </row>
    <row r="8665" spans="15:15" x14ac:dyDescent="0.25">
      <c r="O8665" s="21"/>
    </row>
    <row r="8666" spans="15:15" x14ac:dyDescent="0.25">
      <c r="O8666" s="21"/>
    </row>
    <row r="8667" spans="15:15" x14ac:dyDescent="0.25">
      <c r="O8667" s="21"/>
    </row>
    <row r="8668" spans="15:15" x14ac:dyDescent="0.25">
      <c r="O8668" s="21"/>
    </row>
    <row r="8669" spans="15:15" x14ac:dyDescent="0.25">
      <c r="O8669" s="21"/>
    </row>
    <row r="8670" spans="15:15" x14ac:dyDescent="0.25">
      <c r="O8670" s="21"/>
    </row>
    <row r="8671" spans="15:15" x14ac:dyDescent="0.25">
      <c r="O8671" s="21"/>
    </row>
    <row r="8672" spans="15:15" x14ac:dyDescent="0.25">
      <c r="O8672" s="21"/>
    </row>
    <row r="8673" spans="15:15" x14ac:dyDescent="0.25">
      <c r="O8673" s="21"/>
    </row>
    <row r="8674" spans="15:15" x14ac:dyDescent="0.25">
      <c r="O8674" s="21"/>
    </row>
    <row r="8675" spans="15:15" x14ac:dyDescent="0.25">
      <c r="O8675" s="21"/>
    </row>
    <row r="8676" spans="15:15" x14ac:dyDescent="0.25">
      <c r="O8676" s="21"/>
    </row>
    <row r="8677" spans="15:15" x14ac:dyDescent="0.25">
      <c r="O8677" s="21"/>
    </row>
    <row r="8678" spans="15:15" x14ac:dyDescent="0.25">
      <c r="O8678" s="21"/>
    </row>
    <row r="8679" spans="15:15" x14ac:dyDescent="0.25">
      <c r="O8679" s="21"/>
    </row>
    <row r="8680" spans="15:15" x14ac:dyDescent="0.25">
      <c r="O8680" s="21"/>
    </row>
    <row r="8681" spans="15:15" x14ac:dyDescent="0.25">
      <c r="O8681" s="21"/>
    </row>
    <row r="8682" spans="15:15" x14ac:dyDescent="0.25">
      <c r="O8682" s="21"/>
    </row>
    <row r="8683" spans="15:15" x14ac:dyDescent="0.25">
      <c r="O8683" s="21"/>
    </row>
    <row r="8684" spans="15:15" x14ac:dyDescent="0.25">
      <c r="O8684" s="21"/>
    </row>
    <row r="8685" spans="15:15" x14ac:dyDescent="0.25">
      <c r="O8685" s="21"/>
    </row>
    <row r="8686" spans="15:15" x14ac:dyDescent="0.25">
      <c r="O8686" s="21"/>
    </row>
    <row r="8687" spans="15:15" x14ac:dyDescent="0.25">
      <c r="O8687" s="21"/>
    </row>
    <row r="8688" spans="15:15" x14ac:dyDescent="0.25">
      <c r="O8688" s="21"/>
    </row>
    <row r="8689" spans="15:15" x14ac:dyDescent="0.25">
      <c r="O8689" s="21"/>
    </row>
    <row r="8690" spans="15:15" x14ac:dyDescent="0.25">
      <c r="O8690" s="21"/>
    </row>
    <row r="8691" spans="15:15" x14ac:dyDescent="0.25">
      <c r="O8691" s="21"/>
    </row>
    <row r="8692" spans="15:15" x14ac:dyDescent="0.25">
      <c r="O8692" s="21"/>
    </row>
    <row r="8693" spans="15:15" x14ac:dyDescent="0.25">
      <c r="O8693" s="21"/>
    </row>
    <row r="8694" spans="15:15" x14ac:dyDescent="0.25">
      <c r="O8694" s="21"/>
    </row>
    <row r="8695" spans="15:15" x14ac:dyDescent="0.25">
      <c r="O8695" s="21"/>
    </row>
    <row r="8696" spans="15:15" x14ac:dyDescent="0.25">
      <c r="O8696" s="21"/>
    </row>
    <row r="8697" spans="15:15" x14ac:dyDescent="0.25">
      <c r="O8697" s="21"/>
    </row>
    <row r="8698" spans="15:15" x14ac:dyDescent="0.25">
      <c r="O8698" s="21"/>
    </row>
    <row r="8699" spans="15:15" x14ac:dyDescent="0.25">
      <c r="O8699" s="21"/>
    </row>
    <row r="8700" spans="15:15" x14ac:dyDescent="0.25">
      <c r="O8700" s="21"/>
    </row>
    <row r="8701" spans="15:15" x14ac:dyDescent="0.25">
      <c r="O8701" s="21"/>
    </row>
    <row r="8702" spans="15:15" x14ac:dyDescent="0.25">
      <c r="O8702" s="21"/>
    </row>
    <row r="8703" spans="15:15" x14ac:dyDescent="0.25">
      <c r="O8703" s="21"/>
    </row>
    <row r="8704" spans="15:15" x14ac:dyDescent="0.25">
      <c r="O8704" s="21"/>
    </row>
    <row r="8705" spans="15:15" x14ac:dyDescent="0.25">
      <c r="O8705" s="21"/>
    </row>
    <row r="8706" spans="15:15" x14ac:dyDescent="0.25">
      <c r="O8706" s="21"/>
    </row>
    <row r="8707" spans="15:15" x14ac:dyDescent="0.25">
      <c r="O8707" s="21"/>
    </row>
    <row r="8708" spans="15:15" x14ac:dyDescent="0.25">
      <c r="O8708" s="21"/>
    </row>
    <row r="8709" spans="15:15" x14ac:dyDescent="0.25">
      <c r="O8709" s="21"/>
    </row>
    <row r="8710" spans="15:15" x14ac:dyDescent="0.25">
      <c r="O8710" s="21"/>
    </row>
    <row r="8711" spans="15:15" x14ac:dyDescent="0.25">
      <c r="O8711" s="21"/>
    </row>
    <row r="8712" spans="15:15" x14ac:dyDescent="0.25">
      <c r="O8712" s="21"/>
    </row>
    <row r="8713" spans="15:15" x14ac:dyDescent="0.25">
      <c r="O8713" s="21"/>
    </row>
    <row r="8714" spans="15:15" x14ac:dyDescent="0.25">
      <c r="O8714" s="21"/>
    </row>
    <row r="8715" spans="15:15" x14ac:dyDescent="0.25">
      <c r="O8715" s="21"/>
    </row>
    <row r="8716" spans="15:15" x14ac:dyDescent="0.25">
      <c r="O8716" s="21"/>
    </row>
    <row r="8717" spans="15:15" x14ac:dyDescent="0.25">
      <c r="O8717" s="21"/>
    </row>
    <row r="8718" spans="15:15" x14ac:dyDescent="0.25">
      <c r="O8718" s="21"/>
    </row>
    <row r="8719" spans="15:15" x14ac:dyDescent="0.25">
      <c r="O8719" s="21"/>
    </row>
    <row r="8720" spans="15:15" x14ac:dyDescent="0.25">
      <c r="O8720" s="21"/>
    </row>
    <row r="8721" spans="15:15" x14ac:dyDescent="0.25">
      <c r="O8721" s="21"/>
    </row>
    <row r="8722" spans="15:15" x14ac:dyDescent="0.25">
      <c r="O8722" s="21"/>
    </row>
    <row r="8723" spans="15:15" x14ac:dyDescent="0.25">
      <c r="O8723" s="21"/>
    </row>
    <row r="8724" spans="15:15" x14ac:dyDescent="0.25">
      <c r="O8724" s="21"/>
    </row>
    <row r="8725" spans="15:15" x14ac:dyDescent="0.25">
      <c r="O8725" s="21"/>
    </row>
    <row r="8726" spans="15:15" x14ac:dyDescent="0.25">
      <c r="O8726" s="21"/>
    </row>
    <row r="8727" spans="15:15" x14ac:dyDescent="0.25">
      <c r="O8727" s="21"/>
    </row>
    <row r="8728" spans="15:15" x14ac:dyDescent="0.25">
      <c r="O8728" s="21"/>
    </row>
    <row r="8729" spans="15:15" x14ac:dyDescent="0.25">
      <c r="O8729" s="21"/>
    </row>
    <row r="8730" spans="15:15" x14ac:dyDescent="0.25">
      <c r="O8730" s="21"/>
    </row>
    <row r="8731" spans="15:15" x14ac:dyDescent="0.25">
      <c r="O8731" s="21"/>
    </row>
    <row r="8732" spans="15:15" x14ac:dyDescent="0.25">
      <c r="O8732" s="21"/>
    </row>
    <row r="8733" spans="15:15" x14ac:dyDescent="0.25">
      <c r="O8733" s="21"/>
    </row>
    <row r="8734" spans="15:15" x14ac:dyDescent="0.25">
      <c r="O8734" s="21"/>
    </row>
    <row r="8735" spans="15:15" x14ac:dyDescent="0.25">
      <c r="O8735" s="21"/>
    </row>
    <row r="8736" spans="15:15" x14ac:dyDescent="0.25">
      <c r="O8736" s="21"/>
    </row>
    <row r="8737" spans="15:15" x14ac:dyDescent="0.25">
      <c r="O8737" s="21"/>
    </row>
    <row r="8738" spans="15:15" x14ac:dyDescent="0.25">
      <c r="O8738" s="21"/>
    </row>
    <row r="8739" spans="15:15" x14ac:dyDescent="0.25">
      <c r="O8739" s="21"/>
    </row>
    <row r="8740" spans="15:15" x14ac:dyDescent="0.25">
      <c r="O8740" s="21"/>
    </row>
    <row r="8741" spans="15:15" x14ac:dyDescent="0.25">
      <c r="O8741" s="21"/>
    </row>
    <row r="8742" spans="15:15" x14ac:dyDescent="0.25">
      <c r="O8742" s="21"/>
    </row>
    <row r="8743" spans="15:15" x14ac:dyDescent="0.25">
      <c r="O8743" s="21"/>
    </row>
    <row r="8744" spans="15:15" x14ac:dyDescent="0.25">
      <c r="O8744" s="21"/>
    </row>
    <row r="8745" spans="15:15" x14ac:dyDescent="0.25">
      <c r="O8745" s="21"/>
    </row>
    <row r="8746" spans="15:15" x14ac:dyDescent="0.25">
      <c r="O8746" s="21"/>
    </row>
    <row r="8747" spans="15:15" x14ac:dyDescent="0.25">
      <c r="O8747" s="21"/>
    </row>
    <row r="8748" spans="15:15" x14ac:dyDescent="0.25">
      <c r="O8748" s="21"/>
    </row>
    <row r="8749" spans="15:15" x14ac:dyDescent="0.25">
      <c r="O8749" s="21"/>
    </row>
    <row r="8750" spans="15:15" x14ac:dyDescent="0.25">
      <c r="O8750" s="21"/>
    </row>
    <row r="8751" spans="15:15" x14ac:dyDescent="0.25">
      <c r="O8751" s="21"/>
    </row>
    <row r="8752" spans="15:15" x14ac:dyDescent="0.25">
      <c r="O8752" s="21"/>
    </row>
    <row r="8753" spans="15:15" x14ac:dyDescent="0.25">
      <c r="O8753" s="21"/>
    </row>
    <row r="8754" spans="15:15" x14ac:dyDescent="0.25">
      <c r="O8754" s="21"/>
    </row>
    <row r="8755" spans="15:15" x14ac:dyDescent="0.25">
      <c r="O8755" s="21"/>
    </row>
    <row r="8756" spans="15:15" x14ac:dyDescent="0.25">
      <c r="O8756" s="21"/>
    </row>
    <row r="8757" spans="15:15" x14ac:dyDescent="0.25">
      <c r="O8757" s="21"/>
    </row>
    <row r="8758" spans="15:15" x14ac:dyDescent="0.25">
      <c r="O8758" s="21"/>
    </row>
    <row r="8759" spans="15:15" x14ac:dyDescent="0.25">
      <c r="O8759" s="21"/>
    </row>
    <row r="8760" spans="15:15" x14ac:dyDescent="0.25">
      <c r="O8760" s="21"/>
    </row>
    <row r="8761" spans="15:15" x14ac:dyDescent="0.25">
      <c r="O8761" s="21"/>
    </row>
    <row r="8762" spans="15:15" x14ac:dyDescent="0.25">
      <c r="O8762" s="21"/>
    </row>
    <row r="8763" spans="15:15" x14ac:dyDescent="0.25">
      <c r="O8763" s="21"/>
    </row>
    <row r="8764" spans="15:15" x14ac:dyDescent="0.25">
      <c r="O8764" s="21"/>
    </row>
    <row r="8765" spans="15:15" x14ac:dyDescent="0.25">
      <c r="O8765" s="21"/>
    </row>
    <row r="8766" spans="15:15" x14ac:dyDescent="0.25">
      <c r="O8766" s="21"/>
    </row>
    <row r="8767" spans="15:15" x14ac:dyDescent="0.25">
      <c r="O8767" s="21"/>
    </row>
    <row r="8768" spans="15:15" x14ac:dyDescent="0.25">
      <c r="O8768" s="21"/>
    </row>
    <row r="8769" spans="15:15" x14ac:dyDescent="0.25">
      <c r="O8769" s="21"/>
    </row>
    <row r="8770" spans="15:15" x14ac:dyDescent="0.25">
      <c r="O8770" s="21"/>
    </row>
    <row r="8771" spans="15:15" x14ac:dyDescent="0.25">
      <c r="O8771" s="21"/>
    </row>
    <row r="8772" spans="15:15" x14ac:dyDescent="0.25">
      <c r="O8772" s="21"/>
    </row>
    <row r="8773" spans="15:15" x14ac:dyDescent="0.25">
      <c r="O8773" s="21"/>
    </row>
    <row r="8774" spans="15:15" x14ac:dyDescent="0.25">
      <c r="O8774" s="21"/>
    </row>
    <row r="8775" spans="15:15" x14ac:dyDescent="0.25">
      <c r="O8775" s="21"/>
    </row>
    <row r="8776" spans="15:15" x14ac:dyDescent="0.25">
      <c r="O8776" s="21"/>
    </row>
    <row r="8777" spans="15:15" x14ac:dyDescent="0.25">
      <c r="O8777" s="21"/>
    </row>
    <row r="8778" spans="15:15" x14ac:dyDescent="0.25">
      <c r="O8778" s="21"/>
    </row>
    <row r="8779" spans="15:15" x14ac:dyDescent="0.25">
      <c r="O8779" s="21"/>
    </row>
    <row r="8780" spans="15:15" x14ac:dyDescent="0.25">
      <c r="O8780" s="21"/>
    </row>
    <row r="8781" spans="15:15" x14ac:dyDescent="0.25">
      <c r="O8781" s="21"/>
    </row>
    <row r="8782" spans="15:15" x14ac:dyDescent="0.25">
      <c r="O8782" s="21"/>
    </row>
    <row r="8783" spans="15:15" x14ac:dyDescent="0.25">
      <c r="O8783" s="21"/>
    </row>
    <row r="8784" spans="15:15" x14ac:dyDescent="0.25">
      <c r="O8784" s="21"/>
    </row>
    <row r="8785" spans="15:15" x14ac:dyDescent="0.25">
      <c r="O8785" s="21"/>
    </row>
    <row r="8786" spans="15:15" x14ac:dyDescent="0.25">
      <c r="O8786" s="21"/>
    </row>
    <row r="8787" spans="15:15" x14ac:dyDescent="0.25">
      <c r="O8787" s="21"/>
    </row>
    <row r="8788" spans="15:15" x14ac:dyDescent="0.25">
      <c r="O8788" s="21"/>
    </row>
    <row r="8789" spans="15:15" x14ac:dyDescent="0.25">
      <c r="O8789" s="21"/>
    </row>
    <row r="8790" spans="15:15" x14ac:dyDescent="0.25">
      <c r="O8790" s="21"/>
    </row>
    <row r="8791" spans="15:15" x14ac:dyDescent="0.25">
      <c r="O8791" s="21"/>
    </row>
    <row r="8792" spans="15:15" x14ac:dyDescent="0.25">
      <c r="O8792" s="21"/>
    </row>
    <row r="8793" spans="15:15" x14ac:dyDescent="0.25">
      <c r="O8793" s="21"/>
    </row>
    <row r="8794" spans="15:15" x14ac:dyDescent="0.25">
      <c r="O8794" s="21"/>
    </row>
    <row r="8795" spans="15:15" x14ac:dyDescent="0.25">
      <c r="O8795" s="21"/>
    </row>
    <row r="8796" spans="15:15" x14ac:dyDescent="0.25">
      <c r="O8796" s="21"/>
    </row>
    <row r="8797" spans="15:15" x14ac:dyDescent="0.25">
      <c r="O8797" s="21"/>
    </row>
    <row r="8798" spans="15:15" x14ac:dyDescent="0.25">
      <c r="O8798" s="21"/>
    </row>
    <row r="8799" spans="15:15" x14ac:dyDescent="0.25">
      <c r="O8799" s="21"/>
    </row>
    <row r="8800" spans="15:15" x14ac:dyDescent="0.25">
      <c r="O8800" s="21"/>
    </row>
    <row r="8801" spans="15:15" x14ac:dyDescent="0.25">
      <c r="O8801" s="21"/>
    </row>
    <row r="8802" spans="15:15" x14ac:dyDescent="0.25">
      <c r="O8802" s="21"/>
    </row>
    <row r="8803" spans="15:15" x14ac:dyDescent="0.25">
      <c r="O8803" s="21"/>
    </row>
    <row r="8804" spans="15:15" x14ac:dyDescent="0.25">
      <c r="O8804" s="21"/>
    </row>
    <row r="8805" spans="15:15" x14ac:dyDescent="0.25">
      <c r="O8805" s="21"/>
    </row>
    <row r="8806" spans="15:15" x14ac:dyDescent="0.25">
      <c r="O8806" s="21"/>
    </row>
    <row r="8807" spans="15:15" x14ac:dyDescent="0.25">
      <c r="O8807" s="21"/>
    </row>
    <row r="8808" spans="15:15" x14ac:dyDescent="0.25">
      <c r="O8808" s="21"/>
    </row>
    <row r="8809" spans="15:15" x14ac:dyDescent="0.25">
      <c r="O8809" s="21"/>
    </row>
    <row r="8810" spans="15:15" x14ac:dyDescent="0.25">
      <c r="O8810" s="21"/>
    </row>
    <row r="8811" spans="15:15" x14ac:dyDescent="0.25">
      <c r="O8811" s="21"/>
    </row>
    <row r="8812" spans="15:15" x14ac:dyDescent="0.25">
      <c r="O8812" s="21"/>
    </row>
    <row r="8813" spans="15:15" x14ac:dyDescent="0.25">
      <c r="O8813" s="21"/>
    </row>
    <row r="8814" spans="15:15" x14ac:dyDescent="0.25">
      <c r="O8814" s="21"/>
    </row>
    <row r="8815" spans="15:15" x14ac:dyDescent="0.25">
      <c r="O8815" s="21"/>
    </row>
    <row r="8816" spans="15:15" x14ac:dyDescent="0.25">
      <c r="O8816" s="21"/>
    </row>
    <row r="8817" spans="15:15" x14ac:dyDescent="0.25">
      <c r="O8817" s="21"/>
    </row>
    <row r="8818" spans="15:15" x14ac:dyDescent="0.25">
      <c r="O8818" s="21"/>
    </row>
    <row r="8819" spans="15:15" x14ac:dyDescent="0.25">
      <c r="O8819" s="21"/>
    </row>
    <row r="8820" spans="15:15" x14ac:dyDescent="0.25">
      <c r="O8820" s="21"/>
    </row>
    <row r="8821" spans="15:15" x14ac:dyDescent="0.25">
      <c r="O8821" s="21"/>
    </row>
    <row r="8822" spans="15:15" x14ac:dyDescent="0.25">
      <c r="O8822" s="21"/>
    </row>
    <row r="8823" spans="15:15" x14ac:dyDescent="0.25">
      <c r="O8823" s="21"/>
    </row>
    <row r="8824" spans="15:15" x14ac:dyDescent="0.25">
      <c r="O8824" s="21"/>
    </row>
    <row r="8825" spans="15:15" x14ac:dyDescent="0.25">
      <c r="O8825" s="21"/>
    </row>
    <row r="8826" spans="15:15" x14ac:dyDescent="0.25">
      <c r="O8826" s="21"/>
    </row>
    <row r="8827" spans="15:15" x14ac:dyDescent="0.25">
      <c r="O8827" s="21"/>
    </row>
    <row r="8828" spans="15:15" x14ac:dyDescent="0.25">
      <c r="O8828" s="21"/>
    </row>
    <row r="8829" spans="15:15" x14ac:dyDescent="0.25">
      <c r="O8829" s="21"/>
    </row>
    <row r="8830" spans="15:15" x14ac:dyDescent="0.25">
      <c r="O8830" s="21"/>
    </row>
    <row r="8831" spans="15:15" x14ac:dyDescent="0.25">
      <c r="O8831" s="21"/>
    </row>
    <row r="8832" spans="15:15" x14ac:dyDescent="0.25">
      <c r="O8832" s="21"/>
    </row>
    <row r="8833" spans="15:15" x14ac:dyDescent="0.25">
      <c r="O8833" s="21"/>
    </row>
    <row r="8834" spans="15:15" x14ac:dyDescent="0.25">
      <c r="O8834" s="21"/>
    </row>
    <row r="8835" spans="15:15" x14ac:dyDescent="0.25">
      <c r="O8835" s="21"/>
    </row>
    <row r="8836" spans="15:15" x14ac:dyDescent="0.25">
      <c r="O8836" s="21"/>
    </row>
    <row r="8837" spans="15:15" x14ac:dyDescent="0.25">
      <c r="O8837" s="21"/>
    </row>
    <row r="8838" spans="15:15" x14ac:dyDescent="0.25">
      <c r="O8838" s="21"/>
    </row>
    <row r="8839" spans="15:15" x14ac:dyDescent="0.25">
      <c r="O8839" s="21"/>
    </row>
    <row r="8840" spans="15:15" x14ac:dyDescent="0.25">
      <c r="O8840" s="21"/>
    </row>
    <row r="8841" spans="15:15" x14ac:dyDescent="0.25">
      <c r="O8841" s="21"/>
    </row>
    <row r="8842" spans="15:15" x14ac:dyDescent="0.25">
      <c r="O8842" s="21"/>
    </row>
    <row r="8843" spans="15:15" x14ac:dyDescent="0.25">
      <c r="O8843" s="21"/>
    </row>
    <row r="8844" spans="15:15" x14ac:dyDescent="0.25">
      <c r="O8844" s="21"/>
    </row>
    <row r="8845" spans="15:15" x14ac:dyDescent="0.25">
      <c r="O8845" s="21"/>
    </row>
    <row r="8846" spans="15:15" x14ac:dyDescent="0.25">
      <c r="O8846" s="21"/>
    </row>
    <row r="8847" spans="15:15" x14ac:dyDescent="0.25">
      <c r="O8847" s="21"/>
    </row>
    <row r="8848" spans="15:15" x14ac:dyDescent="0.25">
      <c r="O8848" s="21"/>
    </row>
    <row r="8849" spans="15:15" x14ac:dyDescent="0.25">
      <c r="O8849" s="21"/>
    </row>
    <row r="8850" spans="15:15" x14ac:dyDescent="0.25">
      <c r="O8850" s="21"/>
    </row>
    <row r="8851" spans="15:15" x14ac:dyDescent="0.25">
      <c r="O8851" s="21"/>
    </row>
    <row r="8852" spans="15:15" x14ac:dyDescent="0.25">
      <c r="O8852" s="21"/>
    </row>
    <row r="8853" spans="15:15" x14ac:dyDescent="0.25">
      <c r="O8853" s="21"/>
    </row>
    <row r="8854" spans="15:15" x14ac:dyDescent="0.25">
      <c r="O8854" s="21"/>
    </row>
    <row r="8855" spans="15:15" x14ac:dyDescent="0.25">
      <c r="O8855" s="21"/>
    </row>
    <row r="8856" spans="15:15" x14ac:dyDescent="0.25">
      <c r="O8856" s="21"/>
    </row>
    <row r="8857" spans="15:15" x14ac:dyDescent="0.25">
      <c r="O8857" s="21"/>
    </row>
    <row r="8858" spans="15:15" x14ac:dyDescent="0.25">
      <c r="O8858" s="21"/>
    </row>
    <row r="8859" spans="15:15" x14ac:dyDescent="0.25">
      <c r="O8859" s="21"/>
    </row>
    <row r="8860" spans="15:15" x14ac:dyDescent="0.25">
      <c r="O8860" s="21"/>
    </row>
    <row r="8861" spans="15:15" x14ac:dyDescent="0.25">
      <c r="O8861" s="21"/>
    </row>
    <row r="8862" spans="15:15" x14ac:dyDescent="0.25">
      <c r="O8862" s="21"/>
    </row>
    <row r="8863" spans="15:15" x14ac:dyDescent="0.25">
      <c r="O8863" s="21"/>
    </row>
    <row r="8864" spans="15:15" x14ac:dyDescent="0.25">
      <c r="O8864" s="21"/>
    </row>
    <row r="8865" spans="15:15" x14ac:dyDescent="0.25">
      <c r="O8865" s="21"/>
    </row>
    <row r="8866" spans="15:15" x14ac:dyDescent="0.25">
      <c r="O8866" s="21"/>
    </row>
    <row r="8867" spans="15:15" x14ac:dyDescent="0.25">
      <c r="O8867" s="21"/>
    </row>
    <row r="8868" spans="15:15" x14ac:dyDescent="0.25">
      <c r="O8868" s="21"/>
    </row>
    <row r="8869" spans="15:15" x14ac:dyDescent="0.25">
      <c r="O8869" s="21"/>
    </row>
    <row r="8870" spans="15:15" x14ac:dyDescent="0.25">
      <c r="O8870" s="21"/>
    </row>
    <row r="8871" spans="15:15" x14ac:dyDescent="0.25">
      <c r="O8871" s="21"/>
    </row>
    <row r="8872" spans="15:15" x14ac:dyDescent="0.25">
      <c r="O8872" s="21"/>
    </row>
    <row r="8873" spans="15:15" x14ac:dyDescent="0.25">
      <c r="O8873" s="21"/>
    </row>
    <row r="8874" spans="15:15" x14ac:dyDescent="0.25">
      <c r="O8874" s="21"/>
    </row>
    <row r="8875" spans="15:15" x14ac:dyDescent="0.25">
      <c r="O8875" s="21"/>
    </row>
    <row r="8876" spans="15:15" x14ac:dyDescent="0.25">
      <c r="O8876" s="21"/>
    </row>
    <row r="8877" spans="15:15" x14ac:dyDescent="0.25">
      <c r="O8877" s="21"/>
    </row>
    <row r="8878" spans="15:15" x14ac:dyDescent="0.25">
      <c r="O8878" s="21"/>
    </row>
    <row r="8879" spans="15:15" x14ac:dyDescent="0.25">
      <c r="O8879" s="21"/>
    </row>
    <row r="8880" spans="15:15" x14ac:dyDescent="0.25">
      <c r="O8880" s="21"/>
    </row>
    <row r="8881" spans="15:15" x14ac:dyDescent="0.25">
      <c r="O8881" s="21"/>
    </row>
    <row r="8882" spans="15:15" x14ac:dyDescent="0.25">
      <c r="O8882" s="21"/>
    </row>
    <row r="8883" spans="15:15" x14ac:dyDescent="0.25">
      <c r="O8883" s="21"/>
    </row>
    <row r="8884" spans="15:15" x14ac:dyDescent="0.25">
      <c r="O8884" s="21"/>
    </row>
    <row r="8885" spans="15:15" x14ac:dyDescent="0.25">
      <c r="O8885" s="21"/>
    </row>
    <row r="8886" spans="15:15" x14ac:dyDescent="0.25">
      <c r="O8886" s="21"/>
    </row>
    <row r="8887" spans="15:15" x14ac:dyDescent="0.25">
      <c r="O8887" s="21"/>
    </row>
    <row r="8888" spans="15:15" x14ac:dyDescent="0.25">
      <c r="O8888" s="21"/>
    </row>
    <row r="8889" spans="15:15" x14ac:dyDescent="0.25">
      <c r="O8889" s="21"/>
    </row>
    <row r="8890" spans="15:15" x14ac:dyDescent="0.25">
      <c r="O8890" s="21"/>
    </row>
    <row r="8891" spans="15:15" x14ac:dyDescent="0.25">
      <c r="O8891" s="21"/>
    </row>
    <row r="8892" spans="15:15" x14ac:dyDescent="0.25">
      <c r="O8892" s="21"/>
    </row>
    <row r="8893" spans="15:15" x14ac:dyDescent="0.25">
      <c r="O8893" s="21"/>
    </row>
    <row r="8894" spans="15:15" x14ac:dyDescent="0.25">
      <c r="O8894" s="21"/>
    </row>
    <row r="8895" spans="15:15" x14ac:dyDescent="0.25">
      <c r="O8895" s="21"/>
    </row>
    <row r="8896" spans="15:15" x14ac:dyDescent="0.25">
      <c r="O8896" s="21"/>
    </row>
    <row r="8897" spans="15:15" x14ac:dyDescent="0.25">
      <c r="O8897" s="21"/>
    </row>
    <row r="8898" spans="15:15" x14ac:dyDescent="0.25">
      <c r="O8898" s="21"/>
    </row>
    <row r="8899" spans="15:15" x14ac:dyDescent="0.25">
      <c r="O8899" s="21"/>
    </row>
    <row r="8900" spans="15:15" x14ac:dyDescent="0.25">
      <c r="O8900" s="21"/>
    </row>
    <row r="8901" spans="15:15" x14ac:dyDescent="0.25">
      <c r="O8901" s="21"/>
    </row>
    <row r="8902" spans="15:15" x14ac:dyDescent="0.25">
      <c r="O8902" s="21"/>
    </row>
    <row r="8903" spans="15:15" x14ac:dyDescent="0.25">
      <c r="O8903" s="21"/>
    </row>
    <row r="8904" spans="15:15" x14ac:dyDescent="0.25">
      <c r="O8904" s="21"/>
    </row>
    <row r="8905" spans="15:15" x14ac:dyDescent="0.25">
      <c r="O8905" s="21"/>
    </row>
    <row r="8906" spans="15:15" x14ac:dyDescent="0.25">
      <c r="O8906" s="21"/>
    </row>
    <row r="8907" spans="15:15" x14ac:dyDescent="0.25">
      <c r="O8907" s="21"/>
    </row>
    <row r="8908" spans="15:15" x14ac:dyDescent="0.25">
      <c r="O8908" s="21"/>
    </row>
    <row r="8909" spans="15:15" x14ac:dyDescent="0.25">
      <c r="O8909" s="21"/>
    </row>
    <row r="8910" spans="15:15" x14ac:dyDescent="0.25">
      <c r="O8910" s="21"/>
    </row>
    <row r="8911" spans="15:15" x14ac:dyDescent="0.25">
      <c r="O8911" s="21"/>
    </row>
    <row r="8912" spans="15:15" x14ac:dyDescent="0.25">
      <c r="O8912" s="21"/>
    </row>
    <row r="8913" spans="15:15" x14ac:dyDescent="0.25">
      <c r="O8913" s="21"/>
    </row>
    <row r="8914" spans="15:15" x14ac:dyDescent="0.25">
      <c r="O8914" s="21"/>
    </row>
    <row r="8915" spans="15:15" x14ac:dyDescent="0.25">
      <c r="O8915" s="21"/>
    </row>
    <row r="8916" spans="15:15" x14ac:dyDescent="0.25">
      <c r="O8916" s="21"/>
    </row>
    <row r="8917" spans="15:15" x14ac:dyDescent="0.25">
      <c r="O8917" s="21"/>
    </row>
    <row r="8918" spans="15:15" x14ac:dyDescent="0.25">
      <c r="O8918" s="21"/>
    </row>
    <row r="8919" spans="15:15" x14ac:dyDescent="0.25">
      <c r="O8919" s="21"/>
    </row>
    <row r="8920" spans="15:15" x14ac:dyDescent="0.25">
      <c r="O8920" s="21"/>
    </row>
    <row r="8921" spans="15:15" x14ac:dyDescent="0.25">
      <c r="O8921" s="21"/>
    </row>
    <row r="8922" spans="15:15" x14ac:dyDescent="0.25">
      <c r="O8922" s="21"/>
    </row>
    <row r="8923" spans="15:15" x14ac:dyDescent="0.25">
      <c r="O8923" s="21"/>
    </row>
    <row r="8924" spans="15:15" x14ac:dyDescent="0.25">
      <c r="O8924" s="21"/>
    </row>
    <row r="8925" spans="15:15" x14ac:dyDescent="0.25">
      <c r="O8925" s="21"/>
    </row>
    <row r="8926" spans="15:15" x14ac:dyDescent="0.25">
      <c r="O8926" s="21"/>
    </row>
    <row r="8927" spans="15:15" x14ac:dyDescent="0.25">
      <c r="O8927" s="21"/>
    </row>
    <row r="8928" spans="15:15" x14ac:dyDescent="0.25">
      <c r="O8928" s="21"/>
    </row>
    <row r="8929" spans="15:15" x14ac:dyDescent="0.25">
      <c r="O8929" s="21"/>
    </row>
    <row r="8930" spans="15:15" x14ac:dyDescent="0.25">
      <c r="O8930" s="21"/>
    </row>
    <row r="8931" spans="15:15" x14ac:dyDescent="0.25">
      <c r="O8931" s="21"/>
    </row>
    <row r="8932" spans="15:15" x14ac:dyDescent="0.25">
      <c r="O8932" s="21"/>
    </row>
    <row r="8933" spans="15:15" x14ac:dyDescent="0.25">
      <c r="O8933" s="21"/>
    </row>
    <row r="8934" spans="15:15" x14ac:dyDescent="0.25">
      <c r="O8934" s="21"/>
    </row>
    <row r="8935" spans="15:15" x14ac:dyDescent="0.25">
      <c r="O8935" s="21"/>
    </row>
    <row r="8936" spans="15:15" x14ac:dyDescent="0.25">
      <c r="O8936" s="21"/>
    </row>
    <row r="8937" spans="15:15" x14ac:dyDescent="0.25">
      <c r="O8937" s="21"/>
    </row>
    <row r="8938" spans="15:15" x14ac:dyDescent="0.25">
      <c r="O8938" s="21"/>
    </row>
    <row r="8939" spans="15:15" x14ac:dyDescent="0.25">
      <c r="O8939" s="21"/>
    </row>
    <row r="8940" spans="15:15" x14ac:dyDescent="0.25">
      <c r="O8940" s="21"/>
    </row>
    <row r="8941" spans="15:15" x14ac:dyDescent="0.25">
      <c r="O8941" s="21"/>
    </row>
    <row r="8942" spans="15:15" x14ac:dyDescent="0.25">
      <c r="O8942" s="21"/>
    </row>
    <row r="8943" spans="15:15" x14ac:dyDescent="0.25">
      <c r="O8943" s="21"/>
    </row>
    <row r="8944" spans="15:15" x14ac:dyDescent="0.25">
      <c r="O8944" s="21"/>
    </row>
    <row r="8945" spans="15:15" x14ac:dyDescent="0.25">
      <c r="O8945" s="21"/>
    </row>
    <row r="8946" spans="15:15" x14ac:dyDescent="0.25">
      <c r="O8946" s="21"/>
    </row>
    <row r="8947" spans="15:15" x14ac:dyDescent="0.25">
      <c r="O8947" s="21"/>
    </row>
    <row r="8948" spans="15:15" x14ac:dyDescent="0.25">
      <c r="O8948" s="21"/>
    </row>
    <row r="8949" spans="15:15" x14ac:dyDescent="0.25">
      <c r="O8949" s="21"/>
    </row>
    <row r="8950" spans="15:15" x14ac:dyDescent="0.25">
      <c r="O8950" s="21"/>
    </row>
    <row r="8951" spans="15:15" x14ac:dyDescent="0.25">
      <c r="O8951" s="21"/>
    </row>
    <row r="8952" spans="15:15" x14ac:dyDescent="0.25">
      <c r="O8952" s="21"/>
    </row>
    <row r="8953" spans="15:15" x14ac:dyDescent="0.25">
      <c r="O8953" s="21"/>
    </row>
    <row r="8954" spans="15:15" x14ac:dyDescent="0.25">
      <c r="O8954" s="21"/>
    </row>
    <row r="8955" spans="15:15" x14ac:dyDescent="0.25">
      <c r="O8955" s="21"/>
    </row>
    <row r="8956" spans="15:15" x14ac:dyDescent="0.25">
      <c r="O8956" s="21"/>
    </row>
    <row r="8957" spans="15:15" x14ac:dyDescent="0.25">
      <c r="O8957" s="21"/>
    </row>
    <row r="8958" spans="15:15" x14ac:dyDescent="0.25">
      <c r="O8958" s="21"/>
    </row>
    <row r="8959" spans="15:15" x14ac:dyDescent="0.25">
      <c r="O8959" s="21"/>
    </row>
    <row r="8960" spans="15:15" x14ac:dyDescent="0.25">
      <c r="O8960" s="21"/>
    </row>
    <row r="8961" spans="15:15" x14ac:dyDescent="0.25">
      <c r="O8961" s="21"/>
    </row>
    <row r="8962" spans="15:15" x14ac:dyDescent="0.25">
      <c r="O8962" s="21"/>
    </row>
    <row r="8963" spans="15:15" x14ac:dyDescent="0.25">
      <c r="O8963" s="21"/>
    </row>
    <row r="8964" spans="15:15" x14ac:dyDescent="0.25">
      <c r="O8964" s="21"/>
    </row>
    <row r="8965" spans="15:15" x14ac:dyDescent="0.25">
      <c r="O8965" s="21"/>
    </row>
    <row r="8966" spans="15:15" x14ac:dyDescent="0.25">
      <c r="O8966" s="21"/>
    </row>
    <row r="8967" spans="15:15" x14ac:dyDescent="0.25">
      <c r="O8967" s="21"/>
    </row>
    <row r="8968" spans="15:15" x14ac:dyDescent="0.25">
      <c r="O8968" s="21"/>
    </row>
    <row r="8969" spans="15:15" x14ac:dyDescent="0.25">
      <c r="O8969" s="21"/>
    </row>
    <row r="8970" spans="15:15" x14ac:dyDescent="0.25">
      <c r="O8970" s="21"/>
    </row>
    <row r="8971" spans="15:15" x14ac:dyDescent="0.25">
      <c r="O8971" s="21"/>
    </row>
    <row r="8972" spans="15:15" x14ac:dyDescent="0.25">
      <c r="O8972" s="21"/>
    </row>
    <row r="8973" spans="15:15" x14ac:dyDescent="0.25">
      <c r="O8973" s="21"/>
    </row>
    <row r="8974" spans="15:15" x14ac:dyDescent="0.25">
      <c r="O8974" s="21"/>
    </row>
    <row r="8975" spans="15:15" x14ac:dyDescent="0.25">
      <c r="O8975" s="21"/>
    </row>
    <row r="8976" spans="15:15" x14ac:dyDescent="0.25">
      <c r="O8976" s="21"/>
    </row>
    <row r="8977" spans="15:15" x14ac:dyDescent="0.25">
      <c r="O8977" s="21"/>
    </row>
    <row r="8978" spans="15:15" x14ac:dyDescent="0.25">
      <c r="O8978" s="21"/>
    </row>
    <row r="8979" spans="15:15" x14ac:dyDescent="0.25">
      <c r="O8979" s="21"/>
    </row>
    <row r="8980" spans="15:15" x14ac:dyDescent="0.25">
      <c r="O8980" s="21"/>
    </row>
    <row r="8981" spans="15:15" x14ac:dyDescent="0.25">
      <c r="O8981" s="21"/>
    </row>
    <row r="8982" spans="15:15" x14ac:dyDescent="0.25">
      <c r="O8982" s="21"/>
    </row>
    <row r="8983" spans="15:15" x14ac:dyDescent="0.25">
      <c r="O8983" s="21"/>
    </row>
    <row r="8984" spans="15:15" x14ac:dyDescent="0.25">
      <c r="O8984" s="21"/>
    </row>
    <row r="8985" spans="15:15" x14ac:dyDescent="0.25">
      <c r="O8985" s="21"/>
    </row>
    <row r="8986" spans="15:15" x14ac:dyDescent="0.25">
      <c r="O8986" s="21"/>
    </row>
    <row r="8987" spans="15:15" x14ac:dyDescent="0.25">
      <c r="O8987" s="21"/>
    </row>
    <row r="8988" spans="15:15" x14ac:dyDescent="0.25">
      <c r="O8988" s="21"/>
    </row>
    <row r="8989" spans="15:15" x14ac:dyDescent="0.25">
      <c r="O8989" s="21"/>
    </row>
    <row r="8990" spans="15:15" x14ac:dyDescent="0.25">
      <c r="O8990" s="21"/>
    </row>
    <row r="8991" spans="15:15" x14ac:dyDescent="0.25">
      <c r="O8991" s="21"/>
    </row>
    <row r="8992" spans="15:15" x14ac:dyDescent="0.25">
      <c r="O8992" s="21"/>
    </row>
    <row r="8993" spans="15:15" x14ac:dyDescent="0.25">
      <c r="O8993" s="21"/>
    </row>
    <row r="8994" spans="15:15" x14ac:dyDescent="0.25">
      <c r="O8994" s="21"/>
    </row>
    <row r="8995" spans="15:15" x14ac:dyDescent="0.25">
      <c r="O8995" s="21"/>
    </row>
    <row r="8996" spans="15:15" x14ac:dyDescent="0.25">
      <c r="O8996" s="21"/>
    </row>
    <row r="8997" spans="15:15" x14ac:dyDescent="0.25">
      <c r="O8997" s="21"/>
    </row>
    <row r="8998" spans="15:15" x14ac:dyDescent="0.25">
      <c r="O8998" s="21"/>
    </row>
    <row r="8999" spans="15:15" x14ac:dyDescent="0.25">
      <c r="O8999" s="21"/>
    </row>
    <row r="9000" spans="15:15" x14ac:dyDescent="0.25">
      <c r="O9000" s="21"/>
    </row>
    <row r="9001" spans="15:15" x14ac:dyDescent="0.25">
      <c r="O9001" s="21"/>
    </row>
    <row r="9002" spans="15:15" x14ac:dyDescent="0.25">
      <c r="O9002" s="21"/>
    </row>
    <row r="9003" spans="15:15" x14ac:dyDescent="0.25">
      <c r="O9003" s="21"/>
    </row>
    <row r="9004" spans="15:15" x14ac:dyDescent="0.25">
      <c r="O9004" s="21"/>
    </row>
    <row r="9005" spans="15:15" x14ac:dyDescent="0.25">
      <c r="O9005" s="21"/>
    </row>
    <row r="9006" spans="15:15" x14ac:dyDescent="0.25">
      <c r="O9006" s="21"/>
    </row>
    <row r="9007" spans="15:15" x14ac:dyDescent="0.25">
      <c r="O9007" s="21"/>
    </row>
    <row r="9008" spans="15:15" x14ac:dyDescent="0.25">
      <c r="O9008" s="21"/>
    </row>
    <row r="9009" spans="15:15" x14ac:dyDescent="0.25">
      <c r="O9009" s="21"/>
    </row>
    <row r="9010" spans="15:15" x14ac:dyDescent="0.25">
      <c r="O9010" s="21"/>
    </row>
    <row r="9011" spans="15:15" x14ac:dyDescent="0.25">
      <c r="O9011" s="21"/>
    </row>
    <row r="9012" spans="15:15" x14ac:dyDescent="0.25">
      <c r="O9012" s="21"/>
    </row>
    <row r="9013" spans="15:15" x14ac:dyDescent="0.25">
      <c r="O9013" s="21"/>
    </row>
    <row r="9014" spans="15:15" x14ac:dyDescent="0.25">
      <c r="O9014" s="21"/>
    </row>
    <row r="9015" spans="15:15" x14ac:dyDescent="0.25">
      <c r="O9015" s="21"/>
    </row>
    <row r="9016" spans="15:15" x14ac:dyDescent="0.25">
      <c r="O9016" s="21"/>
    </row>
    <row r="9017" spans="15:15" x14ac:dyDescent="0.25">
      <c r="O9017" s="21"/>
    </row>
    <row r="9018" spans="15:15" x14ac:dyDescent="0.25">
      <c r="O9018" s="21"/>
    </row>
    <row r="9019" spans="15:15" x14ac:dyDescent="0.25">
      <c r="O9019" s="21"/>
    </row>
    <row r="9020" spans="15:15" x14ac:dyDescent="0.25">
      <c r="O9020" s="21"/>
    </row>
    <row r="9021" spans="15:15" x14ac:dyDescent="0.25">
      <c r="O9021" s="21"/>
    </row>
    <row r="9022" spans="15:15" x14ac:dyDescent="0.25">
      <c r="O9022" s="21"/>
    </row>
    <row r="9023" spans="15:15" x14ac:dyDescent="0.25">
      <c r="O9023" s="21"/>
    </row>
    <row r="9024" spans="15:15" x14ac:dyDescent="0.25">
      <c r="O9024" s="21"/>
    </row>
    <row r="9025" spans="15:15" x14ac:dyDescent="0.25">
      <c r="O9025" s="21"/>
    </row>
    <row r="9026" spans="15:15" x14ac:dyDescent="0.25">
      <c r="O9026" s="21"/>
    </row>
    <row r="9027" spans="15:15" x14ac:dyDescent="0.25">
      <c r="O9027" s="21"/>
    </row>
    <row r="9028" spans="15:15" x14ac:dyDescent="0.25">
      <c r="O9028" s="21"/>
    </row>
    <row r="9029" spans="15:15" x14ac:dyDescent="0.25">
      <c r="O9029" s="21"/>
    </row>
    <row r="9030" spans="15:15" x14ac:dyDescent="0.25">
      <c r="O9030" s="21"/>
    </row>
    <row r="9031" spans="15:15" x14ac:dyDescent="0.25">
      <c r="O9031" s="21"/>
    </row>
    <row r="9032" spans="15:15" x14ac:dyDescent="0.25">
      <c r="O9032" s="21"/>
    </row>
    <row r="9033" spans="15:15" x14ac:dyDescent="0.25">
      <c r="O9033" s="21"/>
    </row>
    <row r="9034" spans="15:15" x14ac:dyDescent="0.25">
      <c r="O9034" s="21"/>
    </row>
    <row r="9035" spans="15:15" x14ac:dyDescent="0.25">
      <c r="O9035" s="21"/>
    </row>
    <row r="9036" spans="15:15" x14ac:dyDescent="0.25">
      <c r="O9036" s="21"/>
    </row>
    <row r="9037" spans="15:15" x14ac:dyDescent="0.25">
      <c r="O9037" s="21"/>
    </row>
    <row r="9038" spans="15:15" x14ac:dyDescent="0.25">
      <c r="O9038" s="21"/>
    </row>
    <row r="9039" spans="15:15" x14ac:dyDescent="0.25">
      <c r="O9039" s="21"/>
    </row>
    <row r="9040" spans="15:15" x14ac:dyDescent="0.25">
      <c r="O9040" s="21"/>
    </row>
    <row r="9041" spans="15:15" x14ac:dyDescent="0.25">
      <c r="O9041" s="21"/>
    </row>
    <row r="9042" spans="15:15" x14ac:dyDescent="0.25">
      <c r="O9042" s="21"/>
    </row>
    <row r="9043" spans="15:15" x14ac:dyDescent="0.25">
      <c r="O9043" s="21"/>
    </row>
    <row r="9044" spans="15:15" x14ac:dyDescent="0.25">
      <c r="O9044" s="21"/>
    </row>
    <row r="9045" spans="15:15" x14ac:dyDescent="0.25">
      <c r="O9045" s="21"/>
    </row>
    <row r="9046" spans="15:15" x14ac:dyDescent="0.25">
      <c r="O9046" s="21"/>
    </row>
    <row r="9047" spans="15:15" x14ac:dyDescent="0.25">
      <c r="O9047" s="21"/>
    </row>
    <row r="9048" spans="15:15" x14ac:dyDescent="0.25">
      <c r="O9048" s="21"/>
    </row>
    <row r="9049" spans="15:15" x14ac:dyDescent="0.25">
      <c r="O9049" s="21"/>
    </row>
    <row r="9050" spans="15:15" x14ac:dyDescent="0.25">
      <c r="O9050" s="21"/>
    </row>
    <row r="9051" spans="15:15" x14ac:dyDescent="0.25">
      <c r="O9051" s="21"/>
    </row>
    <row r="9052" spans="15:15" x14ac:dyDescent="0.25">
      <c r="O9052" s="21"/>
    </row>
    <row r="9053" spans="15:15" x14ac:dyDescent="0.25">
      <c r="O9053" s="21"/>
    </row>
    <row r="9054" spans="15:15" x14ac:dyDescent="0.25">
      <c r="O9054" s="21"/>
    </row>
    <row r="9055" spans="15:15" x14ac:dyDescent="0.25">
      <c r="O9055" s="21"/>
    </row>
    <row r="9056" spans="15:15" x14ac:dyDescent="0.25">
      <c r="O9056" s="21"/>
    </row>
    <row r="9057" spans="15:15" x14ac:dyDescent="0.25">
      <c r="O9057" s="21"/>
    </row>
    <row r="9058" spans="15:15" x14ac:dyDescent="0.25">
      <c r="O9058" s="21"/>
    </row>
    <row r="9059" spans="15:15" x14ac:dyDescent="0.25">
      <c r="O9059" s="21"/>
    </row>
    <row r="9060" spans="15:15" x14ac:dyDescent="0.25">
      <c r="O9060" s="21"/>
    </row>
    <row r="9061" spans="15:15" x14ac:dyDescent="0.25">
      <c r="O9061" s="21"/>
    </row>
    <row r="9062" spans="15:15" x14ac:dyDescent="0.25">
      <c r="O9062" s="21"/>
    </row>
    <row r="9063" spans="15:15" x14ac:dyDescent="0.25">
      <c r="O9063" s="21"/>
    </row>
    <row r="9064" spans="15:15" x14ac:dyDescent="0.25">
      <c r="O9064" s="21"/>
    </row>
    <row r="9065" spans="15:15" x14ac:dyDescent="0.25">
      <c r="O9065" s="21"/>
    </row>
    <row r="9066" spans="15:15" x14ac:dyDescent="0.25">
      <c r="O9066" s="21"/>
    </row>
    <row r="9067" spans="15:15" x14ac:dyDescent="0.25">
      <c r="O9067" s="21"/>
    </row>
    <row r="9068" spans="15:15" x14ac:dyDescent="0.25">
      <c r="O9068" s="21"/>
    </row>
    <row r="9069" spans="15:15" x14ac:dyDescent="0.25">
      <c r="O9069" s="21"/>
    </row>
    <row r="9070" spans="15:15" x14ac:dyDescent="0.25">
      <c r="O9070" s="21"/>
    </row>
    <row r="9071" spans="15:15" x14ac:dyDescent="0.25">
      <c r="O9071" s="21"/>
    </row>
    <row r="9072" spans="15:15" x14ac:dyDescent="0.25">
      <c r="O9072" s="21"/>
    </row>
    <row r="9073" spans="15:15" x14ac:dyDescent="0.25">
      <c r="O9073" s="21"/>
    </row>
    <row r="9074" spans="15:15" x14ac:dyDescent="0.25">
      <c r="O9074" s="21"/>
    </row>
    <row r="9075" spans="15:15" x14ac:dyDescent="0.25">
      <c r="O9075" s="21"/>
    </row>
    <row r="9076" spans="15:15" x14ac:dyDescent="0.25">
      <c r="O9076" s="21"/>
    </row>
    <row r="9077" spans="15:15" x14ac:dyDescent="0.25">
      <c r="O9077" s="21"/>
    </row>
    <row r="9078" spans="15:15" x14ac:dyDescent="0.25">
      <c r="O9078" s="21"/>
    </row>
    <row r="9079" spans="15:15" x14ac:dyDescent="0.25">
      <c r="O9079" s="21"/>
    </row>
    <row r="9080" spans="15:15" x14ac:dyDescent="0.25">
      <c r="O9080" s="21"/>
    </row>
    <row r="9081" spans="15:15" x14ac:dyDescent="0.25">
      <c r="O9081" s="21"/>
    </row>
    <row r="9082" spans="15:15" x14ac:dyDescent="0.25">
      <c r="O9082" s="21"/>
    </row>
    <row r="9083" spans="15:15" x14ac:dyDescent="0.25">
      <c r="O9083" s="21"/>
    </row>
    <row r="9084" spans="15:15" x14ac:dyDescent="0.25">
      <c r="O9084" s="21"/>
    </row>
    <row r="9085" spans="15:15" x14ac:dyDescent="0.25">
      <c r="O9085" s="21"/>
    </row>
    <row r="9086" spans="15:15" x14ac:dyDescent="0.25">
      <c r="O9086" s="21"/>
    </row>
    <row r="9087" spans="15:15" x14ac:dyDescent="0.25">
      <c r="O9087" s="21"/>
    </row>
    <row r="9088" spans="15:15" x14ac:dyDescent="0.25">
      <c r="O9088" s="21"/>
    </row>
    <row r="9089" spans="15:15" x14ac:dyDescent="0.25">
      <c r="O9089" s="21"/>
    </row>
    <row r="9090" spans="15:15" x14ac:dyDescent="0.25">
      <c r="O9090" s="21"/>
    </row>
    <row r="9091" spans="15:15" x14ac:dyDescent="0.25">
      <c r="O9091" s="21"/>
    </row>
    <row r="9092" spans="15:15" x14ac:dyDescent="0.25">
      <c r="O9092" s="21"/>
    </row>
    <row r="9093" spans="15:15" x14ac:dyDescent="0.25">
      <c r="O9093" s="21"/>
    </row>
    <row r="9094" spans="15:15" x14ac:dyDescent="0.25">
      <c r="O9094" s="21"/>
    </row>
    <row r="9095" spans="15:15" x14ac:dyDescent="0.25">
      <c r="O9095" s="21"/>
    </row>
    <row r="9096" spans="15:15" x14ac:dyDescent="0.25">
      <c r="O9096" s="21"/>
    </row>
    <row r="9097" spans="15:15" x14ac:dyDescent="0.25">
      <c r="O9097" s="21"/>
    </row>
    <row r="9098" spans="15:15" x14ac:dyDescent="0.25">
      <c r="O9098" s="21"/>
    </row>
    <row r="9099" spans="15:15" x14ac:dyDescent="0.25">
      <c r="O9099" s="21"/>
    </row>
    <row r="9100" spans="15:15" x14ac:dyDescent="0.25">
      <c r="O9100" s="21"/>
    </row>
    <row r="9101" spans="15:15" x14ac:dyDescent="0.25">
      <c r="O9101" s="21"/>
    </row>
    <row r="9102" spans="15:15" x14ac:dyDescent="0.25">
      <c r="O9102" s="21"/>
    </row>
    <row r="9103" spans="15:15" x14ac:dyDescent="0.25">
      <c r="O9103" s="21"/>
    </row>
    <row r="9104" spans="15:15" x14ac:dyDescent="0.25">
      <c r="O9104" s="21"/>
    </row>
    <row r="9105" spans="15:15" x14ac:dyDescent="0.25">
      <c r="O9105" s="21"/>
    </row>
    <row r="9106" spans="15:15" x14ac:dyDescent="0.25">
      <c r="O9106" s="21"/>
    </row>
    <row r="9107" spans="15:15" x14ac:dyDescent="0.25">
      <c r="O9107" s="21"/>
    </row>
    <row r="9108" spans="15:15" x14ac:dyDescent="0.25">
      <c r="O9108" s="21"/>
    </row>
    <row r="9109" spans="15:15" x14ac:dyDescent="0.25">
      <c r="O9109" s="21"/>
    </row>
    <row r="9110" spans="15:15" x14ac:dyDescent="0.25">
      <c r="O9110" s="21"/>
    </row>
    <row r="9111" spans="15:15" x14ac:dyDescent="0.25">
      <c r="O9111" s="21"/>
    </row>
    <row r="9112" spans="15:15" x14ac:dyDescent="0.25">
      <c r="O9112" s="21"/>
    </row>
    <row r="9113" spans="15:15" x14ac:dyDescent="0.25">
      <c r="O9113" s="21"/>
    </row>
    <row r="9114" spans="15:15" x14ac:dyDescent="0.25">
      <c r="O9114" s="21"/>
    </row>
    <row r="9115" spans="15:15" x14ac:dyDescent="0.25">
      <c r="O9115" s="21"/>
    </row>
    <row r="9116" spans="15:15" x14ac:dyDescent="0.25">
      <c r="O9116" s="21"/>
    </row>
    <row r="9117" spans="15:15" x14ac:dyDescent="0.25">
      <c r="O9117" s="21"/>
    </row>
    <row r="9118" spans="15:15" x14ac:dyDescent="0.25">
      <c r="O9118" s="21"/>
    </row>
    <row r="9119" spans="15:15" x14ac:dyDescent="0.25">
      <c r="O9119" s="21"/>
    </row>
    <row r="9120" spans="15:15" x14ac:dyDescent="0.25">
      <c r="O9120" s="21"/>
    </row>
    <row r="9121" spans="15:15" x14ac:dyDescent="0.25">
      <c r="O9121" s="21"/>
    </row>
    <row r="9122" spans="15:15" x14ac:dyDescent="0.25">
      <c r="O9122" s="21"/>
    </row>
    <row r="9123" spans="15:15" x14ac:dyDescent="0.25">
      <c r="O9123" s="21"/>
    </row>
    <row r="9124" spans="15:15" x14ac:dyDescent="0.25">
      <c r="O9124" s="21"/>
    </row>
    <row r="9125" spans="15:15" x14ac:dyDescent="0.25">
      <c r="O9125" s="21"/>
    </row>
    <row r="9126" spans="15:15" x14ac:dyDescent="0.25">
      <c r="O9126" s="21"/>
    </row>
    <row r="9127" spans="15:15" x14ac:dyDescent="0.25">
      <c r="O9127" s="21"/>
    </row>
    <row r="9128" spans="15:15" x14ac:dyDescent="0.25">
      <c r="O9128" s="21"/>
    </row>
    <row r="9129" spans="15:15" x14ac:dyDescent="0.25">
      <c r="O9129" s="21"/>
    </row>
    <row r="9130" spans="15:15" x14ac:dyDescent="0.25">
      <c r="O9130" s="21"/>
    </row>
    <row r="9131" spans="15:15" x14ac:dyDescent="0.25">
      <c r="O9131" s="21"/>
    </row>
    <row r="9132" spans="15:15" x14ac:dyDescent="0.25">
      <c r="O9132" s="21"/>
    </row>
    <row r="9133" spans="15:15" x14ac:dyDescent="0.25">
      <c r="O9133" s="21"/>
    </row>
    <row r="9134" spans="15:15" x14ac:dyDescent="0.25">
      <c r="O9134" s="21"/>
    </row>
    <row r="9135" spans="15:15" x14ac:dyDescent="0.25">
      <c r="O9135" s="21"/>
    </row>
    <row r="9136" spans="15:15" x14ac:dyDescent="0.25">
      <c r="O9136" s="21"/>
    </row>
    <row r="9137" spans="15:15" x14ac:dyDescent="0.25">
      <c r="O9137" s="21"/>
    </row>
    <row r="9138" spans="15:15" x14ac:dyDescent="0.25">
      <c r="O9138" s="21"/>
    </row>
    <row r="9139" spans="15:15" x14ac:dyDescent="0.25">
      <c r="O9139" s="21"/>
    </row>
    <row r="9140" spans="15:15" x14ac:dyDescent="0.25">
      <c r="O9140" s="21"/>
    </row>
    <row r="9141" spans="15:15" x14ac:dyDescent="0.25">
      <c r="O9141" s="21"/>
    </row>
    <row r="9142" spans="15:15" x14ac:dyDescent="0.25">
      <c r="O9142" s="21"/>
    </row>
    <row r="9143" spans="15:15" x14ac:dyDescent="0.25">
      <c r="O9143" s="21"/>
    </row>
    <row r="9144" spans="15:15" x14ac:dyDescent="0.25">
      <c r="O9144" s="21"/>
    </row>
    <row r="9145" spans="15:15" x14ac:dyDescent="0.25">
      <c r="O9145" s="21"/>
    </row>
    <row r="9146" spans="15:15" x14ac:dyDescent="0.25">
      <c r="O9146" s="21"/>
    </row>
    <row r="9147" spans="15:15" x14ac:dyDescent="0.25">
      <c r="O9147" s="21"/>
    </row>
    <row r="9148" spans="15:15" x14ac:dyDescent="0.25">
      <c r="O9148" s="21"/>
    </row>
    <row r="9149" spans="15:15" x14ac:dyDescent="0.25">
      <c r="O9149" s="21"/>
    </row>
    <row r="9150" spans="15:15" x14ac:dyDescent="0.25">
      <c r="O9150" s="21"/>
    </row>
    <row r="9151" spans="15:15" x14ac:dyDescent="0.25">
      <c r="O9151" s="21"/>
    </row>
    <row r="9152" spans="15:15" x14ac:dyDescent="0.25">
      <c r="O9152" s="21"/>
    </row>
    <row r="9153" spans="15:15" x14ac:dyDescent="0.25">
      <c r="O9153" s="21"/>
    </row>
    <row r="9154" spans="15:15" x14ac:dyDescent="0.25">
      <c r="O9154" s="21"/>
    </row>
    <row r="9155" spans="15:15" x14ac:dyDescent="0.25">
      <c r="O9155" s="21"/>
    </row>
    <row r="9156" spans="15:15" x14ac:dyDescent="0.25">
      <c r="O9156" s="21"/>
    </row>
    <row r="9157" spans="15:15" x14ac:dyDescent="0.25">
      <c r="O9157" s="21"/>
    </row>
    <row r="9158" spans="15:15" x14ac:dyDescent="0.25">
      <c r="O9158" s="21"/>
    </row>
    <row r="9159" spans="15:15" x14ac:dyDescent="0.25">
      <c r="O9159" s="21"/>
    </row>
    <row r="9160" spans="15:15" x14ac:dyDescent="0.25">
      <c r="O9160" s="21"/>
    </row>
    <row r="9161" spans="15:15" x14ac:dyDescent="0.25">
      <c r="O9161" s="21"/>
    </row>
    <row r="9162" spans="15:15" x14ac:dyDescent="0.25">
      <c r="O9162" s="21"/>
    </row>
    <row r="9163" spans="15:15" x14ac:dyDescent="0.25">
      <c r="O9163" s="21"/>
    </row>
    <row r="9164" spans="15:15" x14ac:dyDescent="0.25">
      <c r="O9164" s="21"/>
    </row>
    <row r="9165" spans="15:15" x14ac:dyDescent="0.25">
      <c r="O9165" s="21"/>
    </row>
    <row r="9166" spans="15:15" x14ac:dyDescent="0.25">
      <c r="O9166" s="21"/>
    </row>
    <row r="9167" spans="15:15" x14ac:dyDescent="0.25">
      <c r="O9167" s="21"/>
    </row>
    <row r="9168" spans="15:15" x14ac:dyDescent="0.25">
      <c r="O9168" s="21"/>
    </row>
    <row r="9169" spans="15:15" x14ac:dyDescent="0.25">
      <c r="O9169" s="21"/>
    </row>
    <row r="9170" spans="15:15" x14ac:dyDescent="0.25">
      <c r="O9170" s="21"/>
    </row>
    <row r="9171" spans="15:15" x14ac:dyDescent="0.25">
      <c r="O9171" s="21"/>
    </row>
    <row r="9172" spans="15:15" x14ac:dyDescent="0.25">
      <c r="O9172" s="21"/>
    </row>
    <row r="9173" spans="15:15" x14ac:dyDescent="0.25">
      <c r="O9173" s="21"/>
    </row>
    <row r="9174" spans="15:15" x14ac:dyDescent="0.25">
      <c r="O9174" s="21"/>
    </row>
    <row r="9175" spans="15:15" x14ac:dyDescent="0.25">
      <c r="O9175" s="21"/>
    </row>
    <row r="9176" spans="15:15" x14ac:dyDescent="0.25">
      <c r="O9176" s="21"/>
    </row>
    <row r="9177" spans="15:15" x14ac:dyDescent="0.25">
      <c r="O9177" s="21"/>
    </row>
    <row r="9178" spans="15:15" x14ac:dyDescent="0.25">
      <c r="O9178" s="21"/>
    </row>
    <row r="9179" spans="15:15" x14ac:dyDescent="0.25">
      <c r="O9179" s="21"/>
    </row>
    <row r="9180" spans="15:15" x14ac:dyDescent="0.25">
      <c r="O9180" s="21"/>
    </row>
    <row r="9181" spans="15:15" x14ac:dyDescent="0.25">
      <c r="O9181" s="21"/>
    </row>
    <row r="9182" spans="15:15" x14ac:dyDescent="0.25">
      <c r="O9182" s="21"/>
    </row>
    <row r="9183" spans="15:15" x14ac:dyDescent="0.25">
      <c r="O9183" s="21"/>
    </row>
    <row r="9184" spans="15:15" x14ac:dyDescent="0.25">
      <c r="O9184" s="21"/>
    </row>
    <row r="9185" spans="15:15" x14ac:dyDescent="0.25">
      <c r="O9185" s="21"/>
    </row>
    <row r="9186" spans="15:15" x14ac:dyDescent="0.25">
      <c r="O9186" s="21"/>
    </row>
    <row r="9187" spans="15:15" x14ac:dyDescent="0.25">
      <c r="O9187" s="21"/>
    </row>
    <row r="9188" spans="15:15" x14ac:dyDescent="0.25">
      <c r="O9188" s="21"/>
    </row>
    <row r="9189" spans="15:15" x14ac:dyDescent="0.25">
      <c r="O9189" s="21"/>
    </row>
    <row r="9190" spans="15:15" x14ac:dyDescent="0.25">
      <c r="O9190" s="21"/>
    </row>
    <row r="9191" spans="15:15" x14ac:dyDescent="0.25">
      <c r="O9191" s="21"/>
    </row>
    <row r="9192" spans="15:15" x14ac:dyDescent="0.25">
      <c r="O9192" s="21"/>
    </row>
    <row r="9193" spans="15:15" x14ac:dyDescent="0.25">
      <c r="O9193" s="21"/>
    </row>
    <row r="9194" spans="15:15" x14ac:dyDescent="0.25">
      <c r="O9194" s="21"/>
    </row>
    <row r="9195" spans="15:15" x14ac:dyDescent="0.25">
      <c r="O9195" s="21"/>
    </row>
    <row r="9196" spans="15:15" x14ac:dyDescent="0.25">
      <c r="O9196" s="21"/>
    </row>
    <row r="9197" spans="15:15" x14ac:dyDescent="0.25">
      <c r="O9197" s="21"/>
    </row>
    <row r="9198" spans="15:15" x14ac:dyDescent="0.25">
      <c r="O9198" s="21"/>
    </row>
    <row r="9199" spans="15:15" x14ac:dyDescent="0.25">
      <c r="O9199" s="21"/>
    </row>
    <row r="9200" spans="15:15" x14ac:dyDescent="0.25">
      <c r="O9200" s="21"/>
    </row>
    <row r="9201" spans="15:15" x14ac:dyDescent="0.25">
      <c r="O9201" s="21"/>
    </row>
    <row r="9202" spans="15:15" x14ac:dyDescent="0.25">
      <c r="O9202" s="21"/>
    </row>
    <row r="9203" spans="15:15" x14ac:dyDescent="0.25">
      <c r="O9203" s="21"/>
    </row>
    <row r="9204" spans="15:15" x14ac:dyDescent="0.25">
      <c r="O9204" s="21"/>
    </row>
    <row r="9205" spans="15:15" x14ac:dyDescent="0.25">
      <c r="O9205" s="21"/>
    </row>
    <row r="9206" spans="15:15" x14ac:dyDescent="0.25">
      <c r="O9206" s="21"/>
    </row>
    <row r="9207" spans="15:15" x14ac:dyDescent="0.25">
      <c r="O9207" s="21"/>
    </row>
    <row r="9208" spans="15:15" x14ac:dyDescent="0.25">
      <c r="O9208" s="21"/>
    </row>
    <row r="9209" spans="15:15" x14ac:dyDescent="0.25">
      <c r="O9209" s="21"/>
    </row>
    <row r="9210" spans="15:15" x14ac:dyDescent="0.25">
      <c r="O9210" s="21"/>
    </row>
    <row r="9211" spans="15:15" x14ac:dyDescent="0.25">
      <c r="O9211" s="21"/>
    </row>
    <row r="9212" spans="15:15" x14ac:dyDescent="0.25">
      <c r="O9212" s="21"/>
    </row>
    <row r="9213" spans="15:15" x14ac:dyDescent="0.25">
      <c r="O9213" s="21"/>
    </row>
    <row r="9214" spans="15:15" x14ac:dyDescent="0.25">
      <c r="O9214" s="21"/>
    </row>
    <row r="9215" spans="15:15" x14ac:dyDescent="0.25">
      <c r="O9215" s="21"/>
    </row>
    <row r="9216" spans="15:15" x14ac:dyDescent="0.25">
      <c r="O9216" s="21"/>
    </row>
    <row r="9217" spans="15:15" x14ac:dyDescent="0.25">
      <c r="O9217" s="21"/>
    </row>
    <row r="9218" spans="15:15" x14ac:dyDescent="0.25">
      <c r="O9218" s="21"/>
    </row>
    <row r="9219" spans="15:15" x14ac:dyDescent="0.25">
      <c r="O9219" s="21"/>
    </row>
    <row r="9220" spans="15:15" x14ac:dyDescent="0.25">
      <c r="O9220" s="21"/>
    </row>
    <row r="9221" spans="15:15" x14ac:dyDescent="0.25">
      <c r="O9221" s="21"/>
    </row>
    <row r="9222" spans="15:15" x14ac:dyDescent="0.25">
      <c r="O9222" s="21"/>
    </row>
    <row r="9223" spans="15:15" x14ac:dyDescent="0.25">
      <c r="O9223" s="21"/>
    </row>
    <row r="9224" spans="15:15" x14ac:dyDescent="0.25">
      <c r="O9224" s="21"/>
    </row>
    <row r="9225" spans="15:15" x14ac:dyDescent="0.25">
      <c r="O9225" s="21"/>
    </row>
    <row r="9226" spans="15:15" x14ac:dyDescent="0.25">
      <c r="O9226" s="21"/>
    </row>
    <row r="9227" spans="15:15" x14ac:dyDescent="0.25">
      <c r="O9227" s="21"/>
    </row>
    <row r="9228" spans="15:15" x14ac:dyDescent="0.25">
      <c r="O9228" s="21"/>
    </row>
    <row r="9229" spans="15:15" x14ac:dyDescent="0.25">
      <c r="O9229" s="21"/>
    </row>
    <row r="9230" spans="15:15" x14ac:dyDescent="0.25">
      <c r="O9230" s="21"/>
    </row>
    <row r="9231" spans="15:15" x14ac:dyDescent="0.25">
      <c r="O9231" s="21"/>
    </row>
    <row r="9232" spans="15:15" x14ac:dyDescent="0.25">
      <c r="O9232" s="21"/>
    </row>
    <row r="9233" spans="15:15" x14ac:dyDescent="0.25">
      <c r="O9233" s="21"/>
    </row>
    <row r="9234" spans="15:15" x14ac:dyDescent="0.25">
      <c r="O9234" s="21"/>
    </row>
    <row r="9235" spans="15:15" x14ac:dyDescent="0.25">
      <c r="O9235" s="21"/>
    </row>
    <row r="9236" spans="15:15" x14ac:dyDescent="0.25">
      <c r="O9236" s="21"/>
    </row>
    <row r="9237" spans="15:15" x14ac:dyDescent="0.25">
      <c r="O9237" s="21"/>
    </row>
    <row r="9238" spans="15:15" x14ac:dyDescent="0.25">
      <c r="O9238" s="21"/>
    </row>
    <row r="9239" spans="15:15" x14ac:dyDescent="0.25">
      <c r="O9239" s="21"/>
    </row>
    <row r="9240" spans="15:15" x14ac:dyDescent="0.25">
      <c r="O9240" s="21"/>
    </row>
    <row r="9241" spans="15:15" x14ac:dyDescent="0.25">
      <c r="O9241" s="21"/>
    </row>
    <row r="9242" spans="15:15" x14ac:dyDescent="0.25">
      <c r="O9242" s="21"/>
    </row>
    <row r="9243" spans="15:15" x14ac:dyDescent="0.25">
      <c r="O9243" s="21"/>
    </row>
    <row r="9244" spans="15:15" x14ac:dyDescent="0.25">
      <c r="O9244" s="21"/>
    </row>
    <row r="9245" spans="15:15" x14ac:dyDescent="0.25">
      <c r="O9245" s="21"/>
    </row>
    <row r="9246" spans="15:15" x14ac:dyDescent="0.25">
      <c r="O9246" s="21"/>
    </row>
    <row r="9247" spans="15:15" x14ac:dyDescent="0.25">
      <c r="O9247" s="21"/>
    </row>
    <row r="9248" spans="15:15" x14ac:dyDescent="0.25">
      <c r="O9248" s="21"/>
    </row>
    <row r="9249" spans="15:15" x14ac:dyDescent="0.25">
      <c r="O9249" s="21"/>
    </row>
    <row r="9250" spans="15:15" x14ac:dyDescent="0.25">
      <c r="O9250" s="21"/>
    </row>
    <row r="9251" spans="15:15" x14ac:dyDescent="0.25">
      <c r="O9251" s="21"/>
    </row>
    <row r="9252" spans="15:15" x14ac:dyDescent="0.25">
      <c r="O9252" s="21"/>
    </row>
    <row r="9253" spans="15:15" x14ac:dyDescent="0.25">
      <c r="O9253" s="21"/>
    </row>
    <row r="9254" spans="15:15" x14ac:dyDescent="0.25">
      <c r="O9254" s="21"/>
    </row>
    <row r="9255" spans="15:15" x14ac:dyDescent="0.25">
      <c r="O9255" s="21"/>
    </row>
    <row r="9256" spans="15:15" x14ac:dyDescent="0.25">
      <c r="O9256" s="21"/>
    </row>
    <row r="9257" spans="15:15" x14ac:dyDescent="0.25">
      <c r="O9257" s="21"/>
    </row>
    <row r="9258" spans="15:15" x14ac:dyDescent="0.25">
      <c r="O9258" s="21"/>
    </row>
    <row r="9259" spans="15:15" x14ac:dyDescent="0.25">
      <c r="O9259" s="21"/>
    </row>
    <row r="9260" spans="15:15" x14ac:dyDescent="0.25">
      <c r="O9260" s="21"/>
    </row>
    <row r="9261" spans="15:15" x14ac:dyDescent="0.25">
      <c r="O9261" s="21"/>
    </row>
    <row r="9262" spans="15:15" x14ac:dyDescent="0.25">
      <c r="O9262" s="21"/>
    </row>
    <row r="9263" spans="15:15" x14ac:dyDescent="0.25">
      <c r="O9263" s="21"/>
    </row>
    <row r="9264" spans="15:15" x14ac:dyDescent="0.25">
      <c r="O9264" s="21"/>
    </row>
    <row r="9265" spans="15:15" x14ac:dyDescent="0.25">
      <c r="O9265" s="21"/>
    </row>
    <row r="9266" spans="15:15" x14ac:dyDescent="0.25">
      <c r="O9266" s="21"/>
    </row>
    <row r="9267" spans="15:15" x14ac:dyDescent="0.25">
      <c r="O9267" s="21"/>
    </row>
    <row r="9268" spans="15:15" x14ac:dyDescent="0.25">
      <c r="O9268" s="21"/>
    </row>
    <row r="9269" spans="15:15" x14ac:dyDescent="0.25">
      <c r="O9269" s="21"/>
    </row>
    <row r="9270" spans="15:15" x14ac:dyDescent="0.25">
      <c r="O9270" s="21"/>
    </row>
    <row r="9271" spans="15:15" x14ac:dyDescent="0.25">
      <c r="O9271" s="21"/>
    </row>
    <row r="9272" spans="15:15" x14ac:dyDescent="0.25">
      <c r="O9272" s="21"/>
    </row>
    <row r="9273" spans="15:15" x14ac:dyDescent="0.25">
      <c r="O9273" s="21"/>
    </row>
    <row r="9274" spans="15:15" x14ac:dyDescent="0.25">
      <c r="O9274" s="21"/>
    </row>
    <row r="9275" spans="15:15" x14ac:dyDescent="0.25">
      <c r="O9275" s="21"/>
    </row>
    <row r="9276" spans="15:15" x14ac:dyDescent="0.25">
      <c r="O9276" s="21"/>
    </row>
    <row r="9277" spans="15:15" x14ac:dyDescent="0.25">
      <c r="O9277" s="21"/>
    </row>
    <row r="9278" spans="15:15" x14ac:dyDescent="0.25">
      <c r="O9278" s="21"/>
    </row>
    <row r="9279" spans="15:15" x14ac:dyDescent="0.25">
      <c r="O9279" s="21"/>
    </row>
    <row r="9280" spans="15:15" x14ac:dyDescent="0.25">
      <c r="O9280" s="21"/>
    </row>
    <row r="9281" spans="15:15" x14ac:dyDescent="0.25">
      <c r="O9281" s="21"/>
    </row>
    <row r="9282" spans="15:15" x14ac:dyDescent="0.25">
      <c r="O9282" s="21"/>
    </row>
    <row r="9283" spans="15:15" x14ac:dyDescent="0.25">
      <c r="O9283" s="21"/>
    </row>
    <row r="9284" spans="15:15" x14ac:dyDescent="0.25">
      <c r="O9284" s="21"/>
    </row>
    <row r="9285" spans="15:15" x14ac:dyDescent="0.25">
      <c r="O9285" s="21"/>
    </row>
    <row r="9286" spans="15:15" x14ac:dyDescent="0.25">
      <c r="O9286" s="21"/>
    </row>
    <row r="9287" spans="15:15" x14ac:dyDescent="0.25">
      <c r="O9287" s="21"/>
    </row>
    <row r="9288" spans="15:15" x14ac:dyDescent="0.25">
      <c r="O9288" s="21"/>
    </row>
    <row r="9289" spans="15:15" x14ac:dyDescent="0.25">
      <c r="O9289" s="21"/>
    </row>
    <row r="9290" spans="15:15" x14ac:dyDescent="0.25">
      <c r="O9290" s="21"/>
    </row>
    <row r="9291" spans="15:15" x14ac:dyDescent="0.25">
      <c r="O9291" s="21"/>
    </row>
    <row r="9292" spans="15:15" x14ac:dyDescent="0.25">
      <c r="O9292" s="21"/>
    </row>
    <row r="9293" spans="15:15" x14ac:dyDescent="0.25">
      <c r="O9293" s="21"/>
    </row>
    <row r="9294" spans="15:15" x14ac:dyDescent="0.25">
      <c r="O9294" s="21"/>
    </row>
    <row r="9295" spans="15:15" x14ac:dyDescent="0.25">
      <c r="O9295" s="21"/>
    </row>
    <row r="9296" spans="15:15" x14ac:dyDescent="0.25">
      <c r="O9296" s="21"/>
    </row>
    <row r="9297" spans="15:15" x14ac:dyDescent="0.25">
      <c r="O9297" s="21"/>
    </row>
    <row r="9298" spans="15:15" x14ac:dyDescent="0.25">
      <c r="O9298" s="21"/>
    </row>
    <row r="9299" spans="15:15" x14ac:dyDescent="0.25">
      <c r="O9299" s="21"/>
    </row>
    <row r="9300" spans="15:15" x14ac:dyDescent="0.25">
      <c r="O9300" s="21"/>
    </row>
    <row r="9301" spans="15:15" x14ac:dyDescent="0.25">
      <c r="O9301" s="21"/>
    </row>
    <row r="9302" spans="15:15" x14ac:dyDescent="0.25">
      <c r="O9302" s="21"/>
    </row>
    <row r="9303" spans="15:15" x14ac:dyDescent="0.25">
      <c r="O9303" s="21"/>
    </row>
    <row r="9304" spans="15:15" x14ac:dyDescent="0.25">
      <c r="O9304" s="21"/>
    </row>
    <row r="9305" spans="15:15" x14ac:dyDescent="0.25">
      <c r="O9305" s="21"/>
    </row>
    <row r="9306" spans="15:15" x14ac:dyDescent="0.25">
      <c r="O9306" s="21"/>
    </row>
    <row r="9307" spans="15:15" x14ac:dyDescent="0.25">
      <c r="O9307" s="21"/>
    </row>
    <row r="9308" spans="15:15" x14ac:dyDescent="0.25">
      <c r="O9308" s="21"/>
    </row>
    <row r="9309" spans="15:15" x14ac:dyDescent="0.25">
      <c r="O9309" s="21"/>
    </row>
    <row r="9310" spans="15:15" x14ac:dyDescent="0.25">
      <c r="O9310" s="21"/>
    </row>
    <row r="9311" spans="15:15" x14ac:dyDescent="0.25">
      <c r="O9311" s="21"/>
    </row>
    <row r="9312" spans="15:15" x14ac:dyDescent="0.25">
      <c r="O9312" s="21"/>
    </row>
    <row r="9313" spans="15:15" x14ac:dyDescent="0.25">
      <c r="O9313" s="21"/>
    </row>
    <row r="9314" spans="15:15" x14ac:dyDescent="0.25">
      <c r="O9314" s="21"/>
    </row>
    <row r="9315" spans="15:15" x14ac:dyDescent="0.25">
      <c r="O9315" s="21"/>
    </row>
    <row r="9316" spans="15:15" x14ac:dyDescent="0.25">
      <c r="O9316" s="21"/>
    </row>
    <row r="9317" spans="15:15" x14ac:dyDescent="0.25">
      <c r="O9317" s="21"/>
    </row>
    <row r="9318" spans="15:15" x14ac:dyDescent="0.25">
      <c r="O9318" s="21"/>
    </row>
    <row r="9319" spans="15:15" x14ac:dyDescent="0.25">
      <c r="O9319" s="21"/>
    </row>
    <row r="9320" spans="15:15" x14ac:dyDescent="0.25">
      <c r="O9320" s="21"/>
    </row>
    <row r="9321" spans="15:15" x14ac:dyDescent="0.25">
      <c r="O9321" s="21"/>
    </row>
    <row r="9322" spans="15:15" x14ac:dyDescent="0.25">
      <c r="O9322" s="21"/>
    </row>
    <row r="9323" spans="15:15" x14ac:dyDescent="0.25">
      <c r="O9323" s="21"/>
    </row>
    <row r="9324" spans="15:15" x14ac:dyDescent="0.25">
      <c r="O9324" s="21"/>
    </row>
    <row r="9325" spans="15:15" x14ac:dyDescent="0.25">
      <c r="O9325" s="21"/>
    </row>
    <row r="9326" spans="15:15" x14ac:dyDescent="0.25">
      <c r="O9326" s="21"/>
    </row>
    <row r="9327" spans="15:15" x14ac:dyDescent="0.25">
      <c r="O9327" s="21"/>
    </row>
    <row r="9328" spans="15:15" x14ac:dyDescent="0.25">
      <c r="O9328" s="21"/>
    </row>
    <row r="9329" spans="15:15" x14ac:dyDescent="0.25">
      <c r="O9329" s="21"/>
    </row>
    <row r="9330" spans="15:15" x14ac:dyDescent="0.25">
      <c r="O9330" s="21"/>
    </row>
    <row r="9331" spans="15:15" x14ac:dyDescent="0.25">
      <c r="O9331" s="21"/>
    </row>
    <row r="9332" spans="15:15" x14ac:dyDescent="0.25">
      <c r="O9332" s="21"/>
    </row>
    <row r="9333" spans="15:15" x14ac:dyDescent="0.25">
      <c r="O9333" s="21"/>
    </row>
    <row r="9334" spans="15:15" x14ac:dyDescent="0.25">
      <c r="O9334" s="21"/>
    </row>
    <row r="9335" spans="15:15" x14ac:dyDescent="0.25">
      <c r="O9335" s="21"/>
    </row>
    <row r="9336" spans="15:15" x14ac:dyDescent="0.25">
      <c r="O9336" s="21"/>
    </row>
    <row r="9337" spans="15:15" x14ac:dyDescent="0.25">
      <c r="O9337" s="21"/>
    </row>
    <row r="9338" spans="15:15" x14ac:dyDescent="0.25">
      <c r="O9338" s="21"/>
    </row>
    <row r="9339" spans="15:15" x14ac:dyDescent="0.25">
      <c r="O9339" s="21"/>
    </row>
    <row r="9340" spans="15:15" x14ac:dyDescent="0.25">
      <c r="O9340" s="21"/>
    </row>
    <row r="9341" spans="15:15" x14ac:dyDescent="0.25">
      <c r="O9341" s="21"/>
    </row>
    <row r="9342" spans="15:15" x14ac:dyDescent="0.25">
      <c r="O9342" s="21"/>
    </row>
    <row r="9343" spans="15:15" x14ac:dyDescent="0.25">
      <c r="O9343" s="21"/>
    </row>
    <row r="9344" spans="15:15" x14ac:dyDescent="0.25">
      <c r="O9344" s="21"/>
    </row>
    <row r="9345" spans="15:15" x14ac:dyDescent="0.25">
      <c r="O9345" s="21"/>
    </row>
    <row r="9346" spans="15:15" x14ac:dyDescent="0.25">
      <c r="O9346" s="21"/>
    </row>
    <row r="9347" spans="15:15" x14ac:dyDescent="0.25">
      <c r="O9347" s="21"/>
    </row>
    <row r="9348" spans="15:15" x14ac:dyDescent="0.25">
      <c r="O9348" s="21"/>
    </row>
    <row r="9349" spans="15:15" x14ac:dyDescent="0.25">
      <c r="O9349" s="21"/>
    </row>
    <row r="9350" spans="15:15" x14ac:dyDescent="0.25">
      <c r="O9350" s="21"/>
    </row>
    <row r="9351" spans="15:15" x14ac:dyDescent="0.25">
      <c r="O9351" s="21"/>
    </row>
    <row r="9352" spans="15:15" x14ac:dyDescent="0.25">
      <c r="O9352" s="21"/>
    </row>
    <row r="9353" spans="15:15" x14ac:dyDescent="0.25">
      <c r="O9353" s="21"/>
    </row>
    <row r="9354" spans="15:15" x14ac:dyDescent="0.25">
      <c r="O9354" s="21"/>
    </row>
    <row r="9355" spans="15:15" x14ac:dyDescent="0.25">
      <c r="O9355" s="21"/>
    </row>
    <row r="9356" spans="15:15" x14ac:dyDescent="0.25">
      <c r="O9356" s="21"/>
    </row>
    <row r="9357" spans="15:15" x14ac:dyDescent="0.25">
      <c r="O9357" s="21"/>
    </row>
    <row r="9358" spans="15:15" x14ac:dyDescent="0.25">
      <c r="O9358" s="21"/>
    </row>
    <row r="9359" spans="15:15" x14ac:dyDescent="0.25">
      <c r="O9359" s="21"/>
    </row>
    <row r="9360" spans="15:15" x14ac:dyDescent="0.25">
      <c r="O9360" s="21"/>
    </row>
    <row r="9361" spans="15:15" x14ac:dyDescent="0.25">
      <c r="O9361" s="21"/>
    </row>
    <row r="9362" spans="15:15" x14ac:dyDescent="0.25">
      <c r="O9362" s="21"/>
    </row>
    <row r="9363" spans="15:15" x14ac:dyDescent="0.25">
      <c r="O9363" s="21"/>
    </row>
    <row r="9364" spans="15:15" x14ac:dyDescent="0.25">
      <c r="O9364" s="21"/>
    </row>
    <row r="9365" spans="15:15" x14ac:dyDescent="0.25">
      <c r="O9365" s="21"/>
    </row>
    <row r="9366" spans="15:15" x14ac:dyDescent="0.25">
      <c r="O9366" s="21"/>
    </row>
    <row r="9367" spans="15:15" x14ac:dyDescent="0.25">
      <c r="O9367" s="21"/>
    </row>
    <row r="9368" spans="15:15" x14ac:dyDescent="0.25">
      <c r="O9368" s="21"/>
    </row>
    <row r="9369" spans="15:15" x14ac:dyDescent="0.25">
      <c r="O9369" s="21"/>
    </row>
    <row r="9370" spans="15:15" x14ac:dyDescent="0.25">
      <c r="O9370" s="21"/>
    </row>
    <row r="9371" spans="15:15" x14ac:dyDescent="0.25">
      <c r="O9371" s="21"/>
    </row>
    <row r="9372" spans="15:15" x14ac:dyDescent="0.25">
      <c r="O9372" s="21"/>
    </row>
    <row r="9373" spans="15:15" x14ac:dyDescent="0.25">
      <c r="O9373" s="21"/>
    </row>
    <row r="9374" spans="15:15" x14ac:dyDescent="0.25">
      <c r="O9374" s="21"/>
    </row>
    <row r="9375" spans="15:15" x14ac:dyDescent="0.25">
      <c r="O9375" s="21"/>
    </row>
    <row r="9376" spans="15:15" x14ac:dyDescent="0.25">
      <c r="O9376" s="21"/>
    </row>
    <row r="9377" spans="15:15" x14ac:dyDescent="0.25">
      <c r="O9377" s="21"/>
    </row>
    <row r="9378" spans="15:15" x14ac:dyDescent="0.25">
      <c r="O9378" s="21"/>
    </row>
    <row r="9379" spans="15:15" x14ac:dyDescent="0.25">
      <c r="O9379" s="21"/>
    </row>
    <row r="9380" spans="15:15" x14ac:dyDescent="0.25">
      <c r="O9380" s="21"/>
    </row>
    <row r="9381" spans="15:15" x14ac:dyDescent="0.25">
      <c r="O9381" s="21"/>
    </row>
    <row r="9382" spans="15:15" x14ac:dyDescent="0.25">
      <c r="O9382" s="21"/>
    </row>
    <row r="9383" spans="15:15" x14ac:dyDescent="0.25">
      <c r="O9383" s="21"/>
    </row>
    <row r="9384" spans="15:15" x14ac:dyDescent="0.25">
      <c r="O9384" s="21"/>
    </row>
    <row r="9385" spans="15:15" x14ac:dyDescent="0.25">
      <c r="O9385" s="21"/>
    </row>
    <row r="9386" spans="15:15" x14ac:dyDescent="0.25">
      <c r="O9386" s="21"/>
    </row>
    <row r="9387" spans="15:15" x14ac:dyDescent="0.25">
      <c r="O9387" s="21"/>
    </row>
    <row r="9388" spans="15:15" x14ac:dyDescent="0.25">
      <c r="O9388" s="21"/>
    </row>
    <row r="9389" spans="15:15" x14ac:dyDescent="0.25">
      <c r="O9389" s="21"/>
    </row>
    <row r="9390" spans="15:15" x14ac:dyDescent="0.25">
      <c r="O9390" s="21"/>
    </row>
    <row r="9391" spans="15:15" x14ac:dyDescent="0.25">
      <c r="O9391" s="21"/>
    </row>
    <row r="9392" spans="15:15" x14ac:dyDescent="0.25">
      <c r="O9392" s="21"/>
    </row>
    <row r="9393" spans="15:15" x14ac:dyDescent="0.25">
      <c r="O9393" s="21"/>
    </row>
    <row r="9394" spans="15:15" x14ac:dyDescent="0.25">
      <c r="O9394" s="21"/>
    </row>
    <row r="9395" spans="15:15" x14ac:dyDescent="0.25">
      <c r="O9395" s="21"/>
    </row>
    <row r="9396" spans="15:15" x14ac:dyDescent="0.25">
      <c r="O9396" s="21"/>
    </row>
    <row r="9397" spans="15:15" x14ac:dyDescent="0.25">
      <c r="O9397" s="21"/>
    </row>
    <row r="9398" spans="15:15" x14ac:dyDescent="0.25">
      <c r="O9398" s="21"/>
    </row>
    <row r="9399" spans="15:15" x14ac:dyDescent="0.25">
      <c r="O9399" s="21"/>
    </row>
    <row r="9400" spans="15:15" x14ac:dyDescent="0.25">
      <c r="O9400" s="21"/>
    </row>
    <row r="9401" spans="15:15" x14ac:dyDescent="0.25">
      <c r="O9401" s="21"/>
    </row>
    <row r="9402" spans="15:15" x14ac:dyDescent="0.25">
      <c r="O9402" s="21"/>
    </row>
    <row r="9403" spans="15:15" x14ac:dyDescent="0.25">
      <c r="O9403" s="21"/>
    </row>
    <row r="9404" spans="15:15" x14ac:dyDescent="0.25">
      <c r="O9404" s="21"/>
    </row>
    <row r="9405" spans="15:15" x14ac:dyDescent="0.25">
      <c r="O9405" s="21"/>
    </row>
    <row r="9406" spans="15:15" x14ac:dyDescent="0.25">
      <c r="O9406" s="21"/>
    </row>
    <row r="9407" spans="15:15" x14ac:dyDescent="0.25">
      <c r="O9407" s="21"/>
    </row>
    <row r="9408" spans="15:15" x14ac:dyDescent="0.25">
      <c r="O9408" s="21"/>
    </row>
    <row r="9409" spans="15:15" x14ac:dyDescent="0.25">
      <c r="O9409" s="21"/>
    </row>
    <row r="9410" spans="15:15" x14ac:dyDescent="0.25">
      <c r="O9410" s="21"/>
    </row>
    <row r="9411" spans="15:15" x14ac:dyDescent="0.25">
      <c r="O9411" s="21"/>
    </row>
    <row r="9412" spans="15:15" x14ac:dyDescent="0.25">
      <c r="O9412" s="21"/>
    </row>
    <row r="9413" spans="15:15" x14ac:dyDescent="0.25">
      <c r="O9413" s="21"/>
    </row>
    <row r="9414" spans="15:15" x14ac:dyDescent="0.25">
      <c r="O9414" s="21"/>
    </row>
    <row r="9415" spans="15:15" x14ac:dyDescent="0.25">
      <c r="O9415" s="21"/>
    </row>
    <row r="9416" spans="15:15" x14ac:dyDescent="0.25">
      <c r="O9416" s="21"/>
    </row>
    <row r="9417" spans="15:15" x14ac:dyDescent="0.25">
      <c r="O9417" s="21"/>
    </row>
    <row r="9418" spans="15:15" x14ac:dyDescent="0.25">
      <c r="O9418" s="21"/>
    </row>
    <row r="9419" spans="15:15" x14ac:dyDescent="0.25">
      <c r="O9419" s="21"/>
    </row>
    <row r="9420" spans="15:15" x14ac:dyDescent="0.25">
      <c r="O9420" s="21"/>
    </row>
    <row r="9421" spans="15:15" x14ac:dyDescent="0.25">
      <c r="O9421" s="21"/>
    </row>
    <row r="9422" spans="15:15" x14ac:dyDescent="0.25">
      <c r="O9422" s="21"/>
    </row>
    <row r="9423" spans="15:15" x14ac:dyDescent="0.25">
      <c r="O9423" s="21"/>
    </row>
    <row r="9424" spans="15:15" x14ac:dyDescent="0.25">
      <c r="O9424" s="21"/>
    </row>
    <row r="9425" spans="15:15" x14ac:dyDescent="0.25">
      <c r="O9425" s="21"/>
    </row>
    <row r="9426" spans="15:15" x14ac:dyDescent="0.25">
      <c r="O9426" s="21"/>
    </row>
    <row r="9427" spans="15:15" x14ac:dyDescent="0.25">
      <c r="O9427" s="21"/>
    </row>
    <row r="9428" spans="15:15" x14ac:dyDescent="0.25">
      <c r="O9428" s="21"/>
    </row>
    <row r="9429" spans="15:15" x14ac:dyDescent="0.25">
      <c r="O9429" s="21"/>
    </row>
    <row r="9430" spans="15:15" x14ac:dyDescent="0.25">
      <c r="O9430" s="21"/>
    </row>
    <row r="9431" spans="15:15" x14ac:dyDescent="0.25">
      <c r="O9431" s="21"/>
    </row>
    <row r="9432" spans="15:15" x14ac:dyDescent="0.25">
      <c r="O9432" s="21"/>
    </row>
    <row r="9433" spans="15:15" x14ac:dyDescent="0.25">
      <c r="O9433" s="21"/>
    </row>
    <row r="9434" spans="15:15" x14ac:dyDescent="0.25">
      <c r="O9434" s="21"/>
    </row>
    <row r="9435" spans="15:15" x14ac:dyDescent="0.25">
      <c r="O9435" s="21"/>
    </row>
    <row r="9436" spans="15:15" x14ac:dyDescent="0.25">
      <c r="O9436" s="21"/>
    </row>
    <row r="9437" spans="15:15" x14ac:dyDescent="0.25">
      <c r="O9437" s="21"/>
    </row>
    <row r="9438" spans="15:15" x14ac:dyDescent="0.25">
      <c r="O9438" s="21"/>
    </row>
    <row r="9439" spans="15:15" x14ac:dyDescent="0.25">
      <c r="O9439" s="21"/>
    </row>
    <row r="9440" spans="15:15" x14ac:dyDescent="0.25">
      <c r="O9440" s="21"/>
    </row>
    <row r="9441" spans="15:15" x14ac:dyDescent="0.25">
      <c r="O9441" s="21"/>
    </row>
    <row r="9442" spans="15:15" x14ac:dyDescent="0.25">
      <c r="O9442" s="21"/>
    </row>
    <row r="9443" spans="15:15" x14ac:dyDescent="0.25">
      <c r="O9443" s="21"/>
    </row>
    <row r="9444" spans="15:15" x14ac:dyDescent="0.25">
      <c r="O9444" s="21"/>
    </row>
    <row r="9445" spans="15:15" x14ac:dyDescent="0.25">
      <c r="O9445" s="21"/>
    </row>
    <row r="9446" spans="15:15" x14ac:dyDescent="0.25">
      <c r="O9446" s="21"/>
    </row>
    <row r="9447" spans="15:15" x14ac:dyDescent="0.25">
      <c r="O9447" s="21"/>
    </row>
    <row r="9448" spans="15:15" x14ac:dyDescent="0.25">
      <c r="O9448" s="21"/>
    </row>
    <row r="9449" spans="15:15" x14ac:dyDescent="0.25">
      <c r="O9449" s="21"/>
    </row>
    <row r="9450" spans="15:15" x14ac:dyDescent="0.25">
      <c r="O9450" s="21"/>
    </row>
    <row r="9451" spans="15:15" x14ac:dyDescent="0.25">
      <c r="O9451" s="21"/>
    </row>
    <row r="9452" spans="15:15" x14ac:dyDescent="0.25">
      <c r="O9452" s="21"/>
    </row>
    <row r="9453" spans="15:15" x14ac:dyDescent="0.25">
      <c r="O9453" s="21"/>
    </row>
    <row r="9454" spans="15:15" x14ac:dyDescent="0.25">
      <c r="O9454" s="21"/>
    </row>
    <row r="9455" spans="15:15" x14ac:dyDescent="0.25">
      <c r="O9455" s="21"/>
    </row>
    <row r="9456" spans="15:15" x14ac:dyDescent="0.25">
      <c r="O9456" s="21"/>
    </row>
    <row r="9457" spans="15:15" x14ac:dyDescent="0.25">
      <c r="O9457" s="21"/>
    </row>
    <row r="9458" spans="15:15" x14ac:dyDescent="0.25">
      <c r="O9458" s="21"/>
    </row>
    <row r="9459" spans="15:15" x14ac:dyDescent="0.25">
      <c r="O9459" s="21"/>
    </row>
    <row r="9460" spans="15:15" x14ac:dyDescent="0.25">
      <c r="O9460" s="21"/>
    </row>
    <row r="9461" spans="15:15" x14ac:dyDescent="0.25">
      <c r="O9461" s="21"/>
    </row>
    <row r="9462" spans="15:15" x14ac:dyDescent="0.25">
      <c r="O9462" s="21"/>
    </row>
    <row r="9463" spans="15:15" x14ac:dyDescent="0.25">
      <c r="O9463" s="21"/>
    </row>
    <row r="9464" spans="15:15" x14ac:dyDescent="0.25">
      <c r="O9464" s="21"/>
    </row>
    <row r="9465" spans="15:15" x14ac:dyDescent="0.25">
      <c r="O9465" s="21"/>
    </row>
    <row r="9466" spans="15:15" x14ac:dyDescent="0.25">
      <c r="O9466" s="21"/>
    </row>
    <row r="9467" spans="15:15" x14ac:dyDescent="0.25">
      <c r="O9467" s="21"/>
    </row>
    <row r="9468" spans="15:15" x14ac:dyDescent="0.25">
      <c r="O9468" s="21"/>
    </row>
    <row r="9469" spans="15:15" x14ac:dyDescent="0.25">
      <c r="O9469" s="21"/>
    </row>
    <row r="9470" spans="15:15" x14ac:dyDescent="0.25">
      <c r="O9470" s="21"/>
    </row>
    <row r="9471" spans="15:15" x14ac:dyDescent="0.25">
      <c r="O9471" s="21"/>
    </row>
    <row r="9472" spans="15:15" x14ac:dyDescent="0.25">
      <c r="O9472" s="21"/>
    </row>
    <row r="9473" spans="15:15" x14ac:dyDescent="0.25">
      <c r="O9473" s="21"/>
    </row>
    <row r="9474" spans="15:15" x14ac:dyDescent="0.25">
      <c r="O9474" s="21"/>
    </row>
    <row r="9475" spans="15:15" x14ac:dyDescent="0.25">
      <c r="O9475" s="21"/>
    </row>
    <row r="9476" spans="15:15" x14ac:dyDescent="0.25">
      <c r="O9476" s="21"/>
    </row>
    <row r="9477" spans="15:15" x14ac:dyDescent="0.25">
      <c r="O9477" s="21"/>
    </row>
    <row r="9478" spans="15:15" x14ac:dyDescent="0.25">
      <c r="O9478" s="21"/>
    </row>
    <row r="9479" spans="15:15" x14ac:dyDescent="0.25">
      <c r="O9479" s="21"/>
    </row>
    <row r="9480" spans="15:15" x14ac:dyDescent="0.25">
      <c r="O9480" s="21"/>
    </row>
    <row r="9481" spans="15:15" x14ac:dyDescent="0.25">
      <c r="O9481" s="21"/>
    </row>
    <row r="9482" spans="15:15" x14ac:dyDescent="0.25">
      <c r="O9482" s="21"/>
    </row>
    <row r="9483" spans="15:15" x14ac:dyDescent="0.25">
      <c r="O9483" s="21"/>
    </row>
    <row r="9484" spans="15:15" x14ac:dyDescent="0.25">
      <c r="O9484" s="21"/>
    </row>
    <row r="9485" spans="15:15" x14ac:dyDescent="0.25">
      <c r="O9485" s="21"/>
    </row>
    <row r="9486" spans="15:15" x14ac:dyDescent="0.25">
      <c r="O9486" s="21"/>
    </row>
    <row r="9487" spans="15:15" x14ac:dyDescent="0.25">
      <c r="O9487" s="21"/>
    </row>
    <row r="9488" spans="15:15" x14ac:dyDescent="0.25">
      <c r="O9488" s="21"/>
    </row>
    <row r="9489" spans="15:15" x14ac:dyDescent="0.25">
      <c r="O9489" s="21"/>
    </row>
    <row r="9490" spans="15:15" x14ac:dyDescent="0.25">
      <c r="O9490" s="21"/>
    </row>
    <row r="9491" spans="15:15" x14ac:dyDescent="0.25">
      <c r="O9491" s="21"/>
    </row>
    <row r="9492" spans="15:15" x14ac:dyDescent="0.25">
      <c r="O9492" s="21"/>
    </row>
    <row r="9493" spans="15:15" x14ac:dyDescent="0.25">
      <c r="O9493" s="21"/>
    </row>
    <row r="9494" spans="15:15" x14ac:dyDescent="0.25">
      <c r="O9494" s="21"/>
    </row>
    <row r="9495" spans="15:15" x14ac:dyDescent="0.25">
      <c r="O9495" s="21"/>
    </row>
    <row r="9496" spans="15:15" x14ac:dyDescent="0.25">
      <c r="O9496" s="21"/>
    </row>
    <row r="9497" spans="15:15" x14ac:dyDescent="0.25">
      <c r="O9497" s="21"/>
    </row>
    <row r="9498" spans="15:15" x14ac:dyDescent="0.25">
      <c r="O9498" s="21"/>
    </row>
    <row r="9499" spans="15:15" x14ac:dyDescent="0.25">
      <c r="O9499" s="21"/>
    </row>
    <row r="9500" spans="15:15" x14ac:dyDescent="0.25">
      <c r="O9500" s="21"/>
    </row>
    <row r="9501" spans="15:15" x14ac:dyDescent="0.25">
      <c r="O9501" s="21"/>
    </row>
    <row r="9502" spans="15:15" x14ac:dyDescent="0.25">
      <c r="O9502" s="21"/>
    </row>
    <row r="9503" spans="15:15" x14ac:dyDescent="0.25">
      <c r="O9503" s="21"/>
    </row>
    <row r="9504" spans="15:15" x14ac:dyDescent="0.25">
      <c r="O9504" s="21"/>
    </row>
    <row r="9505" spans="15:15" x14ac:dyDescent="0.25">
      <c r="O9505" s="21"/>
    </row>
    <row r="9506" spans="15:15" x14ac:dyDescent="0.25">
      <c r="O9506" s="21"/>
    </row>
    <row r="9507" spans="15:15" x14ac:dyDescent="0.25">
      <c r="O9507" s="21"/>
    </row>
    <row r="9508" spans="15:15" x14ac:dyDescent="0.25">
      <c r="O9508" s="21"/>
    </row>
    <row r="9509" spans="15:15" x14ac:dyDescent="0.25">
      <c r="O9509" s="21"/>
    </row>
    <row r="9510" spans="15:15" x14ac:dyDescent="0.25">
      <c r="O9510" s="21"/>
    </row>
    <row r="9511" spans="15:15" x14ac:dyDescent="0.25">
      <c r="O9511" s="21"/>
    </row>
    <row r="9512" spans="15:15" x14ac:dyDescent="0.25">
      <c r="O9512" s="21"/>
    </row>
    <row r="9513" spans="15:15" x14ac:dyDescent="0.25">
      <c r="O9513" s="21"/>
    </row>
    <row r="9514" spans="15:15" x14ac:dyDescent="0.25">
      <c r="O9514" s="21"/>
    </row>
    <row r="9515" spans="15:15" x14ac:dyDescent="0.25">
      <c r="O9515" s="21"/>
    </row>
    <row r="9516" spans="15:15" x14ac:dyDescent="0.25">
      <c r="O9516" s="21"/>
    </row>
    <row r="9517" spans="15:15" x14ac:dyDescent="0.25">
      <c r="O9517" s="21"/>
    </row>
    <row r="9518" spans="15:15" x14ac:dyDescent="0.25">
      <c r="O9518" s="21"/>
    </row>
    <row r="9519" spans="15:15" x14ac:dyDescent="0.25">
      <c r="O9519" s="21"/>
    </row>
    <row r="9520" spans="15:15" x14ac:dyDescent="0.25">
      <c r="O9520" s="21"/>
    </row>
    <row r="9521" spans="15:15" x14ac:dyDescent="0.25">
      <c r="O9521" s="21"/>
    </row>
    <row r="9522" spans="15:15" x14ac:dyDescent="0.25">
      <c r="O9522" s="21"/>
    </row>
    <row r="9523" spans="15:15" x14ac:dyDescent="0.25">
      <c r="O9523" s="21"/>
    </row>
    <row r="9524" spans="15:15" x14ac:dyDescent="0.25">
      <c r="O9524" s="21"/>
    </row>
    <row r="9525" spans="15:15" x14ac:dyDescent="0.25">
      <c r="O9525" s="21"/>
    </row>
    <row r="9526" spans="15:15" x14ac:dyDescent="0.25">
      <c r="O9526" s="21"/>
    </row>
    <row r="9527" spans="15:15" x14ac:dyDescent="0.25">
      <c r="O9527" s="21"/>
    </row>
    <row r="9528" spans="15:15" x14ac:dyDescent="0.25">
      <c r="O9528" s="21"/>
    </row>
    <row r="9529" spans="15:15" x14ac:dyDescent="0.25">
      <c r="O9529" s="21"/>
    </row>
    <row r="9530" spans="15:15" x14ac:dyDescent="0.25">
      <c r="O9530" s="21"/>
    </row>
    <row r="9531" spans="15:15" x14ac:dyDescent="0.25">
      <c r="O9531" s="21"/>
    </row>
    <row r="9532" spans="15:15" x14ac:dyDescent="0.25">
      <c r="O9532" s="21"/>
    </row>
    <row r="9533" spans="15:15" x14ac:dyDescent="0.25">
      <c r="O9533" s="21"/>
    </row>
    <row r="9534" spans="15:15" x14ac:dyDescent="0.25">
      <c r="O9534" s="21"/>
    </row>
    <row r="9535" spans="15:15" x14ac:dyDescent="0.25">
      <c r="O9535" s="21"/>
    </row>
    <row r="9536" spans="15:15" x14ac:dyDescent="0.25">
      <c r="O9536" s="21"/>
    </row>
    <row r="9537" spans="15:15" x14ac:dyDescent="0.25">
      <c r="O9537" s="21"/>
    </row>
    <row r="9538" spans="15:15" x14ac:dyDescent="0.25">
      <c r="O9538" s="21"/>
    </row>
    <row r="9539" spans="15:15" x14ac:dyDescent="0.25">
      <c r="O9539" s="21"/>
    </row>
    <row r="9540" spans="15:15" x14ac:dyDescent="0.25">
      <c r="O9540" s="21"/>
    </row>
    <row r="9541" spans="15:15" x14ac:dyDescent="0.25">
      <c r="O9541" s="21"/>
    </row>
    <row r="9542" spans="15:15" x14ac:dyDescent="0.25">
      <c r="O9542" s="21"/>
    </row>
    <row r="9543" spans="15:15" x14ac:dyDescent="0.25">
      <c r="O9543" s="21"/>
    </row>
    <row r="9544" spans="15:15" x14ac:dyDescent="0.25">
      <c r="O9544" s="21"/>
    </row>
    <row r="9545" spans="15:15" x14ac:dyDescent="0.25">
      <c r="O9545" s="21"/>
    </row>
    <row r="9546" spans="15:15" x14ac:dyDescent="0.25">
      <c r="O9546" s="21"/>
    </row>
    <row r="9547" spans="15:15" x14ac:dyDescent="0.25">
      <c r="O9547" s="21"/>
    </row>
    <row r="9548" spans="15:15" x14ac:dyDescent="0.25">
      <c r="O9548" s="21"/>
    </row>
    <row r="9549" spans="15:15" x14ac:dyDescent="0.25">
      <c r="O9549" s="21"/>
    </row>
    <row r="9550" spans="15:15" x14ac:dyDescent="0.25">
      <c r="O9550" s="21"/>
    </row>
    <row r="9551" spans="15:15" x14ac:dyDescent="0.25">
      <c r="O9551" s="21"/>
    </row>
    <row r="9552" spans="15:15" x14ac:dyDescent="0.25">
      <c r="O9552" s="21"/>
    </row>
    <row r="9553" spans="15:15" x14ac:dyDescent="0.25">
      <c r="O9553" s="21"/>
    </row>
    <row r="9554" spans="15:15" x14ac:dyDescent="0.25">
      <c r="O9554" s="21"/>
    </row>
    <row r="9555" spans="15:15" x14ac:dyDescent="0.25">
      <c r="O9555" s="21"/>
    </row>
    <row r="9556" spans="15:15" x14ac:dyDescent="0.25">
      <c r="O9556" s="21"/>
    </row>
    <row r="9557" spans="15:15" x14ac:dyDescent="0.25">
      <c r="O9557" s="21"/>
    </row>
    <row r="9558" spans="15:15" x14ac:dyDescent="0.25">
      <c r="O9558" s="21"/>
    </row>
    <row r="9559" spans="15:15" x14ac:dyDescent="0.25">
      <c r="O9559" s="21"/>
    </row>
    <row r="9560" spans="15:15" x14ac:dyDescent="0.25">
      <c r="O9560" s="21"/>
    </row>
    <row r="9561" spans="15:15" x14ac:dyDescent="0.25">
      <c r="O9561" s="21"/>
    </row>
    <row r="9562" spans="15:15" x14ac:dyDescent="0.25">
      <c r="O9562" s="21"/>
    </row>
    <row r="9563" spans="15:15" x14ac:dyDescent="0.25">
      <c r="O9563" s="21"/>
    </row>
    <row r="9564" spans="15:15" x14ac:dyDescent="0.25">
      <c r="O9564" s="21"/>
    </row>
    <row r="9565" spans="15:15" x14ac:dyDescent="0.25">
      <c r="O9565" s="21"/>
    </row>
    <row r="9566" spans="15:15" x14ac:dyDescent="0.25">
      <c r="O9566" s="21"/>
    </row>
    <row r="9567" spans="15:15" x14ac:dyDescent="0.25">
      <c r="O9567" s="21"/>
    </row>
    <row r="9568" spans="15:15" x14ac:dyDescent="0.25">
      <c r="O9568" s="21"/>
    </row>
    <row r="9569" spans="15:15" x14ac:dyDescent="0.25">
      <c r="O9569" s="21"/>
    </row>
    <row r="9570" spans="15:15" x14ac:dyDescent="0.25">
      <c r="O9570" s="21"/>
    </row>
    <row r="9571" spans="15:15" x14ac:dyDescent="0.25">
      <c r="O9571" s="21"/>
    </row>
    <row r="9572" spans="15:15" x14ac:dyDescent="0.25">
      <c r="O9572" s="21"/>
    </row>
    <row r="9573" spans="15:15" x14ac:dyDescent="0.25">
      <c r="O9573" s="21"/>
    </row>
    <row r="9574" spans="15:15" x14ac:dyDescent="0.25">
      <c r="O9574" s="21"/>
    </row>
    <row r="9575" spans="15:15" x14ac:dyDescent="0.25">
      <c r="O9575" s="21"/>
    </row>
    <row r="9576" spans="15:15" x14ac:dyDescent="0.25">
      <c r="O9576" s="21"/>
    </row>
    <row r="9577" spans="15:15" x14ac:dyDescent="0.25">
      <c r="O9577" s="21"/>
    </row>
    <row r="9578" spans="15:15" x14ac:dyDescent="0.25">
      <c r="O9578" s="21"/>
    </row>
    <row r="9579" spans="15:15" x14ac:dyDescent="0.25">
      <c r="O9579" s="21"/>
    </row>
    <row r="9580" spans="15:15" x14ac:dyDescent="0.25">
      <c r="O9580" s="21"/>
    </row>
    <row r="9581" spans="15:15" x14ac:dyDescent="0.25">
      <c r="O9581" s="21"/>
    </row>
    <row r="9582" spans="15:15" x14ac:dyDescent="0.25">
      <c r="O9582" s="21"/>
    </row>
    <row r="9583" spans="15:15" x14ac:dyDescent="0.25">
      <c r="O9583" s="21"/>
    </row>
    <row r="9584" spans="15:15" x14ac:dyDescent="0.25">
      <c r="O9584" s="21"/>
    </row>
    <row r="9585" spans="15:15" x14ac:dyDescent="0.25">
      <c r="O9585" s="21"/>
    </row>
    <row r="9586" spans="15:15" x14ac:dyDescent="0.25">
      <c r="O9586" s="21"/>
    </row>
    <row r="9587" spans="15:15" x14ac:dyDescent="0.25">
      <c r="O9587" s="21"/>
    </row>
    <row r="9588" spans="15:15" x14ac:dyDescent="0.25">
      <c r="O9588" s="21"/>
    </row>
    <row r="9589" spans="15:15" x14ac:dyDescent="0.25">
      <c r="O9589" s="21"/>
    </row>
    <row r="9590" spans="15:15" x14ac:dyDescent="0.25">
      <c r="O9590" s="21"/>
    </row>
    <row r="9591" spans="15:15" x14ac:dyDescent="0.25">
      <c r="O9591" s="21"/>
    </row>
    <row r="9592" spans="15:15" x14ac:dyDescent="0.25">
      <c r="O9592" s="21"/>
    </row>
    <row r="9593" spans="15:15" x14ac:dyDescent="0.25">
      <c r="O9593" s="21"/>
    </row>
    <row r="9594" spans="15:15" x14ac:dyDescent="0.25">
      <c r="O9594" s="21"/>
    </row>
    <row r="9595" spans="15:15" x14ac:dyDescent="0.25">
      <c r="O9595" s="21"/>
    </row>
    <row r="9596" spans="15:15" x14ac:dyDescent="0.25">
      <c r="O9596" s="21"/>
    </row>
    <row r="9597" spans="15:15" x14ac:dyDescent="0.25">
      <c r="O9597" s="21"/>
    </row>
    <row r="9598" spans="15:15" x14ac:dyDescent="0.25">
      <c r="O9598" s="21"/>
    </row>
    <row r="9599" spans="15:15" x14ac:dyDescent="0.25">
      <c r="O9599" s="21"/>
    </row>
    <row r="9600" spans="15:15" x14ac:dyDescent="0.25">
      <c r="O9600" s="21"/>
    </row>
    <row r="9601" spans="15:15" x14ac:dyDescent="0.25">
      <c r="O9601" s="21"/>
    </row>
    <row r="9602" spans="15:15" x14ac:dyDescent="0.25">
      <c r="O9602" s="21"/>
    </row>
    <row r="9603" spans="15:15" x14ac:dyDescent="0.25">
      <c r="O9603" s="21"/>
    </row>
    <row r="9604" spans="15:15" x14ac:dyDescent="0.25">
      <c r="O9604" s="21"/>
    </row>
    <row r="9605" spans="15:15" x14ac:dyDescent="0.25">
      <c r="O9605" s="21"/>
    </row>
    <row r="9606" spans="15:15" x14ac:dyDescent="0.25">
      <c r="O9606" s="21"/>
    </row>
    <row r="9607" spans="15:15" x14ac:dyDescent="0.25">
      <c r="O9607" s="21"/>
    </row>
    <row r="9608" spans="15:15" x14ac:dyDescent="0.25">
      <c r="O9608" s="21"/>
    </row>
    <row r="9609" spans="15:15" x14ac:dyDescent="0.25">
      <c r="O9609" s="21"/>
    </row>
    <row r="9610" spans="15:15" x14ac:dyDescent="0.25">
      <c r="O9610" s="21"/>
    </row>
    <row r="9611" spans="15:15" x14ac:dyDescent="0.25">
      <c r="O9611" s="21"/>
    </row>
    <row r="9612" spans="15:15" x14ac:dyDescent="0.25">
      <c r="O9612" s="21"/>
    </row>
    <row r="9613" spans="15:15" x14ac:dyDescent="0.25">
      <c r="O9613" s="21"/>
    </row>
    <row r="9614" spans="15:15" x14ac:dyDescent="0.25">
      <c r="O9614" s="21"/>
    </row>
    <row r="9615" spans="15:15" x14ac:dyDescent="0.25">
      <c r="O9615" s="21"/>
    </row>
    <row r="9616" spans="15:15" x14ac:dyDescent="0.25">
      <c r="O9616" s="21"/>
    </row>
    <row r="9617" spans="15:15" x14ac:dyDescent="0.25">
      <c r="O9617" s="21"/>
    </row>
    <row r="9618" spans="15:15" x14ac:dyDescent="0.25">
      <c r="O9618" s="21"/>
    </row>
    <row r="9619" spans="15:15" x14ac:dyDescent="0.25">
      <c r="O9619" s="21"/>
    </row>
    <row r="9620" spans="15:15" x14ac:dyDescent="0.25">
      <c r="O9620" s="21"/>
    </row>
    <row r="9621" spans="15:15" x14ac:dyDescent="0.25">
      <c r="O9621" s="21"/>
    </row>
    <row r="9622" spans="15:15" x14ac:dyDescent="0.25">
      <c r="O9622" s="21"/>
    </row>
    <row r="9623" spans="15:15" x14ac:dyDescent="0.25">
      <c r="O9623" s="21"/>
    </row>
    <row r="9624" spans="15:15" x14ac:dyDescent="0.25">
      <c r="O9624" s="21"/>
    </row>
    <row r="9625" spans="15:15" x14ac:dyDescent="0.25">
      <c r="O9625" s="21"/>
    </row>
    <row r="9626" spans="15:15" x14ac:dyDescent="0.25">
      <c r="O9626" s="21"/>
    </row>
    <row r="9627" spans="15:15" x14ac:dyDescent="0.25">
      <c r="O9627" s="21"/>
    </row>
    <row r="9628" spans="15:15" x14ac:dyDescent="0.25">
      <c r="O9628" s="21"/>
    </row>
    <row r="9629" spans="15:15" x14ac:dyDescent="0.25">
      <c r="O9629" s="21"/>
    </row>
    <row r="9630" spans="15:15" x14ac:dyDescent="0.25">
      <c r="O9630" s="21"/>
    </row>
    <row r="9631" spans="15:15" x14ac:dyDescent="0.25">
      <c r="O9631" s="21"/>
    </row>
    <row r="9632" spans="15:15" x14ac:dyDescent="0.25">
      <c r="O9632" s="21"/>
    </row>
    <row r="9633" spans="15:15" x14ac:dyDescent="0.25">
      <c r="O9633" s="21"/>
    </row>
    <row r="9634" spans="15:15" x14ac:dyDescent="0.25">
      <c r="O9634" s="21"/>
    </row>
    <row r="9635" spans="15:15" x14ac:dyDescent="0.25">
      <c r="O9635" s="21"/>
    </row>
    <row r="9636" spans="15:15" x14ac:dyDescent="0.25">
      <c r="O9636" s="21"/>
    </row>
    <row r="9637" spans="15:15" x14ac:dyDescent="0.25">
      <c r="O9637" s="21"/>
    </row>
    <row r="9638" spans="15:15" x14ac:dyDescent="0.25">
      <c r="O9638" s="21"/>
    </row>
    <row r="9639" spans="15:15" x14ac:dyDescent="0.25">
      <c r="O9639" s="21"/>
    </row>
    <row r="9640" spans="15:15" x14ac:dyDescent="0.25">
      <c r="O9640" s="21"/>
    </row>
    <row r="9641" spans="15:15" x14ac:dyDescent="0.25">
      <c r="O9641" s="21"/>
    </row>
    <row r="9642" spans="15:15" x14ac:dyDescent="0.25">
      <c r="O9642" s="21"/>
    </row>
    <row r="9643" spans="15:15" x14ac:dyDescent="0.25">
      <c r="O9643" s="21"/>
    </row>
    <row r="9644" spans="15:15" x14ac:dyDescent="0.25">
      <c r="O9644" s="21"/>
    </row>
    <row r="9645" spans="15:15" x14ac:dyDescent="0.25">
      <c r="O9645" s="21"/>
    </row>
    <row r="9646" spans="15:15" x14ac:dyDescent="0.25">
      <c r="O9646" s="21"/>
    </row>
    <row r="9647" spans="15:15" x14ac:dyDescent="0.25">
      <c r="O9647" s="21"/>
    </row>
    <row r="9648" spans="15:15" x14ac:dyDescent="0.25">
      <c r="O9648" s="21"/>
    </row>
    <row r="9649" spans="15:15" x14ac:dyDescent="0.25">
      <c r="O9649" s="21"/>
    </row>
    <row r="9650" spans="15:15" x14ac:dyDescent="0.25">
      <c r="O9650" s="21"/>
    </row>
    <row r="9651" spans="15:15" x14ac:dyDescent="0.25">
      <c r="O9651" s="21"/>
    </row>
    <row r="9652" spans="15:15" x14ac:dyDescent="0.25">
      <c r="O9652" s="21"/>
    </row>
    <row r="9653" spans="15:15" x14ac:dyDescent="0.25">
      <c r="O9653" s="21"/>
    </row>
    <row r="9654" spans="15:15" x14ac:dyDescent="0.25">
      <c r="O9654" s="21"/>
    </row>
    <row r="9655" spans="15:15" x14ac:dyDescent="0.25">
      <c r="O9655" s="21"/>
    </row>
    <row r="9656" spans="15:15" x14ac:dyDescent="0.25">
      <c r="O9656" s="21"/>
    </row>
    <row r="9657" spans="15:15" x14ac:dyDescent="0.25">
      <c r="O9657" s="21"/>
    </row>
    <row r="9658" spans="15:15" x14ac:dyDescent="0.25">
      <c r="O9658" s="21"/>
    </row>
    <row r="9659" spans="15:15" x14ac:dyDescent="0.25">
      <c r="O9659" s="21"/>
    </row>
    <row r="9660" spans="15:15" x14ac:dyDescent="0.25">
      <c r="O9660" s="21"/>
    </row>
    <row r="9661" spans="15:15" x14ac:dyDescent="0.25">
      <c r="O9661" s="21"/>
    </row>
    <row r="9662" spans="15:15" x14ac:dyDescent="0.25">
      <c r="O9662" s="21"/>
    </row>
    <row r="9663" spans="15:15" x14ac:dyDescent="0.25">
      <c r="O9663" s="21"/>
    </row>
    <row r="9664" spans="15:15" x14ac:dyDescent="0.25">
      <c r="O9664" s="21"/>
    </row>
    <row r="9665" spans="15:15" x14ac:dyDescent="0.25">
      <c r="O9665" s="21"/>
    </row>
    <row r="9666" spans="15:15" x14ac:dyDescent="0.25">
      <c r="O9666" s="21"/>
    </row>
    <row r="9667" spans="15:15" x14ac:dyDescent="0.25">
      <c r="O9667" s="21"/>
    </row>
    <row r="9668" spans="15:15" x14ac:dyDescent="0.25">
      <c r="O9668" s="21"/>
    </row>
    <row r="9669" spans="15:15" x14ac:dyDescent="0.25">
      <c r="O9669" s="21"/>
    </row>
    <row r="9670" spans="15:15" x14ac:dyDescent="0.25">
      <c r="O9670" s="21"/>
    </row>
    <row r="9671" spans="15:15" x14ac:dyDescent="0.25">
      <c r="O9671" s="21"/>
    </row>
    <row r="9672" spans="15:15" x14ac:dyDescent="0.25">
      <c r="O9672" s="21"/>
    </row>
    <row r="9673" spans="15:15" x14ac:dyDescent="0.25">
      <c r="O9673" s="21"/>
    </row>
    <row r="9674" spans="15:15" x14ac:dyDescent="0.25">
      <c r="O9674" s="21"/>
    </row>
    <row r="9675" spans="15:15" x14ac:dyDescent="0.25">
      <c r="O9675" s="21"/>
    </row>
    <row r="9676" spans="15:15" x14ac:dyDescent="0.25">
      <c r="O9676" s="21"/>
    </row>
    <row r="9677" spans="15:15" x14ac:dyDescent="0.25">
      <c r="O9677" s="21"/>
    </row>
    <row r="9678" spans="15:15" x14ac:dyDescent="0.25">
      <c r="O9678" s="21"/>
    </row>
    <row r="9679" spans="15:15" x14ac:dyDescent="0.25">
      <c r="O9679" s="21"/>
    </row>
    <row r="9680" spans="15:15" x14ac:dyDescent="0.25">
      <c r="O9680" s="21"/>
    </row>
    <row r="9681" spans="15:15" x14ac:dyDescent="0.25">
      <c r="O9681" s="21"/>
    </row>
    <row r="9682" spans="15:15" x14ac:dyDescent="0.25">
      <c r="O9682" s="21"/>
    </row>
    <row r="9683" spans="15:15" x14ac:dyDescent="0.25">
      <c r="O9683" s="21"/>
    </row>
    <row r="9684" spans="15:15" x14ac:dyDescent="0.25">
      <c r="O9684" s="21"/>
    </row>
    <row r="9685" spans="15:15" x14ac:dyDescent="0.25">
      <c r="O9685" s="21"/>
    </row>
    <row r="9686" spans="15:15" x14ac:dyDescent="0.25">
      <c r="O9686" s="21"/>
    </row>
    <row r="9687" spans="15:15" x14ac:dyDescent="0.25">
      <c r="O9687" s="21"/>
    </row>
    <row r="9688" spans="15:15" x14ac:dyDescent="0.25">
      <c r="O9688" s="21"/>
    </row>
    <row r="9689" spans="15:15" x14ac:dyDescent="0.25">
      <c r="O9689" s="21"/>
    </row>
    <row r="9690" spans="15:15" x14ac:dyDescent="0.25">
      <c r="O9690" s="21"/>
    </row>
    <row r="9691" spans="15:15" x14ac:dyDescent="0.25">
      <c r="O9691" s="21"/>
    </row>
    <row r="9692" spans="15:15" x14ac:dyDescent="0.25">
      <c r="O9692" s="21"/>
    </row>
    <row r="9693" spans="15:15" x14ac:dyDescent="0.25">
      <c r="O9693" s="21"/>
    </row>
    <row r="9694" spans="15:15" x14ac:dyDescent="0.25">
      <c r="O9694" s="21"/>
    </row>
    <row r="9695" spans="15:15" x14ac:dyDescent="0.25">
      <c r="O9695" s="21"/>
    </row>
    <row r="9696" spans="15:15" x14ac:dyDescent="0.25">
      <c r="O9696" s="21"/>
    </row>
    <row r="9697" spans="15:15" x14ac:dyDescent="0.25">
      <c r="O9697" s="21"/>
    </row>
    <row r="9698" spans="15:15" x14ac:dyDescent="0.25">
      <c r="O9698" s="21"/>
    </row>
    <row r="9699" spans="15:15" x14ac:dyDescent="0.25">
      <c r="O9699" s="21"/>
    </row>
    <row r="9700" spans="15:15" x14ac:dyDescent="0.25">
      <c r="O9700" s="21"/>
    </row>
    <row r="9701" spans="15:15" x14ac:dyDescent="0.25">
      <c r="O9701" s="21"/>
    </row>
    <row r="9702" spans="15:15" x14ac:dyDescent="0.25">
      <c r="O9702" s="21"/>
    </row>
    <row r="9703" spans="15:15" x14ac:dyDescent="0.25">
      <c r="O9703" s="21"/>
    </row>
    <row r="9704" spans="15:15" x14ac:dyDescent="0.25">
      <c r="O9704" s="21"/>
    </row>
    <row r="9705" spans="15:15" x14ac:dyDescent="0.25">
      <c r="O9705" s="21"/>
    </row>
    <row r="9706" spans="15:15" x14ac:dyDescent="0.25">
      <c r="O9706" s="21"/>
    </row>
    <row r="9707" spans="15:15" x14ac:dyDescent="0.25">
      <c r="O9707" s="21"/>
    </row>
    <row r="9708" spans="15:15" x14ac:dyDescent="0.25">
      <c r="O9708" s="21"/>
    </row>
    <row r="9709" spans="15:15" x14ac:dyDescent="0.25">
      <c r="O9709" s="21"/>
    </row>
    <row r="9710" spans="15:15" x14ac:dyDescent="0.25">
      <c r="O9710" s="21"/>
    </row>
    <row r="9711" spans="15:15" x14ac:dyDescent="0.25">
      <c r="O9711" s="21"/>
    </row>
    <row r="9712" spans="15:15" x14ac:dyDescent="0.25">
      <c r="O9712" s="21"/>
    </row>
    <row r="9713" spans="15:15" x14ac:dyDescent="0.25">
      <c r="O9713" s="21"/>
    </row>
    <row r="9714" spans="15:15" x14ac:dyDescent="0.25">
      <c r="O9714" s="21"/>
    </row>
    <row r="9715" spans="15:15" x14ac:dyDescent="0.25">
      <c r="O9715" s="21"/>
    </row>
    <row r="9716" spans="15:15" x14ac:dyDescent="0.25">
      <c r="O9716" s="21"/>
    </row>
    <row r="9717" spans="15:15" x14ac:dyDescent="0.25">
      <c r="O9717" s="21"/>
    </row>
    <row r="9718" spans="15:15" x14ac:dyDescent="0.25">
      <c r="O9718" s="21"/>
    </row>
    <row r="9719" spans="15:15" x14ac:dyDescent="0.25">
      <c r="O9719" s="21"/>
    </row>
    <row r="9720" spans="15:15" x14ac:dyDescent="0.25">
      <c r="O9720" s="21"/>
    </row>
    <row r="9721" spans="15:15" x14ac:dyDescent="0.25">
      <c r="O9721" s="21"/>
    </row>
    <row r="9722" spans="15:15" x14ac:dyDescent="0.25">
      <c r="O9722" s="21"/>
    </row>
    <row r="9723" spans="15:15" x14ac:dyDescent="0.25">
      <c r="O9723" s="21"/>
    </row>
    <row r="9724" spans="15:15" x14ac:dyDescent="0.25">
      <c r="O9724" s="21"/>
    </row>
    <row r="9725" spans="15:15" x14ac:dyDescent="0.25">
      <c r="O9725" s="21"/>
    </row>
    <row r="9726" spans="15:15" x14ac:dyDescent="0.25">
      <c r="O9726" s="21"/>
    </row>
    <row r="9727" spans="15:15" x14ac:dyDescent="0.25">
      <c r="O9727" s="21"/>
    </row>
    <row r="9728" spans="15:15" x14ac:dyDescent="0.25">
      <c r="O9728" s="21"/>
    </row>
    <row r="9729" spans="15:15" x14ac:dyDescent="0.25">
      <c r="O9729" s="21"/>
    </row>
    <row r="9730" spans="15:15" x14ac:dyDescent="0.25">
      <c r="O9730" s="21"/>
    </row>
    <row r="9731" spans="15:15" x14ac:dyDescent="0.25">
      <c r="O9731" s="21"/>
    </row>
    <row r="9732" spans="15:15" x14ac:dyDescent="0.25">
      <c r="O9732" s="21"/>
    </row>
    <row r="9733" spans="15:15" x14ac:dyDescent="0.25">
      <c r="O9733" s="21"/>
    </row>
    <row r="9734" spans="15:15" x14ac:dyDescent="0.25">
      <c r="O9734" s="21"/>
    </row>
    <row r="9735" spans="15:15" x14ac:dyDescent="0.25">
      <c r="O9735" s="21"/>
    </row>
    <row r="9736" spans="15:15" x14ac:dyDescent="0.25">
      <c r="O9736" s="21"/>
    </row>
    <row r="9737" spans="15:15" x14ac:dyDescent="0.25">
      <c r="O9737" s="21"/>
    </row>
    <row r="9738" spans="15:15" x14ac:dyDescent="0.25">
      <c r="O9738" s="21"/>
    </row>
    <row r="9739" spans="15:15" x14ac:dyDescent="0.25">
      <c r="O9739" s="21"/>
    </row>
    <row r="9740" spans="15:15" x14ac:dyDescent="0.25">
      <c r="O9740" s="21"/>
    </row>
    <row r="9741" spans="15:15" x14ac:dyDescent="0.25">
      <c r="O9741" s="21"/>
    </row>
    <row r="9742" spans="15:15" x14ac:dyDescent="0.25">
      <c r="O9742" s="21"/>
    </row>
    <row r="9743" spans="15:15" x14ac:dyDescent="0.25">
      <c r="O9743" s="21"/>
    </row>
    <row r="9744" spans="15:15" x14ac:dyDescent="0.25">
      <c r="O9744" s="21"/>
    </row>
    <row r="9745" spans="15:15" x14ac:dyDescent="0.25">
      <c r="O9745" s="21"/>
    </row>
    <row r="9746" spans="15:15" x14ac:dyDescent="0.25">
      <c r="O9746" s="21"/>
    </row>
    <row r="9747" spans="15:15" x14ac:dyDescent="0.25">
      <c r="O9747" s="21"/>
    </row>
    <row r="9748" spans="15:15" x14ac:dyDescent="0.25">
      <c r="O9748" s="21"/>
    </row>
    <row r="9749" spans="15:15" x14ac:dyDescent="0.25">
      <c r="O9749" s="21"/>
    </row>
    <row r="9750" spans="15:15" x14ac:dyDescent="0.25">
      <c r="O9750" s="21"/>
    </row>
    <row r="9751" spans="15:15" x14ac:dyDescent="0.25">
      <c r="O9751" s="21"/>
    </row>
    <row r="9752" spans="15:15" x14ac:dyDescent="0.25">
      <c r="O9752" s="21"/>
    </row>
    <row r="9753" spans="15:15" x14ac:dyDescent="0.25">
      <c r="O9753" s="21"/>
    </row>
    <row r="9754" spans="15:15" x14ac:dyDescent="0.25">
      <c r="O9754" s="21"/>
    </row>
    <row r="9755" spans="15:15" x14ac:dyDescent="0.25">
      <c r="O9755" s="21"/>
    </row>
    <row r="9756" spans="15:15" x14ac:dyDescent="0.25">
      <c r="O9756" s="21"/>
    </row>
    <row r="9757" spans="15:15" x14ac:dyDescent="0.25">
      <c r="O9757" s="21"/>
    </row>
    <row r="9758" spans="15:15" x14ac:dyDescent="0.25">
      <c r="O9758" s="21"/>
    </row>
    <row r="9759" spans="15:15" x14ac:dyDescent="0.25">
      <c r="O9759" s="21"/>
    </row>
    <row r="9760" spans="15:15" x14ac:dyDescent="0.25">
      <c r="O9760" s="21"/>
    </row>
    <row r="9761" spans="15:15" x14ac:dyDescent="0.25">
      <c r="O9761" s="21"/>
    </row>
    <row r="9762" spans="15:15" x14ac:dyDescent="0.25">
      <c r="O9762" s="21"/>
    </row>
    <row r="9763" spans="15:15" x14ac:dyDescent="0.25">
      <c r="O9763" s="21"/>
    </row>
    <row r="9764" spans="15:15" x14ac:dyDescent="0.25">
      <c r="O9764" s="21"/>
    </row>
    <row r="9765" spans="15:15" x14ac:dyDescent="0.25">
      <c r="O9765" s="21"/>
    </row>
    <row r="9766" spans="15:15" x14ac:dyDescent="0.25">
      <c r="O9766" s="21"/>
    </row>
    <row r="9767" spans="15:15" x14ac:dyDescent="0.25">
      <c r="O9767" s="21"/>
    </row>
    <row r="9768" spans="15:15" x14ac:dyDescent="0.25">
      <c r="O9768" s="21"/>
    </row>
    <row r="9769" spans="15:15" x14ac:dyDescent="0.25">
      <c r="O9769" s="21"/>
    </row>
    <row r="9770" spans="15:15" x14ac:dyDescent="0.25">
      <c r="O9770" s="21"/>
    </row>
    <row r="9771" spans="15:15" x14ac:dyDescent="0.25">
      <c r="O9771" s="21"/>
    </row>
    <row r="9772" spans="15:15" x14ac:dyDescent="0.25">
      <c r="O9772" s="21"/>
    </row>
    <row r="9773" spans="15:15" x14ac:dyDescent="0.25">
      <c r="O9773" s="21"/>
    </row>
    <row r="9774" spans="15:15" x14ac:dyDescent="0.25">
      <c r="O9774" s="21"/>
    </row>
    <row r="9775" spans="15:15" x14ac:dyDescent="0.25">
      <c r="O9775" s="21"/>
    </row>
    <row r="9776" spans="15:15" x14ac:dyDescent="0.25">
      <c r="O9776" s="21"/>
    </row>
    <row r="9777" spans="15:15" x14ac:dyDescent="0.25">
      <c r="O9777" s="21"/>
    </row>
    <row r="9778" spans="15:15" x14ac:dyDescent="0.25">
      <c r="O9778" s="21"/>
    </row>
    <row r="9779" spans="15:15" x14ac:dyDescent="0.25">
      <c r="O9779" s="21"/>
    </row>
    <row r="9780" spans="15:15" x14ac:dyDescent="0.25">
      <c r="O9780" s="21"/>
    </row>
    <row r="9781" spans="15:15" x14ac:dyDescent="0.25">
      <c r="O9781" s="21"/>
    </row>
    <row r="9782" spans="15:15" x14ac:dyDescent="0.25">
      <c r="O9782" s="21"/>
    </row>
    <row r="9783" spans="15:15" x14ac:dyDescent="0.25">
      <c r="O9783" s="21"/>
    </row>
    <row r="9784" spans="15:15" x14ac:dyDescent="0.25">
      <c r="O9784" s="21"/>
    </row>
    <row r="9785" spans="15:15" x14ac:dyDescent="0.25">
      <c r="O9785" s="21"/>
    </row>
    <row r="9786" spans="15:15" x14ac:dyDescent="0.25">
      <c r="O9786" s="21"/>
    </row>
    <row r="9787" spans="15:15" x14ac:dyDescent="0.25">
      <c r="O9787" s="21"/>
    </row>
    <row r="9788" spans="15:15" x14ac:dyDescent="0.25">
      <c r="O9788" s="21"/>
    </row>
    <row r="9789" spans="15:15" x14ac:dyDescent="0.25">
      <c r="O9789" s="21"/>
    </row>
    <row r="9790" spans="15:15" x14ac:dyDescent="0.25">
      <c r="O9790" s="21"/>
    </row>
    <row r="9791" spans="15:15" x14ac:dyDescent="0.25">
      <c r="O9791" s="21"/>
    </row>
    <row r="9792" spans="15:15" x14ac:dyDescent="0.25">
      <c r="O9792" s="21"/>
    </row>
    <row r="9793" spans="15:15" x14ac:dyDescent="0.25">
      <c r="O9793" s="21"/>
    </row>
    <row r="9794" spans="15:15" x14ac:dyDescent="0.25">
      <c r="O9794" s="21"/>
    </row>
    <row r="9795" spans="15:15" x14ac:dyDescent="0.25">
      <c r="O9795" s="21"/>
    </row>
    <row r="9796" spans="15:15" x14ac:dyDescent="0.25">
      <c r="O9796" s="21"/>
    </row>
    <row r="9797" spans="15:15" x14ac:dyDescent="0.25">
      <c r="O9797" s="21"/>
    </row>
    <row r="9798" spans="15:15" x14ac:dyDescent="0.25">
      <c r="O9798" s="21"/>
    </row>
    <row r="9799" spans="15:15" x14ac:dyDescent="0.25">
      <c r="O9799" s="21"/>
    </row>
    <row r="9800" spans="15:15" x14ac:dyDescent="0.25">
      <c r="O9800" s="21"/>
    </row>
    <row r="9801" spans="15:15" x14ac:dyDescent="0.25">
      <c r="O9801" s="21"/>
    </row>
    <row r="9802" spans="15:15" x14ac:dyDescent="0.25">
      <c r="O9802" s="21"/>
    </row>
    <row r="9803" spans="15:15" x14ac:dyDescent="0.25">
      <c r="O9803" s="21"/>
    </row>
    <row r="9804" spans="15:15" x14ac:dyDescent="0.25">
      <c r="O9804" s="21"/>
    </row>
    <row r="9805" spans="15:15" x14ac:dyDescent="0.25">
      <c r="O9805" s="21"/>
    </row>
    <row r="9806" spans="15:15" x14ac:dyDescent="0.25">
      <c r="O9806" s="21"/>
    </row>
    <row r="9807" spans="15:15" x14ac:dyDescent="0.25">
      <c r="O9807" s="21"/>
    </row>
    <row r="9808" spans="15:15" x14ac:dyDescent="0.25">
      <c r="O9808" s="21"/>
    </row>
    <row r="9809" spans="15:15" x14ac:dyDescent="0.25">
      <c r="O9809" s="21"/>
    </row>
    <row r="9810" spans="15:15" x14ac:dyDescent="0.25">
      <c r="O9810" s="21"/>
    </row>
    <row r="9811" spans="15:15" x14ac:dyDescent="0.25">
      <c r="O9811" s="21"/>
    </row>
    <row r="9812" spans="15:15" x14ac:dyDescent="0.25">
      <c r="O9812" s="21"/>
    </row>
    <row r="9813" spans="15:15" x14ac:dyDescent="0.25">
      <c r="O9813" s="21"/>
    </row>
    <row r="9814" spans="15:15" x14ac:dyDescent="0.25">
      <c r="O9814" s="21"/>
    </row>
    <row r="9815" spans="15:15" x14ac:dyDescent="0.25">
      <c r="O9815" s="21"/>
    </row>
    <row r="9816" spans="15:15" x14ac:dyDescent="0.25">
      <c r="O9816" s="21"/>
    </row>
    <row r="9817" spans="15:15" x14ac:dyDescent="0.25">
      <c r="O9817" s="21"/>
    </row>
    <row r="9818" spans="15:15" x14ac:dyDescent="0.25">
      <c r="O9818" s="21"/>
    </row>
    <row r="9819" spans="15:15" x14ac:dyDescent="0.25">
      <c r="O9819" s="21"/>
    </row>
    <row r="9820" spans="15:15" x14ac:dyDescent="0.25">
      <c r="O9820" s="21"/>
    </row>
    <row r="9821" spans="15:15" x14ac:dyDescent="0.25">
      <c r="O9821" s="21"/>
    </row>
    <row r="9822" spans="15:15" x14ac:dyDescent="0.25">
      <c r="O9822" s="21"/>
    </row>
    <row r="9823" spans="15:15" x14ac:dyDescent="0.25">
      <c r="O9823" s="21"/>
    </row>
    <row r="9824" spans="15:15" x14ac:dyDescent="0.25">
      <c r="O9824" s="21"/>
    </row>
    <row r="9825" spans="15:15" x14ac:dyDescent="0.25">
      <c r="O9825" s="21"/>
    </row>
    <row r="9826" spans="15:15" x14ac:dyDescent="0.25">
      <c r="O9826" s="21"/>
    </row>
    <row r="9827" spans="15:15" x14ac:dyDescent="0.25">
      <c r="O9827" s="21"/>
    </row>
    <row r="9828" spans="15:15" x14ac:dyDescent="0.25">
      <c r="O9828" s="21"/>
    </row>
    <row r="9829" spans="15:15" x14ac:dyDescent="0.25">
      <c r="O9829" s="21"/>
    </row>
    <row r="9830" spans="15:15" x14ac:dyDescent="0.25">
      <c r="O9830" s="21"/>
    </row>
    <row r="9831" spans="15:15" x14ac:dyDescent="0.25">
      <c r="O9831" s="21"/>
    </row>
    <row r="9832" spans="15:15" x14ac:dyDescent="0.25">
      <c r="O9832" s="21"/>
    </row>
    <row r="9833" spans="15:15" x14ac:dyDescent="0.25">
      <c r="O9833" s="21"/>
    </row>
    <row r="9834" spans="15:15" x14ac:dyDescent="0.25">
      <c r="O9834" s="21"/>
    </row>
    <row r="9835" spans="15:15" x14ac:dyDescent="0.25">
      <c r="O9835" s="21"/>
    </row>
    <row r="9836" spans="15:15" x14ac:dyDescent="0.25">
      <c r="O9836" s="21"/>
    </row>
    <row r="9837" spans="15:15" x14ac:dyDescent="0.25">
      <c r="O9837" s="21"/>
    </row>
    <row r="9838" spans="15:15" x14ac:dyDescent="0.25">
      <c r="O9838" s="21"/>
    </row>
    <row r="9839" spans="15:15" x14ac:dyDescent="0.25">
      <c r="O9839" s="21"/>
    </row>
    <row r="9840" spans="15:15" x14ac:dyDescent="0.25">
      <c r="O9840" s="21"/>
    </row>
    <row r="9841" spans="15:15" x14ac:dyDescent="0.25">
      <c r="O9841" s="21"/>
    </row>
    <row r="9842" spans="15:15" x14ac:dyDescent="0.25">
      <c r="O9842" s="21"/>
    </row>
    <row r="9843" spans="15:15" x14ac:dyDescent="0.25">
      <c r="O9843" s="21"/>
    </row>
    <row r="9844" spans="15:15" x14ac:dyDescent="0.25">
      <c r="O9844" s="21"/>
    </row>
    <row r="9845" spans="15:15" x14ac:dyDescent="0.25">
      <c r="O9845" s="21"/>
    </row>
    <row r="9846" spans="15:15" x14ac:dyDescent="0.25">
      <c r="O9846" s="21"/>
    </row>
    <row r="9847" spans="15:15" x14ac:dyDescent="0.25">
      <c r="O9847" s="21"/>
    </row>
    <row r="9848" spans="15:15" x14ac:dyDescent="0.25">
      <c r="O9848" s="21"/>
    </row>
    <row r="9849" spans="15:15" x14ac:dyDescent="0.25">
      <c r="O9849" s="21"/>
    </row>
    <row r="9850" spans="15:15" x14ac:dyDescent="0.25">
      <c r="O9850" s="21"/>
    </row>
    <row r="9851" spans="15:15" x14ac:dyDescent="0.25">
      <c r="O9851" s="21"/>
    </row>
    <row r="9852" spans="15:15" x14ac:dyDescent="0.25">
      <c r="O9852" s="21"/>
    </row>
    <row r="9853" spans="15:15" x14ac:dyDescent="0.25">
      <c r="O9853" s="21"/>
    </row>
    <row r="9854" spans="15:15" x14ac:dyDescent="0.25">
      <c r="O9854" s="21"/>
    </row>
    <row r="9855" spans="15:15" x14ac:dyDescent="0.25">
      <c r="O9855" s="21"/>
    </row>
    <row r="9856" spans="15:15" x14ac:dyDescent="0.25">
      <c r="O9856" s="21"/>
    </row>
    <row r="9857" spans="15:15" x14ac:dyDescent="0.25">
      <c r="O9857" s="21"/>
    </row>
    <row r="9858" spans="15:15" x14ac:dyDescent="0.25">
      <c r="O9858" s="21"/>
    </row>
    <row r="9859" spans="15:15" x14ac:dyDescent="0.25">
      <c r="O9859" s="21"/>
    </row>
    <row r="9860" spans="15:15" x14ac:dyDescent="0.25">
      <c r="O9860" s="21"/>
    </row>
    <row r="9861" spans="15:15" x14ac:dyDescent="0.25">
      <c r="O9861" s="21"/>
    </row>
    <row r="9862" spans="15:15" x14ac:dyDescent="0.25">
      <c r="O9862" s="21"/>
    </row>
    <row r="9863" spans="15:15" x14ac:dyDescent="0.25">
      <c r="O9863" s="21"/>
    </row>
    <row r="9864" spans="15:15" x14ac:dyDescent="0.25">
      <c r="O9864" s="21"/>
    </row>
    <row r="9865" spans="15:15" x14ac:dyDescent="0.25">
      <c r="O9865" s="21"/>
    </row>
    <row r="9866" spans="15:15" x14ac:dyDescent="0.25">
      <c r="O9866" s="21"/>
    </row>
    <row r="9867" spans="15:15" x14ac:dyDescent="0.25">
      <c r="O9867" s="21"/>
    </row>
    <row r="9868" spans="15:15" x14ac:dyDescent="0.25">
      <c r="O9868" s="21"/>
    </row>
    <row r="9869" spans="15:15" x14ac:dyDescent="0.25">
      <c r="O9869" s="21"/>
    </row>
    <row r="9870" spans="15:15" x14ac:dyDescent="0.25">
      <c r="O9870" s="21"/>
    </row>
    <row r="9871" spans="15:15" x14ac:dyDescent="0.25">
      <c r="O9871" s="21"/>
    </row>
    <row r="9872" spans="15:15" x14ac:dyDescent="0.25">
      <c r="O9872" s="21"/>
    </row>
    <row r="9873" spans="15:15" x14ac:dyDescent="0.25">
      <c r="O9873" s="21"/>
    </row>
    <row r="9874" spans="15:15" x14ac:dyDescent="0.25">
      <c r="O9874" s="21"/>
    </row>
    <row r="9875" spans="15:15" x14ac:dyDescent="0.25">
      <c r="O9875" s="21"/>
    </row>
    <row r="9876" spans="15:15" x14ac:dyDescent="0.25">
      <c r="O9876" s="21"/>
    </row>
    <row r="9877" spans="15:15" x14ac:dyDescent="0.25">
      <c r="O9877" s="21"/>
    </row>
    <row r="9878" spans="15:15" x14ac:dyDescent="0.25">
      <c r="O9878" s="21"/>
    </row>
    <row r="9879" spans="15:15" x14ac:dyDescent="0.25">
      <c r="O9879" s="21"/>
    </row>
    <row r="9880" spans="15:15" x14ac:dyDescent="0.25">
      <c r="O9880" s="21"/>
    </row>
    <row r="9881" spans="15:15" x14ac:dyDescent="0.25">
      <c r="O9881" s="21"/>
    </row>
    <row r="9882" spans="15:15" x14ac:dyDescent="0.25">
      <c r="O9882" s="21"/>
    </row>
    <row r="9883" spans="15:15" x14ac:dyDescent="0.25">
      <c r="O9883" s="21"/>
    </row>
    <row r="9884" spans="15:15" x14ac:dyDescent="0.25">
      <c r="O9884" s="21"/>
    </row>
    <row r="9885" spans="15:15" x14ac:dyDescent="0.25">
      <c r="O9885" s="21"/>
    </row>
    <row r="9886" spans="15:15" x14ac:dyDescent="0.25">
      <c r="O9886" s="21"/>
    </row>
    <row r="9887" spans="15:15" x14ac:dyDescent="0.25">
      <c r="O9887" s="21"/>
    </row>
    <row r="9888" spans="15:15" x14ac:dyDescent="0.25">
      <c r="O9888" s="21"/>
    </row>
    <row r="9889" spans="15:15" x14ac:dyDescent="0.25">
      <c r="O9889" s="21"/>
    </row>
    <row r="9890" spans="15:15" x14ac:dyDescent="0.25">
      <c r="O9890" s="21"/>
    </row>
    <row r="9891" spans="15:15" x14ac:dyDescent="0.25">
      <c r="O9891" s="21"/>
    </row>
    <row r="9892" spans="15:15" x14ac:dyDescent="0.25">
      <c r="O9892" s="21"/>
    </row>
    <row r="9893" spans="15:15" x14ac:dyDescent="0.25">
      <c r="O9893" s="21"/>
    </row>
    <row r="9894" spans="15:15" x14ac:dyDescent="0.25">
      <c r="O9894" s="21"/>
    </row>
    <row r="9895" spans="15:15" x14ac:dyDescent="0.25">
      <c r="O9895" s="21"/>
    </row>
    <row r="9896" spans="15:15" x14ac:dyDescent="0.25">
      <c r="O9896" s="21"/>
    </row>
    <row r="9897" spans="15:15" x14ac:dyDescent="0.25">
      <c r="O9897" s="21"/>
    </row>
    <row r="9898" spans="15:15" x14ac:dyDescent="0.25">
      <c r="O9898" s="21"/>
    </row>
    <row r="9899" spans="15:15" x14ac:dyDescent="0.25">
      <c r="O9899" s="21"/>
    </row>
    <row r="9900" spans="15:15" x14ac:dyDescent="0.25">
      <c r="O9900" s="21"/>
    </row>
    <row r="9901" spans="15:15" x14ac:dyDescent="0.25">
      <c r="O9901" s="21"/>
    </row>
    <row r="9902" spans="15:15" x14ac:dyDescent="0.25">
      <c r="O9902" s="21"/>
    </row>
    <row r="9903" spans="15:15" x14ac:dyDescent="0.25">
      <c r="O9903" s="21"/>
    </row>
    <row r="9904" spans="15:15" x14ac:dyDescent="0.25">
      <c r="O9904" s="21"/>
    </row>
    <row r="9905" spans="15:15" x14ac:dyDescent="0.25">
      <c r="O9905" s="21"/>
    </row>
    <row r="9906" spans="15:15" x14ac:dyDescent="0.25">
      <c r="O9906" s="21"/>
    </row>
    <row r="9907" spans="15:15" x14ac:dyDescent="0.25">
      <c r="O9907" s="21"/>
    </row>
    <row r="9908" spans="15:15" x14ac:dyDescent="0.25">
      <c r="O9908" s="21"/>
    </row>
    <row r="9909" spans="15:15" x14ac:dyDescent="0.25">
      <c r="O9909" s="21"/>
    </row>
    <row r="9910" spans="15:15" x14ac:dyDescent="0.25">
      <c r="O9910" s="21"/>
    </row>
    <row r="9911" spans="15:15" x14ac:dyDescent="0.25">
      <c r="O9911" s="21"/>
    </row>
    <row r="9912" spans="15:15" x14ac:dyDescent="0.25">
      <c r="O9912" s="21"/>
    </row>
    <row r="9913" spans="15:15" x14ac:dyDescent="0.25">
      <c r="O9913" s="21"/>
    </row>
    <row r="9914" spans="15:15" x14ac:dyDescent="0.25">
      <c r="O9914" s="21"/>
    </row>
    <row r="9915" spans="15:15" x14ac:dyDescent="0.25">
      <c r="O9915" s="21"/>
    </row>
    <row r="9916" spans="15:15" x14ac:dyDescent="0.25">
      <c r="O9916" s="21"/>
    </row>
    <row r="9917" spans="15:15" x14ac:dyDescent="0.25">
      <c r="O9917" s="21"/>
    </row>
    <row r="9918" spans="15:15" x14ac:dyDescent="0.25">
      <c r="O9918" s="21"/>
    </row>
    <row r="9919" spans="15:15" x14ac:dyDescent="0.25">
      <c r="O9919" s="21"/>
    </row>
    <row r="9920" spans="15:15" x14ac:dyDescent="0.25">
      <c r="O9920" s="21"/>
    </row>
    <row r="9921" spans="15:15" x14ac:dyDescent="0.25">
      <c r="O9921" s="21"/>
    </row>
    <row r="9922" spans="15:15" x14ac:dyDescent="0.25">
      <c r="O9922" s="21"/>
    </row>
    <row r="9923" spans="15:15" x14ac:dyDescent="0.25">
      <c r="O9923" s="21"/>
    </row>
    <row r="9924" spans="15:15" x14ac:dyDescent="0.25">
      <c r="O9924" s="21"/>
    </row>
    <row r="9925" spans="15:15" x14ac:dyDescent="0.25">
      <c r="O9925" s="21"/>
    </row>
    <row r="9926" spans="15:15" x14ac:dyDescent="0.25">
      <c r="O9926" s="21"/>
    </row>
    <row r="9927" spans="15:15" x14ac:dyDescent="0.25">
      <c r="O9927" s="21"/>
    </row>
    <row r="9928" spans="15:15" x14ac:dyDescent="0.25">
      <c r="O9928" s="21"/>
    </row>
    <row r="9929" spans="15:15" x14ac:dyDescent="0.25">
      <c r="O9929" s="21"/>
    </row>
    <row r="9930" spans="15:15" x14ac:dyDescent="0.25">
      <c r="O9930" s="21"/>
    </row>
    <row r="9931" spans="15:15" x14ac:dyDescent="0.25">
      <c r="O9931" s="21"/>
    </row>
    <row r="9932" spans="15:15" x14ac:dyDescent="0.25">
      <c r="O9932" s="21"/>
    </row>
    <row r="9933" spans="15:15" x14ac:dyDescent="0.25">
      <c r="O9933" s="21"/>
    </row>
    <row r="9934" spans="15:15" x14ac:dyDescent="0.25">
      <c r="O9934" s="21"/>
    </row>
    <row r="9935" spans="15:15" x14ac:dyDescent="0.25">
      <c r="O9935" s="21"/>
    </row>
    <row r="9936" spans="15:15" x14ac:dyDescent="0.25">
      <c r="O9936" s="21"/>
    </row>
    <row r="9937" spans="15:15" x14ac:dyDescent="0.25">
      <c r="O9937" s="21"/>
    </row>
    <row r="9938" spans="15:15" x14ac:dyDescent="0.25">
      <c r="O9938" s="21"/>
    </row>
    <row r="9939" spans="15:15" x14ac:dyDescent="0.25">
      <c r="O9939" s="21"/>
    </row>
    <row r="9940" spans="15:15" x14ac:dyDescent="0.25">
      <c r="O9940" s="21"/>
    </row>
    <row r="9941" spans="15:15" x14ac:dyDescent="0.25">
      <c r="O9941" s="21"/>
    </row>
    <row r="9942" spans="15:15" x14ac:dyDescent="0.25">
      <c r="O9942" s="21"/>
    </row>
    <row r="9943" spans="15:15" x14ac:dyDescent="0.25">
      <c r="O9943" s="21"/>
    </row>
    <row r="9944" spans="15:15" x14ac:dyDescent="0.25">
      <c r="O9944" s="21"/>
    </row>
    <row r="9945" spans="15:15" x14ac:dyDescent="0.25">
      <c r="O9945" s="21"/>
    </row>
    <row r="9946" spans="15:15" x14ac:dyDescent="0.25">
      <c r="O9946" s="21"/>
    </row>
    <row r="9947" spans="15:15" x14ac:dyDescent="0.25">
      <c r="O9947" s="21"/>
    </row>
    <row r="9948" spans="15:15" x14ac:dyDescent="0.25">
      <c r="O9948" s="21"/>
    </row>
    <row r="9949" spans="15:15" x14ac:dyDescent="0.25">
      <c r="O9949" s="21"/>
    </row>
    <row r="9950" spans="15:15" x14ac:dyDescent="0.25">
      <c r="O9950" s="21"/>
    </row>
    <row r="9951" spans="15:15" x14ac:dyDescent="0.25">
      <c r="O9951" s="21"/>
    </row>
    <row r="9952" spans="15:15" x14ac:dyDescent="0.25">
      <c r="O9952" s="21"/>
    </row>
    <row r="9953" spans="15:15" x14ac:dyDescent="0.25">
      <c r="O9953" s="21"/>
    </row>
    <row r="9954" spans="15:15" x14ac:dyDescent="0.25">
      <c r="O9954" s="21"/>
    </row>
    <row r="9955" spans="15:15" x14ac:dyDescent="0.25">
      <c r="O9955" s="21"/>
    </row>
    <row r="9956" spans="15:15" x14ac:dyDescent="0.25">
      <c r="O9956" s="21"/>
    </row>
    <row r="9957" spans="15:15" x14ac:dyDescent="0.25">
      <c r="O9957" s="21"/>
    </row>
    <row r="9958" spans="15:15" x14ac:dyDescent="0.25">
      <c r="O9958" s="21"/>
    </row>
    <row r="9959" spans="15:15" x14ac:dyDescent="0.25">
      <c r="O9959" s="21"/>
    </row>
    <row r="9960" spans="15:15" x14ac:dyDescent="0.25">
      <c r="O9960" s="21"/>
    </row>
    <row r="9961" spans="15:15" x14ac:dyDescent="0.25">
      <c r="O9961" s="21"/>
    </row>
    <row r="9962" spans="15:15" x14ac:dyDescent="0.25">
      <c r="O9962" s="21"/>
    </row>
    <row r="9963" spans="15:15" x14ac:dyDescent="0.25">
      <c r="O9963" s="21"/>
    </row>
    <row r="9964" spans="15:15" x14ac:dyDescent="0.25">
      <c r="O9964" s="21"/>
    </row>
    <row r="9965" spans="15:15" x14ac:dyDescent="0.25">
      <c r="O9965" s="21"/>
    </row>
    <row r="9966" spans="15:15" x14ac:dyDescent="0.25">
      <c r="O9966" s="21"/>
    </row>
    <row r="9967" spans="15:15" x14ac:dyDescent="0.25">
      <c r="O9967" s="21"/>
    </row>
    <row r="9968" spans="15:15" x14ac:dyDescent="0.25">
      <c r="O9968" s="21"/>
    </row>
    <row r="9969" spans="15:15" x14ac:dyDescent="0.25">
      <c r="O9969" s="21"/>
    </row>
    <row r="9970" spans="15:15" x14ac:dyDescent="0.25">
      <c r="O9970" s="21"/>
    </row>
    <row r="9971" spans="15:15" x14ac:dyDescent="0.25">
      <c r="O9971" s="21"/>
    </row>
    <row r="9972" spans="15:15" x14ac:dyDescent="0.25">
      <c r="O9972" s="21"/>
    </row>
    <row r="9973" spans="15:15" x14ac:dyDescent="0.25">
      <c r="O9973" s="21"/>
    </row>
    <row r="9974" spans="15:15" x14ac:dyDescent="0.25">
      <c r="O9974" s="21"/>
    </row>
    <row r="9975" spans="15:15" x14ac:dyDescent="0.25">
      <c r="O9975" s="21"/>
    </row>
    <row r="9976" spans="15:15" x14ac:dyDescent="0.25">
      <c r="O9976" s="21"/>
    </row>
    <row r="9977" spans="15:15" x14ac:dyDescent="0.25">
      <c r="O9977" s="21"/>
    </row>
    <row r="9978" spans="15:15" x14ac:dyDescent="0.25">
      <c r="O9978" s="21"/>
    </row>
    <row r="9979" spans="15:15" x14ac:dyDescent="0.25">
      <c r="O9979" s="21"/>
    </row>
    <row r="9980" spans="15:15" x14ac:dyDescent="0.25">
      <c r="O9980" s="21"/>
    </row>
    <row r="9981" spans="15:15" x14ac:dyDescent="0.25">
      <c r="O9981" s="21"/>
    </row>
    <row r="9982" spans="15:15" x14ac:dyDescent="0.25">
      <c r="O9982" s="21"/>
    </row>
    <row r="9983" spans="15:15" x14ac:dyDescent="0.25">
      <c r="O9983" s="21"/>
    </row>
    <row r="9984" spans="15:15" x14ac:dyDescent="0.25">
      <c r="O9984" s="21"/>
    </row>
    <row r="9985" spans="15:15" x14ac:dyDescent="0.25">
      <c r="O9985" s="21"/>
    </row>
    <row r="9986" spans="15:15" x14ac:dyDescent="0.25">
      <c r="O9986" s="21"/>
    </row>
    <row r="9987" spans="15:15" x14ac:dyDescent="0.25">
      <c r="O9987" s="21"/>
    </row>
    <row r="9988" spans="15:15" x14ac:dyDescent="0.25">
      <c r="O9988" s="21"/>
    </row>
    <row r="9989" spans="15:15" x14ac:dyDescent="0.25">
      <c r="O9989" s="21"/>
    </row>
    <row r="9990" spans="15:15" x14ac:dyDescent="0.25">
      <c r="O9990" s="21"/>
    </row>
    <row r="9991" spans="15:15" x14ac:dyDescent="0.25">
      <c r="O9991" s="21"/>
    </row>
    <row r="9992" spans="15:15" x14ac:dyDescent="0.25">
      <c r="O9992" s="21"/>
    </row>
    <row r="9993" spans="15:15" x14ac:dyDescent="0.25">
      <c r="O9993" s="21"/>
    </row>
    <row r="9994" spans="15:15" x14ac:dyDescent="0.25">
      <c r="O9994" s="21"/>
    </row>
    <row r="9995" spans="15:15" x14ac:dyDescent="0.25">
      <c r="O9995" s="21"/>
    </row>
    <row r="9996" spans="15:15" x14ac:dyDescent="0.25">
      <c r="O9996" s="21"/>
    </row>
    <row r="9997" spans="15:15" x14ac:dyDescent="0.25">
      <c r="O9997" s="21"/>
    </row>
    <row r="9998" spans="15:15" x14ac:dyDescent="0.25">
      <c r="O9998" s="21"/>
    </row>
    <row r="9999" spans="15:15" x14ac:dyDescent="0.25">
      <c r="O9999" s="21"/>
    </row>
    <row r="10000" spans="15:15" x14ac:dyDescent="0.25">
      <c r="O10000" s="21"/>
    </row>
    <row r="10001" spans="15:15" x14ac:dyDescent="0.25">
      <c r="O10001" s="21"/>
    </row>
    <row r="10002" spans="15:15" x14ac:dyDescent="0.25">
      <c r="O10002" s="21"/>
    </row>
    <row r="10003" spans="15:15" x14ac:dyDescent="0.25">
      <c r="O10003" s="21"/>
    </row>
    <row r="10004" spans="15:15" x14ac:dyDescent="0.25">
      <c r="O10004" s="2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294EC-7910-4DCC-A110-A3DC26089778}">
  <sheetPr codeName="Sheet7"/>
  <dimension ref="B2:Q10004"/>
  <sheetViews>
    <sheetView topLeftCell="A48" workbookViewId="0">
      <selection activeCell="L4" sqref="L4"/>
    </sheetView>
  </sheetViews>
  <sheetFormatPr defaultRowHeight="12.5" x14ac:dyDescent="0.25"/>
  <cols>
    <col min="3" max="3" width="9.81640625" customWidth="1"/>
    <col min="5" max="5" width="11.36328125" customWidth="1"/>
    <col min="6" max="6" width="12.08984375" bestFit="1" customWidth="1"/>
    <col min="15" max="15" width="29.453125" customWidth="1"/>
  </cols>
  <sheetData>
    <row r="2" spans="2:17" x14ac:dyDescent="0.25">
      <c r="B2" s="17" t="s">
        <v>28</v>
      </c>
      <c r="C2" s="17" t="s">
        <v>38</v>
      </c>
      <c r="D2" t="s">
        <v>0</v>
      </c>
      <c r="E2" t="s">
        <v>0</v>
      </c>
      <c r="F2" t="s">
        <v>1</v>
      </c>
      <c r="G2" t="s">
        <v>1</v>
      </c>
      <c r="H2" t="s">
        <v>2</v>
      </c>
      <c r="I2" t="s">
        <v>2</v>
      </c>
      <c r="J2" t="s">
        <v>3</v>
      </c>
      <c r="K2" t="s">
        <v>3</v>
      </c>
      <c r="L2" s="16" t="s">
        <v>159</v>
      </c>
      <c r="M2" s="16" t="s">
        <v>159</v>
      </c>
      <c r="O2" s="16" t="s">
        <v>32</v>
      </c>
    </row>
    <row r="3" spans="2:17" x14ac:dyDescent="0.25">
      <c r="O3" s="22">
        <f>AVERAGE(O5:O10004)</f>
        <v>4.2350717195699259</v>
      </c>
      <c r="P3" s="18" t="s">
        <v>34</v>
      </c>
      <c r="Q3" s="19"/>
    </row>
    <row r="4" spans="2:17" x14ac:dyDescent="0.25">
      <c r="C4" t="s">
        <v>4</v>
      </c>
      <c r="D4">
        <f ca="1">RAND()</f>
        <v>0.80544114415156454</v>
      </c>
      <c r="E4">
        <f t="shared" ref="E4:G19" ca="1" si="0">IF(D4&gt;0.5,1,0)</f>
        <v>1</v>
      </c>
      <c r="F4">
        <f t="shared" ref="F4:L4" ca="1" si="1">RAND()</f>
        <v>0.81857111467981936</v>
      </c>
      <c r="G4">
        <f t="shared" ca="1" si="0"/>
        <v>1</v>
      </c>
      <c r="H4">
        <f ca="1">RAND()</f>
        <v>0.66506202527359337</v>
      </c>
      <c r="I4">
        <f ca="1">IF(H4&gt;0.5,1,0)</f>
        <v>1</v>
      </c>
      <c r="J4">
        <f t="shared" ca="1" si="1"/>
        <v>0.95155777928918928</v>
      </c>
      <c r="K4">
        <f t="shared" ref="K4:K19" ca="1" si="2">IF(J4&gt;0.5,1,0)</f>
        <v>1</v>
      </c>
      <c r="L4">
        <f t="shared" ca="1" si="1"/>
        <v>0.36752696330664636</v>
      </c>
      <c r="M4">
        <f t="shared" ref="M4:M67" ca="1" si="3">IF(L4&gt;0.5,1,0)</f>
        <v>0</v>
      </c>
      <c r="O4" s="21">
        <v>1.2909944487358056</v>
      </c>
    </row>
    <row r="5" spans="2:17" x14ac:dyDescent="0.25">
      <c r="C5" t="s">
        <v>5</v>
      </c>
      <c r="D5">
        <f t="shared" ref="D5:L21" ca="1" si="4">RAND()</f>
        <v>0.8452307050061032</v>
      </c>
      <c r="E5">
        <f t="shared" ca="1" si="0"/>
        <v>1</v>
      </c>
      <c r="F5">
        <f t="shared" ca="1" si="4"/>
        <v>8.1819266159926629E-2</v>
      </c>
      <c r="G5">
        <f t="shared" ca="1" si="0"/>
        <v>0</v>
      </c>
      <c r="H5">
        <f t="shared" ca="1" si="4"/>
        <v>0.44410986410786091</v>
      </c>
      <c r="I5">
        <f t="shared" ref="I5:I19" ca="1" si="5">IF(H5&gt;0.5,1,0)</f>
        <v>0</v>
      </c>
      <c r="J5">
        <f t="shared" ca="1" si="4"/>
        <v>0.40444072019472588</v>
      </c>
      <c r="K5">
        <f t="shared" ca="1" si="2"/>
        <v>0</v>
      </c>
      <c r="L5">
        <f t="shared" ca="1" si="4"/>
        <v>0.65283482798980363</v>
      </c>
      <c r="M5">
        <f t="shared" ca="1" si="3"/>
        <v>1</v>
      </c>
      <c r="O5" s="21">
        <v>5.0199601592044356</v>
      </c>
    </row>
    <row r="6" spans="2:17" x14ac:dyDescent="0.25">
      <c r="C6" t="s">
        <v>6</v>
      </c>
      <c r="D6">
        <f t="shared" ca="1" si="4"/>
        <v>0.2982101479510193</v>
      </c>
      <c r="E6">
        <f t="shared" ca="1" si="0"/>
        <v>0</v>
      </c>
      <c r="F6">
        <f t="shared" ca="1" si="4"/>
        <v>0.38420401418187922</v>
      </c>
      <c r="G6">
        <f t="shared" ca="1" si="0"/>
        <v>0</v>
      </c>
      <c r="H6">
        <f t="shared" ca="1" si="4"/>
        <v>4.5556847625002339E-3</v>
      </c>
      <c r="I6">
        <f t="shared" ca="1" si="5"/>
        <v>0</v>
      </c>
      <c r="J6">
        <f t="shared" ca="1" si="4"/>
        <v>0.50269455713413069</v>
      </c>
      <c r="K6">
        <f t="shared" ca="1" si="2"/>
        <v>1</v>
      </c>
      <c r="L6">
        <f t="shared" ca="1" si="4"/>
        <v>0.38087857289190052</v>
      </c>
      <c r="M6">
        <f t="shared" ca="1" si="3"/>
        <v>0</v>
      </c>
      <c r="O6" s="21">
        <v>2.8809720581775866</v>
      </c>
    </row>
    <row r="7" spans="2:17" x14ac:dyDescent="0.25">
      <c r="C7" t="s">
        <v>7</v>
      </c>
      <c r="D7">
        <f t="shared" ca="1" si="4"/>
        <v>0.72380802835124014</v>
      </c>
      <c r="E7">
        <f t="shared" ca="1" si="0"/>
        <v>1</v>
      </c>
      <c r="F7">
        <f t="shared" ca="1" si="4"/>
        <v>0.65851559757564093</v>
      </c>
      <c r="G7">
        <f t="shared" ca="1" si="0"/>
        <v>1</v>
      </c>
      <c r="H7">
        <f t="shared" ca="1" si="4"/>
        <v>0.69953377306039066</v>
      </c>
      <c r="I7">
        <f t="shared" ca="1" si="5"/>
        <v>1</v>
      </c>
      <c r="J7">
        <f t="shared" ca="1" si="4"/>
        <v>0.44270579845214808</v>
      </c>
      <c r="K7">
        <f t="shared" ca="1" si="2"/>
        <v>0</v>
      </c>
      <c r="L7">
        <f t="shared" ca="1" si="4"/>
        <v>9.5501641984323205E-2</v>
      </c>
      <c r="M7">
        <f t="shared" ca="1" si="3"/>
        <v>0</v>
      </c>
      <c r="O7" s="21">
        <v>4.8166378315169185</v>
      </c>
    </row>
    <row r="8" spans="2:17" x14ac:dyDescent="0.25">
      <c r="C8" t="s">
        <v>8</v>
      </c>
      <c r="D8">
        <f t="shared" ca="1" si="4"/>
        <v>0.26408634707983258</v>
      </c>
      <c r="E8">
        <f t="shared" ca="1" si="0"/>
        <v>0</v>
      </c>
      <c r="F8">
        <f t="shared" ca="1" si="4"/>
        <v>0.16625635587876486</v>
      </c>
      <c r="G8">
        <f t="shared" ca="1" si="0"/>
        <v>0</v>
      </c>
      <c r="H8">
        <f t="shared" ca="1" si="4"/>
        <v>0.4107065527473136</v>
      </c>
      <c r="I8">
        <f t="shared" ca="1" si="5"/>
        <v>0</v>
      </c>
      <c r="J8">
        <f t="shared" ca="1" si="4"/>
        <v>0.9159157708583221</v>
      </c>
      <c r="K8">
        <f t="shared" ca="1" si="2"/>
        <v>1</v>
      </c>
      <c r="L8">
        <f t="shared" ca="1" si="4"/>
        <v>0.26708108464911806</v>
      </c>
      <c r="M8">
        <f t="shared" ca="1" si="3"/>
        <v>0</v>
      </c>
      <c r="O8" s="21">
        <v>5.8566201857385254</v>
      </c>
    </row>
    <row r="9" spans="2:17" x14ac:dyDescent="0.25">
      <c r="C9" t="s">
        <v>9</v>
      </c>
      <c r="D9">
        <f t="shared" ca="1" si="4"/>
        <v>0.15581989297488874</v>
      </c>
      <c r="E9">
        <f t="shared" ca="1" si="0"/>
        <v>0</v>
      </c>
      <c r="F9">
        <f t="shared" ca="1" si="4"/>
        <v>0.28616854702055061</v>
      </c>
      <c r="G9">
        <f t="shared" ca="1" si="0"/>
        <v>0</v>
      </c>
      <c r="H9">
        <f t="shared" ca="1" si="4"/>
        <v>0.68935053221397269</v>
      </c>
      <c r="I9">
        <f t="shared" ca="1" si="5"/>
        <v>1</v>
      </c>
      <c r="J9">
        <f t="shared" ca="1" si="4"/>
        <v>0.65267112182684028</v>
      </c>
      <c r="K9">
        <f t="shared" ca="1" si="2"/>
        <v>1</v>
      </c>
      <c r="L9">
        <f t="shared" ca="1" si="4"/>
        <v>0.22006954508488719</v>
      </c>
      <c r="M9">
        <f t="shared" ca="1" si="3"/>
        <v>0</v>
      </c>
      <c r="O9" s="21">
        <v>2.4494897427831779</v>
      </c>
    </row>
    <row r="10" spans="2:17" x14ac:dyDescent="0.25">
      <c r="C10" t="s">
        <v>10</v>
      </c>
      <c r="D10">
        <f t="shared" ca="1" si="4"/>
        <v>0.77618163440462107</v>
      </c>
      <c r="E10">
        <f t="shared" ca="1" si="0"/>
        <v>1</v>
      </c>
      <c r="F10">
        <f t="shared" ca="1" si="4"/>
        <v>0.79307593052533154</v>
      </c>
      <c r="G10">
        <f t="shared" ca="1" si="0"/>
        <v>1</v>
      </c>
      <c r="H10">
        <f t="shared" ca="1" si="4"/>
        <v>0.7642189356500384</v>
      </c>
      <c r="I10">
        <f t="shared" ca="1" si="5"/>
        <v>1</v>
      </c>
      <c r="J10">
        <f t="shared" ca="1" si="4"/>
        <v>9.0936900531827125E-2</v>
      </c>
      <c r="K10">
        <f t="shared" ca="1" si="2"/>
        <v>0</v>
      </c>
      <c r="L10">
        <f t="shared" ca="1" si="4"/>
        <v>0.12599443574319391</v>
      </c>
      <c r="M10">
        <f t="shared" ca="1" si="3"/>
        <v>0</v>
      </c>
      <c r="O10" s="21">
        <v>4.4384682042344341</v>
      </c>
    </row>
    <row r="11" spans="2:17" x14ac:dyDescent="0.25">
      <c r="C11" t="s">
        <v>11</v>
      </c>
      <c r="D11">
        <f t="shared" ca="1" si="4"/>
        <v>1.1182492182820081E-2</v>
      </c>
      <c r="E11">
        <f t="shared" ca="1" si="0"/>
        <v>0</v>
      </c>
      <c r="F11">
        <f t="shared" ca="1" si="4"/>
        <v>0.1511345418803014</v>
      </c>
      <c r="G11">
        <f t="shared" ca="1" si="0"/>
        <v>0</v>
      </c>
      <c r="H11">
        <f t="shared" ca="1" si="4"/>
        <v>0.67286357975369293</v>
      </c>
      <c r="I11">
        <f t="shared" ca="1" si="5"/>
        <v>1</v>
      </c>
      <c r="J11">
        <f t="shared" ca="1" si="4"/>
        <v>0.1367068872327889</v>
      </c>
      <c r="K11">
        <f t="shared" ca="1" si="2"/>
        <v>0</v>
      </c>
      <c r="L11">
        <f t="shared" ca="1" si="4"/>
        <v>0.78834121784887357</v>
      </c>
      <c r="M11">
        <f t="shared" ca="1" si="3"/>
        <v>1</v>
      </c>
      <c r="O11" s="21">
        <v>3.5637059362410919</v>
      </c>
    </row>
    <row r="12" spans="2:17" x14ac:dyDescent="0.25">
      <c r="C12" t="s">
        <v>12</v>
      </c>
      <c r="D12">
        <f t="shared" ca="1" si="4"/>
        <v>0.91483179478297083</v>
      </c>
      <c r="E12">
        <f t="shared" ca="1" si="0"/>
        <v>1</v>
      </c>
      <c r="F12">
        <f t="shared" ca="1" si="4"/>
        <v>0.83028328068425428</v>
      </c>
      <c r="G12">
        <f t="shared" ca="1" si="0"/>
        <v>1</v>
      </c>
      <c r="H12">
        <f t="shared" ca="1" si="4"/>
        <v>0.24886401476918241</v>
      </c>
      <c r="I12">
        <f t="shared" ca="1" si="5"/>
        <v>0</v>
      </c>
      <c r="J12">
        <f t="shared" ca="1" si="4"/>
        <v>0.36069498502335595</v>
      </c>
      <c r="K12">
        <f t="shared" ca="1" si="2"/>
        <v>0</v>
      </c>
      <c r="L12">
        <f t="shared" ca="1" si="4"/>
        <v>0.94070851408731704</v>
      </c>
      <c r="M12">
        <f t="shared" ca="1" si="3"/>
        <v>1</v>
      </c>
      <c r="O12" s="21">
        <v>6.3007936008093495</v>
      </c>
    </row>
    <row r="13" spans="2:17" x14ac:dyDescent="0.25">
      <c r="C13" t="s">
        <v>13</v>
      </c>
      <c r="D13">
        <f t="shared" ca="1" si="4"/>
        <v>0.54559220840555989</v>
      </c>
      <c r="E13">
        <f t="shared" ca="1" si="0"/>
        <v>1</v>
      </c>
      <c r="F13">
        <f t="shared" ca="1" si="4"/>
        <v>0.92589907683094674</v>
      </c>
      <c r="G13">
        <f t="shared" ca="1" si="0"/>
        <v>1</v>
      </c>
      <c r="H13">
        <f t="shared" ca="1" si="4"/>
        <v>0.64633612752199321</v>
      </c>
      <c r="I13">
        <f t="shared" ca="1" si="5"/>
        <v>1</v>
      </c>
      <c r="J13">
        <f t="shared" ca="1" si="4"/>
        <v>0.87276552835198573</v>
      </c>
      <c r="K13">
        <f t="shared" ca="1" si="2"/>
        <v>1</v>
      </c>
      <c r="L13">
        <f t="shared" ca="1" si="4"/>
        <v>0.28237879087461903</v>
      </c>
      <c r="M13">
        <f t="shared" ca="1" si="3"/>
        <v>0</v>
      </c>
      <c r="O13" s="21">
        <v>6.5192024052026492</v>
      </c>
    </row>
    <row r="14" spans="2:17" x14ac:dyDescent="0.25">
      <c r="C14" t="s">
        <v>14</v>
      </c>
      <c r="D14">
        <f t="shared" ca="1" si="4"/>
        <v>0.13890742983577509</v>
      </c>
      <c r="E14">
        <f t="shared" ca="1" si="0"/>
        <v>0</v>
      </c>
      <c r="F14">
        <f t="shared" ca="1" si="4"/>
        <v>0.7543637476502203</v>
      </c>
      <c r="G14">
        <f t="shared" ca="1" si="0"/>
        <v>1</v>
      </c>
      <c r="H14">
        <f t="shared" ca="1" si="4"/>
        <v>0.22584844864765552</v>
      </c>
      <c r="I14">
        <f t="shared" ca="1" si="5"/>
        <v>0</v>
      </c>
      <c r="J14">
        <f t="shared" ca="1" si="4"/>
        <v>0.52165459772939404</v>
      </c>
      <c r="K14">
        <f t="shared" ca="1" si="2"/>
        <v>1</v>
      </c>
      <c r="L14">
        <f t="shared" ca="1" si="4"/>
        <v>0.36780279025388696</v>
      </c>
      <c r="M14">
        <f t="shared" ca="1" si="3"/>
        <v>0</v>
      </c>
      <c r="O14" s="21">
        <v>4.0865633483405102</v>
      </c>
    </row>
    <row r="15" spans="2:17" x14ac:dyDescent="0.25">
      <c r="C15" t="s">
        <v>15</v>
      </c>
      <c r="D15">
        <f t="shared" ca="1" si="4"/>
        <v>7.8798046786470954E-2</v>
      </c>
      <c r="E15">
        <f t="shared" ca="1" si="0"/>
        <v>0</v>
      </c>
      <c r="F15">
        <f t="shared" ca="1" si="4"/>
        <v>0.18105426216202847</v>
      </c>
      <c r="G15">
        <f t="shared" ca="1" si="0"/>
        <v>0</v>
      </c>
      <c r="H15">
        <f t="shared" ca="1" si="4"/>
        <v>0.30980027372353358</v>
      </c>
      <c r="I15">
        <f t="shared" ca="1" si="5"/>
        <v>0</v>
      </c>
      <c r="J15">
        <f t="shared" ca="1" si="4"/>
        <v>0.66129591950301669</v>
      </c>
      <c r="K15">
        <f t="shared" ca="1" si="2"/>
        <v>1</v>
      </c>
      <c r="L15">
        <f t="shared" ca="1" si="4"/>
        <v>0.13608508053661117</v>
      </c>
      <c r="M15">
        <f t="shared" ca="1" si="3"/>
        <v>0</v>
      </c>
      <c r="O15" s="21">
        <v>5.6124860801609122</v>
      </c>
    </row>
    <row r="16" spans="2:17" x14ac:dyDescent="0.25">
      <c r="C16" t="s">
        <v>16</v>
      </c>
      <c r="D16">
        <f t="shared" ca="1" si="4"/>
        <v>0.56030532611559969</v>
      </c>
      <c r="E16">
        <f t="shared" ca="1" si="0"/>
        <v>1</v>
      </c>
      <c r="F16">
        <f t="shared" ca="1" si="4"/>
        <v>0.32950311124543663</v>
      </c>
      <c r="G16">
        <f t="shared" ca="1" si="0"/>
        <v>0</v>
      </c>
      <c r="H16">
        <f t="shared" ca="1" si="4"/>
        <v>0.75970418222998526</v>
      </c>
      <c r="I16">
        <f t="shared" ca="1" si="5"/>
        <v>1</v>
      </c>
      <c r="J16">
        <f t="shared" ca="1" si="4"/>
        <v>0.47189319007504871</v>
      </c>
      <c r="K16">
        <f t="shared" ca="1" si="2"/>
        <v>0</v>
      </c>
      <c r="L16">
        <f t="shared" ca="1" si="4"/>
        <v>0.2730239801175669</v>
      </c>
      <c r="M16">
        <f t="shared" ca="1" si="3"/>
        <v>0</v>
      </c>
      <c r="O16" s="21">
        <v>4.7749345545253288</v>
      </c>
    </row>
    <row r="17" spans="3:15" x14ac:dyDescent="0.25">
      <c r="C17" t="s">
        <v>17</v>
      </c>
      <c r="D17">
        <f t="shared" ca="1" si="4"/>
        <v>0.58348178627033143</v>
      </c>
      <c r="E17">
        <f t="shared" ca="1" si="0"/>
        <v>1</v>
      </c>
      <c r="F17">
        <f t="shared" ca="1" si="4"/>
        <v>0.4963332504152661</v>
      </c>
      <c r="G17">
        <f t="shared" ca="1" si="0"/>
        <v>0</v>
      </c>
      <c r="H17">
        <f t="shared" ca="1" si="4"/>
        <v>0.54817019919944987</v>
      </c>
      <c r="I17">
        <f t="shared" ca="1" si="5"/>
        <v>1</v>
      </c>
      <c r="J17">
        <f t="shared" ca="1" si="4"/>
        <v>0.27639024342806673</v>
      </c>
      <c r="K17">
        <f t="shared" ca="1" si="2"/>
        <v>0</v>
      </c>
      <c r="L17">
        <f t="shared" ca="1" si="4"/>
        <v>0.39895462794760195</v>
      </c>
      <c r="M17">
        <f t="shared" ca="1" si="3"/>
        <v>0</v>
      </c>
      <c r="O17" s="21">
        <v>6.0663003552412551</v>
      </c>
    </row>
    <row r="18" spans="3:15" x14ac:dyDescent="0.25">
      <c r="C18" t="s">
        <v>18</v>
      </c>
      <c r="D18">
        <f t="shared" ca="1" si="4"/>
        <v>0.2068571414271182</v>
      </c>
      <c r="E18">
        <f t="shared" ca="1" si="0"/>
        <v>0</v>
      </c>
      <c r="F18">
        <f t="shared" ca="1" si="4"/>
        <v>0.60014699433431884</v>
      </c>
      <c r="G18">
        <f t="shared" ca="1" si="0"/>
        <v>1</v>
      </c>
      <c r="H18">
        <f t="shared" ca="1" si="4"/>
        <v>1.7946680659040704E-2</v>
      </c>
      <c r="I18">
        <f t="shared" ca="1" si="5"/>
        <v>0</v>
      </c>
      <c r="J18">
        <f t="shared" ca="1" si="4"/>
        <v>0.81548610521631948</v>
      </c>
      <c r="K18">
        <f t="shared" ca="1" si="2"/>
        <v>1</v>
      </c>
      <c r="L18">
        <f t="shared" ca="1" si="4"/>
        <v>0.67115973610978075</v>
      </c>
      <c r="M18">
        <f t="shared" ca="1" si="3"/>
        <v>1</v>
      </c>
      <c r="O18" s="21">
        <v>4.2778499272414878</v>
      </c>
    </row>
    <row r="19" spans="3:15" x14ac:dyDescent="0.25">
      <c r="C19" t="s">
        <v>19</v>
      </c>
      <c r="D19">
        <f t="shared" ca="1" si="4"/>
        <v>0.37934421001079832</v>
      </c>
      <c r="E19">
        <f t="shared" ca="1" si="0"/>
        <v>0</v>
      </c>
      <c r="F19">
        <f t="shared" ca="1" si="4"/>
        <v>2.4356775332324165E-2</v>
      </c>
      <c r="G19">
        <f t="shared" ca="1" si="0"/>
        <v>0</v>
      </c>
      <c r="H19">
        <f t="shared" ca="1" si="4"/>
        <v>0.13107138572711552</v>
      </c>
      <c r="I19">
        <f t="shared" ca="1" si="5"/>
        <v>0</v>
      </c>
      <c r="J19">
        <f t="shared" ca="1" si="4"/>
        <v>0.7366713840636635</v>
      </c>
      <c r="K19">
        <f t="shared" ca="1" si="2"/>
        <v>1</v>
      </c>
      <c r="L19">
        <f t="shared" ca="1" si="4"/>
        <v>0.22744994240983718</v>
      </c>
      <c r="M19">
        <f t="shared" ca="1" si="3"/>
        <v>0</v>
      </c>
      <c r="O19" s="21">
        <v>5.5497747702046594</v>
      </c>
    </row>
    <row r="20" spans="3:15" x14ac:dyDescent="0.25">
      <c r="C20" t="s">
        <v>165</v>
      </c>
      <c r="D20">
        <f ca="1">RAND()</f>
        <v>0.52833445263163559</v>
      </c>
      <c r="E20">
        <f t="shared" ref="E20:E35" ca="1" si="6">IF(D20&gt;0.5,1,0)</f>
        <v>1</v>
      </c>
      <c r="F20">
        <f t="shared" ca="1" si="4"/>
        <v>0.94064510830741976</v>
      </c>
      <c r="G20">
        <f t="shared" ref="G20:G35" ca="1" si="7">IF(F20&gt;0.5,1,0)</f>
        <v>1</v>
      </c>
      <c r="H20">
        <f ca="1">RAND()</f>
        <v>3.6823633914067622E-2</v>
      </c>
      <c r="I20">
        <f ca="1">IF(H20&gt;0.5,1,0)</f>
        <v>0</v>
      </c>
      <c r="J20">
        <f t="shared" ca="1" si="4"/>
        <v>0.69899069712742468</v>
      </c>
      <c r="K20">
        <f t="shared" ref="K20:K35" ca="1" si="8">IF(J20&gt;0.5,1,0)</f>
        <v>1</v>
      </c>
      <c r="L20">
        <f t="shared" ca="1" si="4"/>
        <v>0.64694162454395432</v>
      </c>
      <c r="M20">
        <f t="shared" ca="1" si="3"/>
        <v>1</v>
      </c>
      <c r="N20" s="70"/>
      <c r="O20" s="21">
        <v>6.1073725938410028</v>
      </c>
    </row>
    <row r="21" spans="3:15" x14ac:dyDescent="0.25">
      <c r="C21" t="s">
        <v>166</v>
      </c>
      <c r="D21">
        <f t="shared" ca="1" si="4"/>
        <v>6.9359324834062375E-2</v>
      </c>
      <c r="E21">
        <f t="shared" ca="1" si="6"/>
        <v>0</v>
      </c>
      <c r="F21">
        <f t="shared" ca="1" si="4"/>
        <v>0.22125532055935437</v>
      </c>
      <c r="G21">
        <f t="shared" ca="1" si="7"/>
        <v>0</v>
      </c>
      <c r="H21">
        <f t="shared" ca="1" si="4"/>
        <v>4.7553689263521548E-2</v>
      </c>
      <c r="I21">
        <f t="shared" ref="I21:I35" ca="1" si="9">IF(H21&gt;0.5,1,0)</f>
        <v>0</v>
      </c>
      <c r="J21">
        <f t="shared" ca="1" si="4"/>
        <v>4.3194646449155494E-2</v>
      </c>
      <c r="K21">
        <f t="shared" ca="1" si="8"/>
        <v>0</v>
      </c>
      <c r="L21">
        <f t="shared" ca="1" si="4"/>
        <v>0.80675104316262802</v>
      </c>
      <c r="M21">
        <f t="shared" ca="1" si="3"/>
        <v>1</v>
      </c>
      <c r="N21" s="73"/>
      <c r="O21" s="21">
        <v>3.9623225512317899</v>
      </c>
    </row>
    <row r="22" spans="3:15" x14ac:dyDescent="0.25">
      <c r="C22" t="s">
        <v>167</v>
      </c>
      <c r="D22">
        <f t="shared" ref="D22:L38" ca="1" si="10">RAND()</f>
        <v>0.72316933021257013</v>
      </c>
      <c r="E22">
        <f t="shared" ca="1" si="6"/>
        <v>1</v>
      </c>
      <c r="F22">
        <f t="shared" ca="1" si="10"/>
        <v>6.2764921145410657E-2</v>
      </c>
      <c r="G22">
        <f t="shared" ca="1" si="7"/>
        <v>0</v>
      </c>
      <c r="H22">
        <f t="shared" ca="1" si="10"/>
        <v>0.28768497788984548</v>
      </c>
      <c r="I22">
        <f t="shared" ca="1" si="9"/>
        <v>0</v>
      </c>
      <c r="J22">
        <f t="shared" ca="1" si="10"/>
        <v>0.19441000862878222</v>
      </c>
      <c r="K22">
        <f t="shared" ca="1" si="8"/>
        <v>0</v>
      </c>
      <c r="L22">
        <f t="shared" ca="1" si="10"/>
        <v>0.37129042258979672</v>
      </c>
      <c r="M22">
        <f t="shared" ca="1" si="3"/>
        <v>0</v>
      </c>
      <c r="O22" s="21">
        <v>3.0495901363953815</v>
      </c>
    </row>
    <row r="23" spans="3:15" x14ac:dyDescent="0.25">
      <c r="C23" t="s">
        <v>168</v>
      </c>
      <c r="D23">
        <f t="shared" ca="1" si="10"/>
        <v>0.93582429752080221</v>
      </c>
      <c r="E23">
        <f t="shared" ca="1" si="6"/>
        <v>1</v>
      </c>
      <c r="F23">
        <f t="shared" ca="1" si="10"/>
        <v>0.41493070425624468</v>
      </c>
      <c r="G23">
        <f t="shared" ca="1" si="7"/>
        <v>0</v>
      </c>
      <c r="H23">
        <f t="shared" ca="1" si="10"/>
        <v>0.54871475875414866</v>
      </c>
      <c r="I23">
        <f t="shared" ca="1" si="9"/>
        <v>1</v>
      </c>
      <c r="J23">
        <f t="shared" ca="1" si="10"/>
        <v>9.9704948176770891E-3</v>
      </c>
      <c r="K23">
        <f t="shared" ca="1" si="8"/>
        <v>0</v>
      </c>
      <c r="L23">
        <f t="shared" ca="1" si="10"/>
        <v>0.59986304903537357</v>
      </c>
      <c r="M23">
        <f t="shared" ca="1" si="3"/>
        <v>1</v>
      </c>
      <c r="O23" s="21">
        <v>4.9799598391955113</v>
      </c>
    </row>
    <row r="24" spans="3:15" x14ac:dyDescent="0.25">
      <c r="C24" t="s">
        <v>169</v>
      </c>
      <c r="D24">
        <f t="shared" ca="1" si="10"/>
        <v>0.21278766458764831</v>
      </c>
      <c r="E24">
        <f t="shared" ca="1" si="6"/>
        <v>0</v>
      </c>
      <c r="F24">
        <f t="shared" ca="1" si="10"/>
        <v>9.7166497676297037E-2</v>
      </c>
      <c r="G24">
        <f t="shared" ca="1" si="7"/>
        <v>0</v>
      </c>
      <c r="H24">
        <f t="shared" ca="1" si="10"/>
        <v>0.60341985435499557</v>
      </c>
      <c r="I24">
        <f t="shared" ca="1" si="9"/>
        <v>1</v>
      </c>
      <c r="J24">
        <f t="shared" ca="1" si="10"/>
        <v>0.71544403833254799</v>
      </c>
      <c r="K24">
        <f t="shared" ca="1" si="8"/>
        <v>1</v>
      </c>
      <c r="L24">
        <f t="shared" ca="1" si="10"/>
        <v>0.92406103907934722</v>
      </c>
      <c r="M24">
        <f t="shared" ca="1" si="3"/>
        <v>1</v>
      </c>
      <c r="O24" s="21">
        <v>2.9664793948382653</v>
      </c>
    </row>
    <row r="25" spans="3:15" x14ac:dyDescent="0.25">
      <c r="C25" t="s">
        <v>170</v>
      </c>
      <c r="D25">
        <f t="shared" ca="1" si="10"/>
        <v>0.78669261109103161</v>
      </c>
      <c r="E25">
        <f t="shared" ca="1" si="6"/>
        <v>1</v>
      </c>
      <c r="F25">
        <f t="shared" ca="1" si="10"/>
        <v>0.30227997066625545</v>
      </c>
      <c r="G25">
        <f t="shared" ca="1" si="7"/>
        <v>0</v>
      </c>
      <c r="H25">
        <f t="shared" ca="1" si="10"/>
        <v>0.48012647404745046</v>
      </c>
      <c r="I25">
        <f t="shared" ca="1" si="9"/>
        <v>0</v>
      </c>
      <c r="J25">
        <f t="shared" ca="1" si="10"/>
        <v>0.83301073495769329</v>
      </c>
      <c r="K25">
        <f t="shared" ca="1" si="8"/>
        <v>1</v>
      </c>
      <c r="L25">
        <f t="shared" ca="1" si="10"/>
        <v>9.4696711308387638E-2</v>
      </c>
      <c r="M25">
        <f t="shared" ca="1" si="3"/>
        <v>0</v>
      </c>
      <c r="O25" s="21">
        <v>4.7116875957558797</v>
      </c>
    </row>
    <row r="26" spans="3:15" x14ac:dyDescent="0.25">
      <c r="C26" t="s">
        <v>171</v>
      </c>
      <c r="D26">
        <f t="shared" ca="1" si="10"/>
        <v>2.598951675885619E-2</v>
      </c>
      <c r="E26">
        <f t="shared" ca="1" si="6"/>
        <v>0</v>
      </c>
      <c r="F26">
        <f t="shared" ca="1" si="10"/>
        <v>3.4340724621717555E-3</v>
      </c>
      <c r="G26">
        <f t="shared" ca="1" si="7"/>
        <v>0</v>
      </c>
      <c r="H26">
        <f t="shared" ca="1" si="10"/>
        <v>0.77259008626281622</v>
      </c>
      <c r="I26">
        <f t="shared" ca="1" si="9"/>
        <v>1</v>
      </c>
      <c r="J26">
        <f t="shared" ca="1" si="10"/>
        <v>8.1533279637833633E-2</v>
      </c>
      <c r="K26">
        <f t="shared" ca="1" si="8"/>
        <v>0</v>
      </c>
      <c r="L26">
        <f t="shared" ca="1" si="10"/>
        <v>0.97300631539505089</v>
      </c>
      <c r="M26">
        <f t="shared" ca="1" si="3"/>
        <v>1</v>
      </c>
      <c r="O26" s="21">
        <v>3.4205262752974139</v>
      </c>
    </row>
    <row r="27" spans="3:15" x14ac:dyDescent="0.25">
      <c r="C27" t="s">
        <v>172</v>
      </c>
      <c r="D27">
        <f t="shared" ca="1" si="10"/>
        <v>0.77253399780886578</v>
      </c>
      <c r="E27">
        <f t="shared" ca="1" si="6"/>
        <v>1</v>
      </c>
      <c r="F27">
        <f t="shared" ca="1" si="10"/>
        <v>0.13124823608574632</v>
      </c>
      <c r="G27">
        <f t="shared" ca="1" si="7"/>
        <v>0</v>
      </c>
      <c r="H27">
        <f t="shared" ca="1" si="10"/>
        <v>0.14139551661081584</v>
      </c>
      <c r="I27">
        <f t="shared" ca="1" si="9"/>
        <v>0</v>
      </c>
      <c r="J27">
        <f t="shared" ca="1" si="10"/>
        <v>0.88262711534349025</v>
      </c>
      <c r="K27">
        <f t="shared" ca="1" si="8"/>
        <v>1</v>
      </c>
      <c r="L27">
        <f t="shared" ca="1" si="10"/>
        <v>0.38524304841174373</v>
      </c>
      <c r="M27">
        <f t="shared" ca="1" si="3"/>
        <v>0</v>
      </c>
      <c r="O27" s="21">
        <v>4.4721359549995796</v>
      </c>
    </row>
    <row r="28" spans="3:15" x14ac:dyDescent="0.25">
      <c r="C28" t="s">
        <v>173</v>
      </c>
      <c r="D28">
        <f t="shared" ca="1" si="10"/>
        <v>0.76103495740969884</v>
      </c>
      <c r="E28">
        <f t="shared" ca="1" si="6"/>
        <v>1</v>
      </c>
      <c r="F28">
        <f t="shared" ca="1" si="10"/>
        <v>0.66924496241201015</v>
      </c>
      <c r="G28">
        <f t="shared" ca="1" si="7"/>
        <v>1</v>
      </c>
      <c r="H28">
        <f t="shared" ca="1" si="10"/>
        <v>9.1532782407175439E-2</v>
      </c>
      <c r="I28">
        <f t="shared" ca="1" si="9"/>
        <v>0</v>
      </c>
      <c r="J28">
        <f t="shared" ca="1" si="10"/>
        <v>0.89064650946482604</v>
      </c>
      <c r="K28">
        <f t="shared" ca="1" si="8"/>
        <v>1</v>
      </c>
      <c r="L28">
        <f t="shared" ca="1" si="10"/>
        <v>0.35968062306327009</v>
      </c>
      <c r="M28">
        <f t="shared" ca="1" si="3"/>
        <v>0</v>
      </c>
      <c r="O28" s="21">
        <v>4.4721359549995796</v>
      </c>
    </row>
    <row r="29" spans="3:15" x14ac:dyDescent="0.25">
      <c r="C29" t="s">
        <v>174</v>
      </c>
      <c r="D29">
        <f t="shared" ca="1" si="10"/>
        <v>0.6298960623207609</v>
      </c>
      <c r="E29">
        <f t="shared" ca="1" si="6"/>
        <v>1</v>
      </c>
      <c r="F29">
        <f t="shared" ca="1" si="10"/>
        <v>0.21047162610356362</v>
      </c>
      <c r="G29">
        <f t="shared" ca="1" si="7"/>
        <v>0</v>
      </c>
      <c r="H29">
        <f t="shared" ca="1" si="10"/>
        <v>0.47018661764031078</v>
      </c>
      <c r="I29">
        <f t="shared" ca="1" si="9"/>
        <v>0</v>
      </c>
      <c r="J29">
        <f t="shared" ca="1" si="10"/>
        <v>0.28640535936235823</v>
      </c>
      <c r="K29">
        <f t="shared" ca="1" si="8"/>
        <v>0</v>
      </c>
      <c r="L29">
        <f t="shared" ca="1" si="10"/>
        <v>0.40330959820936629</v>
      </c>
      <c r="M29">
        <f t="shared" ca="1" si="3"/>
        <v>0</v>
      </c>
      <c r="O29" s="21">
        <v>5.2249401910452482</v>
      </c>
    </row>
    <row r="30" spans="3:15" x14ac:dyDescent="0.25">
      <c r="C30" t="s">
        <v>175</v>
      </c>
      <c r="D30">
        <f t="shared" ca="1" si="10"/>
        <v>0.74873071724706697</v>
      </c>
      <c r="E30">
        <f t="shared" ca="1" si="6"/>
        <v>1</v>
      </c>
      <c r="F30">
        <f t="shared" ca="1" si="10"/>
        <v>0.20156881261787118</v>
      </c>
      <c r="G30">
        <f t="shared" ca="1" si="7"/>
        <v>0</v>
      </c>
      <c r="H30">
        <f t="shared" ca="1" si="10"/>
        <v>0.31941588153134937</v>
      </c>
      <c r="I30">
        <f t="shared" ca="1" si="9"/>
        <v>0</v>
      </c>
      <c r="J30">
        <f t="shared" ca="1" si="10"/>
        <v>0.89116738174698218</v>
      </c>
      <c r="K30">
        <f t="shared" ca="1" si="8"/>
        <v>1</v>
      </c>
      <c r="L30">
        <f t="shared" ca="1" si="10"/>
        <v>7.3579938991938043E-2</v>
      </c>
      <c r="M30">
        <f t="shared" ca="1" si="3"/>
        <v>0</v>
      </c>
      <c r="O30" s="21">
        <v>7.1763500472036617</v>
      </c>
    </row>
    <row r="31" spans="3:15" x14ac:dyDescent="0.25">
      <c r="C31" t="s">
        <v>176</v>
      </c>
      <c r="D31">
        <f t="shared" ca="1" si="10"/>
        <v>0.90655807105969244</v>
      </c>
      <c r="E31">
        <f t="shared" ca="1" si="6"/>
        <v>1</v>
      </c>
      <c r="F31">
        <f t="shared" ca="1" si="10"/>
        <v>0.22094315552537092</v>
      </c>
      <c r="G31">
        <f t="shared" ca="1" si="7"/>
        <v>0</v>
      </c>
      <c r="H31">
        <f t="shared" ca="1" si="10"/>
        <v>0.15125937577369364</v>
      </c>
      <c r="I31">
        <f t="shared" ca="1" si="9"/>
        <v>0</v>
      </c>
      <c r="J31">
        <f t="shared" ca="1" si="10"/>
        <v>0.80488881497383513</v>
      </c>
      <c r="K31">
        <f t="shared" ca="1" si="8"/>
        <v>1</v>
      </c>
      <c r="L31">
        <f t="shared" ca="1" si="10"/>
        <v>0.95431212185483494</v>
      </c>
      <c r="M31">
        <f t="shared" ca="1" si="3"/>
        <v>1</v>
      </c>
      <c r="O31" s="21">
        <v>5.2153619241621012</v>
      </c>
    </row>
    <row r="32" spans="3:15" x14ac:dyDescent="0.25">
      <c r="C32" t="s">
        <v>177</v>
      </c>
      <c r="D32">
        <f t="shared" ca="1" si="10"/>
        <v>0.52103526216461082</v>
      </c>
      <c r="E32">
        <f t="shared" ca="1" si="6"/>
        <v>1</v>
      </c>
      <c r="F32">
        <f t="shared" ca="1" si="10"/>
        <v>0.7162017290387136</v>
      </c>
      <c r="G32">
        <f t="shared" ca="1" si="7"/>
        <v>1</v>
      </c>
      <c r="H32">
        <f t="shared" ca="1" si="10"/>
        <v>0.81536237447973947</v>
      </c>
      <c r="I32">
        <f t="shared" ca="1" si="9"/>
        <v>1</v>
      </c>
      <c r="J32">
        <f t="shared" ca="1" si="10"/>
        <v>0.52931509105248031</v>
      </c>
      <c r="K32">
        <f t="shared" ca="1" si="8"/>
        <v>1</v>
      </c>
      <c r="L32">
        <f t="shared" ca="1" si="10"/>
        <v>0.78764709288233403</v>
      </c>
      <c r="M32">
        <f t="shared" ca="1" si="3"/>
        <v>1</v>
      </c>
      <c r="O32" s="21">
        <v>5.3665631459994909</v>
      </c>
    </row>
    <row r="33" spans="3:15" x14ac:dyDescent="0.25">
      <c r="C33" t="s">
        <v>178</v>
      </c>
      <c r="D33">
        <f t="shared" ca="1" si="10"/>
        <v>0.95909252789699462</v>
      </c>
      <c r="E33">
        <f t="shared" ca="1" si="6"/>
        <v>1</v>
      </c>
      <c r="F33">
        <f t="shared" ca="1" si="10"/>
        <v>2.9053440650500639E-2</v>
      </c>
      <c r="G33">
        <f t="shared" ca="1" si="7"/>
        <v>0</v>
      </c>
      <c r="H33">
        <f t="shared" ca="1" si="10"/>
        <v>0.32221582875882615</v>
      </c>
      <c r="I33">
        <f t="shared" ca="1" si="9"/>
        <v>0</v>
      </c>
      <c r="J33">
        <f t="shared" ca="1" si="10"/>
        <v>0.49300127184822951</v>
      </c>
      <c r="K33">
        <f t="shared" ca="1" si="8"/>
        <v>0</v>
      </c>
      <c r="L33">
        <f t="shared" ca="1" si="10"/>
        <v>0.78858113915518457</v>
      </c>
      <c r="M33">
        <f t="shared" ca="1" si="3"/>
        <v>1</v>
      </c>
      <c r="O33" s="21">
        <v>2.2803508501982757</v>
      </c>
    </row>
    <row r="34" spans="3:15" x14ac:dyDescent="0.25">
      <c r="C34" t="s">
        <v>179</v>
      </c>
      <c r="D34">
        <f t="shared" ca="1" si="10"/>
        <v>0.8870838368162679</v>
      </c>
      <c r="E34">
        <f t="shared" ca="1" si="6"/>
        <v>1</v>
      </c>
      <c r="F34">
        <f t="shared" ca="1" si="10"/>
        <v>0.81196200942007324</v>
      </c>
      <c r="G34">
        <f t="shared" ca="1" si="7"/>
        <v>1</v>
      </c>
      <c r="H34">
        <f t="shared" ca="1" si="10"/>
        <v>5.1210189196788658E-2</v>
      </c>
      <c r="I34">
        <f t="shared" ca="1" si="9"/>
        <v>0</v>
      </c>
      <c r="J34">
        <f t="shared" ca="1" si="10"/>
        <v>0.4445077866954914</v>
      </c>
      <c r="K34">
        <f t="shared" ca="1" si="8"/>
        <v>0</v>
      </c>
      <c r="L34">
        <f t="shared" ca="1" si="10"/>
        <v>0.81339853265180839</v>
      </c>
      <c r="M34">
        <f t="shared" ca="1" si="3"/>
        <v>1</v>
      </c>
      <c r="O34" s="21">
        <v>4.0620192023179804</v>
      </c>
    </row>
    <row r="35" spans="3:15" x14ac:dyDescent="0.25">
      <c r="C35" t="s">
        <v>180</v>
      </c>
      <c r="D35">
        <f t="shared" ca="1" si="10"/>
        <v>0.29282802860033563</v>
      </c>
      <c r="E35">
        <f t="shared" ca="1" si="6"/>
        <v>0</v>
      </c>
      <c r="F35">
        <f t="shared" ca="1" si="10"/>
        <v>0.80743910742463065</v>
      </c>
      <c r="G35">
        <f t="shared" ca="1" si="7"/>
        <v>1</v>
      </c>
      <c r="H35">
        <f t="shared" ca="1" si="10"/>
        <v>0.41803061129778329</v>
      </c>
      <c r="I35">
        <f t="shared" ca="1" si="9"/>
        <v>0</v>
      </c>
      <c r="J35">
        <f t="shared" ca="1" si="10"/>
        <v>0.15199504640921557</v>
      </c>
      <c r="K35">
        <f t="shared" ca="1" si="8"/>
        <v>0</v>
      </c>
      <c r="L35">
        <f t="shared" ca="1" si="10"/>
        <v>0.34312044282203136</v>
      </c>
      <c r="M35">
        <f t="shared" ca="1" si="3"/>
        <v>0</v>
      </c>
      <c r="O35" s="21">
        <v>1.9235384061671343</v>
      </c>
    </row>
    <row r="36" spans="3:15" x14ac:dyDescent="0.25">
      <c r="C36" t="s">
        <v>181</v>
      </c>
      <c r="D36">
        <f ca="1">RAND()</f>
        <v>0.79778100439488731</v>
      </c>
      <c r="E36">
        <f t="shared" ref="E36:E51" ca="1" si="11">IF(D36&gt;0.5,1,0)</f>
        <v>1</v>
      </c>
      <c r="F36">
        <f t="shared" ca="1" si="10"/>
        <v>0.74417272290071956</v>
      </c>
      <c r="G36">
        <f t="shared" ref="G36:G51" ca="1" si="12">IF(F36&gt;0.5,1,0)</f>
        <v>1</v>
      </c>
      <c r="H36">
        <f ca="1">RAND()</f>
        <v>0.92943565158053609</v>
      </c>
      <c r="I36">
        <f ca="1">IF(H36&gt;0.5,1,0)</f>
        <v>1</v>
      </c>
      <c r="J36">
        <f t="shared" ca="1" si="10"/>
        <v>0.71189403926335448</v>
      </c>
      <c r="K36">
        <f t="shared" ref="K36:K51" ca="1" si="13">IF(J36&gt;0.5,1,0)</f>
        <v>1</v>
      </c>
      <c r="L36">
        <f t="shared" ca="1" si="10"/>
        <v>0.44481460634484971</v>
      </c>
      <c r="M36">
        <f t="shared" ca="1" si="3"/>
        <v>0</v>
      </c>
      <c r="O36" s="21">
        <v>5.3197744313081721</v>
      </c>
    </row>
    <row r="37" spans="3:15" x14ac:dyDescent="0.25">
      <c r="C37" t="s">
        <v>182</v>
      </c>
      <c r="D37">
        <f t="shared" ca="1" si="10"/>
        <v>0.58538861435740042</v>
      </c>
      <c r="E37">
        <f t="shared" ca="1" si="11"/>
        <v>1</v>
      </c>
      <c r="F37">
        <f t="shared" ca="1" si="10"/>
        <v>0.94127820284109875</v>
      </c>
      <c r="G37">
        <f t="shared" ca="1" si="12"/>
        <v>1</v>
      </c>
      <c r="H37">
        <f t="shared" ca="1" si="10"/>
        <v>0.46209879396386722</v>
      </c>
      <c r="I37">
        <f t="shared" ref="I37:I51" ca="1" si="14">IF(H37&gt;0.5,1,0)</f>
        <v>0</v>
      </c>
      <c r="J37">
        <f t="shared" ca="1" si="10"/>
        <v>0.6793145025820243</v>
      </c>
      <c r="K37">
        <f t="shared" ca="1" si="13"/>
        <v>1</v>
      </c>
      <c r="L37">
        <f t="shared" ca="1" si="10"/>
        <v>0.23182110817050439</v>
      </c>
      <c r="M37">
        <f t="shared" ca="1" si="3"/>
        <v>0</v>
      </c>
      <c r="O37" s="21">
        <v>2.5884358211089569</v>
      </c>
    </row>
    <row r="38" spans="3:15" x14ac:dyDescent="0.25">
      <c r="C38" t="s">
        <v>183</v>
      </c>
      <c r="D38">
        <f t="shared" ca="1" si="10"/>
        <v>0.4968690425765685</v>
      </c>
      <c r="E38">
        <f t="shared" ca="1" si="11"/>
        <v>0</v>
      </c>
      <c r="F38">
        <f t="shared" ca="1" si="10"/>
        <v>0.33574963473750985</v>
      </c>
      <c r="G38">
        <f t="shared" ca="1" si="12"/>
        <v>0</v>
      </c>
      <c r="H38">
        <f t="shared" ca="1" si="10"/>
        <v>5.3037464903392673E-3</v>
      </c>
      <c r="I38">
        <f t="shared" ca="1" si="14"/>
        <v>0</v>
      </c>
      <c r="J38">
        <f t="shared" ca="1" si="10"/>
        <v>0.28293956843671308</v>
      </c>
      <c r="K38">
        <f t="shared" ca="1" si="13"/>
        <v>0</v>
      </c>
      <c r="L38">
        <f t="shared" ca="1" si="10"/>
        <v>6.2597558274599452E-2</v>
      </c>
      <c r="M38">
        <f t="shared" ca="1" si="3"/>
        <v>0</v>
      </c>
      <c r="O38" s="21">
        <v>7.1063352017759476</v>
      </c>
    </row>
    <row r="39" spans="3:15" x14ac:dyDescent="0.25">
      <c r="C39" t="s">
        <v>184</v>
      </c>
      <c r="D39">
        <f t="shared" ref="D39:L55" ca="1" si="15">RAND()</f>
        <v>0.59253677971892549</v>
      </c>
      <c r="E39">
        <f t="shared" ca="1" si="11"/>
        <v>1</v>
      </c>
      <c r="F39">
        <f t="shared" ca="1" si="15"/>
        <v>0.67211321084203257</v>
      </c>
      <c r="G39">
        <f t="shared" ca="1" si="12"/>
        <v>1</v>
      </c>
      <c r="H39">
        <f t="shared" ca="1" si="15"/>
        <v>0.7798407635952056</v>
      </c>
      <c r="I39">
        <f t="shared" ca="1" si="14"/>
        <v>1</v>
      </c>
      <c r="J39">
        <f t="shared" ca="1" si="15"/>
        <v>0.15831257677919064</v>
      </c>
      <c r="K39">
        <f t="shared" ca="1" si="13"/>
        <v>0</v>
      </c>
      <c r="L39">
        <f t="shared" ca="1" si="15"/>
        <v>0.79417565261846301</v>
      </c>
      <c r="M39">
        <f t="shared" ca="1" si="3"/>
        <v>1</v>
      </c>
      <c r="O39" s="21">
        <v>3.6742346141747673</v>
      </c>
    </row>
    <row r="40" spans="3:15" x14ac:dyDescent="0.25">
      <c r="C40" t="s">
        <v>185</v>
      </c>
      <c r="D40">
        <f t="shared" ca="1" si="15"/>
        <v>0.94814128299946621</v>
      </c>
      <c r="E40">
        <f t="shared" ca="1" si="11"/>
        <v>1</v>
      </c>
      <c r="F40">
        <f t="shared" ca="1" si="15"/>
        <v>1.7848444522817419E-2</v>
      </c>
      <c r="G40">
        <f t="shared" ca="1" si="12"/>
        <v>0</v>
      </c>
      <c r="H40">
        <f t="shared" ca="1" si="15"/>
        <v>0.94740466528965006</v>
      </c>
      <c r="I40">
        <f t="shared" ca="1" si="14"/>
        <v>1</v>
      </c>
      <c r="J40">
        <f t="shared" ca="1" si="15"/>
        <v>0.82685620875888133</v>
      </c>
      <c r="K40">
        <f t="shared" ca="1" si="13"/>
        <v>1</v>
      </c>
      <c r="L40">
        <f t="shared" ca="1" si="15"/>
        <v>0.58857313507021358</v>
      </c>
      <c r="M40">
        <f t="shared" ca="1" si="3"/>
        <v>1</v>
      </c>
      <c r="O40" s="21">
        <v>4.3011626335213133</v>
      </c>
    </row>
    <row r="41" spans="3:15" x14ac:dyDescent="0.25">
      <c r="C41" t="s">
        <v>186</v>
      </c>
      <c r="D41">
        <f t="shared" ca="1" si="15"/>
        <v>0.71823179086746292</v>
      </c>
      <c r="E41">
        <f t="shared" ca="1" si="11"/>
        <v>1</v>
      </c>
      <c r="F41">
        <f t="shared" ca="1" si="15"/>
        <v>0.7355347185024802</v>
      </c>
      <c r="G41">
        <f t="shared" ca="1" si="12"/>
        <v>1</v>
      </c>
      <c r="H41">
        <f t="shared" ca="1" si="15"/>
        <v>7.7390285891339561E-2</v>
      </c>
      <c r="I41">
        <f t="shared" ca="1" si="14"/>
        <v>0</v>
      </c>
      <c r="J41">
        <f t="shared" ca="1" si="15"/>
        <v>0.2644865355757765</v>
      </c>
      <c r="K41">
        <f t="shared" ca="1" si="13"/>
        <v>0</v>
      </c>
      <c r="L41">
        <f t="shared" ca="1" si="15"/>
        <v>0.26802628240363902</v>
      </c>
      <c r="M41">
        <f t="shared" ca="1" si="3"/>
        <v>0</v>
      </c>
      <c r="O41" s="21">
        <v>6.0415229867972862</v>
      </c>
    </row>
    <row r="42" spans="3:15" x14ac:dyDescent="0.25">
      <c r="C42" t="s">
        <v>187</v>
      </c>
      <c r="D42">
        <f t="shared" ca="1" si="15"/>
        <v>0.52893955334207687</v>
      </c>
      <c r="E42">
        <f t="shared" ca="1" si="11"/>
        <v>1</v>
      </c>
      <c r="F42">
        <f t="shared" ca="1" si="15"/>
        <v>5.0192893019473939E-2</v>
      </c>
      <c r="G42">
        <f t="shared" ca="1" si="12"/>
        <v>0</v>
      </c>
      <c r="H42">
        <f t="shared" ca="1" si="15"/>
        <v>0.54603095232697874</v>
      </c>
      <c r="I42">
        <f t="shared" ca="1" si="14"/>
        <v>1</v>
      </c>
      <c r="J42">
        <f t="shared" ca="1" si="15"/>
        <v>0.65812986950855434</v>
      </c>
      <c r="K42">
        <f t="shared" ca="1" si="13"/>
        <v>1</v>
      </c>
      <c r="L42">
        <f t="shared" ca="1" si="15"/>
        <v>0.37310860787436551</v>
      </c>
      <c r="M42">
        <f t="shared" ca="1" si="3"/>
        <v>0</v>
      </c>
      <c r="O42" s="21">
        <v>6.3007936008093495</v>
      </c>
    </row>
    <row r="43" spans="3:15" x14ac:dyDescent="0.25">
      <c r="C43" t="s">
        <v>188</v>
      </c>
      <c r="D43">
        <f t="shared" ca="1" si="15"/>
        <v>0.31267346749150471</v>
      </c>
      <c r="E43">
        <f t="shared" ca="1" si="11"/>
        <v>0</v>
      </c>
      <c r="F43">
        <f t="shared" ca="1" si="15"/>
        <v>0.54411071909869324</v>
      </c>
      <c r="G43">
        <f t="shared" ca="1" si="12"/>
        <v>1</v>
      </c>
      <c r="H43">
        <f t="shared" ca="1" si="15"/>
        <v>0.34142014923991315</v>
      </c>
      <c r="I43">
        <f t="shared" ca="1" si="14"/>
        <v>0</v>
      </c>
      <c r="J43">
        <f t="shared" ca="1" si="15"/>
        <v>0.70262416091444213</v>
      </c>
      <c r="K43">
        <f t="shared" ca="1" si="13"/>
        <v>1</v>
      </c>
      <c r="L43">
        <f t="shared" ca="1" si="15"/>
        <v>0.20179341283501062</v>
      </c>
      <c r="M43">
        <f t="shared" ca="1" si="3"/>
        <v>0</v>
      </c>
      <c r="O43" s="21">
        <v>3.8470768123342691</v>
      </c>
    </row>
    <row r="44" spans="3:15" x14ac:dyDescent="0.25">
      <c r="C44" t="s">
        <v>189</v>
      </c>
      <c r="D44">
        <f t="shared" ca="1" si="15"/>
        <v>0.72954895628549077</v>
      </c>
      <c r="E44">
        <f t="shared" ca="1" si="11"/>
        <v>1</v>
      </c>
      <c r="F44">
        <f t="shared" ca="1" si="15"/>
        <v>0.69594900143241645</v>
      </c>
      <c r="G44">
        <f t="shared" ca="1" si="12"/>
        <v>1</v>
      </c>
      <c r="H44">
        <f t="shared" ca="1" si="15"/>
        <v>0.48393188376636964</v>
      </c>
      <c r="I44">
        <f t="shared" ca="1" si="14"/>
        <v>0</v>
      </c>
      <c r="J44">
        <f t="shared" ca="1" si="15"/>
        <v>0.19590783671226708</v>
      </c>
      <c r="K44">
        <f t="shared" ca="1" si="13"/>
        <v>0</v>
      </c>
      <c r="L44">
        <f t="shared" ca="1" si="15"/>
        <v>0.17437876896428783</v>
      </c>
      <c r="M44">
        <f t="shared" ca="1" si="3"/>
        <v>0</v>
      </c>
      <c r="O44" s="21">
        <v>7.2663608498339922</v>
      </c>
    </row>
    <row r="45" spans="3:15" x14ac:dyDescent="0.25">
      <c r="C45" t="s">
        <v>190</v>
      </c>
      <c r="D45">
        <f t="shared" ca="1" si="15"/>
        <v>0.92801125770175608</v>
      </c>
      <c r="E45">
        <f t="shared" ca="1" si="11"/>
        <v>1</v>
      </c>
      <c r="F45">
        <f t="shared" ca="1" si="15"/>
        <v>0.10681016240716157</v>
      </c>
      <c r="G45">
        <f t="shared" ca="1" si="12"/>
        <v>0</v>
      </c>
      <c r="H45">
        <f t="shared" ca="1" si="15"/>
        <v>0.82137319742752424</v>
      </c>
      <c r="I45">
        <f t="shared" ca="1" si="14"/>
        <v>1</v>
      </c>
      <c r="J45">
        <f t="shared" ca="1" si="15"/>
        <v>0.5894639823166673</v>
      </c>
      <c r="K45">
        <f t="shared" ca="1" si="13"/>
        <v>1</v>
      </c>
      <c r="L45">
        <f t="shared" ca="1" si="15"/>
        <v>0.33040100783022153</v>
      </c>
      <c r="M45">
        <f t="shared" ca="1" si="3"/>
        <v>0</v>
      </c>
      <c r="O45" s="21">
        <v>1.8708286933869707</v>
      </c>
    </row>
    <row r="46" spans="3:15" x14ac:dyDescent="0.25">
      <c r="C46" t="s">
        <v>191</v>
      </c>
      <c r="D46">
        <f t="shared" ca="1" si="15"/>
        <v>7.8000798597810617E-2</v>
      </c>
      <c r="E46">
        <f t="shared" ca="1" si="11"/>
        <v>0</v>
      </c>
      <c r="F46">
        <f t="shared" ca="1" si="15"/>
        <v>0.24680498110366977</v>
      </c>
      <c r="G46">
        <f t="shared" ca="1" si="12"/>
        <v>0</v>
      </c>
      <c r="H46">
        <f t="shared" ca="1" si="15"/>
        <v>0.55188574031757198</v>
      </c>
      <c r="I46">
        <f t="shared" ca="1" si="14"/>
        <v>1</v>
      </c>
      <c r="J46">
        <f t="shared" ca="1" si="15"/>
        <v>0.72929605761667349</v>
      </c>
      <c r="K46">
        <f t="shared" ca="1" si="13"/>
        <v>1</v>
      </c>
      <c r="L46">
        <f t="shared" ca="1" si="15"/>
        <v>0.21623593606459213</v>
      </c>
      <c r="M46">
        <f t="shared" ca="1" si="3"/>
        <v>0</v>
      </c>
      <c r="O46" s="21">
        <v>3.5637059362410923</v>
      </c>
    </row>
    <row r="47" spans="3:15" x14ac:dyDescent="0.25">
      <c r="C47" t="s">
        <v>192</v>
      </c>
      <c r="D47">
        <f t="shared" ca="1" si="15"/>
        <v>0.65110745685041038</v>
      </c>
      <c r="E47">
        <f t="shared" ca="1" si="11"/>
        <v>1</v>
      </c>
      <c r="F47">
        <f t="shared" ca="1" si="15"/>
        <v>0.41915056058231182</v>
      </c>
      <c r="G47">
        <f t="shared" ca="1" si="12"/>
        <v>0</v>
      </c>
      <c r="H47">
        <f t="shared" ca="1" si="15"/>
        <v>6.944422454996646E-2</v>
      </c>
      <c r="I47">
        <f t="shared" ca="1" si="14"/>
        <v>0</v>
      </c>
      <c r="J47">
        <f t="shared" ca="1" si="15"/>
        <v>0.96446320000176788</v>
      </c>
      <c r="K47">
        <f t="shared" ca="1" si="13"/>
        <v>1</v>
      </c>
      <c r="L47">
        <f t="shared" ca="1" si="15"/>
        <v>0.51911109342483341</v>
      </c>
      <c r="M47">
        <f t="shared" ca="1" si="3"/>
        <v>1</v>
      </c>
      <c r="O47" s="21">
        <v>1.8165902124584949</v>
      </c>
    </row>
    <row r="48" spans="3:15" x14ac:dyDescent="0.25">
      <c r="C48" t="s">
        <v>193</v>
      </c>
      <c r="D48">
        <f t="shared" ca="1" si="15"/>
        <v>0.87445991304662318</v>
      </c>
      <c r="E48">
        <f t="shared" ca="1" si="11"/>
        <v>1</v>
      </c>
      <c r="F48">
        <f t="shared" ca="1" si="15"/>
        <v>0.91740215266344871</v>
      </c>
      <c r="G48">
        <f t="shared" ca="1" si="12"/>
        <v>1</v>
      </c>
      <c r="H48">
        <f t="shared" ca="1" si="15"/>
        <v>0.68524123730258024</v>
      </c>
      <c r="I48">
        <f t="shared" ca="1" si="14"/>
        <v>1</v>
      </c>
      <c r="J48">
        <f t="shared" ca="1" si="15"/>
        <v>0.53144584590892674</v>
      </c>
      <c r="K48">
        <f t="shared" ca="1" si="13"/>
        <v>1</v>
      </c>
      <c r="L48">
        <f t="shared" ca="1" si="15"/>
        <v>0.68286455128710277</v>
      </c>
      <c r="M48">
        <f t="shared" ca="1" si="3"/>
        <v>1</v>
      </c>
      <c r="O48" s="21">
        <v>3.8470768123342691</v>
      </c>
    </row>
    <row r="49" spans="3:15" x14ac:dyDescent="0.25">
      <c r="C49" t="s">
        <v>194</v>
      </c>
      <c r="D49">
        <f t="shared" ca="1" si="15"/>
        <v>0.2793633928732947</v>
      </c>
      <c r="E49">
        <f t="shared" ca="1" si="11"/>
        <v>0</v>
      </c>
      <c r="F49">
        <f t="shared" ca="1" si="15"/>
        <v>7.1446850214690105E-2</v>
      </c>
      <c r="G49">
        <f t="shared" ca="1" si="12"/>
        <v>0</v>
      </c>
      <c r="H49">
        <f t="shared" ca="1" si="15"/>
        <v>0.99218479401268489</v>
      </c>
      <c r="I49">
        <f t="shared" ca="1" si="14"/>
        <v>1</v>
      </c>
      <c r="J49">
        <f t="shared" ca="1" si="15"/>
        <v>0.94149382783603297</v>
      </c>
      <c r="K49">
        <f t="shared" ca="1" si="13"/>
        <v>1</v>
      </c>
      <c r="L49">
        <f t="shared" ca="1" si="15"/>
        <v>0.81358719531539381</v>
      </c>
      <c r="M49">
        <f t="shared" ca="1" si="3"/>
        <v>1</v>
      </c>
      <c r="O49" s="21">
        <v>4.3243496620879309</v>
      </c>
    </row>
    <row r="50" spans="3:15" x14ac:dyDescent="0.25">
      <c r="C50" t="s">
        <v>195</v>
      </c>
      <c r="D50">
        <f t="shared" ca="1" si="15"/>
        <v>0.14602459295377623</v>
      </c>
      <c r="E50">
        <f t="shared" ca="1" si="11"/>
        <v>0</v>
      </c>
      <c r="F50">
        <f t="shared" ca="1" si="15"/>
        <v>9.0232514359882443E-2</v>
      </c>
      <c r="G50">
        <f t="shared" ca="1" si="12"/>
        <v>0</v>
      </c>
      <c r="H50">
        <f t="shared" ca="1" si="15"/>
        <v>0.10556160485159638</v>
      </c>
      <c r="I50">
        <f t="shared" ca="1" si="14"/>
        <v>0</v>
      </c>
      <c r="J50">
        <f t="shared" ca="1" si="15"/>
        <v>0.48155440307764019</v>
      </c>
      <c r="K50">
        <f t="shared" ca="1" si="13"/>
        <v>0</v>
      </c>
      <c r="L50">
        <f t="shared" ca="1" si="15"/>
        <v>0.90074945149678365</v>
      </c>
      <c r="M50">
        <f t="shared" ca="1" si="3"/>
        <v>1</v>
      </c>
      <c r="O50" s="21">
        <v>8.0932070281193234</v>
      </c>
    </row>
    <row r="51" spans="3:15" x14ac:dyDescent="0.25">
      <c r="C51" t="s">
        <v>196</v>
      </c>
      <c r="D51">
        <f t="shared" ca="1" si="15"/>
        <v>1.380287719005413E-2</v>
      </c>
      <c r="E51">
        <f t="shared" ca="1" si="11"/>
        <v>0</v>
      </c>
      <c r="F51">
        <f t="shared" ca="1" si="15"/>
        <v>0.85704929972936383</v>
      </c>
      <c r="G51">
        <f t="shared" ca="1" si="12"/>
        <v>1</v>
      </c>
      <c r="H51">
        <f t="shared" ca="1" si="15"/>
        <v>0.57618647498790532</v>
      </c>
      <c r="I51">
        <f t="shared" ca="1" si="14"/>
        <v>1</v>
      </c>
      <c r="J51">
        <f t="shared" ca="1" si="15"/>
        <v>0.45972152501437091</v>
      </c>
      <c r="K51">
        <f t="shared" ca="1" si="13"/>
        <v>0</v>
      </c>
      <c r="L51">
        <f t="shared" ca="1" si="15"/>
        <v>0.64214540354626903</v>
      </c>
      <c r="M51">
        <f t="shared" ca="1" si="3"/>
        <v>1</v>
      </c>
      <c r="O51" s="21">
        <v>5.1768716422179315</v>
      </c>
    </row>
    <row r="52" spans="3:15" x14ac:dyDescent="0.25">
      <c r="C52" t="s">
        <v>197</v>
      </c>
      <c r="D52">
        <f ca="1">RAND()</f>
        <v>0.69967352601135546</v>
      </c>
      <c r="E52">
        <f t="shared" ref="E52:E83" ca="1" si="16">IF(D52&gt;0.5,1,0)</f>
        <v>1</v>
      </c>
      <c r="F52">
        <f t="shared" ca="1" si="15"/>
        <v>0.49982940280743826</v>
      </c>
      <c r="G52">
        <f t="shared" ref="G52:G83" ca="1" si="17">IF(F52&gt;0.5,1,0)</f>
        <v>0</v>
      </c>
      <c r="H52">
        <f ca="1">RAND()</f>
        <v>0.50355340491436495</v>
      </c>
      <c r="I52">
        <f ca="1">IF(H52&gt;0.5,1,0)</f>
        <v>1</v>
      </c>
      <c r="J52">
        <f t="shared" ca="1" si="15"/>
        <v>0.67024295880700113</v>
      </c>
      <c r="K52">
        <f t="shared" ref="K52:K83" ca="1" si="18">IF(J52&gt;0.5,1,0)</f>
        <v>1</v>
      </c>
      <c r="L52">
        <f t="shared" ca="1" si="15"/>
        <v>0.93226699261033252</v>
      </c>
      <c r="M52">
        <f t="shared" ca="1" si="3"/>
        <v>1</v>
      </c>
      <c r="O52" s="21">
        <v>3.1622776601683795</v>
      </c>
    </row>
    <row r="53" spans="3:15" x14ac:dyDescent="0.25">
      <c r="C53" t="s">
        <v>198</v>
      </c>
      <c r="D53">
        <f t="shared" ca="1" si="15"/>
        <v>0.23532304299017748</v>
      </c>
      <c r="E53">
        <f t="shared" ca="1" si="16"/>
        <v>0</v>
      </c>
      <c r="F53">
        <f t="shared" ca="1" si="15"/>
        <v>0.38680056150445363</v>
      </c>
      <c r="G53">
        <f t="shared" ca="1" si="17"/>
        <v>0</v>
      </c>
      <c r="H53">
        <f t="shared" ca="1" si="15"/>
        <v>0.51140645429772869</v>
      </c>
      <c r="I53">
        <f t="shared" ref="I53:I67" ca="1" si="19">IF(H53&gt;0.5,1,0)</f>
        <v>1</v>
      </c>
      <c r="J53">
        <f t="shared" ca="1" si="15"/>
        <v>0.56610355803569135</v>
      </c>
      <c r="K53">
        <f t="shared" ca="1" si="18"/>
        <v>1</v>
      </c>
      <c r="L53">
        <f t="shared" ca="1" si="15"/>
        <v>0.58145230956546035</v>
      </c>
      <c r="M53">
        <f t="shared" ca="1" si="3"/>
        <v>1</v>
      </c>
      <c r="O53" s="21">
        <v>2.7386127875258306</v>
      </c>
    </row>
    <row r="54" spans="3:15" x14ac:dyDescent="0.25">
      <c r="C54" t="s">
        <v>199</v>
      </c>
      <c r="D54">
        <f t="shared" ca="1" si="15"/>
        <v>0.99886874609620735</v>
      </c>
      <c r="E54">
        <f t="shared" ca="1" si="16"/>
        <v>1</v>
      </c>
      <c r="F54">
        <f t="shared" ca="1" si="15"/>
        <v>0.70762778779556823</v>
      </c>
      <c r="G54">
        <f t="shared" ca="1" si="17"/>
        <v>1</v>
      </c>
      <c r="H54">
        <f t="shared" ca="1" si="15"/>
        <v>0.4192727986922431</v>
      </c>
      <c r="I54">
        <f t="shared" ca="1" si="19"/>
        <v>0</v>
      </c>
      <c r="J54">
        <f t="shared" ca="1" si="15"/>
        <v>0.35559953658146459</v>
      </c>
      <c r="K54">
        <f t="shared" ca="1" si="18"/>
        <v>0</v>
      </c>
      <c r="L54">
        <f t="shared" ca="1" si="15"/>
        <v>0.75352264939073044</v>
      </c>
      <c r="M54">
        <f t="shared" ca="1" si="3"/>
        <v>1</v>
      </c>
      <c r="O54" s="21">
        <v>4.1472882706655447</v>
      </c>
    </row>
    <row r="55" spans="3:15" x14ac:dyDescent="0.25">
      <c r="C55" t="s">
        <v>200</v>
      </c>
      <c r="D55">
        <f t="shared" ca="1" si="15"/>
        <v>0.77892562366132501</v>
      </c>
      <c r="E55">
        <f t="shared" ca="1" si="16"/>
        <v>1</v>
      </c>
      <c r="F55">
        <f t="shared" ca="1" si="15"/>
        <v>0.19536630036756797</v>
      </c>
      <c r="G55">
        <f t="shared" ca="1" si="17"/>
        <v>0</v>
      </c>
      <c r="H55">
        <f t="shared" ca="1" si="15"/>
        <v>0.49743170298946104</v>
      </c>
      <c r="I55">
        <f t="shared" ca="1" si="19"/>
        <v>0</v>
      </c>
      <c r="J55">
        <f t="shared" ca="1" si="15"/>
        <v>0.58949493831931432</v>
      </c>
      <c r="K55">
        <f t="shared" ca="1" si="18"/>
        <v>1</v>
      </c>
      <c r="L55">
        <f t="shared" ca="1" si="15"/>
        <v>0.47874696550808382</v>
      </c>
      <c r="M55">
        <f t="shared" ca="1" si="3"/>
        <v>0</v>
      </c>
      <c r="O55" s="21">
        <v>5.5946402922797622</v>
      </c>
    </row>
    <row r="56" spans="3:15" x14ac:dyDescent="0.25">
      <c r="C56" t="s">
        <v>201</v>
      </c>
      <c r="D56">
        <f t="shared" ref="D56:L71" ca="1" si="20">RAND()</f>
        <v>0.97603044425753305</v>
      </c>
      <c r="E56">
        <f t="shared" ca="1" si="16"/>
        <v>1</v>
      </c>
      <c r="F56">
        <f t="shared" ca="1" si="20"/>
        <v>0.64534312881949196</v>
      </c>
      <c r="G56">
        <f t="shared" ca="1" si="17"/>
        <v>1</v>
      </c>
      <c r="H56">
        <f t="shared" ca="1" si="20"/>
        <v>0.84298457912509073</v>
      </c>
      <c r="I56">
        <f t="shared" ca="1" si="19"/>
        <v>1</v>
      </c>
      <c r="J56">
        <f t="shared" ca="1" si="20"/>
        <v>0.12316607955639236</v>
      </c>
      <c r="K56">
        <f t="shared" ca="1" si="18"/>
        <v>0</v>
      </c>
      <c r="L56">
        <f t="shared" ca="1" si="20"/>
        <v>0.92099058915959453</v>
      </c>
      <c r="M56">
        <f t="shared" ca="1" si="3"/>
        <v>1</v>
      </c>
      <c r="O56" s="21">
        <v>4.6043457732885402</v>
      </c>
    </row>
    <row r="57" spans="3:15" x14ac:dyDescent="0.25">
      <c r="C57" t="s">
        <v>202</v>
      </c>
      <c r="D57">
        <f t="shared" ca="1" si="20"/>
        <v>0.5588892640113875</v>
      </c>
      <c r="E57">
        <f t="shared" ca="1" si="16"/>
        <v>1</v>
      </c>
      <c r="F57">
        <f t="shared" ca="1" si="20"/>
        <v>0.9205439132022446</v>
      </c>
      <c r="G57">
        <f t="shared" ca="1" si="17"/>
        <v>1</v>
      </c>
      <c r="H57">
        <f t="shared" ca="1" si="20"/>
        <v>0.53073123430386737</v>
      </c>
      <c r="I57">
        <f t="shared" ca="1" si="19"/>
        <v>1</v>
      </c>
      <c r="J57">
        <f t="shared" ca="1" si="20"/>
        <v>0.5988249649499896</v>
      </c>
      <c r="K57">
        <f t="shared" ca="1" si="18"/>
        <v>1</v>
      </c>
      <c r="L57">
        <f t="shared" ca="1" si="20"/>
        <v>0.84780642905489978</v>
      </c>
      <c r="M57">
        <f t="shared" ca="1" si="3"/>
        <v>1</v>
      </c>
      <c r="O57" s="21">
        <v>3.5071355833500366</v>
      </c>
    </row>
    <row r="58" spans="3:15" x14ac:dyDescent="0.25">
      <c r="C58" t="s">
        <v>203</v>
      </c>
      <c r="D58">
        <f t="shared" ca="1" si="20"/>
        <v>0.53045790490337419</v>
      </c>
      <c r="E58">
        <f t="shared" ca="1" si="16"/>
        <v>1</v>
      </c>
      <c r="F58">
        <f t="shared" ca="1" si="20"/>
        <v>0.95246913353005824</v>
      </c>
      <c r="G58">
        <f t="shared" ca="1" si="17"/>
        <v>1</v>
      </c>
      <c r="H58">
        <f t="shared" ca="1" si="20"/>
        <v>9.5134912915808889E-2</v>
      </c>
      <c r="I58">
        <f t="shared" ca="1" si="19"/>
        <v>0</v>
      </c>
      <c r="J58">
        <f t="shared" ca="1" si="20"/>
        <v>0.99010699883583886</v>
      </c>
      <c r="K58">
        <f t="shared" ca="1" si="18"/>
        <v>1</v>
      </c>
      <c r="L58">
        <f t="shared" ca="1" si="20"/>
        <v>0.42007232024665775</v>
      </c>
      <c r="M58">
        <f t="shared" ca="1" si="3"/>
        <v>0</v>
      </c>
      <c r="O58" s="21">
        <v>5.2725705305856438</v>
      </c>
    </row>
    <row r="59" spans="3:15" x14ac:dyDescent="0.25">
      <c r="C59" t="s">
        <v>204</v>
      </c>
      <c r="D59">
        <f t="shared" ca="1" si="20"/>
        <v>0.10923250942620688</v>
      </c>
      <c r="E59">
        <f t="shared" ca="1" si="16"/>
        <v>0</v>
      </c>
      <c r="F59">
        <f t="shared" ca="1" si="20"/>
        <v>0.69225923638401987</v>
      </c>
      <c r="G59">
        <f t="shared" ca="1" si="17"/>
        <v>1</v>
      </c>
      <c r="H59">
        <f t="shared" ca="1" si="20"/>
        <v>0.53002347859168109</v>
      </c>
      <c r="I59">
        <f t="shared" ca="1" si="19"/>
        <v>1</v>
      </c>
      <c r="J59">
        <f t="shared" ca="1" si="20"/>
        <v>0.62444338191966131</v>
      </c>
      <c r="K59">
        <f t="shared" ca="1" si="18"/>
        <v>1</v>
      </c>
      <c r="L59">
        <f t="shared" ca="1" si="20"/>
        <v>0.97446178718584975</v>
      </c>
      <c r="M59">
        <f t="shared" ca="1" si="3"/>
        <v>1</v>
      </c>
      <c r="O59" s="21">
        <v>4.8476798574163293</v>
      </c>
    </row>
    <row r="60" spans="3:15" x14ac:dyDescent="0.25">
      <c r="C60" t="s">
        <v>205</v>
      </c>
      <c r="D60">
        <f t="shared" ca="1" si="20"/>
        <v>0.66179362124394703</v>
      </c>
      <c r="E60">
        <f t="shared" ca="1" si="16"/>
        <v>1</v>
      </c>
      <c r="F60">
        <f t="shared" ca="1" si="20"/>
        <v>0.51653663948120543</v>
      </c>
      <c r="G60">
        <f t="shared" ca="1" si="17"/>
        <v>1</v>
      </c>
      <c r="H60">
        <f t="shared" ca="1" si="20"/>
        <v>0.78604906013743248</v>
      </c>
      <c r="I60">
        <f t="shared" ca="1" si="19"/>
        <v>1</v>
      </c>
      <c r="J60">
        <f t="shared" ca="1" si="20"/>
        <v>0.61204305738498177</v>
      </c>
      <c r="K60">
        <f t="shared" ca="1" si="18"/>
        <v>1</v>
      </c>
      <c r="L60">
        <f t="shared" ca="1" si="20"/>
        <v>0.6785062491022501</v>
      </c>
      <c r="M60">
        <f t="shared" ca="1" si="3"/>
        <v>1</v>
      </c>
      <c r="O60" s="21">
        <v>5.3572380943915325</v>
      </c>
    </row>
    <row r="61" spans="3:15" x14ac:dyDescent="0.25">
      <c r="C61" t="s">
        <v>206</v>
      </c>
      <c r="D61">
        <f t="shared" ca="1" si="20"/>
        <v>0.21947664596720817</v>
      </c>
      <c r="E61">
        <f t="shared" ca="1" si="16"/>
        <v>0</v>
      </c>
      <c r="F61">
        <f t="shared" ca="1" si="20"/>
        <v>4.3477318042956514E-2</v>
      </c>
      <c r="G61">
        <f t="shared" ca="1" si="17"/>
        <v>0</v>
      </c>
      <c r="H61">
        <f t="shared" ca="1" si="20"/>
        <v>0.43808210028842254</v>
      </c>
      <c r="I61">
        <f t="shared" ca="1" si="19"/>
        <v>0</v>
      </c>
      <c r="J61">
        <f t="shared" ca="1" si="20"/>
        <v>0.49388140665508262</v>
      </c>
      <c r="K61">
        <f t="shared" ca="1" si="18"/>
        <v>0</v>
      </c>
      <c r="L61">
        <f t="shared" ca="1" si="20"/>
        <v>0.65404420917769657</v>
      </c>
      <c r="M61">
        <f t="shared" ca="1" si="3"/>
        <v>1</v>
      </c>
      <c r="O61" s="21">
        <v>4.9799598391955113</v>
      </c>
    </row>
    <row r="62" spans="3:15" x14ac:dyDescent="0.25">
      <c r="C62" t="s">
        <v>207</v>
      </c>
      <c r="D62">
        <f t="shared" ca="1" si="20"/>
        <v>0.24468813344012008</v>
      </c>
      <c r="E62">
        <f t="shared" ca="1" si="16"/>
        <v>0</v>
      </c>
      <c r="F62">
        <f t="shared" ca="1" si="20"/>
        <v>0.66372976226755254</v>
      </c>
      <c r="G62">
        <f t="shared" ca="1" si="17"/>
        <v>1</v>
      </c>
      <c r="H62">
        <f t="shared" ca="1" si="20"/>
        <v>0.4083830200142603</v>
      </c>
      <c r="I62">
        <f t="shared" ca="1" si="19"/>
        <v>0</v>
      </c>
      <c r="J62">
        <f t="shared" ca="1" si="20"/>
        <v>0.97094544584473708</v>
      </c>
      <c r="K62">
        <f t="shared" ca="1" si="18"/>
        <v>1</v>
      </c>
      <c r="L62">
        <f t="shared" ca="1" si="20"/>
        <v>0.9745093636819222</v>
      </c>
      <c r="M62">
        <f t="shared" ca="1" si="3"/>
        <v>1</v>
      </c>
      <c r="O62" s="21">
        <v>4.6043457732885358</v>
      </c>
    </row>
    <row r="63" spans="3:15" x14ac:dyDescent="0.25">
      <c r="C63" t="s">
        <v>208</v>
      </c>
      <c r="D63">
        <f t="shared" ca="1" si="20"/>
        <v>0.59599409522667024</v>
      </c>
      <c r="E63">
        <f t="shared" ca="1" si="16"/>
        <v>1</v>
      </c>
      <c r="F63">
        <f t="shared" ca="1" si="20"/>
        <v>0.17684193718472152</v>
      </c>
      <c r="G63">
        <f t="shared" ca="1" si="17"/>
        <v>0</v>
      </c>
      <c r="H63">
        <f t="shared" ca="1" si="20"/>
        <v>0.7986482437941812</v>
      </c>
      <c r="I63">
        <f t="shared" ca="1" si="19"/>
        <v>1</v>
      </c>
      <c r="J63">
        <f t="shared" ca="1" si="20"/>
        <v>0.9707767948625573</v>
      </c>
      <c r="K63">
        <f t="shared" ca="1" si="18"/>
        <v>1</v>
      </c>
      <c r="L63">
        <f t="shared" ca="1" si="20"/>
        <v>0.86962933619144167</v>
      </c>
      <c r="M63">
        <f t="shared" ca="1" si="3"/>
        <v>1</v>
      </c>
      <c r="O63" s="21">
        <v>3.3911649915626341</v>
      </c>
    </row>
    <row r="64" spans="3:15" x14ac:dyDescent="0.25">
      <c r="C64" t="s">
        <v>209</v>
      </c>
      <c r="D64">
        <f t="shared" ca="1" si="20"/>
        <v>0.87199300745242081</v>
      </c>
      <c r="E64">
        <f t="shared" ca="1" si="16"/>
        <v>1</v>
      </c>
      <c r="F64">
        <f t="shared" ca="1" si="20"/>
        <v>0.87382309281793935</v>
      </c>
      <c r="G64">
        <f t="shared" ca="1" si="17"/>
        <v>1</v>
      </c>
      <c r="H64">
        <f t="shared" ca="1" si="20"/>
        <v>0.74023961645630698</v>
      </c>
      <c r="I64">
        <f t="shared" ca="1" si="19"/>
        <v>1</v>
      </c>
      <c r="J64">
        <f t="shared" ca="1" si="20"/>
        <v>6.3527433473672179E-2</v>
      </c>
      <c r="K64">
        <f t="shared" ca="1" si="18"/>
        <v>0</v>
      </c>
      <c r="L64">
        <f t="shared" ca="1" si="20"/>
        <v>0.72382682524536734</v>
      </c>
      <c r="M64">
        <f t="shared" ca="1" si="3"/>
        <v>1</v>
      </c>
      <c r="O64" s="21">
        <v>2.7386127875258306</v>
      </c>
    </row>
    <row r="65" spans="3:15" x14ac:dyDescent="0.25">
      <c r="C65" t="s">
        <v>210</v>
      </c>
      <c r="D65">
        <f t="shared" ca="1" si="20"/>
        <v>0.94081660896447172</v>
      </c>
      <c r="E65">
        <f t="shared" ca="1" si="16"/>
        <v>1</v>
      </c>
      <c r="F65">
        <f t="shared" ca="1" si="20"/>
        <v>0.99812695824906983</v>
      </c>
      <c r="G65">
        <f t="shared" ca="1" si="17"/>
        <v>1</v>
      </c>
      <c r="H65">
        <f t="shared" ca="1" si="20"/>
        <v>0.61000931657773427</v>
      </c>
      <c r="I65">
        <f t="shared" ca="1" si="19"/>
        <v>1</v>
      </c>
      <c r="J65">
        <f t="shared" ca="1" si="20"/>
        <v>0.91163761799378973</v>
      </c>
      <c r="K65">
        <f t="shared" ca="1" si="18"/>
        <v>1</v>
      </c>
      <c r="L65">
        <f t="shared" ca="1" si="20"/>
        <v>0.57764160918351726</v>
      </c>
      <c r="M65">
        <f t="shared" ca="1" si="3"/>
        <v>1</v>
      </c>
      <c r="O65" s="21">
        <v>3.1304951684997055</v>
      </c>
    </row>
    <row r="66" spans="3:15" x14ac:dyDescent="0.25">
      <c r="C66" t="s">
        <v>211</v>
      </c>
      <c r="D66">
        <f t="shared" ca="1" si="20"/>
        <v>0.26583771076722029</v>
      </c>
      <c r="E66">
        <f t="shared" ca="1" si="16"/>
        <v>0</v>
      </c>
      <c r="F66">
        <f t="shared" ca="1" si="20"/>
        <v>0.8717355594430205</v>
      </c>
      <c r="G66">
        <f t="shared" ca="1" si="17"/>
        <v>1</v>
      </c>
      <c r="H66">
        <f t="shared" ca="1" si="20"/>
        <v>0.68086321248880077</v>
      </c>
      <c r="I66">
        <f t="shared" ca="1" si="19"/>
        <v>1</v>
      </c>
      <c r="J66">
        <f t="shared" ca="1" si="20"/>
        <v>7.693536164279946E-2</v>
      </c>
      <c r="K66">
        <f t="shared" ca="1" si="18"/>
        <v>0</v>
      </c>
      <c r="L66">
        <f t="shared" ca="1" si="20"/>
        <v>5.8775885756078283E-3</v>
      </c>
      <c r="M66">
        <f t="shared" ca="1" si="3"/>
        <v>0</v>
      </c>
      <c r="O66" s="21">
        <v>3.03315017762062</v>
      </c>
    </row>
    <row r="67" spans="3:15" x14ac:dyDescent="0.25">
      <c r="C67" t="s">
        <v>212</v>
      </c>
      <c r="D67">
        <f t="shared" ca="1" si="20"/>
        <v>0.31262139248977538</v>
      </c>
      <c r="E67">
        <f t="shared" ca="1" si="16"/>
        <v>0</v>
      </c>
      <c r="F67">
        <f t="shared" ca="1" si="20"/>
        <v>0.27054592401993116</v>
      </c>
      <c r="G67">
        <f t="shared" ca="1" si="17"/>
        <v>0</v>
      </c>
      <c r="H67">
        <f t="shared" ca="1" si="20"/>
        <v>0.32116026987627078</v>
      </c>
      <c r="I67">
        <f t="shared" ca="1" si="19"/>
        <v>0</v>
      </c>
      <c r="J67">
        <f t="shared" ca="1" si="20"/>
        <v>0.46093135494573079</v>
      </c>
      <c r="K67">
        <f t="shared" ca="1" si="18"/>
        <v>0</v>
      </c>
      <c r="L67">
        <f t="shared" ca="1" si="20"/>
        <v>0.77838590073295744</v>
      </c>
      <c r="M67">
        <f t="shared" ca="1" si="3"/>
        <v>1</v>
      </c>
      <c r="O67" s="21">
        <v>3.6742346141747673</v>
      </c>
    </row>
    <row r="68" spans="3:15" x14ac:dyDescent="0.25">
      <c r="C68" t="s">
        <v>213</v>
      </c>
      <c r="D68">
        <f ca="1">RAND()</f>
        <v>3.2125441480148176E-2</v>
      </c>
      <c r="E68">
        <f t="shared" ca="1" si="16"/>
        <v>0</v>
      </c>
      <c r="F68">
        <f t="shared" ca="1" si="20"/>
        <v>2.1577031553491777E-2</v>
      </c>
      <c r="G68">
        <f t="shared" ca="1" si="17"/>
        <v>0</v>
      </c>
      <c r="H68">
        <f ca="1">RAND()</f>
        <v>0.42338414269929991</v>
      </c>
      <c r="I68">
        <f ca="1">IF(H68&gt;0.5,1,0)</f>
        <v>0</v>
      </c>
      <c r="J68">
        <f t="shared" ca="1" si="20"/>
        <v>0.99060189483963912</v>
      </c>
      <c r="K68">
        <f t="shared" ca="1" si="18"/>
        <v>1</v>
      </c>
      <c r="L68">
        <f t="shared" ca="1" si="20"/>
        <v>0.71653526295914161</v>
      </c>
      <c r="M68">
        <f t="shared" ref="M68:M85" ca="1" si="21">IF(L68&gt;0.5,1,0)</f>
        <v>1</v>
      </c>
      <c r="O68" s="21">
        <v>3.6742346141747673</v>
      </c>
    </row>
    <row r="69" spans="3:15" x14ac:dyDescent="0.25">
      <c r="C69" t="s">
        <v>214</v>
      </c>
      <c r="D69">
        <f t="shared" ca="1" si="20"/>
        <v>0.81867645585497884</v>
      </c>
      <c r="E69">
        <f t="shared" ca="1" si="16"/>
        <v>1</v>
      </c>
      <c r="F69">
        <f t="shared" ca="1" si="20"/>
        <v>0.39062077030120268</v>
      </c>
      <c r="G69">
        <f t="shared" ca="1" si="17"/>
        <v>0</v>
      </c>
      <c r="H69">
        <f t="shared" ca="1" si="20"/>
        <v>0.30607772094927177</v>
      </c>
      <c r="I69">
        <f t="shared" ref="I69:I83" ca="1" si="22">IF(H69&gt;0.5,1,0)</f>
        <v>0</v>
      </c>
      <c r="J69">
        <f t="shared" ca="1" si="20"/>
        <v>0.98679664522640465</v>
      </c>
      <c r="K69">
        <f t="shared" ca="1" si="18"/>
        <v>1</v>
      </c>
      <c r="L69">
        <f t="shared" ca="1" si="20"/>
        <v>0.82039346999044216</v>
      </c>
      <c r="M69">
        <f t="shared" ca="1" si="21"/>
        <v>1</v>
      </c>
      <c r="O69" s="21">
        <v>4</v>
      </c>
    </row>
    <row r="70" spans="3:15" x14ac:dyDescent="0.25">
      <c r="C70" t="s">
        <v>215</v>
      </c>
      <c r="D70">
        <f t="shared" ca="1" si="20"/>
        <v>0.22186453866062572</v>
      </c>
      <c r="E70">
        <f t="shared" ca="1" si="16"/>
        <v>0</v>
      </c>
      <c r="F70">
        <f t="shared" ca="1" si="20"/>
        <v>0.85651776057252282</v>
      </c>
      <c r="G70">
        <f t="shared" ca="1" si="17"/>
        <v>1</v>
      </c>
      <c r="H70">
        <f t="shared" ca="1" si="20"/>
        <v>0.88014379060068926</v>
      </c>
      <c r="I70">
        <f t="shared" ca="1" si="22"/>
        <v>1</v>
      </c>
      <c r="J70">
        <f t="shared" ca="1" si="20"/>
        <v>0.83014366678736806</v>
      </c>
      <c r="K70">
        <f t="shared" ca="1" si="18"/>
        <v>1</v>
      </c>
      <c r="L70">
        <f t="shared" ca="1" si="20"/>
        <v>0.21951493754708384</v>
      </c>
      <c r="M70">
        <f t="shared" ca="1" si="21"/>
        <v>0</v>
      </c>
      <c r="O70" s="21">
        <v>3.7013511046643495</v>
      </c>
    </row>
    <row r="71" spans="3:15" x14ac:dyDescent="0.25">
      <c r="C71" t="s">
        <v>216</v>
      </c>
      <c r="D71">
        <f t="shared" ca="1" si="20"/>
        <v>0.6449607810156901</v>
      </c>
      <c r="E71">
        <f t="shared" ca="1" si="16"/>
        <v>1</v>
      </c>
      <c r="F71">
        <f t="shared" ca="1" si="20"/>
        <v>9.6207313077701806E-2</v>
      </c>
      <c r="G71">
        <f t="shared" ca="1" si="17"/>
        <v>0</v>
      </c>
      <c r="H71">
        <f t="shared" ca="1" si="20"/>
        <v>0.68913284402023756</v>
      </c>
      <c r="I71">
        <f t="shared" ca="1" si="22"/>
        <v>1</v>
      </c>
      <c r="J71">
        <f t="shared" ca="1" si="20"/>
        <v>0.55838570553047295</v>
      </c>
      <c r="K71">
        <f t="shared" ca="1" si="18"/>
        <v>1</v>
      </c>
      <c r="L71">
        <f t="shared" ca="1" si="20"/>
        <v>0.40575102154091258</v>
      </c>
      <c r="M71">
        <f t="shared" ca="1" si="21"/>
        <v>0</v>
      </c>
      <c r="O71" s="21">
        <v>2.9664793948382653</v>
      </c>
    </row>
    <row r="72" spans="3:15" x14ac:dyDescent="0.25">
      <c r="C72" t="s">
        <v>217</v>
      </c>
      <c r="D72">
        <f t="shared" ref="D72:L85" ca="1" si="23">RAND()</f>
        <v>0.53441979963674435</v>
      </c>
      <c r="E72">
        <f t="shared" ca="1" si="16"/>
        <v>1</v>
      </c>
      <c r="F72">
        <f t="shared" ca="1" si="23"/>
        <v>0.48925313284671801</v>
      </c>
      <c r="G72">
        <f t="shared" ca="1" si="17"/>
        <v>0</v>
      </c>
      <c r="H72">
        <f t="shared" ca="1" si="23"/>
        <v>0.81150583935334653</v>
      </c>
      <c r="I72">
        <f t="shared" ca="1" si="22"/>
        <v>1</v>
      </c>
      <c r="J72">
        <f t="shared" ca="1" si="23"/>
        <v>0.34832824022833375</v>
      </c>
      <c r="K72">
        <f t="shared" ca="1" si="18"/>
        <v>0</v>
      </c>
      <c r="L72">
        <f t="shared" ca="1" si="23"/>
        <v>0.28368065348846261</v>
      </c>
      <c r="M72">
        <f t="shared" ca="1" si="21"/>
        <v>0</v>
      </c>
      <c r="O72" s="21">
        <v>3.7815340802378072</v>
      </c>
    </row>
    <row r="73" spans="3:15" x14ac:dyDescent="0.25">
      <c r="C73" t="s">
        <v>218</v>
      </c>
      <c r="D73">
        <f t="shared" ca="1" si="23"/>
        <v>0.22330848581952434</v>
      </c>
      <c r="E73">
        <f t="shared" ca="1" si="16"/>
        <v>0</v>
      </c>
      <c r="F73">
        <f t="shared" ca="1" si="23"/>
        <v>7.952831474648947E-2</v>
      </c>
      <c r="G73">
        <f t="shared" ca="1" si="17"/>
        <v>0</v>
      </c>
      <c r="H73">
        <f t="shared" ca="1" si="23"/>
        <v>0.8749490395588142</v>
      </c>
      <c r="I73">
        <f t="shared" ca="1" si="22"/>
        <v>1</v>
      </c>
      <c r="J73">
        <f t="shared" ca="1" si="23"/>
        <v>0.86125616774716485</v>
      </c>
      <c r="K73">
        <f t="shared" ca="1" si="18"/>
        <v>1</v>
      </c>
      <c r="L73">
        <f t="shared" ca="1" si="23"/>
        <v>0.74759593983536077</v>
      </c>
      <c r="M73">
        <f t="shared" ca="1" si="21"/>
        <v>1</v>
      </c>
      <c r="O73" s="21">
        <v>5.4129474410897389</v>
      </c>
    </row>
    <row r="74" spans="3:15" x14ac:dyDescent="0.25">
      <c r="C74" t="s">
        <v>219</v>
      </c>
      <c r="D74">
        <f t="shared" ca="1" si="23"/>
        <v>2.8636097490564172E-3</v>
      </c>
      <c r="E74">
        <f t="shared" ca="1" si="16"/>
        <v>0</v>
      </c>
      <c r="F74">
        <f t="shared" ca="1" si="23"/>
        <v>0.65260054214011609</v>
      </c>
      <c r="G74">
        <f t="shared" ca="1" si="17"/>
        <v>1</v>
      </c>
      <c r="H74">
        <f t="shared" ca="1" si="23"/>
        <v>8.0550289126829488E-2</v>
      </c>
      <c r="I74">
        <f t="shared" ca="1" si="22"/>
        <v>0</v>
      </c>
      <c r="J74">
        <f t="shared" ca="1" si="23"/>
        <v>0.82538645066897398</v>
      </c>
      <c r="K74">
        <f t="shared" ca="1" si="18"/>
        <v>1</v>
      </c>
      <c r="L74">
        <f t="shared" ca="1" si="23"/>
        <v>0.99927684232350555</v>
      </c>
      <c r="M74">
        <f t="shared" ca="1" si="21"/>
        <v>1</v>
      </c>
      <c r="O74" s="21">
        <v>3.2863353450309969</v>
      </c>
    </row>
    <row r="75" spans="3:15" x14ac:dyDescent="0.25">
      <c r="C75" t="s">
        <v>220</v>
      </c>
      <c r="D75">
        <f t="shared" ca="1" si="23"/>
        <v>0.60039920559252247</v>
      </c>
      <c r="E75">
        <f t="shared" ca="1" si="16"/>
        <v>1</v>
      </c>
      <c r="F75">
        <f t="shared" ca="1" si="23"/>
        <v>0.38848485035726676</v>
      </c>
      <c r="G75">
        <f t="shared" ca="1" si="17"/>
        <v>0</v>
      </c>
      <c r="H75">
        <f t="shared" ca="1" si="23"/>
        <v>0.74828781422153767</v>
      </c>
      <c r="I75">
        <f t="shared" ca="1" si="22"/>
        <v>1</v>
      </c>
      <c r="J75">
        <f t="shared" ca="1" si="23"/>
        <v>0.96069760258270953</v>
      </c>
      <c r="K75">
        <f t="shared" ca="1" si="18"/>
        <v>1</v>
      </c>
      <c r="L75">
        <f t="shared" ca="1" si="23"/>
        <v>0.89980890556154669</v>
      </c>
      <c r="M75">
        <f t="shared" ca="1" si="21"/>
        <v>1</v>
      </c>
      <c r="O75" s="21">
        <v>5.5407580708780113</v>
      </c>
    </row>
    <row r="76" spans="3:15" x14ac:dyDescent="0.25">
      <c r="C76" t="s">
        <v>221</v>
      </c>
      <c r="D76">
        <f t="shared" ca="1" si="23"/>
        <v>3.4242294382564542E-2</v>
      </c>
      <c r="E76">
        <f t="shared" ca="1" si="16"/>
        <v>0</v>
      </c>
      <c r="F76">
        <f t="shared" ca="1" si="23"/>
        <v>0.57450438759634237</v>
      </c>
      <c r="G76">
        <f t="shared" ca="1" si="17"/>
        <v>1</v>
      </c>
      <c r="H76">
        <f t="shared" ca="1" si="23"/>
        <v>0.1442250823419795</v>
      </c>
      <c r="I76">
        <f t="shared" ca="1" si="22"/>
        <v>0</v>
      </c>
      <c r="J76">
        <f t="shared" ca="1" si="23"/>
        <v>0.18606457682092836</v>
      </c>
      <c r="K76">
        <f t="shared" ca="1" si="18"/>
        <v>0</v>
      </c>
      <c r="L76">
        <f t="shared" ca="1" si="23"/>
        <v>0.20958916463738098</v>
      </c>
      <c r="M76">
        <f t="shared" ca="1" si="21"/>
        <v>0</v>
      </c>
      <c r="O76" s="21">
        <v>3.1622776601683795</v>
      </c>
    </row>
    <row r="77" spans="3:15" x14ac:dyDescent="0.25">
      <c r="C77" t="s">
        <v>222</v>
      </c>
      <c r="D77">
        <f t="shared" ca="1" si="23"/>
        <v>0.24517046035995471</v>
      </c>
      <c r="E77">
        <f t="shared" ca="1" si="16"/>
        <v>0</v>
      </c>
      <c r="F77">
        <f t="shared" ca="1" si="23"/>
        <v>0.92721699496694421</v>
      </c>
      <c r="G77">
        <f t="shared" ca="1" si="17"/>
        <v>1</v>
      </c>
      <c r="H77">
        <f t="shared" ca="1" si="23"/>
        <v>0.48198395333485899</v>
      </c>
      <c r="I77">
        <f t="shared" ca="1" si="22"/>
        <v>0</v>
      </c>
      <c r="J77">
        <f t="shared" ca="1" si="23"/>
        <v>0.29270709209124246</v>
      </c>
      <c r="K77">
        <f t="shared" ca="1" si="18"/>
        <v>0</v>
      </c>
      <c r="L77">
        <f t="shared" ca="1" si="23"/>
        <v>0.52862646763201537</v>
      </c>
      <c r="M77">
        <f t="shared" ca="1" si="21"/>
        <v>1</v>
      </c>
      <c r="O77" s="21">
        <v>5.2153619241621234</v>
      </c>
    </row>
    <row r="78" spans="3:15" x14ac:dyDescent="0.25">
      <c r="C78" t="s">
        <v>223</v>
      </c>
      <c r="D78">
        <f t="shared" ca="1" si="23"/>
        <v>0.5343203614598826</v>
      </c>
      <c r="E78">
        <f t="shared" ca="1" si="16"/>
        <v>1</v>
      </c>
      <c r="F78">
        <f t="shared" ca="1" si="23"/>
        <v>0.76867707485011061</v>
      </c>
      <c r="G78">
        <f t="shared" ca="1" si="17"/>
        <v>1</v>
      </c>
      <c r="H78">
        <f t="shared" ca="1" si="23"/>
        <v>0.42063184711554369</v>
      </c>
      <c r="I78">
        <f t="shared" ca="1" si="22"/>
        <v>0</v>
      </c>
      <c r="J78">
        <f t="shared" ca="1" si="23"/>
        <v>0.36271926960574419</v>
      </c>
      <c r="K78">
        <f t="shared" ca="1" si="18"/>
        <v>0</v>
      </c>
      <c r="L78">
        <f t="shared" ca="1" si="23"/>
        <v>0.65152628371501464</v>
      </c>
      <c r="M78">
        <f t="shared" ca="1" si="21"/>
        <v>1</v>
      </c>
      <c r="O78" s="21">
        <v>2.6832815729997477</v>
      </c>
    </row>
    <row r="79" spans="3:15" x14ac:dyDescent="0.25">
      <c r="C79" t="s">
        <v>224</v>
      </c>
      <c r="D79">
        <f t="shared" ca="1" si="23"/>
        <v>0.5249610298937768</v>
      </c>
      <c r="E79">
        <f t="shared" ca="1" si="16"/>
        <v>1</v>
      </c>
      <c r="F79">
        <f t="shared" ca="1" si="23"/>
        <v>0.21380763539086556</v>
      </c>
      <c r="G79">
        <f t="shared" ca="1" si="17"/>
        <v>0</v>
      </c>
      <c r="H79">
        <f t="shared" ca="1" si="23"/>
        <v>7.2106444944409431E-2</v>
      </c>
      <c r="I79">
        <f t="shared" ca="1" si="22"/>
        <v>0</v>
      </c>
      <c r="J79">
        <f t="shared" ca="1" si="23"/>
        <v>0.12753492662020616</v>
      </c>
      <c r="K79">
        <f t="shared" ca="1" si="18"/>
        <v>0</v>
      </c>
      <c r="L79">
        <f t="shared" ca="1" si="23"/>
        <v>0.39764334985703198</v>
      </c>
      <c r="M79">
        <f t="shared" ca="1" si="21"/>
        <v>0</v>
      </c>
      <c r="O79" s="21">
        <v>2.9664793948382653</v>
      </c>
    </row>
    <row r="80" spans="3:15" x14ac:dyDescent="0.25">
      <c r="C80" t="s">
        <v>225</v>
      </c>
      <c r="D80">
        <f t="shared" ca="1" si="23"/>
        <v>0.44110677355795702</v>
      </c>
      <c r="E80">
        <f t="shared" ca="1" si="16"/>
        <v>0</v>
      </c>
      <c r="F80">
        <f t="shared" ca="1" si="23"/>
        <v>0.3072913435515876</v>
      </c>
      <c r="G80">
        <f t="shared" ca="1" si="17"/>
        <v>0</v>
      </c>
      <c r="H80">
        <f t="shared" ca="1" si="23"/>
        <v>0.19986497329464203</v>
      </c>
      <c r="I80">
        <f t="shared" ca="1" si="22"/>
        <v>0</v>
      </c>
      <c r="J80">
        <f t="shared" ca="1" si="23"/>
        <v>0.75104694146974726</v>
      </c>
      <c r="K80">
        <f t="shared" ca="1" si="18"/>
        <v>1</v>
      </c>
      <c r="L80">
        <f t="shared" ca="1" si="23"/>
        <v>0.80349028573503933</v>
      </c>
      <c r="M80">
        <f t="shared" ca="1" si="21"/>
        <v>1</v>
      </c>
      <c r="O80" s="21">
        <v>2.5884358211089573</v>
      </c>
    </row>
    <row r="81" spans="2:15" x14ac:dyDescent="0.25">
      <c r="C81" t="s">
        <v>226</v>
      </c>
      <c r="D81">
        <f t="shared" ca="1" si="23"/>
        <v>0.27708002445135438</v>
      </c>
      <c r="E81">
        <f t="shared" ca="1" si="16"/>
        <v>0</v>
      </c>
      <c r="F81">
        <f t="shared" ca="1" si="23"/>
        <v>0.64224939282444538</v>
      </c>
      <c r="G81">
        <f t="shared" ca="1" si="17"/>
        <v>1</v>
      </c>
      <c r="H81">
        <f t="shared" ca="1" si="23"/>
        <v>0.12603802563742728</v>
      </c>
      <c r="I81">
        <f t="shared" ca="1" si="22"/>
        <v>0</v>
      </c>
      <c r="J81">
        <f t="shared" ca="1" si="23"/>
        <v>0.79785185879728182</v>
      </c>
      <c r="K81">
        <f t="shared" ca="1" si="18"/>
        <v>1</v>
      </c>
      <c r="L81">
        <f t="shared" ca="1" si="23"/>
        <v>0.8101223266766463</v>
      </c>
      <c r="M81">
        <f t="shared" ca="1" si="21"/>
        <v>1</v>
      </c>
      <c r="O81" s="21">
        <v>3.7815340802378077</v>
      </c>
    </row>
    <row r="82" spans="2:15" x14ac:dyDescent="0.25">
      <c r="C82" t="s">
        <v>227</v>
      </c>
      <c r="D82">
        <f t="shared" ca="1" si="23"/>
        <v>0.4276375990774739</v>
      </c>
      <c r="E82">
        <f t="shared" ca="1" si="16"/>
        <v>0</v>
      </c>
      <c r="F82">
        <f t="shared" ca="1" si="23"/>
        <v>0.64884466127981977</v>
      </c>
      <c r="G82">
        <f t="shared" ca="1" si="17"/>
        <v>1</v>
      </c>
      <c r="H82">
        <f t="shared" ca="1" si="23"/>
        <v>0.38788165866184521</v>
      </c>
      <c r="I82">
        <f t="shared" ca="1" si="22"/>
        <v>0</v>
      </c>
      <c r="J82">
        <f t="shared" ca="1" si="23"/>
        <v>7.5420057844905686E-2</v>
      </c>
      <c r="K82">
        <f t="shared" ca="1" si="18"/>
        <v>0</v>
      </c>
      <c r="L82">
        <f t="shared" ca="1" si="23"/>
        <v>0.60110147530347269</v>
      </c>
      <c r="M82">
        <f t="shared" ca="1" si="21"/>
        <v>1</v>
      </c>
      <c r="O82" s="21">
        <v>2.7928480087537886</v>
      </c>
    </row>
    <row r="83" spans="2:15" x14ac:dyDescent="0.25">
      <c r="B83" s="70"/>
      <c r="C83" t="s">
        <v>228</v>
      </c>
      <c r="D83">
        <f t="shared" ca="1" si="23"/>
        <v>0.64824754228423054</v>
      </c>
      <c r="E83">
        <f t="shared" ca="1" si="16"/>
        <v>1</v>
      </c>
      <c r="F83">
        <f t="shared" ca="1" si="23"/>
        <v>0.13948873639173731</v>
      </c>
      <c r="G83">
        <f t="shared" ca="1" si="17"/>
        <v>0</v>
      </c>
      <c r="H83">
        <f t="shared" ca="1" si="23"/>
        <v>9.5116842496919984E-2</v>
      </c>
      <c r="I83">
        <f t="shared" ca="1" si="22"/>
        <v>0</v>
      </c>
      <c r="J83">
        <f t="shared" ca="1" si="23"/>
        <v>0.22853686058732836</v>
      </c>
      <c r="K83">
        <f t="shared" ca="1" si="18"/>
        <v>0</v>
      </c>
      <c r="L83">
        <f t="shared" ca="1" si="23"/>
        <v>3.6898274609840853E-2</v>
      </c>
      <c r="M83">
        <f t="shared" ca="1" si="21"/>
        <v>0</v>
      </c>
      <c r="O83" s="21">
        <v>4.2778499272414878</v>
      </c>
    </row>
    <row r="84" spans="2:15" x14ac:dyDescent="0.25">
      <c r="C84" t="s">
        <v>229</v>
      </c>
      <c r="D84">
        <f t="shared" ca="1" si="23"/>
        <v>0.26127788181656353</v>
      </c>
      <c r="E84">
        <f t="shared" ref="E84:E85" ca="1" si="24">IF(D84&gt;0.5,1,0)</f>
        <v>0</v>
      </c>
      <c r="F84">
        <f t="shared" ca="1" si="23"/>
        <v>0.24860535381127968</v>
      </c>
      <c r="G84">
        <f t="shared" ref="G84:G85" ca="1" si="25">IF(F84&gt;0.5,1,0)</f>
        <v>0</v>
      </c>
      <c r="H84">
        <f t="shared" ca="1" si="23"/>
        <v>0.43039122717142819</v>
      </c>
      <c r="I84">
        <f t="shared" ref="I84:I85" ca="1" si="26">IF(H84&gt;0.5,1,0)</f>
        <v>0</v>
      </c>
      <c r="J84">
        <f t="shared" ca="1" si="23"/>
        <v>0.30459207548098166</v>
      </c>
      <c r="K84">
        <f t="shared" ref="K84:K85" ca="1" si="27">IF(J84&gt;0.5,1,0)</f>
        <v>0</v>
      </c>
      <c r="L84">
        <f t="shared" ca="1" si="23"/>
        <v>0.51345409830927191</v>
      </c>
      <c r="M84">
        <f t="shared" ca="1" si="21"/>
        <v>1</v>
      </c>
      <c r="O84" s="21">
        <v>5.3197744313081508</v>
      </c>
    </row>
    <row r="85" spans="2:15" x14ac:dyDescent="0.25">
      <c r="C85" t="s">
        <v>230</v>
      </c>
      <c r="D85">
        <f t="shared" ca="1" si="23"/>
        <v>0.33155842374014399</v>
      </c>
      <c r="E85">
        <f t="shared" ca="1" si="24"/>
        <v>0</v>
      </c>
      <c r="F85">
        <f t="shared" ca="1" si="23"/>
        <v>0.83312718564865806</v>
      </c>
      <c r="G85">
        <f t="shared" ca="1" si="25"/>
        <v>1</v>
      </c>
      <c r="H85">
        <f t="shared" ca="1" si="23"/>
        <v>0.6981244336375706</v>
      </c>
      <c r="I85">
        <f t="shared" ca="1" si="26"/>
        <v>1</v>
      </c>
      <c r="J85">
        <f t="shared" ca="1" si="23"/>
        <v>0.72861810039807717</v>
      </c>
      <c r="K85">
        <f t="shared" ca="1" si="27"/>
        <v>1</v>
      </c>
      <c r="L85">
        <f t="shared" ca="1" si="23"/>
        <v>0.20294786566789536</v>
      </c>
      <c r="M85">
        <f t="shared" ca="1" si="21"/>
        <v>0</v>
      </c>
      <c r="O85" s="21">
        <v>4.2071367935925261</v>
      </c>
    </row>
    <row r="86" spans="2:15" x14ac:dyDescent="0.25">
      <c r="B86" s="5"/>
      <c r="C86" s="71"/>
      <c r="N86" s="18" t="s">
        <v>33</v>
      </c>
      <c r="O86" s="21">
        <v>3.7013511046643495</v>
      </c>
    </row>
    <row r="87" spans="2:15" x14ac:dyDescent="0.25">
      <c r="B87" s="5"/>
      <c r="C87" s="71"/>
      <c r="D87" s="1"/>
      <c r="E87" s="1">
        <f ca="1">SUM(E4:E85)</f>
        <v>47</v>
      </c>
      <c r="F87" s="1"/>
      <c r="G87" s="1">
        <f ca="1">SUM(G4:G85)</f>
        <v>38</v>
      </c>
      <c r="H87" s="1"/>
      <c r="I87" s="1">
        <f ca="1">SUM(I4:I85)</f>
        <v>37</v>
      </c>
      <c r="J87" s="1"/>
      <c r="K87" s="1">
        <f ca="1">SUM(K4:K85)</f>
        <v>47</v>
      </c>
      <c r="L87" s="1"/>
      <c r="M87" s="1">
        <f ca="1">SUM(M4:M85)</f>
        <v>44</v>
      </c>
      <c r="N87" s="23">
        <f ca="1">STDEV(E87:M87)</f>
        <v>4.8270073544588872</v>
      </c>
      <c r="O87" s="21">
        <v>3.3615472627943221</v>
      </c>
    </row>
    <row r="88" spans="2:15" x14ac:dyDescent="0.25">
      <c r="B88" s="5"/>
      <c r="C88" s="71"/>
      <c r="K88" s="16" t="s">
        <v>37</v>
      </c>
      <c r="L88" s="16"/>
      <c r="M88" s="16"/>
      <c r="O88" s="21">
        <v>4.1472882706655447</v>
      </c>
    </row>
    <row r="89" spans="2:15" ht="13" thickBot="1" x14ac:dyDescent="0.3">
      <c r="B89" s="5"/>
      <c r="C89" s="5"/>
      <c r="K89" s="16" t="s">
        <v>36</v>
      </c>
      <c r="L89" s="16"/>
      <c r="M89" s="16"/>
      <c r="O89" s="21">
        <v>4.6151923036857303</v>
      </c>
    </row>
    <row r="90" spans="2:15" ht="13" thickBot="1" x14ac:dyDescent="0.3">
      <c r="B90" s="17" t="s">
        <v>27</v>
      </c>
      <c r="C90" s="72" t="s">
        <v>20</v>
      </c>
      <c r="D90" s="2"/>
      <c r="E90" s="3"/>
      <c r="K90" s="16" t="s">
        <v>110</v>
      </c>
      <c r="L90" s="16"/>
      <c r="M90" s="16"/>
      <c r="O90" s="21">
        <v>3.4205262752974139</v>
      </c>
    </row>
    <row r="91" spans="2:15" x14ac:dyDescent="0.25">
      <c r="B91" s="70"/>
      <c r="C91" s="4"/>
      <c r="D91" s="71" t="s">
        <v>231</v>
      </c>
      <c r="E91" s="6" t="s">
        <v>22</v>
      </c>
      <c r="F91" s="16" t="s">
        <v>35</v>
      </c>
      <c r="O91" s="21">
        <v>4.9295030175465131</v>
      </c>
    </row>
    <row r="92" spans="2:15" ht="13" thickBot="1" x14ac:dyDescent="0.3">
      <c r="C92" s="68" t="s">
        <v>160</v>
      </c>
      <c r="D92" s="14">
        <v>58</v>
      </c>
      <c r="E92" s="15">
        <v>41</v>
      </c>
      <c r="F92">
        <f>(D92-E92)^2</f>
        <v>289</v>
      </c>
      <c r="I92" s="16"/>
      <c r="O92" s="21">
        <v>3.2403703492039302</v>
      </c>
    </row>
    <row r="93" spans="2:15" ht="13" thickBot="1" x14ac:dyDescent="0.3">
      <c r="C93" s="68" t="s">
        <v>161</v>
      </c>
      <c r="D93" s="14">
        <v>51</v>
      </c>
      <c r="E93" s="15">
        <v>41</v>
      </c>
      <c r="F93">
        <f t="shared" ref="F93:F96" si="28">(D93-E93)^2</f>
        <v>100</v>
      </c>
      <c r="O93" s="21">
        <v>1.4142135623730951</v>
      </c>
    </row>
    <row r="94" spans="2:15" ht="13" thickBot="1" x14ac:dyDescent="0.3">
      <c r="C94" s="68" t="s">
        <v>162</v>
      </c>
      <c r="D94" s="14">
        <v>49</v>
      </c>
      <c r="E94" s="15">
        <v>41</v>
      </c>
      <c r="F94">
        <f t="shared" si="28"/>
        <v>64</v>
      </c>
      <c r="O94" s="21">
        <v>4.2661458015403086</v>
      </c>
    </row>
    <row r="95" spans="2:15" ht="13" thickBot="1" x14ac:dyDescent="0.3">
      <c r="C95" s="68" t="s">
        <v>163</v>
      </c>
      <c r="D95" s="14">
        <v>42</v>
      </c>
      <c r="E95" s="15">
        <v>41</v>
      </c>
      <c r="F95">
        <f t="shared" si="28"/>
        <v>1</v>
      </c>
      <c r="I95" s="25"/>
      <c r="O95" s="21">
        <v>2.2803508501982761</v>
      </c>
    </row>
    <row r="96" spans="2:15" ht="13" thickBot="1" x14ac:dyDescent="0.3">
      <c r="C96" s="68" t="s">
        <v>164</v>
      </c>
      <c r="D96" s="69">
        <v>17</v>
      </c>
      <c r="E96" s="15">
        <v>41</v>
      </c>
      <c r="F96">
        <f t="shared" si="28"/>
        <v>576</v>
      </c>
      <c r="O96" s="21">
        <v>2.9664793948382653</v>
      </c>
    </row>
    <row r="97" spans="3:15" ht="13" thickBot="1" x14ac:dyDescent="0.3">
      <c r="C97" s="7"/>
      <c r="D97" s="8"/>
      <c r="E97" s="9"/>
      <c r="F97">
        <f>SUM(F92:F95)/41</f>
        <v>11.073170731707316</v>
      </c>
      <c r="O97" s="21">
        <v>3.1622776601683795</v>
      </c>
    </row>
    <row r="98" spans="3:15" x14ac:dyDescent="0.25">
      <c r="E98" s="18" t="s">
        <v>30</v>
      </c>
      <c r="F98" s="19">
        <f>CHIDIST(F97,3)</f>
        <v>1.1336722564759916E-2</v>
      </c>
      <c r="G98" s="16" t="s">
        <v>31</v>
      </c>
      <c r="O98" s="21">
        <v>3.2093613071762426</v>
      </c>
    </row>
    <row r="99" spans="3:15" x14ac:dyDescent="0.25">
      <c r="O99" s="21">
        <v>5.3572380943915325</v>
      </c>
    </row>
    <row r="100" spans="3:15" x14ac:dyDescent="0.25">
      <c r="E100" s="18" t="s">
        <v>29</v>
      </c>
      <c r="F100" s="19">
        <f>CHITEST(D92:D96,E92:E96)</f>
        <v>4.7547593401486515E-5</v>
      </c>
      <c r="O100" s="21">
        <v>2.8809720581775866</v>
      </c>
    </row>
    <row r="101" spans="3:15" x14ac:dyDescent="0.25">
      <c r="O101" s="21">
        <v>3.7013511046643499</v>
      </c>
    </row>
    <row r="102" spans="3:15" x14ac:dyDescent="0.25">
      <c r="O102" s="21">
        <v>6.0580524923443875</v>
      </c>
    </row>
    <row r="103" spans="3:15" x14ac:dyDescent="0.25">
      <c r="O103" s="21">
        <v>2.8809720581775866</v>
      </c>
    </row>
    <row r="104" spans="3:15" x14ac:dyDescent="0.25">
      <c r="O104" s="21">
        <v>6.164414002968976</v>
      </c>
    </row>
    <row r="105" spans="3:15" x14ac:dyDescent="0.25">
      <c r="O105" s="21">
        <v>5.6745043836444466</v>
      </c>
    </row>
    <row r="106" spans="3:15" x14ac:dyDescent="0.25">
      <c r="O106" s="21">
        <v>3.7416573867739413</v>
      </c>
    </row>
    <row r="107" spans="3:15" x14ac:dyDescent="0.25">
      <c r="O107" s="21">
        <v>3.6469165057620936</v>
      </c>
    </row>
    <row r="108" spans="3:15" x14ac:dyDescent="0.25">
      <c r="O108" s="21">
        <v>3</v>
      </c>
    </row>
    <row r="109" spans="3:15" x14ac:dyDescent="0.25">
      <c r="O109" s="21">
        <v>2.8809720581775866</v>
      </c>
    </row>
    <row r="110" spans="3:15" x14ac:dyDescent="0.25">
      <c r="O110" s="21">
        <v>2.7018512172212592</v>
      </c>
    </row>
    <row r="111" spans="3:15" x14ac:dyDescent="0.25">
      <c r="O111" s="21">
        <v>6.1073725938409842</v>
      </c>
    </row>
    <row r="112" spans="3:15" x14ac:dyDescent="0.25">
      <c r="O112" s="21">
        <v>1.1401754250991378</v>
      </c>
    </row>
    <row r="113" spans="15:15" x14ac:dyDescent="0.25">
      <c r="O113" s="21">
        <v>2.0736441353327724</v>
      </c>
    </row>
    <row r="114" spans="15:15" x14ac:dyDescent="0.25">
      <c r="O114" s="21">
        <v>5.8309518948453007</v>
      </c>
    </row>
    <row r="115" spans="15:15" x14ac:dyDescent="0.25">
      <c r="O115" s="21">
        <v>4.7644516998286388</v>
      </c>
    </row>
    <row r="116" spans="15:15" x14ac:dyDescent="0.25">
      <c r="O116" s="21">
        <v>6.3403469936589287</v>
      </c>
    </row>
    <row r="117" spans="15:15" x14ac:dyDescent="0.25">
      <c r="O117" s="21">
        <v>3.2093613071762421</v>
      </c>
    </row>
    <row r="118" spans="15:15" x14ac:dyDescent="0.25">
      <c r="O118" s="21">
        <v>1.3038404810405297</v>
      </c>
    </row>
    <row r="119" spans="15:15" x14ac:dyDescent="0.25">
      <c r="O119" s="21">
        <v>4.92950301754649</v>
      </c>
    </row>
    <row r="120" spans="15:15" x14ac:dyDescent="0.25">
      <c r="O120" s="21">
        <v>1.6431676725154982</v>
      </c>
    </row>
    <row r="121" spans="15:15" x14ac:dyDescent="0.25">
      <c r="O121" s="21">
        <v>4.3817804600413286</v>
      </c>
    </row>
    <row r="122" spans="15:15" x14ac:dyDescent="0.25">
      <c r="O122" s="21">
        <v>2.3874672772626644</v>
      </c>
    </row>
    <row r="123" spans="15:15" x14ac:dyDescent="0.25">
      <c r="O123" s="21">
        <v>3.0495901363953815</v>
      </c>
    </row>
    <row r="124" spans="15:15" x14ac:dyDescent="0.25">
      <c r="O124" s="21">
        <v>3.7013511046643495</v>
      </c>
    </row>
    <row r="125" spans="15:15" x14ac:dyDescent="0.25">
      <c r="O125" s="21">
        <v>5.2249401910452482</v>
      </c>
    </row>
    <row r="126" spans="15:15" x14ac:dyDescent="0.25">
      <c r="O126" s="21">
        <v>4.0620192023179804</v>
      </c>
    </row>
    <row r="127" spans="15:15" x14ac:dyDescent="0.25">
      <c r="O127" s="21">
        <v>1.1401754250991378</v>
      </c>
    </row>
    <row r="128" spans="15:15" x14ac:dyDescent="0.25">
      <c r="O128" s="21">
        <v>5.2630789467762895</v>
      </c>
    </row>
    <row r="129" spans="15:15" x14ac:dyDescent="0.25">
      <c r="O129" s="21">
        <v>3.9115214431215888</v>
      </c>
    </row>
    <row r="130" spans="15:15" x14ac:dyDescent="0.25">
      <c r="O130" s="21">
        <v>1.1401754250991381</v>
      </c>
    </row>
    <row r="131" spans="15:15" x14ac:dyDescent="0.25">
      <c r="O131" s="21">
        <v>5.8566201857385254</v>
      </c>
    </row>
    <row r="132" spans="15:15" x14ac:dyDescent="0.25">
      <c r="O132" s="21">
        <v>1.6431676725154982</v>
      </c>
    </row>
    <row r="133" spans="15:15" x14ac:dyDescent="0.25">
      <c r="O133" s="21">
        <v>3.8078865529319543</v>
      </c>
    </row>
    <row r="134" spans="15:15" x14ac:dyDescent="0.25">
      <c r="O134" s="21">
        <v>6.2689712074630064</v>
      </c>
    </row>
    <row r="135" spans="15:15" x14ac:dyDescent="0.25">
      <c r="O135" s="21">
        <v>6.2289646009589896</v>
      </c>
    </row>
    <row r="136" spans="15:15" x14ac:dyDescent="0.25">
      <c r="O136" s="21">
        <v>7.2318738927058144</v>
      </c>
    </row>
    <row r="137" spans="15:15" x14ac:dyDescent="0.25">
      <c r="O137" s="21">
        <v>4.3931765272977596</v>
      </c>
    </row>
    <row r="138" spans="15:15" x14ac:dyDescent="0.25">
      <c r="O138" s="21">
        <v>3.9115214431215888</v>
      </c>
    </row>
    <row r="139" spans="15:15" x14ac:dyDescent="0.25">
      <c r="O139" s="21">
        <v>2.9154759474226504</v>
      </c>
    </row>
    <row r="140" spans="15:15" x14ac:dyDescent="0.25">
      <c r="O140" s="21">
        <v>6.5038450166036537</v>
      </c>
    </row>
    <row r="141" spans="15:15" x14ac:dyDescent="0.25">
      <c r="O141" s="21">
        <v>4.7116875957558984</v>
      </c>
    </row>
    <row r="142" spans="15:15" x14ac:dyDescent="0.25">
      <c r="O142" s="21">
        <v>7.0213958726167967</v>
      </c>
    </row>
    <row r="143" spans="15:15" x14ac:dyDescent="0.25">
      <c r="O143" s="21">
        <v>6.1073725938409842</v>
      </c>
    </row>
    <row r="144" spans="15:15" x14ac:dyDescent="0.25">
      <c r="O144" s="21">
        <v>4.5055521304275237</v>
      </c>
    </row>
    <row r="145" spans="15:15" x14ac:dyDescent="0.25">
      <c r="O145" s="21">
        <v>2.7018512172212592</v>
      </c>
    </row>
    <row r="146" spans="15:15" x14ac:dyDescent="0.25">
      <c r="O146" s="21">
        <v>3.5637059362410919</v>
      </c>
    </row>
    <row r="147" spans="15:15" x14ac:dyDescent="0.25">
      <c r="O147" s="21">
        <v>3.3466401061363023</v>
      </c>
    </row>
    <row r="148" spans="15:15" x14ac:dyDescent="0.25">
      <c r="O148" s="21">
        <v>3.8987177379235853</v>
      </c>
    </row>
    <row r="149" spans="15:15" x14ac:dyDescent="0.25">
      <c r="O149" s="21">
        <v>5.6302753041036828</v>
      </c>
    </row>
    <row r="150" spans="15:15" x14ac:dyDescent="0.25">
      <c r="O150" s="21">
        <v>4.7644516998286193</v>
      </c>
    </row>
    <row r="151" spans="15:15" x14ac:dyDescent="0.25">
      <c r="O151" s="21">
        <v>6.228964600958971</v>
      </c>
    </row>
    <row r="152" spans="15:15" x14ac:dyDescent="0.25">
      <c r="O152" s="21">
        <v>5.4129474410897389</v>
      </c>
    </row>
    <row r="153" spans="15:15" x14ac:dyDescent="0.25">
      <c r="O153" s="21">
        <v>4.5607017003965522</v>
      </c>
    </row>
    <row r="154" spans="15:15" x14ac:dyDescent="0.25">
      <c r="O154" s="21">
        <v>3.5777087639996634</v>
      </c>
    </row>
    <row r="155" spans="15:15" x14ac:dyDescent="0.25">
      <c r="O155" s="21">
        <v>3.2093613071762426</v>
      </c>
    </row>
    <row r="156" spans="15:15" x14ac:dyDescent="0.25">
      <c r="O156" s="21">
        <v>5.4497706373754893</v>
      </c>
    </row>
    <row r="157" spans="15:15" x14ac:dyDescent="0.25">
      <c r="O157" s="21">
        <v>6.3796551630946183</v>
      </c>
    </row>
    <row r="158" spans="15:15" x14ac:dyDescent="0.25">
      <c r="O158" s="21">
        <v>8.8034084308295046</v>
      </c>
    </row>
    <row r="159" spans="15:15" x14ac:dyDescent="0.25">
      <c r="O159" s="21">
        <v>3.5355339059327378</v>
      </c>
    </row>
    <row r="160" spans="15:15" x14ac:dyDescent="0.25">
      <c r="O160" s="21">
        <v>3.3166247903553998</v>
      </c>
    </row>
    <row r="161" spans="15:15" x14ac:dyDescent="0.25">
      <c r="O161" s="21">
        <v>2.9495762407505248</v>
      </c>
    </row>
    <row r="162" spans="15:15" x14ac:dyDescent="0.25">
      <c r="O162" s="21">
        <v>2.1908902300206647</v>
      </c>
    </row>
    <row r="163" spans="15:15" x14ac:dyDescent="0.25">
      <c r="O163" s="21">
        <v>5.1185935568278955</v>
      </c>
    </row>
    <row r="164" spans="15:15" x14ac:dyDescent="0.25">
      <c r="O164" s="21">
        <v>3.9115214431215892</v>
      </c>
    </row>
    <row r="165" spans="15:15" x14ac:dyDescent="0.25">
      <c r="O165" s="21">
        <v>3.0331501776206204</v>
      </c>
    </row>
    <row r="166" spans="15:15" x14ac:dyDescent="0.25">
      <c r="O166" s="21">
        <v>4.0865633483405102</v>
      </c>
    </row>
    <row r="167" spans="15:15" x14ac:dyDescent="0.25">
      <c r="O167" s="21">
        <v>0.89442719099991586</v>
      </c>
    </row>
    <row r="168" spans="15:15" x14ac:dyDescent="0.25">
      <c r="O168" s="21">
        <v>7.6026311234992967</v>
      </c>
    </row>
    <row r="169" spans="15:15" x14ac:dyDescent="0.25">
      <c r="O169" s="21">
        <v>4.1231056256176606</v>
      </c>
    </row>
    <row r="170" spans="15:15" x14ac:dyDescent="0.25">
      <c r="O170" s="21">
        <v>5.1283525619832515</v>
      </c>
    </row>
    <row r="171" spans="15:15" x14ac:dyDescent="0.25">
      <c r="O171" s="21">
        <v>3.646916505762094</v>
      </c>
    </row>
    <row r="172" spans="15:15" x14ac:dyDescent="0.25">
      <c r="O172" s="21">
        <v>6.0663003552412365</v>
      </c>
    </row>
    <row r="173" spans="15:15" x14ac:dyDescent="0.25">
      <c r="O173" s="21">
        <v>4.2778499272414825</v>
      </c>
    </row>
    <row r="174" spans="15:15" x14ac:dyDescent="0.25">
      <c r="O174" s="21">
        <v>3.1304951684997055</v>
      </c>
    </row>
    <row r="175" spans="15:15" x14ac:dyDescent="0.25">
      <c r="O175" s="21">
        <v>2.9495762407505248</v>
      </c>
    </row>
    <row r="176" spans="15:15" x14ac:dyDescent="0.25">
      <c r="O176" s="21">
        <v>4.2661458015403086</v>
      </c>
    </row>
    <row r="177" spans="15:15" x14ac:dyDescent="0.25">
      <c r="O177" s="21">
        <v>3.8987177379235853</v>
      </c>
    </row>
    <row r="178" spans="15:15" x14ac:dyDescent="0.25">
      <c r="O178" s="21">
        <v>7.2318738927058144</v>
      </c>
    </row>
    <row r="179" spans="15:15" x14ac:dyDescent="0.25">
      <c r="O179" s="21">
        <v>5.8051701094800006</v>
      </c>
    </row>
    <row r="180" spans="15:15" x14ac:dyDescent="0.25">
      <c r="O180" s="21">
        <v>5.4037024344425015</v>
      </c>
    </row>
    <row r="181" spans="15:15" x14ac:dyDescent="0.25">
      <c r="O181" s="21">
        <v>3.646916505762094</v>
      </c>
    </row>
    <row r="182" spans="15:15" x14ac:dyDescent="0.25">
      <c r="O182" s="21">
        <v>8.3486525858967102</v>
      </c>
    </row>
    <row r="183" spans="15:15" x14ac:dyDescent="0.25">
      <c r="O183" s="21">
        <v>3.8987177379235858</v>
      </c>
    </row>
    <row r="184" spans="15:15" x14ac:dyDescent="0.25">
      <c r="O184" s="21">
        <v>1.9493588689617929</v>
      </c>
    </row>
    <row r="185" spans="15:15" x14ac:dyDescent="0.25">
      <c r="O185" s="21">
        <v>4.8785243670601828</v>
      </c>
    </row>
    <row r="186" spans="15:15" x14ac:dyDescent="0.25">
      <c r="O186" s="21">
        <v>2.7018512172212592</v>
      </c>
    </row>
    <row r="187" spans="15:15" x14ac:dyDescent="0.25">
      <c r="O187" s="21">
        <v>5.873670062235365</v>
      </c>
    </row>
    <row r="188" spans="15:15" x14ac:dyDescent="0.25">
      <c r="O188" s="21">
        <v>3.1937438845342623</v>
      </c>
    </row>
    <row r="189" spans="15:15" x14ac:dyDescent="0.25">
      <c r="O189" s="21">
        <v>3.7815340802378072</v>
      </c>
    </row>
    <row r="190" spans="15:15" x14ac:dyDescent="0.25">
      <c r="O190" s="21">
        <v>2.7018512172212596</v>
      </c>
    </row>
    <row r="191" spans="15:15" x14ac:dyDescent="0.25">
      <c r="O191" s="21">
        <v>6.0663003552412365</v>
      </c>
    </row>
    <row r="192" spans="15:15" x14ac:dyDescent="0.25">
      <c r="O192" s="21">
        <v>4.7749345545253474</v>
      </c>
    </row>
    <row r="193" spans="15:15" x14ac:dyDescent="0.25">
      <c r="O193" s="21">
        <v>6.8044103344816138</v>
      </c>
    </row>
    <row r="194" spans="15:15" x14ac:dyDescent="0.25">
      <c r="O194" s="21">
        <v>1.1401754250991381</v>
      </c>
    </row>
    <row r="195" spans="15:15" x14ac:dyDescent="0.25">
      <c r="O195" s="21">
        <v>2.2803508501982757</v>
      </c>
    </row>
    <row r="196" spans="15:15" x14ac:dyDescent="0.25">
      <c r="O196" s="21">
        <v>5.7183913821983232</v>
      </c>
    </row>
    <row r="197" spans="15:15" x14ac:dyDescent="0.25">
      <c r="O197" s="21">
        <v>5.4497706373754893</v>
      </c>
    </row>
    <row r="198" spans="15:15" x14ac:dyDescent="0.25">
      <c r="O198" s="21">
        <v>2.5884358211089569</v>
      </c>
    </row>
    <row r="199" spans="15:15" x14ac:dyDescent="0.25">
      <c r="O199" s="21">
        <v>4.5825756949558398</v>
      </c>
    </row>
    <row r="200" spans="15:15" x14ac:dyDescent="0.25">
      <c r="O200" s="21">
        <v>5.4589376255824682</v>
      </c>
    </row>
    <row r="201" spans="15:15" x14ac:dyDescent="0.25">
      <c r="O201" s="21">
        <v>3.5637059362410923</v>
      </c>
    </row>
    <row r="202" spans="15:15" x14ac:dyDescent="0.25">
      <c r="O202" s="21">
        <v>2.3452078799117149</v>
      </c>
    </row>
    <row r="203" spans="15:15" x14ac:dyDescent="0.25">
      <c r="O203" s="21">
        <v>1.51657508881031</v>
      </c>
    </row>
    <row r="204" spans="15:15" x14ac:dyDescent="0.25">
      <c r="O204" s="21">
        <v>4.0373258476372698</v>
      </c>
    </row>
    <row r="205" spans="15:15" x14ac:dyDescent="0.25">
      <c r="O205" s="21">
        <v>4.8682645778552152</v>
      </c>
    </row>
    <row r="206" spans="15:15" x14ac:dyDescent="0.25">
      <c r="O206" s="21">
        <v>3.4205262752974139</v>
      </c>
    </row>
    <row r="207" spans="15:15" x14ac:dyDescent="0.25">
      <c r="O207" s="21">
        <v>3.03315017762062</v>
      </c>
    </row>
    <row r="208" spans="15:15" x14ac:dyDescent="0.25">
      <c r="O208" s="21">
        <v>4.9699094559156523</v>
      </c>
    </row>
    <row r="209" spans="15:15" x14ac:dyDescent="0.25">
      <c r="O209" s="21">
        <v>4.3931765272977588</v>
      </c>
    </row>
    <row r="210" spans="15:15" x14ac:dyDescent="0.25">
      <c r="O210" s="21">
        <v>1.4832396974191324</v>
      </c>
    </row>
    <row r="211" spans="15:15" x14ac:dyDescent="0.25">
      <c r="O211" s="21">
        <v>4.0620192023179804</v>
      </c>
    </row>
    <row r="212" spans="15:15" x14ac:dyDescent="0.25">
      <c r="O212" s="21">
        <v>4.5276925690687087</v>
      </c>
    </row>
    <row r="213" spans="15:15" x14ac:dyDescent="0.25">
      <c r="O213" s="21">
        <v>5.4129474410897602</v>
      </c>
    </row>
    <row r="214" spans="15:15" x14ac:dyDescent="0.25">
      <c r="O214" s="21">
        <v>3.5637059362410923</v>
      </c>
    </row>
    <row r="215" spans="15:15" x14ac:dyDescent="0.25">
      <c r="O215" s="21">
        <v>4.8166378315168989</v>
      </c>
    </row>
    <row r="216" spans="15:15" x14ac:dyDescent="0.25">
      <c r="O216" s="21">
        <v>2.6457513110645907</v>
      </c>
    </row>
    <row r="217" spans="15:15" x14ac:dyDescent="0.25">
      <c r="O217" s="21">
        <v>3.9623225512317899</v>
      </c>
    </row>
    <row r="218" spans="15:15" x14ac:dyDescent="0.25">
      <c r="O218" s="21">
        <v>4.636809247747852</v>
      </c>
    </row>
    <row r="219" spans="15:15" x14ac:dyDescent="0.25">
      <c r="O219" s="21">
        <v>3.082207001484488</v>
      </c>
    </row>
    <row r="220" spans="15:15" x14ac:dyDescent="0.25">
      <c r="O220" s="21">
        <v>5.7619441163551777</v>
      </c>
    </row>
    <row r="221" spans="15:15" x14ac:dyDescent="0.25">
      <c r="O221" s="21">
        <v>4.8166378315169229</v>
      </c>
    </row>
    <row r="222" spans="15:15" x14ac:dyDescent="0.25">
      <c r="O222" s="21">
        <v>6.0580524923443875</v>
      </c>
    </row>
    <row r="223" spans="15:15" x14ac:dyDescent="0.25">
      <c r="O223" s="21">
        <v>3.3615472627943221</v>
      </c>
    </row>
    <row r="224" spans="15:15" x14ac:dyDescent="0.25">
      <c r="O224" s="21">
        <v>3.5355339059327378</v>
      </c>
    </row>
    <row r="225" spans="15:15" x14ac:dyDescent="0.25">
      <c r="O225" s="21">
        <v>5.1672042731055301</v>
      </c>
    </row>
    <row r="226" spans="15:15" x14ac:dyDescent="0.25">
      <c r="O226" s="21">
        <v>4.0865633483405102</v>
      </c>
    </row>
    <row r="227" spans="15:15" x14ac:dyDescent="0.25">
      <c r="O227" s="21">
        <v>3.7815340802378077</v>
      </c>
    </row>
    <row r="228" spans="15:15" x14ac:dyDescent="0.25">
      <c r="O228" s="21">
        <v>2.5884358211089569</v>
      </c>
    </row>
    <row r="229" spans="15:15" x14ac:dyDescent="0.25">
      <c r="O229" s="21">
        <v>4.7222875812470333</v>
      </c>
    </row>
    <row r="230" spans="15:15" x14ac:dyDescent="0.25">
      <c r="O230" s="21">
        <v>4.7749345545253288</v>
      </c>
    </row>
    <row r="231" spans="15:15" x14ac:dyDescent="0.25">
      <c r="O231" s="21">
        <v>4.1833001326703778</v>
      </c>
    </row>
    <row r="232" spans="15:15" x14ac:dyDescent="0.25">
      <c r="O232" s="21">
        <v>1.5811388300841898</v>
      </c>
    </row>
    <row r="233" spans="15:15" x14ac:dyDescent="0.25">
      <c r="O233" s="21">
        <v>3.8340579025361627</v>
      </c>
    </row>
    <row r="234" spans="15:15" x14ac:dyDescent="0.25">
      <c r="O234" s="21">
        <v>5.449770637375468</v>
      </c>
    </row>
    <row r="235" spans="15:15" x14ac:dyDescent="0.25">
      <c r="O235" s="21">
        <v>3.9115214431215888</v>
      </c>
    </row>
    <row r="236" spans="15:15" x14ac:dyDescent="0.25">
      <c r="O236" s="21">
        <v>5.1768716422179093</v>
      </c>
    </row>
    <row r="237" spans="15:15" x14ac:dyDescent="0.25">
      <c r="O237" s="21">
        <v>2.8635642126552705</v>
      </c>
    </row>
    <row r="238" spans="15:15" x14ac:dyDescent="0.25">
      <c r="O238" s="21">
        <v>7.0142711667000759</v>
      </c>
    </row>
    <row r="239" spans="15:15" x14ac:dyDescent="0.25">
      <c r="O239" s="21">
        <v>4.8166378315169229</v>
      </c>
    </row>
    <row r="240" spans="15:15" x14ac:dyDescent="0.25">
      <c r="O240" s="21">
        <v>2.4899799195977463</v>
      </c>
    </row>
    <row r="241" spans="15:15" x14ac:dyDescent="0.25">
      <c r="O241" s="21">
        <v>3.5637059362410923</v>
      </c>
    </row>
    <row r="242" spans="15:15" x14ac:dyDescent="0.25">
      <c r="O242" s="21">
        <v>3.8340579025361632</v>
      </c>
    </row>
    <row r="243" spans="15:15" x14ac:dyDescent="0.25">
      <c r="O243" s="21">
        <v>6.8920243760451108</v>
      </c>
    </row>
    <row r="244" spans="15:15" x14ac:dyDescent="0.25">
      <c r="O244" s="21">
        <v>2.8809720581775866</v>
      </c>
    </row>
    <row r="245" spans="15:15" x14ac:dyDescent="0.25">
      <c r="O245" s="21">
        <v>2.7018512172212592</v>
      </c>
    </row>
    <row r="246" spans="15:15" x14ac:dyDescent="0.25">
      <c r="O246" s="21">
        <v>2.6832815729997477</v>
      </c>
    </row>
    <row r="247" spans="15:15" x14ac:dyDescent="0.25">
      <c r="O247" s="21">
        <v>6.6858058601786983</v>
      </c>
    </row>
    <row r="248" spans="15:15" x14ac:dyDescent="0.25">
      <c r="O248" s="21">
        <v>6.4187226143524709</v>
      </c>
    </row>
    <row r="249" spans="15:15" x14ac:dyDescent="0.25">
      <c r="O249" s="21">
        <v>6.1886993787063354</v>
      </c>
    </row>
    <row r="250" spans="15:15" x14ac:dyDescent="0.25">
      <c r="O250" s="21">
        <v>4.0987803063838388</v>
      </c>
    </row>
    <row r="251" spans="15:15" x14ac:dyDescent="0.25">
      <c r="O251" s="21">
        <v>3.1622776601683795</v>
      </c>
    </row>
    <row r="252" spans="15:15" x14ac:dyDescent="0.25">
      <c r="O252" s="21">
        <v>2.3874672772626648</v>
      </c>
    </row>
    <row r="253" spans="15:15" x14ac:dyDescent="0.25">
      <c r="O253" s="21">
        <v>3.646916505762094</v>
      </c>
    </row>
    <row r="254" spans="15:15" x14ac:dyDescent="0.25">
      <c r="O254" s="21">
        <v>8.5029406677925223</v>
      </c>
    </row>
    <row r="255" spans="15:15" x14ac:dyDescent="0.25">
      <c r="O255" s="21">
        <v>5.1283525619832515</v>
      </c>
    </row>
    <row r="256" spans="15:15" x14ac:dyDescent="0.25">
      <c r="O256" s="21">
        <v>5.2630789467763108</v>
      </c>
    </row>
    <row r="257" spans="15:15" x14ac:dyDescent="0.25">
      <c r="O257" s="21">
        <v>5.5497747702046594</v>
      </c>
    </row>
    <row r="258" spans="15:15" x14ac:dyDescent="0.25">
      <c r="O258" s="21">
        <v>3.2093613071762426</v>
      </c>
    </row>
    <row r="259" spans="15:15" x14ac:dyDescent="0.25">
      <c r="O259" s="21">
        <v>2.7018512172212592</v>
      </c>
    </row>
    <row r="260" spans="15:15" x14ac:dyDescent="0.25">
      <c r="O260" s="21">
        <v>4.0865633483405102</v>
      </c>
    </row>
    <row r="261" spans="15:15" x14ac:dyDescent="0.25">
      <c r="O261" s="21">
        <v>6.1886993787063354</v>
      </c>
    </row>
    <row r="262" spans="15:15" x14ac:dyDescent="0.25">
      <c r="O262" s="21">
        <v>4.9193495504995193</v>
      </c>
    </row>
    <row r="263" spans="15:15" x14ac:dyDescent="0.25">
      <c r="O263" s="21">
        <v>3.646916505762094</v>
      </c>
    </row>
    <row r="264" spans="15:15" x14ac:dyDescent="0.25">
      <c r="O264" s="21">
        <v>6</v>
      </c>
    </row>
    <row r="265" spans="15:15" x14ac:dyDescent="0.25">
      <c r="O265" s="21">
        <v>6.3403469936589465</v>
      </c>
    </row>
    <row r="266" spans="15:15" x14ac:dyDescent="0.25">
      <c r="O266" s="21">
        <v>4.7222875812470573</v>
      </c>
    </row>
    <row r="267" spans="15:15" x14ac:dyDescent="0.25">
      <c r="O267" s="21">
        <v>2.9664793948382653</v>
      </c>
    </row>
    <row r="268" spans="15:15" x14ac:dyDescent="0.25">
      <c r="O268" s="21">
        <v>2.5884358211089569</v>
      </c>
    </row>
    <row r="269" spans="15:15" x14ac:dyDescent="0.25">
      <c r="O269" s="21">
        <v>5.3197744313081508</v>
      </c>
    </row>
    <row r="270" spans="15:15" x14ac:dyDescent="0.25">
      <c r="O270" s="21">
        <v>5.770615218501419</v>
      </c>
    </row>
    <row r="271" spans="15:15" x14ac:dyDescent="0.25">
      <c r="O271" s="21">
        <v>3.8470768123342691</v>
      </c>
    </row>
    <row r="272" spans="15:15" x14ac:dyDescent="0.25">
      <c r="O272" s="21">
        <v>7.7588658965083175</v>
      </c>
    </row>
    <row r="273" spans="15:15" x14ac:dyDescent="0.25">
      <c r="O273" s="21">
        <v>2.7386127875258306</v>
      </c>
    </row>
    <row r="274" spans="15:15" x14ac:dyDescent="0.25">
      <c r="O274" s="21">
        <v>2.5099800796022267</v>
      </c>
    </row>
    <row r="275" spans="15:15" x14ac:dyDescent="0.25">
      <c r="O275" s="21">
        <v>1.3038404810405297</v>
      </c>
    </row>
    <row r="276" spans="15:15" x14ac:dyDescent="0.25">
      <c r="O276" s="21">
        <v>3.701351104664349</v>
      </c>
    </row>
    <row r="277" spans="15:15" x14ac:dyDescent="0.25">
      <c r="O277" s="21">
        <v>4.5497252664309356</v>
      </c>
    </row>
    <row r="278" spans="15:15" x14ac:dyDescent="0.25">
      <c r="O278" s="21">
        <v>4.358898943540674</v>
      </c>
    </row>
    <row r="279" spans="15:15" x14ac:dyDescent="0.25">
      <c r="O279" s="21">
        <v>4.9497474683058327</v>
      </c>
    </row>
    <row r="280" spans="15:15" x14ac:dyDescent="0.25">
      <c r="O280" s="21">
        <v>4.1593268686170841</v>
      </c>
    </row>
    <row r="281" spans="15:15" x14ac:dyDescent="0.25">
      <c r="O281" s="21">
        <v>5.1478150704935004</v>
      </c>
    </row>
    <row r="282" spans="15:15" x14ac:dyDescent="0.25">
      <c r="O282" s="21">
        <v>1.7888543819998317</v>
      </c>
    </row>
    <row r="283" spans="15:15" x14ac:dyDescent="0.25">
      <c r="O283" s="21">
        <v>7.3006848993776048</v>
      </c>
    </row>
    <row r="284" spans="15:15" x14ac:dyDescent="0.25">
      <c r="O284" s="21">
        <v>5.0695167422546126</v>
      </c>
    </row>
    <row r="285" spans="15:15" x14ac:dyDescent="0.25">
      <c r="O285" s="21">
        <v>3.4351128074635335</v>
      </c>
    </row>
    <row r="286" spans="15:15" x14ac:dyDescent="0.25">
      <c r="O286" s="21">
        <v>2.3021728866442679</v>
      </c>
    </row>
    <row r="287" spans="15:15" x14ac:dyDescent="0.25">
      <c r="O287" s="21">
        <v>3.6742346141747673</v>
      </c>
    </row>
    <row r="288" spans="15:15" x14ac:dyDescent="0.25">
      <c r="O288" s="21">
        <v>4.0373258476372698</v>
      </c>
    </row>
    <row r="289" spans="15:15" x14ac:dyDescent="0.25">
      <c r="O289" s="21">
        <v>5.6833088953531448</v>
      </c>
    </row>
    <row r="290" spans="15:15" x14ac:dyDescent="0.25">
      <c r="O290" s="21">
        <v>7.9056941504209481</v>
      </c>
    </row>
    <row r="291" spans="15:15" x14ac:dyDescent="0.25">
      <c r="O291" s="21">
        <v>2.16794833886788</v>
      </c>
    </row>
    <row r="292" spans="15:15" x14ac:dyDescent="0.25">
      <c r="O292" s="21">
        <v>4.3011626335213133</v>
      </c>
    </row>
    <row r="293" spans="15:15" x14ac:dyDescent="0.25">
      <c r="O293" s="21">
        <v>7.3688533707762129</v>
      </c>
    </row>
    <row r="294" spans="15:15" x14ac:dyDescent="0.25">
      <c r="O294" s="21">
        <v>2.2803508501982761</v>
      </c>
    </row>
    <row r="295" spans="15:15" x14ac:dyDescent="0.25">
      <c r="O295" s="21">
        <v>3.5777087639996634</v>
      </c>
    </row>
    <row r="296" spans="15:15" x14ac:dyDescent="0.25">
      <c r="O296" s="21">
        <v>2.7018512172212592</v>
      </c>
    </row>
    <row r="297" spans="15:15" x14ac:dyDescent="0.25">
      <c r="O297" s="21">
        <v>5.0497524691810387</v>
      </c>
    </row>
    <row r="298" spans="15:15" x14ac:dyDescent="0.25">
      <c r="O298" s="21">
        <v>5.9413803110051751</v>
      </c>
    </row>
    <row r="299" spans="15:15" x14ac:dyDescent="0.25">
      <c r="O299" s="21">
        <v>3.3615472627943221</v>
      </c>
    </row>
    <row r="300" spans="15:15" x14ac:dyDescent="0.25">
      <c r="O300" s="21">
        <v>2.3021728866442674</v>
      </c>
    </row>
    <row r="301" spans="15:15" x14ac:dyDescent="0.25">
      <c r="O301" s="21">
        <v>9.0553851381374173</v>
      </c>
    </row>
    <row r="302" spans="15:15" x14ac:dyDescent="0.25">
      <c r="O302" s="21">
        <v>2.5099800796022267</v>
      </c>
    </row>
    <row r="303" spans="15:15" x14ac:dyDescent="0.25">
      <c r="O303" s="21">
        <v>5.6745043836444466</v>
      </c>
    </row>
    <row r="304" spans="15:15" x14ac:dyDescent="0.25">
      <c r="O304" s="21">
        <v>5.1283525619832515</v>
      </c>
    </row>
    <row r="305" spans="15:15" x14ac:dyDescent="0.25">
      <c r="O305" s="21">
        <v>4.5607017003965522</v>
      </c>
    </row>
    <row r="306" spans="15:15" x14ac:dyDescent="0.25">
      <c r="O306" s="21">
        <v>6.3007936008093495</v>
      </c>
    </row>
    <row r="307" spans="15:15" x14ac:dyDescent="0.25">
      <c r="O307" s="21">
        <v>6.4187226143524709</v>
      </c>
    </row>
    <row r="308" spans="15:15" x14ac:dyDescent="0.25">
      <c r="O308" s="21">
        <v>3.2710854467592259</v>
      </c>
    </row>
    <row r="309" spans="15:15" x14ac:dyDescent="0.25">
      <c r="O309" s="21">
        <v>5.873670062235365</v>
      </c>
    </row>
    <row r="310" spans="15:15" x14ac:dyDescent="0.25">
      <c r="O310" s="21">
        <v>3.4205262752974139</v>
      </c>
    </row>
    <row r="311" spans="15:15" x14ac:dyDescent="0.25">
      <c r="O311" s="21">
        <v>3.4205262752974139</v>
      </c>
    </row>
    <row r="312" spans="15:15" x14ac:dyDescent="0.25">
      <c r="O312" s="21">
        <v>2.4899799195977463</v>
      </c>
    </row>
    <row r="313" spans="15:15" x14ac:dyDescent="0.25">
      <c r="O313" s="21">
        <v>3.2863353450309969</v>
      </c>
    </row>
    <row r="314" spans="15:15" x14ac:dyDescent="0.25">
      <c r="O314" s="21">
        <v>4.4497190922573981</v>
      </c>
    </row>
    <row r="315" spans="15:15" x14ac:dyDescent="0.25">
      <c r="O315" s="21">
        <v>5.0497524691810387</v>
      </c>
    </row>
    <row r="316" spans="15:15" x14ac:dyDescent="0.25">
      <c r="O316" s="21">
        <v>4.9799598391955113</v>
      </c>
    </row>
    <row r="317" spans="15:15" x14ac:dyDescent="0.25">
      <c r="O317" s="21">
        <v>4.8166378315168989</v>
      </c>
    </row>
    <row r="318" spans="15:15" x14ac:dyDescent="0.25">
      <c r="O318" s="21">
        <v>6.4031242374328485</v>
      </c>
    </row>
    <row r="319" spans="15:15" x14ac:dyDescent="0.25">
      <c r="O319" s="21">
        <v>1.9235384061671343</v>
      </c>
    </row>
    <row r="320" spans="15:15" x14ac:dyDescent="0.25">
      <c r="O320" s="21">
        <v>3.4928498393145961</v>
      </c>
    </row>
    <row r="321" spans="15:15" x14ac:dyDescent="0.25">
      <c r="O321" s="21">
        <v>5.727128425310557</v>
      </c>
    </row>
    <row r="322" spans="15:15" x14ac:dyDescent="0.25">
      <c r="O322" s="21">
        <v>2.7018512172212592</v>
      </c>
    </row>
    <row r="323" spans="15:15" x14ac:dyDescent="0.25">
      <c r="O323" s="21">
        <v>4.6583258795408513</v>
      </c>
    </row>
    <row r="324" spans="15:15" x14ac:dyDescent="0.25">
      <c r="O324" s="21">
        <v>7.713624310270756</v>
      </c>
    </row>
    <row r="325" spans="15:15" x14ac:dyDescent="0.25">
      <c r="O325" s="21">
        <v>5.5946402922797622</v>
      </c>
    </row>
    <row r="326" spans="15:15" x14ac:dyDescent="0.25">
      <c r="O326" s="21">
        <v>3.3466401061363023</v>
      </c>
    </row>
    <row r="327" spans="15:15" x14ac:dyDescent="0.25">
      <c r="O327" s="21">
        <v>4.0620192023179804</v>
      </c>
    </row>
    <row r="328" spans="15:15" x14ac:dyDescent="0.25">
      <c r="O328" s="21">
        <v>3.701351104664349</v>
      </c>
    </row>
    <row r="329" spans="15:15" x14ac:dyDescent="0.25">
      <c r="O329" s="21">
        <v>7.3143694191638966</v>
      </c>
    </row>
    <row r="330" spans="15:15" x14ac:dyDescent="0.25">
      <c r="O330" s="21">
        <v>2.8809720581775866</v>
      </c>
    </row>
    <row r="331" spans="15:15" x14ac:dyDescent="0.25">
      <c r="O331" s="21">
        <v>5.3197744313081508</v>
      </c>
    </row>
    <row r="332" spans="15:15" x14ac:dyDescent="0.25">
      <c r="O332" s="21">
        <v>5.2153619241621234</v>
      </c>
    </row>
    <row r="333" spans="15:15" x14ac:dyDescent="0.25">
      <c r="O333" s="21">
        <v>2.3021728866442674</v>
      </c>
    </row>
    <row r="334" spans="15:15" x14ac:dyDescent="0.25">
      <c r="O334" s="21">
        <v>3.1144823004794873</v>
      </c>
    </row>
    <row r="335" spans="15:15" x14ac:dyDescent="0.25">
      <c r="O335" s="21">
        <v>2.8284271247461903</v>
      </c>
    </row>
    <row r="336" spans="15:15" x14ac:dyDescent="0.25">
      <c r="O336" s="21">
        <v>2.7748873851023212</v>
      </c>
    </row>
    <row r="337" spans="15:15" x14ac:dyDescent="0.25">
      <c r="O337" s="21">
        <v>2.0493901531919199</v>
      </c>
    </row>
    <row r="338" spans="15:15" x14ac:dyDescent="0.25">
      <c r="O338" s="21">
        <v>1.9235384061671343</v>
      </c>
    </row>
    <row r="339" spans="15:15" x14ac:dyDescent="0.25">
      <c r="O339" s="21">
        <v>6.8702256149270706</v>
      </c>
    </row>
    <row r="340" spans="15:15" x14ac:dyDescent="0.25">
      <c r="O340" s="21">
        <v>4.2778499272414869</v>
      </c>
    </row>
    <row r="341" spans="15:15" x14ac:dyDescent="0.25">
      <c r="O341" s="21">
        <v>1.3416407864998738</v>
      </c>
    </row>
    <row r="342" spans="15:15" x14ac:dyDescent="0.25">
      <c r="O342" s="21">
        <v>5.9413803110051946</v>
      </c>
    </row>
    <row r="343" spans="15:15" x14ac:dyDescent="0.25">
      <c r="O343" s="21">
        <v>4.6583258795408513</v>
      </c>
    </row>
    <row r="344" spans="15:15" x14ac:dyDescent="0.25">
      <c r="O344" s="21">
        <v>4.2426406871192848</v>
      </c>
    </row>
    <row r="345" spans="15:15" x14ac:dyDescent="0.25">
      <c r="O345" s="21">
        <v>3.3466401061363023</v>
      </c>
    </row>
    <row r="346" spans="15:15" x14ac:dyDescent="0.25">
      <c r="O346" s="21">
        <v>7.8294316524253507</v>
      </c>
    </row>
    <row r="347" spans="15:15" x14ac:dyDescent="0.25">
      <c r="O347" s="21">
        <v>5.1283525619832515</v>
      </c>
    </row>
    <row r="348" spans="15:15" x14ac:dyDescent="0.25">
      <c r="O348" s="21">
        <v>2.5099800796022267</v>
      </c>
    </row>
    <row r="349" spans="15:15" x14ac:dyDescent="0.25">
      <c r="O349" s="21">
        <v>4.5497252664309302</v>
      </c>
    </row>
    <row r="350" spans="15:15" x14ac:dyDescent="0.25">
      <c r="O350" s="21">
        <v>3.8340579025361627</v>
      </c>
    </row>
    <row r="351" spans="15:15" x14ac:dyDescent="0.25">
      <c r="O351" s="21">
        <v>2.0736441353327719</v>
      </c>
    </row>
    <row r="352" spans="15:15" x14ac:dyDescent="0.25">
      <c r="O352" s="21">
        <v>4.5055521304275237</v>
      </c>
    </row>
    <row r="353" spans="15:15" x14ac:dyDescent="0.25">
      <c r="O353" s="21">
        <v>1.8708286933869707</v>
      </c>
    </row>
    <row r="354" spans="15:15" x14ac:dyDescent="0.25">
      <c r="O354" s="21">
        <v>2.3021728866442674</v>
      </c>
    </row>
    <row r="355" spans="15:15" x14ac:dyDescent="0.25">
      <c r="O355" s="21">
        <v>3.4205262752974139</v>
      </c>
    </row>
    <row r="356" spans="15:15" x14ac:dyDescent="0.25">
      <c r="O356" s="21">
        <v>2.2803508501982757</v>
      </c>
    </row>
    <row r="357" spans="15:15" x14ac:dyDescent="0.25">
      <c r="O357" s="21">
        <v>6.949820141557618</v>
      </c>
    </row>
    <row r="358" spans="15:15" x14ac:dyDescent="0.25">
      <c r="O358" s="21">
        <v>2.3874672772626644</v>
      </c>
    </row>
    <row r="359" spans="15:15" x14ac:dyDescent="0.25">
      <c r="O359" s="21">
        <v>5.5497747702046594</v>
      </c>
    </row>
    <row r="360" spans="15:15" x14ac:dyDescent="0.25">
      <c r="O360" s="21">
        <v>4.8785243670601828</v>
      </c>
    </row>
    <row r="361" spans="15:15" x14ac:dyDescent="0.25">
      <c r="O361" s="21">
        <v>4.9699094559156753</v>
      </c>
    </row>
    <row r="362" spans="15:15" x14ac:dyDescent="0.25">
      <c r="O362" s="21">
        <v>3.3615472627943221</v>
      </c>
    </row>
    <row r="363" spans="15:15" x14ac:dyDescent="0.25">
      <c r="O363" s="21">
        <v>7.0356236397351442</v>
      </c>
    </row>
    <row r="364" spans="15:15" x14ac:dyDescent="0.25">
      <c r="O364" s="21">
        <v>5.9581876439064922</v>
      </c>
    </row>
    <row r="365" spans="15:15" x14ac:dyDescent="0.25">
      <c r="O365" s="21">
        <v>4.3011626335213133</v>
      </c>
    </row>
    <row r="366" spans="15:15" x14ac:dyDescent="0.25">
      <c r="O366" s="21">
        <v>2.3452078799117149</v>
      </c>
    </row>
    <row r="367" spans="15:15" x14ac:dyDescent="0.25">
      <c r="O367" s="21">
        <v>3.049590136395381</v>
      </c>
    </row>
    <row r="368" spans="15:15" x14ac:dyDescent="0.25">
      <c r="O368" s="21">
        <v>5.8991524815010656</v>
      </c>
    </row>
    <row r="369" spans="15:15" x14ac:dyDescent="0.25">
      <c r="O369" s="21">
        <v>3.5071355833500362</v>
      </c>
    </row>
    <row r="370" spans="15:15" x14ac:dyDescent="0.25">
      <c r="O370" s="21">
        <v>5.9413803110051751</v>
      </c>
    </row>
    <row r="371" spans="15:15" x14ac:dyDescent="0.25">
      <c r="O371" s="21">
        <v>5.2440442408507577</v>
      </c>
    </row>
    <row r="372" spans="15:15" x14ac:dyDescent="0.25">
      <c r="O372" s="21">
        <v>5.449770637375468</v>
      </c>
    </row>
    <row r="373" spans="15:15" x14ac:dyDescent="0.25">
      <c r="O373" s="21">
        <v>7.5299402388066676</v>
      </c>
    </row>
    <row r="374" spans="15:15" x14ac:dyDescent="0.25">
      <c r="O374" s="21">
        <v>3.2093613071762426</v>
      </c>
    </row>
    <row r="375" spans="15:15" x14ac:dyDescent="0.25">
      <c r="O375" s="21">
        <v>4.5055521304275237</v>
      </c>
    </row>
    <row r="376" spans="15:15" x14ac:dyDescent="0.25">
      <c r="O376" s="21">
        <v>3.2093613071762426</v>
      </c>
    </row>
    <row r="377" spans="15:15" x14ac:dyDescent="0.25">
      <c r="O377" s="21">
        <v>4.1833001326703778</v>
      </c>
    </row>
    <row r="378" spans="15:15" x14ac:dyDescent="0.25">
      <c r="O378" s="21">
        <v>3.4351128074635335</v>
      </c>
    </row>
    <row r="379" spans="15:15" x14ac:dyDescent="0.25">
      <c r="O379" s="21">
        <v>4.9295030175465131</v>
      </c>
    </row>
    <row r="380" spans="15:15" x14ac:dyDescent="0.25">
      <c r="O380" s="21">
        <v>5.5045435778091703</v>
      </c>
    </row>
    <row r="381" spans="15:15" x14ac:dyDescent="0.25">
      <c r="O381" s="21">
        <v>5.4497706373754893</v>
      </c>
    </row>
    <row r="382" spans="15:15" x14ac:dyDescent="0.25">
      <c r="O382" s="21">
        <v>3.1144823004794873</v>
      </c>
    </row>
    <row r="383" spans="15:15" x14ac:dyDescent="0.25">
      <c r="O383" s="21">
        <v>6.8774995456197727</v>
      </c>
    </row>
    <row r="384" spans="15:15" x14ac:dyDescent="0.25">
      <c r="O384" s="21">
        <v>5.0199601592044356</v>
      </c>
    </row>
    <row r="385" spans="15:15" x14ac:dyDescent="0.25">
      <c r="O385" s="21">
        <v>1.3038404810405297</v>
      </c>
    </row>
    <row r="386" spans="15:15" x14ac:dyDescent="0.25">
      <c r="O386" s="21">
        <v>1.9235384061671343</v>
      </c>
    </row>
    <row r="387" spans="15:15" x14ac:dyDescent="0.25">
      <c r="O387" s="21">
        <v>1.1401754250991378</v>
      </c>
    </row>
    <row r="388" spans="15:15" x14ac:dyDescent="0.25">
      <c r="O388" s="21">
        <v>4.7222875812470573</v>
      </c>
    </row>
    <row r="389" spans="15:15" x14ac:dyDescent="0.25">
      <c r="O389" s="21">
        <v>2.5884358211089569</v>
      </c>
    </row>
    <row r="390" spans="15:15" x14ac:dyDescent="0.25">
      <c r="O390" s="21">
        <v>6.8410525505948412</v>
      </c>
    </row>
    <row r="391" spans="15:15" x14ac:dyDescent="0.25">
      <c r="O391" s="21">
        <v>3.8340579025361627</v>
      </c>
    </row>
    <row r="392" spans="15:15" x14ac:dyDescent="0.25">
      <c r="O392" s="21">
        <v>5.2249401910452695</v>
      </c>
    </row>
    <row r="393" spans="15:15" x14ac:dyDescent="0.25">
      <c r="O393" s="21">
        <v>5.1768716422179093</v>
      </c>
    </row>
    <row r="394" spans="15:15" x14ac:dyDescent="0.25">
      <c r="O394" s="21">
        <v>4.1472882706655438</v>
      </c>
    </row>
    <row r="395" spans="15:15" x14ac:dyDescent="0.25">
      <c r="O395" s="21">
        <v>4.8270073544588685</v>
      </c>
    </row>
    <row r="396" spans="15:15" x14ac:dyDescent="0.25">
      <c r="O396" s="21">
        <v>3.6742346141747673</v>
      </c>
    </row>
    <row r="397" spans="15:15" x14ac:dyDescent="0.25">
      <c r="O397" s="21">
        <v>0.89442719099991586</v>
      </c>
    </row>
    <row r="398" spans="15:15" x14ac:dyDescent="0.25">
      <c r="O398" s="21">
        <v>2.9495762407505248</v>
      </c>
    </row>
    <row r="399" spans="15:15" x14ac:dyDescent="0.25">
      <c r="O399" s="21">
        <v>2.5884358211089569</v>
      </c>
    </row>
    <row r="400" spans="15:15" x14ac:dyDescent="0.25">
      <c r="O400" s="21">
        <v>5.856620185738544</v>
      </c>
    </row>
    <row r="401" spans="15:15" x14ac:dyDescent="0.25">
      <c r="O401" s="21">
        <v>3.7815340802378077</v>
      </c>
    </row>
    <row r="402" spans="15:15" x14ac:dyDescent="0.25">
      <c r="O402" s="21">
        <v>5.0793700396801134</v>
      </c>
    </row>
    <row r="403" spans="15:15" x14ac:dyDescent="0.25">
      <c r="O403" s="21">
        <v>4.8476798574163293</v>
      </c>
    </row>
    <row r="404" spans="15:15" x14ac:dyDescent="0.25">
      <c r="O404" s="21">
        <v>4.1593268686170841</v>
      </c>
    </row>
    <row r="405" spans="15:15" x14ac:dyDescent="0.25">
      <c r="O405" s="21">
        <v>2.3021728866442674</v>
      </c>
    </row>
    <row r="406" spans="15:15" x14ac:dyDescent="0.25">
      <c r="O406" s="21">
        <v>1.4832396974191326</v>
      </c>
    </row>
    <row r="407" spans="15:15" x14ac:dyDescent="0.25">
      <c r="O407" s="21">
        <v>5.856620185738544</v>
      </c>
    </row>
    <row r="408" spans="15:15" x14ac:dyDescent="0.25">
      <c r="O408" s="21">
        <v>3.646916505762094</v>
      </c>
    </row>
    <row r="409" spans="15:15" x14ac:dyDescent="0.25">
      <c r="O409" s="21">
        <v>1.0954451150103321</v>
      </c>
    </row>
    <row r="410" spans="15:15" x14ac:dyDescent="0.25">
      <c r="O410" s="21">
        <v>3.03315017762062</v>
      </c>
    </row>
    <row r="411" spans="15:15" x14ac:dyDescent="0.25">
      <c r="O411" s="21">
        <v>5.9581876439064922</v>
      </c>
    </row>
    <row r="412" spans="15:15" x14ac:dyDescent="0.25">
      <c r="O412" s="21">
        <v>6.3796551630946183</v>
      </c>
    </row>
    <row r="413" spans="15:15" x14ac:dyDescent="0.25">
      <c r="O413" s="21">
        <v>6.5038450166036359</v>
      </c>
    </row>
    <row r="414" spans="15:15" x14ac:dyDescent="0.25">
      <c r="O414" s="21">
        <v>7.7653074633268826</v>
      </c>
    </row>
    <row r="415" spans="15:15" x14ac:dyDescent="0.25">
      <c r="O415" s="21">
        <v>2.9495762407505248</v>
      </c>
    </row>
    <row r="416" spans="15:15" x14ac:dyDescent="0.25">
      <c r="O416" s="21">
        <v>6.5345237010818025</v>
      </c>
    </row>
    <row r="417" spans="15:15" x14ac:dyDescent="0.25">
      <c r="O417" s="21">
        <v>3.049590136395381</v>
      </c>
    </row>
    <row r="418" spans="15:15" x14ac:dyDescent="0.25">
      <c r="O418" s="21">
        <v>1.6431676725154982</v>
      </c>
    </row>
    <row r="419" spans="15:15" x14ac:dyDescent="0.25">
      <c r="O419" s="21">
        <v>3.271085446759225</v>
      </c>
    </row>
    <row r="420" spans="15:15" x14ac:dyDescent="0.25">
      <c r="O420" s="21">
        <v>5.1283525619832515</v>
      </c>
    </row>
    <row r="421" spans="15:15" x14ac:dyDescent="0.25">
      <c r="O421" s="21">
        <v>5.5497747702046594</v>
      </c>
    </row>
    <row r="422" spans="15:15" x14ac:dyDescent="0.25">
      <c r="O422" s="21">
        <v>4.6043457732885349</v>
      </c>
    </row>
    <row r="423" spans="15:15" x14ac:dyDescent="0.25">
      <c r="O423" s="21">
        <v>6.5802735505448373</v>
      </c>
    </row>
    <row r="424" spans="15:15" x14ac:dyDescent="0.25">
      <c r="O424" s="21">
        <v>4.0373258476372698</v>
      </c>
    </row>
    <row r="425" spans="15:15" x14ac:dyDescent="0.25">
      <c r="O425" s="21">
        <v>3.3911649915626341</v>
      </c>
    </row>
    <row r="426" spans="15:15" x14ac:dyDescent="0.25">
      <c r="O426" s="21">
        <v>4.7222875812470377</v>
      </c>
    </row>
    <row r="427" spans="15:15" x14ac:dyDescent="0.25">
      <c r="O427" s="21">
        <v>5.2725705305856438</v>
      </c>
    </row>
    <row r="428" spans="15:15" x14ac:dyDescent="0.25">
      <c r="O428" s="21">
        <v>5.6833088953531243</v>
      </c>
    </row>
    <row r="429" spans="15:15" x14ac:dyDescent="0.25">
      <c r="O429" s="21">
        <v>5.0695167422546348</v>
      </c>
    </row>
    <row r="430" spans="15:15" x14ac:dyDescent="0.25">
      <c r="O430" s="21">
        <v>3.5071355833500366</v>
      </c>
    </row>
    <row r="431" spans="15:15" x14ac:dyDescent="0.25">
      <c r="O431" s="21">
        <v>6.1073725938410028</v>
      </c>
    </row>
    <row r="432" spans="15:15" x14ac:dyDescent="0.25">
      <c r="O432" s="21">
        <v>4.0249223594996213</v>
      </c>
    </row>
    <row r="433" spans="15:15" x14ac:dyDescent="0.25">
      <c r="O433" s="21">
        <v>2.1213203435596424</v>
      </c>
    </row>
    <row r="434" spans="15:15" x14ac:dyDescent="0.25">
      <c r="O434" s="21">
        <v>4.2071367935925261</v>
      </c>
    </row>
    <row r="435" spans="15:15" x14ac:dyDescent="0.25">
      <c r="O435" s="21">
        <v>2.8284271247461903</v>
      </c>
    </row>
    <row r="436" spans="15:15" x14ac:dyDescent="0.25">
      <c r="O436" s="21">
        <v>4.5497252664309302</v>
      </c>
    </row>
    <row r="437" spans="15:15" x14ac:dyDescent="0.25">
      <c r="O437" s="21">
        <v>3.646916505762094</v>
      </c>
    </row>
    <row r="438" spans="15:15" x14ac:dyDescent="0.25">
      <c r="O438" s="21">
        <v>2.8635642126552705</v>
      </c>
    </row>
    <row r="439" spans="15:15" x14ac:dyDescent="0.25">
      <c r="O439" s="21">
        <v>4.9497474683058327</v>
      </c>
    </row>
    <row r="440" spans="15:15" x14ac:dyDescent="0.25">
      <c r="O440" s="21">
        <v>2.16794833886788</v>
      </c>
    </row>
    <row r="441" spans="15:15" x14ac:dyDescent="0.25">
      <c r="O441" s="21">
        <v>2.4083189157584592</v>
      </c>
    </row>
    <row r="442" spans="15:15" x14ac:dyDescent="0.25">
      <c r="O442" s="21">
        <v>3.4205262752974139</v>
      </c>
    </row>
    <row r="443" spans="15:15" x14ac:dyDescent="0.25">
      <c r="O443" s="21">
        <v>2.7748873851023212</v>
      </c>
    </row>
    <row r="444" spans="15:15" x14ac:dyDescent="0.25">
      <c r="O444" s="21">
        <v>1.51657508881031</v>
      </c>
    </row>
    <row r="445" spans="15:15" x14ac:dyDescent="0.25">
      <c r="O445" s="21">
        <v>3.1304951684997055</v>
      </c>
    </row>
    <row r="446" spans="15:15" x14ac:dyDescent="0.25">
      <c r="O446" s="21">
        <v>1.8165902124584949</v>
      </c>
    </row>
    <row r="447" spans="15:15" x14ac:dyDescent="0.25">
      <c r="O447" s="21">
        <v>6.9641941385920596</v>
      </c>
    </row>
    <row r="448" spans="15:15" x14ac:dyDescent="0.25">
      <c r="O448" s="21">
        <v>6.7823299831252681</v>
      </c>
    </row>
    <row r="449" spans="15:15" x14ac:dyDescent="0.25">
      <c r="O449" s="21">
        <v>5.0990195135927845</v>
      </c>
    </row>
    <row r="450" spans="15:15" x14ac:dyDescent="0.25">
      <c r="O450" s="21">
        <v>3.2093613071762421</v>
      </c>
    </row>
    <row r="451" spans="15:15" x14ac:dyDescent="0.25">
      <c r="O451" s="21">
        <v>4.0620192023179804</v>
      </c>
    </row>
    <row r="452" spans="15:15" x14ac:dyDescent="0.25">
      <c r="O452" s="21">
        <v>2.0736441353327719</v>
      </c>
    </row>
    <row r="453" spans="15:15" x14ac:dyDescent="0.25">
      <c r="O453" s="21">
        <v>1.9493588689617929</v>
      </c>
    </row>
    <row r="454" spans="15:15" x14ac:dyDescent="0.25">
      <c r="O454" s="21">
        <v>4</v>
      </c>
    </row>
    <row r="455" spans="15:15" x14ac:dyDescent="0.25">
      <c r="O455" s="21">
        <v>5.9581876439064922</v>
      </c>
    </row>
    <row r="456" spans="15:15" x14ac:dyDescent="0.25">
      <c r="O456" s="21">
        <v>2.4083189157584592</v>
      </c>
    </row>
    <row r="457" spans="15:15" x14ac:dyDescent="0.25">
      <c r="O457" s="21">
        <v>2.16794833886788</v>
      </c>
    </row>
    <row r="458" spans="15:15" x14ac:dyDescent="0.25">
      <c r="O458" s="21">
        <v>3.3615472627943221</v>
      </c>
    </row>
    <row r="459" spans="15:15" x14ac:dyDescent="0.25">
      <c r="O459" s="21">
        <v>7.1763500472036617</v>
      </c>
    </row>
    <row r="460" spans="15:15" x14ac:dyDescent="0.25">
      <c r="O460" s="21">
        <v>4.7222875812470377</v>
      </c>
    </row>
    <row r="461" spans="15:15" x14ac:dyDescent="0.25">
      <c r="O461" s="21">
        <v>3.714835124201342</v>
      </c>
    </row>
    <row r="462" spans="15:15" x14ac:dyDescent="0.25">
      <c r="O462" s="21">
        <v>2</v>
      </c>
    </row>
    <row r="463" spans="15:15" x14ac:dyDescent="0.25">
      <c r="O463" s="21">
        <v>4.0987803063838397</v>
      </c>
    </row>
    <row r="464" spans="15:15" x14ac:dyDescent="0.25">
      <c r="O464" s="21">
        <v>2.6076809620810595</v>
      </c>
    </row>
    <row r="465" spans="15:15" x14ac:dyDescent="0.25">
      <c r="O465" s="21">
        <v>3.8078865529319543</v>
      </c>
    </row>
    <row r="466" spans="15:15" x14ac:dyDescent="0.25">
      <c r="O466" s="21">
        <v>3.8078865529319543</v>
      </c>
    </row>
    <row r="467" spans="15:15" x14ac:dyDescent="0.25">
      <c r="O467" s="21">
        <v>5.6302753041037032</v>
      </c>
    </row>
    <row r="468" spans="15:15" x14ac:dyDescent="0.25">
      <c r="O468" s="21">
        <v>3.6742346141747673</v>
      </c>
    </row>
    <row r="469" spans="15:15" x14ac:dyDescent="0.25">
      <c r="O469" s="21">
        <v>6.2689712074630064</v>
      </c>
    </row>
    <row r="470" spans="15:15" x14ac:dyDescent="0.25">
      <c r="O470" s="21">
        <v>6.7970581871865576</v>
      </c>
    </row>
    <row r="471" spans="15:15" x14ac:dyDescent="0.25">
      <c r="O471" s="21">
        <v>6.3796551630946183</v>
      </c>
    </row>
    <row r="472" spans="15:15" x14ac:dyDescent="0.25">
      <c r="O472" s="21">
        <v>3.1937438845342623</v>
      </c>
    </row>
    <row r="473" spans="15:15" x14ac:dyDescent="0.25">
      <c r="O473" s="21">
        <v>8.1055536516637812</v>
      </c>
    </row>
    <row r="474" spans="15:15" x14ac:dyDescent="0.25">
      <c r="O474" s="21">
        <v>4.9699094559156523</v>
      </c>
    </row>
    <row r="475" spans="15:15" x14ac:dyDescent="0.25">
      <c r="O475" s="21">
        <v>2.9664793948382653</v>
      </c>
    </row>
    <row r="476" spans="15:15" x14ac:dyDescent="0.25">
      <c r="O476" s="21">
        <v>3.8987177379235853</v>
      </c>
    </row>
    <row r="477" spans="15:15" x14ac:dyDescent="0.25">
      <c r="O477" s="21">
        <v>4.636809247747852</v>
      </c>
    </row>
    <row r="478" spans="15:15" x14ac:dyDescent="0.25">
      <c r="O478" s="21">
        <v>2.5099800796022267</v>
      </c>
    </row>
    <row r="479" spans="15:15" x14ac:dyDescent="0.25">
      <c r="O479" s="21">
        <v>4.0249223594996213</v>
      </c>
    </row>
    <row r="480" spans="15:15" x14ac:dyDescent="0.25">
      <c r="O480" s="21">
        <v>4.3817804600413286</v>
      </c>
    </row>
    <row r="481" spans="15:15" x14ac:dyDescent="0.25">
      <c r="O481" s="21">
        <v>3.2710854467592254</v>
      </c>
    </row>
    <row r="482" spans="15:15" x14ac:dyDescent="0.25">
      <c r="O482" s="21">
        <v>3.5637059362410923</v>
      </c>
    </row>
    <row r="483" spans="15:15" x14ac:dyDescent="0.25">
      <c r="O483" s="21">
        <v>5.8906705900092406</v>
      </c>
    </row>
    <row r="484" spans="15:15" x14ac:dyDescent="0.25">
      <c r="O484" s="21">
        <v>9.0994505328618587</v>
      </c>
    </row>
    <row r="485" spans="15:15" x14ac:dyDescent="0.25">
      <c r="O485" s="21">
        <v>3.7815340802378072</v>
      </c>
    </row>
    <row r="486" spans="15:15" x14ac:dyDescent="0.25">
      <c r="O486" s="21">
        <v>4.2426406871192848</v>
      </c>
    </row>
    <row r="487" spans="15:15" x14ac:dyDescent="0.25">
      <c r="O487" s="21">
        <v>5.0299105359837348</v>
      </c>
    </row>
    <row r="488" spans="15:15" x14ac:dyDescent="0.25">
      <c r="O488" s="21">
        <v>4.9295030175465131</v>
      </c>
    </row>
    <row r="489" spans="15:15" x14ac:dyDescent="0.25">
      <c r="O489" s="21">
        <v>6.1886993787063354</v>
      </c>
    </row>
    <row r="490" spans="15:15" x14ac:dyDescent="0.25">
      <c r="O490" s="21">
        <v>6.1886993787063167</v>
      </c>
    </row>
    <row r="491" spans="15:15" x14ac:dyDescent="0.25">
      <c r="O491" s="21">
        <v>1.1401754250991381</v>
      </c>
    </row>
    <row r="492" spans="15:15" x14ac:dyDescent="0.25">
      <c r="O492" s="21">
        <v>2.1908902300206643</v>
      </c>
    </row>
    <row r="493" spans="15:15" x14ac:dyDescent="0.25">
      <c r="O493" s="21">
        <v>6.2849025449882676</v>
      </c>
    </row>
    <row r="494" spans="15:15" x14ac:dyDescent="0.25">
      <c r="O494" s="21">
        <v>4.2426406871192848</v>
      </c>
    </row>
    <row r="495" spans="15:15" x14ac:dyDescent="0.25">
      <c r="O495" s="21">
        <v>3.7013511046643499</v>
      </c>
    </row>
    <row r="496" spans="15:15" x14ac:dyDescent="0.25">
      <c r="O496" s="21">
        <v>2.7018512172212592</v>
      </c>
    </row>
    <row r="497" spans="15:15" x14ac:dyDescent="0.25">
      <c r="O497" s="21">
        <v>4.636809247747852</v>
      </c>
    </row>
    <row r="498" spans="15:15" x14ac:dyDescent="0.25">
      <c r="O498" s="21">
        <v>1.4832396974191324</v>
      </c>
    </row>
    <row r="499" spans="15:15" x14ac:dyDescent="0.25">
      <c r="O499" s="21">
        <v>3.0495901363953815</v>
      </c>
    </row>
    <row r="500" spans="15:15" x14ac:dyDescent="0.25">
      <c r="O500" s="21">
        <v>3.2403703492039302</v>
      </c>
    </row>
    <row r="501" spans="15:15" x14ac:dyDescent="0.25">
      <c r="O501" s="21">
        <v>3.8987177379235853</v>
      </c>
    </row>
    <row r="502" spans="15:15" x14ac:dyDescent="0.25">
      <c r="O502" s="21">
        <v>3.1622776601683795</v>
      </c>
    </row>
    <row r="503" spans="15:15" x14ac:dyDescent="0.25">
      <c r="O503" s="21">
        <v>3.3466401061363023</v>
      </c>
    </row>
    <row r="504" spans="15:15" x14ac:dyDescent="0.25">
      <c r="O504" s="21">
        <v>4.1593268686170841</v>
      </c>
    </row>
    <row r="505" spans="15:15" x14ac:dyDescent="0.25">
      <c r="O505" s="21">
        <v>3.4351128074635335</v>
      </c>
    </row>
    <row r="506" spans="15:15" x14ac:dyDescent="0.25">
      <c r="O506" s="21">
        <v>4.1593268686170841</v>
      </c>
    </row>
    <row r="507" spans="15:15" x14ac:dyDescent="0.25">
      <c r="O507" s="21">
        <v>5.5856960175075807</v>
      </c>
    </row>
    <row r="508" spans="15:15" x14ac:dyDescent="0.25">
      <c r="O508" s="21">
        <v>4.4944410108488517</v>
      </c>
    </row>
    <row r="509" spans="15:15" x14ac:dyDescent="0.25">
      <c r="O509" s="21">
        <v>3.3911649915626341</v>
      </c>
    </row>
    <row r="510" spans="15:15" x14ac:dyDescent="0.25">
      <c r="O510" s="21">
        <v>4</v>
      </c>
    </row>
    <row r="511" spans="15:15" x14ac:dyDescent="0.25">
      <c r="O511" s="21">
        <v>5.8566201857385254</v>
      </c>
    </row>
    <row r="512" spans="15:15" x14ac:dyDescent="0.25">
      <c r="O512" s="21">
        <v>8.3486525858967102</v>
      </c>
    </row>
    <row r="513" spans="15:15" x14ac:dyDescent="0.25">
      <c r="O513" s="21">
        <v>4.3243496620879309</v>
      </c>
    </row>
    <row r="514" spans="15:15" x14ac:dyDescent="0.25">
      <c r="O514" s="21">
        <v>4.0987803063838397</v>
      </c>
    </row>
    <row r="515" spans="15:15" x14ac:dyDescent="0.25">
      <c r="O515" s="21">
        <v>5.5677643628300215</v>
      </c>
    </row>
    <row r="516" spans="15:15" x14ac:dyDescent="0.25">
      <c r="O516" s="21">
        <v>1.7320508075688772</v>
      </c>
    </row>
    <row r="517" spans="15:15" x14ac:dyDescent="0.25">
      <c r="O517" s="21">
        <v>2</v>
      </c>
    </row>
    <row r="518" spans="15:15" x14ac:dyDescent="0.25">
      <c r="O518" s="21">
        <v>4.4158804331639239</v>
      </c>
    </row>
    <row r="519" spans="15:15" x14ac:dyDescent="0.25">
      <c r="O519" s="21">
        <v>1.9235384061671343</v>
      </c>
    </row>
    <row r="520" spans="15:15" x14ac:dyDescent="0.25">
      <c r="O520" s="21">
        <v>2.5884358211089569</v>
      </c>
    </row>
    <row r="521" spans="15:15" x14ac:dyDescent="0.25">
      <c r="O521" s="21">
        <v>2.6832815729997477</v>
      </c>
    </row>
    <row r="522" spans="15:15" x14ac:dyDescent="0.25">
      <c r="O522" s="21">
        <v>2.6076809620810595</v>
      </c>
    </row>
    <row r="523" spans="15:15" x14ac:dyDescent="0.25">
      <c r="O523" s="21">
        <v>3.3615472627943221</v>
      </c>
    </row>
    <row r="524" spans="15:15" x14ac:dyDescent="0.25">
      <c r="O524" s="21">
        <v>2.9154759474226504</v>
      </c>
    </row>
    <row r="525" spans="15:15" x14ac:dyDescent="0.25">
      <c r="O525" s="21">
        <v>6.6708320320631671</v>
      </c>
    </row>
    <row r="526" spans="15:15" x14ac:dyDescent="0.25">
      <c r="O526" s="21">
        <v>4.0373258476372698</v>
      </c>
    </row>
    <row r="527" spans="15:15" x14ac:dyDescent="0.25">
      <c r="O527" s="21">
        <v>3.5637059362410923</v>
      </c>
    </row>
    <row r="528" spans="15:15" x14ac:dyDescent="0.25">
      <c r="O528" s="21">
        <v>8.0124902496040402</v>
      </c>
    </row>
    <row r="529" spans="15:15" x14ac:dyDescent="0.25">
      <c r="O529" s="21">
        <v>5.3197744313081721</v>
      </c>
    </row>
    <row r="530" spans="15:15" x14ac:dyDescent="0.25">
      <c r="O530" s="21">
        <v>5.3665631459995122</v>
      </c>
    </row>
    <row r="531" spans="15:15" x14ac:dyDescent="0.25">
      <c r="O531" s="21">
        <v>4.0865633483405102</v>
      </c>
    </row>
    <row r="532" spans="15:15" x14ac:dyDescent="0.25">
      <c r="O532" s="21">
        <v>2.0493901531919194</v>
      </c>
    </row>
    <row r="533" spans="15:15" x14ac:dyDescent="0.25">
      <c r="O533" s="21">
        <v>1.9493588689617927</v>
      </c>
    </row>
    <row r="534" spans="15:15" x14ac:dyDescent="0.25">
      <c r="O534" s="21">
        <v>3.8078865529319543</v>
      </c>
    </row>
    <row r="535" spans="15:15" x14ac:dyDescent="0.25">
      <c r="O535" s="21">
        <v>3.5071355833500366</v>
      </c>
    </row>
    <row r="536" spans="15:15" x14ac:dyDescent="0.25">
      <c r="O536" s="21">
        <v>4.3931765272977596</v>
      </c>
    </row>
    <row r="537" spans="15:15" x14ac:dyDescent="0.25">
      <c r="O537" s="21">
        <v>3.5637059362410923</v>
      </c>
    </row>
    <row r="538" spans="15:15" x14ac:dyDescent="0.25">
      <c r="O538" s="21">
        <v>1.4142135623730951</v>
      </c>
    </row>
    <row r="539" spans="15:15" x14ac:dyDescent="0.25">
      <c r="O539" s="21">
        <v>5</v>
      </c>
    </row>
    <row r="540" spans="15:15" x14ac:dyDescent="0.25">
      <c r="O540" s="21">
        <v>4.4721359549995796</v>
      </c>
    </row>
    <row r="541" spans="15:15" x14ac:dyDescent="0.25">
      <c r="O541" s="21">
        <v>3.4928498393145961</v>
      </c>
    </row>
    <row r="542" spans="15:15" x14ac:dyDescent="0.25">
      <c r="O542" s="21">
        <v>3.03315017762062</v>
      </c>
    </row>
    <row r="543" spans="15:15" x14ac:dyDescent="0.25">
      <c r="O543" s="21">
        <v>3.2093613071762421</v>
      </c>
    </row>
    <row r="544" spans="15:15" x14ac:dyDescent="0.25">
      <c r="O544" s="21">
        <v>4.8270073544588872</v>
      </c>
    </row>
    <row r="545" spans="15:15" x14ac:dyDescent="0.25">
      <c r="O545" s="21">
        <v>4.4384682042344297</v>
      </c>
    </row>
    <row r="546" spans="15:15" x14ac:dyDescent="0.25">
      <c r="O546" s="21">
        <v>1.7888543819998317</v>
      </c>
    </row>
    <row r="547" spans="15:15" x14ac:dyDescent="0.25">
      <c r="O547" s="21">
        <v>6.6932802122726178</v>
      </c>
    </row>
    <row r="548" spans="15:15" x14ac:dyDescent="0.25">
      <c r="O548" s="21">
        <v>4.8270073544588632</v>
      </c>
    </row>
    <row r="549" spans="15:15" x14ac:dyDescent="0.25">
      <c r="O549" s="21">
        <v>7.3143694191638966</v>
      </c>
    </row>
    <row r="550" spans="15:15" x14ac:dyDescent="0.25">
      <c r="O550" s="21">
        <v>3.8340579025361627</v>
      </c>
    </row>
    <row r="551" spans="15:15" x14ac:dyDescent="0.25">
      <c r="O551" s="21">
        <v>3.8078865529319543</v>
      </c>
    </row>
    <row r="552" spans="15:15" x14ac:dyDescent="0.25">
      <c r="O552" s="21">
        <v>3.271085446759225</v>
      </c>
    </row>
    <row r="553" spans="15:15" x14ac:dyDescent="0.25">
      <c r="O553" s="21">
        <v>3.646916505762094</v>
      </c>
    </row>
    <row r="554" spans="15:15" x14ac:dyDescent="0.25">
      <c r="O554" s="21">
        <v>4.1833001326703778</v>
      </c>
    </row>
    <row r="555" spans="15:15" x14ac:dyDescent="0.25">
      <c r="O555" s="21">
        <v>4.636809247747852</v>
      </c>
    </row>
    <row r="556" spans="15:15" x14ac:dyDescent="0.25">
      <c r="O556" s="21">
        <v>4.8785243670602059</v>
      </c>
    </row>
    <row r="557" spans="15:15" x14ac:dyDescent="0.25">
      <c r="O557" s="21">
        <v>6.0166435825965143</v>
      </c>
    </row>
    <row r="558" spans="15:15" x14ac:dyDescent="0.25">
      <c r="O558" s="21">
        <v>1.6733200530681511</v>
      </c>
    </row>
    <row r="559" spans="15:15" x14ac:dyDescent="0.25">
      <c r="O559" s="21">
        <v>4.8270073544588872</v>
      </c>
    </row>
    <row r="560" spans="15:15" x14ac:dyDescent="0.25">
      <c r="O560" s="21">
        <v>4.4384682042344297</v>
      </c>
    </row>
    <row r="561" spans="15:15" x14ac:dyDescent="0.25">
      <c r="O561" s="21">
        <v>2.3021728866442674</v>
      </c>
    </row>
    <row r="562" spans="15:15" x14ac:dyDescent="0.25">
      <c r="O562" s="21">
        <v>1.9493588689617927</v>
      </c>
    </row>
    <row r="563" spans="15:15" x14ac:dyDescent="0.25">
      <c r="O563" s="21">
        <v>5.1478150704935004</v>
      </c>
    </row>
    <row r="564" spans="15:15" x14ac:dyDescent="0.25">
      <c r="O564" s="21">
        <v>3.2863353450309964</v>
      </c>
    </row>
    <row r="565" spans="15:15" x14ac:dyDescent="0.25">
      <c r="O565" s="21">
        <v>5.5407580708780317</v>
      </c>
    </row>
    <row r="566" spans="15:15" x14ac:dyDescent="0.25">
      <c r="O566" s="21">
        <v>4.4158804331639239</v>
      </c>
    </row>
    <row r="567" spans="15:15" x14ac:dyDescent="0.25">
      <c r="O567" s="21">
        <v>3.5777087639996634</v>
      </c>
    </row>
    <row r="568" spans="15:15" x14ac:dyDescent="0.25">
      <c r="O568" s="21">
        <v>3.5355339059327378</v>
      </c>
    </row>
    <row r="569" spans="15:15" x14ac:dyDescent="0.25">
      <c r="O569" s="21">
        <v>4.6151923036857259</v>
      </c>
    </row>
    <row r="570" spans="15:15" x14ac:dyDescent="0.25">
      <c r="O570" s="21">
        <v>5.1283525619832293</v>
      </c>
    </row>
    <row r="571" spans="15:15" x14ac:dyDescent="0.25">
      <c r="O571" s="21">
        <v>7.4632432628181036</v>
      </c>
    </row>
    <row r="572" spans="15:15" x14ac:dyDescent="0.25">
      <c r="O572" s="21">
        <v>6.5038450166036537</v>
      </c>
    </row>
    <row r="573" spans="15:15" x14ac:dyDescent="0.25">
      <c r="O573" s="21">
        <v>4.3358966777357599</v>
      </c>
    </row>
    <row r="574" spans="15:15" x14ac:dyDescent="0.25">
      <c r="O574" s="21">
        <v>2.9154759474226504</v>
      </c>
    </row>
    <row r="575" spans="15:15" x14ac:dyDescent="0.25">
      <c r="O575" s="21">
        <v>6.1886993787063167</v>
      </c>
    </row>
    <row r="576" spans="15:15" x14ac:dyDescent="0.25">
      <c r="O576" s="21">
        <v>3.5637059362410928</v>
      </c>
    </row>
    <row r="577" spans="15:15" x14ac:dyDescent="0.25">
      <c r="O577" s="21">
        <v>4.6043457732885402</v>
      </c>
    </row>
    <row r="578" spans="15:15" x14ac:dyDescent="0.25">
      <c r="O578" s="21">
        <v>3.4351128074635335</v>
      </c>
    </row>
    <row r="579" spans="15:15" x14ac:dyDescent="0.25">
      <c r="O579" s="21">
        <v>5.0695167422546126</v>
      </c>
    </row>
    <row r="580" spans="15:15" x14ac:dyDescent="0.25">
      <c r="O580" s="21">
        <v>5.0299105359837348</v>
      </c>
    </row>
    <row r="581" spans="15:15" x14ac:dyDescent="0.25">
      <c r="O581" s="21">
        <v>2.16794833886788</v>
      </c>
    </row>
    <row r="582" spans="15:15" x14ac:dyDescent="0.25">
      <c r="O582" s="21">
        <v>3.271085446759225</v>
      </c>
    </row>
    <row r="583" spans="15:15" x14ac:dyDescent="0.25">
      <c r="O583" s="21">
        <v>3.7148351242013415</v>
      </c>
    </row>
    <row r="584" spans="15:15" x14ac:dyDescent="0.25">
      <c r="O584" s="21">
        <v>3.4351128074635335</v>
      </c>
    </row>
    <row r="585" spans="15:15" x14ac:dyDescent="0.25">
      <c r="O585" s="21">
        <v>5.449770637375468</v>
      </c>
    </row>
    <row r="586" spans="15:15" x14ac:dyDescent="0.25">
      <c r="O586" s="21">
        <v>3.03315017762062</v>
      </c>
    </row>
    <row r="587" spans="15:15" x14ac:dyDescent="0.25">
      <c r="O587" s="21">
        <v>3.9749213828703582</v>
      </c>
    </row>
    <row r="588" spans="15:15" x14ac:dyDescent="0.25">
      <c r="O588" s="21">
        <v>4.3931765272977588</v>
      </c>
    </row>
    <row r="589" spans="15:15" x14ac:dyDescent="0.25">
      <c r="O589" s="21">
        <v>4.3243496620879309</v>
      </c>
    </row>
    <row r="590" spans="15:15" x14ac:dyDescent="0.25">
      <c r="O590" s="21">
        <v>2.8284271247461903</v>
      </c>
    </row>
    <row r="591" spans="15:15" x14ac:dyDescent="0.25">
      <c r="O591" s="21">
        <v>3.3615472627943221</v>
      </c>
    </row>
    <row r="592" spans="15:15" x14ac:dyDescent="0.25">
      <c r="O592" s="21">
        <v>2.9664793948382648</v>
      </c>
    </row>
    <row r="593" spans="15:15" x14ac:dyDescent="0.25">
      <c r="O593" s="21">
        <v>5.3385391260156556</v>
      </c>
    </row>
    <row r="594" spans="15:15" x14ac:dyDescent="0.25">
      <c r="O594" s="21">
        <v>3.3615472627943221</v>
      </c>
    </row>
    <row r="595" spans="15:15" x14ac:dyDescent="0.25">
      <c r="O595" s="21">
        <v>2.6076809620810595</v>
      </c>
    </row>
    <row r="596" spans="15:15" x14ac:dyDescent="0.25">
      <c r="O596" s="21">
        <v>3.5071355833500366</v>
      </c>
    </row>
    <row r="597" spans="15:15" x14ac:dyDescent="0.25">
      <c r="O597" s="21">
        <v>1.9493588689617927</v>
      </c>
    </row>
    <row r="598" spans="15:15" x14ac:dyDescent="0.25">
      <c r="O598" s="21">
        <v>2.5099800796022267</v>
      </c>
    </row>
    <row r="599" spans="15:15" x14ac:dyDescent="0.25">
      <c r="O599" s="21">
        <v>3.7815340802378072</v>
      </c>
    </row>
    <row r="600" spans="15:15" x14ac:dyDescent="0.25">
      <c r="O600" s="21">
        <v>3.1144823004794873</v>
      </c>
    </row>
    <row r="601" spans="15:15" x14ac:dyDescent="0.25">
      <c r="O601" s="21">
        <v>4.2190046219457971</v>
      </c>
    </row>
    <row r="602" spans="15:15" x14ac:dyDescent="0.25">
      <c r="O602" s="21">
        <v>2.4494897427831779</v>
      </c>
    </row>
    <row r="603" spans="15:15" x14ac:dyDescent="0.25">
      <c r="O603" s="21">
        <v>5.5946402922797622</v>
      </c>
    </row>
    <row r="604" spans="15:15" x14ac:dyDescent="0.25">
      <c r="O604" s="21">
        <v>4.0865633483405102</v>
      </c>
    </row>
    <row r="605" spans="15:15" x14ac:dyDescent="0.25">
      <c r="O605" s="21">
        <v>3.03315017762062</v>
      </c>
    </row>
    <row r="606" spans="15:15" x14ac:dyDescent="0.25">
      <c r="O606" s="21">
        <v>2.0736441353327719</v>
      </c>
    </row>
    <row r="607" spans="15:15" x14ac:dyDescent="0.25">
      <c r="O607" s="21">
        <v>4.9699094559156523</v>
      </c>
    </row>
    <row r="608" spans="15:15" x14ac:dyDescent="0.25">
      <c r="O608" s="21">
        <v>3.7682887362833544</v>
      </c>
    </row>
    <row r="609" spans="15:15" x14ac:dyDescent="0.25">
      <c r="O609" s="21">
        <v>4.6043457732885402</v>
      </c>
    </row>
    <row r="610" spans="15:15" x14ac:dyDescent="0.25">
      <c r="O610" s="21">
        <v>3.1304951684997055</v>
      </c>
    </row>
    <row r="611" spans="15:15" x14ac:dyDescent="0.25">
      <c r="O611" s="21">
        <v>2.9664793948382653</v>
      </c>
    </row>
    <row r="612" spans="15:15" x14ac:dyDescent="0.25">
      <c r="O612" s="21">
        <v>4.4497190922573981</v>
      </c>
    </row>
    <row r="613" spans="15:15" x14ac:dyDescent="0.25">
      <c r="O613" s="21">
        <v>4.4497190922573981</v>
      </c>
    </row>
    <row r="614" spans="15:15" x14ac:dyDescent="0.25">
      <c r="O614" s="21">
        <v>4.5055521304275192</v>
      </c>
    </row>
    <row r="615" spans="15:15" x14ac:dyDescent="0.25">
      <c r="O615" s="21">
        <v>3.1144823004794873</v>
      </c>
    </row>
    <row r="616" spans="15:15" x14ac:dyDescent="0.25">
      <c r="O616" s="21">
        <v>5.3572380943915325</v>
      </c>
    </row>
    <row r="617" spans="15:15" x14ac:dyDescent="0.25">
      <c r="O617" s="21">
        <v>6.3403469936589287</v>
      </c>
    </row>
    <row r="618" spans="15:15" x14ac:dyDescent="0.25">
      <c r="O618" s="21">
        <v>1.1401754250991378</v>
      </c>
    </row>
    <row r="619" spans="15:15" x14ac:dyDescent="0.25">
      <c r="O619" s="21">
        <v>5.4589376255824886</v>
      </c>
    </row>
    <row r="620" spans="15:15" x14ac:dyDescent="0.25">
      <c r="O620" s="21">
        <v>5.5407580708780113</v>
      </c>
    </row>
    <row r="621" spans="15:15" x14ac:dyDescent="0.25">
      <c r="O621" s="21">
        <v>3.0495901363953815</v>
      </c>
    </row>
    <row r="622" spans="15:15" x14ac:dyDescent="0.25">
      <c r="O622" s="21">
        <v>4.0987803063838397</v>
      </c>
    </row>
    <row r="623" spans="15:15" x14ac:dyDescent="0.25">
      <c r="O623" s="21">
        <v>5.8566201857385254</v>
      </c>
    </row>
    <row r="624" spans="15:15" x14ac:dyDescent="0.25">
      <c r="O624" s="21">
        <v>7.3959448348402264</v>
      </c>
    </row>
    <row r="625" spans="15:15" x14ac:dyDescent="0.25">
      <c r="O625" s="21">
        <v>3.8987177379235853</v>
      </c>
    </row>
    <row r="626" spans="15:15" x14ac:dyDescent="0.25">
      <c r="O626" s="21">
        <v>4.3358966777357546</v>
      </c>
    </row>
    <row r="627" spans="15:15" x14ac:dyDescent="0.25">
      <c r="O627" s="21">
        <v>5.3572380943915325</v>
      </c>
    </row>
    <row r="628" spans="15:15" x14ac:dyDescent="0.25">
      <c r="O628" s="21">
        <v>3.8340579025361627</v>
      </c>
    </row>
    <row r="629" spans="15:15" x14ac:dyDescent="0.25">
      <c r="O629" s="21">
        <v>3.9623225512317899</v>
      </c>
    </row>
    <row r="630" spans="15:15" x14ac:dyDescent="0.25">
      <c r="O630" s="21">
        <v>6.0415229867972862</v>
      </c>
    </row>
    <row r="631" spans="15:15" x14ac:dyDescent="0.25">
      <c r="O631" s="21">
        <v>9.6176920308356717</v>
      </c>
    </row>
    <row r="632" spans="15:15" x14ac:dyDescent="0.25">
      <c r="O632" s="21">
        <v>2.5884358211089573</v>
      </c>
    </row>
    <row r="633" spans="15:15" x14ac:dyDescent="0.25">
      <c r="O633" s="21">
        <v>3.1144823004794873</v>
      </c>
    </row>
    <row r="634" spans="15:15" x14ac:dyDescent="0.25">
      <c r="O634" s="21">
        <v>2.6457513110645907</v>
      </c>
    </row>
    <row r="635" spans="15:15" x14ac:dyDescent="0.25">
      <c r="O635" s="21">
        <v>5.0299105359837117</v>
      </c>
    </row>
    <row r="636" spans="15:15" x14ac:dyDescent="0.25">
      <c r="O636" s="21">
        <v>3.3466401061363023</v>
      </c>
    </row>
    <row r="637" spans="15:15" x14ac:dyDescent="0.25">
      <c r="O637" s="21">
        <v>4.8785243670601872</v>
      </c>
    </row>
    <row r="638" spans="15:15" x14ac:dyDescent="0.25">
      <c r="O638" s="21">
        <v>3.3615472627943221</v>
      </c>
    </row>
    <row r="639" spans="15:15" x14ac:dyDescent="0.25">
      <c r="O639" s="21">
        <v>3.1304951684997055</v>
      </c>
    </row>
    <row r="640" spans="15:15" x14ac:dyDescent="0.25">
      <c r="O640" s="21">
        <v>1.9235384061671343</v>
      </c>
    </row>
    <row r="641" spans="15:15" x14ac:dyDescent="0.25">
      <c r="O641" s="21">
        <v>4.2426406871192848</v>
      </c>
    </row>
    <row r="642" spans="15:15" x14ac:dyDescent="0.25">
      <c r="O642" s="21">
        <v>1.5811388300841898</v>
      </c>
    </row>
    <row r="643" spans="15:15" x14ac:dyDescent="0.25">
      <c r="O643" s="21">
        <v>1.7320508075688772</v>
      </c>
    </row>
    <row r="644" spans="15:15" x14ac:dyDescent="0.25">
      <c r="O644" s="21">
        <v>4.3817804600413286</v>
      </c>
    </row>
    <row r="645" spans="15:15" x14ac:dyDescent="0.25">
      <c r="O645" s="21">
        <v>1.4832396974191324</v>
      </c>
    </row>
    <row r="646" spans="15:15" x14ac:dyDescent="0.25">
      <c r="O646" s="21">
        <v>6.4807406984078604</v>
      </c>
    </row>
    <row r="647" spans="15:15" x14ac:dyDescent="0.25">
      <c r="O647" s="21">
        <v>5.0990195135927845</v>
      </c>
    </row>
    <row r="648" spans="15:15" x14ac:dyDescent="0.25">
      <c r="O648" s="21">
        <v>3.03315017762062</v>
      </c>
    </row>
    <row r="649" spans="15:15" x14ac:dyDescent="0.25">
      <c r="O649" s="21">
        <v>6.6858058601787151</v>
      </c>
    </row>
    <row r="650" spans="15:15" x14ac:dyDescent="0.25">
      <c r="O650" s="21">
        <v>3.5637059362410923</v>
      </c>
    </row>
    <row r="651" spans="15:15" x14ac:dyDescent="0.25">
      <c r="O651" s="21">
        <v>4.9295030175465131</v>
      </c>
    </row>
    <row r="652" spans="15:15" x14ac:dyDescent="0.25">
      <c r="O652" s="21">
        <v>1.51657508881031</v>
      </c>
    </row>
    <row r="653" spans="15:15" x14ac:dyDescent="0.25">
      <c r="O653" s="21">
        <v>2.3021728866442674</v>
      </c>
    </row>
    <row r="654" spans="15:15" x14ac:dyDescent="0.25">
      <c r="O654" s="21">
        <v>4.636809247747852</v>
      </c>
    </row>
    <row r="655" spans="15:15" x14ac:dyDescent="0.25">
      <c r="O655" s="21">
        <v>2.5884358211089573</v>
      </c>
    </row>
    <row r="656" spans="15:15" x14ac:dyDescent="0.25">
      <c r="O656" s="21">
        <v>3.9623225512317894</v>
      </c>
    </row>
    <row r="657" spans="15:15" x14ac:dyDescent="0.25">
      <c r="O657" s="21">
        <v>2.4899799195977463</v>
      </c>
    </row>
    <row r="658" spans="15:15" x14ac:dyDescent="0.25">
      <c r="O658" s="21">
        <v>5.3572380943915325</v>
      </c>
    </row>
    <row r="659" spans="15:15" x14ac:dyDescent="0.25">
      <c r="O659" s="21">
        <v>5.6302753041036828</v>
      </c>
    </row>
    <row r="660" spans="15:15" x14ac:dyDescent="0.25">
      <c r="O660" s="21">
        <v>2.8809720581775866</v>
      </c>
    </row>
    <row r="661" spans="15:15" x14ac:dyDescent="0.25">
      <c r="O661" s="21">
        <v>2.6076809620810599</v>
      </c>
    </row>
    <row r="662" spans="15:15" x14ac:dyDescent="0.25">
      <c r="O662" s="21">
        <v>3.9115214431215892</v>
      </c>
    </row>
    <row r="663" spans="15:15" x14ac:dyDescent="0.25">
      <c r="O663" s="21">
        <v>7.7653074633268675</v>
      </c>
    </row>
    <row r="664" spans="15:15" x14ac:dyDescent="0.25">
      <c r="O664" s="21">
        <v>3.3911649915626341</v>
      </c>
    </row>
    <row r="665" spans="15:15" x14ac:dyDescent="0.25">
      <c r="O665" s="21">
        <v>3.4928498393145961</v>
      </c>
    </row>
    <row r="666" spans="15:15" x14ac:dyDescent="0.25">
      <c r="O666" s="21">
        <v>4.0373258476372698</v>
      </c>
    </row>
    <row r="667" spans="15:15" x14ac:dyDescent="0.25">
      <c r="O667" s="21">
        <v>4.1472882706655447</v>
      </c>
    </row>
    <row r="668" spans="15:15" x14ac:dyDescent="0.25">
      <c r="O668" s="21">
        <v>4.1231056256176606</v>
      </c>
    </row>
    <row r="669" spans="15:15" x14ac:dyDescent="0.25">
      <c r="O669" s="21">
        <v>3.3466401061363023</v>
      </c>
    </row>
    <row r="670" spans="15:15" x14ac:dyDescent="0.25">
      <c r="O670" s="21">
        <v>2.1908902300206647</v>
      </c>
    </row>
    <row r="671" spans="15:15" x14ac:dyDescent="0.25">
      <c r="O671" s="21">
        <v>5.4497706373754893</v>
      </c>
    </row>
    <row r="672" spans="15:15" x14ac:dyDescent="0.25">
      <c r="O672" s="21">
        <v>3.1622776601683795</v>
      </c>
    </row>
    <row r="673" spans="15:15" x14ac:dyDescent="0.25">
      <c r="O673" s="21">
        <v>3.2093613071762426</v>
      </c>
    </row>
    <row r="674" spans="15:15" x14ac:dyDescent="0.25">
      <c r="O674" s="21">
        <v>2.7018512172212592</v>
      </c>
    </row>
    <row r="675" spans="15:15" x14ac:dyDescent="0.25">
      <c r="O675" s="21">
        <v>3.4641016151377544</v>
      </c>
    </row>
    <row r="676" spans="15:15" x14ac:dyDescent="0.25">
      <c r="O676" s="21">
        <v>3.8078865529319543</v>
      </c>
    </row>
    <row r="677" spans="15:15" x14ac:dyDescent="0.25">
      <c r="O677" s="21">
        <v>3.5071355833500366</v>
      </c>
    </row>
    <row r="678" spans="15:15" x14ac:dyDescent="0.25">
      <c r="O678" s="21">
        <v>6.2048368229954285</v>
      </c>
    </row>
    <row r="679" spans="15:15" x14ac:dyDescent="0.25">
      <c r="O679" s="21">
        <v>2.2803508501982761</v>
      </c>
    </row>
    <row r="680" spans="15:15" x14ac:dyDescent="0.25">
      <c r="O680" s="21">
        <v>2.8284271247461903</v>
      </c>
    </row>
    <row r="681" spans="15:15" x14ac:dyDescent="0.25">
      <c r="O681" s="21">
        <v>3.7815340802378077</v>
      </c>
    </row>
    <row r="682" spans="15:15" x14ac:dyDescent="0.25">
      <c r="O682" s="21">
        <v>1.6431676725154982</v>
      </c>
    </row>
    <row r="683" spans="15:15" x14ac:dyDescent="0.25">
      <c r="O683" s="21">
        <v>4.1593268686170841</v>
      </c>
    </row>
    <row r="684" spans="15:15" x14ac:dyDescent="0.25">
      <c r="O684" s="21">
        <v>4.8476798574163293</v>
      </c>
    </row>
    <row r="685" spans="15:15" x14ac:dyDescent="0.25">
      <c r="O685" s="21">
        <v>2.16794833886788</v>
      </c>
    </row>
    <row r="686" spans="15:15" x14ac:dyDescent="0.25">
      <c r="O686" s="21">
        <v>2.7018512172212592</v>
      </c>
    </row>
    <row r="687" spans="15:15" x14ac:dyDescent="0.25">
      <c r="O687" s="21">
        <v>3.9115214431215892</v>
      </c>
    </row>
    <row r="688" spans="15:15" x14ac:dyDescent="0.25">
      <c r="O688" s="21">
        <v>4.6583258795408469</v>
      </c>
    </row>
    <row r="689" spans="15:15" x14ac:dyDescent="0.25">
      <c r="O689" s="21">
        <v>6.3403469936589287</v>
      </c>
    </row>
    <row r="690" spans="15:15" x14ac:dyDescent="0.25">
      <c r="O690" s="21">
        <v>1.9235384061671346</v>
      </c>
    </row>
    <row r="691" spans="15:15" x14ac:dyDescent="0.25">
      <c r="O691" s="21">
        <v>3.6331804249169899</v>
      </c>
    </row>
    <row r="692" spans="15:15" x14ac:dyDescent="0.25">
      <c r="O692" s="21">
        <v>2.7018512172212592</v>
      </c>
    </row>
    <row r="693" spans="15:15" x14ac:dyDescent="0.25">
      <c r="O693" s="21">
        <v>5.805170109479981</v>
      </c>
    </row>
    <row r="694" spans="15:15" x14ac:dyDescent="0.25">
      <c r="O694" s="21">
        <v>3.2863353450309964</v>
      </c>
    </row>
    <row r="695" spans="15:15" x14ac:dyDescent="0.25">
      <c r="O695" s="21">
        <v>7.9812279756939688</v>
      </c>
    </row>
    <row r="696" spans="15:15" x14ac:dyDescent="0.25">
      <c r="O696" s="21">
        <v>6.0580524923443688</v>
      </c>
    </row>
    <row r="697" spans="15:15" x14ac:dyDescent="0.25">
      <c r="O697" s="21">
        <v>3.0495901363953815</v>
      </c>
    </row>
    <row r="698" spans="15:15" x14ac:dyDescent="0.25">
      <c r="O698" s="21">
        <v>5.196152422706632</v>
      </c>
    </row>
    <row r="699" spans="15:15" x14ac:dyDescent="0.25">
      <c r="O699" s="21">
        <v>4.4384682042344297</v>
      </c>
    </row>
    <row r="700" spans="15:15" x14ac:dyDescent="0.25">
      <c r="O700" s="21">
        <v>3.03315017762062</v>
      </c>
    </row>
    <row r="701" spans="15:15" x14ac:dyDescent="0.25">
      <c r="O701" s="21">
        <v>5.2630789467762895</v>
      </c>
    </row>
    <row r="702" spans="15:15" x14ac:dyDescent="0.25">
      <c r="O702" s="21">
        <v>4.6690470119714957</v>
      </c>
    </row>
    <row r="703" spans="15:15" x14ac:dyDescent="0.25">
      <c r="O703" s="21">
        <v>3.8470768123342691</v>
      </c>
    </row>
    <row r="704" spans="15:15" x14ac:dyDescent="0.25">
      <c r="O704" s="21">
        <v>4.7434164902525691</v>
      </c>
    </row>
    <row r="705" spans="15:15" x14ac:dyDescent="0.25">
      <c r="O705" s="21">
        <v>5.4037024344425229</v>
      </c>
    </row>
    <row r="706" spans="15:15" x14ac:dyDescent="0.25">
      <c r="O706" s="21">
        <v>2.2803508501982757</v>
      </c>
    </row>
    <row r="707" spans="15:15" x14ac:dyDescent="0.25">
      <c r="O707" s="21">
        <v>4.1833001326703778</v>
      </c>
    </row>
    <row r="708" spans="15:15" x14ac:dyDescent="0.25">
      <c r="O708" s="21">
        <v>6.2689712074630064</v>
      </c>
    </row>
    <row r="709" spans="15:15" x14ac:dyDescent="0.25">
      <c r="O709" s="21">
        <v>4.6151923036857303</v>
      </c>
    </row>
    <row r="710" spans="15:15" x14ac:dyDescent="0.25">
      <c r="O710" s="21">
        <v>3.9115214431215892</v>
      </c>
    </row>
    <row r="711" spans="15:15" x14ac:dyDescent="0.25">
      <c r="O711" s="21">
        <v>3.4928498393145961</v>
      </c>
    </row>
    <row r="712" spans="15:15" x14ac:dyDescent="0.25">
      <c r="O712" s="21">
        <v>3.7013511046643495</v>
      </c>
    </row>
    <row r="713" spans="15:15" x14ac:dyDescent="0.25">
      <c r="O713" s="21">
        <v>2.3452078799117149</v>
      </c>
    </row>
    <row r="714" spans="15:15" x14ac:dyDescent="0.25">
      <c r="O714" s="21">
        <v>2.8284271247461903</v>
      </c>
    </row>
    <row r="715" spans="15:15" x14ac:dyDescent="0.25">
      <c r="O715" s="21">
        <v>4.9497474683058327</v>
      </c>
    </row>
    <row r="716" spans="15:15" x14ac:dyDescent="0.25">
      <c r="O716" s="21">
        <v>4.3243496620879309</v>
      </c>
    </row>
    <row r="717" spans="15:15" x14ac:dyDescent="0.25">
      <c r="O717" s="21">
        <v>2.4083189157584592</v>
      </c>
    </row>
    <row r="718" spans="15:15" x14ac:dyDescent="0.25">
      <c r="O718" s="21">
        <v>5.4129474410897602</v>
      </c>
    </row>
    <row r="719" spans="15:15" x14ac:dyDescent="0.25">
      <c r="O719" s="21">
        <v>5.0695167422546126</v>
      </c>
    </row>
    <row r="720" spans="15:15" x14ac:dyDescent="0.25">
      <c r="O720" s="21">
        <v>1.7320508075688772</v>
      </c>
    </row>
    <row r="721" spans="15:15" x14ac:dyDescent="0.25">
      <c r="O721" s="21">
        <v>5.9833101206606516</v>
      </c>
    </row>
    <row r="722" spans="15:15" x14ac:dyDescent="0.25">
      <c r="O722" s="21">
        <v>4.4384682042344297</v>
      </c>
    </row>
    <row r="723" spans="15:15" x14ac:dyDescent="0.25">
      <c r="O723" s="21">
        <v>7.5828754440515507</v>
      </c>
    </row>
    <row r="724" spans="15:15" x14ac:dyDescent="0.25">
      <c r="O724" s="21">
        <v>5.8566201857385254</v>
      </c>
    </row>
    <row r="725" spans="15:15" x14ac:dyDescent="0.25">
      <c r="O725" s="21">
        <v>9.0829510622924747</v>
      </c>
    </row>
    <row r="726" spans="15:15" x14ac:dyDescent="0.25">
      <c r="O726" s="21">
        <v>3.3615472627943221</v>
      </c>
    </row>
    <row r="727" spans="15:15" x14ac:dyDescent="0.25">
      <c r="O727" s="21">
        <v>1.6733200530681511</v>
      </c>
    </row>
    <row r="728" spans="15:15" x14ac:dyDescent="0.25">
      <c r="O728" s="21">
        <v>1.8708286933869707</v>
      </c>
    </row>
    <row r="729" spans="15:15" x14ac:dyDescent="0.25">
      <c r="O729" s="21">
        <v>3.7013511046643495</v>
      </c>
    </row>
    <row r="730" spans="15:15" x14ac:dyDescent="0.25">
      <c r="O730" s="21">
        <v>4.0865633483405102</v>
      </c>
    </row>
    <row r="731" spans="15:15" x14ac:dyDescent="0.25">
      <c r="O731" s="21">
        <v>5.196152422706632</v>
      </c>
    </row>
    <row r="732" spans="15:15" x14ac:dyDescent="0.25">
      <c r="O732" s="21">
        <v>6.1886993787063354</v>
      </c>
    </row>
    <row r="733" spans="15:15" x14ac:dyDescent="0.25">
      <c r="O733" s="21">
        <v>4.5055521304275237</v>
      </c>
    </row>
    <row r="734" spans="15:15" x14ac:dyDescent="0.25">
      <c r="O734" s="21">
        <v>4.9295030175465131</v>
      </c>
    </row>
    <row r="735" spans="15:15" x14ac:dyDescent="0.25">
      <c r="O735" s="21">
        <v>4.0620192023179804</v>
      </c>
    </row>
    <row r="736" spans="15:15" x14ac:dyDescent="0.25">
      <c r="O736" s="21">
        <v>2.1213203435596424</v>
      </c>
    </row>
    <row r="737" spans="15:15" x14ac:dyDescent="0.25">
      <c r="O737" s="21">
        <v>5.3572380943915539</v>
      </c>
    </row>
    <row r="738" spans="15:15" x14ac:dyDescent="0.25">
      <c r="O738" s="21">
        <v>2.6076809620810595</v>
      </c>
    </row>
    <row r="739" spans="15:15" x14ac:dyDescent="0.25">
      <c r="O739" s="21">
        <v>7.8549347546621959</v>
      </c>
    </row>
    <row r="740" spans="15:15" x14ac:dyDescent="0.25">
      <c r="O740" s="21">
        <v>4.2778499272414878</v>
      </c>
    </row>
    <row r="741" spans="15:15" x14ac:dyDescent="0.25">
      <c r="O741" s="21">
        <v>3.1144823004794873</v>
      </c>
    </row>
    <row r="742" spans="15:15" x14ac:dyDescent="0.25">
      <c r="O742" s="21">
        <v>6</v>
      </c>
    </row>
    <row r="743" spans="15:15" x14ac:dyDescent="0.25">
      <c r="O743" s="21">
        <v>4.0373258476372698</v>
      </c>
    </row>
    <row r="744" spans="15:15" x14ac:dyDescent="0.25">
      <c r="O744" s="21">
        <v>3.9115214431215888</v>
      </c>
    </row>
    <row r="745" spans="15:15" x14ac:dyDescent="0.25">
      <c r="O745" s="21">
        <v>2.8809720581775866</v>
      </c>
    </row>
    <row r="746" spans="15:15" x14ac:dyDescent="0.25">
      <c r="O746" s="21">
        <v>6.7305274681855325</v>
      </c>
    </row>
    <row r="747" spans="15:15" x14ac:dyDescent="0.25">
      <c r="O747" s="21">
        <v>7.5828754440515507</v>
      </c>
    </row>
    <row r="748" spans="15:15" x14ac:dyDescent="0.25">
      <c r="O748" s="21">
        <v>4.5276925690687087</v>
      </c>
    </row>
    <row r="749" spans="15:15" x14ac:dyDescent="0.25">
      <c r="O749" s="21">
        <v>2.2803508501982761</v>
      </c>
    </row>
    <row r="750" spans="15:15" x14ac:dyDescent="0.25">
      <c r="O750" s="21">
        <v>3.1622776601683795</v>
      </c>
    </row>
    <row r="751" spans="15:15" x14ac:dyDescent="0.25">
      <c r="O751" s="21">
        <v>0.83666002653407556</v>
      </c>
    </row>
    <row r="752" spans="15:15" x14ac:dyDescent="0.25">
      <c r="O752" s="21">
        <v>3.8987177379235853</v>
      </c>
    </row>
    <row r="753" spans="15:15" x14ac:dyDescent="0.25">
      <c r="O753" s="21">
        <v>3.7013511046643495</v>
      </c>
    </row>
    <row r="754" spans="15:15" x14ac:dyDescent="0.25">
      <c r="O754" s="21">
        <v>4.658325879540846</v>
      </c>
    </row>
    <row r="755" spans="15:15" x14ac:dyDescent="0.25">
      <c r="O755" s="21">
        <v>3.646916505762094</v>
      </c>
    </row>
    <row r="756" spans="15:15" x14ac:dyDescent="0.25">
      <c r="O756" s="21">
        <v>11.260550608207406</v>
      </c>
    </row>
    <row r="757" spans="15:15" x14ac:dyDescent="0.25">
      <c r="O757" s="21">
        <v>5.1672042731055079</v>
      </c>
    </row>
    <row r="758" spans="15:15" x14ac:dyDescent="0.25">
      <c r="O758" s="21">
        <v>2.5495097567963922</v>
      </c>
    </row>
    <row r="759" spans="15:15" x14ac:dyDescent="0.25">
      <c r="O759" s="21">
        <v>5.7183913821983028</v>
      </c>
    </row>
    <row r="760" spans="15:15" x14ac:dyDescent="0.25">
      <c r="O760" s="21">
        <v>4.4721359549995796</v>
      </c>
    </row>
    <row r="761" spans="15:15" x14ac:dyDescent="0.25">
      <c r="O761" s="21">
        <v>4.6151923036857259</v>
      </c>
    </row>
    <row r="762" spans="15:15" x14ac:dyDescent="0.25">
      <c r="O762" s="21">
        <v>3.7013511046643495</v>
      </c>
    </row>
    <row r="763" spans="15:15" x14ac:dyDescent="0.25">
      <c r="O763" s="21">
        <v>7.4632432628181196</v>
      </c>
    </row>
    <row r="764" spans="15:15" x14ac:dyDescent="0.25">
      <c r="O764" s="21">
        <v>2.3021728866442674</v>
      </c>
    </row>
    <row r="765" spans="15:15" x14ac:dyDescent="0.25">
      <c r="O765" s="21">
        <v>5.856620185738544</v>
      </c>
    </row>
    <row r="766" spans="15:15" x14ac:dyDescent="0.25">
      <c r="O766" s="21">
        <v>2.7748873851023212</v>
      </c>
    </row>
    <row r="767" spans="15:15" x14ac:dyDescent="0.25">
      <c r="O767" s="21">
        <v>4.1472882706655438</v>
      </c>
    </row>
    <row r="768" spans="15:15" x14ac:dyDescent="0.25">
      <c r="O768" s="21">
        <v>1.9235384061671343</v>
      </c>
    </row>
    <row r="769" spans="15:15" x14ac:dyDescent="0.25">
      <c r="O769" s="21">
        <v>3.8340579025361627</v>
      </c>
    </row>
    <row r="770" spans="15:15" x14ac:dyDescent="0.25">
      <c r="O770" s="21">
        <v>2.4083189157584592</v>
      </c>
    </row>
    <row r="771" spans="15:15" x14ac:dyDescent="0.25">
      <c r="O771" s="21">
        <v>2.3874672772626644</v>
      </c>
    </row>
    <row r="772" spans="15:15" x14ac:dyDescent="0.25">
      <c r="O772" s="21">
        <v>4.4158804331639239</v>
      </c>
    </row>
    <row r="773" spans="15:15" x14ac:dyDescent="0.25">
      <c r="O773" s="21">
        <v>2.9495762407505248</v>
      </c>
    </row>
    <row r="774" spans="15:15" x14ac:dyDescent="0.25">
      <c r="O774" s="21">
        <v>4.0373258476372698</v>
      </c>
    </row>
    <row r="775" spans="15:15" x14ac:dyDescent="0.25">
      <c r="O775" s="21">
        <v>4.2071367935925261</v>
      </c>
    </row>
    <row r="776" spans="15:15" x14ac:dyDescent="0.25">
      <c r="O776" s="21">
        <v>4.0865633483405102</v>
      </c>
    </row>
    <row r="777" spans="15:15" x14ac:dyDescent="0.25">
      <c r="O777" s="21">
        <v>5.5407580708780113</v>
      </c>
    </row>
    <row r="778" spans="15:15" x14ac:dyDescent="0.25">
      <c r="O778" s="21">
        <v>2.9664793948382648</v>
      </c>
    </row>
    <row r="779" spans="15:15" x14ac:dyDescent="0.25">
      <c r="O779" s="21">
        <v>4.0249223594996213</v>
      </c>
    </row>
    <row r="780" spans="15:15" x14ac:dyDescent="0.25">
      <c r="O780" s="21">
        <v>4.1593268686170841</v>
      </c>
    </row>
    <row r="781" spans="15:15" x14ac:dyDescent="0.25">
      <c r="O781" s="21">
        <v>5.1185935568278733</v>
      </c>
    </row>
    <row r="782" spans="15:15" x14ac:dyDescent="0.25">
      <c r="O782" s="21">
        <v>7.8421935706790613</v>
      </c>
    </row>
    <row r="783" spans="15:15" x14ac:dyDescent="0.25">
      <c r="O783" s="21">
        <v>5.3197744313081508</v>
      </c>
    </row>
    <row r="784" spans="15:15" x14ac:dyDescent="0.25">
      <c r="O784" s="21">
        <v>1.6431676725154984</v>
      </c>
    </row>
    <row r="785" spans="15:15" x14ac:dyDescent="0.25">
      <c r="O785" s="21">
        <v>3.7416573867739413</v>
      </c>
    </row>
    <row r="786" spans="15:15" x14ac:dyDescent="0.25">
      <c r="O786" s="21">
        <v>3.8340579025361627</v>
      </c>
    </row>
    <row r="787" spans="15:15" x14ac:dyDescent="0.25">
      <c r="O787" s="21">
        <v>2.9154759474226504</v>
      </c>
    </row>
    <row r="788" spans="15:15" x14ac:dyDescent="0.25">
      <c r="O788" s="21">
        <v>3.7815340802378072</v>
      </c>
    </row>
    <row r="789" spans="15:15" x14ac:dyDescent="0.25">
      <c r="O789" s="21">
        <v>3.7416573867739413</v>
      </c>
    </row>
    <row r="790" spans="15:15" x14ac:dyDescent="0.25">
      <c r="O790" s="21">
        <v>3.5637059362410923</v>
      </c>
    </row>
    <row r="791" spans="15:15" x14ac:dyDescent="0.25">
      <c r="O791" s="21">
        <v>3.3166247903553998</v>
      </c>
    </row>
    <row r="792" spans="15:15" x14ac:dyDescent="0.25">
      <c r="O792" s="21">
        <v>4.4721359549995796</v>
      </c>
    </row>
    <row r="793" spans="15:15" x14ac:dyDescent="0.25">
      <c r="O793" s="21">
        <v>3.1144823004794877</v>
      </c>
    </row>
    <row r="794" spans="15:15" x14ac:dyDescent="0.25">
      <c r="O794" s="21">
        <v>6.3796551630946183</v>
      </c>
    </row>
    <row r="795" spans="15:15" x14ac:dyDescent="0.25">
      <c r="O795" s="21">
        <v>5.3572380943915325</v>
      </c>
    </row>
    <row r="796" spans="15:15" x14ac:dyDescent="0.25">
      <c r="O796" s="21">
        <v>1.6431676725154982</v>
      </c>
    </row>
    <row r="797" spans="15:15" x14ac:dyDescent="0.25">
      <c r="O797" s="21">
        <v>4.7222875812470377</v>
      </c>
    </row>
    <row r="798" spans="15:15" x14ac:dyDescent="0.25">
      <c r="O798" s="21">
        <v>4.0373258476372698</v>
      </c>
    </row>
    <row r="799" spans="15:15" x14ac:dyDescent="0.25">
      <c r="O799" s="21">
        <v>2.8809720581775866</v>
      </c>
    </row>
    <row r="800" spans="15:15" x14ac:dyDescent="0.25">
      <c r="O800" s="21">
        <v>3.646916505762094</v>
      </c>
    </row>
    <row r="801" spans="15:15" x14ac:dyDescent="0.25">
      <c r="O801" s="21">
        <v>3.8078865529319543</v>
      </c>
    </row>
    <row r="802" spans="15:15" x14ac:dyDescent="0.25">
      <c r="O802" s="21">
        <v>3.646916505762094</v>
      </c>
    </row>
    <row r="803" spans="15:15" x14ac:dyDescent="0.25">
      <c r="O803" s="21">
        <v>4.4497190922573928</v>
      </c>
    </row>
    <row r="804" spans="15:15" x14ac:dyDescent="0.25">
      <c r="O804" s="21">
        <v>2.4083189157584592</v>
      </c>
    </row>
    <row r="805" spans="15:15" x14ac:dyDescent="0.25">
      <c r="O805" s="21">
        <v>6.3796551630946183</v>
      </c>
    </row>
    <row r="806" spans="15:15" x14ac:dyDescent="0.25">
      <c r="O806" s="21">
        <v>5</v>
      </c>
    </row>
    <row r="807" spans="15:15" x14ac:dyDescent="0.25">
      <c r="O807" s="21">
        <v>3.1144823004794873</v>
      </c>
    </row>
    <row r="808" spans="15:15" x14ac:dyDescent="0.25">
      <c r="O808" s="21">
        <v>6.0415229867972862</v>
      </c>
    </row>
    <row r="809" spans="15:15" x14ac:dyDescent="0.25">
      <c r="O809" s="21">
        <v>5.8051701094800006</v>
      </c>
    </row>
    <row r="810" spans="15:15" x14ac:dyDescent="0.25">
      <c r="O810" s="21">
        <v>6.5345237010818025</v>
      </c>
    </row>
    <row r="811" spans="15:15" x14ac:dyDescent="0.25">
      <c r="O811" s="21">
        <v>2.2803508501982761</v>
      </c>
    </row>
    <row r="812" spans="15:15" x14ac:dyDescent="0.25">
      <c r="O812" s="21">
        <v>4.919349550499537</v>
      </c>
    </row>
    <row r="813" spans="15:15" x14ac:dyDescent="0.25">
      <c r="O813" s="21">
        <v>3.8340579025361627</v>
      </c>
    </row>
    <row r="814" spans="15:15" x14ac:dyDescent="0.25">
      <c r="O814" s="21">
        <v>3.1304951684997055</v>
      </c>
    </row>
    <row r="815" spans="15:15" x14ac:dyDescent="0.25">
      <c r="O815" s="21">
        <v>3.8340579025361627</v>
      </c>
    </row>
    <row r="816" spans="15:15" x14ac:dyDescent="0.25">
      <c r="O816" s="21">
        <v>7.5166481891864541</v>
      </c>
    </row>
    <row r="817" spans="15:15" x14ac:dyDescent="0.25">
      <c r="O817" s="21">
        <v>4.6151923036857259</v>
      </c>
    </row>
    <row r="818" spans="15:15" x14ac:dyDescent="0.25">
      <c r="O818" s="21">
        <v>3.2863353450309969</v>
      </c>
    </row>
    <row r="819" spans="15:15" x14ac:dyDescent="0.25">
      <c r="O819" s="21">
        <v>3.7815340802378072</v>
      </c>
    </row>
    <row r="820" spans="15:15" x14ac:dyDescent="0.25">
      <c r="O820" s="21">
        <v>4.1593268686170841</v>
      </c>
    </row>
    <row r="821" spans="15:15" x14ac:dyDescent="0.25">
      <c r="O821" s="21">
        <v>7.1624018317879896</v>
      </c>
    </row>
    <row r="822" spans="15:15" x14ac:dyDescent="0.25">
      <c r="O822" s="21">
        <v>2.8635642126552705</v>
      </c>
    </row>
    <row r="823" spans="15:15" x14ac:dyDescent="0.25">
      <c r="O823" s="21">
        <v>2.3452078799117149</v>
      </c>
    </row>
    <row r="824" spans="15:15" x14ac:dyDescent="0.25">
      <c r="O824" s="21">
        <v>2.3874672772626644</v>
      </c>
    </row>
    <row r="825" spans="15:15" x14ac:dyDescent="0.25">
      <c r="O825" s="21">
        <v>5.9413803110051946</v>
      </c>
    </row>
    <row r="826" spans="15:15" x14ac:dyDescent="0.25">
      <c r="O826" s="21">
        <v>2.3452078799117149</v>
      </c>
    </row>
    <row r="827" spans="15:15" x14ac:dyDescent="0.25">
      <c r="O827" s="21">
        <v>5.5677643628300215</v>
      </c>
    </row>
    <row r="828" spans="15:15" x14ac:dyDescent="0.25">
      <c r="O828" s="21">
        <v>3.082207001484488</v>
      </c>
    </row>
    <row r="829" spans="15:15" x14ac:dyDescent="0.25">
      <c r="O829" s="21">
        <v>3.1937438845342623</v>
      </c>
    </row>
    <row r="830" spans="15:15" x14ac:dyDescent="0.25">
      <c r="O830" s="21">
        <v>3.4205262752974139</v>
      </c>
    </row>
    <row r="831" spans="15:15" x14ac:dyDescent="0.25">
      <c r="O831" s="21">
        <v>8.1731266966810168</v>
      </c>
    </row>
    <row r="832" spans="15:15" x14ac:dyDescent="0.25">
      <c r="O832" s="21">
        <v>6.7453687816160208</v>
      </c>
    </row>
    <row r="833" spans="15:15" x14ac:dyDescent="0.25">
      <c r="O833" s="21">
        <v>6.1886993787063354</v>
      </c>
    </row>
    <row r="834" spans="15:15" x14ac:dyDescent="0.25">
      <c r="O834" s="21">
        <v>4.6043457732885402</v>
      </c>
    </row>
    <row r="835" spans="15:15" x14ac:dyDescent="0.25">
      <c r="O835" s="21">
        <v>3.3911649915626341</v>
      </c>
    </row>
    <row r="836" spans="15:15" x14ac:dyDescent="0.25">
      <c r="O836" s="21">
        <v>4.4944410108488517</v>
      </c>
    </row>
    <row r="837" spans="15:15" x14ac:dyDescent="0.25">
      <c r="O837" s="21">
        <v>4.5276925690687087</v>
      </c>
    </row>
    <row r="838" spans="15:15" x14ac:dyDescent="0.25">
      <c r="O838" s="21">
        <v>3.2710854467592254</v>
      </c>
    </row>
    <row r="839" spans="15:15" x14ac:dyDescent="0.25">
      <c r="O839" s="21">
        <v>6.7230945255886478</v>
      </c>
    </row>
    <row r="840" spans="15:15" x14ac:dyDescent="0.25">
      <c r="O840" s="21">
        <v>4.358898943540674</v>
      </c>
    </row>
    <row r="841" spans="15:15" x14ac:dyDescent="0.25">
      <c r="O841" s="21">
        <v>2.4899799195977463</v>
      </c>
    </row>
    <row r="842" spans="15:15" x14ac:dyDescent="0.25">
      <c r="O842" s="21">
        <v>5.4037024344425229</v>
      </c>
    </row>
    <row r="843" spans="15:15" x14ac:dyDescent="0.25">
      <c r="O843" s="21">
        <v>3.4205262752974139</v>
      </c>
    </row>
    <row r="844" spans="15:15" x14ac:dyDescent="0.25">
      <c r="O844" s="21">
        <v>4.9699094559156753</v>
      </c>
    </row>
    <row r="845" spans="15:15" x14ac:dyDescent="0.25">
      <c r="O845" s="21">
        <v>5.7619441163551572</v>
      </c>
    </row>
    <row r="846" spans="15:15" x14ac:dyDescent="0.25">
      <c r="O846" s="21">
        <v>2.3021728866442679</v>
      </c>
    </row>
    <row r="847" spans="15:15" x14ac:dyDescent="0.25">
      <c r="O847" s="21">
        <v>4.3243496620879309</v>
      </c>
    </row>
    <row r="848" spans="15:15" x14ac:dyDescent="0.25">
      <c r="O848" s="21">
        <v>3.9749213828703578</v>
      </c>
    </row>
    <row r="849" spans="15:15" x14ac:dyDescent="0.25">
      <c r="O849" s="21">
        <v>1.7888543819998317</v>
      </c>
    </row>
    <row r="850" spans="15:15" x14ac:dyDescent="0.25">
      <c r="O850" s="21">
        <v>2.3021728866442674</v>
      </c>
    </row>
    <row r="851" spans="15:15" x14ac:dyDescent="0.25">
      <c r="O851" s="21">
        <v>6.1886993787063354</v>
      </c>
    </row>
    <row r="852" spans="15:15" x14ac:dyDescent="0.25">
      <c r="O852" s="21">
        <v>1.3038404810405297</v>
      </c>
    </row>
    <row r="853" spans="15:15" x14ac:dyDescent="0.25">
      <c r="O853" s="21">
        <v>6.9426219830838996</v>
      </c>
    </row>
    <row r="854" spans="15:15" x14ac:dyDescent="0.25">
      <c r="O854" s="21">
        <v>6.4265076052238657</v>
      </c>
    </row>
    <row r="855" spans="15:15" x14ac:dyDescent="0.25">
      <c r="O855" s="21">
        <v>3.714835124201342</v>
      </c>
    </row>
    <row r="856" spans="15:15" x14ac:dyDescent="0.25">
      <c r="O856" s="21">
        <v>5.9329587896765155</v>
      </c>
    </row>
    <row r="857" spans="15:15" x14ac:dyDescent="0.25">
      <c r="O857" s="21">
        <v>2.4494897427831779</v>
      </c>
    </row>
    <row r="858" spans="15:15" x14ac:dyDescent="0.25">
      <c r="O858" s="21">
        <v>5.0695167422546126</v>
      </c>
    </row>
    <row r="859" spans="15:15" x14ac:dyDescent="0.25">
      <c r="O859" s="21">
        <v>4.2190046219457971</v>
      </c>
    </row>
    <row r="860" spans="15:15" x14ac:dyDescent="0.25">
      <c r="O860" s="21">
        <v>3.8470768123342691</v>
      </c>
    </row>
    <row r="861" spans="15:15" x14ac:dyDescent="0.25">
      <c r="O861" s="21">
        <v>4.9193495504995424</v>
      </c>
    </row>
    <row r="862" spans="15:15" x14ac:dyDescent="0.25">
      <c r="O862" s="21">
        <v>3.7815340802378077</v>
      </c>
    </row>
    <row r="863" spans="15:15" x14ac:dyDescent="0.25">
      <c r="O863" s="21">
        <v>5.449770637375468</v>
      </c>
    </row>
    <row r="864" spans="15:15" x14ac:dyDescent="0.25">
      <c r="O864" s="21">
        <v>1.51657508881031</v>
      </c>
    </row>
    <row r="865" spans="15:15" x14ac:dyDescent="0.25">
      <c r="O865" s="21">
        <v>4.4384682042344297</v>
      </c>
    </row>
    <row r="866" spans="15:15" x14ac:dyDescent="0.25">
      <c r="O866" s="21">
        <v>5.9833101206606516</v>
      </c>
    </row>
    <row r="867" spans="15:15" x14ac:dyDescent="0.25">
      <c r="O867" s="21">
        <v>6.0249481325568421</v>
      </c>
    </row>
    <row r="868" spans="15:15" x14ac:dyDescent="0.25">
      <c r="O868" s="21">
        <v>6.6858058601786983</v>
      </c>
    </row>
    <row r="869" spans="15:15" x14ac:dyDescent="0.25">
      <c r="O869" s="21">
        <v>2.8284271247461903</v>
      </c>
    </row>
    <row r="870" spans="15:15" x14ac:dyDescent="0.25">
      <c r="O870" s="21">
        <v>6.4031242374328485</v>
      </c>
    </row>
    <row r="871" spans="15:15" x14ac:dyDescent="0.25">
      <c r="O871" s="21">
        <v>3.6469165057620936</v>
      </c>
    </row>
    <row r="872" spans="15:15" x14ac:dyDescent="0.25">
      <c r="O872" s="21">
        <v>5.3197744313081721</v>
      </c>
    </row>
    <row r="873" spans="15:15" x14ac:dyDescent="0.25">
      <c r="O873" s="21">
        <v>6.2289646009589896</v>
      </c>
    </row>
    <row r="874" spans="15:15" x14ac:dyDescent="0.25">
      <c r="O874" s="21">
        <v>3.3615472627943221</v>
      </c>
    </row>
    <row r="875" spans="15:15" x14ac:dyDescent="0.25">
      <c r="O875" s="21">
        <v>2.5884358211089573</v>
      </c>
    </row>
    <row r="876" spans="15:15" x14ac:dyDescent="0.25">
      <c r="O876" s="21">
        <v>4.3931765272977596</v>
      </c>
    </row>
    <row r="877" spans="15:15" x14ac:dyDescent="0.25">
      <c r="O877" s="21">
        <v>3.6331804249169899</v>
      </c>
    </row>
    <row r="878" spans="15:15" x14ac:dyDescent="0.25">
      <c r="O878" s="21">
        <v>2.5884358211089569</v>
      </c>
    </row>
    <row r="879" spans="15:15" x14ac:dyDescent="0.25">
      <c r="O879" s="21">
        <v>3.7013511046643495</v>
      </c>
    </row>
    <row r="880" spans="15:15" x14ac:dyDescent="0.25">
      <c r="O880" s="21">
        <v>4.1833001326703778</v>
      </c>
    </row>
    <row r="881" spans="15:15" x14ac:dyDescent="0.25">
      <c r="O881" s="21">
        <v>5.1672042731055079</v>
      </c>
    </row>
    <row r="882" spans="15:15" x14ac:dyDescent="0.25">
      <c r="O882" s="21">
        <v>4.636809247747852</v>
      </c>
    </row>
    <row r="883" spans="15:15" x14ac:dyDescent="0.25">
      <c r="O883" s="21">
        <v>2.3452078799117149</v>
      </c>
    </row>
    <row r="884" spans="15:15" x14ac:dyDescent="0.25">
      <c r="O884" s="21">
        <v>1.9235384061671343</v>
      </c>
    </row>
    <row r="885" spans="15:15" x14ac:dyDescent="0.25">
      <c r="O885" s="21">
        <v>3.5355339059327378</v>
      </c>
    </row>
    <row r="886" spans="15:15" x14ac:dyDescent="0.25">
      <c r="O886" s="21">
        <v>5.2725705305856225</v>
      </c>
    </row>
    <row r="887" spans="15:15" x14ac:dyDescent="0.25">
      <c r="O887" s="21">
        <v>6.9641941385920596</v>
      </c>
    </row>
    <row r="888" spans="15:15" x14ac:dyDescent="0.25">
      <c r="O888" s="21">
        <v>2.9495762407505248</v>
      </c>
    </row>
    <row r="889" spans="15:15" x14ac:dyDescent="0.25">
      <c r="O889" s="21">
        <v>3.1622776601683795</v>
      </c>
    </row>
    <row r="890" spans="15:15" x14ac:dyDescent="0.25">
      <c r="O890" s="21">
        <v>3.701351104664349</v>
      </c>
    </row>
    <row r="891" spans="15:15" x14ac:dyDescent="0.25">
      <c r="O891" s="21">
        <v>3.4351128074635335</v>
      </c>
    </row>
    <row r="892" spans="15:15" x14ac:dyDescent="0.25">
      <c r="O892" s="21">
        <v>4.7958315233127191</v>
      </c>
    </row>
    <row r="893" spans="15:15" x14ac:dyDescent="0.25">
      <c r="O893" s="21">
        <v>3.9749213828703582</v>
      </c>
    </row>
    <row r="894" spans="15:15" x14ac:dyDescent="0.25">
      <c r="O894" s="21">
        <v>2.0736441353327719</v>
      </c>
    </row>
    <row r="895" spans="15:15" x14ac:dyDescent="0.25">
      <c r="O895" s="21">
        <v>2.7386127875258306</v>
      </c>
    </row>
    <row r="896" spans="15:15" x14ac:dyDescent="0.25">
      <c r="O896" s="21">
        <v>7.362064927722388</v>
      </c>
    </row>
    <row r="897" spans="15:15" x14ac:dyDescent="0.25">
      <c r="O897" s="21">
        <v>5.7619441163551777</v>
      </c>
    </row>
    <row r="898" spans="15:15" x14ac:dyDescent="0.25">
      <c r="O898" s="21">
        <v>8.6197447758039765</v>
      </c>
    </row>
    <row r="899" spans="15:15" x14ac:dyDescent="0.25">
      <c r="O899" s="21">
        <v>2.3021728866442674</v>
      </c>
    </row>
    <row r="900" spans="15:15" x14ac:dyDescent="0.25">
      <c r="O900" s="21">
        <v>6.1400325732034853</v>
      </c>
    </row>
    <row r="901" spans="15:15" x14ac:dyDescent="0.25">
      <c r="O901" s="21">
        <v>5.0990195135927845</v>
      </c>
    </row>
    <row r="902" spans="15:15" x14ac:dyDescent="0.25">
      <c r="O902" s="21">
        <v>5.7183913821983232</v>
      </c>
    </row>
    <row r="903" spans="15:15" x14ac:dyDescent="0.25">
      <c r="O903" s="21">
        <v>4.1472882706655438</v>
      </c>
    </row>
    <row r="904" spans="15:15" x14ac:dyDescent="0.25">
      <c r="O904" s="21">
        <v>9.5236547606472914</v>
      </c>
    </row>
    <row r="905" spans="15:15" x14ac:dyDescent="0.25">
      <c r="O905" s="21">
        <v>4.6904157598234297</v>
      </c>
    </row>
    <row r="906" spans="15:15" x14ac:dyDescent="0.25">
      <c r="O906" s="21">
        <v>4.2661458015403086</v>
      </c>
    </row>
    <row r="907" spans="15:15" x14ac:dyDescent="0.25">
      <c r="O907" s="21">
        <v>5.5045435778091703</v>
      </c>
    </row>
    <row r="908" spans="15:15" x14ac:dyDescent="0.25">
      <c r="O908" s="21">
        <v>6.4187226143524709</v>
      </c>
    </row>
    <row r="909" spans="15:15" x14ac:dyDescent="0.25">
      <c r="O909" s="21">
        <v>5.3385391260156556</v>
      </c>
    </row>
    <row r="910" spans="15:15" x14ac:dyDescent="0.25">
      <c r="O910" s="21">
        <v>3.5777087639996634</v>
      </c>
    </row>
    <row r="911" spans="15:15" x14ac:dyDescent="0.25">
      <c r="O911" s="21">
        <v>4.0865633483405102</v>
      </c>
    </row>
    <row r="912" spans="15:15" x14ac:dyDescent="0.25">
      <c r="O912" s="21">
        <v>7.0213958726167967</v>
      </c>
    </row>
    <row r="913" spans="15:15" x14ac:dyDescent="0.25">
      <c r="O913" s="21">
        <v>4.1593268686170841</v>
      </c>
    </row>
    <row r="914" spans="15:15" x14ac:dyDescent="0.25">
      <c r="O914" s="21">
        <v>4.6043457732885358</v>
      </c>
    </row>
    <row r="915" spans="15:15" x14ac:dyDescent="0.25">
      <c r="O915" s="21">
        <v>4.8476798574163293</v>
      </c>
    </row>
    <row r="916" spans="15:15" x14ac:dyDescent="0.25">
      <c r="O916" s="21">
        <v>3.4205262752974139</v>
      </c>
    </row>
    <row r="917" spans="15:15" x14ac:dyDescent="0.25">
      <c r="O917" s="21">
        <v>2.9664793948382648</v>
      </c>
    </row>
    <row r="918" spans="15:15" x14ac:dyDescent="0.25">
      <c r="O918" s="21">
        <v>5.0695167422546348</v>
      </c>
    </row>
    <row r="919" spans="15:15" x14ac:dyDescent="0.25">
      <c r="O919" s="21">
        <v>4.6690470119715206</v>
      </c>
    </row>
    <row r="920" spans="15:15" x14ac:dyDescent="0.25">
      <c r="O920" s="21">
        <v>5.0793700396801356</v>
      </c>
    </row>
    <row r="921" spans="15:15" x14ac:dyDescent="0.25">
      <c r="O921" s="21">
        <v>4.4497190922573928</v>
      </c>
    </row>
    <row r="922" spans="15:15" x14ac:dyDescent="0.25">
      <c r="O922" s="21">
        <v>4.5497252664309302</v>
      </c>
    </row>
    <row r="923" spans="15:15" x14ac:dyDescent="0.25">
      <c r="O923" s="21">
        <v>6.8190908484929276</v>
      </c>
    </row>
    <row r="924" spans="15:15" x14ac:dyDescent="0.25">
      <c r="O924" s="21">
        <v>3.8078865529319543</v>
      </c>
    </row>
    <row r="925" spans="15:15" x14ac:dyDescent="0.25">
      <c r="O925" s="21">
        <v>5.9329587896765155</v>
      </c>
    </row>
    <row r="926" spans="15:15" x14ac:dyDescent="0.25">
      <c r="O926" s="21">
        <v>5.2725705305856438</v>
      </c>
    </row>
    <row r="927" spans="15:15" x14ac:dyDescent="0.25">
      <c r="O927" s="21">
        <v>3.3615472627943221</v>
      </c>
    </row>
    <row r="928" spans="15:15" x14ac:dyDescent="0.25">
      <c r="O928" s="21">
        <v>4.5497252664309302</v>
      </c>
    </row>
    <row r="929" spans="15:15" x14ac:dyDescent="0.25">
      <c r="O929" s="21">
        <v>6.3482280992415658</v>
      </c>
    </row>
    <row r="930" spans="15:15" x14ac:dyDescent="0.25">
      <c r="O930" s="21">
        <v>3.2093613071762426</v>
      </c>
    </row>
    <row r="931" spans="15:15" x14ac:dyDescent="0.25">
      <c r="O931" s="21">
        <v>3.2863353450309969</v>
      </c>
    </row>
    <row r="932" spans="15:15" x14ac:dyDescent="0.25">
      <c r="O932" s="21">
        <v>6.1237243569579451</v>
      </c>
    </row>
    <row r="933" spans="15:15" x14ac:dyDescent="0.25">
      <c r="O933" s="21">
        <v>4.0620192023179804</v>
      </c>
    </row>
    <row r="934" spans="15:15" x14ac:dyDescent="0.25">
      <c r="O934" s="21">
        <v>4</v>
      </c>
    </row>
    <row r="935" spans="15:15" x14ac:dyDescent="0.25">
      <c r="O935" s="21">
        <v>4.2071367935925261</v>
      </c>
    </row>
    <row r="936" spans="15:15" x14ac:dyDescent="0.25">
      <c r="O936" s="21">
        <v>7.5299402388066676</v>
      </c>
    </row>
    <row r="937" spans="15:15" x14ac:dyDescent="0.25">
      <c r="O937" s="21">
        <v>5.3197744313081721</v>
      </c>
    </row>
    <row r="938" spans="15:15" x14ac:dyDescent="0.25">
      <c r="O938" s="21">
        <v>2.7748873851023217</v>
      </c>
    </row>
    <row r="939" spans="15:15" x14ac:dyDescent="0.25">
      <c r="O939" s="21">
        <v>5.0299105359837348</v>
      </c>
    </row>
    <row r="940" spans="15:15" x14ac:dyDescent="0.25">
      <c r="O940" s="21">
        <v>3.3911649915626341</v>
      </c>
    </row>
    <row r="941" spans="15:15" x14ac:dyDescent="0.25">
      <c r="O941" s="21">
        <v>4.5055521304275237</v>
      </c>
    </row>
    <row r="942" spans="15:15" x14ac:dyDescent="0.25">
      <c r="O942" s="21">
        <v>6.1806148561449623</v>
      </c>
    </row>
    <row r="943" spans="15:15" x14ac:dyDescent="0.25">
      <c r="O943" s="21">
        <v>4.9295030175465131</v>
      </c>
    </row>
    <row r="944" spans="15:15" x14ac:dyDescent="0.25">
      <c r="O944" s="21">
        <v>2.9495762407505248</v>
      </c>
    </row>
    <row r="945" spans="15:15" x14ac:dyDescent="0.25">
      <c r="O945" s="21">
        <v>5.0497524691810387</v>
      </c>
    </row>
    <row r="946" spans="15:15" x14ac:dyDescent="0.25">
      <c r="O946" s="21">
        <v>5.0695167422546348</v>
      </c>
    </row>
    <row r="947" spans="15:15" x14ac:dyDescent="0.25">
      <c r="O947" s="21">
        <v>4.8166378315168989</v>
      </c>
    </row>
    <row r="948" spans="15:15" x14ac:dyDescent="0.25">
      <c r="O948" s="21">
        <v>2.5099800796022267</v>
      </c>
    </row>
    <row r="949" spans="15:15" x14ac:dyDescent="0.25">
      <c r="O949" s="21">
        <v>6.9785385289471478</v>
      </c>
    </row>
    <row r="950" spans="15:15" x14ac:dyDescent="0.25">
      <c r="O950" s="21">
        <v>2.9154759474226504</v>
      </c>
    </row>
    <row r="951" spans="15:15" x14ac:dyDescent="0.25">
      <c r="O951" s="21">
        <v>4.7222875812470377</v>
      </c>
    </row>
    <row r="952" spans="15:15" x14ac:dyDescent="0.25">
      <c r="O952" s="21">
        <v>2.4899799195977463</v>
      </c>
    </row>
    <row r="953" spans="15:15" x14ac:dyDescent="0.25">
      <c r="O953" s="21">
        <v>3.3466401061363023</v>
      </c>
    </row>
    <row r="954" spans="15:15" x14ac:dyDescent="0.25">
      <c r="O954" s="21">
        <v>3.8987177379235853</v>
      </c>
    </row>
    <row r="955" spans="15:15" x14ac:dyDescent="0.25">
      <c r="O955" s="21">
        <v>1.9493588689617927</v>
      </c>
    </row>
    <row r="956" spans="15:15" x14ac:dyDescent="0.25">
      <c r="O956" s="21">
        <v>5.7879184513951127</v>
      </c>
    </row>
    <row r="957" spans="15:15" x14ac:dyDescent="0.25">
      <c r="O957" s="21">
        <v>5.6833088953531243</v>
      </c>
    </row>
    <row r="958" spans="15:15" x14ac:dyDescent="0.25">
      <c r="O958" s="21">
        <v>2.8809720581775866</v>
      </c>
    </row>
    <row r="959" spans="15:15" x14ac:dyDescent="0.25">
      <c r="O959" s="21">
        <v>2.9495762407505248</v>
      </c>
    </row>
    <row r="960" spans="15:15" x14ac:dyDescent="0.25">
      <c r="O960" s="21">
        <v>3.082207001484488</v>
      </c>
    </row>
    <row r="961" spans="15:15" x14ac:dyDescent="0.25">
      <c r="O961" s="21">
        <v>3.9749213828703578</v>
      </c>
    </row>
    <row r="962" spans="15:15" x14ac:dyDescent="0.25">
      <c r="O962" s="21">
        <v>4.6043457732885402</v>
      </c>
    </row>
    <row r="963" spans="15:15" x14ac:dyDescent="0.25">
      <c r="O963" s="21">
        <v>6.5802735505448373</v>
      </c>
    </row>
    <row r="964" spans="15:15" x14ac:dyDescent="0.25">
      <c r="O964" s="21">
        <v>7.4296702484026715</v>
      </c>
    </row>
    <row r="965" spans="15:15" x14ac:dyDescent="0.25">
      <c r="O965" s="21">
        <v>3.082207001484488</v>
      </c>
    </row>
    <row r="966" spans="15:15" x14ac:dyDescent="0.25">
      <c r="O966" s="21">
        <v>3</v>
      </c>
    </row>
    <row r="967" spans="15:15" x14ac:dyDescent="0.25">
      <c r="O967" s="21">
        <v>3.9115214431215892</v>
      </c>
    </row>
    <row r="968" spans="15:15" x14ac:dyDescent="0.25">
      <c r="O968" s="21">
        <v>4.0620192023179804</v>
      </c>
    </row>
    <row r="969" spans="15:15" x14ac:dyDescent="0.25">
      <c r="O969" s="21">
        <v>3.2710854467592254</v>
      </c>
    </row>
    <row r="970" spans="15:15" x14ac:dyDescent="0.25">
      <c r="O970" s="21">
        <v>5.3665631459995122</v>
      </c>
    </row>
    <row r="971" spans="15:15" x14ac:dyDescent="0.25">
      <c r="O971" s="21">
        <v>3.646916505762094</v>
      </c>
    </row>
    <row r="972" spans="15:15" x14ac:dyDescent="0.25">
      <c r="O972" s="21">
        <v>3.4641016151377544</v>
      </c>
    </row>
    <row r="973" spans="15:15" x14ac:dyDescent="0.25">
      <c r="O973" s="21">
        <v>3.1144823004794873</v>
      </c>
    </row>
    <row r="974" spans="15:15" x14ac:dyDescent="0.25">
      <c r="O974" s="21">
        <v>3.5637059362410923</v>
      </c>
    </row>
    <row r="975" spans="15:15" x14ac:dyDescent="0.25">
      <c r="O975" s="21">
        <v>2.9664793948382648</v>
      </c>
    </row>
    <row r="976" spans="15:15" x14ac:dyDescent="0.25">
      <c r="O976" s="21">
        <v>7.7653074633268826</v>
      </c>
    </row>
    <row r="977" spans="15:15" x14ac:dyDescent="0.25">
      <c r="O977" s="21">
        <v>4.8270073544588676</v>
      </c>
    </row>
    <row r="978" spans="15:15" x14ac:dyDescent="0.25">
      <c r="O978" s="21">
        <v>5.4497706373754893</v>
      </c>
    </row>
    <row r="979" spans="15:15" x14ac:dyDescent="0.25">
      <c r="O979" s="21">
        <v>3.03315017762062</v>
      </c>
    </row>
    <row r="980" spans="15:15" x14ac:dyDescent="0.25">
      <c r="O980" s="21">
        <v>4.0373258476372698</v>
      </c>
    </row>
    <row r="981" spans="15:15" x14ac:dyDescent="0.25">
      <c r="O981" s="21">
        <v>3.8470768123342691</v>
      </c>
    </row>
    <row r="982" spans="15:15" x14ac:dyDescent="0.25">
      <c r="O982" s="21">
        <v>5.9749476985158472</v>
      </c>
    </row>
    <row r="983" spans="15:15" x14ac:dyDescent="0.25">
      <c r="O983" s="21">
        <v>2.0493901531919194</v>
      </c>
    </row>
    <row r="984" spans="15:15" x14ac:dyDescent="0.25">
      <c r="O984" s="21">
        <v>3.5637059362410923</v>
      </c>
    </row>
    <row r="985" spans="15:15" x14ac:dyDescent="0.25">
      <c r="O985" s="21">
        <v>3.646916505762094</v>
      </c>
    </row>
    <row r="986" spans="15:15" x14ac:dyDescent="0.25">
      <c r="O986" s="21">
        <v>3.1304951684997055</v>
      </c>
    </row>
    <row r="987" spans="15:15" x14ac:dyDescent="0.25">
      <c r="O987" s="21">
        <v>2.7748873851023212</v>
      </c>
    </row>
    <row r="988" spans="15:15" x14ac:dyDescent="0.25">
      <c r="O988" s="21">
        <v>5.4037024344425015</v>
      </c>
    </row>
    <row r="989" spans="15:15" x14ac:dyDescent="0.25">
      <c r="O989" s="21">
        <v>2.7748873851023221</v>
      </c>
    </row>
    <row r="990" spans="15:15" x14ac:dyDescent="0.25">
      <c r="O990" s="21">
        <v>5.5856960175075603</v>
      </c>
    </row>
    <row r="991" spans="15:15" x14ac:dyDescent="0.25">
      <c r="O991" s="21">
        <v>2.9495762407505248</v>
      </c>
    </row>
    <row r="992" spans="15:15" x14ac:dyDescent="0.25">
      <c r="O992" s="21">
        <v>5.7619441163551777</v>
      </c>
    </row>
    <row r="993" spans="15:15" x14ac:dyDescent="0.25">
      <c r="O993" s="21">
        <v>3.082207001484488</v>
      </c>
    </row>
    <row r="994" spans="15:15" x14ac:dyDescent="0.25">
      <c r="O994" s="21">
        <v>6.1073725938409842</v>
      </c>
    </row>
    <row r="995" spans="15:15" x14ac:dyDescent="0.25">
      <c r="O995" s="21">
        <v>3.2863353450309964</v>
      </c>
    </row>
    <row r="996" spans="15:15" x14ac:dyDescent="0.25">
      <c r="O996" s="21">
        <v>8.2036577207974712</v>
      </c>
    </row>
    <row r="997" spans="15:15" x14ac:dyDescent="0.25">
      <c r="O997" s="21">
        <v>4.3358966777357599</v>
      </c>
    </row>
    <row r="998" spans="15:15" x14ac:dyDescent="0.25">
      <c r="O998" s="21">
        <v>4.4384682042344297</v>
      </c>
    </row>
    <row r="999" spans="15:15" x14ac:dyDescent="0.25">
      <c r="O999" s="21">
        <v>6.3639610306789276</v>
      </c>
    </row>
    <row r="1000" spans="15:15" x14ac:dyDescent="0.25">
      <c r="O1000" s="21">
        <v>4.0865633483405102</v>
      </c>
    </row>
    <row r="1001" spans="15:15" x14ac:dyDescent="0.25">
      <c r="O1001" s="21">
        <v>2.9154759474226504</v>
      </c>
    </row>
    <row r="1002" spans="15:15" x14ac:dyDescent="0.25">
      <c r="O1002" s="21">
        <v>3.3615472627943221</v>
      </c>
    </row>
    <row r="1003" spans="15:15" x14ac:dyDescent="0.25">
      <c r="O1003" s="21">
        <v>5.5226805085936306</v>
      </c>
    </row>
    <row r="1004" spans="15:15" x14ac:dyDescent="0.25">
      <c r="O1004" s="21">
        <v>5.3665631459995122</v>
      </c>
    </row>
    <row r="1005" spans="15:15" x14ac:dyDescent="0.25">
      <c r="O1005" s="21"/>
    </row>
    <row r="1006" spans="15:15" x14ac:dyDescent="0.25">
      <c r="O1006" s="21"/>
    </row>
    <row r="1007" spans="15:15" x14ac:dyDescent="0.25">
      <c r="O1007" s="21"/>
    </row>
    <row r="1008" spans="15:15" x14ac:dyDescent="0.25">
      <c r="O1008" s="21"/>
    </row>
    <row r="1009" spans="15:15" x14ac:dyDescent="0.25">
      <c r="O1009" s="21"/>
    </row>
    <row r="1010" spans="15:15" x14ac:dyDescent="0.25">
      <c r="O1010" s="21"/>
    </row>
    <row r="1011" spans="15:15" x14ac:dyDescent="0.25">
      <c r="O1011" s="21"/>
    </row>
    <row r="1012" spans="15:15" x14ac:dyDescent="0.25">
      <c r="O1012" s="21"/>
    </row>
    <row r="1013" spans="15:15" x14ac:dyDescent="0.25">
      <c r="O1013" s="21"/>
    </row>
    <row r="1014" spans="15:15" x14ac:dyDescent="0.25">
      <c r="O1014" s="21"/>
    </row>
    <row r="1015" spans="15:15" x14ac:dyDescent="0.25">
      <c r="O1015" s="21"/>
    </row>
    <row r="1016" spans="15:15" x14ac:dyDescent="0.25">
      <c r="O1016" s="21"/>
    </row>
    <row r="1017" spans="15:15" x14ac:dyDescent="0.25">
      <c r="O1017" s="21"/>
    </row>
    <row r="1018" spans="15:15" x14ac:dyDescent="0.25">
      <c r="O1018" s="21"/>
    </row>
    <row r="1019" spans="15:15" x14ac:dyDescent="0.25">
      <c r="O1019" s="21"/>
    </row>
    <row r="1020" spans="15:15" x14ac:dyDescent="0.25">
      <c r="O1020" s="21"/>
    </row>
    <row r="1021" spans="15:15" x14ac:dyDescent="0.25">
      <c r="O1021" s="21"/>
    </row>
    <row r="1022" spans="15:15" x14ac:dyDescent="0.25">
      <c r="O1022" s="21"/>
    </row>
    <row r="1023" spans="15:15" x14ac:dyDescent="0.25">
      <c r="O1023" s="21"/>
    </row>
    <row r="1024" spans="15:15" x14ac:dyDescent="0.25">
      <c r="O1024" s="21"/>
    </row>
    <row r="1025" spans="15:15" x14ac:dyDescent="0.25">
      <c r="O1025" s="21"/>
    </row>
    <row r="1026" spans="15:15" x14ac:dyDescent="0.25">
      <c r="O1026" s="21"/>
    </row>
    <row r="1027" spans="15:15" x14ac:dyDescent="0.25">
      <c r="O1027" s="21"/>
    </row>
    <row r="1028" spans="15:15" x14ac:dyDescent="0.25">
      <c r="O1028" s="21"/>
    </row>
    <row r="1029" spans="15:15" x14ac:dyDescent="0.25">
      <c r="O1029" s="21"/>
    </row>
    <row r="1030" spans="15:15" x14ac:dyDescent="0.25">
      <c r="O1030" s="21"/>
    </row>
    <row r="1031" spans="15:15" x14ac:dyDescent="0.25">
      <c r="O1031" s="21"/>
    </row>
    <row r="1032" spans="15:15" x14ac:dyDescent="0.25">
      <c r="O1032" s="21"/>
    </row>
    <row r="1033" spans="15:15" x14ac:dyDescent="0.25">
      <c r="O1033" s="21"/>
    </row>
    <row r="1034" spans="15:15" x14ac:dyDescent="0.25">
      <c r="O1034" s="21"/>
    </row>
    <row r="1035" spans="15:15" x14ac:dyDescent="0.25">
      <c r="O1035" s="21"/>
    </row>
    <row r="1036" spans="15:15" x14ac:dyDescent="0.25">
      <c r="O1036" s="21"/>
    </row>
    <row r="1037" spans="15:15" x14ac:dyDescent="0.25">
      <c r="O1037" s="21"/>
    </row>
    <row r="1038" spans="15:15" x14ac:dyDescent="0.25">
      <c r="O1038" s="21"/>
    </row>
    <row r="1039" spans="15:15" x14ac:dyDescent="0.25">
      <c r="O1039" s="21"/>
    </row>
    <row r="1040" spans="15:15" x14ac:dyDescent="0.25">
      <c r="O1040" s="21"/>
    </row>
    <row r="1041" spans="15:15" x14ac:dyDescent="0.25">
      <c r="O1041" s="21"/>
    </row>
    <row r="1042" spans="15:15" x14ac:dyDescent="0.25">
      <c r="O1042" s="21"/>
    </row>
    <row r="1043" spans="15:15" x14ac:dyDescent="0.25">
      <c r="O1043" s="21"/>
    </row>
    <row r="1044" spans="15:15" x14ac:dyDescent="0.25">
      <c r="O1044" s="21"/>
    </row>
    <row r="1045" spans="15:15" x14ac:dyDescent="0.25">
      <c r="O1045" s="21"/>
    </row>
    <row r="1046" spans="15:15" x14ac:dyDescent="0.25">
      <c r="O1046" s="21"/>
    </row>
    <row r="1047" spans="15:15" x14ac:dyDescent="0.25">
      <c r="O1047" s="21"/>
    </row>
    <row r="1048" spans="15:15" x14ac:dyDescent="0.25">
      <c r="O1048" s="21"/>
    </row>
    <row r="1049" spans="15:15" x14ac:dyDescent="0.25">
      <c r="O1049" s="21"/>
    </row>
    <row r="1050" spans="15:15" x14ac:dyDescent="0.25">
      <c r="O1050" s="21"/>
    </row>
    <row r="1051" spans="15:15" x14ac:dyDescent="0.25">
      <c r="O1051" s="21"/>
    </row>
    <row r="1052" spans="15:15" x14ac:dyDescent="0.25">
      <c r="O1052" s="21"/>
    </row>
    <row r="1053" spans="15:15" x14ac:dyDescent="0.25">
      <c r="O1053" s="21"/>
    </row>
    <row r="1054" spans="15:15" x14ac:dyDescent="0.25">
      <c r="O1054" s="21"/>
    </row>
    <row r="1055" spans="15:15" x14ac:dyDescent="0.25">
      <c r="O1055" s="21"/>
    </row>
    <row r="1056" spans="15:15" x14ac:dyDescent="0.25">
      <c r="O1056" s="21"/>
    </row>
    <row r="1057" spans="15:15" x14ac:dyDescent="0.25">
      <c r="O1057" s="21"/>
    </row>
    <row r="1058" spans="15:15" x14ac:dyDescent="0.25">
      <c r="O1058" s="21"/>
    </row>
    <row r="1059" spans="15:15" x14ac:dyDescent="0.25">
      <c r="O1059" s="21"/>
    </row>
    <row r="1060" spans="15:15" x14ac:dyDescent="0.25">
      <c r="O1060" s="21"/>
    </row>
    <row r="1061" spans="15:15" x14ac:dyDescent="0.25">
      <c r="O1061" s="21"/>
    </row>
    <row r="1062" spans="15:15" x14ac:dyDescent="0.25">
      <c r="O1062" s="21"/>
    </row>
    <row r="1063" spans="15:15" x14ac:dyDescent="0.25">
      <c r="O1063" s="21"/>
    </row>
    <row r="1064" spans="15:15" x14ac:dyDescent="0.25">
      <c r="O1064" s="21"/>
    </row>
    <row r="1065" spans="15:15" x14ac:dyDescent="0.25">
      <c r="O1065" s="21"/>
    </row>
    <row r="1066" spans="15:15" x14ac:dyDescent="0.25">
      <c r="O1066" s="21"/>
    </row>
    <row r="1067" spans="15:15" x14ac:dyDescent="0.25">
      <c r="O1067" s="21"/>
    </row>
    <row r="1068" spans="15:15" x14ac:dyDescent="0.25">
      <c r="O1068" s="21"/>
    </row>
    <row r="1069" spans="15:15" x14ac:dyDescent="0.25">
      <c r="O1069" s="21"/>
    </row>
    <row r="1070" spans="15:15" x14ac:dyDescent="0.25">
      <c r="O1070" s="21"/>
    </row>
    <row r="1071" spans="15:15" x14ac:dyDescent="0.25">
      <c r="O1071" s="21"/>
    </row>
    <row r="1072" spans="15:15" x14ac:dyDescent="0.25">
      <c r="O1072" s="21"/>
    </row>
    <row r="1073" spans="15:15" x14ac:dyDescent="0.25">
      <c r="O1073" s="21"/>
    </row>
    <row r="1074" spans="15:15" x14ac:dyDescent="0.25">
      <c r="O1074" s="21"/>
    </row>
    <row r="1075" spans="15:15" x14ac:dyDescent="0.25">
      <c r="O1075" s="21"/>
    </row>
    <row r="1076" spans="15:15" x14ac:dyDescent="0.25">
      <c r="O1076" s="21"/>
    </row>
    <row r="1077" spans="15:15" x14ac:dyDescent="0.25">
      <c r="O1077" s="21"/>
    </row>
    <row r="1078" spans="15:15" x14ac:dyDescent="0.25">
      <c r="O1078" s="21"/>
    </row>
    <row r="1079" spans="15:15" x14ac:dyDescent="0.25">
      <c r="O1079" s="21"/>
    </row>
    <row r="1080" spans="15:15" x14ac:dyDescent="0.25">
      <c r="O1080" s="21"/>
    </row>
    <row r="1081" spans="15:15" x14ac:dyDescent="0.25">
      <c r="O1081" s="21"/>
    </row>
    <row r="1082" spans="15:15" x14ac:dyDescent="0.25">
      <c r="O1082" s="21"/>
    </row>
    <row r="1083" spans="15:15" x14ac:dyDescent="0.25">
      <c r="O1083" s="21"/>
    </row>
    <row r="1084" spans="15:15" x14ac:dyDescent="0.25">
      <c r="O1084" s="21"/>
    </row>
    <row r="1085" spans="15:15" x14ac:dyDescent="0.25">
      <c r="O1085" s="21"/>
    </row>
    <row r="1086" spans="15:15" x14ac:dyDescent="0.25">
      <c r="O1086" s="21"/>
    </row>
    <row r="1087" spans="15:15" x14ac:dyDescent="0.25">
      <c r="O1087" s="21"/>
    </row>
    <row r="1088" spans="15:15" x14ac:dyDescent="0.25">
      <c r="O1088" s="21"/>
    </row>
    <row r="1089" spans="15:15" x14ac:dyDescent="0.25">
      <c r="O1089" s="21"/>
    </row>
    <row r="1090" spans="15:15" x14ac:dyDescent="0.25">
      <c r="O1090" s="21"/>
    </row>
    <row r="1091" spans="15:15" x14ac:dyDescent="0.25">
      <c r="O1091" s="21"/>
    </row>
    <row r="1092" spans="15:15" x14ac:dyDescent="0.25">
      <c r="O1092" s="21"/>
    </row>
    <row r="1093" spans="15:15" x14ac:dyDescent="0.25">
      <c r="O1093" s="21"/>
    </row>
    <row r="1094" spans="15:15" x14ac:dyDescent="0.25">
      <c r="O1094" s="21"/>
    </row>
    <row r="1095" spans="15:15" x14ac:dyDescent="0.25">
      <c r="O1095" s="21"/>
    </row>
    <row r="1096" spans="15:15" x14ac:dyDescent="0.25">
      <c r="O1096" s="21"/>
    </row>
    <row r="1097" spans="15:15" x14ac:dyDescent="0.25">
      <c r="O1097" s="21"/>
    </row>
    <row r="1098" spans="15:15" x14ac:dyDescent="0.25">
      <c r="O1098" s="21"/>
    </row>
    <row r="1099" spans="15:15" x14ac:dyDescent="0.25">
      <c r="O1099" s="21"/>
    </row>
    <row r="1100" spans="15:15" x14ac:dyDescent="0.25">
      <c r="O1100" s="21"/>
    </row>
    <row r="1101" spans="15:15" x14ac:dyDescent="0.25">
      <c r="O1101" s="21"/>
    </row>
    <row r="1102" spans="15:15" x14ac:dyDescent="0.25">
      <c r="O1102" s="21"/>
    </row>
    <row r="1103" spans="15:15" x14ac:dyDescent="0.25">
      <c r="O1103" s="21"/>
    </row>
    <row r="1104" spans="15:15" x14ac:dyDescent="0.25">
      <c r="O1104" s="21"/>
    </row>
    <row r="1105" spans="15:15" x14ac:dyDescent="0.25">
      <c r="O1105" s="21"/>
    </row>
    <row r="1106" spans="15:15" x14ac:dyDescent="0.25">
      <c r="O1106" s="21"/>
    </row>
    <row r="1107" spans="15:15" x14ac:dyDescent="0.25">
      <c r="O1107" s="21"/>
    </row>
    <row r="1108" spans="15:15" x14ac:dyDescent="0.25">
      <c r="O1108" s="21"/>
    </row>
    <row r="1109" spans="15:15" x14ac:dyDescent="0.25">
      <c r="O1109" s="21"/>
    </row>
    <row r="1110" spans="15:15" x14ac:dyDescent="0.25">
      <c r="O1110" s="21"/>
    </row>
    <row r="1111" spans="15:15" x14ac:dyDescent="0.25">
      <c r="O1111" s="21"/>
    </row>
    <row r="1112" spans="15:15" x14ac:dyDescent="0.25">
      <c r="O1112" s="21"/>
    </row>
    <row r="1113" spans="15:15" x14ac:dyDescent="0.25">
      <c r="O1113" s="21"/>
    </row>
    <row r="1114" spans="15:15" x14ac:dyDescent="0.25">
      <c r="O1114" s="21"/>
    </row>
    <row r="1115" spans="15:15" x14ac:dyDescent="0.25">
      <c r="O1115" s="21"/>
    </row>
    <row r="1116" spans="15:15" x14ac:dyDescent="0.25">
      <c r="O1116" s="21"/>
    </row>
    <row r="1117" spans="15:15" x14ac:dyDescent="0.25">
      <c r="O1117" s="21"/>
    </row>
    <row r="1118" spans="15:15" x14ac:dyDescent="0.25">
      <c r="O1118" s="21"/>
    </row>
    <row r="1119" spans="15:15" x14ac:dyDescent="0.25">
      <c r="O1119" s="21"/>
    </row>
    <row r="1120" spans="15:15" x14ac:dyDescent="0.25">
      <c r="O1120" s="21"/>
    </row>
    <row r="1121" spans="15:15" x14ac:dyDescent="0.25">
      <c r="O1121" s="21"/>
    </row>
    <row r="1122" spans="15:15" x14ac:dyDescent="0.25">
      <c r="O1122" s="21"/>
    </row>
    <row r="1123" spans="15:15" x14ac:dyDescent="0.25">
      <c r="O1123" s="21"/>
    </row>
    <row r="1124" spans="15:15" x14ac:dyDescent="0.25">
      <c r="O1124" s="21"/>
    </row>
    <row r="1125" spans="15:15" x14ac:dyDescent="0.25">
      <c r="O1125" s="21"/>
    </row>
    <row r="1126" spans="15:15" x14ac:dyDescent="0.25">
      <c r="O1126" s="21"/>
    </row>
    <row r="1127" spans="15:15" x14ac:dyDescent="0.25">
      <c r="O1127" s="21"/>
    </row>
    <row r="1128" spans="15:15" x14ac:dyDescent="0.25">
      <c r="O1128" s="21"/>
    </row>
    <row r="1129" spans="15:15" x14ac:dyDescent="0.25">
      <c r="O1129" s="21"/>
    </row>
    <row r="1130" spans="15:15" x14ac:dyDescent="0.25">
      <c r="O1130" s="21"/>
    </row>
    <row r="1131" spans="15:15" x14ac:dyDescent="0.25">
      <c r="O1131" s="21"/>
    </row>
    <row r="1132" spans="15:15" x14ac:dyDescent="0.25">
      <c r="O1132" s="21"/>
    </row>
    <row r="1133" spans="15:15" x14ac:dyDescent="0.25">
      <c r="O1133" s="21"/>
    </row>
    <row r="1134" spans="15:15" x14ac:dyDescent="0.25">
      <c r="O1134" s="21"/>
    </row>
    <row r="1135" spans="15:15" x14ac:dyDescent="0.25">
      <c r="O1135" s="21"/>
    </row>
    <row r="1136" spans="15:15" x14ac:dyDescent="0.25">
      <c r="O1136" s="21"/>
    </row>
    <row r="1137" spans="15:15" x14ac:dyDescent="0.25">
      <c r="O1137" s="21"/>
    </row>
    <row r="1138" spans="15:15" x14ac:dyDescent="0.25">
      <c r="O1138" s="21"/>
    </row>
    <row r="1139" spans="15:15" x14ac:dyDescent="0.25">
      <c r="O1139" s="21"/>
    </row>
    <row r="1140" spans="15:15" x14ac:dyDescent="0.25">
      <c r="O1140" s="21"/>
    </row>
    <row r="1141" spans="15:15" x14ac:dyDescent="0.25">
      <c r="O1141" s="21"/>
    </row>
    <row r="1142" spans="15:15" x14ac:dyDescent="0.25">
      <c r="O1142" s="21"/>
    </row>
    <row r="1143" spans="15:15" x14ac:dyDescent="0.25">
      <c r="O1143" s="21"/>
    </row>
    <row r="1144" spans="15:15" x14ac:dyDescent="0.25">
      <c r="O1144" s="21"/>
    </row>
    <row r="1145" spans="15:15" x14ac:dyDescent="0.25">
      <c r="O1145" s="21"/>
    </row>
    <row r="1146" spans="15:15" x14ac:dyDescent="0.25">
      <c r="O1146" s="21"/>
    </row>
    <row r="1147" spans="15:15" x14ac:dyDescent="0.25">
      <c r="O1147" s="21"/>
    </row>
    <row r="1148" spans="15:15" x14ac:dyDescent="0.25">
      <c r="O1148" s="21"/>
    </row>
    <row r="1149" spans="15:15" x14ac:dyDescent="0.25">
      <c r="O1149" s="21"/>
    </row>
    <row r="1150" spans="15:15" x14ac:dyDescent="0.25">
      <c r="O1150" s="21"/>
    </row>
    <row r="1151" spans="15:15" x14ac:dyDescent="0.25">
      <c r="O1151" s="21"/>
    </row>
    <row r="1152" spans="15:15" x14ac:dyDescent="0.25">
      <c r="O1152" s="21"/>
    </row>
    <row r="1153" spans="15:15" x14ac:dyDescent="0.25">
      <c r="O1153" s="21"/>
    </row>
    <row r="1154" spans="15:15" x14ac:dyDescent="0.25">
      <c r="O1154" s="21"/>
    </row>
    <row r="1155" spans="15:15" x14ac:dyDescent="0.25">
      <c r="O1155" s="21"/>
    </row>
    <row r="1156" spans="15:15" x14ac:dyDescent="0.25">
      <c r="O1156" s="21"/>
    </row>
    <row r="1157" spans="15:15" x14ac:dyDescent="0.25">
      <c r="O1157" s="21"/>
    </row>
    <row r="1158" spans="15:15" x14ac:dyDescent="0.25">
      <c r="O1158" s="21"/>
    </row>
    <row r="1159" spans="15:15" x14ac:dyDescent="0.25">
      <c r="O1159" s="21"/>
    </row>
    <row r="1160" spans="15:15" x14ac:dyDescent="0.25">
      <c r="O1160" s="21"/>
    </row>
    <row r="1161" spans="15:15" x14ac:dyDescent="0.25">
      <c r="O1161" s="21"/>
    </row>
    <row r="1162" spans="15:15" x14ac:dyDescent="0.25">
      <c r="O1162" s="21"/>
    </row>
    <row r="1163" spans="15:15" x14ac:dyDescent="0.25">
      <c r="O1163" s="21"/>
    </row>
    <row r="1164" spans="15:15" x14ac:dyDescent="0.25">
      <c r="O1164" s="21"/>
    </row>
    <row r="1165" spans="15:15" x14ac:dyDescent="0.25">
      <c r="O1165" s="21"/>
    </row>
    <row r="1166" spans="15:15" x14ac:dyDescent="0.25">
      <c r="O1166" s="21"/>
    </row>
    <row r="1167" spans="15:15" x14ac:dyDescent="0.25">
      <c r="O1167" s="21"/>
    </row>
    <row r="1168" spans="15:15" x14ac:dyDescent="0.25">
      <c r="O1168" s="21"/>
    </row>
    <row r="1169" spans="15:15" x14ac:dyDescent="0.25">
      <c r="O1169" s="21"/>
    </row>
    <row r="1170" spans="15:15" x14ac:dyDescent="0.25">
      <c r="O1170" s="21"/>
    </row>
    <row r="1171" spans="15:15" x14ac:dyDescent="0.25">
      <c r="O1171" s="21"/>
    </row>
    <row r="1172" spans="15:15" x14ac:dyDescent="0.25">
      <c r="O1172" s="21"/>
    </row>
    <row r="1173" spans="15:15" x14ac:dyDescent="0.25">
      <c r="O1173" s="21"/>
    </row>
    <row r="1174" spans="15:15" x14ac:dyDescent="0.25">
      <c r="O1174" s="21"/>
    </row>
    <row r="1175" spans="15:15" x14ac:dyDescent="0.25">
      <c r="O1175" s="21"/>
    </row>
    <row r="1176" spans="15:15" x14ac:dyDescent="0.25">
      <c r="O1176" s="21"/>
    </row>
    <row r="1177" spans="15:15" x14ac:dyDescent="0.25">
      <c r="O1177" s="21"/>
    </row>
    <row r="1178" spans="15:15" x14ac:dyDescent="0.25">
      <c r="O1178" s="21"/>
    </row>
    <row r="1179" spans="15:15" x14ac:dyDescent="0.25">
      <c r="O1179" s="21"/>
    </row>
    <row r="1180" spans="15:15" x14ac:dyDescent="0.25">
      <c r="O1180" s="21"/>
    </row>
    <row r="1181" spans="15:15" x14ac:dyDescent="0.25">
      <c r="O1181" s="21"/>
    </row>
    <row r="1182" spans="15:15" x14ac:dyDescent="0.25">
      <c r="O1182" s="21"/>
    </row>
    <row r="1183" spans="15:15" x14ac:dyDescent="0.25">
      <c r="O1183" s="21"/>
    </row>
    <row r="1184" spans="15:15" x14ac:dyDescent="0.25">
      <c r="O1184" s="21"/>
    </row>
    <row r="1185" spans="15:15" x14ac:dyDescent="0.25">
      <c r="O1185" s="21"/>
    </row>
    <row r="1186" spans="15:15" x14ac:dyDescent="0.25">
      <c r="O1186" s="21"/>
    </row>
    <row r="1187" spans="15:15" x14ac:dyDescent="0.25">
      <c r="O1187" s="21"/>
    </row>
    <row r="1188" spans="15:15" x14ac:dyDescent="0.25">
      <c r="O1188" s="21"/>
    </row>
    <row r="1189" spans="15:15" x14ac:dyDescent="0.25">
      <c r="O1189" s="21"/>
    </row>
    <row r="1190" spans="15:15" x14ac:dyDescent="0.25">
      <c r="O1190" s="21"/>
    </row>
    <row r="1191" spans="15:15" x14ac:dyDescent="0.25">
      <c r="O1191" s="21"/>
    </row>
    <row r="1192" spans="15:15" x14ac:dyDescent="0.25">
      <c r="O1192" s="21"/>
    </row>
    <row r="1193" spans="15:15" x14ac:dyDescent="0.25">
      <c r="O1193" s="21"/>
    </row>
    <row r="1194" spans="15:15" x14ac:dyDescent="0.25">
      <c r="O1194" s="21"/>
    </row>
    <row r="1195" spans="15:15" x14ac:dyDescent="0.25">
      <c r="O1195" s="21"/>
    </row>
    <row r="1196" spans="15:15" x14ac:dyDescent="0.25">
      <c r="O1196" s="21"/>
    </row>
    <row r="1197" spans="15:15" x14ac:dyDescent="0.25">
      <c r="O1197" s="21"/>
    </row>
    <row r="1198" spans="15:15" x14ac:dyDescent="0.25">
      <c r="O1198" s="21"/>
    </row>
    <row r="1199" spans="15:15" x14ac:dyDescent="0.25">
      <c r="O1199" s="21"/>
    </row>
    <row r="1200" spans="15:15" x14ac:dyDescent="0.25">
      <c r="O1200" s="21"/>
    </row>
    <row r="1201" spans="15:15" x14ac:dyDescent="0.25">
      <c r="O1201" s="21"/>
    </row>
    <row r="1202" spans="15:15" x14ac:dyDescent="0.25">
      <c r="O1202" s="21"/>
    </row>
    <row r="1203" spans="15:15" x14ac:dyDescent="0.25">
      <c r="O1203" s="21"/>
    </row>
    <row r="1204" spans="15:15" x14ac:dyDescent="0.25">
      <c r="O1204" s="21"/>
    </row>
    <row r="1205" spans="15:15" x14ac:dyDescent="0.25">
      <c r="O1205" s="21"/>
    </row>
    <row r="1206" spans="15:15" x14ac:dyDescent="0.25">
      <c r="O1206" s="21"/>
    </row>
    <row r="1207" spans="15:15" x14ac:dyDescent="0.25">
      <c r="O1207" s="21"/>
    </row>
    <row r="1208" spans="15:15" x14ac:dyDescent="0.25">
      <c r="O1208" s="21"/>
    </row>
    <row r="1209" spans="15:15" x14ac:dyDescent="0.25">
      <c r="O1209" s="21"/>
    </row>
    <row r="1210" spans="15:15" x14ac:dyDescent="0.25">
      <c r="O1210" s="21"/>
    </row>
    <row r="1211" spans="15:15" x14ac:dyDescent="0.25">
      <c r="O1211" s="21"/>
    </row>
    <row r="1212" spans="15:15" x14ac:dyDescent="0.25">
      <c r="O1212" s="21"/>
    </row>
    <row r="1213" spans="15:15" x14ac:dyDescent="0.25">
      <c r="O1213" s="21"/>
    </row>
    <row r="1214" spans="15:15" x14ac:dyDescent="0.25">
      <c r="O1214" s="21"/>
    </row>
    <row r="1215" spans="15:15" x14ac:dyDescent="0.25">
      <c r="O1215" s="21"/>
    </row>
    <row r="1216" spans="15:15" x14ac:dyDescent="0.25">
      <c r="O1216" s="21"/>
    </row>
    <row r="1217" spans="15:15" x14ac:dyDescent="0.25">
      <c r="O1217" s="21"/>
    </row>
    <row r="1218" spans="15:15" x14ac:dyDescent="0.25">
      <c r="O1218" s="21"/>
    </row>
    <row r="1219" spans="15:15" x14ac:dyDescent="0.25">
      <c r="O1219" s="21"/>
    </row>
    <row r="1220" spans="15:15" x14ac:dyDescent="0.25">
      <c r="O1220" s="21"/>
    </row>
    <row r="1221" spans="15:15" x14ac:dyDescent="0.25">
      <c r="O1221" s="21"/>
    </row>
    <row r="1222" spans="15:15" x14ac:dyDescent="0.25">
      <c r="O1222" s="21"/>
    </row>
    <row r="1223" spans="15:15" x14ac:dyDescent="0.25">
      <c r="O1223" s="21"/>
    </row>
    <row r="1224" spans="15:15" x14ac:dyDescent="0.25">
      <c r="O1224" s="21"/>
    </row>
    <row r="1225" spans="15:15" x14ac:dyDescent="0.25">
      <c r="O1225" s="21"/>
    </row>
    <row r="1226" spans="15:15" x14ac:dyDescent="0.25">
      <c r="O1226" s="21"/>
    </row>
    <row r="1227" spans="15:15" x14ac:dyDescent="0.25">
      <c r="O1227" s="21"/>
    </row>
    <row r="1228" spans="15:15" x14ac:dyDescent="0.25">
      <c r="O1228" s="21"/>
    </row>
    <row r="1229" spans="15:15" x14ac:dyDescent="0.25">
      <c r="O1229" s="21"/>
    </row>
    <row r="1230" spans="15:15" x14ac:dyDescent="0.25">
      <c r="O1230" s="21"/>
    </row>
    <row r="1231" spans="15:15" x14ac:dyDescent="0.25">
      <c r="O1231" s="21"/>
    </row>
    <row r="1232" spans="15:15" x14ac:dyDescent="0.25">
      <c r="O1232" s="21"/>
    </row>
    <row r="1233" spans="15:15" x14ac:dyDescent="0.25">
      <c r="O1233" s="21"/>
    </row>
    <row r="1234" spans="15:15" x14ac:dyDescent="0.25">
      <c r="O1234" s="21"/>
    </row>
    <row r="1235" spans="15:15" x14ac:dyDescent="0.25">
      <c r="O1235" s="21"/>
    </row>
    <row r="1236" spans="15:15" x14ac:dyDescent="0.25">
      <c r="O1236" s="21"/>
    </row>
    <row r="1237" spans="15:15" x14ac:dyDescent="0.25">
      <c r="O1237" s="21"/>
    </row>
    <row r="1238" spans="15:15" x14ac:dyDescent="0.25">
      <c r="O1238" s="21"/>
    </row>
    <row r="1239" spans="15:15" x14ac:dyDescent="0.25">
      <c r="O1239" s="21"/>
    </row>
    <row r="1240" spans="15:15" x14ac:dyDescent="0.25">
      <c r="O1240" s="21"/>
    </row>
    <row r="1241" spans="15:15" x14ac:dyDescent="0.25">
      <c r="O1241" s="21"/>
    </row>
    <row r="1242" spans="15:15" x14ac:dyDescent="0.25">
      <c r="O1242" s="21"/>
    </row>
    <row r="1243" spans="15:15" x14ac:dyDescent="0.25">
      <c r="O1243" s="21"/>
    </row>
    <row r="1244" spans="15:15" x14ac:dyDescent="0.25">
      <c r="O1244" s="21"/>
    </row>
    <row r="1245" spans="15:15" x14ac:dyDescent="0.25">
      <c r="O1245" s="21"/>
    </row>
    <row r="1246" spans="15:15" x14ac:dyDescent="0.25">
      <c r="O1246" s="21"/>
    </row>
    <row r="1247" spans="15:15" x14ac:dyDescent="0.25">
      <c r="O1247" s="21"/>
    </row>
    <row r="1248" spans="15:15" x14ac:dyDescent="0.25">
      <c r="O1248" s="21"/>
    </row>
    <row r="1249" spans="15:15" x14ac:dyDescent="0.25">
      <c r="O1249" s="21"/>
    </row>
    <row r="1250" spans="15:15" x14ac:dyDescent="0.25">
      <c r="O1250" s="21"/>
    </row>
    <row r="1251" spans="15:15" x14ac:dyDescent="0.25">
      <c r="O1251" s="21"/>
    </row>
    <row r="1252" spans="15:15" x14ac:dyDescent="0.25">
      <c r="O1252" s="21"/>
    </row>
    <row r="1253" spans="15:15" x14ac:dyDescent="0.25">
      <c r="O1253" s="21"/>
    </row>
    <row r="1254" spans="15:15" x14ac:dyDescent="0.25">
      <c r="O1254" s="21"/>
    </row>
    <row r="1255" spans="15:15" x14ac:dyDescent="0.25">
      <c r="O1255" s="21"/>
    </row>
    <row r="1256" spans="15:15" x14ac:dyDescent="0.25">
      <c r="O1256" s="21"/>
    </row>
    <row r="1257" spans="15:15" x14ac:dyDescent="0.25">
      <c r="O1257" s="21"/>
    </row>
    <row r="1258" spans="15:15" x14ac:dyDescent="0.25">
      <c r="O1258" s="21"/>
    </row>
    <row r="1259" spans="15:15" x14ac:dyDescent="0.25">
      <c r="O1259" s="21"/>
    </row>
    <row r="1260" spans="15:15" x14ac:dyDescent="0.25">
      <c r="O1260" s="21"/>
    </row>
    <row r="1261" spans="15:15" x14ac:dyDescent="0.25">
      <c r="O1261" s="21"/>
    </row>
    <row r="1262" spans="15:15" x14ac:dyDescent="0.25">
      <c r="O1262" s="21"/>
    </row>
    <row r="1263" spans="15:15" x14ac:dyDescent="0.25">
      <c r="O1263" s="21"/>
    </row>
    <row r="1264" spans="15:15" x14ac:dyDescent="0.25">
      <c r="O1264" s="21"/>
    </row>
    <row r="1265" spans="15:15" x14ac:dyDescent="0.25">
      <c r="O1265" s="21"/>
    </row>
    <row r="1266" spans="15:15" x14ac:dyDescent="0.25">
      <c r="O1266" s="21"/>
    </row>
    <row r="1267" spans="15:15" x14ac:dyDescent="0.25">
      <c r="O1267" s="21"/>
    </row>
    <row r="1268" spans="15:15" x14ac:dyDescent="0.25">
      <c r="O1268" s="21"/>
    </row>
    <row r="1269" spans="15:15" x14ac:dyDescent="0.25">
      <c r="O1269" s="21"/>
    </row>
    <row r="1270" spans="15:15" x14ac:dyDescent="0.25">
      <c r="O1270" s="21"/>
    </row>
    <row r="1271" spans="15:15" x14ac:dyDescent="0.25">
      <c r="O1271" s="21"/>
    </row>
    <row r="1272" spans="15:15" x14ac:dyDescent="0.25">
      <c r="O1272" s="21"/>
    </row>
    <row r="1273" spans="15:15" x14ac:dyDescent="0.25">
      <c r="O1273" s="21"/>
    </row>
    <row r="1274" spans="15:15" x14ac:dyDescent="0.25">
      <c r="O1274" s="21"/>
    </row>
    <row r="1275" spans="15:15" x14ac:dyDescent="0.25">
      <c r="O1275" s="21"/>
    </row>
    <row r="1276" spans="15:15" x14ac:dyDescent="0.25">
      <c r="O1276" s="21"/>
    </row>
    <row r="1277" spans="15:15" x14ac:dyDescent="0.25">
      <c r="O1277" s="21"/>
    </row>
    <row r="1278" spans="15:15" x14ac:dyDescent="0.25">
      <c r="O1278" s="21"/>
    </row>
    <row r="1279" spans="15:15" x14ac:dyDescent="0.25">
      <c r="O1279" s="21"/>
    </row>
    <row r="1280" spans="15:15" x14ac:dyDescent="0.25">
      <c r="O1280" s="21"/>
    </row>
    <row r="1281" spans="15:15" x14ac:dyDescent="0.25">
      <c r="O1281" s="21"/>
    </row>
    <row r="1282" spans="15:15" x14ac:dyDescent="0.25">
      <c r="O1282" s="21"/>
    </row>
    <row r="1283" spans="15:15" x14ac:dyDescent="0.25">
      <c r="O1283" s="21"/>
    </row>
    <row r="1284" spans="15:15" x14ac:dyDescent="0.25">
      <c r="O1284" s="21"/>
    </row>
    <row r="1285" spans="15:15" x14ac:dyDescent="0.25">
      <c r="O1285" s="21"/>
    </row>
    <row r="1286" spans="15:15" x14ac:dyDescent="0.25">
      <c r="O1286" s="21"/>
    </row>
    <row r="1287" spans="15:15" x14ac:dyDescent="0.25">
      <c r="O1287" s="21"/>
    </row>
    <row r="1288" spans="15:15" x14ac:dyDescent="0.25">
      <c r="O1288" s="21"/>
    </row>
    <row r="1289" spans="15:15" x14ac:dyDescent="0.25">
      <c r="O1289" s="21"/>
    </row>
    <row r="1290" spans="15:15" x14ac:dyDescent="0.25">
      <c r="O1290" s="21"/>
    </row>
    <row r="1291" spans="15:15" x14ac:dyDescent="0.25">
      <c r="O1291" s="21"/>
    </row>
    <row r="1292" spans="15:15" x14ac:dyDescent="0.25">
      <c r="O1292" s="21"/>
    </row>
    <row r="1293" spans="15:15" x14ac:dyDescent="0.25">
      <c r="O1293" s="21"/>
    </row>
    <row r="1294" spans="15:15" x14ac:dyDescent="0.25">
      <c r="O1294" s="21"/>
    </row>
    <row r="1295" spans="15:15" x14ac:dyDescent="0.25">
      <c r="O1295" s="21"/>
    </row>
    <row r="1296" spans="15:15" x14ac:dyDescent="0.25">
      <c r="O1296" s="21"/>
    </row>
    <row r="1297" spans="15:15" x14ac:dyDescent="0.25">
      <c r="O1297" s="21"/>
    </row>
    <row r="1298" spans="15:15" x14ac:dyDescent="0.25">
      <c r="O1298" s="21"/>
    </row>
    <row r="1299" spans="15:15" x14ac:dyDescent="0.25">
      <c r="O1299" s="21"/>
    </row>
    <row r="1300" spans="15:15" x14ac:dyDescent="0.25">
      <c r="O1300" s="21"/>
    </row>
    <row r="1301" spans="15:15" x14ac:dyDescent="0.25">
      <c r="O1301" s="21"/>
    </row>
    <row r="1302" spans="15:15" x14ac:dyDescent="0.25">
      <c r="O1302" s="21"/>
    </row>
    <row r="1303" spans="15:15" x14ac:dyDescent="0.25">
      <c r="O1303" s="21"/>
    </row>
    <row r="1304" spans="15:15" x14ac:dyDescent="0.25">
      <c r="O1304" s="21"/>
    </row>
    <row r="1305" spans="15:15" x14ac:dyDescent="0.25">
      <c r="O1305" s="21"/>
    </row>
    <row r="1306" spans="15:15" x14ac:dyDescent="0.25">
      <c r="O1306" s="21"/>
    </row>
    <row r="1307" spans="15:15" x14ac:dyDescent="0.25">
      <c r="O1307" s="21"/>
    </row>
    <row r="1308" spans="15:15" x14ac:dyDescent="0.25">
      <c r="O1308" s="21"/>
    </row>
    <row r="1309" spans="15:15" x14ac:dyDescent="0.25">
      <c r="O1309" s="21"/>
    </row>
    <row r="1310" spans="15:15" x14ac:dyDescent="0.25">
      <c r="O1310" s="21"/>
    </row>
    <row r="1311" spans="15:15" x14ac:dyDescent="0.25">
      <c r="O1311" s="21"/>
    </row>
    <row r="1312" spans="15:15" x14ac:dyDescent="0.25">
      <c r="O1312" s="21"/>
    </row>
    <row r="1313" spans="15:15" x14ac:dyDescent="0.25">
      <c r="O1313" s="21"/>
    </row>
    <row r="1314" spans="15:15" x14ac:dyDescent="0.25">
      <c r="O1314" s="21"/>
    </row>
    <row r="1315" spans="15:15" x14ac:dyDescent="0.25">
      <c r="O1315" s="21"/>
    </row>
    <row r="1316" spans="15:15" x14ac:dyDescent="0.25">
      <c r="O1316" s="21"/>
    </row>
    <row r="1317" spans="15:15" x14ac:dyDescent="0.25">
      <c r="O1317" s="21"/>
    </row>
    <row r="1318" spans="15:15" x14ac:dyDescent="0.25">
      <c r="O1318" s="21"/>
    </row>
    <row r="1319" spans="15:15" x14ac:dyDescent="0.25">
      <c r="O1319" s="21"/>
    </row>
    <row r="1320" spans="15:15" x14ac:dyDescent="0.25">
      <c r="O1320" s="21"/>
    </row>
    <row r="1321" spans="15:15" x14ac:dyDescent="0.25">
      <c r="O1321" s="21"/>
    </row>
    <row r="1322" spans="15:15" x14ac:dyDescent="0.25">
      <c r="O1322" s="21"/>
    </row>
    <row r="1323" spans="15:15" x14ac:dyDescent="0.25">
      <c r="O1323" s="21"/>
    </row>
    <row r="1324" spans="15:15" x14ac:dyDescent="0.25">
      <c r="O1324" s="21"/>
    </row>
    <row r="1325" spans="15:15" x14ac:dyDescent="0.25">
      <c r="O1325" s="21"/>
    </row>
    <row r="1326" spans="15:15" x14ac:dyDescent="0.25">
      <c r="O1326" s="21"/>
    </row>
    <row r="1327" spans="15:15" x14ac:dyDescent="0.25">
      <c r="O1327" s="21"/>
    </row>
    <row r="1328" spans="15:15" x14ac:dyDescent="0.25">
      <c r="O1328" s="21"/>
    </row>
    <row r="1329" spans="15:15" x14ac:dyDescent="0.25">
      <c r="O1329" s="21"/>
    </row>
    <row r="1330" spans="15:15" x14ac:dyDescent="0.25">
      <c r="O1330" s="21"/>
    </row>
    <row r="1331" spans="15:15" x14ac:dyDescent="0.25">
      <c r="O1331" s="21"/>
    </row>
    <row r="1332" spans="15:15" x14ac:dyDescent="0.25">
      <c r="O1332" s="21"/>
    </row>
    <row r="1333" spans="15:15" x14ac:dyDescent="0.25">
      <c r="O1333" s="21"/>
    </row>
    <row r="1334" spans="15:15" x14ac:dyDescent="0.25">
      <c r="O1334" s="21"/>
    </row>
    <row r="1335" spans="15:15" x14ac:dyDescent="0.25">
      <c r="O1335" s="21"/>
    </row>
    <row r="1336" spans="15:15" x14ac:dyDescent="0.25">
      <c r="O1336" s="21"/>
    </row>
    <row r="1337" spans="15:15" x14ac:dyDescent="0.25">
      <c r="O1337" s="21"/>
    </row>
    <row r="1338" spans="15:15" x14ac:dyDescent="0.25">
      <c r="O1338" s="21"/>
    </row>
    <row r="1339" spans="15:15" x14ac:dyDescent="0.25">
      <c r="O1339" s="21"/>
    </row>
    <row r="1340" spans="15:15" x14ac:dyDescent="0.25">
      <c r="O1340" s="21"/>
    </row>
    <row r="1341" spans="15:15" x14ac:dyDescent="0.25">
      <c r="O1341" s="21"/>
    </row>
    <row r="1342" spans="15:15" x14ac:dyDescent="0.25">
      <c r="O1342" s="21"/>
    </row>
    <row r="1343" spans="15:15" x14ac:dyDescent="0.25">
      <c r="O1343" s="21"/>
    </row>
    <row r="1344" spans="15:15" x14ac:dyDescent="0.25">
      <c r="O1344" s="21"/>
    </row>
    <row r="1345" spans="15:15" x14ac:dyDescent="0.25">
      <c r="O1345" s="21"/>
    </row>
    <row r="1346" spans="15:15" x14ac:dyDescent="0.25">
      <c r="O1346" s="21"/>
    </row>
    <row r="1347" spans="15:15" x14ac:dyDescent="0.25">
      <c r="O1347" s="21"/>
    </row>
    <row r="1348" spans="15:15" x14ac:dyDescent="0.25">
      <c r="O1348" s="21"/>
    </row>
    <row r="1349" spans="15:15" x14ac:dyDescent="0.25">
      <c r="O1349" s="21"/>
    </row>
    <row r="1350" spans="15:15" x14ac:dyDescent="0.25">
      <c r="O1350" s="21"/>
    </row>
    <row r="1351" spans="15:15" x14ac:dyDescent="0.25">
      <c r="O1351" s="21"/>
    </row>
    <row r="1352" spans="15:15" x14ac:dyDescent="0.25">
      <c r="O1352" s="21"/>
    </row>
    <row r="1353" spans="15:15" x14ac:dyDescent="0.25">
      <c r="O1353" s="21"/>
    </row>
    <row r="1354" spans="15:15" x14ac:dyDescent="0.25">
      <c r="O1354" s="21"/>
    </row>
    <row r="1355" spans="15:15" x14ac:dyDescent="0.25">
      <c r="O1355" s="21"/>
    </row>
    <row r="1356" spans="15:15" x14ac:dyDescent="0.25">
      <c r="O1356" s="21"/>
    </row>
    <row r="1357" spans="15:15" x14ac:dyDescent="0.25">
      <c r="O1357" s="21"/>
    </row>
    <row r="1358" spans="15:15" x14ac:dyDescent="0.25">
      <c r="O1358" s="21"/>
    </row>
    <row r="1359" spans="15:15" x14ac:dyDescent="0.25">
      <c r="O1359" s="21"/>
    </row>
    <row r="1360" spans="15:15" x14ac:dyDescent="0.25">
      <c r="O1360" s="21"/>
    </row>
    <row r="1361" spans="15:15" x14ac:dyDescent="0.25">
      <c r="O1361" s="21"/>
    </row>
    <row r="1362" spans="15:15" x14ac:dyDescent="0.25">
      <c r="O1362" s="21"/>
    </row>
    <row r="1363" spans="15:15" x14ac:dyDescent="0.25">
      <c r="O1363" s="21"/>
    </row>
    <row r="1364" spans="15:15" x14ac:dyDescent="0.25">
      <c r="O1364" s="21"/>
    </row>
    <row r="1365" spans="15:15" x14ac:dyDescent="0.25">
      <c r="O1365" s="21"/>
    </row>
    <row r="1366" spans="15:15" x14ac:dyDescent="0.25">
      <c r="O1366" s="21"/>
    </row>
    <row r="1367" spans="15:15" x14ac:dyDescent="0.25">
      <c r="O1367" s="21"/>
    </row>
    <row r="1368" spans="15:15" x14ac:dyDescent="0.25">
      <c r="O1368" s="21"/>
    </row>
    <row r="1369" spans="15:15" x14ac:dyDescent="0.25">
      <c r="O1369" s="21"/>
    </row>
    <row r="1370" spans="15:15" x14ac:dyDescent="0.25">
      <c r="O1370" s="21"/>
    </row>
    <row r="1371" spans="15:15" x14ac:dyDescent="0.25">
      <c r="O1371" s="21"/>
    </row>
    <row r="1372" spans="15:15" x14ac:dyDescent="0.25">
      <c r="O1372" s="21"/>
    </row>
    <row r="1373" spans="15:15" x14ac:dyDescent="0.25">
      <c r="O1373" s="21"/>
    </row>
    <row r="1374" spans="15:15" x14ac:dyDescent="0.25">
      <c r="O1374" s="21"/>
    </row>
    <row r="1375" spans="15:15" x14ac:dyDescent="0.25">
      <c r="O1375" s="21"/>
    </row>
    <row r="1376" spans="15:15" x14ac:dyDescent="0.25">
      <c r="O1376" s="21"/>
    </row>
    <row r="1377" spans="15:15" x14ac:dyDescent="0.25">
      <c r="O1377" s="21"/>
    </row>
    <row r="1378" spans="15:15" x14ac:dyDescent="0.25">
      <c r="O1378" s="21"/>
    </row>
    <row r="1379" spans="15:15" x14ac:dyDescent="0.25">
      <c r="O1379" s="21"/>
    </row>
    <row r="1380" spans="15:15" x14ac:dyDescent="0.25">
      <c r="O1380" s="21"/>
    </row>
    <row r="1381" spans="15:15" x14ac:dyDescent="0.25">
      <c r="O1381" s="21"/>
    </row>
    <row r="1382" spans="15:15" x14ac:dyDescent="0.25">
      <c r="O1382" s="21"/>
    </row>
    <row r="1383" spans="15:15" x14ac:dyDescent="0.25">
      <c r="O1383" s="21"/>
    </row>
    <row r="1384" spans="15:15" x14ac:dyDescent="0.25">
      <c r="O1384" s="21"/>
    </row>
    <row r="1385" spans="15:15" x14ac:dyDescent="0.25">
      <c r="O1385" s="21"/>
    </row>
    <row r="1386" spans="15:15" x14ac:dyDescent="0.25">
      <c r="O1386" s="21"/>
    </row>
    <row r="1387" spans="15:15" x14ac:dyDescent="0.25">
      <c r="O1387" s="21"/>
    </row>
    <row r="1388" spans="15:15" x14ac:dyDescent="0.25">
      <c r="O1388" s="21"/>
    </row>
    <row r="1389" spans="15:15" x14ac:dyDescent="0.25">
      <c r="O1389" s="21"/>
    </row>
    <row r="1390" spans="15:15" x14ac:dyDescent="0.25">
      <c r="O1390" s="21"/>
    </row>
    <row r="1391" spans="15:15" x14ac:dyDescent="0.25">
      <c r="O1391" s="21"/>
    </row>
    <row r="1392" spans="15:15" x14ac:dyDescent="0.25">
      <c r="O1392" s="21"/>
    </row>
    <row r="1393" spans="15:15" x14ac:dyDescent="0.25">
      <c r="O1393" s="21"/>
    </row>
    <row r="1394" spans="15:15" x14ac:dyDescent="0.25">
      <c r="O1394" s="21"/>
    </row>
    <row r="1395" spans="15:15" x14ac:dyDescent="0.25">
      <c r="O1395" s="21"/>
    </row>
    <row r="1396" spans="15:15" x14ac:dyDescent="0.25">
      <c r="O1396" s="21"/>
    </row>
    <row r="1397" spans="15:15" x14ac:dyDescent="0.25">
      <c r="O1397" s="21"/>
    </row>
    <row r="1398" spans="15:15" x14ac:dyDescent="0.25">
      <c r="O1398" s="21"/>
    </row>
    <row r="1399" spans="15:15" x14ac:dyDescent="0.25">
      <c r="O1399" s="21"/>
    </row>
    <row r="1400" spans="15:15" x14ac:dyDescent="0.25">
      <c r="O1400" s="21"/>
    </row>
    <row r="1401" spans="15:15" x14ac:dyDescent="0.25">
      <c r="O1401" s="21"/>
    </row>
    <row r="1402" spans="15:15" x14ac:dyDescent="0.25">
      <c r="O1402" s="21"/>
    </row>
    <row r="1403" spans="15:15" x14ac:dyDescent="0.25">
      <c r="O1403" s="21"/>
    </row>
    <row r="1404" spans="15:15" x14ac:dyDescent="0.25">
      <c r="O1404" s="21"/>
    </row>
    <row r="1405" spans="15:15" x14ac:dyDescent="0.25">
      <c r="O1405" s="21"/>
    </row>
    <row r="1406" spans="15:15" x14ac:dyDescent="0.25">
      <c r="O1406" s="21"/>
    </row>
    <row r="1407" spans="15:15" x14ac:dyDescent="0.25">
      <c r="O1407" s="21"/>
    </row>
    <row r="1408" spans="15:15" x14ac:dyDescent="0.25">
      <c r="O1408" s="21"/>
    </row>
    <row r="1409" spans="15:15" x14ac:dyDescent="0.25">
      <c r="O1409" s="21"/>
    </row>
    <row r="1410" spans="15:15" x14ac:dyDescent="0.25">
      <c r="O1410" s="21"/>
    </row>
    <row r="1411" spans="15:15" x14ac:dyDescent="0.25">
      <c r="O1411" s="21"/>
    </row>
    <row r="1412" spans="15:15" x14ac:dyDescent="0.25">
      <c r="O1412" s="21"/>
    </row>
    <row r="1413" spans="15:15" x14ac:dyDescent="0.25">
      <c r="O1413" s="21"/>
    </row>
    <row r="1414" spans="15:15" x14ac:dyDescent="0.25">
      <c r="O1414" s="21"/>
    </row>
    <row r="1415" spans="15:15" x14ac:dyDescent="0.25">
      <c r="O1415" s="21"/>
    </row>
    <row r="1416" spans="15:15" x14ac:dyDescent="0.25">
      <c r="O1416" s="21"/>
    </row>
    <row r="1417" spans="15:15" x14ac:dyDescent="0.25">
      <c r="O1417" s="21"/>
    </row>
    <row r="1418" spans="15:15" x14ac:dyDescent="0.25">
      <c r="O1418" s="21"/>
    </row>
    <row r="1419" spans="15:15" x14ac:dyDescent="0.25">
      <c r="O1419" s="21"/>
    </row>
    <row r="1420" spans="15:15" x14ac:dyDescent="0.25">
      <c r="O1420" s="21"/>
    </row>
    <row r="1421" spans="15:15" x14ac:dyDescent="0.25">
      <c r="O1421" s="21"/>
    </row>
    <row r="1422" spans="15:15" x14ac:dyDescent="0.25">
      <c r="O1422" s="21"/>
    </row>
    <row r="1423" spans="15:15" x14ac:dyDescent="0.25">
      <c r="O1423" s="21"/>
    </row>
    <row r="1424" spans="15:15" x14ac:dyDescent="0.25">
      <c r="O1424" s="21"/>
    </row>
    <row r="1425" spans="15:15" x14ac:dyDescent="0.25">
      <c r="O1425" s="21"/>
    </row>
    <row r="1426" spans="15:15" x14ac:dyDescent="0.25">
      <c r="O1426" s="21"/>
    </row>
    <row r="1427" spans="15:15" x14ac:dyDescent="0.25">
      <c r="O1427" s="21"/>
    </row>
    <row r="1428" spans="15:15" x14ac:dyDescent="0.25">
      <c r="O1428" s="21"/>
    </row>
    <row r="1429" spans="15:15" x14ac:dyDescent="0.25">
      <c r="O1429" s="21"/>
    </row>
    <row r="1430" spans="15:15" x14ac:dyDescent="0.25">
      <c r="O1430" s="21"/>
    </row>
    <row r="1431" spans="15:15" x14ac:dyDescent="0.25">
      <c r="O1431" s="21"/>
    </row>
    <row r="1432" spans="15:15" x14ac:dyDescent="0.25">
      <c r="O1432" s="21"/>
    </row>
    <row r="1433" spans="15:15" x14ac:dyDescent="0.25">
      <c r="O1433" s="21"/>
    </row>
    <row r="1434" spans="15:15" x14ac:dyDescent="0.25">
      <c r="O1434" s="21"/>
    </row>
    <row r="1435" spans="15:15" x14ac:dyDescent="0.25">
      <c r="O1435" s="21"/>
    </row>
    <row r="1436" spans="15:15" x14ac:dyDescent="0.25">
      <c r="O1436" s="21"/>
    </row>
    <row r="1437" spans="15:15" x14ac:dyDescent="0.25">
      <c r="O1437" s="21"/>
    </row>
    <row r="1438" spans="15:15" x14ac:dyDescent="0.25">
      <c r="O1438" s="21"/>
    </row>
    <row r="1439" spans="15:15" x14ac:dyDescent="0.25">
      <c r="O1439" s="21"/>
    </row>
    <row r="1440" spans="15:15" x14ac:dyDescent="0.25">
      <c r="O1440" s="21"/>
    </row>
    <row r="1441" spans="15:15" x14ac:dyDescent="0.25">
      <c r="O1441" s="21"/>
    </row>
    <row r="1442" spans="15:15" x14ac:dyDescent="0.25">
      <c r="O1442" s="21"/>
    </row>
    <row r="1443" spans="15:15" x14ac:dyDescent="0.25">
      <c r="O1443" s="21"/>
    </row>
    <row r="1444" spans="15:15" x14ac:dyDescent="0.25">
      <c r="O1444" s="21"/>
    </row>
    <row r="1445" spans="15:15" x14ac:dyDescent="0.25">
      <c r="O1445" s="21"/>
    </row>
    <row r="1446" spans="15:15" x14ac:dyDescent="0.25">
      <c r="O1446" s="21"/>
    </row>
    <row r="1447" spans="15:15" x14ac:dyDescent="0.25">
      <c r="O1447" s="21"/>
    </row>
    <row r="1448" spans="15:15" x14ac:dyDescent="0.25">
      <c r="O1448" s="21"/>
    </row>
    <row r="1449" spans="15:15" x14ac:dyDescent="0.25">
      <c r="O1449" s="21"/>
    </row>
    <row r="1450" spans="15:15" x14ac:dyDescent="0.25">
      <c r="O1450" s="21"/>
    </row>
    <row r="1451" spans="15:15" x14ac:dyDescent="0.25">
      <c r="O1451" s="21"/>
    </row>
    <row r="1452" spans="15:15" x14ac:dyDescent="0.25">
      <c r="O1452" s="21"/>
    </row>
    <row r="1453" spans="15:15" x14ac:dyDescent="0.25">
      <c r="O1453" s="21"/>
    </row>
    <row r="1454" spans="15:15" x14ac:dyDescent="0.25">
      <c r="O1454" s="21"/>
    </row>
    <row r="1455" spans="15:15" x14ac:dyDescent="0.25">
      <c r="O1455" s="21"/>
    </row>
    <row r="1456" spans="15:15" x14ac:dyDescent="0.25">
      <c r="O1456" s="21"/>
    </row>
    <row r="1457" spans="15:15" x14ac:dyDescent="0.25">
      <c r="O1457" s="21"/>
    </row>
    <row r="1458" spans="15:15" x14ac:dyDescent="0.25">
      <c r="O1458" s="21"/>
    </row>
    <row r="1459" spans="15:15" x14ac:dyDescent="0.25">
      <c r="O1459" s="21"/>
    </row>
    <row r="1460" spans="15:15" x14ac:dyDescent="0.25">
      <c r="O1460" s="21"/>
    </row>
    <row r="1461" spans="15:15" x14ac:dyDescent="0.25">
      <c r="O1461" s="21"/>
    </row>
    <row r="1462" spans="15:15" x14ac:dyDescent="0.25">
      <c r="O1462" s="21"/>
    </row>
    <row r="1463" spans="15:15" x14ac:dyDescent="0.25">
      <c r="O1463" s="21"/>
    </row>
    <row r="1464" spans="15:15" x14ac:dyDescent="0.25">
      <c r="O1464" s="21"/>
    </row>
    <row r="1465" spans="15:15" x14ac:dyDescent="0.25">
      <c r="O1465" s="21"/>
    </row>
    <row r="1466" spans="15:15" x14ac:dyDescent="0.25">
      <c r="O1466" s="21"/>
    </row>
    <row r="1467" spans="15:15" x14ac:dyDescent="0.25">
      <c r="O1467" s="21"/>
    </row>
    <row r="1468" spans="15:15" x14ac:dyDescent="0.25">
      <c r="O1468" s="21"/>
    </row>
    <row r="1469" spans="15:15" x14ac:dyDescent="0.25">
      <c r="O1469" s="21"/>
    </row>
    <row r="1470" spans="15:15" x14ac:dyDescent="0.25">
      <c r="O1470" s="21"/>
    </row>
    <row r="1471" spans="15:15" x14ac:dyDescent="0.25">
      <c r="O1471" s="21"/>
    </row>
    <row r="1472" spans="15:15" x14ac:dyDescent="0.25">
      <c r="O1472" s="21"/>
    </row>
    <row r="1473" spans="15:15" x14ac:dyDescent="0.25">
      <c r="O1473" s="21"/>
    </row>
    <row r="1474" spans="15:15" x14ac:dyDescent="0.25">
      <c r="O1474" s="21"/>
    </row>
    <row r="1475" spans="15:15" x14ac:dyDescent="0.25">
      <c r="O1475" s="21"/>
    </row>
    <row r="1476" spans="15:15" x14ac:dyDescent="0.25">
      <c r="O1476" s="21"/>
    </row>
    <row r="1477" spans="15:15" x14ac:dyDescent="0.25">
      <c r="O1477" s="21"/>
    </row>
    <row r="1478" spans="15:15" x14ac:dyDescent="0.25">
      <c r="O1478" s="21"/>
    </row>
    <row r="1479" spans="15:15" x14ac:dyDescent="0.25">
      <c r="O1479" s="21"/>
    </row>
    <row r="1480" spans="15:15" x14ac:dyDescent="0.25">
      <c r="O1480" s="21"/>
    </row>
    <row r="1481" spans="15:15" x14ac:dyDescent="0.25">
      <c r="O1481" s="21"/>
    </row>
    <row r="1482" spans="15:15" x14ac:dyDescent="0.25">
      <c r="O1482" s="21"/>
    </row>
    <row r="1483" spans="15:15" x14ac:dyDescent="0.25">
      <c r="O1483" s="21"/>
    </row>
    <row r="1484" spans="15:15" x14ac:dyDescent="0.25">
      <c r="O1484" s="21"/>
    </row>
    <row r="1485" spans="15:15" x14ac:dyDescent="0.25">
      <c r="O1485" s="21"/>
    </row>
    <row r="1486" spans="15:15" x14ac:dyDescent="0.25">
      <c r="O1486" s="21"/>
    </row>
    <row r="1487" spans="15:15" x14ac:dyDescent="0.25">
      <c r="O1487" s="21"/>
    </row>
    <row r="1488" spans="15:15" x14ac:dyDescent="0.25">
      <c r="O1488" s="21"/>
    </row>
    <row r="1489" spans="15:15" x14ac:dyDescent="0.25">
      <c r="O1489" s="21"/>
    </row>
    <row r="1490" spans="15:15" x14ac:dyDescent="0.25">
      <c r="O1490" s="21"/>
    </row>
    <row r="1491" spans="15:15" x14ac:dyDescent="0.25">
      <c r="O1491" s="21"/>
    </row>
    <row r="1492" spans="15:15" x14ac:dyDescent="0.25">
      <c r="O1492" s="21"/>
    </row>
    <row r="1493" spans="15:15" x14ac:dyDescent="0.25">
      <c r="O1493" s="21"/>
    </row>
    <row r="1494" spans="15:15" x14ac:dyDescent="0.25">
      <c r="O1494" s="21"/>
    </row>
    <row r="1495" spans="15:15" x14ac:dyDescent="0.25">
      <c r="O1495" s="21"/>
    </row>
    <row r="1496" spans="15:15" x14ac:dyDescent="0.25">
      <c r="O1496" s="21"/>
    </row>
    <row r="1497" spans="15:15" x14ac:dyDescent="0.25">
      <c r="O1497" s="21"/>
    </row>
    <row r="1498" spans="15:15" x14ac:dyDescent="0.25">
      <c r="O1498" s="21"/>
    </row>
    <row r="1499" spans="15:15" x14ac:dyDescent="0.25">
      <c r="O1499" s="21"/>
    </row>
    <row r="1500" spans="15:15" x14ac:dyDescent="0.25">
      <c r="O1500" s="21"/>
    </row>
    <row r="1501" spans="15:15" x14ac:dyDescent="0.25">
      <c r="O1501" s="21"/>
    </row>
    <row r="1502" spans="15:15" x14ac:dyDescent="0.25">
      <c r="O1502" s="21"/>
    </row>
    <row r="1503" spans="15:15" x14ac:dyDescent="0.25">
      <c r="O1503" s="21"/>
    </row>
    <row r="1504" spans="15:15" x14ac:dyDescent="0.25">
      <c r="O1504" s="21"/>
    </row>
    <row r="1505" spans="15:15" x14ac:dyDescent="0.25">
      <c r="O1505" s="21"/>
    </row>
    <row r="1506" spans="15:15" x14ac:dyDescent="0.25">
      <c r="O1506" s="21"/>
    </row>
    <row r="1507" spans="15:15" x14ac:dyDescent="0.25">
      <c r="O1507" s="21"/>
    </row>
    <row r="1508" spans="15:15" x14ac:dyDescent="0.25">
      <c r="O1508" s="21"/>
    </row>
    <row r="1509" spans="15:15" x14ac:dyDescent="0.25">
      <c r="O1509" s="21"/>
    </row>
    <row r="1510" spans="15:15" x14ac:dyDescent="0.25">
      <c r="O1510" s="21"/>
    </row>
    <row r="1511" spans="15:15" x14ac:dyDescent="0.25">
      <c r="O1511" s="21"/>
    </row>
    <row r="1512" spans="15:15" x14ac:dyDescent="0.25">
      <c r="O1512" s="21"/>
    </row>
    <row r="1513" spans="15:15" x14ac:dyDescent="0.25">
      <c r="O1513" s="21"/>
    </row>
    <row r="1514" spans="15:15" x14ac:dyDescent="0.25">
      <c r="O1514" s="21"/>
    </row>
    <row r="1515" spans="15:15" x14ac:dyDescent="0.25">
      <c r="O1515" s="21"/>
    </row>
    <row r="1516" spans="15:15" x14ac:dyDescent="0.25">
      <c r="O1516" s="21"/>
    </row>
    <row r="1517" spans="15:15" x14ac:dyDescent="0.25">
      <c r="O1517" s="21"/>
    </row>
    <row r="1518" spans="15:15" x14ac:dyDescent="0.25">
      <c r="O1518" s="21"/>
    </row>
    <row r="1519" spans="15:15" x14ac:dyDescent="0.25">
      <c r="O1519" s="21"/>
    </row>
    <row r="1520" spans="15:15" x14ac:dyDescent="0.25">
      <c r="O1520" s="21"/>
    </row>
    <row r="1521" spans="15:15" x14ac:dyDescent="0.25">
      <c r="O1521" s="21"/>
    </row>
    <row r="1522" spans="15:15" x14ac:dyDescent="0.25">
      <c r="O1522" s="21"/>
    </row>
    <row r="1523" spans="15:15" x14ac:dyDescent="0.25">
      <c r="O1523" s="21"/>
    </row>
    <row r="1524" spans="15:15" x14ac:dyDescent="0.25">
      <c r="O1524" s="21"/>
    </row>
    <row r="1525" spans="15:15" x14ac:dyDescent="0.25">
      <c r="O1525" s="21"/>
    </row>
    <row r="1526" spans="15:15" x14ac:dyDescent="0.25">
      <c r="O1526" s="21"/>
    </row>
    <row r="1527" spans="15:15" x14ac:dyDescent="0.25">
      <c r="O1527" s="21"/>
    </row>
    <row r="1528" spans="15:15" x14ac:dyDescent="0.25">
      <c r="O1528" s="21"/>
    </row>
    <row r="1529" spans="15:15" x14ac:dyDescent="0.25">
      <c r="O1529" s="21"/>
    </row>
    <row r="1530" spans="15:15" x14ac:dyDescent="0.25">
      <c r="O1530" s="21"/>
    </row>
    <row r="1531" spans="15:15" x14ac:dyDescent="0.25">
      <c r="O1531" s="21"/>
    </row>
    <row r="1532" spans="15:15" x14ac:dyDescent="0.25">
      <c r="O1532" s="21"/>
    </row>
    <row r="1533" spans="15:15" x14ac:dyDescent="0.25">
      <c r="O1533" s="21"/>
    </row>
    <row r="1534" spans="15:15" x14ac:dyDescent="0.25">
      <c r="O1534" s="21"/>
    </row>
    <row r="1535" spans="15:15" x14ac:dyDescent="0.25">
      <c r="O1535" s="21"/>
    </row>
    <row r="1536" spans="15:15" x14ac:dyDescent="0.25">
      <c r="O1536" s="21"/>
    </row>
    <row r="1537" spans="15:15" x14ac:dyDescent="0.25">
      <c r="O1537" s="21"/>
    </row>
    <row r="1538" spans="15:15" x14ac:dyDescent="0.25">
      <c r="O1538" s="21"/>
    </row>
    <row r="1539" spans="15:15" x14ac:dyDescent="0.25">
      <c r="O1539" s="21"/>
    </row>
    <row r="1540" spans="15:15" x14ac:dyDescent="0.25">
      <c r="O1540" s="21"/>
    </row>
    <row r="1541" spans="15:15" x14ac:dyDescent="0.25">
      <c r="O1541" s="21"/>
    </row>
    <row r="1542" spans="15:15" x14ac:dyDescent="0.25">
      <c r="O1542" s="21"/>
    </row>
    <row r="1543" spans="15:15" x14ac:dyDescent="0.25">
      <c r="O1543" s="21"/>
    </row>
    <row r="1544" spans="15:15" x14ac:dyDescent="0.25">
      <c r="O1544" s="21"/>
    </row>
    <row r="1545" spans="15:15" x14ac:dyDescent="0.25">
      <c r="O1545" s="21"/>
    </row>
    <row r="1546" spans="15:15" x14ac:dyDescent="0.25">
      <c r="O1546" s="21"/>
    </row>
    <row r="1547" spans="15:15" x14ac:dyDescent="0.25">
      <c r="O1547" s="21"/>
    </row>
    <row r="1548" spans="15:15" x14ac:dyDescent="0.25">
      <c r="O1548" s="21"/>
    </row>
    <row r="1549" spans="15:15" x14ac:dyDescent="0.25">
      <c r="O1549" s="21"/>
    </row>
    <row r="1550" spans="15:15" x14ac:dyDescent="0.25">
      <c r="O1550" s="21"/>
    </row>
    <row r="1551" spans="15:15" x14ac:dyDescent="0.25">
      <c r="O1551" s="21"/>
    </row>
    <row r="1552" spans="15:15" x14ac:dyDescent="0.25">
      <c r="O1552" s="21"/>
    </row>
    <row r="1553" spans="15:15" x14ac:dyDescent="0.25">
      <c r="O1553" s="21"/>
    </row>
    <row r="1554" spans="15:15" x14ac:dyDescent="0.25">
      <c r="O1554" s="21"/>
    </row>
    <row r="1555" spans="15:15" x14ac:dyDescent="0.25">
      <c r="O1555" s="21"/>
    </row>
    <row r="1556" spans="15:15" x14ac:dyDescent="0.25">
      <c r="O1556" s="21"/>
    </row>
    <row r="1557" spans="15:15" x14ac:dyDescent="0.25">
      <c r="O1557" s="21"/>
    </row>
    <row r="1558" spans="15:15" x14ac:dyDescent="0.25">
      <c r="O1558" s="21"/>
    </row>
    <row r="1559" spans="15:15" x14ac:dyDescent="0.25">
      <c r="O1559" s="21"/>
    </row>
    <row r="1560" spans="15:15" x14ac:dyDescent="0.25">
      <c r="O1560" s="21"/>
    </row>
    <row r="1561" spans="15:15" x14ac:dyDescent="0.25">
      <c r="O1561" s="21"/>
    </row>
    <row r="1562" spans="15:15" x14ac:dyDescent="0.25">
      <c r="O1562" s="21"/>
    </row>
    <row r="1563" spans="15:15" x14ac:dyDescent="0.25">
      <c r="O1563" s="21"/>
    </row>
    <row r="1564" spans="15:15" x14ac:dyDescent="0.25">
      <c r="O1564" s="21"/>
    </row>
    <row r="1565" spans="15:15" x14ac:dyDescent="0.25">
      <c r="O1565" s="21"/>
    </row>
    <row r="1566" spans="15:15" x14ac:dyDescent="0.25">
      <c r="O1566" s="21"/>
    </row>
    <row r="1567" spans="15:15" x14ac:dyDescent="0.25">
      <c r="O1567" s="21"/>
    </row>
    <row r="1568" spans="15:15" x14ac:dyDescent="0.25">
      <c r="O1568" s="21"/>
    </row>
    <row r="1569" spans="15:15" x14ac:dyDescent="0.25">
      <c r="O1569" s="21"/>
    </row>
    <row r="1570" spans="15:15" x14ac:dyDescent="0.25">
      <c r="O1570" s="21"/>
    </row>
    <row r="1571" spans="15:15" x14ac:dyDescent="0.25">
      <c r="O1571" s="21"/>
    </row>
    <row r="1572" spans="15:15" x14ac:dyDescent="0.25">
      <c r="O1572" s="21"/>
    </row>
    <row r="1573" spans="15:15" x14ac:dyDescent="0.25">
      <c r="O1573" s="21"/>
    </row>
    <row r="1574" spans="15:15" x14ac:dyDescent="0.25">
      <c r="O1574" s="21"/>
    </row>
    <row r="1575" spans="15:15" x14ac:dyDescent="0.25">
      <c r="O1575" s="21"/>
    </row>
    <row r="1576" spans="15:15" x14ac:dyDescent="0.25">
      <c r="O1576" s="21"/>
    </row>
    <row r="1577" spans="15:15" x14ac:dyDescent="0.25">
      <c r="O1577" s="21"/>
    </row>
    <row r="1578" spans="15:15" x14ac:dyDescent="0.25">
      <c r="O1578" s="21"/>
    </row>
    <row r="1579" spans="15:15" x14ac:dyDescent="0.25">
      <c r="O1579" s="21"/>
    </row>
    <row r="1580" spans="15:15" x14ac:dyDescent="0.25">
      <c r="O1580" s="21"/>
    </row>
    <row r="1581" spans="15:15" x14ac:dyDescent="0.25">
      <c r="O1581" s="21"/>
    </row>
    <row r="1582" spans="15:15" x14ac:dyDescent="0.25">
      <c r="O1582" s="21"/>
    </row>
    <row r="1583" spans="15:15" x14ac:dyDescent="0.25">
      <c r="O1583" s="21"/>
    </row>
    <row r="1584" spans="15:15" x14ac:dyDescent="0.25">
      <c r="O1584" s="21"/>
    </row>
    <row r="1585" spans="15:15" x14ac:dyDescent="0.25">
      <c r="O1585" s="21"/>
    </row>
    <row r="1586" spans="15:15" x14ac:dyDescent="0.25">
      <c r="O1586" s="21"/>
    </row>
    <row r="1587" spans="15:15" x14ac:dyDescent="0.25">
      <c r="O1587" s="21"/>
    </row>
    <row r="1588" spans="15:15" x14ac:dyDescent="0.25">
      <c r="O1588" s="21"/>
    </row>
    <row r="1589" spans="15:15" x14ac:dyDescent="0.25">
      <c r="O1589" s="21"/>
    </row>
    <row r="1590" spans="15:15" x14ac:dyDescent="0.25">
      <c r="O1590" s="21"/>
    </row>
    <row r="1591" spans="15:15" x14ac:dyDescent="0.25">
      <c r="O1591" s="21"/>
    </row>
    <row r="1592" spans="15:15" x14ac:dyDescent="0.25">
      <c r="O1592" s="21"/>
    </row>
    <row r="1593" spans="15:15" x14ac:dyDescent="0.25">
      <c r="O1593" s="21"/>
    </row>
    <row r="1594" spans="15:15" x14ac:dyDescent="0.25">
      <c r="O1594" s="21"/>
    </row>
    <row r="1595" spans="15:15" x14ac:dyDescent="0.25">
      <c r="O1595" s="21"/>
    </row>
    <row r="1596" spans="15:15" x14ac:dyDescent="0.25">
      <c r="O1596" s="21"/>
    </row>
    <row r="1597" spans="15:15" x14ac:dyDescent="0.25">
      <c r="O1597" s="21"/>
    </row>
    <row r="1598" spans="15:15" x14ac:dyDescent="0.25">
      <c r="O1598" s="21"/>
    </row>
    <row r="1599" spans="15:15" x14ac:dyDescent="0.25">
      <c r="O1599" s="21"/>
    </row>
    <row r="1600" spans="15:15" x14ac:dyDescent="0.25">
      <c r="O1600" s="21"/>
    </row>
    <row r="1601" spans="15:15" x14ac:dyDescent="0.25">
      <c r="O1601" s="21"/>
    </row>
    <row r="1602" spans="15:15" x14ac:dyDescent="0.25">
      <c r="O1602" s="21"/>
    </row>
    <row r="1603" spans="15:15" x14ac:dyDescent="0.25">
      <c r="O1603" s="21"/>
    </row>
    <row r="1604" spans="15:15" x14ac:dyDescent="0.25">
      <c r="O1604" s="21"/>
    </row>
    <row r="1605" spans="15:15" x14ac:dyDescent="0.25">
      <c r="O1605" s="21"/>
    </row>
    <row r="1606" spans="15:15" x14ac:dyDescent="0.25">
      <c r="O1606" s="21"/>
    </row>
    <row r="1607" spans="15:15" x14ac:dyDescent="0.25">
      <c r="O1607" s="21"/>
    </row>
    <row r="1608" spans="15:15" x14ac:dyDescent="0.25">
      <c r="O1608" s="21"/>
    </row>
    <row r="1609" spans="15:15" x14ac:dyDescent="0.25">
      <c r="O1609" s="21"/>
    </row>
    <row r="1610" spans="15:15" x14ac:dyDescent="0.25">
      <c r="O1610" s="21"/>
    </row>
    <row r="1611" spans="15:15" x14ac:dyDescent="0.25">
      <c r="O1611" s="21"/>
    </row>
    <row r="1612" spans="15:15" x14ac:dyDescent="0.25">
      <c r="O1612" s="21"/>
    </row>
    <row r="1613" spans="15:15" x14ac:dyDescent="0.25">
      <c r="O1613" s="21"/>
    </row>
    <row r="1614" spans="15:15" x14ac:dyDescent="0.25">
      <c r="O1614" s="21"/>
    </row>
    <row r="1615" spans="15:15" x14ac:dyDescent="0.25">
      <c r="O1615" s="21"/>
    </row>
    <row r="1616" spans="15:15" x14ac:dyDescent="0.25">
      <c r="O1616" s="21"/>
    </row>
    <row r="1617" spans="15:15" x14ac:dyDescent="0.25">
      <c r="O1617" s="21"/>
    </row>
    <row r="1618" spans="15:15" x14ac:dyDescent="0.25">
      <c r="O1618" s="21"/>
    </row>
    <row r="1619" spans="15:15" x14ac:dyDescent="0.25">
      <c r="O1619" s="21"/>
    </row>
    <row r="1620" spans="15:15" x14ac:dyDescent="0.25">
      <c r="O1620" s="21"/>
    </row>
    <row r="1621" spans="15:15" x14ac:dyDescent="0.25">
      <c r="O1621" s="21"/>
    </row>
    <row r="1622" spans="15:15" x14ac:dyDescent="0.25">
      <c r="O1622" s="21"/>
    </row>
    <row r="1623" spans="15:15" x14ac:dyDescent="0.25">
      <c r="O1623" s="21"/>
    </row>
    <row r="1624" spans="15:15" x14ac:dyDescent="0.25">
      <c r="O1624" s="21"/>
    </row>
    <row r="1625" spans="15:15" x14ac:dyDescent="0.25">
      <c r="O1625" s="21"/>
    </row>
    <row r="1626" spans="15:15" x14ac:dyDescent="0.25">
      <c r="O1626" s="21"/>
    </row>
    <row r="1627" spans="15:15" x14ac:dyDescent="0.25">
      <c r="O1627" s="21"/>
    </row>
    <row r="1628" spans="15:15" x14ac:dyDescent="0.25">
      <c r="O1628" s="21"/>
    </row>
    <row r="1629" spans="15:15" x14ac:dyDescent="0.25">
      <c r="O1629" s="21"/>
    </row>
    <row r="1630" spans="15:15" x14ac:dyDescent="0.25">
      <c r="O1630" s="21"/>
    </row>
    <row r="1631" spans="15:15" x14ac:dyDescent="0.25">
      <c r="O1631" s="21"/>
    </row>
    <row r="1632" spans="15:15" x14ac:dyDescent="0.25">
      <c r="O1632" s="21"/>
    </row>
    <row r="1633" spans="15:15" x14ac:dyDescent="0.25">
      <c r="O1633" s="21"/>
    </row>
    <row r="1634" spans="15:15" x14ac:dyDescent="0.25">
      <c r="O1634" s="21"/>
    </row>
    <row r="1635" spans="15:15" x14ac:dyDescent="0.25">
      <c r="O1635" s="21"/>
    </row>
    <row r="1636" spans="15:15" x14ac:dyDescent="0.25">
      <c r="O1636" s="21"/>
    </row>
    <row r="1637" spans="15:15" x14ac:dyDescent="0.25">
      <c r="O1637" s="21"/>
    </row>
    <row r="1638" spans="15:15" x14ac:dyDescent="0.25">
      <c r="O1638" s="21"/>
    </row>
    <row r="1639" spans="15:15" x14ac:dyDescent="0.25">
      <c r="O1639" s="21"/>
    </row>
    <row r="1640" spans="15:15" x14ac:dyDescent="0.25">
      <c r="O1640" s="21"/>
    </row>
    <row r="1641" spans="15:15" x14ac:dyDescent="0.25">
      <c r="O1641" s="21"/>
    </row>
    <row r="1642" spans="15:15" x14ac:dyDescent="0.25">
      <c r="O1642" s="21"/>
    </row>
    <row r="1643" spans="15:15" x14ac:dyDescent="0.25">
      <c r="O1643" s="21"/>
    </row>
    <row r="1644" spans="15:15" x14ac:dyDescent="0.25">
      <c r="O1644" s="21"/>
    </row>
    <row r="1645" spans="15:15" x14ac:dyDescent="0.25">
      <c r="O1645" s="21"/>
    </row>
    <row r="1646" spans="15:15" x14ac:dyDescent="0.25">
      <c r="O1646" s="21"/>
    </row>
    <row r="1647" spans="15:15" x14ac:dyDescent="0.25">
      <c r="O1647" s="21"/>
    </row>
    <row r="1648" spans="15:15" x14ac:dyDescent="0.25">
      <c r="O1648" s="21"/>
    </row>
    <row r="1649" spans="15:15" x14ac:dyDescent="0.25">
      <c r="O1649" s="21"/>
    </row>
    <row r="1650" spans="15:15" x14ac:dyDescent="0.25">
      <c r="O1650" s="21"/>
    </row>
    <row r="1651" spans="15:15" x14ac:dyDescent="0.25">
      <c r="O1651" s="21"/>
    </row>
    <row r="1652" spans="15:15" x14ac:dyDescent="0.25">
      <c r="O1652" s="21"/>
    </row>
    <row r="1653" spans="15:15" x14ac:dyDescent="0.25">
      <c r="O1653" s="21"/>
    </row>
    <row r="1654" spans="15:15" x14ac:dyDescent="0.25">
      <c r="O1654" s="21"/>
    </row>
    <row r="1655" spans="15:15" x14ac:dyDescent="0.25">
      <c r="O1655" s="21"/>
    </row>
    <row r="1656" spans="15:15" x14ac:dyDescent="0.25">
      <c r="O1656" s="21"/>
    </row>
    <row r="1657" spans="15:15" x14ac:dyDescent="0.25">
      <c r="O1657" s="21"/>
    </row>
    <row r="1658" spans="15:15" x14ac:dyDescent="0.25">
      <c r="O1658" s="21"/>
    </row>
    <row r="1659" spans="15:15" x14ac:dyDescent="0.25">
      <c r="O1659" s="21"/>
    </row>
    <row r="1660" spans="15:15" x14ac:dyDescent="0.25">
      <c r="O1660" s="21"/>
    </row>
    <row r="1661" spans="15:15" x14ac:dyDescent="0.25">
      <c r="O1661" s="21"/>
    </row>
    <row r="1662" spans="15:15" x14ac:dyDescent="0.25">
      <c r="O1662" s="21"/>
    </row>
    <row r="1663" spans="15:15" x14ac:dyDescent="0.25">
      <c r="O1663" s="21"/>
    </row>
    <row r="1664" spans="15:15" x14ac:dyDescent="0.25">
      <c r="O1664" s="21"/>
    </row>
    <row r="1665" spans="15:15" x14ac:dyDescent="0.25">
      <c r="O1665" s="21"/>
    </row>
    <row r="1666" spans="15:15" x14ac:dyDescent="0.25">
      <c r="O1666" s="21"/>
    </row>
    <row r="1667" spans="15:15" x14ac:dyDescent="0.25">
      <c r="O1667" s="21"/>
    </row>
    <row r="1668" spans="15:15" x14ac:dyDescent="0.25">
      <c r="O1668" s="21"/>
    </row>
    <row r="1669" spans="15:15" x14ac:dyDescent="0.25">
      <c r="O1669" s="21"/>
    </row>
    <row r="1670" spans="15:15" x14ac:dyDescent="0.25">
      <c r="O1670" s="21"/>
    </row>
    <row r="1671" spans="15:15" x14ac:dyDescent="0.25">
      <c r="O1671" s="21"/>
    </row>
    <row r="1672" spans="15:15" x14ac:dyDescent="0.25">
      <c r="O1672" s="21"/>
    </row>
    <row r="1673" spans="15:15" x14ac:dyDescent="0.25">
      <c r="O1673" s="21"/>
    </row>
    <row r="1674" spans="15:15" x14ac:dyDescent="0.25">
      <c r="O1674" s="21"/>
    </row>
    <row r="1675" spans="15:15" x14ac:dyDescent="0.25">
      <c r="O1675" s="21"/>
    </row>
    <row r="1676" spans="15:15" x14ac:dyDescent="0.25">
      <c r="O1676" s="21"/>
    </row>
    <row r="1677" spans="15:15" x14ac:dyDescent="0.25">
      <c r="O1677" s="21"/>
    </row>
    <row r="1678" spans="15:15" x14ac:dyDescent="0.25">
      <c r="O1678" s="21"/>
    </row>
    <row r="1679" spans="15:15" x14ac:dyDescent="0.25">
      <c r="O1679" s="21"/>
    </row>
    <row r="1680" spans="15:15" x14ac:dyDescent="0.25">
      <c r="O1680" s="21"/>
    </row>
    <row r="1681" spans="15:15" x14ac:dyDescent="0.25">
      <c r="O1681" s="21"/>
    </row>
    <row r="1682" spans="15:15" x14ac:dyDescent="0.25">
      <c r="O1682" s="21"/>
    </row>
    <row r="1683" spans="15:15" x14ac:dyDescent="0.25">
      <c r="O1683" s="21"/>
    </row>
    <row r="1684" spans="15:15" x14ac:dyDescent="0.25">
      <c r="O1684" s="21"/>
    </row>
    <row r="1685" spans="15:15" x14ac:dyDescent="0.25">
      <c r="O1685" s="21"/>
    </row>
    <row r="1686" spans="15:15" x14ac:dyDescent="0.25">
      <c r="O1686" s="21"/>
    </row>
    <row r="1687" spans="15:15" x14ac:dyDescent="0.25">
      <c r="O1687" s="21"/>
    </row>
    <row r="1688" spans="15:15" x14ac:dyDescent="0.25">
      <c r="O1688" s="21"/>
    </row>
    <row r="1689" spans="15:15" x14ac:dyDescent="0.25">
      <c r="O1689" s="21"/>
    </row>
    <row r="1690" spans="15:15" x14ac:dyDescent="0.25">
      <c r="O1690" s="21"/>
    </row>
    <row r="1691" spans="15:15" x14ac:dyDescent="0.25">
      <c r="O1691" s="21"/>
    </row>
    <row r="1692" spans="15:15" x14ac:dyDescent="0.25">
      <c r="O1692" s="21"/>
    </row>
    <row r="1693" spans="15:15" x14ac:dyDescent="0.25">
      <c r="O1693" s="21"/>
    </row>
    <row r="1694" spans="15:15" x14ac:dyDescent="0.25">
      <c r="O1694" s="21"/>
    </row>
    <row r="1695" spans="15:15" x14ac:dyDescent="0.25">
      <c r="O1695" s="21"/>
    </row>
    <row r="1696" spans="15:15" x14ac:dyDescent="0.25">
      <c r="O1696" s="21"/>
    </row>
    <row r="1697" spans="15:15" x14ac:dyDescent="0.25">
      <c r="O1697" s="21"/>
    </row>
    <row r="1698" spans="15:15" x14ac:dyDescent="0.25">
      <c r="O1698" s="21"/>
    </row>
    <row r="1699" spans="15:15" x14ac:dyDescent="0.25">
      <c r="O1699" s="21"/>
    </row>
    <row r="1700" spans="15:15" x14ac:dyDescent="0.25">
      <c r="O1700" s="21"/>
    </row>
    <row r="1701" spans="15:15" x14ac:dyDescent="0.25">
      <c r="O1701" s="21"/>
    </row>
    <row r="1702" spans="15:15" x14ac:dyDescent="0.25">
      <c r="O1702" s="21"/>
    </row>
    <row r="1703" spans="15:15" x14ac:dyDescent="0.25">
      <c r="O1703" s="21"/>
    </row>
    <row r="1704" spans="15:15" x14ac:dyDescent="0.25">
      <c r="O1704" s="21"/>
    </row>
    <row r="1705" spans="15:15" x14ac:dyDescent="0.25">
      <c r="O1705" s="21"/>
    </row>
    <row r="1706" spans="15:15" x14ac:dyDescent="0.25">
      <c r="O1706" s="21"/>
    </row>
    <row r="1707" spans="15:15" x14ac:dyDescent="0.25">
      <c r="O1707" s="21"/>
    </row>
    <row r="1708" spans="15:15" x14ac:dyDescent="0.25">
      <c r="O1708" s="21"/>
    </row>
    <row r="1709" spans="15:15" x14ac:dyDescent="0.25">
      <c r="O1709" s="21"/>
    </row>
    <row r="1710" spans="15:15" x14ac:dyDescent="0.25">
      <c r="O1710" s="21"/>
    </row>
    <row r="1711" spans="15:15" x14ac:dyDescent="0.25">
      <c r="O1711" s="21"/>
    </row>
    <row r="1712" spans="15:15" x14ac:dyDescent="0.25">
      <c r="O1712" s="21"/>
    </row>
    <row r="1713" spans="15:15" x14ac:dyDescent="0.25">
      <c r="O1713" s="21"/>
    </row>
    <row r="1714" spans="15:15" x14ac:dyDescent="0.25">
      <c r="O1714" s="21"/>
    </row>
    <row r="1715" spans="15:15" x14ac:dyDescent="0.25">
      <c r="O1715" s="21"/>
    </row>
    <row r="1716" spans="15:15" x14ac:dyDescent="0.25">
      <c r="O1716" s="21"/>
    </row>
    <row r="1717" spans="15:15" x14ac:dyDescent="0.25">
      <c r="O1717" s="21"/>
    </row>
    <row r="1718" spans="15:15" x14ac:dyDescent="0.25">
      <c r="O1718" s="21"/>
    </row>
    <row r="1719" spans="15:15" x14ac:dyDescent="0.25">
      <c r="O1719" s="21"/>
    </row>
    <row r="1720" spans="15:15" x14ac:dyDescent="0.25">
      <c r="O1720" s="21"/>
    </row>
    <row r="1721" spans="15:15" x14ac:dyDescent="0.25">
      <c r="O1721" s="21"/>
    </row>
    <row r="1722" spans="15:15" x14ac:dyDescent="0.25">
      <c r="O1722" s="21"/>
    </row>
    <row r="1723" spans="15:15" x14ac:dyDescent="0.25">
      <c r="O1723" s="21"/>
    </row>
    <row r="1724" spans="15:15" x14ac:dyDescent="0.25">
      <c r="O1724" s="21"/>
    </row>
    <row r="1725" spans="15:15" x14ac:dyDescent="0.25">
      <c r="O1725" s="21"/>
    </row>
    <row r="1726" spans="15:15" x14ac:dyDescent="0.25">
      <c r="O1726" s="21"/>
    </row>
    <row r="1727" spans="15:15" x14ac:dyDescent="0.25">
      <c r="O1727" s="21"/>
    </row>
    <row r="1728" spans="15:15" x14ac:dyDescent="0.25">
      <c r="O1728" s="21"/>
    </row>
    <row r="1729" spans="15:15" x14ac:dyDescent="0.25">
      <c r="O1729" s="21"/>
    </row>
    <row r="1730" spans="15:15" x14ac:dyDescent="0.25">
      <c r="O1730" s="21"/>
    </row>
    <row r="1731" spans="15:15" x14ac:dyDescent="0.25">
      <c r="O1731" s="21"/>
    </row>
    <row r="1732" spans="15:15" x14ac:dyDescent="0.25">
      <c r="O1732" s="21"/>
    </row>
    <row r="1733" spans="15:15" x14ac:dyDescent="0.25">
      <c r="O1733" s="21"/>
    </row>
    <row r="1734" spans="15:15" x14ac:dyDescent="0.25">
      <c r="O1734" s="21"/>
    </row>
    <row r="1735" spans="15:15" x14ac:dyDescent="0.25">
      <c r="O1735" s="21"/>
    </row>
    <row r="1736" spans="15:15" x14ac:dyDescent="0.25">
      <c r="O1736" s="21"/>
    </row>
    <row r="1737" spans="15:15" x14ac:dyDescent="0.25">
      <c r="O1737" s="21"/>
    </row>
    <row r="1738" spans="15:15" x14ac:dyDescent="0.25">
      <c r="O1738" s="21"/>
    </row>
    <row r="1739" spans="15:15" x14ac:dyDescent="0.25">
      <c r="O1739" s="21"/>
    </row>
    <row r="1740" spans="15:15" x14ac:dyDescent="0.25">
      <c r="O1740" s="21"/>
    </row>
    <row r="1741" spans="15:15" x14ac:dyDescent="0.25">
      <c r="O1741" s="21"/>
    </row>
    <row r="1742" spans="15:15" x14ac:dyDescent="0.25">
      <c r="O1742" s="21"/>
    </row>
    <row r="1743" spans="15:15" x14ac:dyDescent="0.25">
      <c r="O1743" s="21"/>
    </row>
    <row r="1744" spans="15:15" x14ac:dyDescent="0.25">
      <c r="O1744" s="21"/>
    </row>
    <row r="1745" spans="15:15" x14ac:dyDescent="0.25">
      <c r="O1745" s="21"/>
    </row>
    <row r="1746" spans="15:15" x14ac:dyDescent="0.25">
      <c r="O1746" s="21"/>
    </row>
    <row r="1747" spans="15:15" x14ac:dyDescent="0.25">
      <c r="O1747" s="21"/>
    </row>
    <row r="1748" spans="15:15" x14ac:dyDescent="0.25">
      <c r="O1748" s="21"/>
    </row>
    <row r="1749" spans="15:15" x14ac:dyDescent="0.25">
      <c r="O1749" s="21"/>
    </row>
    <row r="1750" spans="15:15" x14ac:dyDescent="0.25">
      <c r="O1750" s="21"/>
    </row>
    <row r="1751" spans="15:15" x14ac:dyDescent="0.25">
      <c r="O1751" s="21"/>
    </row>
    <row r="1752" spans="15:15" x14ac:dyDescent="0.25">
      <c r="O1752" s="21"/>
    </row>
    <row r="1753" spans="15:15" x14ac:dyDescent="0.25">
      <c r="O1753" s="21"/>
    </row>
    <row r="1754" spans="15:15" x14ac:dyDescent="0.25">
      <c r="O1754" s="21"/>
    </row>
    <row r="1755" spans="15:15" x14ac:dyDescent="0.25">
      <c r="O1755" s="21"/>
    </row>
    <row r="1756" spans="15:15" x14ac:dyDescent="0.25">
      <c r="O1756" s="21"/>
    </row>
    <row r="1757" spans="15:15" x14ac:dyDescent="0.25">
      <c r="O1757" s="21"/>
    </row>
    <row r="1758" spans="15:15" x14ac:dyDescent="0.25">
      <c r="O1758" s="21"/>
    </row>
    <row r="1759" spans="15:15" x14ac:dyDescent="0.25">
      <c r="O1759" s="21"/>
    </row>
    <row r="1760" spans="15:15" x14ac:dyDescent="0.25">
      <c r="O1760" s="21"/>
    </row>
    <row r="1761" spans="15:15" x14ac:dyDescent="0.25">
      <c r="O1761" s="21"/>
    </row>
    <row r="1762" spans="15:15" x14ac:dyDescent="0.25">
      <c r="O1762" s="21"/>
    </row>
    <row r="1763" spans="15:15" x14ac:dyDescent="0.25">
      <c r="O1763" s="21"/>
    </row>
    <row r="1764" spans="15:15" x14ac:dyDescent="0.25">
      <c r="O1764" s="21"/>
    </row>
    <row r="1765" spans="15:15" x14ac:dyDescent="0.25">
      <c r="O1765" s="21"/>
    </row>
    <row r="1766" spans="15:15" x14ac:dyDescent="0.25">
      <c r="O1766" s="21"/>
    </row>
    <row r="1767" spans="15:15" x14ac:dyDescent="0.25">
      <c r="O1767" s="21"/>
    </row>
    <row r="1768" spans="15:15" x14ac:dyDescent="0.25">
      <c r="O1768" s="21"/>
    </row>
    <row r="1769" spans="15:15" x14ac:dyDescent="0.25">
      <c r="O1769" s="21"/>
    </row>
    <row r="1770" spans="15:15" x14ac:dyDescent="0.25">
      <c r="O1770" s="21"/>
    </row>
    <row r="1771" spans="15:15" x14ac:dyDescent="0.25">
      <c r="O1771" s="21"/>
    </row>
    <row r="1772" spans="15:15" x14ac:dyDescent="0.25">
      <c r="O1772" s="21"/>
    </row>
    <row r="1773" spans="15:15" x14ac:dyDescent="0.25">
      <c r="O1773" s="21"/>
    </row>
    <row r="1774" spans="15:15" x14ac:dyDescent="0.25">
      <c r="O1774" s="21"/>
    </row>
    <row r="1775" spans="15:15" x14ac:dyDescent="0.25">
      <c r="O1775" s="21"/>
    </row>
    <row r="1776" spans="15:15" x14ac:dyDescent="0.25">
      <c r="O1776" s="21"/>
    </row>
    <row r="1777" spans="15:15" x14ac:dyDescent="0.25">
      <c r="O1777" s="21"/>
    </row>
    <row r="1778" spans="15:15" x14ac:dyDescent="0.25">
      <c r="O1778" s="21"/>
    </row>
    <row r="1779" spans="15:15" x14ac:dyDescent="0.25">
      <c r="O1779" s="21"/>
    </row>
    <row r="1780" spans="15:15" x14ac:dyDescent="0.25">
      <c r="O1780" s="21"/>
    </row>
    <row r="1781" spans="15:15" x14ac:dyDescent="0.25">
      <c r="O1781" s="21"/>
    </row>
    <row r="1782" spans="15:15" x14ac:dyDescent="0.25">
      <c r="O1782" s="21"/>
    </row>
    <row r="1783" spans="15:15" x14ac:dyDescent="0.25">
      <c r="O1783" s="21"/>
    </row>
    <row r="1784" spans="15:15" x14ac:dyDescent="0.25">
      <c r="O1784" s="21"/>
    </row>
    <row r="1785" spans="15:15" x14ac:dyDescent="0.25">
      <c r="O1785" s="21"/>
    </row>
    <row r="1786" spans="15:15" x14ac:dyDescent="0.25">
      <c r="O1786" s="21"/>
    </row>
    <row r="1787" spans="15:15" x14ac:dyDescent="0.25">
      <c r="O1787" s="21"/>
    </row>
    <row r="1788" spans="15:15" x14ac:dyDescent="0.25">
      <c r="O1788" s="21"/>
    </row>
    <row r="1789" spans="15:15" x14ac:dyDescent="0.25">
      <c r="O1789" s="21"/>
    </row>
    <row r="1790" spans="15:15" x14ac:dyDescent="0.25">
      <c r="O1790" s="21"/>
    </row>
    <row r="1791" spans="15:15" x14ac:dyDescent="0.25">
      <c r="O1791" s="21"/>
    </row>
    <row r="1792" spans="15:15" x14ac:dyDescent="0.25">
      <c r="O1792" s="21"/>
    </row>
    <row r="1793" spans="15:15" x14ac:dyDescent="0.25">
      <c r="O1793" s="21"/>
    </row>
    <row r="1794" spans="15:15" x14ac:dyDescent="0.25">
      <c r="O1794" s="21"/>
    </row>
    <row r="1795" spans="15:15" x14ac:dyDescent="0.25">
      <c r="O1795" s="21"/>
    </row>
    <row r="1796" spans="15:15" x14ac:dyDescent="0.25">
      <c r="O1796" s="21"/>
    </row>
    <row r="1797" spans="15:15" x14ac:dyDescent="0.25">
      <c r="O1797" s="21"/>
    </row>
    <row r="1798" spans="15:15" x14ac:dyDescent="0.25">
      <c r="O1798" s="21"/>
    </row>
    <row r="1799" spans="15:15" x14ac:dyDescent="0.25">
      <c r="O1799" s="21"/>
    </row>
    <row r="1800" spans="15:15" x14ac:dyDescent="0.25">
      <c r="O1800" s="21"/>
    </row>
    <row r="1801" spans="15:15" x14ac:dyDescent="0.25">
      <c r="O1801" s="21"/>
    </row>
    <row r="1802" spans="15:15" x14ac:dyDescent="0.25">
      <c r="O1802" s="21"/>
    </row>
    <row r="1803" spans="15:15" x14ac:dyDescent="0.25">
      <c r="O1803" s="21"/>
    </row>
    <row r="1804" spans="15:15" x14ac:dyDescent="0.25">
      <c r="O1804" s="21"/>
    </row>
    <row r="1805" spans="15:15" x14ac:dyDescent="0.25">
      <c r="O1805" s="21"/>
    </row>
    <row r="1806" spans="15:15" x14ac:dyDescent="0.25">
      <c r="O1806" s="21"/>
    </row>
    <row r="1807" spans="15:15" x14ac:dyDescent="0.25">
      <c r="O1807" s="21"/>
    </row>
    <row r="1808" spans="15:15" x14ac:dyDescent="0.25">
      <c r="O1808" s="21"/>
    </row>
    <row r="1809" spans="15:15" x14ac:dyDescent="0.25">
      <c r="O1809" s="21"/>
    </row>
    <row r="1810" spans="15:15" x14ac:dyDescent="0.25">
      <c r="O1810" s="21"/>
    </row>
    <row r="1811" spans="15:15" x14ac:dyDescent="0.25">
      <c r="O1811" s="21"/>
    </row>
    <row r="1812" spans="15:15" x14ac:dyDescent="0.25">
      <c r="O1812" s="21"/>
    </row>
    <row r="1813" spans="15:15" x14ac:dyDescent="0.25">
      <c r="O1813" s="21"/>
    </row>
    <row r="1814" spans="15:15" x14ac:dyDescent="0.25">
      <c r="O1814" s="21"/>
    </row>
    <row r="1815" spans="15:15" x14ac:dyDescent="0.25">
      <c r="O1815" s="21"/>
    </row>
    <row r="1816" spans="15:15" x14ac:dyDescent="0.25">
      <c r="O1816" s="21"/>
    </row>
    <row r="1817" spans="15:15" x14ac:dyDescent="0.25">
      <c r="O1817" s="21"/>
    </row>
    <row r="1818" spans="15:15" x14ac:dyDescent="0.25">
      <c r="O1818" s="21"/>
    </row>
    <row r="1819" spans="15:15" x14ac:dyDescent="0.25">
      <c r="O1819" s="21"/>
    </row>
    <row r="1820" spans="15:15" x14ac:dyDescent="0.25">
      <c r="O1820" s="21"/>
    </row>
    <row r="1821" spans="15:15" x14ac:dyDescent="0.25">
      <c r="O1821" s="21"/>
    </row>
    <row r="1822" spans="15:15" x14ac:dyDescent="0.25">
      <c r="O1822" s="21"/>
    </row>
    <row r="1823" spans="15:15" x14ac:dyDescent="0.25">
      <c r="O1823" s="21"/>
    </row>
    <row r="1824" spans="15:15" x14ac:dyDescent="0.25">
      <c r="O1824" s="21"/>
    </row>
    <row r="1825" spans="15:15" x14ac:dyDescent="0.25">
      <c r="O1825" s="21"/>
    </row>
    <row r="1826" spans="15:15" x14ac:dyDescent="0.25">
      <c r="O1826" s="21"/>
    </row>
    <row r="1827" spans="15:15" x14ac:dyDescent="0.25">
      <c r="O1827" s="21"/>
    </row>
    <row r="1828" spans="15:15" x14ac:dyDescent="0.25">
      <c r="O1828" s="21"/>
    </row>
    <row r="1829" spans="15:15" x14ac:dyDescent="0.25">
      <c r="O1829" s="21"/>
    </row>
    <row r="1830" spans="15:15" x14ac:dyDescent="0.25">
      <c r="O1830" s="21"/>
    </row>
    <row r="1831" spans="15:15" x14ac:dyDescent="0.25">
      <c r="O1831" s="21"/>
    </row>
    <row r="1832" spans="15:15" x14ac:dyDescent="0.25">
      <c r="O1832" s="21"/>
    </row>
    <row r="1833" spans="15:15" x14ac:dyDescent="0.25">
      <c r="O1833" s="21"/>
    </row>
    <row r="1834" spans="15:15" x14ac:dyDescent="0.25">
      <c r="O1834" s="21"/>
    </row>
    <row r="1835" spans="15:15" x14ac:dyDescent="0.25">
      <c r="O1835" s="21"/>
    </row>
    <row r="1836" spans="15:15" x14ac:dyDescent="0.25">
      <c r="O1836" s="21"/>
    </row>
    <row r="1837" spans="15:15" x14ac:dyDescent="0.25">
      <c r="O1837" s="21"/>
    </row>
    <row r="1838" spans="15:15" x14ac:dyDescent="0.25">
      <c r="O1838" s="21"/>
    </row>
    <row r="1839" spans="15:15" x14ac:dyDescent="0.25">
      <c r="O1839" s="21"/>
    </row>
    <row r="1840" spans="15:15" x14ac:dyDescent="0.25">
      <c r="O1840" s="21"/>
    </row>
    <row r="1841" spans="15:15" x14ac:dyDescent="0.25">
      <c r="O1841" s="21"/>
    </row>
    <row r="1842" spans="15:15" x14ac:dyDescent="0.25">
      <c r="O1842" s="21"/>
    </row>
    <row r="1843" spans="15:15" x14ac:dyDescent="0.25">
      <c r="O1843" s="21"/>
    </row>
    <row r="1844" spans="15:15" x14ac:dyDescent="0.25">
      <c r="O1844" s="21"/>
    </row>
    <row r="1845" spans="15:15" x14ac:dyDescent="0.25">
      <c r="O1845" s="21"/>
    </row>
    <row r="1846" spans="15:15" x14ac:dyDescent="0.25">
      <c r="O1846" s="21"/>
    </row>
    <row r="1847" spans="15:15" x14ac:dyDescent="0.25">
      <c r="O1847" s="21"/>
    </row>
    <row r="1848" spans="15:15" x14ac:dyDescent="0.25">
      <c r="O1848" s="21"/>
    </row>
    <row r="1849" spans="15:15" x14ac:dyDescent="0.25">
      <c r="O1849" s="21"/>
    </row>
    <row r="1850" spans="15:15" x14ac:dyDescent="0.25">
      <c r="O1850" s="21"/>
    </row>
    <row r="1851" spans="15:15" x14ac:dyDescent="0.25">
      <c r="O1851" s="21"/>
    </row>
    <row r="1852" spans="15:15" x14ac:dyDescent="0.25">
      <c r="O1852" s="21"/>
    </row>
    <row r="1853" spans="15:15" x14ac:dyDescent="0.25">
      <c r="O1853" s="21"/>
    </row>
    <row r="1854" spans="15:15" x14ac:dyDescent="0.25">
      <c r="O1854" s="21"/>
    </row>
    <row r="1855" spans="15:15" x14ac:dyDescent="0.25">
      <c r="O1855" s="21"/>
    </row>
    <row r="1856" spans="15:15" x14ac:dyDescent="0.25">
      <c r="O1856" s="21"/>
    </row>
    <row r="1857" spans="15:15" x14ac:dyDescent="0.25">
      <c r="O1857" s="21"/>
    </row>
    <row r="1858" spans="15:15" x14ac:dyDescent="0.25">
      <c r="O1858" s="21"/>
    </row>
    <row r="1859" spans="15:15" x14ac:dyDescent="0.25">
      <c r="O1859" s="21"/>
    </row>
    <row r="1860" spans="15:15" x14ac:dyDescent="0.25">
      <c r="O1860" s="21"/>
    </row>
    <row r="1861" spans="15:15" x14ac:dyDescent="0.25">
      <c r="O1861" s="21"/>
    </row>
    <row r="1862" spans="15:15" x14ac:dyDescent="0.25">
      <c r="O1862" s="21"/>
    </row>
    <row r="1863" spans="15:15" x14ac:dyDescent="0.25">
      <c r="O1863" s="21"/>
    </row>
    <row r="1864" spans="15:15" x14ac:dyDescent="0.25">
      <c r="O1864" s="21"/>
    </row>
    <row r="1865" spans="15:15" x14ac:dyDescent="0.25">
      <c r="O1865" s="21"/>
    </row>
    <row r="1866" spans="15:15" x14ac:dyDescent="0.25">
      <c r="O1866" s="21"/>
    </row>
    <row r="1867" spans="15:15" x14ac:dyDescent="0.25">
      <c r="O1867" s="21"/>
    </row>
    <row r="1868" spans="15:15" x14ac:dyDescent="0.25">
      <c r="O1868" s="21"/>
    </row>
    <row r="1869" spans="15:15" x14ac:dyDescent="0.25">
      <c r="O1869" s="21"/>
    </row>
    <row r="1870" spans="15:15" x14ac:dyDescent="0.25">
      <c r="O1870" s="21"/>
    </row>
    <row r="1871" spans="15:15" x14ac:dyDescent="0.25">
      <c r="O1871" s="21"/>
    </row>
    <row r="1872" spans="15:15" x14ac:dyDescent="0.25">
      <c r="O1872" s="21"/>
    </row>
    <row r="1873" spans="15:15" x14ac:dyDescent="0.25">
      <c r="O1873" s="21"/>
    </row>
    <row r="1874" spans="15:15" x14ac:dyDescent="0.25">
      <c r="O1874" s="21"/>
    </row>
    <row r="1875" spans="15:15" x14ac:dyDescent="0.25">
      <c r="O1875" s="21"/>
    </row>
    <row r="1876" spans="15:15" x14ac:dyDescent="0.25">
      <c r="O1876" s="21"/>
    </row>
    <row r="1877" spans="15:15" x14ac:dyDescent="0.25">
      <c r="O1877" s="21"/>
    </row>
    <row r="1878" spans="15:15" x14ac:dyDescent="0.25">
      <c r="O1878" s="21"/>
    </row>
    <row r="1879" spans="15:15" x14ac:dyDescent="0.25">
      <c r="O1879" s="21"/>
    </row>
    <row r="1880" spans="15:15" x14ac:dyDescent="0.25">
      <c r="O1880" s="21"/>
    </row>
    <row r="1881" spans="15:15" x14ac:dyDescent="0.25">
      <c r="O1881" s="21"/>
    </row>
    <row r="1882" spans="15:15" x14ac:dyDescent="0.25">
      <c r="O1882" s="21"/>
    </row>
    <row r="1883" spans="15:15" x14ac:dyDescent="0.25">
      <c r="O1883" s="21"/>
    </row>
    <row r="1884" spans="15:15" x14ac:dyDescent="0.25">
      <c r="O1884" s="21"/>
    </row>
    <row r="1885" spans="15:15" x14ac:dyDescent="0.25">
      <c r="O1885" s="21"/>
    </row>
    <row r="1886" spans="15:15" x14ac:dyDescent="0.25">
      <c r="O1886" s="21"/>
    </row>
    <row r="1887" spans="15:15" x14ac:dyDescent="0.25">
      <c r="O1887" s="21"/>
    </row>
    <row r="1888" spans="15:15" x14ac:dyDescent="0.25">
      <c r="O1888" s="21"/>
    </row>
    <row r="1889" spans="15:15" x14ac:dyDescent="0.25">
      <c r="O1889" s="21"/>
    </row>
    <row r="1890" spans="15:15" x14ac:dyDescent="0.25">
      <c r="O1890" s="21"/>
    </row>
    <row r="1891" spans="15:15" x14ac:dyDescent="0.25">
      <c r="O1891" s="21"/>
    </row>
    <row r="1892" spans="15:15" x14ac:dyDescent="0.25">
      <c r="O1892" s="21"/>
    </row>
    <row r="1893" spans="15:15" x14ac:dyDescent="0.25">
      <c r="O1893" s="21"/>
    </row>
    <row r="1894" spans="15:15" x14ac:dyDescent="0.25">
      <c r="O1894" s="21"/>
    </row>
    <row r="1895" spans="15:15" x14ac:dyDescent="0.25">
      <c r="O1895" s="21"/>
    </row>
    <row r="1896" spans="15:15" x14ac:dyDescent="0.25">
      <c r="O1896" s="21"/>
    </row>
    <row r="1897" spans="15:15" x14ac:dyDescent="0.25">
      <c r="O1897" s="21"/>
    </row>
    <row r="1898" spans="15:15" x14ac:dyDescent="0.25">
      <c r="O1898" s="21"/>
    </row>
    <row r="1899" spans="15:15" x14ac:dyDescent="0.25">
      <c r="O1899" s="21"/>
    </row>
    <row r="1900" spans="15:15" x14ac:dyDescent="0.25">
      <c r="O1900" s="21"/>
    </row>
    <row r="1901" spans="15:15" x14ac:dyDescent="0.25">
      <c r="O1901" s="21"/>
    </row>
    <row r="1902" spans="15:15" x14ac:dyDescent="0.25">
      <c r="O1902" s="21"/>
    </row>
    <row r="1903" spans="15:15" x14ac:dyDescent="0.25">
      <c r="O1903" s="21"/>
    </row>
    <row r="1904" spans="15:15" x14ac:dyDescent="0.25">
      <c r="O1904" s="21"/>
    </row>
    <row r="1905" spans="15:15" x14ac:dyDescent="0.25">
      <c r="O1905" s="21"/>
    </row>
    <row r="1906" spans="15:15" x14ac:dyDescent="0.25">
      <c r="O1906" s="21"/>
    </row>
    <row r="1907" spans="15:15" x14ac:dyDescent="0.25">
      <c r="O1907" s="21"/>
    </row>
    <row r="1908" spans="15:15" x14ac:dyDescent="0.25">
      <c r="O1908" s="21"/>
    </row>
    <row r="1909" spans="15:15" x14ac:dyDescent="0.25">
      <c r="O1909" s="21"/>
    </row>
    <row r="1910" spans="15:15" x14ac:dyDescent="0.25">
      <c r="O1910" s="21"/>
    </row>
    <row r="1911" spans="15:15" x14ac:dyDescent="0.25">
      <c r="O1911" s="21"/>
    </row>
    <row r="1912" spans="15:15" x14ac:dyDescent="0.25">
      <c r="O1912" s="21"/>
    </row>
    <row r="1913" spans="15:15" x14ac:dyDescent="0.25">
      <c r="O1913" s="21"/>
    </row>
    <row r="1914" spans="15:15" x14ac:dyDescent="0.25">
      <c r="O1914" s="21"/>
    </row>
    <row r="1915" spans="15:15" x14ac:dyDescent="0.25">
      <c r="O1915" s="21"/>
    </row>
    <row r="1916" spans="15:15" x14ac:dyDescent="0.25">
      <c r="O1916" s="21"/>
    </row>
    <row r="1917" spans="15:15" x14ac:dyDescent="0.25">
      <c r="O1917" s="21"/>
    </row>
    <row r="1918" spans="15:15" x14ac:dyDescent="0.25">
      <c r="O1918" s="21"/>
    </row>
    <row r="1919" spans="15:15" x14ac:dyDescent="0.25">
      <c r="O1919" s="21"/>
    </row>
    <row r="1920" spans="15:15" x14ac:dyDescent="0.25">
      <c r="O1920" s="21"/>
    </row>
    <row r="1921" spans="15:15" x14ac:dyDescent="0.25">
      <c r="O1921" s="21"/>
    </row>
    <row r="1922" spans="15:15" x14ac:dyDescent="0.25">
      <c r="O1922" s="21"/>
    </row>
    <row r="1923" spans="15:15" x14ac:dyDescent="0.25">
      <c r="O1923" s="21"/>
    </row>
    <row r="1924" spans="15:15" x14ac:dyDescent="0.25">
      <c r="O1924" s="21"/>
    </row>
    <row r="1925" spans="15:15" x14ac:dyDescent="0.25">
      <c r="O1925" s="21"/>
    </row>
    <row r="1926" spans="15:15" x14ac:dyDescent="0.25">
      <c r="O1926" s="21"/>
    </row>
    <row r="1927" spans="15:15" x14ac:dyDescent="0.25">
      <c r="O1927" s="21"/>
    </row>
    <row r="1928" spans="15:15" x14ac:dyDescent="0.25">
      <c r="O1928" s="21"/>
    </row>
    <row r="1929" spans="15:15" x14ac:dyDescent="0.25">
      <c r="O1929" s="21"/>
    </row>
    <row r="1930" spans="15:15" x14ac:dyDescent="0.25">
      <c r="O1930" s="21"/>
    </row>
    <row r="1931" spans="15:15" x14ac:dyDescent="0.25">
      <c r="O1931" s="21"/>
    </row>
    <row r="1932" spans="15:15" x14ac:dyDescent="0.25">
      <c r="O1932" s="21"/>
    </row>
    <row r="1933" spans="15:15" x14ac:dyDescent="0.25">
      <c r="O1933" s="21"/>
    </row>
    <row r="1934" spans="15:15" x14ac:dyDescent="0.25">
      <c r="O1934" s="21"/>
    </row>
    <row r="1935" spans="15:15" x14ac:dyDescent="0.25">
      <c r="O1935" s="21"/>
    </row>
    <row r="1936" spans="15:15" x14ac:dyDescent="0.25">
      <c r="O1936" s="21"/>
    </row>
    <row r="1937" spans="15:15" x14ac:dyDescent="0.25">
      <c r="O1937" s="21"/>
    </row>
    <row r="1938" spans="15:15" x14ac:dyDescent="0.25">
      <c r="O1938" s="21"/>
    </row>
    <row r="1939" spans="15:15" x14ac:dyDescent="0.25">
      <c r="O1939" s="21"/>
    </row>
    <row r="1940" spans="15:15" x14ac:dyDescent="0.25">
      <c r="O1940" s="21"/>
    </row>
    <row r="1941" spans="15:15" x14ac:dyDescent="0.25">
      <c r="O1941" s="21"/>
    </row>
    <row r="1942" spans="15:15" x14ac:dyDescent="0.25">
      <c r="O1942" s="21"/>
    </row>
    <row r="1943" spans="15:15" x14ac:dyDescent="0.25">
      <c r="O1943" s="21"/>
    </row>
    <row r="1944" spans="15:15" x14ac:dyDescent="0.25">
      <c r="O1944" s="21"/>
    </row>
    <row r="1945" spans="15:15" x14ac:dyDescent="0.25">
      <c r="O1945" s="21"/>
    </row>
    <row r="1946" spans="15:15" x14ac:dyDescent="0.25">
      <c r="O1946" s="21"/>
    </row>
    <row r="1947" spans="15:15" x14ac:dyDescent="0.25">
      <c r="O1947" s="21"/>
    </row>
    <row r="1948" spans="15:15" x14ac:dyDescent="0.25">
      <c r="O1948" s="21"/>
    </row>
    <row r="1949" spans="15:15" x14ac:dyDescent="0.25">
      <c r="O1949" s="21"/>
    </row>
    <row r="1950" spans="15:15" x14ac:dyDescent="0.25">
      <c r="O1950" s="21"/>
    </row>
    <row r="1951" spans="15:15" x14ac:dyDescent="0.25">
      <c r="O1951" s="21"/>
    </row>
    <row r="1952" spans="15:15" x14ac:dyDescent="0.25">
      <c r="O1952" s="21"/>
    </row>
    <row r="1953" spans="15:15" x14ac:dyDescent="0.25">
      <c r="O1953" s="21"/>
    </row>
    <row r="1954" spans="15:15" x14ac:dyDescent="0.25">
      <c r="O1954" s="21"/>
    </row>
    <row r="1955" spans="15:15" x14ac:dyDescent="0.25">
      <c r="O1955" s="21"/>
    </row>
    <row r="1956" spans="15:15" x14ac:dyDescent="0.25">
      <c r="O1956" s="21"/>
    </row>
    <row r="1957" spans="15:15" x14ac:dyDescent="0.25">
      <c r="O1957" s="21"/>
    </row>
    <row r="1958" spans="15:15" x14ac:dyDescent="0.25">
      <c r="O1958" s="21"/>
    </row>
    <row r="1959" spans="15:15" x14ac:dyDescent="0.25">
      <c r="O1959" s="21"/>
    </row>
    <row r="1960" spans="15:15" x14ac:dyDescent="0.25">
      <c r="O1960" s="21"/>
    </row>
    <row r="1961" spans="15:15" x14ac:dyDescent="0.25">
      <c r="O1961" s="21"/>
    </row>
    <row r="1962" spans="15:15" x14ac:dyDescent="0.25">
      <c r="O1962" s="21"/>
    </row>
    <row r="1963" spans="15:15" x14ac:dyDescent="0.25">
      <c r="O1963" s="21"/>
    </row>
    <row r="1964" spans="15:15" x14ac:dyDescent="0.25">
      <c r="O1964" s="21"/>
    </row>
    <row r="1965" spans="15:15" x14ac:dyDescent="0.25">
      <c r="O1965" s="21"/>
    </row>
    <row r="1966" spans="15:15" x14ac:dyDescent="0.25">
      <c r="O1966" s="21"/>
    </row>
    <row r="1967" spans="15:15" x14ac:dyDescent="0.25">
      <c r="O1967" s="21"/>
    </row>
    <row r="1968" spans="15:15" x14ac:dyDescent="0.25">
      <c r="O1968" s="21"/>
    </row>
    <row r="1969" spans="15:15" x14ac:dyDescent="0.25">
      <c r="O1969" s="21"/>
    </row>
    <row r="1970" spans="15:15" x14ac:dyDescent="0.25">
      <c r="O1970" s="21"/>
    </row>
    <row r="1971" spans="15:15" x14ac:dyDescent="0.25">
      <c r="O1971" s="21"/>
    </row>
    <row r="1972" spans="15:15" x14ac:dyDescent="0.25">
      <c r="O1972" s="21"/>
    </row>
    <row r="1973" spans="15:15" x14ac:dyDescent="0.25">
      <c r="O1973" s="21"/>
    </row>
    <row r="1974" spans="15:15" x14ac:dyDescent="0.25">
      <c r="O1974" s="21"/>
    </row>
    <row r="1975" spans="15:15" x14ac:dyDescent="0.25">
      <c r="O1975" s="21"/>
    </row>
    <row r="1976" spans="15:15" x14ac:dyDescent="0.25">
      <c r="O1976" s="21"/>
    </row>
    <row r="1977" spans="15:15" x14ac:dyDescent="0.25">
      <c r="O1977" s="21"/>
    </row>
    <row r="1978" spans="15:15" x14ac:dyDescent="0.25">
      <c r="O1978" s="21"/>
    </row>
    <row r="1979" spans="15:15" x14ac:dyDescent="0.25">
      <c r="O1979" s="21"/>
    </row>
    <row r="1980" spans="15:15" x14ac:dyDescent="0.25">
      <c r="O1980" s="21"/>
    </row>
    <row r="1981" spans="15:15" x14ac:dyDescent="0.25">
      <c r="O1981" s="21"/>
    </row>
    <row r="1982" spans="15:15" x14ac:dyDescent="0.25">
      <c r="O1982" s="21"/>
    </row>
    <row r="1983" spans="15:15" x14ac:dyDescent="0.25">
      <c r="O1983" s="21"/>
    </row>
    <row r="1984" spans="15:15" x14ac:dyDescent="0.25">
      <c r="O1984" s="21"/>
    </row>
    <row r="1985" spans="15:15" x14ac:dyDescent="0.25">
      <c r="O1985" s="21"/>
    </row>
    <row r="1986" spans="15:15" x14ac:dyDescent="0.25">
      <c r="O1986" s="21"/>
    </row>
    <row r="1987" spans="15:15" x14ac:dyDescent="0.25">
      <c r="O1987" s="21"/>
    </row>
    <row r="1988" spans="15:15" x14ac:dyDescent="0.25">
      <c r="O1988" s="21"/>
    </row>
    <row r="1989" spans="15:15" x14ac:dyDescent="0.25">
      <c r="O1989" s="21"/>
    </row>
    <row r="1990" spans="15:15" x14ac:dyDescent="0.25">
      <c r="O1990" s="21"/>
    </row>
    <row r="1991" spans="15:15" x14ac:dyDescent="0.25">
      <c r="O1991" s="21"/>
    </row>
    <row r="1992" spans="15:15" x14ac:dyDescent="0.25">
      <c r="O1992" s="21"/>
    </row>
    <row r="1993" spans="15:15" x14ac:dyDescent="0.25">
      <c r="O1993" s="21"/>
    </row>
    <row r="1994" spans="15:15" x14ac:dyDescent="0.25">
      <c r="O1994" s="21"/>
    </row>
    <row r="1995" spans="15:15" x14ac:dyDescent="0.25">
      <c r="O1995" s="21"/>
    </row>
    <row r="1996" spans="15:15" x14ac:dyDescent="0.25">
      <c r="O1996" s="21"/>
    </row>
    <row r="1997" spans="15:15" x14ac:dyDescent="0.25">
      <c r="O1997" s="21"/>
    </row>
    <row r="1998" spans="15:15" x14ac:dyDescent="0.25">
      <c r="O1998" s="21"/>
    </row>
    <row r="1999" spans="15:15" x14ac:dyDescent="0.25">
      <c r="O1999" s="21"/>
    </row>
    <row r="2000" spans="15:15" x14ac:dyDescent="0.25">
      <c r="O2000" s="21"/>
    </row>
    <row r="2001" spans="15:15" x14ac:dyDescent="0.25">
      <c r="O2001" s="21"/>
    </row>
    <row r="2002" spans="15:15" x14ac:dyDescent="0.25">
      <c r="O2002" s="21"/>
    </row>
    <row r="2003" spans="15:15" x14ac:dyDescent="0.25">
      <c r="O2003" s="21"/>
    </row>
    <row r="2004" spans="15:15" x14ac:dyDescent="0.25">
      <c r="O2004" s="21"/>
    </row>
    <row r="2005" spans="15:15" x14ac:dyDescent="0.25">
      <c r="O2005" s="21"/>
    </row>
    <row r="2006" spans="15:15" x14ac:dyDescent="0.25">
      <c r="O2006" s="21"/>
    </row>
    <row r="2007" spans="15:15" x14ac:dyDescent="0.25">
      <c r="O2007" s="21"/>
    </row>
    <row r="2008" spans="15:15" x14ac:dyDescent="0.25">
      <c r="O2008" s="21"/>
    </row>
    <row r="2009" spans="15:15" x14ac:dyDescent="0.25">
      <c r="O2009" s="21"/>
    </row>
    <row r="2010" spans="15:15" x14ac:dyDescent="0.25">
      <c r="O2010" s="21"/>
    </row>
    <row r="2011" spans="15:15" x14ac:dyDescent="0.25">
      <c r="O2011" s="21"/>
    </row>
    <row r="2012" spans="15:15" x14ac:dyDescent="0.25">
      <c r="O2012" s="21"/>
    </row>
    <row r="2013" spans="15:15" x14ac:dyDescent="0.25">
      <c r="O2013" s="21"/>
    </row>
    <row r="2014" spans="15:15" x14ac:dyDescent="0.25">
      <c r="O2014" s="21"/>
    </row>
    <row r="2015" spans="15:15" x14ac:dyDescent="0.25">
      <c r="O2015" s="21"/>
    </row>
    <row r="2016" spans="15:15" x14ac:dyDescent="0.25">
      <c r="O2016" s="21"/>
    </row>
    <row r="2017" spans="15:15" x14ac:dyDescent="0.25">
      <c r="O2017" s="21"/>
    </row>
    <row r="2018" spans="15:15" x14ac:dyDescent="0.25">
      <c r="O2018" s="21"/>
    </row>
    <row r="2019" spans="15:15" x14ac:dyDescent="0.25">
      <c r="O2019" s="21"/>
    </row>
    <row r="2020" spans="15:15" x14ac:dyDescent="0.25">
      <c r="O2020" s="21"/>
    </row>
    <row r="2021" spans="15:15" x14ac:dyDescent="0.25">
      <c r="O2021" s="21"/>
    </row>
    <row r="2022" spans="15:15" x14ac:dyDescent="0.25">
      <c r="O2022" s="21"/>
    </row>
    <row r="2023" spans="15:15" x14ac:dyDescent="0.25">
      <c r="O2023" s="21"/>
    </row>
    <row r="2024" spans="15:15" x14ac:dyDescent="0.25">
      <c r="O2024" s="21"/>
    </row>
    <row r="2025" spans="15:15" x14ac:dyDescent="0.25">
      <c r="O2025" s="21"/>
    </row>
    <row r="2026" spans="15:15" x14ac:dyDescent="0.25">
      <c r="O2026" s="21"/>
    </row>
    <row r="2027" spans="15:15" x14ac:dyDescent="0.25">
      <c r="O2027" s="21"/>
    </row>
    <row r="2028" spans="15:15" x14ac:dyDescent="0.25">
      <c r="O2028" s="21"/>
    </row>
    <row r="2029" spans="15:15" x14ac:dyDescent="0.25">
      <c r="O2029" s="21"/>
    </row>
    <row r="2030" spans="15:15" x14ac:dyDescent="0.25">
      <c r="O2030" s="21"/>
    </row>
    <row r="2031" spans="15:15" x14ac:dyDescent="0.25">
      <c r="O2031" s="21"/>
    </row>
    <row r="2032" spans="15:15" x14ac:dyDescent="0.25">
      <c r="O2032" s="21"/>
    </row>
    <row r="2033" spans="15:15" x14ac:dyDescent="0.25">
      <c r="O2033" s="21"/>
    </row>
    <row r="2034" spans="15:15" x14ac:dyDescent="0.25">
      <c r="O2034" s="21"/>
    </row>
    <row r="2035" spans="15:15" x14ac:dyDescent="0.25">
      <c r="O2035" s="21"/>
    </row>
    <row r="2036" spans="15:15" x14ac:dyDescent="0.25">
      <c r="O2036" s="21"/>
    </row>
    <row r="2037" spans="15:15" x14ac:dyDescent="0.25">
      <c r="O2037" s="21"/>
    </row>
    <row r="2038" spans="15:15" x14ac:dyDescent="0.25">
      <c r="O2038" s="21"/>
    </row>
    <row r="2039" spans="15:15" x14ac:dyDescent="0.25">
      <c r="O2039" s="21"/>
    </row>
    <row r="2040" spans="15:15" x14ac:dyDescent="0.25">
      <c r="O2040" s="21"/>
    </row>
    <row r="2041" spans="15:15" x14ac:dyDescent="0.25">
      <c r="O2041" s="21"/>
    </row>
    <row r="2042" spans="15:15" x14ac:dyDescent="0.25">
      <c r="O2042" s="21"/>
    </row>
    <row r="2043" spans="15:15" x14ac:dyDescent="0.25">
      <c r="O2043" s="21"/>
    </row>
    <row r="2044" spans="15:15" x14ac:dyDescent="0.25">
      <c r="O2044" s="21"/>
    </row>
    <row r="2045" spans="15:15" x14ac:dyDescent="0.25">
      <c r="O2045" s="21"/>
    </row>
    <row r="2046" spans="15:15" x14ac:dyDescent="0.25">
      <c r="O2046" s="21"/>
    </row>
    <row r="2047" spans="15:15" x14ac:dyDescent="0.25">
      <c r="O2047" s="21"/>
    </row>
    <row r="2048" spans="15:15" x14ac:dyDescent="0.25">
      <c r="O2048" s="21"/>
    </row>
    <row r="2049" spans="15:15" x14ac:dyDescent="0.25">
      <c r="O2049" s="21"/>
    </row>
    <row r="2050" spans="15:15" x14ac:dyDescent="0.25">
      <c r="O2050" s="21"/>
    </row>
    <row r="2051" spans="15:15" x14ac:dyDescent="0.25">
      <c r="O2051" s="21"/>
    </row>
    <row r="2052" spans="15:15" x14ac:dyDescent="0.25">
      <c r="O2052" s="21"/>
    </row>
    <row r="2053" spans="15:15" x14ac:dyDescent="0.25">
      <c r="O2053" s="21"/>
    </row>
    <row r="2054" spans="15:15" x14ac:dyDescent="0.25">
      <c r="O2054" s="21"/>
    </row>
    <row r="2055" spans="15:15" x14ac:dyDescent="0.25">
      <c r="O2055" s="21"/>
    </row>
    <row r="2056" spans="15:15" x14ac:dyDescent="0.25">
      <c r="O2056" s="21"/>
    </row>
    <row r="2057" spans="15:15" x14ac:dyDescent="0.25">
      <c r="O2057" s="21"/>
    </row>
    <row r="2058" spans="15:15" x14ac:dyDescent="0.25">
      <c r="O2058" s="21"/>
    </row>
    <row r="2059" spans="15:15" x14ac:dyDescent="0.25">
      <c r="O2059" s="21"/>
    </row>
    <row r="2060" spans="15:15" x14ac:dyDescent="0.25">
      <c r="O2060" s="21"/>
    </row>
    <row r="2061" spans="15:15" x14ac:dyDescent="0.25">
      <c r="O2061" s="21"/>
    </row>
    <row r="2062" spans="15:15" x14ac:dyDescent="0.25">
      <c r="O2062" s="21"/>
    </row>
    <row r="2063" spans="15:15" x14ac:dyDescent="0.25">
      <c r="O2063" s="21"/>
    </row>
    <row r="2064" spans="15:15" x14ac:dyDescent="0.25">
      <c r="O2064" s="21"/>
    </row>
    <row r="2065" spans="15:15" x14ac:dyDescent="0.25">
      <c r="O2065" s="21"/>
    </row>
    <row r="2066" spans="15:15" x14ac:dyDescent="0.25">
      <c r="O2066" s="21"/>
    </row>
    <row r="2067" spans="15:15" x14ac:dyDescent="0.25">
      <c r="O2067" s="21"/>
    </row>
    <row r="2068" spans="15:15" x14ac:dyDescent="0.25">
      <c r="O2068" s="21"/>
    </row>
    <row r="2069" spans="15:15" x14ac:dyDescent="0.25">
      <c r="O2069" s="21"/>
    </row>
    <row r="2070" spans="15:15" x14ac:dyDescent="0.25">
      <c r="O2070" s="21"/>
    </row>
    <row r="2071" spans="15:15" x14ac:dyDescent="0.25">
      <c r="O2071" s="21"/>
    </row>
    <row r="2072" spans="15:15" x14ac:dyDescent="0.25">
      <c r="O2072" s="21"/>
    </row>
    <row r="2073" spans="15:15" x14ac:dyDescent="0.25">
      <c r="O2073" s="21"/>
    </row>
    <row r="2074" spans="15:15" x14ac:dyDescent="0.25">
      <c r="O2074" s="21"/>
    </row>
    <row r="2075" spans="15:15" x14ac:dyDescent="0.25">
      <c r="O2075" s="21"/>
    </row>
    <row r="2076" spans="15:15" x14ac:dyDescent="0.25">
      <c r="O2076" s="21"/>
    </row>
    <row r="2077" spans="15:15" x14ac:dyDescent="0.25">
      <c r="O2077" s="21"/>
    </row>
    <row r="2078" spans="15:15" x14ac:dyDescent="0.25">
      <c r="O2078" s="21"/>
    </row>
    <row r="2079" spans="15:15" x14ac:dyDescent="0.25">
      <c r="O2079" s="21"/>
    </row>
    <row r="2080" spans="15:15" x14ac:dyDescent="0.25">
      <c r="O2080" s="21"/>
    </row>
    <row r="2081" spans="15:15" x14ac:dyDescent="0.25">
      <c r="O2081" s="21"/>
    </row>
    <row r="2082" spans="15:15" x14ac:dyDescent="0.25">
      <c r="O2082" s="21"/>
    </row>
    <row r="2083" spans="15:15" x14ac:dyDescent="0.25">
      <c r="O2083" s="21"/>
    </row>
    <row r="2084" spans="15:15" x14ac:dyDescent="0.25">
      <c r="O2084" s="21"/>
    </row>
    <row r="2085" spans="15:15" x14ac:dyDescent="0.25">
      <c r="O2085" s="21"/>
    </row>
    <row r="2086" spans="15:15" x14ac:dyDescent="0.25">
      <c r="O2086" s="21"/>
    </row>
    <row r="2087" spans="15:15" x14ac:dyDescent="0.25">
      <c r="O2087" s="21"/>
    </row>
    <row r="2088" spans="15:15" x14ac:dyDescent="0.25">
      <c r="O2088" s="21"/>
    </row>
    <row r="2089" spans="15:15" x14ac:dyDescent="0.25">
      <c r="O2089" s="21"/>
    </row>
    <row r="2090" spans="15:15" x14ac:dyDescent="0.25">
      <c r="O2090" s="21"/>
    </row>
    <row r="2091" spans="15:15" x14ac:dyDescent="0.25">
      <c r="O2091" s="21"/>
    </row>
    <row r="2092" spans="15:15" x14ac:dyDescent="0.25">
      <c r="O2092" s="21"/>
    </row>
    <row r="2093" spans="15:15" x14ac:dyDescent="0.25">
      <c r="O2093" s="21"/>
    </row>
    <row r="2094" spans="15:15" x14ac:dyDescent="0.25">
      <c r="O2094" s="21"/>
    </row>
    <row r="2095" spans="15:15" x14ac:dyDescent="0.25">
      <c r="O2095" s="21"/>
    </row>
    <row r="2096" spans="15:15" x14ac:dyDescent="0.25">
      <c r="O2096" s="21"/>
    </row>
    <row r="2097" spans="15:15" x14ac:dyDescent="0.25">
      <c r="O2097" s="21"/>
    </row>
    <row r="2098" spans="15:15" x14ac:dyDescent="0.25">
      <c r="O2098" s="21"/>
    </row>
    <row r="2099" spans="15:15" x14ac:dyDescent="0.25">
      <c r="O2099" s="21"/>
    </row>
    <row r="2100" spans="15:15" x14ac:dyDescent="0.25">
      <c r="O2100" s="21"/>
    </row>
    <row r="2101" spans="15:15" x14ac:dyDescent="0.25">
      <c r="O2101" s="21"/>
    </row>
    <row r="2102" spans="15:15" x14ac:dyDescent="0.25">
      <c r="O2102" s="21"/>
    </row>
    <row r="2103" spans="15:15" x14ac:dyDescent="0.25">
      <c r="O2103" s="21"/>
    </row>
    <row r="2104" spans="15:15" x14ac:dyDescent="0.25">
      <c r="O2104" s="21"/>
    </row>
    <row r="2105" spans="15:15" x14ac:dyDescent="0.25">
      <c r="O2105" s="21"/>
    </row>
    <row r="2106" spans="15:15" x14ac:dyDescent="0.25">
      <c r="O2106" s="21"/>
    </row>
    <row r="2107" spans="15:15" x14ac:dyDescent="0.25">
      <c r="O2107" s="21"/>
    </row>
    <row r="2108" spans="15:15" x14ac:dyDescent="0.25">
      <c r="O2108" s="21"/>
    </row>
    <row r="2109" spans="15:15" x14ac:dyDescent="0.25">
      <c r="O2109" s="21"/>
    </row>
    <row r="2110" spans="15:15" x14ac:dyDescent="0.25">
      <c r="O2110" s="21"/>
    </row>
    <row r="2111" spans="15:15" x14ac:dyDescent="0.25">
      <c r="O2111" s="21"/>
    </row>
    <row r="2112" spans="15:15" x14ac:dyDescent="0.25">
      <c r="O2112" s="21"/>
    </row>
    <row r="2113" spans="15:15" x14ac:dyDescent="0.25">
      <c r="O2113" s="21"/>
    </row>
    <row r="2114" spans="15:15" x14ac:dyDescent="0.25">
      <c r="O2114" s="21"/>
    </row>
    <row r="2115" spans="15:15" x14ac:dyDescent="0.25">
      <c r="O2115" s="21"/>
    </row>
    <row r="2116" spans="15:15" x14ac:dyDescent="0.25">
      <c r="O2116" s="21"/>
    </row>
    <row r="2117" spans="15:15" x14ac:dyDescent="0.25">
      <c r="O2117" s="21"/>
    </row>
    <row r="2118" spans="15:15" x14ac:dyDescent="0.25">
      <c r="O2118" s="21"/>
    </row>
    <row r="2119" spans="15:15" x14ac:dyDescent="0.25">
      <c r="O2119" s="21"/>
    </row>
    <row r="2120" spans="15:15" x14ac:dyDescent="0.25">
      <c r="O2120" s="21"/>
    </row>
    <row r="2121" spans="15:15" x14ac:dyDescent="0.25">
      <c r="O2121" s="21"/>
    </row>
    <row r="2122" spans="15:15" x14ac:dyDescent="0.25">
      <c r="O2122" s="21"/>
    </row>
    <row r="2123" spans="15:15" x14ac:dyDescent="0.25">
      <c r="O2123" s="21"/>
    </row>
    <row r="2124" spans="15:15" x14ac:dyDescent="0.25">
      <c r="O2124" s="21"/>
    </row>
    <row r="2125" spans="15:15" x14ac:dyDescent="0.25">
      <c r="O2125" s="21"/>
    </row>
    <row r="2126" spans="15:15" x14ac:dyDescent="0.25">
      <c r="O2126" s="21"/>
    </row>
    <row r="2127" spans="15:15" x14ac:dyDescent="0.25">
      <c r="O2127" s="21"/>
    </row>
    <row r="2128" spans="15:15" x14ac:dyDescent="0.25">
      <c r="O2128" s="21"/>
    </row>
    <row r="2129" spans="15:15" x14ac:dyDescent="0.25">
      <c r="O2129" s="21"/>
    </row>
    <row r="2130" spans="15:15" x14ac:dyDescent="0.25">
      <c r="O2130" s="21"/>
    </row>
    <row r="2131" spans="15:15" x14ac:dyDescent="0.25">
      <c r="O2131" s="21"/>
    </row>
    <row r="2132" spans="15:15" x14ac:dyDescent="0.25">
      <c r="O2132" s="21"/>
    </row>
    <row r="2133" spans="15:15" x14ac:dyDescent="0.25">
      <c r="O2133" s="21"/>
    </row>
    <row r="2134" spans="15:15" x14ac:dyDescent="0.25">
      <c r="O2134" s="21"/>
    </row>
    <row r="2135" spans="15:15" x14ac:dyDescent="0.25">
      <c r="O2135" s="21"/>
    </row>
    <row r="2136" spans="15:15" x14ac:dyDescent="0.25">
      <c r="O2136" s="21"/>
    </row>
    <row r="2137" spans="15:15" x14ac:dyDescent="0.25">
      <c r="O2137" s="21"/>
    </row>
    <row r="2138" spans="15:15" x14ac:dyDescent="0.25">
      <c r="O2138" s="21"/>
    </row>
    <row r="2139" spans="15:15" x14ac:dyDescent="0.25">
      <c r="O2139" s="21"/>
    </row>
    <row r="2140" spans="15:15" x14ac:dyDescent="0.25">
      <c r="O2140" s="21"/>
    </row>
    <row r="2141" spans="15:15" x14ac:dyDescent="0.25">
      <c r="O2141" s="21"/>
    </row>
    <row r="2142" spans="15:15" x14ac:dyDescent="0.25">
      <c r="O2142" s="21"/>
    </row>
    <row r="2143" spans="15:15" x14ac:dyDescent="0.25">
      <c r="O2143" s="21"/>
    </row>
    <row r="2144" spans="15:15" x14ac:dyDescent="0.25">
      <c r="O2144" s="21"/>
    </row>
    <row r="2145" spans="15:15" x14ac:dyDescent="0.25">
      <c r="O2145" s="21"/>
    </row>
    <row r="2146" spans="15:15" x14ac:dyDescent="0.25">
      <c r="O2146" s="21"/>
    </row>
    <row r="2147" spans="15:15" x14ac:dyDescent="0.25">
      <c r="O2147" s="21"/>
    </row>
    <row r="2148" spans="15:15" x14ac:dyDescent="0.25">
      <c r="O2148" s="21"/>
    </row>
    <row r="2149" spans="15:15" x14ac:dyDescent="0.25">
      <c r="O2149" s="21"/>
    </row>
    <row r="2150" spans="15:15" x14ac:dyDescent="0.25">
      <c r="O2150" s="21"/>
    </row>
    <row r="2151" spans="15:15" x14ac:dyDescent="0.25">
      <c r="O2151" s="21"/>
    </row>
    <row r="2152" spans="15:15" x14ac:dyDescent="0.25">
      <c r="O2152" s="21"/>
    </row>
    <row r="2153" spans="15:15" x14ac:dyDescent="0.25">
      <c r="O2153" s="21"/>
    </row>
    <row r="2154" spans="15:15" x14ac:dyDescent="0.25">
      <c r="O2154" s="21"/>
    </row>
    <row r="2155" spans="15:15" x14ac:dyDescent="0.25">
      <c r="O2155" s="21"/>
    </row>
    <row r="2156" spans="15:15" x14ac:dyDescent="0.25">
      <c r="O2156" s="21"/>
    </row>
    <row r="2157" spans="15:15" x14ac:dyDescent="0.25">
      <c r="O2157" s="21"/>
    </row>
    <row r="2158" spans="15:15" x14ac:dyDescent="0.25">
      <c r="O2158" s="21"/>
    </row>
    <row r="2159" spans="15:15" x14ac:dyDescent="0.25">
      <c r="O2159" s="21"/>
    </row>
    <row r="2160" spans="15:15" x14ac:dyDescent="0.25">
      <c r="O2160" s="21"/>
    </row>
    <row r="2161" spans="15:15" x14ac:dyDescent="0.25">
      <c r="O2161" s="21"/>
    </row>
    <row r="2162" spans="15:15" x14ac:dyDescent="0.25">
      <c r="O2162" s="21"/>
    </row>
    <row r="2163" spans="15:15" x14ac:dyDescent="0.25">
      <c r="O2163" s="21"/>
    </row>
    <row r="2164" spans="15:15" x14ac:dyDescent="0.25">
      <c r="O2164" s="21"/>
    </row>
    <row r="2165" spans="15:15" x14ac:dyDescent="0.25">
      <c r="O2165" s="21"/>
    </row>
    <row r="2166" spans="15:15" x14ac:dyDescent="0.25">
      <c r="O2166" s="21"/>
    </row>
    <row r="2167" spans="15:15" x14ac:dyDescent="0.25">
      <c r="O2167" s="21"/>
    </row>
    <row r="2168" spans="15:15" x14ac:dyDescent="0.25">
      <c r="O2168" s="21"/>
    </row>
    <row r="2169" spans="15:15" x14ac:dyDescent="0.25">
      <c r="O2169" s="21"/>
    </row>
    <row r="2170" spans="15:15" x14ac:dyDescent="0.25">
      <c r="O2170" s="21"/>
    </row>
    <row r="2171" spans="15:15" x14ac:dyDescent="0.25">
      <c r="O2171" s="21"/>
    </row>
    <row r="2172" spans="15:15" x14ac:dyDescent="0.25">
      <c r="O2172" s="21"/>
    </row>
    <row r="2173" spans="15:15" x14ac:dyDescent="0.25">
      <c r="O2173" s="21"/>
    </row>
    <row r="2174" spans="15:15" x14ac:dyDescent="0.25">
      <c r="O2174" s="21"/>
    </row>
    <row r="2175" spans="15:15" x14ac:dyDescent="0.25">
      <c r="O2175" s="21"/>
    </row>
    <row r="2176" spans="15:15" x14ac:dyDescent="0.25">
      <c r="O2176" s="21"/>
    </row>
    <row r="2177" spans="15:15" x14ac:dyDescent="0.25">
      <c r="O2177" s="21"/>
    </row>
    <row r="2178" spans="15:15" x14ac:dyDescent="0.25">
      <c r="O2178" s="21"/>
    </row>
    <row r="2179" spans="15:15" x14ac:dyDescent="0.25">
      <c r="O2179" s="21"/>
    </row>
    <row r="2180" spans="15:15" x14ac:dyDescent="0.25">
      <c r="O2180" s="21"/>
    </row>
    <row r="2181" spans="15:15" x14ac:dyDescent="0.25">
      <c r="O2181" s="21"/>
    </row>
    <row r="2182" spans="15:15" x14ac:dyDescent="0.25">
      <c r="O2182" s="21"/>
    </row>
    <row r="2183" spans="15:15" x14ac:dyDescent="0.25">
      <c r="O2183" s="21"/>
    </row>
    <row r="2184" spans="15:15" x14ac:dyDescent="0.25">
      <c r="O2184" s="21"/>
    </row>
    <row r="2185" spans="15:15" x14ac:dyDescent="0.25">
      <c r="O2185" s="21"/>
    </row>
    <row r="2186" spans="15:15" x14ac:dyDescent="0.25">
      <c r="O2186" s="21"/>
    </row>
    <row r="2187" spans="15:15" x14ac:dyDescent="0.25">
      <c r="O2187" s="21"/>
    </row>
    <row r="2188" spans="15:15" x14ac:dyDescent="0.25">
      <c r="O2188" s="21"/>
    </row>
    <row r="2189" spans="15:15" x14ac:dyDescent="0.25">
      <c r="O2189" s="21"/>
    </row>
    <row r="2190" spans="15:15" x14ac:dyDescent="0.25">
      <c r="O2190" s="21"/>
    </row>
    <row r="2191" spans="15:15" x14ac:dyDescent="0.25">
      <c r="O2191" s="21"/>
    </row>
    <row r="2192" spans="15:15" x14ac:dyDescent="0.25">
      <c r="O2192" s="21"/>
    </row>
    <row r="2193" spans="15:15" x14ac:dyDescent="0.25">
      <c r="O2193" s="21"/>
    </row>
    <row r="2194" spans="15:15" x14ac:dyDescent="0.25">
      <c r="O2194" s="21"/>
    </row>
    <row r="2195" spans="15:15" x14ac:dyDescent="0.25">
      <c r="O2195" s="21"/>
    </row>
    <row r="2196" spans="15:15" x14ac:dyDescent="0.25">
      <c r="O2196" s="21"/>
    </row>
    <row r="2197" spans="15:15" x14ac:dyDescent="0.25">
      <c r="O2197" s="21"/>
    </row>
    <row r="2198" spans="15:15" x14ac:dyDescent="0.25">
      <c r="O2198" s="21"/>
    </row>
    <row r="2199" spans="15:15" x14ac:dyDescent="0.25">
      <c r="O2199" s="21"/>
    </row>
    <row r="2200" spans="15:15" x14ac:dyDescent="0.25">
      <c r="O2200" s="21"/>
    </row>
    <row r="2201" spans="15:15" x14ac:dyDescent="0.25">
      <c r="O2201" s="21"/>
    </row>
    <row r="2202" spans="15:15" x14ac:dyDescent="0.25">
      <c r="O2202" s="21"/>
    </row>
    <row r="2203" spans="15:15" x14ac:dyDescent="0.25">
      <c r="O2203" s="21"/>
    </row>
    <row r="2204" spans="15:15" x14ac:dyDescent="0.25">
      <c r="O2204" s="21"/>
    </row>
    <row r="2205" spans="15:15" x14ac:dyDescent="0.25">
      <c r="O2205" s="21"/>
    </row>
    <row r="2206" spans="15:15" x14ac:dyDescent="0.25">
      <c r="O2206" s="21"/>
    </row>
    <row r="2207" spans="15:15" x14ac:dyDescent="0.25">
      <c r="O2207" s="21"/>
    </row>
    <row r="2208" spans="15:15" x14ac:dyDescent="0.25">
      <c r="O2208" s="21"/>
    </row>
    <row r="2209" spans="15:15" x14ac:dyDescent="0.25">
      <c r="O2209" s="21"/>
    </row>
    <row r="2210" spans="15:15" x14ac:dyDescent="0.25">
      <c r="O2210" s="21"/>
    </row>
    <row r="2211" spans="15:15" x14ac:dyDescent="0.25">
      <c r="O2211" s="21"/>
    </row>
    <row r="2212" spans="15:15" x14ac:dyDescent="0.25">
      <c r="O2212" s="21"/>
    </row>
    <row r="2213" spans="15:15" x14ac:dyDescent="0.25">
      <c r="O2213" s="21"/>
    </row>
    <row r="2214" spans="15:15" x14ac:dyDescent="0.25">
      <c r="O2214" s="21"/>
    </row>
    <row r="2215" spans="15:15" x14ac:dyDescent="0.25">
      <c r="O2215" s="21"/>
    </row>
    <row r="2216" spans="15:15" x14ac:dyDescent="0.25">
      <c r="O2216" s="21"/>
    </row>
    <row r="2217" spans="15:15" x14ac:dyDescent="0.25">
      <c r="O2217" s="21"/>
    </row>
    <row r="2218" spans="15:15" x14ac:dyDescent="0.25">
      <c r="O2218" s="21"/>
    </row>
    <row r="2219" spans="15:15" x14ac:dyDescent="0.25">
      <c r="O2219" s="21"/>
    </row>
    <row r="2220" spans="15:15" x14ac:dyDescent="0.25">
      <c r="O2220" s="21"/>
    </row>
    <row r="2221" spans="15:15" x14ac:dyDescent="0.25">
      <c r="O2221" s="21"/>
    </row>
    <row r="2222" spans="15:15" x14ac:dyDescent="0.25">
      <c r="O2222" s="21"/>
    </row>
    <row r="2223" spans="15:15" x14ac:dyDescent="0.25">
      <c r="O2223" s="21"/>
    </row>
    <row r="2224" spans="15:15" x14ac:dyDescent="0.25">
      <c r="O2224" s="21"/>
    </row>
    <row r="2225" spans="15:15" x14ac:dyDescent="0.25">
      <c r="O2225" s="21"/>
    </row>
    <row r="2226" spans="15:15" x14ac:dyDescent="0.25">
      <c r="O2226" s="21"/>
    </row>
    <row r="2227" spans="15:15" x14ac:dyDescent="0.25">
      <c r="O2227" s="21"/>
    </row>
    <row r="2228" spans="15:15" x14ac:dyDescent="0.25">
      <c r="O2228" s="21"/>
    </row>
    <row r="2229" spans="15:15" x14ac:dyDescent="0.25">
      <c r="O2229" s="21"/>
    </row>
    <row r="2230" spans="15:15" x14ac:dyDescent="0.25">
      <c r="O2230" s="21"/>
    </row>
    <row r="2231" spans="15:15" x14ac:dyDescent="0.25">
      <c r="O2231" s="21"/>
    </row>
    <row r="2232" spans="15:15" x14ac:dyDescent="0.25">
      <c r="O2232" s="21"/>
    </row>
    <row r="2233" spans="15:15" x14ac:dyDescent="0.25">
      <c r="O2233" s="21"/>
    </row>
    <row r="2234" spans="15:15" x14ac:dyDescent="0.25">
      <c r="O2234" s="21"/>
    </row>
    <row r="2235" spans="15:15" x14ac:dyDescent="0.25">
      <c r="O2235" s="21"/>
    </row>
    <row r="2236" spans="15:15" x14ac:dyDescent="0.25">
      <c r="O2236" s="21"/>
    </row>
    <row r="2237" spans="15:15" x14ac:dyDescent="0.25">
      <c r="O2237" s="21"/>
    </row>
    <row r="2238" spans="15:15" x14ac:dyDescent="0.25">
      <c r="O2238" s="21"/>
    </row>
    <row r="2239" spans="15:15" x14ac:dyDescent="0.25">
      <c r="O2239" s="21"/>
    </row>
    <row r="2240" spans="15:15" x14ac:dyDescent="0.25">
      <c r="O2240" s="21"/>
    </row>
    <row r="2241" spans="15:15" x14ac:dyDescent="0.25">
      <c r="O2241" s="21"/>
    </row>
    <row r="2242" spans="15:15" x14ac:dyDescent="0.25">
      <c r="O2242" s="21"/>
    </row>
    <row r="2243" spans="15:15" x14ac:dyDescent="0.25">
      <c r="O2243" s="21"/>
    </row>
    <row r="2244" spans="15:15" x14ac:dyDescent="0.25">
      <c r="O2244" s="21"/>
    </row>
    <row r="2245" spans="15:15" x14ac:dyDescent="0.25">
      <c r="O2245" s="21"/>
    </row>
    <row r="2246" spans="15:15" x14ac:dyDescent="0.25">
      <c r="O2246" s="21"/>
    </row>
    <row r="2247" spans="15:15" x14ac:dyDescent="0.25">
      <c r="O2247" s="21"/>
    </row>
    <row r="2248" spans="15:15" x14ac:dyDescent="0.25">
      <c r="O2248" s="21"/>
    </row>
    <row r="2249" spans="15:15" x14ac:dyDescent="0.25">
      <c r="O2249" s="21"/>
    </row>
    <row r="2250" spans="15:15" x14ac:dyDescent="0.25">
      <c r="O2250" s="21"/>
    </row>
    <row r="2251" spans="15:15" x14ac:dyDescent="0.25">
      <c r="O2251" s="21"/>
    </row>
    <row r="2252" spans="15:15" x14ac:dyDescent="0.25">
      <c r="O2252" s="21"/>
    </row>
    <row r="2253" spans="15:15" x14ac:dyDescent="0.25">
      <c r="O2253" s="21"/>
    </row>
    <row r="2254" spans="15:15" x14ac:dyDescent="0.25">
      <c r="O2254" s="21"/>
    </row>
    <row r="2255" spans="15:15" x14ac:dyDescent="0.25">
      <c r="O2255" s="21"/>
    </row>
    <row r="2256" spans="15:15" x14ac:dyDescent="0.25">
      <c r="O2256" s="21"/>
    </row>
    <row r="2257" spans="15:15" x14ac:dyDescent="0.25">
      <c r="O2257" s="21"/>
    </row>
    <row r="2258" spans="15:15" x14ac:dyDescent="0.25">
      <c r="O2258" s="21"/>
    </row>
    <row r="2259" spans="15:15" x14ac:dyDescent="0.25">
      <c r="O2259" s="21"/>
    </row>
    <row r="2260" spans="15:15" x14ac:dyDescent="0.25">
      <c r="O2260" s="21"/>
    </row>
    <row r="2261" spans="15:15" x14ac:dyDescent="0.25">
      <c r="O2261" s="21"/>
    </row>
    <row r="2262" spans="15:15" x14ac:dyDescent="0.25">
      <c r="O2262" s="21"/>
    </row>
    <row r="2263" spans="15:15" x14ac:dyDescent="0.25">
      <c r="O2263" s="21"/>
    </row>
    <row r="2264" spans="15:15" x14ac:dyDescent="0.25">
      <c r="O2264" s="21"/>
    </row>
    <row r="2265" spans="15:15" x14ac:dyDescent="0.25">
      <c r="O2265" s="21"/>
    </row>
    <row r="2266" spans="15:15" x14ac:dyDescent="0.25">
      <c r="O2266" s="21"/>
    </row>
    <row r="2267" spans="15:15" x14ac:dyDescent="0.25">
      <c r="O2267" s="21"/>
    </row>
    <row r="2268" spans="15:15" x14ac:dyDescent="0.25">
      <c r="O2268" s="21"/>
    </row>
    <row r="2269" spans="15:15" x14ac:dyDescent="0.25">
      <c r="O2269" s="21"/>
    </row>
    <row r="2270" spans="15:15" x14ac:dyDescent="0.25">
      <c r="O2270" s="21"/>
    </row>
    <row r="2271" spans="15:15" x14ac:dyDescent="0.25">
      <c r="O2271" s="21"/>
    </row>
    <row r="2272" spans="15:15" x14ac:dyDescent="0.25">
      <c r="O2272" s="21"/>
    </row>
    <row r="2273" spans="15:15" x14ac:dyDescent="0.25">
      <c r="O2273" s="21"/>
    </row>
    <row r="2274" spans="15:15" x14ac:dyDescent="0.25">
      <c r="O2274" s="21"/>
    </row>
    <row r="2275" spans="15:15" x14ac:dyDescent="0.25">
      <c r="O2275" s="21"/>
    </row>
    <row r="2276" spans="15:15" x14ac:dyDescent="0.25">
      <c r="O2276" s="21"/>
    </row>
    <row r="2277" spans="15:15" x14ac:dyDescent="0.25">
      <c r="O2277" s="21"/>
    </row>
    <row r="2278" spans="15:15" x14ac:dyDescent="0.25">
      <c r="O2278" s="21"/>
    </row>
    <row r="2279" spans="15:15" x14ac:dyDescent="0.25">
      <c r="O2279" s="21"/>
    </row>
    <row r="2280" spans="15:15" x14ac:dyDescent="0.25">
      <c r="O2280" s="21"/>
    </row>
    <row r="2281" spans="15:15" x14ac:dyDescent="0.25">
      <c r="O2281" s="21"/>
    </row>
    <row r="2282" spans="15:15" x14ac:dyDescent="0.25">
      <c r="O2282" s="21"/>
    </row>
    <row r="2283" spans="15:15" x14ac:dyDescent="0.25">
      <c r="O2283" s="21"/>
    </row>
    <row r="2284" spans="15:15" x14ac:dyDescent="0.25">
      <c r="O2284" s="21"/>
    </row>
    <row r="2285" spans="15:15" x14ac:dyDescent="0.25">
      <c r="O2285" s="21"/>
    </row>
    <row r="2286" spans="15:15" x14ac:dyDescent="0.25">
      <c r="O2286" s="21"/>
    </row>
    <row r="2287" spans="15:15" x14ac:dyDescent="0.25">
      <c r="O2287" s="21"/>
    </row>
    <row r="2288" spans="15:15" x14ac:dyDescent="0.25">
      <c r="O2288" s="21"/>
    </row>
    <row r="2289" spans="15:15" x14ac:dyDescent="0.25">
      <c r="O2289" s="21"/>
    </row>
    <row r="2290" spans="15:15" x14ac:dyDescent="0.25">
      <c r="O2290" s="21"/>
    </row>
    <row r="2291" spans="15:15" x14ac:dyDescent="0.25">
      <c r="O2291" s="21"/>
    </row>
    <row r="2292" spans="15:15" x14ac:dyDescent="0.25">
      <c r="O2292" s="21"/>
    </row>
    <row r="2293" spans="15:15" x14ac:dyDescent="0.25">
      <c r="O2293" s="21"/>
    </row>
    <row r="2294" spans="15:15" x14ac:dyDescent="0.25">
      <c r="O2294" s="21"/>
    </row>
    <row r="2295" spans="15:15" x14ac:dyDescent="0.25">
      <c r="O2295" s="21"/>
    </row>
    <row r="2296" spans="15:15" x14ac:dyDescent="0.25">
      <c r="O2296" s="21"/>
    </row>
    <row r="2297" spans="15:15" x14ac:dyDescent="0.25">
      <c r="O2297" s="21"/>
    </row>
    <row r="2298" spans="15:15" x14ac:dyDescent="0.25">
      <c r="O2298" s="21"/>
    </row>
    <row r="2299" spans="15:15" x14ac:dyDescent="0.25">
      <c r="O2299" s="21"/>
    </row>
    <row r="2300" spans="15:15" x14ac:dyDescent="0.25">
      <c r="O2300" s="21"/>
    </row>
    <row r="2301" spans="15:15" x14ac:dyDescent="0.25">
      <c r="O2301" s="21"/>
    </row>
    <row r="2302" spans="15:15" x14ac:dyDescent="0.25">
      <c r="O2302" s="21"/>
    </row>
    <row r="2303" spans="15:15" x14ac:dyDescent="0.25">
      <c r="O2303" s="21"/>
    </row>
    <row r="2304" spans="15:15" x14ac:dyDescent="0.25">
      <c r="O2304" s="21"/>
    </row>
    <row r="2305" spans="15:15" x14ac:dyDescent="0.25">
      <c r="O2305" s="21"/>
    </row>
    <row r="2306" spans="15:15" x14ac:dyDescent="0.25">
      <c r="O2306" s="21"/>
    </row>
    <row r="2307" spans="15:15" x14ac:dyDescent="0.25">
      <c r="O2307" s="21"/>
    </row>
    <row r="2308" spans="15:15" x14ac:dyDescent="0.25">
      <c r="O2308" s="21"/>
    </row>
    <row r="2309" spans="15:15" x14ac:dyDescent="0.25">
      <c r="O2309" s="21"/>
    </row>
    <row r="2310" spans="15:15" x14ac:dyDescent="0.25">
      <c r="O2310" s="21"/>
    </row>
    <row r="2311" spans="15:15" x14ac:dyDescent="0.25">
      <c r="O2311" s="21"/>
    </row>
    <row r="2312" spans="15:15" x14ac:dyDescent="0.25">
      <c r="O2312" s="21"/>
    </row>
    <row r="2313" spans="15:15" x14ac:dyDescent="0.25">
      <c r="O2313" s="21"/>
    </row>
    <row r="2314" spans="15:15" x14ac:dyDescent="0.25">
      <c r="O2314" s="21"/>
    </row>
    <row r="2315" spans="15:15" x14ac:dyDescent="0.25">
      <c r="O2315" s="21"/>
    </row>
    <row r="2316" spans="15:15" x14ac:dyDescent="0.25">
      <c r="O2316" s="21"/>
    </row>
    <row r="2317" spans="15:15" x14ac:dyDescent="0.25">
      <c r="O2317" s="21"/>
    </row>
    <row r="2318" spans="15:15" x14ac:dyDescent="0.25">
      <c r="O2318" s="21"/>
    </row>
    <row r="2319" spans="15:15" x14ac:dyDescent="0.25">
      <c r="O2319" s="21"/>
    </row>
    <row r="2320" spans="15:15" x14ac:dyDescent="0.25">
      <c r="O2320" s="21"/>
    </row>
    <row r="2321" spans="15:15" x14ac:dyDescent="0.25">
      <c r="O2321" s="21"/>
    </row>
    <row r="2322" spans="15:15" x14ac:dyDescent="0.25">
      <c r="O2322" s="21"/>
    </row>
    <row r="2323" spans="15:15" x14ac:dyDescent="0.25">
      <c r="O2323" s="21"/>
    </row>
    <row r="2324" spans="15:15" x14ac:dyDescent="0.25">
      <c r="O2324" s="21"/>
    </row>
    <row r="2325" spans="15:15" x14ac:dyDescent="0.25">
      <c r="O2325" s="21"/>
    </row>
    <row r="2326" spans="15:15" x14ac:dyDescent="0.25">
      <c r="O2326" s="21"/>
    </row>
    <row r="2327" spans="15:15" x14ac:dyDescent="0.25">
      <c r="O2327" s="21"/>
    </row>
    <row r="2328" spans="15:15" x14ac:dyDescent="0.25">
      <c r="O2328" s="21"/>
    </row>
    <row r="2329" spans="15:15" x14ac:dyDescent="0.25">
      <c r="O2329" s="21"/>
    </row>
    <row r="2330" spans="15:15" x14ac:dyDescent="0.25">
      <c r="O2330" s="21"/>
    </row>
    <row r="2331" spans="15:15" x14ac:dyDescent="0.25">
      <c r="O2331" s="21"/>
    </row>
    <row r="2332" spans="15:15" x14ac:dyDescent="0.25">
      <c r="O2332" s="21"/>
    </row>
    <row r="2333" spans="15:15" x14ac:dyDescent="0.25">
      <c r="O2333" s="21"/>
    </row>
    <row r="2334" spans="15:15" x14ac:dyDescent="0.25">
      <c r="O2334" s="21"/>
    </row>
    <row r="2335" spans="15:15" x14ac:dyDescent="0.25">
      <c r="O2335" s="21"/>
    </row>
    <row r="2336" spans="15:15" x14ac:dyDescent="0.25">
      <c r="O2336" s="21"/>
    </row>
    <row r="2337" spans="15:15" x14ac:dyDescent="0.25">
      <c r="O2337" s="21"/>
    </row>
    <row r="2338" spans="15:15" x14ac:dyDescent="0.25">
      <c r="O2338" s="21"/>
    </row>
    <row r="2339" spans="15:15" x14ac:dyDescent="0.25">
      <c r="O2339" s="21"/>
    </row>
    <row r="2340" spans="15:15" x14ac:dyDescent="0.25">
      <c r="O2340" s="21"/>
    </row>
    <row r="2341" spans="15:15" x14ac:dyDescent="0.25">
      <c r="O2341" s="21"/>
    </row>
    <row r="2342" spans="15:15" x14ac:dyDescent="0.25">
      <c r="O2342" s="21"/>
    </row>
    <row r="2343" spans="15:15" x14ac:dyDescent="0.25">
      <c r="O2343" s="21"/>
    </row>
    <row r="2344" spans="15:15" x14ac:dyDescent="0.25">
      <c r="O2344" s="21"/>
    </row>
    <row r="2345" spans="15:15" x14ac:dyDescent="0.25">
      <c r="O2345" s="21"/>
    </row>
    <row r="2346" spans="15:15" x14ac:dyDescent="0.25">
      <c r="O2346" s="21"/>
    </row>
    <row r="2347" spans="15:15" x14ac:dyDescent="0.25">
      <c r="O2347" s="21"/>
    </row>
    <row r="2348" spans="15:15" x14ac:dyDescent="0.25">
      <c r="O2348" s="21"/>
    </row>
    <row r="2349" spans="15:15" x14ac:dyDescent="0.25">
      <c r="O2349" s="21"/>
    </row>
    <row r="2350" spans="15:15" x14ac:dyDescent="0.25">
      <c r="O2350" s="21"/>
    </row>
    <row r="2351" spans="15:15" x14ac:dyDescent="0.25">
      <c r="O2351" s="21"/>
    </row>
    <row r="2352" spans="15:15" x14ac:dyDescent="0.25">
      <c r="O2352" s="21"/>
    </row>
    <row r="2353" spans="15:15" x14ac:dyDescent="0.25">
      <c r="O2353" s="21"/>
    </row>
    <row r="2354" spans="15:15" x14ac:dyDescent="0.25">
      <c r="O2354" s="21"/>
    </row>
    <row r="2355" spans="15:15" x14ac:dyDescent="0.25">
      <c r="O2355" s="21"/>
    </row>
    <row r="2356" spans="15:15" x14ac:dyDescent="0.25">
      <c r="O2356" s="21"/>
    </row>
    <row r="2357" spans="15:15" x14ac:dyDescent="0.25">
      <c r="O2357" s="21"/>
    </row>
    <row r="2358" spans="15:15" x14ac:dyDescent="0.25">
      <c r="O2358" s="21"/>
    </row>
    <row r="2359" spans="15:15" x14ac:dyDescent="0.25">
      <c r="O2359" s="21"/>
    </row>
    <row r="2360" spans="15:15" x14ac:dyDescent="0.25">
      <c r="O2360" s="21"/>
    </row>
    <row r="2361" spans="15:15" x14ac:dyDescent="0.25">
      <c r="O2361" s="21"/>
    </row>
    <row r="2362" spans="15:15" x14ac:dyDescent="0.25">
      <c r="O2362" s="21"/>
    </row>
    <row r="2363" spans="15:15" x14ac:dyDescent="0.25">
      <c r="O2363" s="21"/>
    </row>
    <row r="2364" spans="15:15" x14ac:dyDescent="0.25">
      <c r="O2364" s="21"/>
    </row>
    <row r="2365" spans="15:15" x14ac:dyDescent="0.25">
      <c r="O2365" s="21"/>
    </row>
    <row r="2366" spans="15:15" x14ac:dyDescent="0.25">
      <c r="O2366" s="21"/>
    </row>
    <row r="2367" spans="15:15" x14ac:dyDescent="0.25">
      <c r="O2367" s="21"/>
    </row>
    <row r="2368" spans="15:15" x14ac:dyDescent="0.25">
      <c r="O2368" s="21"/>
    </row>
    <row r="2369" spans="15:15" x14ac:dyDescent="0.25">
      <c r="O2369" s="21"/>
    </row>
    <row r="2370" spans="15:15" x14ac:dyDescent="0.25">
      <c r="O2370" s="21"/>
    </row>
    <row r="2371" spans="15:15" x14ac:dyDescent="0.25">
      <c r="O2371" s="21"/>
    </row>
    <row r="2372" spans="15:15" x14ac:dyDescent="0.25">
      <c r="O2372" s="21"/>
    </row>
    <row r="2373" spans="15:15" x14ac:dyDescent="0.25">
      <c r="O2373" s="21"/>
    </row>
    <row r="2374" spans="15:15" x14ac:dyDescent="0.25">
      <c r="O2374" s="21"/>
    </row>
    <row r="2375" spans="15:15" x14ac:dyDescent="0.25">
      <c r="O2375" s="21"/>
    </row>
    <row r="2376" spans="15:15" x14ac:dyDescent="0.25">
      <c r="O2376" s="21"/>
    </row>
    <row r="2377" spans="15:15" x14ac:dyDescent="0.25">
      <c r="O2377" s="21"/>
    </row>
    <row r="2378" spans="15:15" x14ac:dyDescent="0.25">
      <c r="O2378" s="21"/>
    </row>
    <row r="2379" spans="15:15" x14ac:dyDescent="0.25">
      <c r="O2379" s="21"/>
    </row>
    <row r="2380" spans="15:15" x14ac:dyDescent="0.25">
      <c r="O2380" s="21"/>
    </row>
    <row r="2381" spans="15:15" x14ac:dyDescent="0.25">
      <c r="O2381" s="21"/>
    </row>
    <row r="2382" spans="15:15" x14ac:dyDescent="0.25">
      <c r="O2382" s="21"/>
    </row>
    <row r="2383" spans="15:15" x14ac:dyDescent="0.25">
      <c r="O2383" s="21"/>
    </row>
    <row r="2384" spans="15:15" x14ac:dyDescent="0.25">
      <c r="O2384" s="21"/>
    </row>
    <row r="2385" spans="15:15" x14ac:dyDescent="0.25">
      <c r="O2385" s="21"/>
    </row>
    <row r="2386" spans="15:15" x14ac:dyDescent="0.25">
      <c r="O2386" s="21"/>
    </row>
    <row r="2387" spans="15:15" x14ac:dyDescent="0.25">
      <c r="O2387" s="21"/>
    </row>
    <row r="2388" spans="15:15" x14ac:dyDescent="0.25">
      <c r="O2388" s="21"/>
    </row>
    <row r="2389" spans="15:15" x14ac:dyDescent="0.25">
      <c r="O2389" s="21"/>
    </row>
    <row r="2390" spans="15:15" x14ac:dyDescent="0.25">
      <c r="O2390" s="21"/>
    </row>
    <row r="2391" spans="15:15" x14ac:dyDescent="0.25">
      <c r="O2391" s="21"/>
    </row>
    <row r="2392" spans="15:15" x14ac:dyDescent="0.25">
      <c r="O2392" s="21"/>
    </row>
    <row r="2393" spans="15:15" x14ac:dyDescent="0.25">
      <c r="O2393" s="21"/>
    </row>
    <row r="2394" spans="15:15" x14ac:dyDescent="0.25">
      <c r="O2394" s="21"/>
    </row>
    <row r="2395" spans="15:15" x14ac:dyDescent="0.25">
      <c r="O2395" s="21"/>
    </row>
    <row r="2396" spans="15:15" x14ac:dyDescent="0.25">
      <c r="O2396" s="21"/>
    </row>
    <row r="2397" spans="15:15" x14ac:dyDescent="0.25">
      <c r="O2397" s="21"/>
    </row>
    <row r="2398" spans="15:15" x14ac:dyDescent="0.25">
      <c r="O2398" s="21"/>
    </row>
    <row r="2399" spans="15:15" x14ac:dyDescent="0.25">
      <c r="O2399" s="21"/>
    </row>
    <row r="2400" spans="15:15" x14ac:dyDescent="0.25">
      <c r="O2400" s="21"/>
    </row>
    <row r="2401" spans="15:15" x14ac:dyDescent="0.25">
      <c r="O2401" s="21"/>
    </row>
    <row r="2402" spans="15:15" x14ac:dyDescent="0.25">
      <c r="O2402" s="21"/>
    </row>
    <row r="2403" spans="15:15" x14ac:dyDescent="0.25">
      <c r="O2403" s="21"/>
    </row>
    <row r="2404" spans="15:15" x14ac:dyDescent="0.25">
      <c r="O2404" s="21"/>
    </row>
    <row r="2405" spans="15:15" x14ac:dyDescent="0.25">
      <c r="O2405" s="21"/>
    </row>
    <row r="2406" spans="15:15" x14ac:dyDescent="0.25">
      <c r="O2406" s="21"/>
    </row>
    <row r="2407" spans="15:15" x14ac:dyDescent="0.25">
      <c r="O2407" s="21"/>
    </row>
    <row r="2408" spans="15:15" x14ac:dyDescent="0.25">
      <c r="O2408" s="21"/>
    </row>
    <row r="2409" spans="15:15" x14ac:dyDescent="0.25">
      <c r="O2409" s="21"/>
    </row>
    <row r="2410" spans="15:15" x14ac:dyDescent="0.25">
      <c r="O2410" s="21"/>
    </row>
    <row r="2411" spans="15:15" x14ac:dyDescent="0.25">
      <c r="O2411" s="21"/>
    </row>
    <row r="2412" spans="15:15" x14ac:dyDescent="0.25">
      <c r="O2412" s="21"/>
    </row>
    <row r="2413" spans="15:15" x14ac:dyDescent="0.25">
      <c r="O2413" s="21"/>
    </row>
    <row r="2414" spans="15:15" x14ac:dyDescent="0.25">
      <c r="O2414" s="21"/>
    </row>
    <row r="2415" spans="15:15" x14ac:dyDescent="0.25">
      <c r="O2415" s="21"/>
    </row>
    <row r="2416" spans="15:15" x14ac:dyDescent="0.25">
      <c r="O2416" s="21"/>
    </row>
    <row r="2417" spans="15:15" x14ac:dyDescent="0.25">
      <c r="O2417" s="21"/>
    </row>
    <row r="2418" spans="15:15" x14ac:dyDescent="0.25">
      <c r="O2418" s="21"/>
    </row>
    <row r="2419" spans="15:15" x14ac:dyDescent="0.25">
      <c r="O2419" s="21"/>
    </row>
    <row r="2420" spans="15:15" x14ac:dyDescent="0.25">
      <c r="O2420" s="21"/>
    </row>
    <row r="2421" spans="15:15" x14ac:dyDescent="0.25">
      <c r="O2421" s="21"/>
    </row>
    <row r="2422" spans="15:15" x14ac:dyDescent="0.25">
      <c r="O2422" s="21"/>
    </row>
    <row r="2423" spans="15:15" x14ac:dyDescent="0.25">
      <c r="O2423" s="21"/>
    </row>
    <row r="2424" spans="15:15" x14ac:dyDescent="0.25">
      <c r="O2424" s="21"/>
    </row>
    <row r="2425" spans="15:15" x14ac:dyDescent="0.25">
      <c r="O2425" s="21"/>
    </row>
    <row r="2426" spans="15:15" x14ac:dyDescent="0.25">
      <c r="O2426" s="21"/>
    </row>
    <row r="2427" spans="15:15" x14ac:dyDescent="0.25">
      <c r="O2427" s="21"/>
    </row>
    <row r="2428" spans="15:15" x14ac:dyDescent="0.25">
      <c r="O2428" s="21"/>
    </row>
    <row r="2429" spans="15:15" x14ac:dyDescent="0.25">
      <c r="O2429" s="21"/>
    </row>
    <row r="2430" spans="15:15" x14ac:dyDescent="0.25">
      <c r="O2430" s="21"/>
    </row>
    <row r="2431" spans="15:15" x14ac:dyDescent="0.25">
      <c r="O2431" s="21"/>
    </row>
    <row r="2432" spans="15:15" x14ac:dyDescent="0.25">
      <c r="O2432" s="21"/>
    </row>
    <row r="2433" spans="15:15" x14ac:dyDescent="0.25">
      <c r="O2433" s="21"/>
    </row>
    <row r="2434" spans="15:15" x14ac:dyDescent="0.25">
      <c r="O2434" s="21"/>
    </row>
    <row r="2435" spans="15:15" x14ac:dyDescent="0.25">
      <c r="O2435" s="21"/>
    </row>
    <row r="2436" spans="15:15" x14ac:dyDescent="0.25">
      <c r="O2436" s="21"/>
    </row>
    <row r="2437" spans="15:15" x14ac:dyDescent="0.25">
      <c r="O2437" s="21"/>
    </row>
    <row r="2438" spans="15:15" x14ac:dyDescent="0.25">
      <c r="O2438" s="21"/>
    </row>
    <row r="2439" spans="15:15" x14ac:dyDescent="0.25">
      <c r="O2439" s="21"/>
    </row>
    <row r="2440" spans="15:15" x14ac:dyDescent="0.25">
      <c r="O2440" s="21"/>
    </row>
    <row r="2441" spans="15:15" x14ac:dyDescent="0.25">
      <c r="O2441" s="21"/>
    </row>
    <row r="2442" spans="15:15" x14ac:dyDescent="0.25">
      <c r="O2442" s="21"/>
    </row>
    <row r="2443" spans="15:15" x14ac:dyDescent="0.25">
      <c r="O2443" s="21"/>
    </row>
    <row r="2444" spans="15:15" x14ac:dyDescent="0.25">
      <c r="O2444" s="21"/>
    </row>
    <row r="2445" spans="15:15" x14ac:dyDescent="0.25">
      <c r="O2445" s="21"/>
    </row>
    <row r="2446" spans="15:15" x14ac:dyDescent="0.25">
      <c r="O2446" s="21"/>
    </row>
    <row r="2447" spans="15:15" x14ac:dyDescent="0.25">
      <c r="O2447" s="21"/>
    </row>
    <row r="2448" spans="15:15" x14ac:dyDescent="0.25">
      <c r="O2448" s="21"/>
    </row>
    <row r="2449" spans="15:15" x14ac:dyDescent="0.25">
      <c r="O2449" s="21"/>
    </row>
    <row r="2450" spans="15:15" x14ac:dyDescent="0.25">
      <c r="O2450" s="21"/>
    </row>
    <row r="2451" spans="15:15" x14ac:dyDescent="0.25">
      <c r="O2451" s="21"/>
    </row>
    <row r="2452" spans="15:15" x14ac:dyDescent="0.25">
      <c r="O2452" s="21"/>
    </row>
    <row r="2453" spans="15:15" x14ac:dyDescent="0.25">
      <c r="O2453" s="21"/>
    </row>
    <row r="2454" spans="15:15" x14ac:dyDescent="0.25">
      <c r="O2454" s="21"/>
    </row>
    <row r="2455" spans="15:15" x14ac:dyDescent="0.25">
      <c r="O2455" s="21"/>
    </row>
    <row r="2456" spans="15:15" x14ac:dyDescent="0.25">
      <c r="O2456" s="21"/>
    </row>
    <row r="2457" spans="15:15" x14ac:dyDescent="0.25">
      <c r="O2457" s="21"/>
    </row>
    <row r="2458" spans="15:15" x14ac:dyDescent="0.25">
      <c r="O2458" s="21"/>
    </row>
    <row r="2459" spans="15:15" x14ac:dyDescent="0.25">
      <c r="O2459" s="21"/>
    </row>
    <row r="2460" spans="15:15" x14ac:dyDescent="0.25">
      <c r="O2460" s="21"/>
    </row>
    <row r="2461" spans="15:15" x14ac:dyDescent="0.25">
      <c r="O2461" s="21"/>
    </row>
    <row r="2462" spans="15:15" x14ac:dyDescent="0.25">
      <c r="O2462" s="21"/>
    </row>
    <row r="2463" spans="15:15" x14ac:dyDescent="0.25">
      <c r="O2463" s="21"/>
    </row>
    <row r="2464" spans="15:15" x14ac:dyDescent="0.25">
      <c r="O2464" s="21"/>
    </row>
    <row r="2465" spans="15:15" x14ac:dyDescent="0.25">
      <c r="O2465" s="21"/>
    </row>
    <row r="2466" spans="15:15" x14ac:dyDescent="0.25">
      <c r="O2466" s="21"/>
    </row>
    <row r="2467" spans="15:15" x14ac:dyDescent="0.25">
      <c r="O2467" s="21"/>
    </row>
    <row r="2468" spans="15:15" x14ac:dyDescent="0.25">
      <c r="O2468" s="21"/>
    </row>
    <row r="2469" spans="15:15" x14ac:dyDescent="0.25">
      <c r="O2469" s="21"/>
    </row>
    <row r="2470" spans="15:15" x14ac:dyDescent="0.25">
      <c r="O2470" s="21"/>
    </row>
    <row r="2471" spans="15:15" x14ac:dyDescent="0.25">
      <c r="O2471" s="21"/>
    </row>
    <row r="2472" spans="15:15" x14ac:dyDescent="0.25">
      <c r="O2472" s="21"/>
    </row>
    <row r="2473" spans="15:15" x14ac:dyDescent="0.25">
      <c r="O2473" s="21"/>
    </row>
    <row r="2474" spans="15:15" x14ac:dyDescent="0.25">
      <c r="O2474" s="21"/>
    </row>
    <row r="2475" spans="15:15" x14ac:dyDescent="0.25">
      <c r="O2475" s="21"/>
    </row>
    <row r="2476" spans="15:15" x14ac:dyDescent="0.25">
      <c r="O2476" s="21"/>
    </row>
    <row r="2477" spans="15:15" x14ac:dyDescent="0.25">
      <c r="O2477" s="21"/>
    </row>
    <row r="2478" spans="15:15" x14ac:dyDescent="0.25">
      <c r="O2478" s="21"/>
    </row>
    <row r="2479" spans="15:15" x14ac:dyDescent="0.25">
      <c r="O2479" s="21"/>
    </row>
    <row r="2480" spans="15:15" x14ac:dyDescent="0.25">
      <c r="O2480" s="21"/>
    </row>
    <row r="2481" spans="15:15" x14ac:dyDescent="0.25">
      <c r="O2481" s="21"/>
    </row>
    <row r="2482" spans="15:15" x14ac:dyDescent="0.25">
      <c r="O2482" s="21"/>
    </row>
    <row r="2483" spans="15:15" x14ac:dyDescent="0.25">
      <c r="O2483" s="21"/>
    </row>
    <row r="2484" spans="15:15" x14ac:dyDescent="0.25">
      <c r="O2484" s="21"/>
    </row>
    <row r="2485" spans="15:15" x14ac:dyDescent="0.25">
      <c r="O2485" s="21"/>
    </row>
    <row r="2486" spans="15:15" x14ac:dyDescent="0.25">
      <c r="O2486" s="21"/>
    </row>
    <row r="2487" spans="15:15" x14ac:dyDescent="0.25">
      <c r="O2487" s="21"/>
    </row>
    <row r="2488" spans="15:15" x14ac:dyDescent="0.25">
      <c r="O2488" s="21"/>
    </row>
    <row r="2489" spans="15:15" x14ac:dyDescent="0.25">
      <c r="O2489" s="21"/>
    </row>
    <row r="2490" spans="15:15" x14ac:dyDescent="0.25">
      <c r="O2490" s="21"/>
    </row>
    <row r="2491" spans="15:15" x14ac:dyDescent="0.25">
      <c r="O2491" s="21"/>
    </row>
    <row r="2492" spans="15:15" x14ac:dyDescent="0.25">
      <c r="O2492" s="21"/>
    </row>
    <row r="2493" spans="15:15" x14ac:dyDescent="0.25">
      <c r="O2493" s="21"/>
    </row>
    <row r="2494" spans="15:15" x14ac:dyDescent="0.25">
      <c r="O2494" s="21"/>
    </row>
    <row r="2495" spans="15:15" x14ac:dyDescent="0.25">
      <c r="O2495" s="21"/>
    </row>
    <row r="2496" spans="15:15" x14ac:dyDescent="0.25">
      <c r="O2496" s="21"/>
    </row>
    <row r="2497" spans="15:15" x14ac:dyDescent="0.25">
      <c r="O2497" s="21"/>
    </row>
    <row r="2498" spans="15:15" x14ac:dyDescent="0.25">
      <c r="O2498" s="21"/>
    </row>
    <row r="2499" spans="15:15" x14ac:dyDescent="0.25">
      <c r="O2499" s="21"/>
    </row>
    <row r="2500" spans="15:15" x14ac:dyDescent="0.25">
      <c r="O2500" s="21"/>
    </row>
    <row r="2501" spans="15:15" x14ac:dyDescent="0.25">
      <c r="O2501" s="21"/>
    </row>
    <row r="2502" spans="15:15" x14ac:dyDescent="0.25">
      <c r="O2502" s="21"/>
    </row>
    <row r="2503" spans="15:15" x14ac:dyDescent="0.25">
      <c r="O2503" s="21"/>
    </row>
    <row r="2504" spans="15:15" x14ac:dyDescent="0.25">
      <c r="O2504" s="21"/>
    </row>
    <row r="2505" spans="15:15" x14ac:dyDescent="0.25">
      <c r="O2505" s="21"/>
    </row>
    <row r="2506" spans="15:15" x14ac:dyDescent="0.25">
      <c r="O2506" s="21"/>
    </row>
    <row r="2507" spans="15:15" x14ac:dyDescent="0.25">
      <c r="O2507" s="21"/>
    </row>
    <row r="2508" spans="15:15" x14ac:dyDescent="0.25">
      <c r="O2508" s="21"/>
    </row>
    <row r="2509" spans="15:15" x14ac:dyDescent="0.25">
      <c r="O2509" s="21"/>
    </row>
    <row r="2510" spans="15:15" x14ac:dyDescent="0.25">
      <c r="O2510" s="21"/>
    </row>
    <row r="2511" spans="15:15" x14ac:dyDescent="0.25">
      <c r="O2511" s="21"/>
    </row>
    <row r="2512" spans="15:15" x14ac:dyDescent="0.25">
      <c r="O2512" s="21"/>
    </row>
    <row r="2513" spans="15:15" x14ac:dyDescent="0.25">
      <c r="O2513" s="21"/>
    </row>
    <row r="2514" spans="15:15" x14ac:dyDescent="0.25">
      <c r="O2514" s="21"/>
    </row>
    <row r="2515" spans="15:15" x14ac:dyDescent="0.25">
      <c r="O2515" s="21"/>
    </row>
    <row r="2516" spans="15:15" x14ac:dyDescent="0.25">
      <c r="O2516" s="21"/>
    </row>
    <row r="2517" spans="15:15" x14ac:dyDescent="0.25">
      <c r="O2517" s="21"/>
    </row>
    <row r="2518" spans="15:15" x14ac:dyDescent="0.25">
      <c r="O2518" s="21"/>
    </row>
    <row r="2519" spans="15:15" x14ac:dyDescent="0.25">
      <c r="O2519" s="21"/>
    </row>
    <row r="2520" spans="15:15" x14ac:dyDescent="0.25">
      <c r="O2520" s="21"/>
    </row>
    <row r="2521" spans="15:15" x14ac:dyDescent="0.25">
      <c r="O2521" s="21"/>
    </row>
    <row r="2522" spans="15:15" x14ac:dyDescent="0.25">
      <c r="O2522" s="21"/>
    </row>
    <row r="2523" spans="15:15" x14ac:dyDescent="0.25">
      <c r="O2523" s="21"/>
    </row>
    <row r="2524" spans="15:15" x14ac:dyDescent="0.25">
      <c r="O2524" s="21"/>
    </row>
    <row r="2525" spans="15:15" x14ac:dyDescent="0.25">
      <c r="O2525" s="21"/>
    </row>
    <row r="2526" spans="15:15" x14ac:dyDescent="0.25">
      <c r="O2526" s="21"/>
    </row>
    <row r="2527" spans="15:15" x14ac:dyDescent="0.25">
      <c r="O2527" s="21"/>
    </row>
    <row r="2528" spans="15:15" x14ac:dyDescent="0.25">
      <c r="O2528" s="21"/>
    </row>
    <row r="2529" spans="15:15" x14ac:dyDescent="0.25">
      <c r="O2529" s="21"/>
    </row>
    <row r="2530" spans="15:15" x14ac:dyDescent="0.25">
      <c r="O2530" s="21"/>
    </row>
    <row r="2531" spans="15:15" x14ac:dyDescent="0.25">
      <c r="O2531" s="21"/>
    </row>
    <row r="2532" spans="15:15" x14ac:dyDescent="0.25">
      <c r="O2532" s="21"/>
    </row>
    <row r="2533" spans="15:15" x14ac:dyDescent="0.25">
      <c r="O2533" s="21"/>
    </row>
    <row r="2534" spans="15:15" x14ac:dyDescent="0.25">
      <c r="O2534" s="21"/>
    </row>
    <row r="2535" spans="15:15" x14ac:dyDescent="0.25">
      <c r="O2535" s="21"/>
    </row>
    <row r="2536" spans="15:15" x14ac:dyDescent="0.25">
      <c r="O2536" s="21"/>
    </row>
    <row r="2537" spans="15:15" x14ac:dyDescent="0.25">
      <c r="O2537" s="21"/>
    </row>
    <row r="2538" spans="15:15" x14ac:dyDescent="0.25">
      <c r="O2538" s="21"/>
    </row>
    <row r="2539" spans="15:15" x14ac:dyDescent="0.25">
      <c r="O2539" s="21"/>
    </row>
    <row r="2540" spans="15:15" x14ac:dyDescent="0.25">
      <c r="O2540" s="21"/>
    </row>
    <row r="2541" spans="15:15" x14ac:dyDescent="0.25">
      <c r="O2541" s="21"/>
    </row>
    <row r="2542" spans="15:15" x14ac:dyDescent="0.25">
      <c r="O2542" s="21"/>
    </row>
    <row r="2543" spans="15:15" x14ac:dyDescent="0.25">
      <c r="O2543" s="21"/>
    </row>
    <row r="2544" spans="15:15" x14ac:dyDescent="0.25">
      <c r="O2544" s="21"/>
    </row>
    <row r="2545" spans="15:15" x14ac:dyDescent="0.25">
      <c r="O2545" s="21"/>
    </row>
    <row r="2546" spans="15:15" x14ac:dyDescent="0.25">
      <c r="O2546" s="21"/>
    </row>
    <row r="2547" spans="15:15" x14ac:dyDescent="0.25">
      <c r="O2547" s="21"/>
    </row>
    <row r="2548" spans="15:15" x14ac:dyDescent="0.25">
      <c r="O2548" s="21"/>
    </row>
    <row r="2549" spans="15:15" x14ac:dyDescent="0.25">
      <c r="O2549" s="21"/>
    </row>
    <row r="2550" spans="15:15" x14ac:dyDescent="0.25">
      <c r="O2550" s="21"/>
    </row>
    <row r="2551" spans="15:15" x14ac:dyDescent="0.25">
      <c r="O2551" s="21"/>
    </row>
    <row r="2552" spans="15:15" x14ac:dyDescent="0.25">
      <c r="O2552" s="21"/>
    </row>
    <row r="2553" spans="15:15" x14ac:dyDescent="0.25">
      <c r="O2553" s="21"/>
    </row>
    <row r="2554" spans="15:15" x14ac:dyDescent="0.25">
      <c r="O2554" s="21"/>
    </row>
    <row r="2555" spans="15:15" x14ac:dyDescent="0.25">
      <c r="O2555" s="21"/>
    </row>
    <row r="2556" spans="15:15" x14ac:dyDescent="0.25">
      <c r="O2556" s="21"/>
    </row>
    <row r="2557" spans="15:15" x14ac:dyDescent="0.25">
      <c r="O2557" s="21"/>
    </row>
    <row r="2558" spans="15:15" x14ac:dyDescent="0.25">
      <c r="O2558" s="21"/>
    </row>
    <row r="2559" spans="15:15" x14ac:dyDescent="0.25">
      <c r="O2559" s="21"/>
    </row>
    <row r="2560" spans="15:15" x14ac:dyDescent="0.25">
      <c r="O2560" s="21"/>
    </row>
    <row r="2561" spans="15:15" x14ac:dyDescent="0.25">
      <c r="O2561" s="21"/>
    </row>
    <row r="2562" spans="15:15" x14ac:dyDescent="0.25">
      <c r="O2562" s="21"/>
    </row>
    <row r="2563" spans="15:15" x14ac:dyDescent="0.25">
      <c r="O2563" s="21"/>
    </row>
    <row r="2564" spans="15:15" x14ac:dyDescent="0.25">
      <c r="O2564" s="21"/>
    </row>
    <row r="2565" spans="15:15" x14ac:dyDescent="0.25">
      <c r="O2565" s="21"/>
    </row>
    <row r="2566" spans="15:15" x14ac:dyDescent="0.25">
      <c r="O2566" s="21"/>
    </row>
    <row r="2567" spans="15:15" x14ac:dyDescent="0.25">
      <c r="O2567" s="21"/>
    </row>
    <row r="2568" spans="15:15" x14ac:dyDescent="0.25">
      <c r="O2568" s="21"/>
    </row>
    <row r="2569" spans="15:15" x14ac:dyDescent="0.25">
      <c r="O2569" s="21"/>
    </row>
    <row r="2570" spans="15:15" x14ac:dyDescent="0.25">
      <c r="O2570" s="21"/>
    </row>
    <row r="2571" spans="15:15" x14ac:dyDescent="0.25">
      <c r="O2571" s="21"/>
    </row>
    <row r="2572" spans="15:15" x14ac:dyDescent="0.25">
      <c r="O2572" s="21"/>
    </row>
    <row r="2573" spans="15:15" x14ac:dyDescent="0.25">
      <c r="O2573" s="21"/>
    </row>
    <row r="2574" spans="15:15" x14ac:dyDescent="0.25">
      <c r="O2574" s="21"/>
    </row>
    <row r="2575" spans="15:15" x14ac:dyDescent="0.25">
      <c r="O2575" s="21"/>
    </row>
    <row r="2576" spans="15:15" x14ac:dyDescent="0.25">
      <c r="O2576" s="21"/>
    </row>
    <row r="2577" spans="15:15" x14ac:dyDescent="0.25">
      <c r="O2577" s="21"/>
    </row>
    <row r="2578" spans="15:15" x14ac:dyDescent="0.25">
      <c r="O2578" s="21"/>
    </row>
    <row r="2579" spans="15:15" x14ac:dyDescent="0.25">
      <c r="O2579" s="21"/>
    </row>
    <row r="2580" spans="15:15" x14ac:dyDescent="0.25">
      <c r="O2580" s="21"/>
    </row>
    <row r="2581" spans="15:15" x14ac:dyDescent="0.25">
      <c r="O2581" s="21"/>
    </row>
    <row r="2582" spans="15:15" x14ac:dyDescent="0.25">
      <c r="O2582" s="21"/>
    </row>
    <row r="2583" spans="15:15" x14ac:dyDescent="0.25">
      <c r="O2583" s="21"/>
    </row>
    <row r="2584" spans="15:15" x14ac:dyDescent="0.25">
      <c r="O2584" s="21"/>
    </row>
    <row r="2585" spans="15:15" x14ac:dyDescent="0.25">
      <c r="O2585" s="21"/>
    </row>
    <row r="2586" spans="15:15" x14ac:dyDescent="0.25">
      <c r="O2586" s="21"/>
    </row>
    <row r="2587" spans="15:15" x14ac:dyDescent="0.25">
      <c r="O2587" s="21"/>
    </row>
    <row r="2588" spans="15:15" x14ac:dyDescent="0.25">
      <c r="O2588" s="21"/>
    </row>
    <row r="2589" spans="15:15" x14ac:dyDescent="0.25">
      <c r="O2589" s="21"/>
    </row>
    <row r="2590" spans="15:15" x14ac:dyDescent="0.25">
      <c r="O2590" s="21"/>
    </row>
    <row r="2591" spans="15:15" x14ac:dyDescent="0.25">
      <c r="O2591" s="21"/>
    </row>
    <row r="2592" spans="15:15" x14ac:dyDescent="0.25">
      <c r="O2592" s="21"/>
    </row>
    <row r="2593" spans="15:15" x14ac:dyDescent="0.25">
      <c r="O2593" s="21"/>
    </row>
    <row r="2594" spans="15:15" x14ac:dyDescent="0.25">
      <c r="O2594" s="21"/>
    </row>
    <row r="2595" spans="15:15" x14ac:dyDescent="0.25">
      <c r="O2595" s="21"/>
    </row>
    <row r="2596" spans="15:15" x14ac:dyDescent="0.25">
      <c r="O2596" s="21"/>
    </row>
    <row r="2597" spans="15:15" x14ac:dyDescent="0.25">
      <c r="O2597" s="21"/>
    </row>
    <row r="2598" spans="15:15" x14ac:dyDescent="0.25">
      <c r="O2598" s="21"/>
    </row>
    <row r="2599" spans="15:15" x14ac:dyDescent="0.25">
      <c r="O2599" s="21"/>
    </row>
    <row r="2600" spans="15:15" x14ac:dyDescent="0.25">
      <c r="O2600" s="21"/>
    </row>
    <row r="2601" spans="15:15" x14ac:dyDescent="0.25">
      <c r="O2601" s="21"/>
    </row>
    <row r="2602" spans="15:15" x14ac:dyDescent="0.25">
      <c r="O2602" s="21"/>
    </row>
    <row r="2603" spans="15:15" x14ac:dyDescent="0.25">
      <c r="O2603" s="21"/>
    </row>
    <row r="2604" spans="15:15" x14ac:dyDescent="0.25">
      <c r="O2604" s="21"/>
    </row>
    <row r="2605" spans="15:15" x14ac:dyDescent="0.25">
      <c r="O2605" s="21"/>
    </row>
    <row r="2606" spans="15:15" x14ac:dyDescent="0.25">
      <c r="O2606" s="21"/>
    </row>
    <row r="2607" spans="15:15" x14ac:dyDescent="0.25">
      <c r="O2607" s="21"/>
    </row>
    <row r="2608" spans="15:15" x14ac:dyDescent="0.25">
      <c r="O2608" s="21"/>
    </row>
    <row r="2609" spans="15:15" x14ac:dyDescent="0.25">
      <c r="O2609" s="21"/>
    </row>
    <row r="2610" spans="15:15" x14ac:dyDescent="0.25">
      <c r="O2610" s="21"/>
    </row>
    <row r="2611" spans="15:15" x14ac:dyDescent="0.25">
      <c r="O2611" s="21"/>
    </row>
    <row r="2612" spans="15:15" x14ac:dyDescent="0.25">
      <c r="O2612" s="21"/>
    </row>
    <row r="2613" spans="15:15" x14ac:dyDescent="0.25">
      <c r="O2613" s="21"/>
    </row>
    <row r="2614" spans="15:15" x14ac:dyDescent="0.25">
      <c r="O2614" s="21"/>
    </row>
    <row r="2615" spans="15:15" x14ac:dyDescent="0.25">
      <c r="O2615" s="21"/>
    </row>
    <row r="2616" spans="15:15" x14ac:dyDescent="0.25">
      <c r="O2616" s="21"/>
    </row>
    <row r="2617" spans="15:15" x14ac:dyDescent="0.25">
      <c r="O2617" s="21"/>
    </row>
    <row r="2618" spans="15:15" x14ac:dyDescent="0.25">
      <c r="O2618" s="21"/>
    </row>
    <row r="2619" spans="15:15" x14ac:dyDescent="0.25">
      <c r="O2619" s="21"/>
    </row>
    <row r="2620" spans="15:15" x14ac:dyDescent="0.25">
      <c r="O2620" s="21"/>
    </row>
    <row r="2621" spans="15:15" x14ac:dyDescent="0.25">
      <c r="O2621" s="21"/>
    </row>
    <row r="2622" spans="15:15" x14ac:dyDescent="0.25">
      <c r="O2622" s="21"/>
    </row>
    <row r="2623" spans="15:15" x14ac:dyDescent="0.25">
      <c r="O2623" s="21"/>
    </row>
    <row r="2624" spans="15:15" x14ac:dyDescent="0.25">
      <c r="O2624" s="21"/>
    </row>
    <row r="2625" spans="15:15" x14ac:dyDescent="0.25">
      <c r="O2625" s="21"/>
    </row>
    <row r="2626" spans="15:15" x14ac:dyDescent="0.25">
      <c r="O2626" s="21"/>
    </row>
    <row r="2627" spans="15:15" x14ac:dyDescent="0.25">
      <c r="O2627" s="21"/>
    </row>
    <row r="2628" spans="15:15" x14ac:dyDescent="0.25">
      <c r="O2628" s="21"/>
    </row>
    <row r="2629" spans="15:15" x14ac:dyDescent="0.25">
      <c r="O2629" s="21"/>
    </row>
    <row r="2630" spans="15:15" x14ac:dyDescent="0.25">
      <c r="O2630" s="21"/>
    </row>
    <row r="2631" spans="15:15" x14ac:dyDescent="0.25">
      <c r="O2631" s="21"/>
    </row>
    <row r="2632" spans="15:15" x14ac:dyDescent="0.25">
      <c r="O2632" s="21"/>
    </row>
    <row r="2633" spans="15:15" x14ac:dyDescent="0.25">
      <c r="O2633" s="21"/>
    </row>
    <row r="2634" spans="15:15" x14ac:dyDescent="0.25">
      <c r="O2634" s="21"/>
    </row>
    <row r="2635" spans="15:15" x14ac:dyDescent="0.25">
      <c r="O2635" s="21"/>
    </row>
    <row r="2636" spans="15:15" x14ac:dyDescent="0.25">
      <c r="O2636" s="21"/>
    </row>
    <row r="2637" spans="15:15" x14ac:dyDescent="0.25">
      <c r="O2637" s="21"/>
    </row>
    <row r="2638" spans="15:15" x14ac:dyDescent="0.25">
      <c r="O2638" s="21"/>
    </row>
    <row r="2639" spans="15:15" x14ac:dyDescent="0.25">
      <c r="O2639" s="21"/>
    </row>
    <row r="2640" spans="15:15" x14ac:dyDescent="0.25">
      <c r="O2640" s="21"/>
    </row>
    <row r="2641" spans="15:15" x14ac:dyDescent="0.25">
      <c r="O2641" s="21"/>
    </row>
    <row r="2642" spans="15:15" x14ac:dyDescent="0.25">
      <c r="O2642" s="21"/>
    </row>
    <row r="2643" spans="15:15" x14ac:dyDescent="0.25">
      <c r="O2643" s="21"/>
    </row>
    <row r="2644" spans="15:15" x14ac:dyDescent="0.25">
      <c r="O2644" s="21"/>
    </row>
    <row r="2645" spans="15:15" x14ac:dyDescent="0.25">
      <c r="O2645" s="21"/>
    </row>
    <row r="2646" spans="15:15" x14ac:dyDescent="0.25">
      <c r="O2646" s="21"/>
    </row>
    <row r="2647" spans="15:15" x14ac:dyDescent="0.25">
      <c r="O2647" s="21"/>
    </row>
    <row r="2648" spans="15:15" x14ac:dyDescent="0.25">
      <c r="O2648" s="21"/>
    </row>
    <row r="2649" spans="15:15" x14ac:dyDescent="0.25">
      <c r="O2649" s="21"/>
    </row>
    <row r="2650" spans="15:15" x14ac:dyDescent="0.25">
      <c r="O2650" s="21"/>
    </row>
    <row r="2651" spans="15:15" x14ac:dyDescent="0.25">
      <c r="O2651" s="21"/>
    </row>
    <row r="2652" spans="15:15" x14ac:dyDescent="0.25">
      <c r="O2652" s="21"/>
    </row>
    <row r="2653" spans="15:15" x14ac:dyDescent="0.25">
      <c r="O2653" s="21"/>
    </row>
    <row r="2654" spans="15:15" x14ac:dyDescent="0.25">
      <c r="O2654" s="21"/>
    </row>
    <row r="2655" spans="15:15" x14ac:dyDescent="0.25">
      <c r="O2655" s="21"/>
    </row>
    <row r="2656" spans="15:15" x14ac:dyDescent="0.25">
      <c r="O2656" s="21"/>
    </row>
    <row r="2657" spans="15:15" x14ac:dyDescent="0.25">
      <c r="O2657" s="21"/>
    </row>
    <row r="2658" spans="15:15" x14ac:dyDescent="0.25">
      <c r="O2658" s="21"/>
    </row>
    <row r="2659" spans="15:15" x14ac:dyDescent="0.25">
      <c r="O2659" s="21"/>
    </row>
    <row r="2660" spans="15:15" x14ac:dyDescent="0.25">
      <c r="O2660" s="21"/>
    </row>
    <row r="2661" spans="15:15" x14ac:dyDescent="0.25">
      <c r="O2661" s="21"/>
    </row>
    <row r="2662" spans="15:15" x14ac:dyDescent="0.25">
      <c r="O2662" s="21"/>
    </row>
    <row r="2663" spans="15:15" x14ac:dyDescent="0.25">
      <c r="O2663" s="21"/>
    </row>
    <row r="2664" spans="15:15" x14ac:dyDescent="0.25">
      <c r="O2664" s="21"/>
    </row>
    <row r="2665" spans="15:15" x14ac:dyDescent="0.25">
      <c r="O2665" s="21"/>
    </row>
    <row r="2666" spans="15:15" x14ac:dyDescent="0.25">
      <c r="O2666" s="21"/>
    </row>
    <row r="2667" spans="15:15" x14ac:dyDescent="0.25">
      <c r="O2667" s="21"/>
    </row>
    <row r="2668" spans="15:15" x14ac:dyDescent="0.25">
      <c r="O2668" s="21"/>
    </row>
    <row r="2669" spans="15:15" x14ac:dyDescent="0.25">
      <c r="O2669" s="21"/>
    </row>
    <row r="2670" spans="15:15" x14ac:dyDescent="0.25">
      <c r="O2670" s="21"/>
    </row>
    <row r="2671" spans="15:15" x14ac:dyDescent="0.25">
      <c r="O2671" s="21"/>
    </row>
    <row r="2672" spans="15:15" x14ac:dyDescent="0.25">
      <c r="O2672" s="21"/>
    </row>
    <row r="2673" spans="15:15" x14ac:dyDescent="0.25">
      <c r="O2673" s="21"/>
    </row>
    <row r="2674" spans="15:15" x14ac:dyDescent="0.25">
      <c r="O2674" s="21"/>
    </row>
    <row r="2675" spans="15:15" x14ac:dyDescent="0.25">
      <c r="O2675" s="21"/>
    </row>
    <row r="2676" spans="15:15" x14ac:dyDescent="0.25">
      <c r="O2676" s="21"/>
    </row>
    <row r="2677" spans="15:15" x14ac:dyDescent="0.25">
      <c r="O2677" s="21"/>
    </row>
    <row r="2678" spans="15:15" x14ac:dyDescent="0.25">
      <c r="O2678" s="21"/>
    </row>
    <row r="2679" spans="15:15" x14ac:dyDescent="0.25">
      <c r="O2679" s="21"/>
    </row>
    <row r="2680" spans="15:15" x14ac:dyDescent="0.25">
      <c r="O2680" s="21"/>
    </row>
    <row r="2681" spans="15:15" x14ac:dyDescent="0.25">
      <c r="O2681" s="21"/>
    </row>
    <row r="2682" spans="15:15" x14ac:dyDescent="0.25">
      <c r="O2682" s="21"/>
    </row>
    <row r="2683" spans="15:15" x14ac:dyDescent="0.25">
      <c r="O2683" s="21"/>
    </row>
    <row r="2684" spans="15:15" x14ac:dyDescent="0.25">
      <c r="O2684" s="21"/>
    </row>
    <row r="2685" spans="15:15" x14ac:dyDescent="0.25">
      <c r="O2685" s="21"/>
    </row>
    <row r="2686" spans="15:15" x14ac:dyDescent="0.25">
      <c r="O2686" s="21"/>
    </row>
    <row r="2687" spans="15:15" x14ac:dyDescent="0.25">
      <c r="O2687" s="21"/>
    </row>
    <row r="2688" spans="15:15" x14ac:dyDescent="0.25">
      <c r="O2688" s="21"/>
    </row>
    <row r="2689" spans="15:15" x14ac:dyDescent="0.25">
      <c r="O2689" s="21"/>
    </row>
    <row r="2690" spans="15:15" x14ac:dyDescent="0.25">
      <c r="O2690" s="21"/>
    </row>
    <row r="2691" spans="15:15" x14ac:dyDescent="0.25">
      <c r="O2691" s="21"/>
    </row>
    <row r="2692" spans="15:15" x14ac:dyDescent="0.25">
      <c r="O2692" s="21"/>
    </row>
    <row r="2693" spans="15:15" x14ac:dyDescent="0.25">
      <c r="O2693" s="21"/>
    </row>
    <row r="2694" spans="15:15" x14ac:dyDescent="0.25">
      <c r="O2694" s="21"/>
    </row>
    <row r="2695" spans="15:15" x14ac:dyDescent="0.25">
      <c r="O2695" s="21"/>
    </row>
    <row r="2696" spans="15:15" x14ac:dyDescent="0.25">
      <c r="O2696" s="21"/>
    </row>
    <row r="2697" spans="15:15" x14ac:dyDescent="0.25">
      <c r="O2697" s="21"/>
    </row>
    <row r="2698" spans="15:15" x14ac:dyDescent="0.25">
      <c r="O2698" s="21"/>
    </row>
    <row r="2699" spans="15:15" x14ac:dyDescent="0.25">
      <c r="O2699" s="21"/>
    </row>
    <row r="2700" spans="15:15" x14ac:dyDescent="0.25">
      <c r="O2700" s="21"/>
    </row>
    <row r="2701" spans="15:15" x14ac:dyDescent="0.25">
      <c r="O2701" s="21"/>
    </row>
    <row r="2702" spans="15:15" x14ac:dyDescent="0.25">
      <c r="O2702" s="21"/>
    </row>
    <row r="2703" spans="15:15" x14ac:dyDescent="0.25">
      <c r="O2703" s="21"/>
    </row>
    <row r="2704" spans="15:15" x14ac:dyDescent="0.25">
      <c r="O2704" s="21"/>
    </row>
    <row r="2705" spans="15:15" x14ac:dyDescent="0.25">
      <c r="O2705" s="21"/>
    </row>
    <row r="2706" spans="15:15" x14ac:dyDescent="0.25">
      <c r="O2706" s="21"/>
    </row>
    <row r="2707" spans="15:15" x14ac:dyDescent="0.25">
      <c r="O2707" s="21"/>
    </row>
    <row r="2708" spans="15:15" x14ac:dyDescent="0.25">
      <c r="O2708" s="21"/>
    </row>
    <row r="2709" spans="15:15" x14ac:dyDescent="0.25">
      <c r="O2709" s="21"/>
    </row>
    <row r="2710" spans="15:15" x14ac:dyDescent="0.25">
      <c r="O2710" s="21"/>
    </row>
    <row r="2711" spans="15:15" x14ac:dyDescent="0.25">
      <c r="O2711" s="21"/>
    </row>
    <row r="2712" spans="15:15" x14ac:dyDescent="0.25">
      <c r="O2712" s="21"/>
    </row>
    <row r="2713" spans="15:15" x14ac:dyDescent="0.25">
      <c r="O2713" s="21"/>
    </row>
    <row r="2714" spans="15:15" x14ac:dyDescent="0.25">
      <c r="O2714" s="21"/>
    </row>
    <row r="2715" spans="15:15" x14ac:dyDescent="0.25">
      <c r="O2715" s="21"/>
    </row>
    <row r="2716" spans="15:15" x14ac:dyDescent="0.25">
      <c r="O2716" s="21"/>
    </row>
    <row r="2717" spans="15:15" x14ac:dyDescent="0.25">
      <c r="O2717" s="21"/>
    </row>
    <row r="2718" spans="15:15" x14ac:dyDescent="0.25">
      <c r="O2718" s="21"/>
    </row>
    <row r="2719" spans="15:15" x14ac:dyDescent="0.25">
      <c r="O2719" s="21"/>
    </row>
    <row r="2720" spans="15:15" x14ac:dyDescent="0.25">
      <c r="O2720" s="21"/>
    </row>
    <row r="2721" spans="15:15" x14ac:dyDescent="0.25">
      <c r="O2721" s="21"/>
    </row>
    <row r="2722" spans="15:15" x14ac:dyDescent="0.25">
      <c r="O2722" s="21"/>
    </row>
    <row r="2723" spans="15:15" x14ac:dyDescent="0.25">
      <c r="O2723" s="21"/>
    </row>
    <row r="2724" spans="15:15" x14ac:dyDescent="0.25">
      <c r="O2724" s="21"/>
    </row>
    <row r="2725" spans="15:15" x14ac:dyDescent="0.25">
      <c r="O2725" s="21"/>
    </row>
    <row r="2726" spans="15:15" x14ac:dyDescent="0.25">
      <c r="O2726" s="21"/>
    </row>
    <row r="2727" spans="15:15" x14ac:dyDescent="0.25">
      <c r="O2727" s="21"/>
    </row>
    <row r="2728" spans="15:15" x14ac:dyDescent="0.25">
      <c r="O2728" s="21"/>
    </row>
    <row r="2729" spans="15:15" x14ac:dyDescent="0.25">
      <c r="O2729" s="21"/>
    </row>
    <row r="2730" spans="15:15" x14ac:dyDescent="0.25">
      <c r="O2730" s="21"/>
    </row>
    <row r="2731" spans="15:15" x14ac:dyDescent="0.25">
      <c r="O2731" s="21"/>
    </row>
    <row r="2732" spans="15:15" x14ac:dyDescent="0.25">
      <c r="O2732" s="21"/>
    </row>
    <row r="2733" spans="15:15" x14ac:dyDescent="0.25">
      <c r="O2733" s="21"/>
    </row>
    <row r="2734" spans="15:15" x14ac:dyDescent="0.25">
      <c r="O2734" s="21"/>
    </row>
    <row r="2735" spans="15:15" x14ac:dyDescent="0.25">
      <c r="O2735" s="21"/>
    </row>
    <row r="2736" spans="15:15" x14ac:dyDescent="0.25">
      <c r="O2736" s="21"/>
    </row>
    <row r="2737" spans="15:15" x14ac:dyDescent="0.25">
      <c r="O2737" s="21"/>
    </row>
    <row r="2738" spans="15:15" x14ac:dyDescent="0.25">
      <c r="O2738" s="21"/>
    </row>
    <row r="2739" spans="15:15" x14ac:dyDescent="0.25">
      <c r="O2739" s="21"/>
    </row>
    <row r="2740" spans="15:15" x14ac:dyDescent="0.25">
      <c r="O2740" s="21"/>
    </row>
    <row r="2741" spans="15:15" x14ac:dyDescent="0.25">
      <c r="O2741" s="21"/>
    </row>
    <row r="2742" spans="15:15" x14ac:dyDescent="0.25">
      <c r="O2742" s="21"/>
    </row>
    <row r="2743" spans="15:15" x14ac:dyDescent="0.25">
      <c r="O2743" s="21"/>
    </row>
    <row r="2744" spans="15:15" x14ac:dyDescent="0.25">
      <c r="O2744" s="21"/>
    </row>
    <row r="2745" spans="15:15" x14ac:dyDescent="0.25">
      <c r="O2745" s="21"/>
    </row>
    <row r="2746" spans="15:15" x14ac:dyDescent="0.25">
      <c r="O2746" s="21"/>
    </row>
    <row r="2747" spans="15:15" x14ac:dyDescent="0.25">
      <c r="O2747" s="21"/>
    </row>
    <row r="2748" spans="15:15" x14ac:dyDescent="0.25">
      <c r="O2748" s="21"/>
    </row>
    <row r="2749" spans="15:15" x14ac:dyDescent="0.25">
      <c r="O2749" s="21"/>
    </row>
    <row r="2750" spans="15:15" x14ac:dyDescent="0.25">
      <c r="O2750" s="21"/>
    </row>
    <row r="2751" spans="15:15" x14ac:dyDescent="0.25">
      <c r="O2751" s="21"/>
    </row>
    <row r="2752" spans="15:15" x14ac:dyDescent="0.25">
      <c r="O2752" s="21"/>
    </row>
    <row r="2753" spans="15:15" x14ac:dyDescent="0.25">
      <c r="O2753" s="21"/>
    </row>
    <row r="2754" spans="15:15" x14ac:dyDescent="0.25">
      <c r="O2754" s="21"/>
    </row>
    <row r="2755" spans="15:15" x14ac:dyDescent="0.25">
      <c r="O2755" s="21"/>
    </row>
    <row r="2756" spans="15:15" x14ac:dyDescent="0.25">
      <c r="O2756" s="21"/>
    </row>
    <row r="2757" spans="15:15" x14ac:dyDescent="0.25">
      <c r="O2757" s="21"/>
    </row>
    <row r="2758" spans="15:15" x14ac:dyDescent="0.25">
      <c r="O2758" s="21"/>
    </row>
    <row r="2759" spans="15:15" x14ac:dyDescent="0.25">
      <c r="O2759" s="21"/>
    </row>
    <row r="2760" spans="15:15" x14ac:dyDescent="0.25">
      <c r="O2760" s="21"/>
    </row>
    <row r="2761" spans="15:15" x14ac:dyDescent="0.25">
      <c r="O2761" s="21"/>
    </row>
    <row r="2762" spans="15:15" x14ac:dyDescent="0.25">
      <c r="O2762" s="21"/>
    </row>
    <row r="2763" spans="15:15" x14ac:dyDescent="0.25">
      <c r="O2763" s="21"/>
    </row>
    <row r="2764" spans="15:15" x14ac:dyDescent="0.25">
      <c r="O2764" s="21"/>
    </row>
    <row r="2765" spans="15:15" x14ac:dyDescent="0.25">
      <c r="O2765" s="21"/>
    </row>
    <row r="2766" spans="15:15" x14ac:dyDescent="0.25">
      <c r="O2766" s="21"/>
    </row>
    <row r="2767" spans="15:15" x14ac:dyDescent="0.25">
      <c r="O2767" s="21"/>
    </row>
    <row r="2768" spans="15:15" x14ac:dyDescent="0.25">
      <c r="O2768" s="21"/>
    </row>
    <row r="2769" spans="15:15" x14ac:dyDescent="0.25">
      <c r="O2769" s="21"/>
    </row>
    <row r="2770" spans="15:15" x14ac:dyDescent="0.25">
      <c r="O2770" s="21"/>
    </row>
    <row r="2771" spans="15:15" x14ac:dyDescent="0.25">
      <c r="O2771" s="21"/>
    </row>
    <row r="2772" spans="15:15" x14ac:dyDescent="0.25">
      <c r="O2772" s="21"/>
    </row>
    <row r="2773" spans="15:15" x14ac:dyDescent="0.25">
      <c r="O2773" s="21"/>
    </row>
    <row r="2774" spans="15:15" x14ac:dyDescent="0.25">
      <c r="O2774" s="21"/>
    </row>
    <row r="2775" spans="15:15" x14ac:dyDescent="0.25">
      <c r="O2775" s="21"/>
    </row>
    <row r="2776" spans="15:15" x14ac:dyDescent="0.25">
      <c r="O2776" s="21"/>
    </row>
    <row r="2777" spans="15:15" x14ac:dyDescent="0.25">
      <c r="O2777" s="21"/>
    </row>
    <row r="2778" spans="15:15" x14ac:dyDescent="0.25">
      <c r="O2778" s="21"/>
    </row>
    <row r="2779" spans="15:15" x14ac:dyDescent="0.25">
      <c r="O2779" s="21"/>
    </row>
    <row r="2780" spans="15:15" x14ac:dyDescent="0.25">
      <c r="O2780" s="21"/>
    </row>
    <row r="2781" spans="15:15" x14ac:dyDescent="0.25">
      <c r="O2781" s="21"/>
    </row>
    <row r="2782" spans="15:15" x14ac:dyDescent="0.25">
      <c r="O2782" s="21"/>
    </row>
    <row r="2783" spans="15:15" x14ac:dyDescent="0.25">
      <c r="O2783" s="21"/>
    </row>
    <row r="2784" spans="15:15" x14ac:dyDescent="0.25">
      <c r="O2784" s="21"/>
    </row>
    <row r="2785" spans="15:15" x14ac:dyDescent="0.25">
      <c r="O2785" s="21"/>
    </row>
    <row r="2786" spans="15:15" x14ac:dyDescent="0.25">
      <c r="O2786" s="21"/>
    </row>
    <row r="2787" spans="15:15" x14ac:dyDescent="0.25">
      <c r="O2787" s="21"/>
    </row>
    <row r="2788" spans="15:15" x14ac:dyDescent="0.25">
      <c r="O2788" s="21"/>
    </row>
    <row r="2789" spans="15:15" x14ac:dyDescent="0.25">
      <c r="O2789" s="21"/>
    </row>
    <row r="2790" spans="15:15" x14ac:dyDescent="0.25">
      <c r="O2790" s="21"/>
    </row>
    <row r="2791" spans="15:15" x14ac:dyDescent="0.25">
      <c r="O2791" s="21"/>
    </row>
    <row r="2792" spans="15:15" x14ac:dyDescent="0.25">
      <c r="O2792" s="21"/>
    </row>
    <row r="2793" spans="15:15" x14ac:dyDescent="0.25">
      <c r="O2793" s="21"/>
    </row>
    <row r="2794" spans="15:15" x14ac:dyDescent="0.25">
      <c r="O2794" s="21"/>
    </row>
    <row r="2795" spans="15:15" x14ac:dyDescent="0.25">
      <c r="O2795" s="21"/>
    </row>
    <row r="2796" spans="15:15" x14ac:dyDescent="0.25">
      <c r="O2796" s="21"/>
    </row>
    <row r="2797" spans="15:15" x14ac:dyDescent="0.25">
      <c r="O2797" s="21"/>
    </row>
    <row r="2798" spans="15:15" x14ac:dyDescent="0.25">
      <c r="O2798" s="21"/>
    </row>
    <row r="2799" spans="15:15" x14ac:dyDescent="0.25">
      <c r="O2799" s="21"/>
    </row>
    <row r="2800" spans="15:15" x14ac:dyDescent="0.25">
      <c r="O2800" s="21"/>
    </row>
    <row r="2801" spans="15:15" x14ac:dyDescent="0.25">
      <c r="O2801" s="21"/>
    </row>
    <row r="2802" spans="15:15" x14ac:dyDescent="0.25">
      <c r="O2802" s="21"/>
    </row>
    <row r="2803" spans="15:15" x14ac:dyDescent="0.25">
      <c r="O2803" s="21"/>
    </row>
    <row r="2804" spans="15:15" x14ac:dyDescent="0.25">
      <c r="O2804" s="21"/>
    </row>
    <row r="2805" spans="15:15" x14ac:dyDescent="0.25">
      <c r="O2805" s="21"/>
    </row>
    <row r="2806" spans="15:15" x14ac:dyDescent="0.25">
      <c r="O2806" s="21"/>
    </row>
    <row r="2807" spans="15:15" x14ac:dyDescent="0.25">
      <c r="O2807" s="21"/>
    </row>
    <row r="2808" spans="15:15" x14ac:dyDescent="0.25">
      <c r="O2808" s="21"/>
    </row>
    <row r="2809" spans="15:15" x14ac:dyDescent="0.25">
      <c r="O2809" s="21"/>
    </row>
    <row r="2810" spans="15:15" x14ac:dyDescent="0.25">
      <c r="O2810" s="21"/>
    </row>
    <row r="2811" spans="15:15" x14ac:dyDescent="0.25">
      <c r="O2811" s="21"/>
    </row>
    <row r="2812" spans="15:15" x14ac:dyDescent="0.25">
      <c r="O2812" s="21"/>
    </row>
    <row r="2813" spans="15:15" x14ac:dyDescent="0.25">
      <c r="O2813" s="21"/>
    </row>
    <row r="2814" spans="15:15" x14ac:dyDescent="0.25">
      <c r="O2814" s="21"/>
    </row>
    <row r="2815" spans="15:15" x14ac:dyDescent="0.25">
      <c r="O2815" s="21"/>
    </row>
    <row r="2816" spans="15:15" x14ac:dyDescent="0.25">
      <c r="O2816" s="21"/>
    </row>
    <row r="2817" spans="15:15" x14ac:dyDescent="0.25">
      <c r="O2817" s="21"/>
    </row>
    <row r="2818" spans="15:15" x14ac:dyDescent="0.25">
      <c r="O2818" s="21"/>
    </row>
    <row r="2819" spans="15:15" x14ac:dyDescent="0.25">
      <c r="O2819" s="21"/>
    </row>
    <row r="2820" spans="15:15" x14ac:dyDescent="0.25">
      <c r="O2820" s="21"/>
    </row>
    <row r="2821" spans="15:15" x14ac:dyDescent="0.25">
      <c r="O2821" s="21"/>
    </row>
    <row r="2822" spans="15:15" x14ac:dyDescent="0.25">
      <c r="O2822" s="21"/>
    </row>
    <row r="2823" spans="15:15" x14ac:dyDescent="0.25">
      <c r="O2823" s="21"/>
    </row>
    <row r="2824" spans="15:15" x14ac:dyDescent="0.25">
      <c r="O2824" s="21"/>
    </row>
    <row r="2825" spans="15:15" x14ac:dyDescent="0.25">
      <c r="O2825" s="21"/>
    </row>
    <row r="2826" spans="15:15" x14ac:dyDescent="0.25">
      <c r="O2826" s="21"/>
    </row>
    <row r="2827" spans="15:15" x14ac:dyDescent="0.25">
      <c r="O2827" s="21"/>
    </row>
    <row r="2828" spans="15:15" x14ac:dyDescent="0.25">
      <c r="O2828" s="21"/>
    </row>
    <row r="2829" spans="15:15" x14ac:dyDescent="0.25">
      <c r="O2829" s="21"/>
    </row>
    <row r="2830" spans="15:15" x14ac:dyDescent="0.25">
      <c r="O2830" s="21"/>
    </row>
    <row r="2831" spans="15:15" x14ac:dyDescent="0.25">
      <c r="O2831" s="21"/>
    </row>
    <row r="2832" spans="15:15" x14ac:dyDescent="0.25">
      <c r="O2832" s="21"/>
    </row>
    <row r="2833" spans="15:15" x14ac:dyDescent="0.25">
      <c r="O2833" s="21"/>
    </row>
    <row r="2834" spans="15:15" x14ac:dyDescent="0.25">
      <c r="O2834" s="21"/>
    </row>
    <row r="2835" spans="15:15" x14ac:dyDescent="0.25">
      <c r="O2835" s="21"/>
    </row>
    <row r="2836" spans="15:15" x14ac:dyDescent="0.25">
      <c r="O2836" s="21"/>
    </row>
    <row r="2837" spans="15:15" x14ac:dyDescent="0.25">
      <c r="O2837" s="21"/>
    </row>
    <row r="2838" spans="15:15" x14ac:dyDescent="0.25">
      <c r="O2838" s="21"/>
    </row>
    <row r="2839" spans="15:15" x14ac:dyDescent="0.25">
      <c r="O2839" s="21"/>
    </row>
    <row r="2840" spans="15:15" x14ac:dyDescent="0.25">
      <c r="O2840" s="21"/>
    </row>
    <row r="2841" spans="15:15" x14ac:dyDescent="0.25">
      <c r="O2841" s="21"/>
    </row>
    <row r="2842" spans="15:15" x14ac:dyDescent="0.25">
      <c r="O2842" s="21"/>
    </row>
    <row r="2843" spans="15:15" x14ac:dyDescent="0.25">
      <c r="O2843" s="21"/>
    </row>
    <row r="2844" spans="15:15" x14ac:dyDescent="0.25">
      <c r="O2844" s="21"/>
    </row>
    <row r="2845" spans="15:15" x14ac:dyDescent="0.25">
      <c r="O2845" s="21"/>
    </row>
    <row r="2846" spans="15:15" x14ac:dyDescent="0.25">
      <c r="O2846" s="21"/>
    </row>
    <row r="2847" spans="15:15" x14ac:dyDescent="0.25">
      <c r="O2847" s="21"/>
    </row>
    <row r="2848" spans="15:15" x14ac:dyDescent="0.25">
      <c r="O2848" s="21"/>
    </row>
    <row r="2849" spans="15:15" x14ac:dyDescent="0.25">
      <c r="O2849" s="21"/>
    </row>
    <row r="2850" spans="15:15" x14ac:dyDescent="0.25">
      <c r="O2850" s="21"/>
    </row>
    <row r="2851" spans="15:15" x14ac:dyDescent="0.25">
      <c r="O2851" s="21"/>
    </row>
    <row r="2852" spans="15:15" x14ac:dyDescent="0.25">
      <c r="O2852" s="21"/>
    </row>
    <row r="2853" spans="15:15" x14ac:dyDescent="0.25">
      <c r="O2853" s="21"/>
    </row>
    <row r="2854" spans="15:15" x14ac:dyDescent="0.25">
      <c r="O2854" s="21"/>
    </row>
    <row r="2855" spans="15:15" x14ac:dyDescent="0.25">
      <c r="O2855" s="21"/>
    </row>
    <row r="2856" spans="15:15" x14ac:dyDescent="0.25">
      <c r="O2856" s="21"/>
    </row>
    <row r="2857" spans="15:15" x14ac:dyDescent="0.25">
      <c r="O2857" s="21"/>
    </row>
    <row r="2858" spans="15:15" x14ac:dyDescent="0.25">
      <c r="O2858" s="21"/>
    </row>
    <row r="2859" spans="15:15" x14ac:dyDescent="0.25">
      <c r="O2859" s="21"/>
    </row>
    <row r="2860" spans="15:15" x14ac:dyDescent="0.25">
      <c r="O2860" s="21"/>
    </row>
    <row r="2861" spans="15:15" x14ac:dyDescent="0.25">
      <c r="O2861" s="21"/>
    </row>
    <row r="2862" spans="15:15" x14ac:dyDescent="0.25">
      <c r="O2862" s="21"/>
    </row>
    <row r="2863" spans="15:15" x14ac:dyDescent="0.25">
      <c r="O2863" s="21"/>
    </row>
    <row r="2864" spans="15:15" x14ac:dyDescent="0.25">
      <c r="O2864" s="21"/>
    </row>
    <row r="2865" spans="15:15" x14ac:dyDescent="0.25">
      <c r="O2865" s="21"/>
    </row>
    <row r="2866" spans="15:15" x14ac:dyDescent="0.25">
      <c r="O2866" s="21"/>
    </row>
    <row r="2867" spans="15:15" x14ac:dyDescent="0.25">
      <c r="O2867" s="21"/>
    </row>
    <row r="2868" spans="15:15" x14ac:dyDescent="0.25">
      <c r="O2868" s="21"/>
    </row>
    <row r="2869" spans="15:15" x14ac:dyDescent="0.25">
      <c r="O2869" s="21"/>
    </row>
    <row r="2870" spans="15:15" x14ac:dyDescent="0.25">
      <c r="O2870" s="21"/>
    </row>
    <row r="2871" spans="15:15" x14ac:dyDescent="0.25">
      <c r="O2871" s="21"/>
    </row>
    <row r="2872" spans="15:15" x14ac:dyDescent="0.25">
      <c r="O2872" s="21"/>
    </row>
    <row r="2873" spans="15:15" x14ac:dyDescent="0.25">
      <c r="O2873" s="21"/>
    </row>
    <row r="2874" spans="15:15" x14ac:dyDescent="0.25">
      <c r="O2874" s="21"/>
    </row>
    <row r="2875" spans="15:15" x14ac:dyDescent="0.25">
      <c r="O2875" s="21"/>
    </row>
    <row r="2876" spans="15:15" x14ac:dyDescent="0.25">
      <c r="O2876" s="21"/>
    </row>
    <row r="2877" spans="15:15" x14ac:dyDescent="0.25">
      <c r="O2877" s="21"/>
    </row>
    <row r="2878" spans="15:15" x14ac:dyDescent="0.25">
      <c r="O2878" s="21"/>
    </row>
    <row r="2879" spans="15:15" x14ac:dyDescent="0.25">
      <c r="O2879" s="21"/>
    </row>
    <row r="2880" spans="15:15" x14ac:dyDescent="0.25">
      <c r="O2880" s="21"/>
    </row>
    <row r="2881" spans="15:15" x14ac:dyDescent="0.25">
      <c r="O2881" s="21"/>
    </row>
    <row r="2882" spans="15:15" x14ac:dyDescent="0.25">
      <c r="O2882" s="21"/>
    </row>
    <row r="2883" spans="15:15" x14ac:dyDescent="0.25">
      <c r="O2883" s="21"/>
    </row>
    <row r="2884" spans="15:15" x14ac:dyDescent="0.25">
      <c r="O2884" s="21"/>
    </row>
    <row r="2885" spans="15:15" x14ac:dyDescent="0.25">
      <c r="O2885" s="21"/>
    </row>
    <row r="2886" spans="15:15" x14ac:dyDescent="0.25">
      <c r="O2886" s="21"/>
    </row>
    <row r="2887" spans="15:15" x14ac:dyDescent="0.25">
      <c r="O2887" s="21"/>
    </row>
    <row r="2888" spans="15:15" x14ac:dyDescent="0.25">
      <c r="O2888" s="21"/>
    </row>
    <row r="2889" spans="15:15" x14ac:dyDescent="0.25">
      <c r="O2889" s="21"/>
    </row>
    <row r="2890" spans="15:15" x14ac:dyDescent="0.25">
      <c r="O2890" s="21"/>
    </row>
    <row r="2891" spans="15:15" x14ac:dyDescent="0.25">
      <c r="O2891" s="21"/>
    </row>
    <row r="2892" spans="15:15" x14ac:dyDescent="0.25">
      <c r="O2892" s="21"/>
    </row>
    <row r="2893" spans="15:15" x14ac:dyDescent="0.25">
      <c r="O2893" s="21"/>
    </row>
    <row r="2894" spans="15:15" x14ac:dyDescent="0.25">
      <c r="O2894" s="21"/>
    </row>
    <row r="2895" spans="15:15" x14ac:dyDescent="0.25">
      <c r="O2895" s="21"/>
    </row>
    <row r="2896" spans="15:15" x14ac:dyDescent="0.25">
      <c r="O2896" s="21"/>
    </row>
    <row r="2897" spans="15:15" x14ac:dyDescent="0.25">
      <c r="O2897" s="21"/>
    </row>
    <row r="2898" spans="15:15" x14ac:dyDescent="0.25">
      <c r="O2898" s="21"/>
    </row>
    <row r="2899" spans="15:15" x14ac:dyDescent="0.25">
      <c r="O2899" s="21"/>
    </row>
    <row r="2900" spans="15:15" x14ac:dyDescent="0.25">
      <c r="O2900" s="21"/>
    </row>
    <row r="2901" spans="15:15" x14ac:dyDescent="0.25">
      <c r="O2901" s="21"/>
    </row>
    <row r="2902" spans="15:15" x14ac:dyDescent="0.25">
      <c r="O2902" s="21"/>
    </row>
    <row r="2903" spans="15:15" x14ac:dyDescent="0.25">
      <c r="O2903" s="21"/>
    </row>
    <row r="2904" spans="15:15" x14ac:dyDescent="0.25">
      <c r="O2904" s="21"/>
    </row>
    <row r="2905" spans="15:15" x14ac:dyDescent="0.25">
      <c r="O2905" s="21"/>
    </row>
    <row r="2906" spans="15:15" x14ac:dyDescent="0.25">
      <c r="O2906" s="21"/>
    </row>
    <row r="2907" spans="15:15" x14ac:dyDescent="0.25">
      <c r="O2907" s="21"/>
    </row>
    <row r="2908" spans="15:15" x14ac:dyDescent="0.25">
      <c r="O2908" s="21"/>
    </row>
    <row r="2909" spans="15:15" x14ac:dyDescent="0.25">
      <c r="O2909" s="21"/>
    </row>
    <row r="2910" spans="15:15" x14ac:dyDescent="0.25">
      <c r="O2910" s="21"/>
    </row>
    <row r="2911" spans="15:15" x14ac:dyDescent="0.25">
      <c r="O2911" s="21"/>
    </row>
    <row r="2912" spans="15:15" x14ac:dyDescent="0.25">
      <c r="O2912" s="21"/>
    </row>
    <row r="2913" spans="15:15" x14ac:dyDescent="0.25">
      <c r="O2913" s="21"/>
    </row>
    <row r="2914" spans="15:15" x14ac:dyDescent="0.25">
      <c r="O2914" s="21"/>
    </row>
    <row r="2915" spans="15:15" x14ac:dyDescent="0.25">
      <c r="O2915" s="21"/>
    </row>
    <row r="2916" spans="15:15" x14ac:dyDescent="0.25">
      <c r="O2916" s="21"/>
    </row>
    <row r="2917" spans="15:15" x14ac:dyDescent="0.25">
      <c r="O2917" s="21"/>
    </row>
    <row r="2918" spans="15:15" x14ac:dyDescent="0.25">
      <c r="O2918" s="21"/>
    </row>
    <row r="2919" spans="15:15" x14ac:dyDescent="0.25">
      <c r="O2919" s="21"/>
    </row>
    <row r="2920" spans="15:15" x14ac:dyDescent="0.25">
      <c r="O2920" s="21"/>
    </row>
    <row r="2921" spans="15:15" x14ac:dyDescent="0.25">
      <c r="O2921" s="21"/>
    </row>
    <row r="2922" spans="15:15" x14ac:dyDescent="0.25">
      <c r="O2922" s="21"/>
    </row>
    <row r="2923" spans="15:15" x14ac:dyDescent="0.25">
      <c r="O2923" s="21"/>
    </row>
    <row r="2924" spans="15:15" x14ac:dyDescent="0.25">
      <c r="O2924" s="21"/>
    </row>
    <row r="2925" spans="15:15" x14ac:dyDescent="0.25">
      <c r="O2925" s="21"/>
    </row>
    <row r="2926" spans="15:15" x14ac:dyDescent="0.25">
      <c r="O2926" s="21"/>
    </row>
    <row r="2927" spans="15:15" x14ac:dyDescent="0.25">
      <c r="O2927" s="21"/>
    </row>
    <row r="2928" spans="15:15" x14ac:dyDescent="0.25">
      <c r="O2928" s="21"/>
    </row>
    <row r="2929" spans="15:15" x14ac:dyDescent="0.25">
      <c r="O2929" s="21"/>
    </row>
    <row r="2930" spans="15:15" x14ac:dyDescent="0.25">
      <c r="O2930" s="21"/>
    </row>
    <row r="2931" spans="15:15" x14ac:dyDescent="0.25">
      <c r="O2931" s="21"/>
    </row>
    <row r="2932" spans="15:15" x14ac:dyDescent="0.25">
      <c r="O2932" s="21"/>
    </row>
    <row r="2933" spans="15:15" x14ac:dyDescent="0.25">
      <c r="O2933" s="21"/>
    </row>
    <row r="2934" spans="15:15" x14ac:dyDescent="0.25">
      <c r="O2934" s="21"/>
    </row>
    <row r="2935" spans="15:15" x14ac:dyDescent="0.25">
      <c r="O2935" s="21"/>
    </row>
    <row r="2936" spans="15:15" x14ac:dyDescent="0.25">
      <c r="O2936" s="21"/>
    </row>
    <row r="2937" spans="15:15" x14ac:dyDescent="0.25">
      <c r="O2937" s="21"/>
    </row>
    <row r="2938" spans="15:15" x14ac:dyDescent="0.25">
      <c r="O2938" s="21"/>
    </row>
    <row r="2939" spans="15:15" x14ac:dyDescent="0.25">
      <c r="O2939" s="21"/>
    </row>
    <row r="2940" spans="15:15" x14ac:dyDescent="0.25">
      <c r="O2940" s="21"/>
    </row>
    <row r="2941" spans="15:15" x14ac:dyDescent="0.25">
      <c r="O2941" s="21"/>
    </row>
    <row r="2942" spans="15:15" x14ac:dyDescent="0.25">
      <c r="O2942" s="21"/>
    </row>
    <row r="2943" spans="15:15" x14ac:dyDescent="0.25">
      <c r="O2943" s="21"/>
    </row>
    <row r="2944" spans="15:15" x14ac:dyDescent="0.25">
      <c r="O2944" s="21"/>
    </row>
    <row r="2945" spans="15:15" x14ac:dyDescent="0.25">
      <c r="O2945" s="21"/>
    </row>
    <row r="2946" spans="15:15" x14ac:dyDescent="0.25">
      <c r="O2946" s="21"/>
    </row>
    <row r="2947" spans="15:15" x14ac:dyDescent="0.25">
      <c r="O2947" s="21"/>
    </row>
    <row r="2948" spans="15:15" x14ac:dyDescent="0.25">
      <c r="O2948" s="21"/>
    </row>
    <row r="2949" spans="15:15" x14ac:dyDescent="0.25">
      <c r="O2949" s="21"/>
    </row>
    <row r="2950" spans="15:15" x14ac:dyDescent="0.25">
      <c r="O2950" s="21"/>
    </row>
    <row r="2951" spans="15:15" x14ac:dyDescent="0.25">
      <c r="O2951" s="21"/>
    </row>
    <row r="2952" spans="15:15" x14ac:dyDescent="0.25">
      <c r="O2952" s="21"/>
    </row>
    <row r="2953" spans="15:15" x14ac:dyDescent="0.25">
      <c r="O2953" s="21"/>
    </row>
    <row r="2954" spans="15:15" x14ac:dyDescent="0.25">
      <c r="O2954" s="21"/>
    </row>
    <row r="2955" spans="15:15" x14ac:dyDescent="0.25">
      <c r="O2955" s="21"/>
    </row>
    <row r="2956" spans="15:15" x14ac:dyDescent="0.25">
      <c r="O2956" s="21"/>
    </row>
    <row r="2957" spans="15:15" x14ac:dyDescent="0.25">
      <c r="O2957" s="21"/>
    </row>
    <row r="2958" spans="15:15" x14ac:dyDescent="0.25">
      <c r="O2958" s="21"/>
    </row>
    <row r="2959" spans="15:15" x14ac:dyDescent="0.25">
      <c r="O2959" s="21"/>
    </row>
    <row r="2960" spans="15:15" x14ac:dyDescent="0.25">
      <c r="O2960" s="21"/>
    </row>
    <row r="2961" spans="15:15" x14ac:dyDescent="0.25">
      <c r="O2961" s="21"/>
    </row>
    <row r="2962" spans="15:15" x14ac:dyDescent="0.25">
      <c r="O2962" s="21"/>
    </row>
    <row r="2963" spans="15:15" x14ac:dyDescent="0.25">
      <c r="O2963" s="21"/>
    </row>
    <row r="2964" spans="15:15" x14ac:dyDescent="0.25">
      <c r="O2964" s="21"/>
    </row>
    <row r="2965" spans="15:15" x14ac:dyDescent="0.25">
      <c r="O2965" s="21"/>
    </row>
    <row r="2966" spans="15:15" x14ac:dyDescent="0.25">
      <c r="O2966" s="21"/>
    </row>
    <row r="2967" spans="15:15" x14ac:dyDescent="0.25">
      <c r="O2967" s="21"/>
    </row>
    <row r="2968" spans="15:15" x14ac:dyDescent="0.25">
      <c r="O2968" s="21"/>
    </row>
    <row r="2969" spans="15:15" x14ac:dyDescent="0.25">
      <c r="O2969" s="21"/>
    </row>
    <row r="2970" spans="15:15" x14ac:dyDescent="0.25">
      <c r="O2970" s="21"/>
    </row>
    <row r="2971" spans="15:15" x14ac:dyDescent="0.25">
      <c r="O2971" s="21"/>
    </row>
    <row r="2972" spans="15:15" x14ac:dyDescent="0.25">
      <c r="O2972" s="21"/>
    </row>
    <row r="2973" spans="15:15" x14ac:dyDescent="0.25">
      <c r="O2973" s="21"/>
    </row>
    <row r="2974" spans="15:15" x14ac:dyDescent="0.25">
      <c r="O2974" s="21"/>
    </row>
    <row r="2975" spans="15:15" x14ac:dyDescent="0.25">
      <c r="O2975" s="21"/>
    </row>
    <row r="2976" spans="15:15" x14ac:dyDescent="0.25">
      <c r="O2976" s="21"/>
    </row>
    <row r="2977" spans="15:15" x14ac:dyDescent="0.25">
      <c r="O2977" s="21"/>
    </row>
    <row r="2978" spans="15:15" x14ac:dyDescent="0.25">
      <c r="O2978" s="21"/>
    </row>
    <row r="2979" spans="15:15" x14ac:dyDescent="0.25">
      <c r="O2979" s="21"/>
    </row>
    <row r="2980" spans="15:15" x14ac:dyDescent="0.25">
      <c r="O2980" s="21"/>
    </row>
    <row r="2981" spans="15:15" x14ac:dyDescent="0.25">
      <c r="O2981" s="21"/>
    </row>
    <row r="2982" spans="15:15" x14ac:dyDescent="0.25">
      <c r="O2982" s="21"/>
    </row>
    <row r="2983" spans="15:15" x14ac:dyDescent="0.25">
      <c r="O2983" s="21"/>
    </row>
    <row r="2984" spans="15:15" x14ac:dyDescent="0.25">
      <c r="O2984" s="21"/>
    </row>
    <row r="2985" spans="15:15" x14ac:dyDescent="0.25">
      <c r="O2985" s="21"/>
    </row>
    <row r="2986" spans="15:15" x14ac:dyDescent="0.25">
      <c r="O2986" s="21"/>
    </row>
    <row r="2987" spans="15:15" x14ac:dyDescent="0.25">
      <c r="O2987" s="21"/>
    </row>
    <row r="2988" spans="15:15" x14ac:dyDescent="0.25">
      <c r="O2988" s="21"/>
    </row>
    <row r="2989" spans="15:15" x14ac:dyDescent="0.25">
      <c r="O2989" s="21"/>
    </row>
    <row r="2990" spans="15:15" x14ac:dyDescent="0.25">
      <c r="O2990" s="21"/>
    </row>
    <row r="2991" spans="15:15" x14ac:dyDescent="0.25">
      <c r="O2991" s="21"/>
    </row>
    <row r="2992" spans="15:15" x14ac:dyDescent="0.25">
      <c r="O2992" s="21"/>
    </row>
    <row r="2993" spans="15:15" x14ac:dyDescent="0.25">
      <c r="O2993" s="21"/>
    </row>
    <row r="2994" spans="15:15" x14ac:dyDescent="0.25">
      <c r="O2994" s="21"/>
    </row>
    <row r="2995" spans="15:15" x14ac:dyDescent="0.25">
      <c r="O2995" s="21"/>
    </row>
    <row r="2996" spans="15:15" x14ac:dyDescent="0.25">
      <c r="O2996" s="21"/>
    </row>
    <row r="2997" spans="15:15" x14ac:dyDescent="0.25">
      <c r="O2997" s="21"/>
    </row>
    <row r="2998" spans="15:15" x14ac:dyDescent="0.25">
      <c r="O2998" s="21"/>
    </row>
    <row r="2999" spans="15:15" x14ac:dyDescent="0.25">
      <c r="O2999" s="21"/>
    </row>
    <row r="3000" spans="15:15" x14ac:dyDescent="0.25">
      <c r="O3000" s="21"/>
    </row>
    <row r="3001" spans="15:15" x14ac:dyDescent="0.25">
      <c r="O3001" s="21"/>
    </row>
    <row r="3002" spans="15:15" x14ac:dyDescent="0.25">
      <c r="O3002" s="21"/>
    </row>
    <row r="3003" spans="15:15" x14ac:dyDescent="0.25">
      <c r="O3003" s="21"/>
    </row>
    <row r="3004" spans="15:15" x14ac:dyDescent="0.25">
      <c r="O3004" s="21"/>
    </row>
    <row r="3005" spans="15:15" x14ac:dyDescent="0.25">
      <c r="O3005" s="21"/>
    </row>
    <row r="3006" spans="15:15" x14ac:dyDescent="0.25">
      <c r="O3006" s="21"/>
    </row>
    <row r="3007" spans="15:15" x14ac:dyDescent="0.25">
      <c r="O3007" s="21"/>
    </row>
    <row r="3008" spans="15:15" x14ac:dyDescent="0.25">
      <c r="O3008" s="21"/>
    </row>
    <row r="3009" spans="15:15" x14ac:dyDescent="0.25">
      <c r="O3009" s="21"/>
    </row>
    <row r="3010" spans="15:15" x14ac:dyDescent="0.25">
      <c r="O3010" s="21"/>
    </row>
    <row r="3011" spans="15:15" x14ac:dyDescent="0.25">
      <c r="O3011" s="21"/>
    </row>
    <row r="3012" spans="15:15" x14ac:dyDescent="0.25">
      <c r="O3012" s="21"/>
    </row>
    <row r="3013" spans="15:15" x14ac:dyDescent="0.25">
      <c r="O3013" s="21"/>
    </row>
    <row r="3014" spans="15:15" x14ac:dyDescent="0.25">
      <c r="O3014" s="21"/>
    </row>
    <row r="3015" spans="15:15" x14ac:dyDescent="0.25">
      <c r="O3015" s="21"/>
    </row>
    <row r="3016" spans="15:15" x14ac:dyDescent="0.25">
      <c r="O3016" s="21"/>
    </row>
    <row r="3017" spans="15:15" x14ac:dyDescent="0.25">
      <c r="O3017" s="21"/>
    </row>
    <row r="3018" spans="15:15" x14ac:dyDescent="0.25">
      <c r="O3018" s="21"/>
    </row>
    <row r="3019" spans="15:15" x14ac:dyDescent="0.25">
      <c r="O3019" s="21"/>
    </row>
    <row r="3020" spans="15:15" x14ac:dyDescent="0.25">
      <c r="O3020" s="21"/>
    </row>
    <row r="3021" spans="15:15" x14ac:dyDescent="0.25">
      <c r="O3021" s="21"/>
    </row>
    <row r="3022" spans="15:15" x14ac:dyDescent="0.25">
      <c r="O3022" s="21"/>
    </row>
    <row r="3023" spans="15:15" x14ac:dyDescent="0.25">
      <c r="O3023" s="21"/>
    </row>
    <row r="3024" spans="15:15" x14ac:dyDescent="0.25">
      <c r="O3024" s="21"/>
    </row>
    <row r="3025" spans="15:15" x14ac:dyDescent="0.25">
      <c r="O3025" s="21"/>
    </row>
    <row r="3026" spans="15:15" x14ac:dyDescent="0.25">
      <c r="O3026" s="21"/>
    </row>
    <row r="3027" spans="15:15" x14ac:dyDescent="0.25">
      <c r="O3027" s="21"/>
    </row>
    <row r="3028" spans="15:15" x14ac:dyDescent="0.25">
      <c r="O3028" s="21"/>
    </row>
    <row r="3029" spans="15:15" x14ac:dyDescent="0.25">
      <c r="O3029" s="21"/>
    </row>
    <row r="3030" spans="15:15" x14ac:dyDescent="0.25">
      <c r="O3030" s="21"/>
    </row>
    <row r="3031" spans="15:15" x14ac:dyDescent="0.25">
      <c r="O3031" s="21"/>
    </row>
    <row r="3032" spans="15:15" x14ac:dyDescent="0.25">
      <c r="O3032" s="21"/>
    </row>
    <row r="3033" spans="15:15" x14ac:dyDescent="0.25">
      <c r="O3033" s="21"/>
    </row>
    <row r="3034" spans="15:15" x14ac:dyDescent="0.25">
      <c r="O3034" s="21"/>
    </row>
    <row r="3035" spans="15:15" x14ac:dyDescent="0.25">
      <c r="O3035" s="21"/>
    </row>
    <row r="3036" spans="15:15" x14ac:dyDescent="0.25">
      <c r="O3036" s="21"/>
    </row>
    <row r="3037" spans="15:15" x14ac:dyDescent="0.25">
      <c r="O3037" s="21"/>
    </row>
    <row r="3038" spans="15:15" x14ac:dyDescent="0.25">
      <c r="O3038" s="21"/>
    </row>
    <row r="3039" spans="15:15" x14ac:dyDescent="0.25">
      <c r="O3039" s="21"/>
    </row>
    <row r="3040" spans="15:15" x14ac:dyDescent="0.25">
      <c r="O3040" s="21"/>
    </row>
    <row r="3041" spans="15:15" x14ac:dyDescent="0.25">
      <c r="O3041" s="21"/>
    </row>
    <row r="3042" spans="15:15" x14ac:dyDescent="0.25">
      <c r="O3042" s="21"/>
    </row>
    <row r="3043" spans="15:15" x14ac:dyDescent="0.25">
      <c r="O3043" s="21"/>
    </row>
    <row r="3044" spans="15:15" x14ac:dyDescent="0.25">
      <c r="O3044" s="21"/>
    </row>
    <row r="3045" spans="15:15" x14ac:dyDescent="0.25">
      <c r="O3045" s="21"/>
    </row>
    <row r="3046" spans="15:15" x14ac:dyDescent="0.25">
      <c r="O3046" s="21"/>
    </row>
    <row r="3047" spans="15:15" x14ac:dyDescent="0.25">
      <c r="O3047" s="21"/>
    </row>
    <row r="3048" spans="15:15" x14ac:dyDescent="0.25">
      <c r="O3048" s="21"/>
    </row>
    <row r="3049" spans="15:15" x14ac:dyDescent="0.25">
      <c r="O3049" s="21"/>
    </row>
    <row r="3050" spans="15:15" x14ac:dyDescent="0.25">
      <c r="O3050" s="21"/>
    </row>
    <row r="3051" spans="15:15" x14ac:dyDescent="0.25">
      <c r="O3051" s="21"/>
    </row>
    <row r="3052" spans="15:15" x14ac:dyDescent="0.25">
      <c r="O3052" s="21"/>
    </row>
    <row r="3053" spans="15:15" x14ac:dyDescent="0.25">
      <c r="O3053" s="21"/>
    </row>
    <row r="3054" spans="15:15" x14ac:dyDescent="0.25">
      <c r="O3054" s="21"/>
    </row>
    <row r="3055" spans="15:15" x14ac:dyDescent="0.25">
      <c r="O3055" s="21"/>
    </row>
    <row r="3056" spans="15:15" x14ac:dyDescent="0.25">
      <c r="O3056" s="21"/>
    </row>
    <row r="3057" spans="15:15" x14ac:dyDescent="0.25">
      <c r="O3057" s="21"/>
    </row>
    <row r="3058" spans="15:15" x14ac:dyDescent="0.25">
      <c r="O3058" s="21"/>
    </row>
    <row r="3059" spans="15:15" x14ac:dyDescent="0.25">
      <c r="O3059" s="21"/>
    </row>
    <row r="3060" spans="15:15" x14ac:dyDescent="0.25">
      <c r="O3060" s="21"/>
    </row>
    <row r="3061" spans="15:15" x14ac:dyDescent="0.25">
      <c r="O3061" s="21"/>
    </row>
    <row r="3062" spans="15:15" x14ac:dyDescent="0.25">
      <c r="O3062" s="21"/>
    </row>
    <row r="3063" spans="15:15" x14ac:dyDescent="0.25">
      <c r="O3063" s="21"/>
    </row>
    <row r="3064" spans="15:15" x14ac:dyDescent="0.25">
      <c r="O3064" s="21"/>
    </row>
    <row r="3065" spans="15:15" x14ac:dyDescent="0.25">
      <c r="O3065" s="21"/>
    </row>
    <row r="3066" spans="15:15" x14ac:dyDescent="0.25">
      <c r="O3066" s="21"/>
    </row>
    <row r="3067" spans="15:15" x14ac:dyDescent="0.25">
      <c r="O3067" s="21"/>
    </row>
    <row r="3068" spans="15:15" x14ac:dyDescent="0.25">
      <c r="O3068" s="21"/>
    </row>
    <row r="3069" spans="15:15" x14ac:dyDescent="0.25">
      <c r="O3069" s="21"/>
    </row>
    <row r="3070" spans="15:15" x14ac:dyDescent="0.25">
      <c r="O3070" s="21"/>
    </row>
    <row r="3071" spans="15:15" x14ac:dyDescent="0.25">
      <c r="O3071" s="21"/>
    </row>
    <row r="3072" spans="15:15" x14ac:dyDescent="0.25">
      <c r="O3072" s="21"/>
    </row>
    <row r="3073" spans="15:15" x14ac:dyDescent="0.25">
      <c r="O3073" s="21"/>
    </row>
    <row r="3074" spans="15:15" x14ac:dyDescent="0.25">
      <c r="O3074" s="21"/>
    </row>
    <row r="3075" spans="15:15" x14ac:dyDescent="0.25">
      <c r="O3075" s="21"/>
    </row>
    <row r="3076" spans="15:15" x14ac:dyDescent="0.25">
      <c r="O3076" s="21"/>
    </row>
    <row r="3077" spans="15:15" x14ac:dyDescent="0.25">
      <c r="O3077" s="21"/>
    </row>
    <row r="3078" spans="15:15" x14ac:dyDescent="0.25">
      <c r="O3078" s="21"/>
    </row>
    <row r="3079" spans="15:15" x14ac:dyDescent="0.25">
      <c r="O3079" s="21"/>
    </row>
    <row r="3080" spans="15:15" x14ac:dyDescent="0.25">
      <c r="O3080" s="21"/>
    </row>
    <row r="3081" spans="15:15" x14ac:dyDescent="0.25">
      <c r="O3081" s="21"/>
    </row>
    <row r="3082" spans="15:15" x14ac:dyDescent="0.25">
      <c r="O3082" s="21"/>
    </row>
    <row r="3083" spans="15:15" x14ac:dyDescent="0.25">
      <c r="O3083" s="21"/>
    </row>
    <row r="3084" spans="15:15" x14ac:dyDescent="0.25">
      <c r="O3084" s="21"/>
    </row>
    <row r="3085" spans="15:15" x14ac:dyDescent="0.25">
      <c r="O3085" s="21"/>
    </row>
    <row r="3086" spans="15:15" x14ac:dyDescent="0.25">
      <c r="O3086" s="21"/>
    </row>
    <row r="3087" spans="15:15" x14ac:dyDescent="0.25">
      <c r="O3087" s="21"/>
    </row>
    <row r="3088" spans="15:15" x14ac:dyDescent="0.25">
      <c r="O3088" s="21"/>
    </row>
    <row r="3089" spans="15:15" x14ac:dyDescent="0.25">
      <c r="O3089" s="21"/>
    </row>
    <row r="3090" spans="15:15" x14ac:dyDescent="0.25">
      <c r="O3090" s="21"/>
    </row>
    <row r="3091" spans="15:15" x14ac:dyDescent="0.25">
      <c r="O3091" s="21"/>
    </row>
    <row r="3092" spans="15:15" x14ac:dyDescent="0.25">
      <c r="O3092" s="21"/>
    </row>
    <row r="3093" spans="15:15" x14ac:dyDescent="0.25">
      <c r="O3093" s="21"/>
    </row>
    <row r="3094" spans="15:15" x14ac:dyDescent="0.25">
      <c r="O3094" s="21"/>
    </row>
    <row r="3095" spans="15:15" x14ac:dyDescent="0.25">
      <c r="O3095" s="21"/>
    </row>
    <row r="3096" spans="15:15" x14ac:dyDescent="0.25">
      <c r="O3096" s="21"/>
    </row>
    <row r="3097" spans="15:15" x14ac:dyDescent="0.25">
      <c r="O3097" s="21"/>
    </row>
    <row r="3098" spans="15:15" x14ac:dyDescent="0.25">
      <c r="O3098" s="21"/>
    </row>
    <row r="3099" spans="15:15" x14ac:dyDescent="0.25">
      <c r="O3099" s="21"/>
    </row>
    <row r="3100" spans="15:15" x14ac:dyDescent="0.25">
      <c r="O3100" s="21"/>
    </row>
    <row r="3101" spans="15:15" x14ac:dyDescent="0.25">
      <c r="O3101" s="21"/>
    </row>
    <row r="3102" spans="15:15" x14ac:dyDescent="0.25">
      <c r="O3102" s="21"/>
    </row>
    <row r="3103" spans="15:15" x14ac:dyDescent="0.25">
      <c r="O3103" s="21"/>
    </row>
    <row r="3104" spans="15:15" x14ac:dyDescent="0.25">
      <c r="O3104" s="21"/>
    </row>
    <row r="3105" spans="15:15" x14ac:dyDescent="0.25">
      <c r="O3105" s="21"/>
    </row>
    <row r="3106" spans="15:15" x14ac:dyDescent="0.25">
      <c r="O3106" s="21"/>
    </row>
    <row r="3107" spans="15:15" x14ac:dyDescent="0.25">
      <c r="O3107" s="21"/>
    </row>
    <row r="3108" spans="15:15" x14ac:dyDescent="0.25">
      <c r="O3108" s="21"/>
    </row>
    <row r="3109" spans="15:15" x14ac:dyDescent="0.25">
      <c r="O3109" s="21"/>
    </row>
    <row r="3110" spans="15:15" x14ac:dyDescent="0.25">
      <c r="O3110" s="21"/>
    </row>
    <row r="3111" spans="15:15" x14ac:dyDescent="0.25">
      <c r="O3111" s="21"/>
    </row>
    <row r="3112" spans="15:15" x14ac:dyDescent="0.25">
      <c r="O3112" s="21"/>
    </row>
    <row r="3113" spans="15:15" x14ac:dyDescent="0.25">
      <c r="O3113" s="21"/>
    </row>
    <row r="3114" spans="15:15" x14ac:dyDescent="0.25">
      <c r="O3114" s="21"/>
    </row>
    <row r="3115" spans="15:15" x14ac:dyDescent="0.25">
      <c r="O3115" s="21"/>
    </row>
    <row r="3116" spans="15:15" x14ac:dyDescent="0.25">
      <c r="O3116" s="21"/>
    </row>
    <row r="3117" spans="15:15" x14ac:dyDescent="0.25">
      <c r="O3117" s="21"/>
    </row>
    <row r="3118" spans="15:15" x14ac:dyDescent="0.25">
      <c r="O3118" s="21"/>
    </row>
    <row r="3119" spans="15:15" x14ac:dyDescent="0.25">
      <c r="O3119" s="21"/>
    </row>
    <row r="3120" spans="15:15" x14ac:dyDescent="0.25">
      <c r="O3120" s="21"/>
    </row>
    <row r="3121" spans="15:15" x14ac:dyDescent="0.25">
      <c r="O3121" s="21"/>
    </row>
    <row r="3122" spans="15:15" x14ac:dyDescent="0.25">
      <c r="O3122" s="21"/>
    </row>
    <row r="3123" spans="15:15" x14ac:dyDescent="0.25">
      <c r="O3123" s="21"/>
    </row>
    <row r="3124" spans="15:15" x14ac:dyDescent="0.25">
      <c r="O3124" s="21"/>
    </row>
    <row r="3125" spans="15:15" x14ac:dyDescent="0.25">
      <c r="O3125" s="21"/>
    </row>
    <row r="3126" spans="15:15" x14ac:dyDescent="0.25">
      <c r="O3126" s="21"/>
    </row>
    <row r="3127" spans="15:15" x14ac:dyDescent="0.25">
      <c r="O3127" s="21"/>
    </row>
    <row r="3128" spans="15:15" x14ac:dyDescent="0.25">
      <c r="O3128" s="21"/>
    </row>
    <row r="3129" spans="15:15" x14ac:dyDescent="0.25">
      <c r="O3129" s="21"/>
    </row>
    <row r="3130" spans="15:15" x14ac:dyDescent="0.25">
      <c r="O3130" s="21"/>
    </row>
    <row r="3131" spans="15:15" x14ac:dyDescent="0.25">
      <c r="O3131" s="21"/>
    </row>
    <row r="3132" spans="15:15" x14ac:dyDescent="0.25">
      <c r="O3132" s="21"/>
    </row>
    <row r="3133" spans="15:15" x14ac:dyDescent="0.25">
      <c r="O3133" s="21"/>
    </row>
    <row r="3134" spans="15:15" x14ac:dyDescent="0.25">
      <c r="O3134" s="21"/>
    </row>
    <row r="3135" spans="15:15" x14ac:dyDescent="0.25">
      <c r="O3135" s="21"/>
    </row>
    <row r="3136" spans="15:15" x14ac:dyDescent="0.25">
      <c r="O3136" s="21"/>
    </row>
    <row r="3137" spans="15:15" x14ac:dyDescent="0.25">
      <c r="O3137" s="21"/>
    </row>
    <row r="3138" spans="15:15" x14ac:dyDescent="0.25">
      <c r="O3138" s="21"/>
    </row>
    <row r="3139" spans="15:15" x14ac:dyDescent="0.25">
      <c r="O3139" s="21"/>
    </row>
    <row r="3140" spans="15:15" x14ac:dyDescent="0.25">
      <c r="O3140" s="21"/>
    </row>
    <row r="3141" spans="15:15" x14ac:dyDescent="0.25">
      <c r="O3141" s="21"/>
    </row>
    <row r="3142" spans="15:15" x14ac:dyDescent="0.25">
      <c r="O3142" s="21"/>
    </row>
    <row r="3143" spans="15:15" x14ac:dyDescent="0.25">
      <c r="O3143" s="21"/>
    </row>
    <row r="3144" spans="15:15" x14ac:dyDescent="0.25">
      <c r="O3144" s="21"/>
    </row>
    <row r="3145" spans="15:15" x14ac:dyDescent="0.25">
      <c r="O3145" s="21"/>
    </row>
    <row r="3146" spans="15:15" x14ac:dyDescent="0.25">
      <c r="O3146" s="21"/>
    </row>
    <row r="3147" spans="15:15" x14ac:dyDescent="0.25">
      <c r="O3147" s="21"/>
    </row>
    <row r="3148" spans="15:15" x14ac:dyDescent="0.25">
      <c r="O3148" s="21"/>
    </row>
    <row r="3149" spans="15:15" x14ac:dyDescent="0.25">
      <c r="O3149" s="21"/>
    </row>
    <row r="3150" spans="15:15" x14ac:dyDescent="0.25">
      <c r="O3150" s="21"/>
    </row>
    <row r="3151" spans="15:15" x14ac:dyDescent="0.25">
      <c r="O3151" s="21"/>
    </row>
    <row r="3152" spans="15:15" x14ac:dyDescent="0.25">
      <c r="O3152" s="21"/>
    </row>
    <row r="3153" spans="15:15" x14ac:dyDescent="0.25">
      <c r="O3153" s="21"/>
    </row>
    <row r="3154" spans="15:15" x14ac:dyDescent="0.25">
      <c r="O3154" s="21"/>
    </row>
    <row r="3155" spans="15:15" x14ac:dyDescent="0.25">
      <c r="O3155" s="21"/>
    </row>
    <row r="3156" spans="15:15" x14ac:dyDescent="0.25">
      <c r="O3156" s="21"/>
    </row>
    <row r="3157" spans="15:15" x14ac:dyDescent="0.25">
      <c r="O3157" s="21"/>
    </row>
    <row r="3158" spans="15:15" x14ac:dyDescent="0.25">
      <c r="O3158" s="21"/>
    </row>
    <row r="3159" spans="15:15" x14ac:dyDescent="0.25">
      <c r="O3159" s="21"/>
    </row>
    <row r="3160" spans="15:15" x14ac:dyDescent="0.25">
      <c r="O3160" s="21"/>
    </row>
    <row r="3161" spans="15:15" x14ac:dyDescent="0.25">
      <c r="O3161" s="21"/>
    </row>
    <row r="3162" spans="15:15" x14ac:dyDescent="0.25">
      <c r="O3162" s="21"/>
    </row>
    <row r="3163" spans="15:15" x14ac:dyDescent="0.25">
      <c r="O3163" s="21"/>
    </row>
    <row r="3164" spans="15:15" x14ac:dyDescent="0.25">
      <c r="O3164" s="21"/>
    </row>
    <row r="3165" spans="15:15" x14ac:dyDescent="0.25">
      <c r="O3165" s="21"/>
    </row>
    <row r="3166" spans="15:15" x14ac:dyDescent="0.25">
      <c r="O3166" s="21"/>
    </row>
    <row r="3167" spans="15:15" x14ac:dyDescent="0.25">
      <c r="O3167" s="21"/>
    </row>
    <row r="3168" spans="15:15" x14ac:dyDescent="0.25">
      <c r="O3168" s="21"/>
    </row>
    <row r="3169" spans="15:15" x14ac:dyDescent="0.25">
      <c r="O3169" s="21"/>
    </row>
    <row r="3170" spans="15:15" x14ac:dyDescent="0.25">
      <c r="O3170" s="21"/>
    </row>
    <row r="3171" spans="15:15" x14ac:dyDescent="0.25">
      <c r="O3171" s="21"/>
    </row>
    <row r="3172" spans="15:15" x14ac:dyDescent="0.25">
      <c r="O3172" s="21"/>
    </row>
    <row r="3173" spans="15:15" x14ac:dyDescent="0.25">
      <c r="O3173" s="21"/>
    </row>
    <row r="3174" spans="15:15" x14ac:dyDescent="0.25">
      <c r="O3174" s="21"/>
    </row>
    <row r="3175" spans="15:15" x14ac:dyDescent="0.25">
      <c r="O3175" s="21"/>
    </row>
    <row r="3176" spans="15:15" x14ac:dyDescent="0.25">
      <c r="O3176" s="21"/>
    </row>
    <row r="3177" spans="15:15" x14ac:dyDescent="0.25">
      <c r="O3177" s="21"/>
    </row>
    <row r="3178" spans="15:15" x14ac:dyDescent="0.25">
      <c r="O3178" s="21"/>
    </row>
    <row r="3179" spans="15:15" x14ac:dyDescent="0.25">
      <c r="O3179" s="21"/>
    </row>
    <row r="3180" spans="15:15" x14ac:dyDescent="0.25">
      <c r="O3180" s="21"/>
    </row>
    <row r="3181" spans="15:15" x14ac:dyDescent="0.25">
      <c r="O3181" s="21"/>
    </row>
    <row r="3182" spans="15:15" x14ac:dyDescent="0.25">
      <c r="O3182" s="21"/>
    </row>
    <row r="3183" spans="15:15" x14ac:dyDescent="0.25">
      <c r="O3183" s="21"/>
    </row>
    <row r="3184" spans="15:15" x14ac:dyDescent="0.25">
      <c r="O3184" s="21"/>
    </row>
    <row r="3185" spans="15:15" x14ac:dyDescent="0.25">
      <c r="O3185" s="21"/>
    </row>
    <row r="3186" spans="15:15" x14ac:dyDescent="0.25">
      <c r="O3186" s="21"/>
    </row>
    <row r="3187" spans="15:15" x14ac:dyDescent="0.25">
      <c r="O3187" s="21"/>
    </row>
    <row r="3188" spans="15:15" x14ac:dyDescent="0.25">
      <c r="O3188" s="21"/>
    </row>
    <row r="3189" spans="15:15" x14ac:dyDescent="0.25">
      <c r="O3189" s="21"/>
    </row>
    <row r="3190" spans="15:15" x14ac:dyDescent="0.25">
      <c r="O3190" s="21"/>
    </row>
    <row r="3191" spans="15:15" x14ac:dyDescent="0.25">
      <c r="O3191" s="21"/>
    </row>
    <row r="3192" spans="15:15" x14ac:dyDescent="0.25">
      <c r="O3192" s="21"/>
    </row>
    <row r="3193" spans="15:15" x14ac:dyDescent="0.25">
      <c r="O3193" s="21"/>
    </row>
    <row r="3194" spans="15:15" x14ac:dyDescent="0.25">
      <c r="O3194" s="21"/>
    </row>
    <row r="3195" spans="15:15" x14ac:dyDescent="0.25">
      <c r="O3195" s="21"/>
    </row>
    <row r="3196" spans="15:15" x14ac:dyDescent="0.25">
      <c r="O3196" s="21"/>
    </row>
    <row r="3197" spans="15:15" x14ac:dyDescent="0.25">
      <c r="O3197" s="21"/>
    </row>
    <row r="3198" spans="15:15" x14ac:dyDescent="0.25">
      <c r="O3198" s="21"/>
    </row>
    <row r="3199" spans="15:15" x14ac:dyDescent="0.25">
      <c r="O3199" s="21"/>
    </row>
    <row r="3200" spans="15:15" x14ac:dyDescent="0.25">
      <c r="O3200" s="21"/>
    </row>
    <row r="3201" spans="15:15" x14ac:dyDescent="0.25">
      <c r="O3201" s="21"/>
    </row>
    <row r="3202" spans="15:15" x14ac:dyDescent="0.25">
      <c r="O3202" s="21"/>
    </row>
    <row r="3203" spans="15:15" x14ac:dyDescent="0.25">
      <c r="O3203" s="21"/>
    </row>
    <row r="3204" spans="15:15" x14ac:dyDescent="0.25">
      <c r="O3204" s="21"/>
    </row>
    <row r="3205" spans="15:15" x14ac:dyDescent="0.25">
      <c r="O3205" s="21"/>
    </row>
    <row r="3206" spans="15:15" x14ac:dyDescent="0.25">
      <c r="O3206" s="21"/>
    </row>
    <row r="3207" spans="15:15" x14ac:dyDescent="0.25">
      <c r="O3207" s="21"/>
    </row>
    <row r="3208" spans="15:15" x14ac:dyDescent="0.25">
      <c r="O3208" s="21"/>
    </row>
    <row r="3209" spans="15:15" x14ac:dyDescent="0.25">
      <c r="O3209" s="21"/>
    </row>
    <row r="3210" spans="15:15" x14ac:dyDescent="0.25">
      <c r="O3210" s="21"/>
    </row>
    <row r="3211" spans="15:15" x14ac:dyDescent="0.25">
      <c r="O3211" s="21"/>
    </row>
    <row r="3212" spans="15:15" x14ac:dyDescent="0.25">
      <c r="O3212" s="21"/>
    </row>
    <row r="3213" spans="15:15" x14ac:dyDescent="0.25">
      <c r="O3213" s="21"/>
    </row>
    <row r="3214" spans="15:15" x14ac:dyDescent="0.25">
      <c r="O3214" s="21"/>
    </row>
    <row r="3215" spans="15:15" x14ac:dyDescent="0.25">
      <c r="O3215" s="21"/>
    </row>
    <row r="3216" spans="15:15" x14ac:dyDescent="0.25">
      <c r="O3216" s="21"/>
    </row>
    <row r="3217" spans="15:15" x14ac:dyDescent="0.25">
      <c r="O3217" s="21"/>
    </row>
    <row r="3218" spans="15:15" x14ac:dyDescent="0.25">
      <c r="O3218" s="21"/>
    </row>
    <row r="3219" spans="15:15" x14ac:dyDescent="0.25">
      <c r="O3219" s="21"/>
    </row>
    <row r="3220" spans="15:15" x14ac:dyDescent="0.25">
      <c r="O3220" s="21"/>
    </row>
    <row r="3221" spans="15:15" x14ac:dyDescent="0.25">
      <c r="O3221" s="21"/>
    </row>
    <row r="3222" spans="15:15" x14ac:dyDescent="0.25">
      <c r="O3222" s="21"/>
    </row>
    <row r="3223" spans="15:15" x14ac:dyDescent="0.25">
      <c r="O3223" s="21"/>
    </row>
    <row r="3224" spans="15:15" x14ac:dyDescent="0.25">
      <c r="O3224" s="21"/>
    </row>
    <row r="3225" spans="15:15" x14ac:dyDescent="0.25">
      <c r="O3225" s="21"/>
    </row>
    <row r="3226" spans="15:15" x14ac:dyDescent="0.25">
      <c r="O3226" s="21"/>
    </row>
    <row r="3227" spans="15:15" x14ac:dyDescent="0.25">
      <c r="O3227" s="21"/>
    </row>
    <row r="3228" spans="15:15" x14ac:dyDescent="0.25">
      <c r="O3228" s="21"/>
    </row>
    <row r="3229" spans="15:15" x14ac:dyDescent="0.25">
      <c r="O3229" s="21"/>
    </row>
    <row r="3230" spans="15:15" x14ac:dyDescent="0.25">
      <c r="O3230" s="21"/>
    </row>
    <row r="3231" spans="15:15" x14ac:dyDescent="0.25">
      <c r="O3231" s="21"/>
    </row>
    <row r="3232" spans="15:15" x14ac:dyDescent="0.25">
      <c r="O3232" s="21"/>
    </row>
    <row r="3233" spans="15:15" x14ac:dyDescent="0.25">
      <c r="O3233" s="21"/>
    </row>
    <row r="3234" spans="15:15" x14ac:dyDescent="0.25">
      <c r="O3234" s="21"/>
    </row>
    <row r="3235" spans="15:15" x14ac:dyDescent="0.25">
      <c r="O3235" s="21"/>
    </row>
    <row r="3236" spans="15:15" x14ac:dyDescent="0.25">
      <c r="O3236" s="21"/>
    </row>
    <row r="3237" spans="15:15" x14ac:dyDescent="0.25">
      <c r="O3237" s="21"/>
    </row>
    <row r="3238" spans="15:15" x14ac:dyDescent="0.25">
      <c r="O3238" s="21"/>
    </row>
    <row r="3239" spans="15:15" x14ac:dyDescent="0.25">
      <c r="O3239" s="21"/>
    </row>
    <row r="3240" spans="15:15" x14ac:dyDescent="0.25">
      <c r="O3240" s="21"/>
    </row>
    <row r="3241" spans="15:15" x14ac:dyDescent="0.25">
      <c r="O3241" s="21"/>
    </row>
    <row r="3242" spans="15:15" x14ac:dyDescent="0.25">
      <c r="O3242" s="21"/>
    </row>
    <row r="3243" spans="15:15" x14ac:dyDescent="0.25">
      <c r="O3243" s="21"/>
    </row>
    <row r="3244" spans="15:15" x14ac:dyDescent="0.25">
      <c r="O3244" s="21"/>
    </row>
    <row r="3245" spans="15:15" x14ac:dyDescent="0.25">
      <c r="O3245" s="21"/>
    </row>
    <row r="3246" spans="15:15" x14ac:dyDescent="0.25">
      <c r="O3246" s="21"/>
    </row>
    <row r="3247" spans="15:15" x14ac:dyDescent="0.25">
      <c r="O3247" s="21"/>
    </row>
    <row r="3248" spans="15:15" x14ac:dyDescent="0.25">
      <c r="O3248" s="21"/>
    </row>
    <row r="3249" spans="15:15" x14ac:dyDescent="0.25">
      <c r="O3249" s="21"/>
    </row>
    <row r="3250" spans="15:15" x14ac:dyDescent="0.25">
      <c r="O3250" s="21"/>
    </row>
    <row r="3251" spans="15:15" x14ac:dyDescent="0.25">
      <c r="O3251" s="21"/>
    </row>
    <row r="3252" spans="15:15" x14ac:dyDescent="0.25">
      <c r="O3252" s="21"/>
    </row>
    <row r="3253" spans="15:15" x14ac:dyDescent="0.25">
      <c r="O3253" s="21"/>
    </row>
    <row r="3254" spans="15:15" x14ac:dyDescent="0.25">
      <c r="O3254" s="21"/>
    </row>
    <row r="3255" spans="15:15" x14ac:dyDescent="0.25">
      <c r="O3255" s="21"/>
    </row>
    <row r="3256" spans="15:15" x14ac:dyDescent="0.25">
      <c r="O3256" s="21"/>
    </row>
    <row r="3257" spans="15:15" x14ac:dyDescent="0.25">
      <c r="O3257" s="21"/>
    </row>
    <row r="3258" spans="15:15" x14ac:dyDescent="0.25">
      <c r="O3258" s="21"/>
    </row>
    <row r="3259" spans="15:15" x14ac:dyDescent="0.25">
      <c r="O3259" s="21"/>
    </row>
    <row r="3260" spans="15:15" x14ac:dyDescent="0.25">
      <c r="O3260" s="21"/>
    </row>
    <row r="3261" spans="15:15" x14ac:dyDescent="0.25">
      <c r="O3261" s="21"/>
    </row>
    <row r="3262" spans="15:15" x14ac:dyDescent="0.25">
      <c r="O3262" s="21"/>
    </row>
    <row r="3263" spans="15:15" x14ac:dyDescent="0.25">
      <c r="O3263" s="21"/>
    </row>
    <row r="3264" spans="15:15" x14ac:dyDescent="0.25">
      <c r="O3264" s="21"/>
    </row>
    <row r="3265" spans="15:15" x14ac:dyDescent="0.25">
      <c r="O3265" s="21"/>
    </row>
    <row r="3266" spans="15:15" x14ac:dyDescent="0.25">
      <c r="O3266" s="21"/>
    </row>
    <row r="3267" spans="15:15" x14ac:dyDescent="0.25">
      <c r="O3267" s="21"/>
    </row>
    <row r="3268" spans="15:15" x14ac:dyDescent="0.25">
      <c r="O3268" s="21"/>
    </row>
    <row r="3269" spans="15:15" x14ac:dyDescent="0.25">
      <c r="O3269" s="21"/>
    </row>
    <row r="3270" spans="15:15" x14ac:dyDescent="0.25">
      <c r="O3270" s="21"/>
    </row>
    <row r="3271" spans="15:15" x14ac:dyDescent="0.25">
      <c r="O3271" s="21"/>
    </row>
    <row r="3272" spans="15:15" x14ac:dyDescent="0.25">
      <c r="O3272" s="21"/>
    </row>
    <row r="3273" spans="15:15" x14ac:dyDescent="0.25">
      <c r="O3273" s="21"/>
    </row>
    <row r="3274" spans="15:15" x14ac:dyDescent="0.25">
      <c r="O3274" s="21"/>
    </row>
    <row r="3275" spans="15:15" x14ac:dyDescent="0.25">
      <c r="O3275" s="21"/>
    </row>
    <row r="3276" spans="15:15" x14ac:dyDescent="0.25">
      <c r="O3276" s="21"/>
    </row>
    <row r="3277" spans="15:15" x14ac:dyDescent="0.25">
      <c r="O3277" s="21"/>
    </row>
    <row r="3278" spans="15:15" x14ac:dyDescent="0.25">
      <c r="O3278" s="21"/>
    </row>
    <row r="3279" spans="15:15" x14ac:dyDescent="0.25">
      <c r="O3279" s="21"/>
    </row>
    <row r="3280" spans="15:15" x14ac:dyDescent="0.25">
      <c r="O3280" s="21"/>
    </row>
    <row r="3281" spans="15:15" x14ac:dyDescent="0.25">
      <c r="O3281" s="21"/>
    </row>
    <row r="3282" spans="15:15" x14ac:dyDescent="0.25">
      <c r="O3282" s="21"/>
    </row>
    <row r="3283" spans="15:15" x14ac:dyDescent="0.25">
      <c r="O3283" s="21"/>
    </row>
    <row r="3284" spans="15:15" x14ac:dyDescent="0.25">
      <c r="O3284" s="21"/>
    </row>
    <row r="3285" spans="15:15" x14ac:dyDescent="0.25">
      <c r="O3285" s="21"/>
    </row>
    <row r="3286" spans="15:15" x14ac:dyDescent="0.25">
      <c r="O3286" s="21"/>
    </row>
    <row r="3287" spans="15:15" x14ac:dyDescent="0.25">
      <c r="O3287" s="21"/>
    </row>
    <row r="3288" spans="15:15" x14ac:dyDescent="0.25">
      <c r="O3288" s="21"/>
    </row>
    <row r="3289" spans="15:15" x14ac:dyDescent="0.25">
      <c r="O3289" s="21"/>
    </row>
    <row r="3290" spans="15:15" x14ac:dyDescent="0.25">
      <c r="O3290" s="21"/>
    </row>
    <row r="3291" spans="15:15" x14ac:dyDescent="0.25">
      <c r="O3291" s="21"/>
    </row>
    <row r="3292" spans="15:15" x14ac:dyDescent="0.25">
      <c r="O3292" s="21"/>
    </row>
    <row r="3293" spans="15:15" x14ac:dyDescent="0.25">
      <c r="O3293" s="21"/>
    </row>
    <row r="3294" spans="15:15" x14ac:dyDescent="0.25">
      <c r="O3294" s="21"/>
    </row>
    <row r="3295" spans="15:15" x14ac:dyDescent="0.25">
      <c r="O3295" s="21"/>
    </row>
    <row r="3296" spans="15:15" x14ac:dyDescent="0.25">
      <c r="O3296" s="21"/>
    </row>
    <row r="3297" spans="15:15" x14ac:dyDescent="0.25">
      <c r="O3297" s="21"/>
    </row>
    <row r="3298" spans="15:15" x14ac:dyDescent="0.25">
      <c r="O3298" s="21"/>
    </row>
    <row r="3299" spans="15:15" x14ac:dyDescent="0.25">
      <c r="O3299" s="21"/>
    </row>
    <row r="3300" spans="15:15" x14ac:dyDescent="0.25">
      <c r="O3300" s="21"/>
    </row>
    <row r="3301" spans="15:15" x14ac:dyDescent="0.25">
      <c r="O3301" s="21"/>
    </row>
    <row r="3302" spans="15:15" x14ac:dyDescent="0.25">
      <c r="O3302" s="21"/>
    </row>
    <row r="3303" spans="15:15" x14ac:dyDescent="0.25">
      <c r="O3303" s="21"/>
    </row>
    <row r="3304" spans="15:15" x14ac:dyDescent="0.25">
      <c r="O3304" s="21"/>
    </row>
    <row r="3305" spans="15:15" x14ac:dyDescent="0.25">
      <c r="O3305" s="21"/>
    </row>
    <row r="3306" spans="15:15" x14ac:dyDescent="0.25">
      <c r="O3306" s="21"/>
    </row>
    <row r="3307" spans="15:15" x14ac:dyDescent="0.25">
      <c r="O3307" s="21"/>
    </row>
    <row r="3308" spans="15:15" x14ac:dyDescent="0.25">
      <c r="O3308" s="21"/>
    </row>
    <row r="3309" spans="15:15" x14ac:dyDescent="0.25">
      <c r="O3309" s="21"/>
    </row>
    <row r="3310" spans="15:15" x14ac:dyDescent="0.25">
      <c r="O3310" s="21"/>
    </row>
    <row r="3311" spans="15:15" x14ac:dyDescent="0.25">
      <c r="O3311" s="21"/>
    </row>
    <row r="3312" spans="15:15" x14ac:dyDescent="0.25">
      <c r="O3312" s="21"/>
    </row>
    <row r="3313" spans="15:15" x14ac:dyDescent="0.25">
      <c r="O3313" s="21"/>
    </row>
    <row r="3314" spans="15:15" x14ac:dyDescent="0.25">
      <c r="O3314" s="21"/>
    </row>
    <row r="3315" spans="15:15" x14ac:dyDescent="0.25">
      <c r="O3315" s="21"/>
    </row>
    <row r="3316" spans="15:15" x14ac:dyDescent="0.25">
      <c r="O3316" s="21"/>
    </row>
    <row r="3317" spans="15:15" x14ac:dyDescent="0.25">
      <c r="O3317" s="21"/>
    </row>
    <row r="3318" spans="15:15" x14ac:dyDescent="0.25">
      <c r="O3318" s="21"/>
    </row>
    <row r="3319" spans="15:15" x14ac:dyDescent="0.25">
      <c r="O3319" s="21"/>
    </row>
    <row r="3320" spans="15:15" x14ac:dyDescent="0.25">
      <c r="O3320" s="21"/>
    </row>
    <row r="3321" spans="15:15" x14ac:dyDescent="0.25">
      <c r="O3321" s="21"/>
    </row>
    <row r="3322" spans="15:15" x14ac:dyDescent="0.25">
      <c r="O3322" s="21"/>
    </row>
    <row r="3323" spans="15:15" x14ac:dyDescent="0.25">
      <c r="O3323" s="21"/>
    </row>
    <row r="3324" spans="15:15" x14ac:dyDescent="0.25">
      <c r="O3324" s="21"/>
    </row>
    <row r="3325" spans="15:15" x14ac:dyDescent="0.25">
      <c r="O3325" s="21"/>
    </row>
    <row r="3326" spans="15:15" x14ac:dyDescent="0.25">
      <c r="O3326" s="21"/>
    </row>
    <row r="3327" spans="15:15" x14ac:dyDescent="0.25">
      <c r="O3327" s="21"/>
    </row>
    <row r="3328" spans="15:15" x14ac:dyDescent="0.25">
      <c r="O3328" s="21"/>
    </row>
    <row r="3329" spans="15:15" x14ac:dyDescent="0.25">
      <c r="O3329" s="21"/>
    </row>
    <row r="3330" spans="15:15" x14ac:dyDescent="0.25">
      <c r="O3330" s="21"/>
    </row>
    <row r="3331" spans="15:15" x14ac:dyDescent="0.25">
      <c r="O3331" s="21"/>
    </row>
    <row r="3332" spans="15:15" x14ac:dyDescent="0.25">
      <c r="O3332" s="21"/>
    </row>
    <row r="3333" spans="15:15" x14ac:dyDescent="0.25">
      <c r="O3333" s="21"/>
    </row>
    <row r="3334" spans="15:15" x14ac:dyDescent="0.25">
      <c r="O3334" s="21"/>
    </row>
    <row r="3335" spans="15:15" x14ac:dyDescent="0.25">
      <c r="O3335" s="21"/>
    </row>
    <row r="3336" spans="15:15" x14ac:dyDescent="0.25">
      <c r="O3336" s="21"/>
    </row>
    <row r="3337" spans="15:15" x14ac:dyDescent="0.25">
      <c r="O3337" s="21"/>
    </row>
    <row r="3338" spans="15:15" x14ac:dyDescent="0.25">
      <c r="O3338" s="21"/>
    </row>
    <row r="3339" spans="15:15" x14ac:dyDescent="0.25">
      <c r="O3339" s="21"/>
    </row>
    <row r="3340" spans="15:15" x14ac:dyDescent="0.25">
      <c r="O3340" s="21"/>
    </row>
    <row r="3341" spans="15:15" x14ac:dyDescent="0.25">
      <c r="O3341" s="21"/>
    </row>
    <row r="3342" spans="15:15" x14ac:dyDescent="0.25">
      <c r="O3342" s="21"/>
    </row>
    <row r="3343" spans="15:15" x14ac:dyDescent="0.25">
      <c r="O3343" s="21"/>
    </row>
    <row r="3344" spans="15:15" x14ac:dyDescent="0.25">
      <c r="O3344" s="21"/>
    </row>
    <row r="3345" spans="15:15" x14ac:dyDescent="0.25">
      <c r="O3345" s="21"/>
    </row>
    <row r="3346" spans="15:15" x14ac:dyDescent="0.25">
      <c r="O3346" s="21"/>
    </row>
    <row r="3347" spans="15:15" x14ac:dyDescent="0.25">
      <c r="O3347" s="21"/>
    </row>
    <row r="3348" spans="15:15" x14ac:dyDescent="0.25">
      <c r="O3348" s="21"/>
    </row>
    <row r="3349" spans="15:15" x14ac:dyDescent="0.25">
      <c r="O3349" s="21"/>
    </row>
    <row r="3350" spans="15:15" x14ac:dyDescent="0.25">
      <c r="O3350" s="21"/>
    </row>
    <row r="3351" spans="15:15" x14ac:dyDescent="0.25">
      <c r="O3351" s="21"/>
    </row>
    <row r="3352" spans="15:15" x14ac:dyDescent="0.25">
      <c r="O3352" s="21"/>
    </row>
    <row r="3353" spans="15:15" x14ac:dyDescent="0.25">
      <c r="O3353" s="21"/>
    </row>
    <row r="3354" spans="15:15" x14ac:dyDescent="0.25">
      <c r="O3354" s="21"/>
    </row>
    <row r="3355" spans="15:15" x14ac:dyDescent="0.25">
      <c r="O3355" s="21"/>
    </row>
    <row r="3356" spans="15:15" x14ac:dyDescent="0.25">
      <c r="O3356" s="21"/>
    </row>
    <row r="3357" spans="15:15" x14ac:dyDescent="0.25">
      <c r="O3357" s="21"/>
    </row>
    <row r="3358" spans="15:15" x14ac:dyDescent="0.25">
      <c r="O3358" s="21"/>
    </row>
    <row r="3359" spans="15:15" x14ac:dyDescent="0.25">
      <c r="O3359" s="21"/>
    </row>
    <row r="3360" spans="15:15" x14ac:dyDescent="0.25">
      <c r="O3360" s="21"/>
    </row>
    <row r="3361" spans="15:15" x14ac:dyDescent="0.25">
      <c r="O3361" s="21"/>
    </row>
    <row r="3362" spans="15:15" x14ac:dyDescent="0.25">
      <c r="O3362" s="21"/>
    </row>
    <row r="3363" spans="15:15" x14ac:dyDescent="0.25">
      <c r="O3363" s="21"/>
    </row>
    <row r="3364" spans="15:15" x14ac:dyDescent="0.25">
      <c r="O3364" s="21"/>
    </row>
    <row r="3365" spans="15:15" x14ac:dyDescent="0.25">
      <c r="O3365" s="21"/>
    </row>
    <row r="3366" spans="15:15" x14ac:dyDescent="0.25">
      <c r="O3366" s="21"/>
    </row>
    <row r="3367" spans="15:15" x14ac:dyDescent="0.25">
      <c r="O3367" s="21"/>
    </row>
    <row r="3368" spans="15:15" x14ac:dyDescent="0.25">
      <c r="O3368" s="21"/>
    </row>
    <row r="3369" spans="15:15" x14ac:dyDescent="0.25">
      <c r="O3369" s="21"/>
    </row>
    <row r="3370" spans="15:15" x14ac:dyDescent="0.25">
      <c r="O3370" s="21"/>
    </row>
    <row r="3371" spans="15:15" x14ac:dyDescent="0.25">
      <c r="O3371" s="21"/>
    </row>
    <row r="3372" spans="15:15" x14ac:dyDescent="0.25">
      <c r="O3372" s="21"/>
    </row>
    <row r="3373" spans="15:15" x14ac:dyDescent="0.25">
      <c r="O3373" s="21"/>
    </row>
    <row r="3374" spans="15:15" x14ac:dyDescent="0.25">
      <c r="O3374" s="21"/>
    </row>
    <row r="3375" spans="15:15" x14ac:dyDescent="0.25">
      <c r="O3375" s="21"/>
    </row>
    <row r="3376" spans="15:15" x14ac:dyDescent="0.25">
      <c r="O3376" s="21"/>
    </row>
    <row r="3377" spans="15:15" x14ac:dyDescent="0.25">
      <c r="O3377" s="21"/>
    </row>
    <row r="3378" spans="15:15" x14ac:dyDescent="0.25">
      <c r="O3378" s="21"/>
    </row>
    <row r="3379" spans="15:15" x14ac:dyDescent="0.25">
      <c r="O3379" s="21"/>
    </row>
    <row r="3380" spans="15:15" x14ac:dyDescent="0.25">
      <c r="O3380" s="21"/>
    </row>
    <row r="3381" spans="15:15" x14ac:dyDescent="0.25">
      <c r="O3381" s="21"/>
    </row>
    <row r="3382" spans="15:15" x14ac:dyDescent="0.25">
      <c r="O3382" s="21"/>
    </row>
    <row r="3383" spans="15:15" x14ac:dyDescent="0.25">
      <c r="O3383" s="21"/>
    </row>
    <row r="3384" spans="15:15" x14ac:dyDescent="0.25">
      <c r="O3384" s="21"/>
    </row>
    <row r="3385" spans="15:15" x14ac:dyDescent="0.25">
      <c r="O3385" s="21"/>
    </row>
    <row r="3386" spans="15:15" x14ac:dyDescent="0.25">
      <c r="O3386" s="21"/>
    </row>
    <row r="3387" spans="15:15" x14ac:dyDescent="0.25">
      <c r="O3387" s="21"/>
    </row>
    <row r="3388" spans="15:15" x14ac:dyDescent="0.25">
      <c r="O3388" s="21"/>
    </row>
    <row r="3389" spans="15:15" x14ac:dyDescent="0.25">
      <c r="O3389" s="21"/>
    </row>
    <row r="3390" spans="15:15" x14ac:dyDescent="0.25">
      <c r="O3390" s="21"/>
    </row>
    <row r="3391" spans="15:15" x14ac:dyDescent="0.25">
      <c r="O3391" s="21"/>
    </row>
    <row r="3392" spans="15:15" x14ac:dyDescent="0.25">
      <c r="O3392" s="21"/>
    </row>
    <row r="3393" spans="15:15" x14ac:dyDescent="0.25">
      <c r="O3393" s="21"/>
    </row>
    <row r="3394" spans="15:15" x14ac:dyDescent="0.25">
      <c r="O3394" s="21"/>
    </row>
    <row r="3395" spans="15:15" x14ac:dyDescent="0.25">
      <c r="O3395" s="21"/>
    </row>
    <row r="3396" spans="15:15" x14ac:dyDescent="0.25">
      <c r="O3396" s="21"/>
    </row>
    <row r="3397" spans="15:15" x14ac:dyDescent="0.25">
      <c r="O3397" s="21"/>
    </row>
    <row r="3398" spans="15:15" x14ac:dyDescent="0.25">
      <c r="O3398" s="21"/>
    </row>
    <row r="3399" spans="15:15" x14ac:dyDescent="0.25">
      <c r="O3399" s="21"/>
    </row>
    <row r="3400" spans="15:15" x14ac:dyDescent="0.25">
      <c r="O3400" s="21"/>
    </row>
    <row r="3401" spans="15:15" x14ac:dyDescent="0.25">
      <c r="O3401" s="21"/>
    </row>
    <row r="3402" spans="15:15" x14ac:dyDescent="0.25">
      <c r="O3402" s="21"/>
    </row>
    <row r="3403" spans="15:15" x14ac:dyDescent="0.25">
      <c r="O3403" s="21"/>
    </row>
    <row r="3404" spans="15:15" x14ac:dyDescent="0.25">
      <c r="O3404" s="21"/>
    </row>
    <row r="3405" spans="15:15" x14ac:dyDescent="0.25">
      <c r="O3405" s="21"/>
    </row>
    <row r="3406" spans="15:15" x14ac:dyDescent="0.25">
      <c r="O3406" s="21"/>
    </row>
    <row r="3407" spans="15:15" x14ac:dyDescent="0.25">
      <c r="O3407" s="21"/>
    </row>
    <row r="3408" spans="15:15" x14ac:dyDescent="0.25">
      <c r="O3408" s="21"/>
    </row>
    <row r="3409" spans="15:15" x14ac:dyDescent="0.25">
      <c r="O3409" s="21"/>
    </row>
    <row r="3410" spans="15:15" x14ac:dyDescent="0.25">
      <c r="O3410" s="21"/>
    </row>
    <row r="3411" spans="15:15" x14ac:dyDescent="0.25">
      <c r="O3411" s="21"/>
    </row>
    <row r="3412" spans="15:15" x14ac:dyDescent="0.25">
      <c r="O3412" s="21"/>
    </row>
    <row r="3413" spans="15:15" x14ac:dyDescent="0.25">
      <c r="O3413" s="21"/>
    </row>
    <row r="3414" spans="15:15" x14ac:dyDescent="0.25">
      <c r="O3414" s="21"/>
    </row>
    <row r="3415" spans="15:15" x14ac:dyDescent="0.25">
      <c r="O3415" s="21"/>
    </row>
    <row r="3416" spans="15:15" x14ac:dyDescent="0.25">
      <c r="O3416" s="21"/>
    </row>
    <row r="3417" spans="15:15" x14ac:dyDescent="0.25">
      <c r="O3417" s="21"/>
    </row>
    <row r="3418" spans="15:15" x14ac:dyDescent="0.25">
      <c r="O3418" s="21"/>
    </row>
    <row r="3419" spans="15:15" x14ac:dyDescent="0.25">
      <c r="O3419" s="21"/>
    </row>
    <row r="3420" spans="15:15" x14ac:dyDescent="0.25">
      <c r="O3420" s="21"/>
    </row>
    <row r="3421" spans="15:15" x14ac:dyDescent="0.25">
      <c r="O3421" s="21"/>
    </row>
    <row r="3422" spans="15:15" x14ac:dyDescent="0.25">
      <c r="O3422" s="21"/>
    </row>
    <row r="3423" spans="15:15" x14ac:dyDescent="0.25">
      <c r="O3423" s="21"/>
    </row>
    <row r="3424" spans="15:15" x14ac:dyDescent="0.25">
      <c r="O3424" s="21"/>
    </row>
    <row r="3425" spans="15:15" x14ac:dyDescent="0.25">
      <c r="O3425" s="21"/>
    </row>
    <row r="3426" spans="15:15" x14ac:dyDescent="0.25">
      <c r="O3426" s="21"/>
    </row>
    <row r="3427" spans="15:15" x14ac:dyDescent="0.25">
      <c r="O3427" s="21"/>
    </row>
    <row r="3428" spans="15:15" x14ac:dyDescent="0.25">
      <c r="O3428" s="21"/>
    </row>
    <row r="3429" spans="15:15" x14ac:dyDescent="0.25">
      <c r="O3429" s="21"/>
    </row>
    <row r="3430" spans="15:15" x14ac:dyDescent="0.25">
      <c r="O3430" s="21"/>
    </row>
    <row r="3431" spans="15:15" x14ac:dyDescent="0.25">
      <c r="O3431" s="21"/>
    </row>
    <row r="3432" spans="15:15" x14ac:dyDescent="0.25">
      <c r="O3432" s="21"/>
    </row>
    <row r="3433" spans="15:15" x14ac:dyDescent="0.25">
      <c r="O3433" s="21"/>
    </row>
    <row r="3434" spans="15:15" x14ac:dyDescent="0.25">
      <c r="O3434" s="21"/>
    </row>
    <row r="3435" spans="15:15" x14ac:dyDescent="0.25">
      <c r="O3435" s="21"/>
    </row>
    <row r="3436" spans="15:15" x14ac:dyDescent="0.25">
      <c r="O3436" s="21"/>
    </row>
    <row r="3437" spans="15:15" x14ac:dyDescent="0.25">
      <c r="O3437" s="21"/>
    </row>
    <row r="3438" spans="15:15" x14ac:dyDescent="0.25">
      <c r="O3438" s="21"/>
    </row>
    <row r="3439" spans="15:15" x14ac:dyDescent="0.25">
      <c r="O3439" s="21"/>
    </row>
    <row r="3440" spans="15:15" x14ac:dyDescent="0.25">
      <c r="O3440" s="21"/>
    </row>
    <row r="3441" spans="15:15" x14ac:dyDescent="0.25">
      <c r="O3441" s="21"/>
    </row>
    <row r="3442" spans="15:15" x14ac:dyDescent="0.25">
      <c r="O3442" s="21"/>
    </row>
    <row r="3443" spans="15:15" x14ac:dyDescent="0.25">
      <c r="O3443" s="21"/>
    </row>
    <row r="3444" spans="15:15" x14ac:dyDescent="0.25">
      <c r="O3444" s="21"/>
    </row>
    <row r="3445" spans="15:15" x14ac:dyDescent="0.25">
      <c r="O3445" s="21"/>
    </row>
    <row r="3446" spans="15:15" x14ac:dyDescent="0.25">
      <c r="O3446" s="21"/>
    </row>
    <row r="3447" spans="15:15" x14ac:dyDescent="0.25">
      <c r="O3447" s="21"/>
    </row>
    <row r="3448" spans="15:15" x14ac:dyDescent="0.25">
      <c r="O3448" s="21"/>
    </row>
    <row r="3449" spans="15:15" x14ac:dyDescent="0.25">
      <c r="O3449" s="21"/>
    </row>
    <row r="3450" spans="15:15" x14ac:dyDescent="0.25">
      <c r="O3450" s="21"/>
    </row>
    <row r="3451" spans="15:15" x14ac:dyDescent="0.25">
      <c r="O3451" s="21"/>
    </row>
    <row r="3452" spans="15:15" x14ac:dyDescent="0.25">
      <c r="O3452" s="21"/>
    </row>
    <row r="3453" spans="15:15" x14ac:dyDescent="0.25">
      <c r="O3453" s="21"/>
    </row>
    <row r="3454" spans="15:15" x14ac:dyDescent="0.25">
      <c r="O3454" s="21"/>
    </row>
    <row r="3455" spans="15:15" x14ac:dyDescent="0.25">
      <c r="O3455" s="21"/>
    </row>
    <row r="3456" spans="15:15" x14ac:dyDescent="0.25">
      <c r="O3456" s="21"/>
    </row>
    <row r="3457" spans="15:15" x14ac:dyDescent="0.25">
      <c r="O3457" s="21"/>
    </row>
    <row r="3458" spans="15:15" x14ac:dyDescent="0.25">
      <c r="O3458" s="21"/>
    </row>
    <row r="3459" spans="15:15" x14ac:dyDescent="0.25">
      <c r="O3459" s="21"/>
    </row>
    <row r="3460" spans="15:15" x14ac:dyDescent="0.25">
      <c r="O3460" s="21"/>
    </row>
    <row r="3461" spans="15:15" x14ac:dyDescent="0.25">
      <c r="O3461" s="21"/>
    </row>
    <row r="3462" spans="15:15" x14ac:dyDescent="0.25">
      <c r="O3462" s="21"/>
    </row>
    <row r="3463" spans="15:15" x14ac:dyDescent="0.25">
      <c r="O3463" s="21"/>
    </row>
    <row r="3464" spans="15:15" x14ac:dyDescent="0.25">
      <c r="O3464" s="21"/>
    </row>
    <row r="3465" spans="15:15" x14ac:dyDescent="0.25">
      <c r="O3465" s="21"/>
    </row>
    <row r="3466" spans="15:15" x14ac:dyDescent="0.25">
      <c r="O3466" s="21"/>
    </row>
    <row r="3467" spans="15:15" x14ac:dyDescent="0.25">
      <c r="O3467" s="21"/>
    </row>
    <row r="3468" spans="15:15" x14ac:dyDescent="0.25">
      <c r="O3468" s="21"/>
    </row>
    <row r="3469" spans="15:15" x14ac:dyDescent="0.25">
      <c r="O3469" s="21"/>
    </row>
    <row r="3470" spans="15:15" x14ac:dyDescent="0.25">
      <c r="O3470" s="21"/>
    </row>
    <row r="3471" spans="15:15" x14ac:dyDescent="0.25">
      <c r="O3471" s="21"/>
    </row>
    <row r="3472" spans="15:15" x14ac:dyDescent="0.25">
      <c r="O3472" s="21"/>
    </row>
    <row r="3473" spans="15:15" x14ac:dyDescent="0.25">
      <c r="O3473" s="21"/>
    </row>
    <row r="3474" spans="15:15" x14ac:dyDescent="0.25">
      <c r="O3474" s="21"/>
    </row>
    <row r="3475" spans="15:15" x14ac:dyDescent="0.25">
      <c r="O3475" s="21"/>
    </row>
    <row r="3476" spans="15:15" x14ac:dyDescent="0.25">
      <c r="O3476" s="21"/>
    </row>
    <row r="3477" spans="15:15" x14ac:dyDescent="0.25">
      <c r="O3477" s="21"/>
    </row>
    <row r="3478" spans="15:15" x14ac:dyDescent="0.25">
      <c r="O3478" s="21"/>
    </row>
    <row r="3479" spans="15:15" x14ac:dyDescent="0.25">
      <c r="O3479" s="21"/>
    </row>
    <row r="3480" spans="15:15" x14ac:dyDescent="0.25">
      <c r="O3480" s="21"/>
    </row>
    <row r="3481" spans="15:15" x14ac:dyDescent="0.25">
      <c r="O3481" s="21"/>
    </row>
    <row r="3482" spans="15:15" x14ac:dyDescent="0.25">
      <c r="O3482" s="21"/>
    </row>
    <row r="3483" spans="15:15" x14ac:dyDescent="0.25">
      <c r="O3483" s="21"/>
    </row>
    <row r="3484" spans="15:15" x14ac:dyDescent="0.25">
      <c r="O3484" s="21"/>
    </row>
    <row r="3485" spans="15:15" x14ac:dyDescent="0.25">
      <c r="O3485" s="21"/>
    </row>
    <row r="3486" spans="15:15" x14ac:dyDescent="0.25">
      <c r="O3486" s="21"/>
    </row>
    <row r="3487" spans="15:15" x14ac:dyDescent="0.25">
      <c r="O3487" s="21"/>
    </row>
    <row r="3488" spans="15:15" x14ac:dyDescent="0.25">
      <c r="O3488" s="21"/>
    </row>
    <row r="3489" spans="15:15" x14ac:dyDescent="0.25">
      <c r="O3489" s="21"/>
    </row>
    <row r="3490" spans="15:15" x14ac:dyDescent="0.25">
      <c r="O3490" s="21"/>
    </row>
    <row r="3491" spans="15:15" x14ac:dyDescent="0.25">
      <c r="O3491" s="21"/>
    </row>
    <row r="3492" spans="15:15" x14ac:dyDescent="0.25">
      <c r="O3492" s="21"/>
    </row>
    <row r="3493" spans="15:15" x14ac:dyDescent="0.25">
      <c r="O3493" s="21"/>
    </row>
    <row r="3494" spans="15:15" x14ac:dyDescent="0.25">
      <c r="O3494" s="21"/>
    </row>
    <row r="3495" spans="15:15" x14ac:dyDescent="0.25">
      <c r="O3495" s="21"/>
    </row>
    <row r="3496" spans="15:15" x14ac:dyDescent="0.25">
      <c r="O3496" s="21"/>
    </row>
    <row r="3497" spans="15:15" x14ac:dyDescent="0.25">
      <c r="O3497" s="21"/>
    </row>
    <row r="3498" spans="15:15" x14ac:dyDescent="0.25">
      <c r="O3498" s="21"/>
    </row>
    <row r="3499" spans="15:15" x14ac:dyDescent="0.25">
      <c r="O3499" s="21"/>
    </row>
    <row r="3500" spans="15:15" x14ac:dyDescent="0.25">
      <c r="O3500" s="21"/>
    </row>
    <row r="3501" spans="15:15" x14ac:dyDescent="0.25">
      <c r="O3501" s="21"/>
    </row>
    <row r="3502" spans="15:15" x14ac:dyDescent="0.25">
      <c r="O3502" s="21"/>
    </row>
    <row r="3503" spans="15:15" x14ac:dyDescent="0.25">
      <c r="O3503" s="21"/>
    </row>
    <row r="3504" spans="15:15" x14ac:dyDescent="0.25">
      <c r="O3504" s="21"/>
    </row>
    <row r="3505" spans="15:15" x14ac:dyDescent="0.25">
      <c r="O3505" s="21"/>
    </row>
    <row r="3506" spans="15:15" x14ac:dyDescent="0.25">
      <c r="O3506" s="21"/>
    </row>
    <row r="3507" spans="15:15" x14ac:dyDescent="0.25">
      <c r="O3507" s="21"/>
    </row>
    <row r="3508" spans="15:15" x14ac:dyDescent="0.25">
      <c r="O3508" s="21"/>
    </row>
    <row r="3509" spans="15:15" x14ac:dyDescent="0.25">
      <c r="O3509" s="21"/>
    </row>
    <row r="3510" spans="15:15" x14ac:dyDescent="0.25">
      <c r="O3510" s="21"/>
    </row>
    <row r="3511" spans="15:15" x14ac:dyDescent="0.25">
      <c r="O3511" s="21"/>
    </row>
    <row r="3512" spans="15:15" x14ac:dyDescent="0.25">
      <c r="O3512" s="21"/>
    </row>
    <row r="3513" spans="15:15" x14ac:dyDescent="0.25">
      <c r="O3513" s="21"/>
    </row>
    <row r="3514" spans="15:15" x14ac:dyDescent="0.25">
      <c r="O3514" s="21"/>
    </row>
    <row r="3515" spans="15:15" x14ac:dyDescent="0.25">
      <c r="O3515" s="21"/>
    </row>
    <row r="3516" spans="15:15" x14ac:dyDescent="0.25">
      <c r="O3516" s="21"/>
    </row>
    <row r="3517" spans="15:15" x14ac:dyDescent="0.25">
      <c r="O3517" s="21"/>
    </row>
    <row r="3518" spans="15:15" x14ac:dyDescent="0.25">
      <c r="O3518" s="21"/>
    </row>
    <row r="3519" spans="15:15" x14ac:dyDescent="0.25">
      <c r="O3519" s="21"/>
    </row>
    <row r="3520" spans="15:15" x14ac:dyDescent="0.25">
      <c r="O3520" s="21"/>
    </row>
    <row r="3521" spans="15:15" x14ac:dyDescent="0.25">
      <c r="O3521" s="21"/>
    </row>
    <row r="3522" spans="15:15" x14ac:dyDescent="0.25">
      <c r="O3522" s="21"/>
    </row>
    <row r="3523" spans="15:15" x14ac:dyDescent="0.25">
      <c r="O3523" s="21"/>
    </row>
    <row r="3524" spans="15:15" x14ac:dyDescent="0.25">
      <c r="O3524" s="21"/>
    </row>
    <row r="3525" spans="15:15" x14ac:dyDescent="0.25">
      <c r="O3525" s="21"/>
    </row>
    <row r="3526" spans="15:15" x14ac:dyDescent="0.25">
      <c r="O3526" s="21"/>
    </row>
    <row r="3527" spans="15:15" x14ac:dyDescent="0.25">
      <c r="O3527" s="21"/>
    </row>
    <row r="3528" spans="15:15" x14ac:dyDescent="0.25">
      <c r="O3528" s="21"/>
    </row>
    <row r="3529" spans="15:15" x14ac:dyDescent="0.25">
      <c r="O3529" s="21"/>
    </row>
    <row r="3530" spans="15:15" x14ac:dyDescent="0.25">
      <c r="O3530" s="21"/>
    </row>
    <row r="3531" spans="15:15" x14ac:dyDescent="0.25">
      <c r="O3531" s="21"/>
    </row>
    <row r="3532" spans="15:15" x14ac:dyDescent="0.25">
      <c r="O3532" s="21"/>
    </row>
    <row r="3533" spans="15:15" x14ac:dyDescent="0.25">
      <c r="O3533" s="21"/>
    </row>
    <row r="3534" spans="15:15" x14ac:dyDescent="0.25">
      <c r="O3534" s="21"/>
    </row>
    <row r="3535" spans="15:15" x14ac:dyDescent="0.25">
      <c r="O3535" s="21"/>
    </row>
    <row r="3536" spans="15:15" x14ac:dyDescent="0.25">
      <c r="O3536" s="21"/>
    </row>
    <row r="3537" spans="15:15" x14ac:dyDescent="0.25">
      <c r="O3537" s="21"/>
    </row>
    <row r="3538" spans="15:15" x14ac:dyDescent="0.25">
      <c r="O3538" s="21"/>
    </row>
    <row r="3539" spans="15:15" x14ac:dyDescent="0.25">
      <c r="O3539" s="21"/>
    </row>
    <row r="3540" spans="15:15" x14ac:dyDescent="0.25">
      <c r="O3540" s="21"/>
    </row>
    <row r="3541" spans="15:15" x14ac:dyDescent="0.25">
      <c r="O3541" s="21"/>
    </row>
    <row r="3542" spans="15:15" x14ac:dyDescent="0.25">
      <c r="O3542" s="21"/>
    </row>
    <row r="3543" spans="15:15" x14ac:dyDescent="0.25">
      <c r="O3543" s="21"/>
    </row>
    <row r="3544" spans="15:15" x14ac:dyDescent="0.25">
      <c r="O3544" s="21"/>
    </row>
    <row r="3545" spans="15:15" x14ac:dyDescent="0.25">
      <c r="O3545" s="21"/>
    </row>
    <row r="3546" spans="15:15" x14ac:dyDescent="0.25">
      <c r="O3546" s="21"/>
    </row>
    <row r="3547" spans="15:15" x14ac:dyDescent="0.25">
      <c r="O3547" s="21"/>
    </row>
    <row r="3548" spans="15:15" x14ac:dyDescent="0.25">
      <c r="O3548" s="21"/>
    </row>
    <row r="3549" spans="15:15" x14ac:dyDescent="0.25">
      <c r="O3549" s="21"/>
    </row>
    <row r="3550" spans="15:15" x14ac:dyDescent="0.25">
      <c r="O3550" s="21"/>
    </row>
    <row r="3551" spans="15:15" x14ac:dyDescent="0.25">
      <c r="O3551" s="21"/>
    </row>
    <row r="3552" spans="15:15" x14ac:dyDescent="0.25">
      <c r="O3552" s="21"/>
    </row>
    <row r="3553" spans="15:15" x14ac:dyDescent="0.25">
      <c r="O3553" s="21"/>
    </row>
    <row r="3554" spans="15:15" x14ac:dyDescent="0.25">
      <c r="O3554" s="21"/>
    </row>
    <row r="3555" spans="15:15" x14ac:dyDescent="0.25">
      <c r="O3555" s="21"/>
    </row>
    <row r="3556" spans="15:15" x14ac:dyDescent="0.25">
      <c r="O3556" s="21"/>
    </row>
    <row r="3557" spans="15:15" x14ac:dyDescent="0.25">
      <c r="O3557" s="21"/>
    </row>
    <row r="3558" spans="15:15" x14ac:dyDescent="0.25">
      <c r="O3558" s="21"/>
    </row>
    <row r="3559" spans="15:15" x14ac:dyDescent="0.25">
      <c r="O3559" s="21"/>
    </row>
    <row r="3560" spans="15:15" x14ac:dyDescent="0.25">
      <c r="O3560" s="21"/>
    </row>
    <row r="3561" spans="15:15" x14ac:dyDescent="0.25">
      <c r="O3561" s="21"/>
    </row>
    <row r="3562" spans="15:15" x14ac:dyDescent="0.25">
      <c r="O3562" s="21"/>
    </row>
    <row r="3563" spans="15:15" x14ac:dyDescent="0.25">
      <c r="O3563" s="21"/>
    </row>
    <row r="3564" spans="15:15" x14ac:dyDescent="0.25">
      <c r="O3564" s="21"/>
    </row>
    <row r="3565" spans="15:15" x14ac:dyDescent="0.25">
      <c r="O3565" s="21"/>
    </row>
    <row r="3566" spans="15:15" x14ac:dyDescent="0.25">
      <c r="O3566" s="21"/>
    </row>
    <row r="3567" spans="15:15" x14ac:dyDescent="0.25">
      <c r="O3567" s="21"/>
    </row>
    <row r="3568" spans="15:15" x14ac:dyDescent="0.25">
      <c r="O3568" s="21"/>
    </row>
    <row r="3569" spans="15:15" x14ac:dyDescent="0.25">
      <c r="O3569" s="21"/>
    </row>
    <row r="3570" spans="15:15" x14ac:dyDescent="0.25">
      <c r="O3570" s="21"/>
    </row>
    <row r="3571" spans="15:15" x14ac:dyDescent="0.25">
      <c r="O3571" s="21"/>
    </row>
    <row r="3572" spans="15:15" x14ac:dyDescent="0.25">
      <c r="O3572" s="21"/>
    </row>
    <row r="3573" spans="15:15" x14ac:dyDescent="0.25">
      <c r="O3573" s="21"/>
    </row>
    <row r="3574" spans="15:15" x14ac:dyDescent="0.25">
      <c r="O3574" s="21"/>
    </row>
    <row r="3575" spans="15:15" x14ac:dyDescent="0.25">
      <c r="O3575" s="21"/>
    </row>
    <row r="3576" spans="15:15" x14ac:dyDescent="0.25">
      <c r="O3576" s="21"/>
    </row>
    <row r="3577" spans="15:15" x14ac:dyDescent="0.25">
      <c r="O3577" s="21"/>
    </row>
    <row r="3578" spans="15:15" x14ac:dyDescent="0.25">
      <c r="O3578" s="21"/>
    </row>
    <row r="3579" spans="15:15" x14ac:dyDescent="0.25">
      <c r="O3579" s="21"/>
    </row>
    <row r="3580" spans="15:15" x14ac:dyDescent="0.25">
      <c r="O3580" s="21"/>
    </row>
    <row r="3581" spans="15:15" x14ac:dyDescent="0.25">
      <c r="O3581" s="21"/>
    </row>
    <row r="3582" spans="15:15" x14ac:dyDescent="0.25">
      <c r="O3582" s="21"/>
    </row>
    <row r="3583" spans="15:15" x14ac:dyDescent="0.25">
      <c r="O3583" s="21"/>
    </row>
    <row r="3584" spans="15:15" x14ac:dyDescent="0.25">
      <c r="O3584" s="21"/>
    </row>
    <row r="3585" spans="15:15" x14ac:dyDescent="0.25">
      <c r="O3585" s="21"/>
    </row>
    <row r="3586" spans="15:15" x14ac:dyDescent="0.25">
      <c r="O3586" s="21"/>
    </row>
    <row r="3587" spans="15:15" x14ac:dyDescent="0.25">
      <c r="O3587" s="21"/>
    </row>
    <row r="3588" spans="15:15" x14ac:dyDescent="0.25">
      <c r="O3588" s="21"/>
    </row>
    <row r="3589" spans="15:15" x14ac:dyDescent="0.25">
      <c r="O3589" s="21"/>
    </row>
    <row r="3590" spans="15:15" x14ac:dyDescent="0.25">
      <c r="O3590" s="21"/>
    </row>
    <row r="3591" spans="15:15" x14ac:dyDescent="0.25">
      <c r="O3591" s="21"/>
    </row>
    <row r="3592" spans="15:15" x14ac:dyDescent="0.25">
      <c r="O3592" s="21"/>
    </row>
    <row r="3593" spans="15:15" x14ac:dyDescent="0.25">
      <c r="O3593" s="21"/>
    </row>
    <row r="3594" spans="15:15" x14ac:dyDescent="0.25">
      <c r="O3594" s="21"/>
    </row>
    <row r="3595" spans="15:15" x14ac:dyDescent="0.25">
      <c r="O3595" s="21"/>
    </row>
    <row r="3596" spans="15:15" x14ac:dyDescent="0.25">
      <c r="O3596" s="21"/>
    </row>
    <row r="3597" spans="15:15" x14ac:dyDescent="0.25">
      <c r="O3597" s="21"/>
    </row>
    <row r="3598" spans="15:15" x14ac:dyDescent="0.25">
      <c r="O3598" s="21"/>
    </row>
    <row r="3599" spans="15:15" x14ac:dyDescent="0.25">
      <c r="O3599" s="21"/>
    </row>
    <row r="3600" spans="15:15" x14ac:dyDescent="0.25">
      <c r="O3600" s="21"/>
    </row>
    <row r="3601" spans="15:15" x14ac:dyDescent="0.25">
      <c r="O3601" s="21"/>
    </row>
    <row r="3602" spans="15:15" x14ac:dyDescent="0.25">
      <c r="O3602" s="21"/>
    </row>
    <row r="3603" spans="15:15" x14ac:dyDescent="0.25">
      <c r="O3603" s="21"/>
    </row>
    <row r="3604" spans="15:15" x14ac:dyDescent="0.25">
      <c r="O3604" s="21"/>
    </row>
    <row r="3605" spans="15:15" x14ac:dyDescent="0.25">
      <c r="O3605" s="21"/>
    </row>
    <row r="3606" spans="15:15" x14ac:dyDescent="0.25">
      <c r="O3606" s="21"/>
    </row>
    <row r="3607" spans="15:15" x14ac:dyDescent="0.25">
      <c r="O3607" s="21"/>
    </row>
    <row r="3608" spans="15:15" x14ac:dyDescent="0.25">
      <c r="O3608" s="21"/>
    </row>
    <row r="3609" spans="15:15" x14ac:dyDescent="0.25">
      <c r="O3609" s="21"/>
    </row>
    <row r="3610" spans="15:15" x14ac:dyDescent="0.25">
      <c r="O3610" s="21"/>
    </row>
    <row r="3611" spans="15:15" x14ac:dyDescent="0.25">
      <c r="O3611" s="21"/>
    </row>
    <row r="3612" spans="15:15" x14ac:dyDescent="0.25">
      <c r="O3612" s="21"/>
    </row>
    <row r="3613" spans="15:15" x14ac:dyDescent="0.25">
      <c r="O3613" s="21"/>
    </row>
    <row r="3614" spans="15:15" x14ac:dyDescent="0.25">
      <c r="O3614" s="21"/>
    </row>
    <row r="3615" spans="15:15" x14ac:dyDescent="0.25">
      <c r="O3615" s="21"/>
    </row>
    <row r="3616" spans="15:15" x14ac:dyDescent="0.25">
      <c r="O3616" s="21"/>
    </row>
    <row r="3617" spans="15:15" x14ac:dyDescent="0.25">
      <c r="O3617" s="21"/>
    </row>
    <row r="3618" spans="15:15" x14ac:dyDescent="0.25">
      <c r="O3618" s="21"/>
    </row>
    <row r="3619" spans="15:15" x14ac:dyDescent="0.25">
      <c r="O3619" s="21"/>
    </row>
    <row r="3620" spans="15:15" x14ac:dyDescent="0.25">
      <c r="O3620" s="21"/>
    </row>
    <row r="3621" spans="15:15" x14ac:dyDescent="0.25">
      <c r="O3621" s="21"/>
    </row>
    <row r="3622" spans="15:15" x14ac:dyDescent="0.25">
      <c r="O3622" s="21"/>
    </row>
    <row r="3623" spans="15:15" x14ac:dyDescent="0.25">
      <c r="O3623" s="21"/>
    </row>
    <row r="3624" spans="15:15" x14ac:dyDescent="0.25">
      <c r="O3624" s="21"/>
    </row>
    <row r="3625" spans="15:15" x14ac:dyDescent="0.25">
      <c r="O3625" s="21"/>
    </row>
    <row r="3626" spans="15:15" x14ac:dyDescent="0.25">
      <c r="O3626" s="21"/>
    </row>
    <row r="3627" spans="15:15" x14ac:dyDescent="0.25">
      <c r="O3627" s="21"/>
    </row>
    <row r="3628" spans="15:15" x14ac:dyDescent="0.25">
      <c r="O3628" s="21"/>
    </row>
    <row r="3629" spans="15:15" x14ac:dyDescent="0.25">
      <c r="O3629" s="21"/>
    </row>
    <row r="3630" spans="15:15" x14ac:dyDescent="0.25">
      <c r="O3630" s="21"/>
    </row>
    <row r="3631" spans="15:15" x14ac:dyDescent="0.25">
      <c r="O3631" s="21"/>
    </row>
    <row r="3632" spans="15:15" x14ac:dyDescent="0.25">
      <c r="O3632" s="21"/>
    </row>
    <row r="3633" spans="15:15" x14ac:dyDescent="0.25">
      <c r="O3633" s="21"/>
    </row>
    <row r="3634" spans="15:15" x14ac:dyDescent="0.25">
      <c r="O3634" s="21"/>
    </row>
    <row r="3635" spans="15:15" x14ac:dyDescent="0.25">
      <c r="O3635" s="21"/>
    </row>
    <row r="3636" spans="15:15" x14ac:dyDescent="0.25">
      <c r="O3636" s="21"/>
    </row>
    <row r="3637" spans="15:15" x14ac:dyDescent="0.25">
      <c r="O3637" s="21"/>
    </row>
    <row r="3638" spans="15:15" x14ac:dyDescent="0.25">
      <c r="O3638" s="21"/>
    </row>
    <row r="3639" spans="15:15" x14ac:dyDescent="0.25">
      <c r="O3639" s="21"/>
    </row>
    <row r="3640" spans="15:15" x14ac:dyDescent="0.25">
      <c r="O3640" s="21"/>
    </row>
    <row r="3641" spans="15:15" x14ac:dyDescent="0.25">
      <c r="O3641" s="21"/>
    </row>
    <row r="3642" spans="15:15" x14ac:dyDescent="0.25">
      <c r="O3642" s="21"/>
    </row>
    <row r="3643" spans="15:15" x14ac:dyDescent="0.25">
      <c r="O3643" s="21"/>
    </row>
    <row r="3644" spans="15:15" x14ac:dyDescent="0.25">
      <c r="O3644" s="21"/>
    </row>
    <row r="3645" spans="15:15" x14ac:dyDescent="0.25">
      <c r="O3645" s="21"/>
    </row>
    <row r="3646" spans="15:15" x14ac:dyDescent="0.25">
      <c r="O3646" s="21"/>
    </row>
    <row r="3647" spans="15:15" x14ac:dyDescent="0.25">
      <c r="O3647" s="21"/>
    </row>
    <row r="3648" spans="15:15" x14ac:dyDescent="0.25">
      <c r="O3648" s="21"/>
    </row>
    <row r="3649" spans="15:15" x14ac:dyDescent="0.25">
      <c r="O3649" s="21"/>
    </row>
    <row r="3650" spans="15:15" x14ac:dyDescent="0.25">
      <c r="O3650" s="21"/>
    </row>
    <row r="3651" spans="15:15" x14ac:dyDescent="0.25">
      <c r="O3651" s="21"/>
    </row>
    <row r="3652" spans="15:15" x14ac:dyDescent="0.25">
      <c r="O3652" s="21"/>
    </row>
    <row r="3653" spans="15:15" x14ac:dyDescent="0.25">
      <c r="O3653" s="21"/>
    </row>
    <row r="3654" spans="15:15" x14ac:dyDescent="0.25">
      <c r="O3654" s="21"/>
    </row>
    <row r="3655" spans="15:15" x14ac:dyDescent="0.25">
      <c r="O3655" s="21"/>
    </row>
    <row r="3656" spans="15:15" x14ac:dyDescent="0.25">
      <c r="O3656" s="21"/>
    </row>
    <row r="3657" spans="15:15" x14ac:dyDescent="0.25">
      <c r="O3657" s="21"/>
    </row>
    <row r="3658" spans="15:15" x14ac:dyDescent="0.25">
      <c r="O3658" s="21"/>
    </row>
    <row r="3659" spans="15:15" x14ac:dyDescent="0.25">
      <c r="O3659" s="21"/>
    </row>
    <row r="3660" spans="15:15" x14ac:dyDescent="0.25">
      <c r="O3660" s="21"/>
    </row>
    <row r="3661" spans="15:15" x14ac:dyDescent="0.25">
      <c r="O3661" s="21"/>
    </row>
    <row r="3662" spans="15:15" x14ac:dyDescent="0.25">
      <c r="O3662" s="21"/>
    </row>
    <row r="3663" spans="15:15" x14ac:dyDescent="0.25">
      <c r="O3663" s="21"/>
    </row>
    <row r="3664" spans="15:15" x14ac:dyDescent="0.25">
      <c r="O3664" s="21"/>
    </row>
    <row r="3665" spans="15:15" x14ac:dyDescent="0.25">
      <c r="O3665" s="21"/>
    </row>
    <row r="3666" spans="15:15" x14ac:dyDescent="0.25">
      <c r="O3666" s="21"/>
    </row>
    <row r="3667" spans="15:15" x14ac:dyDescent="0.25">
      <c r="O3667" s="21"/>
    </row>
    <row r="3668" spans="15:15" x14ac:dyDescent="0.25">
      <c r="O3668" s="21"/>
    </row>
    <row r="3669" spans="15:15" x14ac:dyDescent="0.25">
      <c r="O3669" s="21"/>
    </row>
    <row r="3670" spans="15:15" x14ac:dyDescent="0.25">
      <c r="O3670" s="21"/>
    </row>
    <row r="3671" spans="15:15" x14ac:dyDescent="0.25">
      <c r="O3671" s="21"/>
    </row>
    <row r="3672" spans="15:15" x14ac:dyDescent="0.25">
      <c r="O3672" s="21"/>
    </row>
    <row r="3673" spans="15:15" x14ac:dyDescent="0.25">
      <c r="O3673" s="21"/>
    </row>
    <row r="3674" spans="15:15" x14ac:dyDescent="0.25">
      <c r="O3674" s="21"/>
    </row>
    <row r="3675" spans="15:15" x14ac:dyDescent="0.25">
      <c r="O3675" s="21"/>
    </row>
    <row r="3676" spans="15:15" x14ac:dyDescent="0.25">
      <c r="O3676" s="21"/>
    </row>
    <row r="3677" spans="15:15" x14ac:dyDescent="0.25">
      <c r="O3677" s="21"/>
    </row>
    <row r="3678" spans="15:15" x14ac:dyDescent="0.25">
      <c r="O3678" s="21"/>
    </row>
    <row r="3679" spans="15:15" x14ac:dyDescent="0.25">
      <c r="O3679" s="21"/>
    </row>
    <row r="3680" spans="15:15" x14ac:dyDescent="0.25">
      <c r="O3680" s="21"/>
    </row>
    <row r="3681" spans="15:15" x14ac:dyDescent="0.25">
      <c r="O3681" s="21"/>
    </row>
    <row r="3682" spans="15:15" x14ac:dyDescent="0.25">
      <c r="O3682" s="21"/>
    </row>
    <row r="3683" spans="15:15" x14ac:dyDescent="0.25">
      <c r="O3683" s="21"/>
    </row>
    <row r="3684" spans="15:15" x14ac:dyDescent="0.25">
      <c r="O3684" s="21"/>
    </row>
    <row r="3685" spans="15:15" x14ac:dyDescent="0.25">
      <c r="O3685" s="21"/>
    </row>
    <row r="3686" spans="15:15" x14ac:dyDescent="0.25">
      <c r="O3686" s="21"/>
    </row>
    <row r="3687" spans="15:15" x14ac:dyDescent="0.25">
      <c r="O3687" s="21"/>
    </row>
    <row r="3688" spans="15:15" x14ac:dyDescent="0.25">
      <c r="O3688" s="21"/>
    </row>
    <row r="3689" spans="15:15" x14ac:dyDescent="0.25">
      <c r="O3689" s="21"/>
    </row>
    <row r="3690" spans="15:15" x14ac:dyDescent="0.25">
      <c r="O3690" s="21"/>
    </row>
    <row r="3691" spans="15:15" x14ac:dyDescent="0.25">
      <c r="O3691" s="21"/>
    </row>
    <row r="3692" spans="15:15" x14ac:dyDescent="0.25">
      <c r="O3692" s="21"/>
    </row>
    <row r="3693" spans="15:15" x14ac:dyDescent="0.25">
      <c r="O3693" s="21"/>
    </row>
    <row r="3694" spans="15:15" x14ac:dyDescent="0.25">
      <c r="O3694" s="21"/>
    </row>
    <row r="3695" spans="15:15" x14ac:dyDescent="0.25">
      <c r="O3695" s="21"/>
    </row>
    <row r="3696" spans="15:15" x14ac:dyDescent="0.25">
      <c r="O3696" s="21"/>
    </row>
    <row r="3697" spans="15:15" x14ac:dyDescent="0.25">
      <c r="O3697" s="21"/>
    </row>
    <row r="3698" spans="15:15" x14ac:dyDescent="0.25">
      <c r="O3698" s="21"/>
    </row>
    <row r="3699" spans="15:15" x14ac:dyDescent="0.25">
      <c r="O3699" s="21"/>
    </row>
    <row r="3700" spans="15:15" x14ac:dyDescent="0.25">
      <c r="O3700" s="21"/>
    </row>
    <row r="3701" spans="15:15" x14ac:dyDescent="0.25">
      <c r="O3701" s="21"/>
    </row>
    <row r="3702" spans="15:15" x14ac:dyDescent="0.25">
      <c r="O3702" s="21"/>
    </row>
    <row r="3703" spans="15:15" x14ac:dyDescent="0.25">
      <c r="O3703" s="21"/>
    </row>
    <row r="3704" spans="15:15" x14ac:dyDescent="0.25">
      <c r="O3704" s="21"/>
    </row>
    <row r="3705" spans="15:15" x14ac:dyDescent="0.25">
      <c r="O3705" s="21"/>
    </row>
    <row r="3706" spans="15:15" x14ac:dyDescent="0.25">
      <c r="O3706" s="21"/>
    </row>
    <row r="3707" spans="15:15" x14ac:dyDescent="0.25">
      <c r="O3707" s="21"/>
    </row>
    <row r="3708" spans="15:15" x14ac:dyDescent="0.25">
      <c r="O3708" s="21"/>
    </row>
    <row r="3709" spans="15:15" x14ac:dyDescent="0.25">
      <c r="O3709" s="21"/>
    </row>
    <row r="3710" spans="15:15" x14ac:dyDescent="0.25">
      <c r="O3710" s="21"/>
    </row>
    <row r="3711" spans="15:15" x14ac:dyDescent="0.25">
      <c r="O3711" s="21"/>
    </row>
    <row r="3712" spans="15:15" x14ac:dyDescent="0.25">
      <c r="O3712" s="21"/>
    </row>
    <row r="3713" spans="15:15" x14ac:dyDescent="0.25">
      <c r="O3713" s="21"/>
    </row>
    <row r="3714" spans="15:15" x14ac:dyDescent="0.25">
      <c r="O3714" s="21"/>
    </row>
    <row r="3715" spans="15:15" x14ac:dyDescent="0.25">
      <c r="O3715" s="21"/>
    </row>
    <row r="3716" spans="15:15" x14ac:dyDescent="0.25">
      <c r="O3716" s="21"/>
    </row>
    <row r="3717" spans="15:15" x14ac:dyDescent="0.25">
      <c r="O3717" s="21"/>
    </row>
    <row r="3718" spans="15:15" x14ac:dyDescent="0.25">
      <c r="O3718" s="21"/>
    </row>
    <row r="3719" spans="15:15" x14ac:dyDescent="0.25">
      <c r="O3719" s="21"/>
    </row>
    <row r="3720" spans="15:15" x14ac:dyDescent="0.25">
      <c r="O3720" s="21"/>
    </row>
    <row r="3721" spans="15:15" x14ac:dyDescent="0.25">
      <c r="O3721" s="21"/>
    </row>
    <row r="3722" spans="15:15" x14ac:dyDescent="0.25">
      <c r="O3722" s="21"/>
    </row>
    <row r="3723" spans="15:15" x14ac:dyDescent="0.25">
      <c r="O3723" s="21"/>
    </row>
    <row r="3724" spans="15:15" x14ac:dyDescent="0.25">
      <c r="O3724" s="21"/>
    </row>
    <row r="3725" spans="15:15" x14ac:dyDescent="0.25">
      <c r="O3725" s="21"/>
    </row>
    <row r="3726" spans="15:15" x14ac:dyDescent="0.25">
      <c r="O3726" s="21"/>
    </row>
    <row r="3727" spans="15:15" x14ac:dyDescent="0.25">
      <c r="O3727" s="21"/>
    </row>
    <row r="3728" spans="15:15" x14ac:dyDescent="0.25">
      <c r="O3728" s="21"/>
    </row>
    <row r="3729" spans="15:15" x14ac:dyDescent="0.25">
      <c r="O3729" s="21"/>
    </row>
    <row r="3730" spans="15:15" x14ac:dyDescent="0.25">
      <c r="O3730" s="21"/>
    </row>
    <row r="3731" spans="15:15" x14ac:dyDescent="0.25">
      <c r="O3731" s="21"/>
    </row>
    <row r="3732" spans="15:15" x14ac:dyDescent="0.25">
      <c r="O3732" s="21"/>
    </row>
    <row r="3733" spans="15:15" x14ac:dyDescent="0.25">
      <c r="O3733" s="21"/>
    </row>
    <row r="3734" spans="15:15" x14ac:dyDescent="0.25">
      <c r="O3734" s="21"/>
    </row>
    <row r="3735" spans="15:15" x14ac:dyDescent="0.25">
      <c r="O3735" s="21"/>
    </row>
    <row r="3736" spans="15:15" x14ac:dyDescent="0.25">
      <c r="O3736" s="21"/>
    </row>
    <row r="3737" spans="15:15" x14ac:dyDescent="0.25">
      <c r="O3737" s="21"/>
    </row>
    <row r="3738" spans="15:15" x14ac:dyDescent="0.25">
      <c r="O3738" s="21"/>
    </row>
    <row r="3739" spans="15:15" x14ac:dyDescent="0.25">
      <c r="O3739" s="21"/>
    </row>
    <row r="3740" spans="15:15" x14ac:dyDescent="0.25">
      <c r="O3740" s="21"/>
    </row>
    <row r="3741" spans="15:15" x14ac:dyDescent="0.25">
      <c r="O3741" s="21"/>
    </row>
    <row r="3742" spans="15:15" x14ac:dyDescent="0.25">
      <c r="O3742" s="21"/>
    </row>
    <row r="3743" spans="15:15" x14ac:dyDescent="0.25">
      <c r="O3743" s="21"/>
    </row>
    <row r="3744" spans="15:15" x14ac:dyDescent="0.25">
      <c r="O3744" s="21"/>
    </row>
    <row r="3745" spans="15:15" x14ac:dyDescent="0.25">
      <c r="O3745" s="21"/>
    </row>
    <row r="3746" spans="15:15" x14ac:dyDescent="0.25">
      <c r="O3746" s="21"/>
    </row>
    <row r="3747" spans="15:15" x14ac:dyDescent="0.25">
      <c r="O3747" s="21"/>
    </row>
    <row r="3748" spans="15:15" x14ac:dyDescent="0.25">
      <c r="O3748" s="21"/>
    </row>
    <row r="3749" spans="15:15" x14ac:dyDescent="0.25">
      <c r="O3749" s="21"/>
    </row>
    <row r="3750" spans="15:15" x14ac:dyDescent="0.25">
      <c r="O3750" s="21"/>
    </row>
    <row r="3751" spans="15:15" x14ac:dyDescent="0.25">
      <c r="O3751" s="21"/>
    </row>
    <row r="3752" spans="15:15" x14ac:dyDescent="0.25">
      <c r="O3752" s="21"/>
    </row>
    <row r="3753" spans="15:15" x14ac:dyDescent="0.25">
      <c r="O3753" s="21"/>
    </row>
    <row r="3754" spans="15:15" x14ac:dyDescent="0.25">
      <c r="O3754" s="21"/>
    </row>
    <row r="3755" spans="15:15" x14ac:dyDescent="0.25">
      <c r="O3755" s="21"/>
    </row>
    <row r="3756" spans="15:15" x14ac:dyDescent="0.25">
      <c r="O3756" s="21"/>
    </row>
    <row r="3757" spans="15:15" x14ac:dyDescent="0.25">
      <c r="O3757" s="21"/>
    </row>
    <row r="3758" spans="15:15" x14ac:dyDescent="0.25">
      <c r="O3758" s="21"/>
    </row>
    <row r="3759" spans="15:15" x14ac:dyDescent="0.25">
      <c r="O3759" s="21"/>
    </row>
    <row r="3760" spans="15:15" x14ac:dyDescent="0.25">
      <c r="O3760" s="21"/>
    </row>
    <row r="3761" spans="15:15" x14ac:dyDescent="0.25">
      <c r="O3761" s="21"/>
    </row>
    <row r="3762" spans="15:15" x14ac:dyDescent="0.25">
      <c r="O3762" s="21"/>
    </row>
    <row r="3763" spans="15:15" x14ac:dyDescent="0.25">
      <c r="O3763" s="21"/>
    </row>
    <row r="3764" spans="15:15" x14ac:dyDescent="0.25">
      <c r="O3764" s="21"/>
    </row>
    <row r="3765" spans="15:15" x14ac:dyDescent="0.25">
      <c r="O3765" s="21"/>
    </row>
    <row r="3766" spans="15:15" x14ac:dyDescent="0.25">
      <c r="O3766" s="21"/>
    </row>
    <row r="3767" spans="15:15" x14ac:dyDescent="0.25">
      <c r="O3767" s="21"/>
    </row>
    <row r="3768" spans="15:15" x14ac:dyDescent="0.25">
      <c r="O3768" s="21"/>
    </row>
    <row r="3769" spans="15:15" x14ac:dyDescent="0.25">
      <c r="O3769" s="21"/>
    </row>
    <row r="3770" spans="15:15" x14ac:dyDescent="0.25">
      <c r="O3770" s="21"/>
    </row>
    <row r="3771" spans="15:15" x14ac:dyDescent="0.25">
      <c r="O3771" s="21"/>
    </row>
    <row r="3772" spans="15:15" x14ac:dyDescent="0.25">
      <c r="O3772" s="21"/>
    </row>
    <row r="3773" spans="15:15" x14ac:dyDescent="0.25">
      <c r="O3773" s="21"/>
    </row>
    <row r="3774" spans="15:15" x14ac:dyDescent="0.25">
      <c r="O3774" s="21"/>
    </row>
    <row r="3775" spans="15:15" x14ac:dyDescent="0.25">
      <c r="O3775" s="21"/>
    </row>
    <row r="3776" spans="15:15" x14ac:dyDescent="0.25">
      <c r="O3776" s="21"/>
    </row>
    <row r="3777" spans="15:15" x14ac:dyDescent="0.25">
      <c r="O3777" s="21"/>
    </row>
    <row r="3778" spans="15:15" x14ac:dyDescent="0.25">
      <c r="O3778" s="21"/>
    </row>
    <row r="3779" spans="15:15" x14ac:dyDescent="0.25">
      <c r="O3779" s="21"/>
    </row>
    <row r="3780" spans="15:15" x14ac:dyDescent="0.25">
      <c r="O3780" s="21"/>
    </row>
    <row r="3781" spans="15:15" x14ac:dyDescent="0.25">
      <c r="O3781" s="21"/>
    </row>
    <row r="3782" spans="15:15" x14ac:dyDescent="0.25">
      <c r="O3782" s="21"/>
    </row>
    <row r="3783" spans="15:15" x14ac:dyDescent="0.25">
      <c r="O3783" s="21"/>
    </row>
    <row r="3784" spans="15:15" x14ac:dyDescent="0.25">
      <c r="O3784" s="21"/>
    </row>
    <row r="3785" spans="15:15" x14ac:dyDescent="0.25">
      <c r="O3785" s="21"/>
    </row>
    <row r="3786" spans="15:15" x14ac:dyDescent="0.25">
      <c r="O3786" s="21"/>
    </row>
    <row r="3787" spans="15:15" x14ac:dyDescent="0.25">
      <c r="O3787" s="21"/>
    </row>
    <row r="3788" spans="15:15" x14ac:dyDescent="0.25">
      <c r="O3788" s="21"/>
    </row>
    <row r="3789" spans="15:15" x14ac:dyDescent="0.25">
      <c r="O3789" s="21"/>
    </row>
    <row r="3790" spans="15:15" x14ac:dyDescent="0.25">
      <c r="O3790" s="21"/>
    </row>
    <row r="3791" spans="15:15" x14ac:dyDescent="0.25">
      <c r="O3791" s="21"/>
    </row>
    <row r="3792" spans="15:15" x14ac:dyDescent="0.25">
      <c r="O3792" s="21"/>
    </row>
    <row r="3793" spans="15:15" x14ac:dyDescent="0.25">
      <c r="O3793" s="21"/>
    </row>
    <row r="3794" spans="15:15" x14ac:dyDescent="0.25">
      <c r="O3794" s="21"/>
    </row>
    <row r="3795" spans="15:15" x14ac:dyDescent="0.25">
      <c r="O3795" s="21"/>
    </row>
    <row r="3796" spans="15:15" x14ac:dyDescent="0.25">
      <c r="O3796" s="21"/>
    </row>
    <row r="3797" spans="15:15" x14ac:dyDescent="0.25">
      <c r="O3797" s="21"/>
    </row>
    <row r="3798" spans="15:15" x14ac:dyDescent="0.25">
      <c r="O3798" s="21"/>
    </row>
    <row r="3799" spans="15:15" x14ac:dyDescent="0.25">
      <c r="O3799" s="21"/>
    </row>
    <row r="3800" spans="15:15" x14ac:dyDescent="0.25">
      <c r="O3800" s="21"/>
    </row>
    <row r="3801" spans="15:15" x14ac:dyDescent="0.25">
      <c r="O3801" s="21"/>
    </row>
    <row r="3802" spans="15:15" x14ac:dyDescent="0.25">
      <c r="O3802" s="21"/>
    </row>
    <row r="3803" spans="15:15" x14ac:dyDescent="0.25">
      <c r="O3803" s="21"/>
    </row>
    <row r="3804" spans="15:15" x14ac:dyDescent="0.25">
      <c r="O3804" s="21"/>
    </row>
    <row r="3805" spans="15:15" x14ac:dyDescent="0.25">
      <c r="O3805" s="21"/>
    </row>
    <row r="3806" spans="15:15" x14ac:dyDescent="0.25">
      <c r="O3806" s="21"/>
    </row>
    <row r="3807" spans="15:15" x14ac:dyDescent="0.25">
      <c r="O3807" s="21"/>
    </row>
    <row r="3808" spans="15:15" x14ac:dyDescent="0.25">
      <c r="O3808" s="21"/>
    </row>
    <row r="3809" spans="15:15" x14ac:dyDescent="0.25">
      <c r="O3809" s="21"/>
    </row>
    <row r="3810" spans="15:15" x14ac:dyDescent="0.25">
      <c r="O3810" s="21"/>
    </row>
    <row r="3811" spans="15:15" x14ac:dyDescent="0.25">
      <c r="O3811" s="21"/>
    </row>
    <row r="3812" spans="15:15" x14ac:dyDescent="0.25">
      <c r="O3812" s="21"/>
    </row>
    <row r="3813" spans="15:15" x14ac:dyDescent="0.25">
      <c r="O3813" s="21"/>
    </row>
    <row r="3814" spans="15:15" x14ac:dyDescent="0.25">
      <c r="O3814" s="21"/>
    </row>
    <row r="3815" spans="15:15" x14ac:dyDescent="0.25">
      <c r="O3815" s="21"/>
    </row>
    <row r="3816" spans="15:15" x14ac:dyDescent="0.25">
      <c r="O3816" s="21"/>
    </row>
    <row r="3817" spans="15:15" x14ac:dyDescent="0.25">
      <c r="O3817" s="21"/>
    </row>
    <row r="3818" spans="15:15" x14ac:dyDescent="0.25">
      <c r="O3818" s="21"/>
    </row>
    <row r="3819" spans="15:15" x14ac:dyDescent="0.25">
      <c r="O3819" s="21"/>
    </row>
    <row r="3820" spans="15:15" x14ac:dyDescent="0.25">
      <c r="O3820" s="21"/>
    </row>
    <row r="3821" spans="15:15" x14ac:dyDescent="0.25">
      <c r="O3821" s="21"/>
    </row>
    <row r="3822" spans="15:15" x14ac:dyDescent="0.25">
      <c r="O3822" s="21"/>
    </row>
    <row r="3823" spans="15:15" x14ac:dyDescent="0.25">
      <c r="O3823" s="21"/>
    </row>
    <row r="3824" spans="15:15" x14ac:dyDescent="0.25">
      <c r="O3824" s="21"/>
    </row>
    <row r="3825" spans="15:15" x14ac:dyDescent="0.25">
      <c r="O3825" s="21"/>
    </row>
    <row r="3826" spans="15:15" x14ac:dyDescent="0.25">
      <c r="O3826" s="21"/>
    </row>
    <row r="3827" spans="15:15" x14ac:dyDescent="0.25">
      <c r="O3827" s="21"/>
    </row>
    <row r="3828" spans="15:15" x14ac:dyDescent="0.25">
      <c r="O3828" s="21"/>
    </row>
    <row r="3829" spans="15:15" x14ac:dyDescent="0.25">
      <c r="O3829" s="21"/>
    </row>
    <row r="3830" spans="15:15" x14ac:dyDescent="0.25">
      <c r="O3830" s="21"/>
    </row>
    <row r="3831" spans="15:15" x14ac:dyDescent="0.25">
      <c r="O3831" s="21"/>
    </row>
    <row r="3832" spans="15:15" x14ac:dyDescent="0.25">
      <c r="O3832" s="21"/>
    </row>
    <row r="3833" spans="15:15" x14ac:dyDescent="0.25">
      <c r="O3833" s="21"/>
    </row>
    <row r="3834" spans="15:15" x14ac:dyDescent="0.25">
      <c r="O3834" s="21"/>
    </row>
    <row r="3835" spans="15:15" x14ac:dyDescent="0.25">
      <c r="O3835" s="21"/>
    </row>
    <row r="3836" spans="15:15" x14ac:dyDescent="0.25">
      <c r="O3836" s="21"/>
    </row>
    <row r="3837" spans="15:15" x14ac:dyDescent="0.25">
      <c r="O3837" s="21"/>
    </row>
    <row r="3838" spans="15:15" x14ac:dyDescent="0.25">
      <c r="O3838" s="21"/>
    </row>
    <row r="3839" spans="15:15" x14ac:dyDescent="0.25">
      <c r="O3839" s="21"/>
    </row>
    <row r="3840" spans="15:15" x14ac:dyDescent="0.25">
      <c r="O3840" s="21"/>
    </row>
    <row r="3841" spans="15:15" x14ac:dyDescent="0.25">
      <c r="O3841" s="21"/>
    </row>
    <row r="3842" spans="15:15" x14ac:dyDescent="0.25">
      <c r="O3842" s="21"/>
    </row>
    <row r="3843" spans="15:15" x14ac:dyDescent="0.25">
      <c r="O3843" s="21"/>
    </row>
    <row r="3844" spans="15:15" x14ac:dyDescent="0.25">
      <c r="O3844" s="21"/>
    </row>
    <row r="3845" spans="15:15" x14ac:dyDescent="0.25">
      <c r="O3845" s="21"/>
    </row>
    <row r="3846" spans="15:15" x14ac:dyDescent="0.25">
      <c r="O3846" s="21"/>
    </row>
    <row r="3847" spans="15:15" x14ac:dyDescent="0.25">
      <c r="O3847" s="21"/>
    </row>
    <row r="3848" spans="15:15" x14ac:dyDescent="0.25">
      <c r="O3848" s="21"/>
    </row>
    <row r="3849" spans="15:15" x14ac:dyDescent="0.25">
      <c r="O3849" s="21"/>
    </row>
    <row r="3850" spans="15:15" x14ac:dyDescent="0.25">
      <c r="O3850" s="21"/>
    </row>
    <row r="3851" spans="15:15" x14ac:dyDescent="0.25">
      <c r="O3851" s="21"/>
    </row>
    <row r="3852" spans="15:15" x14ac:dyDescent="0.25">
      <c r="O3852" s="21"/>
    </row>
    <row r="3853" spans="15:15" x14ac:dyDescent="0.25">
      <c r="O3853" s="21"/>
    </row>
    <row r="3854" spans="15:15" x14ac:dyDescent="0.25">
      <c r="O3854" s="21"/>
    </row>
    <row r="3855" spans="15:15" x14ac:dyDescent="0.25">
      <c r="O3855" s="21"/>
    </row>
    <row r="3856" spans="15:15" x14ac:dyDescent="0.25">
      <c r="O3856" s="21"/>
    </row>
    <row r="3857" spans="15:15" x14ac:dyDescent="0.25">
      <c r="O3857" s="21"/>
    </row>
    <row r="3858" spans="15:15" x14ac:dyDescent="0.25">
      <c r="O3858" s="21"/>
    </row>
    <row r="3859" spans="15:15" x14ac:dyDescent="0.25">
      <c r="O3859" s="21"/>
    </row>
    <row r="3860" spans="15:15" x14ac:dyDescent="0.25">
      <c r="O3860" s="21"/>
    </row>
    <row r="3861" spans="15:15" x14ac:dyDescent="0.25">
      <c r="O3861" s="21"/>
    </row>
    <row r="3862" spans="15:15" x14ac:dyDescent="0.25">
      <c r="O3862" s="21"/>
    </row>
    <row r="3863" spans="15:15" x14ac:dyDescent="0.25">
      <c r="O3863" s="21"/>
    </row>
    <row r="3864" spans="15:15" x14ac:dyDescent="0.25">
      <c r="O3864" s="21"/>
    </row>
    <row r="3865" spans="15:15" x14ac:dyDescent="0.25">
      <c r="O3865" s="21"/>
    </row>
    <row r="3866" spans="15:15" x14ac:dyDescent="0.25">
      <c r="O3866" s="21"/>
    </row>
    <row r="3867" spans="15:15" x14ac:dyDescent="0.25">
      <c r="O3867" s="21"/>
    </row>
    <row r="3868" spans="15:15" x14ac:dyDescent="0.25">
      <c r="O3868" s="21"/>
    </row>
    <row r="3869" spans="15:15" x14ac:dyDescent="0.25">
      <c r="O3869" s="21"/>
    </row>
    <row r="3870" spans="15:15" x14ac:dyDescent="0.25">
      <c r="O3870" s="21"/>
    </row>
    <row r="3871" spans="15:15" x14ac:dyDescent="0.25">
      <c r="O3871" s="21"/>
    </row>
    <row r="3872" spans="15:15" x14ac:dyDescent="0.25">
      <c r="O3872" s="21"/>
    </row>
    <row r="3873" spans="15:15" x14ac:dyDescent="0.25">
      <c r="O3873" s="21"/>
    </row>
    <row r="3874" spans="15:15" x14ac:dyDescent="0.25">
      <c r="O3874" s="21"/>
    </row>
    <row r="3875" spans="15:15" x14ac:dyDescent="0.25">
      <c r="O3875" s="21"/>
    </row>
    <row r="3876" spans="15:15" x14ac:dyDescent="0.25">
      <c r="O3876" s="21"/>
    </row>
    <row r="3877" spans="15:15" x14ac:dyDescent="0.25">
      <c r="O3877" s="21"/>
    </row>
    <row r="3878" spans="15:15" x14ac:dyDescent="0.25">
      <c r="O3878" s="21"/>
    </row>
    <row r="3879" spans="15:15" x14ac:dyDescent="0.25">
      <c r="O3879" s="21"/>
    </row>
    <row r="3880" spans="15:15" x14ac:dyDescent="0.25">
      <c r="O3880" s="21"/>
    </row>
    <row r="3881" spans="15:15" x14ac:dyDescent="0.25">
      <c r="O3881" s="21"/>
    </row>
    <row r="3882" spans="15:15" x14ac:dyDescent="0.25">
      <c r="O3882" s="21"/>
    </row>
    <row r="3883" spans="15:15" x14ac:dyDescent="0.25">
      <c r="O3883" s="21"/>
    </row>
    <row r="3884" spans="15:15" x14ac:dyDescent="0.25">
      <c r="O3884" s="21"/>
    </row>
    <row r="3885" spans="15:15" x14ac:dyDescent="0.25">
      <c r="O3885" s="21"/>
    </row>
    <row r="3886" spans="15:15" x14ac:dyDescent="0.25">
      <c r="O3886" s="21"/>
    </row>
    <row r="3887" spans="15:15" x14ac:dyDescent="0.25">
      <c r="O3887" s="21"/>
    </row>
    <row r="3888" spans="15:15" x14ac:dyDescent="0.25">
      <c r="O3888" s="21"/>
    </row>
    <row r="3889" spans="15:15" x14ac:dyDescent="0.25">
      <c r="O3889" s="21"/>
    </row>
    <row r="3890" spans="15:15" x14ac:dyDescent="0.25">
      <c r="O3890" s="21"/>
    </row>
    <row r="3891" spans="15:15" x14ac:dyDescent="0.25">
      <c r="O3891" s="21"/>
    </row>
    <row r="3892" spans="15:15" x14ac:dyDescent="0.25">
      <c r="O3892" s="21"/>
    </row>
    <row r="3893" spans="15:15" x14ac:dyDescent="0.25">
      <c r="O3893" s="21"/>
    </row>
    <row r="3894" spans="15:15" x14ac:dyDescent="0.25">
      <c r="O3894" s="21"/>
    </row>
    <row r="3895" spans="15:15" x14ac:dyDescent="0.25">
      <c r="O3895" s="21"/>
    </row>
    <row r="3896" spans="15:15" x14ac:dyDescent="0.25">
      <c r="O3896" s="21"/>
    </row>
    <row r="3897" spans="15:15" x14ac:dyDescent="0.25">
      <c r="O3897" s="21"/>
    </row>
    <row r="3898" spans="15:15" x14ac:dyDescent="0.25">
      <c r="O3898" s="21"/>
    </row>
    <row r="3899" spans="15:15" x14ac:dyDescent="0.25">
      <c r="O3899" s="21"/>
    </row>
    <row r="3900" spans="15:15" x14ac:dyDescent="0.25">
      <c r="O3900" s="21"/>
    </row>
    <row r="3901" spans="15:15" x14ac:dyDescent="0.25">
      <c r="O3901" s="21"/>
    </row>
    <row r="3902" spans="15:15" x14ac:dyDescent="0.25">
      <c r="O3902" s="21"/>
    </row>
    <row r="3903" spans="15:15" x14ac:dyDescent="0.25">
      <c r="O3903" s="21"/>
    </row>
    <row r="3904" spans="15:15" x14ac:dyDescent="0.25">
      <c r="O3904" s="21"/>
    </row>
    <row r="3905" spans="15:15" x14ac:dyDescent="0.25">
      <c r="O3905" s="21"/>
    </row>
    <row r="3906" spans="15:15" x14ac:dyDescent="0.25">
      <c r="O3906" s="21"/>
    </row>
    <row r="3907" spans="15:15" x14ac:dyDescent="0.25">
      <c r="O3907" s="21"/>
    </row>
    <row r="3908" spans="15:15" x14ac:dyDescent="0.25">
      <c r="O3908" s="21"/>
    </row>
    <row r="3909" spans="15:15" x14ac:dyDescent="0.25">
      <c r="O3909" s="21"/>
    </row>
    <row r="3910" spans="15:15" x14ac:dyDescent="0.25">
      <c r="O3910" s="21"/>
    </row>
    <row r="3911" spans="15:15" x14ac:dyDescent="0.25">
      <c r="O3911" s="21"/>
    </row>
    <row r="3912" spans="15:15" x14ac:dyDescent="0.25">
      <c r="O3912" s="21"/>
    </row>
    <row r="3913" spans="15:15" x14ac:dyDescent="0.25">
      <c r="O3913" s="21"/>
    </row>
    <row r="3914" spans="15:15" x14ac:dyDescent="0.25">
      <c r="O3914" s="21"/>
    </row>
    <row r="3915" spans="15:15" x14ac:dyDescent="0.25">
      <c r="O3915" s="21"/>
    </row>
    <row r="3916" spans="15:15" x14ac:dyDescent="0.25">
      <c r="O3916" s="21"/>
    </row>
    <row r="3917" spans="15:15" x14ac:dyDescent="0.25">
      <c r="O3917" s="21"/>
    </row>
    <row r="3918" spans="15:15" x14ac:dyDescent="0.25">
      <c r="O3918" s="21"/>
    </row>
    <row r="3919" spans="15:15" x14ac:dyDescent="0.25">
      <c r="O3919" s="21"/>
    </row>
    <row r="3920" spans="15:15" x14ac:dyDescent="0.25">
      <c r="O3920" s="21"/>
    </row>
    <row r="3921" spans="15:15" x14ac:dyDescent="0.25">
      <c r="O3921" s="21"/>
    </row>
    <row r="3922" spans="15:15" x14ac:dyDescent="0.25">
      <c r="O3922" s="21"/>
    </row>
    <row r="3923" spans="15:15" x14ac:dyDescent="0.25">
      <c r="O3923" s="21"/>
    </row>
    <row r="3924" spans="15:15" x14ac:dyDescent="0.25">
      <c r="O3924" s="21"/>
    </row>
    <row r="3925" spans="15:15" x14ac:dyDescent="0.25">
      <c r="O3925" s="21"/>
    </row>
    <row r="3926" spans="15:15" x14ac:dyDescent="0.25">
      <c r="O3926" s="21"/>
    </row>
    <row r="3927" spans="15:15" x14ac:dyDescent="0.25">
      <c r="O3927" s="21"/>
    </row>
    <row r="3928" spans="15:15" x14ac:dyDescent="0.25">
      <c r="O3928" s="21"/>
    </row>
    <row r="3929" spans="15:15" x14ac:dyDescent="0.25">
      <c r="O3929" s="21"/>
    </row>
    <row r="3930" spans="15:15" x14ac:dyDescent="0.25">
      <c r="O3930" s="21"/>
    </row>
    <row r="3931" spans="15:15" x14ac:dyDescent="0.25">
      <c r="O3931" s="21"/>
    </row>
    <row r="3932" spans="15:15" x14ac:dyDescent="0.25">
      <c r="O3932" s="21"/>
    </row>
    <row r="3933" spans="15:15" x14ac:dyDescent="0.25">
      <c r="O3933" s="21"/>
    </row>
    <row r="3934" spans="15:15" x14ac:dyDescent="0.25">
      <c r="O3934" s="21"/>
    </row>
    <row r="3935" spans="15:15" x14ac:dyDescent="0.25">
      <c r="O3935" s="21"/>
    </row>
    <row r="3936" spans="15:15" x14ac:dyDescent="0.25">
      <c r="O3936" s="21"/>
    </row>
    <row r="3937" spans="15:15" x14ac:dyDescent="0.25">
      <c r="O3937" s="21"/>
    </row>
    <row r="3938" spans="15:15" x14ac:dyDescent="0.25">
      <c r="O3938" s="21"/>
    </row>
    <row r="3939" spans="15:15" x14ac:dyDescent="0.25">
      <c r="O3939" s="21"/>
    </row>
    <row r="3940" spans="15:15" x14ac:dyDescent="0.25">
      <c r="O3940" s="21"/>
    </row>
    <row r="3941" spans="15:15" x14ac:dyDescent="0.25">
      <c r="O3941" s="21"/>
    </row>
    <row r="3942" spans="15:15" x14ac:dyDescent="0.25">
      <c r="O3942" s="21"/>
    </row>
    <row r="3943" spans="15:15" x14ac:dyDescent="0.25">
      <c r="O3943" s="21"/>
    </row>
    <row r="3944" spans="15:15" x14ac:dyDescent="0.25">
      <c r="O3944" s="21"/>
    </row>
    <row r="3945" spans="15:15" x14ac:dyDescent="0.25">
      <c r="O3945" s="21"/>
    </row>
    <row r="3946" spans="15:15" x14ac:dyDescent="0.25">
      <c r="O3946" s="21"/>
    </row>
    <row r="3947" spans="15:15" x14ac:dyDescent="0.25">
      <c r="O3947" s="21"/>
    </row>
    <row r="3948" spans="15:15" x14ac:dyDescent="0.25">
      <c r="O3948" s="21"/>
    </row>
    <row r="3949" spans="15:15" x14ac:dyDescent="0.25">
      <c r="O3949" s="21"/>
    </row>
    <row r="3950" spans="15:15" x14ac:dyDescent="0.25">
      <c r="O3950" s="21"/>
    </row>
    <row r="3951" spans="15:15" x14ac:dyDescent="0.25">
      <c r="O3951" s="21"/>
    </row>
    <row r="3952" spans="15:15" x14ac:dyDescent="0.25">
      <c r="O3952" s="21"/>
    </row>
    <row r="3953" spans="15:15" x14ac:dyDescent="0.25">
      <c r="O3953" s="21"/>
    </row>
    <row r="3954" spans="15:15" x14ac:dyDescent="0.25">
      <c r="O3954" s="21"/>
    </row>
    <row r="3955" spans="15:15" x14ac:dyDescent="0.25">
      <c r="O3955" s="21"/>
    </row>
    <row r="3956" spans="15:15" x14ac:dyDescent="0.25">
      <c r="O3956" s="21"/>
    </row>
    <row r="3957" spans="15:15" x14ac:dyDescent="0.25">
      <c r="O3957" s="21"/>
    </row>
    <row r="3958" spans="15:15" x14ac:dyDescent="0.25">
      <c r="O3958" s="21"/>
    </row>
    <row r="3959" spans="15:15" x14ac:dyDescent="0.25">
      <c r="O3959" s="21"/>
    </row>
    <row r="3960" spans="15:15" x14ac:dyDescent="0.25">
      <c r="O3960" s="21"/>
    </row>
    <row r="3961" spans="15:15" x14ac:dyDescent="0.25">
      <c r="O3961" s="21"/>
    </row>
    <row r="3962" spans="15:15" x14ac:dyDescent="0.25">
      <c r="O3962" s="21"/>
    </row>
    <row r="3963" spans="15:15" x14ac:dyDescent="0.25">
      <c r="O3963" s="21"/>
    </row>
    <row r="3964" spans="15:15" x14ac:dyDescent="0.25">
      <c r="O3964" s="21"/>
    </row>
    <row r="3965" spans="15:15" x14ac:dyDescent="0.25">
      <c r="O3965" s="21"/>
    </row>
    <row r="3966" spans="15:15" x14ac:dyDescent="0.25">
      <c r="O3966" s="21"/>
    </row>
    <row r="3967" spans="15:15" x14ac:dyDescent="0.25">
      <c r="O3967" s="21"/>
    </row>
    <row r="3968" spans="15:15" x14ac:dyDescent="0.25">
      <c r="O3968" s="21"/>
    </row>
    <row r="3969" spans="15:15" x14ac:dyDescent="0.25">
      <c r="O3969" s="21"/>
    </row>
    <row r="3970" spans="15:15" x14ac:dyDescent="0.25">
      <c r="O3970" s="21"/>
    </row>
    <row r="3971" spans="15:15" x14ac:dyDescent="0.25">
      <c r="O3971" s="21"/>
    </row>
    <row r="3972" spans="15:15" x14ac:dyDescent="0.25">
      <c r="O3972" s="21"/>
    </row>
    <row r="3973" spans="15:15" x14ac:dyDescent="0.25">
      <c r="O3973" s="21"/>
    </row>
    <row r="3974" spans="15:15" x14ac:dyDescent="0.25">
      <c r="O3974" s="21"/>
    </row>
    <row r="3975" spans="15:15" x14ac:dyDescent="0.25">
      <c r="O3975" s="21"/>
    </row>
    <row r="3976" spans="15:15" x14ac:dyDescent="0.25">
      <c r="O3976" s="21"/>
    </row>
    <row r="3977" spans="15:15" x14ac:dyDescent="0.25">
      <c r="O3977" s="21"/>
    </row>
    <row r="3978" spans="15:15" x14ac:dyDescent="0.25">
      <c r="O3978" s="21"/>
    </row>
    <row r="3979" spans="15:15" x14ac:dyDescent="0.25">
      <c r="O3979" s="21"/>
    </row>
    <row r="3980" spans="15:15" x14ac:dyDescent="0.25">
      <c r="O3980" s="21"/>
    </row>
    <row r="3981" spans="15:15" x14ac:dyDescent="0.25">
      <c r="O3981" s="21"/>
    </row>
    <row r="3982" spans="15:15" x14ac:dyDescent="0.25">
      <c r="O3982" s="21"/>
    </row>
    <row r="3983" spans="15:15" x14ac:dyDescent="0.25">
      <c r="O3983" s="21"/>
    </row>
    <row r="3984" spans="15:15" x14ac:dyDescent="0.25">
      <c r="O3984" s="21"/>
    </row>
    <row r="3985" spans="15:15" x14ac:dyDescent="0.25">
      <c r="O3985" s="21"/>
    </row>
    <row r="3986" spans="15:15" x14ac:dyDescent="0.25">
      <c r="O3986" s="21"/>
    </row>
    <row r="3987" spans="15:15" x14ac:dyDescent="0.25">
      <c r="O3987" s="21"/>
    </row>
    <row r="3988" spans="15:15" x14ac:dyDescent="0.25">
      <c r="O3988" s="21"/>
    </row>
    <row r="3989" spans="15:15" x14ac:dyDescent="0.25">
      <c r="O3989" s="21"/>
    </row>
    <row r="3990" spans="15:15" x14ac:dyDescent="0.25">
      <c r="O3990" s="21"/>
    </row>
    <row r="3991" spans="15:15" x14ac:dyDescent="0.25">
      <c r="O3991" s="21"/>
    </row>
    <row r="3992" spans="15:15" x14ac:dyDescent="0.25">
      <c r="O3992" s="21"/>
    </row>
    <row r="3993" spans="15:15" x14ac:dyDescent="0.25">
      <c r="O3993" s="21"/>
    </row>
    <row r="3994" spans="15:15" x14ac:dyDescent="0.25">
      <c r="O3994" s="21"/>
    </row>
    <row r="3995" spans="15:15" x14ac:dyDescent="0.25">
      <c r="O3995" s="21"/>
    </row>
    <row r="3996" spans="15:15" x14ac:dyDescent="0.25">
      <c r="O3996" s="21"/>
    </row>
    <row r="3997" spans="15:15" x14ac:dyDescent="0.25">
      <c r="O3997" s="21"/>
    </row>
    <row r="3998" spans="15:15" x14ac:dyDescent="0.25">
      <c r="O3998" s="21"/>
    </row>
    <row r="3999" spans="15:15" x14ac:dyDescent="0.25">
      <c r="O3999" s="21"/>
    </row>
    <row r="4000" spans="15:15" x14ac:dyDescent="0.25">
      <c r="O4000" s="21"/>
    </row>
    <row r="4001" spans="15:15" x14ac:dyDescent="0.25">
      <c r="O4001" s="21"/>
    </row>
    <row r="4002" spans="15:15" x14ac:dyDescent="0.25">
      <c r="O4002" s="21"/>
    </row>
    <row r="4003" spans="15:15" x14ac:dyDescent="0.25">
      <c r="O4003" s="21"/>
    </row>
    <row r="4004" spans="15:15" x14ac:dyDescent="0.25">
      <c r="O4004" s="21"/>
    </row>
    <row r="4005" spans="15:15" x14ac:dyDescent="0.25">
      <c r="O4005" s="21"/>
    </row>
    <row r="4006" spans="15:15" x14ac:dyDescent="0.25">
      <c r="O4006" s="21"/>
    </row>
    <row r="4007" spans="15:15" x14ac:dyDescent="0.25">
      <c r="O4007" s="21"/>
    </row>
    <row r="4008" spans="15:15" x14ac:dyDescent="0.25">
      <c r="O4008" s="21"/>
    </row>
    <row r="4009" spans="15:15" x14ac:dyDescent="0.25">
      <c r="O4009" s="21"/>
    </row>
    <row r="4010" spans="15:15" x14ac:dyDescent="0.25">
      <c r="O4010" s="21"/>
    </row>
    <row r="4011" spans="15:15" x14ac:dyDescent="0.25">
      <c r="O4011" s="21"/>
    </row>
    <row r="4012" spans="15:15" x14ac:dyDescent="0.25">
      <c r="O4012" s="21"/>
    </row>
    <row r="4013" spans="15:15" x14ac:dyDescent="0.25">
      <c r="O4013" s="21"/>
    </row>
    <row r="4014" spans="15:15" x14ac:dyDescent="0.25">
      <c r="O4014" s="21"/>
    </row>
    <row r="4015" spans="15:15" x14ac:dyDescent="0.25">
      <c r="O4015" s="21"/>
    </row>
    <row r="4016" spans="15:15" x14ac:dyDescent="0.25">
      <c r="O4016" s="21"/>
    </row>
    <row r="4017" spans="15:15" x14ac:dyDescent="0.25">
      <c r="O4017" s="21"/>
    </row>
    <row r="4018" spans="15:15" x14ac:dyDescent="0.25">
      <c r="O4018" s="21"/>
    </row>
    <row r="4019" spans="15:15" x14ac:dyDescent="0.25">
      <c r="O4019" s="21"/>
    </row>
    <row r="4020" spans="15:15" x14ac:dyDescent="0.25">
      <c r="O4020" s="21"/>
    </row>
    <row r="4021" spans="15:15" x14ac:dyDescent="0.25">
      <c r="O4021" s="21"/>
    </row>
    <row r="4022" spans="15:15" x14ac:dyDescent="0.25">
      <c r="O4022" s="21"/>
    </row>
    <row r="4023" spans="15:15" x14ac:dyDescent="0.25">
      <c r="O4023" s="21"/>
    </row>
    <row r="4024" spans="15:15" x14ac:dyDescent="0.25">
      <c r="O4024" s="21"/>
    </row>
    <row r="4025" spans="15:15" x14ac:dyDescent="0.25">
      <c r="O4025" s="21"/>
    </row>
    <row r="4026" spans="15:15" x14ac:dyDescent="0.25">
      <c r="O4026" s="21"/>
    </row>
    <row r="4027" spans="15:15" x14ac:dyDescent="0.25">
      <c r="O4027" s="21"/>
    </row>
    <row r="4028" spans="15:15" x14ac:dyDescent="0.25">
      <c r="O4028" s="21"/>
    </row>
    <row r="4029" spans="15:15" x14ac:dyDescent="0.25">
      <c r="O4029" s="21"/>
    </row>
    <row r="4030" spans="15:15" x14ac:dyDescent="0.25">
      <c r="O4030" s="21"/>
    </row>
    <row r="4031" spans="15:15" x14ac:dyDescent="0.25">
      <c r="O4031" s="21"/>
    </row>
    <row r="4032" spans="15:15" x14ac:dyDescent="0.25">
      <c r="O4032" s="21"/>
    </row>
    <row r="4033" spans="15:15" x14ac:dyDescent="0.25">
      <c r="O4033" s="21"/>
    </row>
    <row r="4034" spans="15:15" x14ac:dyDescent="0.25">
      <c r="O4034" s="21"/>
    </row>
    <row r="4035" spans="15:15" x14ac:dyDescent="0.25">
      <c r="O4035" s="21"/>
    </row>
    <row r="4036" spans="15:15" x14ac:dyDescent="0.25">
      <c r="O4036" s="21"/>
    </row>
    <row r="4037" spans="15:15" x14ac:dyDescent="0.25">
      <c r="O4037" s="21"/>
    </row>
    <row r="4038" spans="15:15" x14ac:dyDescent="0.25">
      <c r="O4038" s="21"/>
    </row>
    <row r="4039" spans="15:15" x14ac:dyDescent="0.25">
      <c r="O4039" s="21"/>
    </row>
    <row r="4040" spans="15:15" x14ac:dyDescent="0.25">
      <c r="O4040" s="21"/>
    </row>
    <row r="4041" spans="15:15" x14ac:dyDescent="0.25">
      <c r="O4041" s="21"/>
    </row>
    <row r="4042" spans="15:15" x14ac:dyDescent="0.25">
      <c r="O4042" s="21"/>
    </row>
    <row r="4043" spans="15:15" x14ac:dyDescent="0.25">
      <c r="O4043" s="21"/>
    </row>
    <row r="4044" spans="15:15" x14ac:dyDescent="0.25">
      <c r="O4044" s="21"/>
    </row>
    <row r="4045" spans="15:15" x14ac:dyDescent="0.25">
      <c r="O4045" s="21"/>
    </row>
    <row r="4046" spans="15:15" x14ac:dyDescent="0.25">
      <c r="O4046" s="21"/>
    </row>
    <row r="4047" spans="15:15" x14ac:dyDescent="0.25">
      <c r="O4047" s="21"/>
    </row>
    <row r="4048" spans="15:15" x14ac:dyDescent="0.25">
      <c r="O4048" s="21"/>
    </row>
    <row r="4049" spans="15:15" x14ac:dyDescent="0.25">
      <c r="O4049" s="21"/>
    </row>
    <row r="4050" spans="15:15" x14ac:dyDescent="0.25">
      <c r="O4050" s="21"/>
    </row>
    <row r="4051" spans="15:15" x14ac:dyDescent="0.25">
      <c r="O4051" s="21"/>
    </row>
    <row r="4052" spans="15:15" x14ac:dyDescent="0.25">
      <c r="O4052" s="21"/>
    </row>
    <row r="4053" spans="15:15" x14ac:dyDescent="0.25">
      <c r="O4053" s="21"/>
    </row>
    <row r="4054" spans="15:15" x14ac:dyDescent="0.25">
      <c r="O4054" s="21"/>
    </row>
    <row r="4055" spans="15:15" x14ac:dyDescent="0.25">
      <c r="O4055" s="21"/>
    </row>
    <row r="4056" spans="15:15" x14ac:dyDescent="0.25">
      <c r="O4056" s="21"/>
    </row>
    <row r="4057" spans="15:15" x14ac:dyDescent="0.25">
      <c r="O4057" s="21"/>
    </row>
    <row r="4058" spans="15:15" x14ac:dyDescent="0.25">
      <c r="O4058" s="21"/>
    </row>
    <row r="4059" spans="15:15" x14ac:dyDescent="0.25">
      <c r="O4059" s="21"/>
    </row>
    <row r="4060" spans="15:15" x14ac:dyDescent="0.25">
      <c r="O4060" s="21"/>
    </row>
    <row r="4061" spans="15:15" x14ac:dyDescent="0.25">
      <c r="O4061" s="21"/>
    </row>
    <row r="4062" spans="15:15" x14ac:dyDescent="0.25">
      <c r="O4062" s="21"/>
    </row>
    <row r="4063" spans="15:15" x14ac:dyDescent="0.25">
      <c r="O4063" s="21"/>
    </row>
    <row r="4064" spans="15:15" x14ac:dyDescent="0.25">
      <c r="O4064" s="21"/>
    </row>
    <row r="4065" spans="15:15" x14ac:dyDescent="0.25">
      <c r="O4065" s="21"/>
    </row>
    <row r="4066" spans="15:15" x14ac:dyDescent="0.25">
      <c r="O4066" s="21"/>
    </row>
    <row r="4067" spans="15:15" x14ac:dyDescent="0.25">
      <c r="O4067" s="21"/>
    </row>
    <row r="4068" spans="15:15" x14ac:dyDescent="0.25">
      <c r="O4068" s="21"/>
    </row>
    <row r="4069" spans="15:15" x14ac:dyDescent="0.25">
      <c r="O4069" s="21"/>
    </row>
    <row r="4070" spans="15:15" x14ac:dyDescent="0.25">
      <c r="O4070" s="21"/>
    </row>
    <row r="4071" spans="15:15" x14ac:dyDescent="0.25">
      <c r="O4071" s="21"/>
    </row>
    <row r="4072" spans="15:15" x14ac:dyDescent="0.25">
      <c r="O4072" s="21"/>
    </row>
    <row r="4073" spans="15:15" x14ac:dyDescent="0.25">
      <c r="O4073" s="21"/>
    </row>
    <row r="4074" spans="15:15" x14ac:dyDescent="0.25">
      <c r="O4074" s="21"/>
    </row>
    <row r="4075" spans="15:15" x14ac:dyDescent="0.25">
      <c r="O4075" s="21"/>
    </row>
    <row r="4076" spans="15:15" x14ac:dyDescent="0.25">
      <c r="O4076" s="21"/>
    </row>
    <row r="4077" spans="15:15" x14ac:dyDescent="0.25">
      <c r="O4077" s="21"/>
    </row>
    <row r="4078" spans="15:15" x14ac:dyDescent="0.25">
      <c r="O4078" s="21"/>
    </row>
    <row r="4079" spans="15:15" x14ac:dyDescent="0.25">
      <c r="O4079" s="21"/>
    </row>
    <row r="4080" spans="15:15" x14ac:dyDescent="0.25">
      <c r="O4080" s="21"/>
    </row>
    <row r="4081" spans="15:15" x14ac:dyDescent="0.25">
      <c r="O4081" s="21"/>
    </row>
    <row r="4082" spans="15:15" x14ac:dyDescent="0.25">
      <c r="O4082" s="21"/>
    </row>
    <row r="4083" spans="15:15" x14ac:dyDescent="0.25">
      <c r="O4083" s="21"/>
    </row>
    <row r="4084" spans="15:15" x14ac:dyDescent="0.25">
      <c r="O4084" s="21"/>
    </row>
    <row r="4085" spans="15:15" x14ac:dyDescent="0.25">
      <c r="O4085" s="21"/>
    </row>
    <row r="4086" spans="15:15" x14ac:dyDescent="0.25">
      <c r="O4086" s="21"/>
    </row>
    <row r="4087" spans="15:15" x14ac:dyDescent="0.25">
      <c r="O4087" s="21"/>
    </row>
    <row r="4088" spans="15:15" x14ac:dyDescent="0.25">
      <c r="O4088" s="21"/>
    </row>
    <row r="4089" spans="15:15" x14ac:dyDescent="0.25">
      <c r="O4089" s="21"/>
    </row>
    <row r="4090" spans="15:15" x14ac:dyDescent="0.25">
      <c r="O4090" s="21"/>
    </row>
    <row r="4091" spans="15:15" x14ac:dyDescent="0.25">
      <c r="O4091" s="21"/>
    </row>
    <row r="4092" spans="15:15" x14ac:dyDescent="0.25">
      <c r="O4092" s="21"/>
    </row>
    <row r="4093" spans="15:15" x14ac:dyDescent="0.25">
      <c r="O4093" s="21"/>
    </row>
    <row r="4094" spans="15:15" x14ac:dyDescent="0.25">
      <c r="O4094" s="21"/>
    </row>
    <row r="4095" spans="15:15" x14ac:dyDescent="0.25">
      <c r="O4095" s="21"/>
    </row>
    <row r="4096" spans="15:15" x14ac:dyDescent="0.25">
      <c r="O4096" s="21"/>
    </row>
    <row r="4097" spans="15:15" x14ac:dyDescent="0.25">
      <c r="O4097" s="21"/>
    </row>
    <row r="4098" spans="15:15" x14ac:dyDescent="0.25">
      <c r="O4098" s="21"/>
    </row>
    <row r="4099" spans="15:15" x14ac:dyDescent="0.25">
      <c r="O4099" s="21"/>
    </row>
    <row r="4100" spans="15:15" x14ac:dyDescent="0.25">
      <c r="O4100" s="21"/>
    </row>
    <row r="4101" spans="15:15" x14ac:dyDescent="0.25">
      <c r="O4101" s="21"/>
    </row>
    <row r="4102" spans="15:15" x14ac:dyDescent="0.25">
      <c r="O4102" s="21"/>
    </row>
    <row r="4103" spans="15:15" x14ac:dyDescent="0.25">
      <c r="O4103" s="21"/>
    </row>
    <row r="4104" spans="15:15" x14ac:dyDescent="0.25">
      <c r="O4104" s="21"/>
    </row>
    <row r="4105" spans="15:15" x14ac:dyDescent="0.25">
      <c r="O4105" s="21"/>
    </row>
    <row r="4106" spans="15:15" x14ac:dyDescent="0.25">
      <c r="O4106" s="21"/>
    </row>
    <row r="4107" spans="15:15" x14ac:dyDescent="0.25">
      <c r="O4107" s="21"/>
    </row>
    <row r="4108" spans="15:15" x14ac:dyDescent="0.25">
      <c r="O4108" s="21"/>
    </row>
    <row r="4109" spans="15:15" x14ac:dyDescent="0.25">
      <c r="O4109" s="21"/>
    </row>
    <row r="4110" spans="15:15" x14ac:dyDescent="0.25">
      <c r="O4110" s="21"/>
    </row>
    <row r="4111" spans="15:15" x14ac:dyDescent="0.25">
      <c r="O4111" s="21"/>
    </row>
    <row r="4112" spans="15:15" x14ac:dyDescent="0.25">
      <c r="O4112" s="21"/>
    </row>
    <row r="4113" spans="15:15" x14ac:dyDescent="0.25">
      <c r="O4113" s="21"/>
    </row>
    <row r="4114" spans="15:15" x14ac:dyDescent="0.25">
      <c r="O4114" s="21"/>
    </row>
    <row r="4115" spans="15:15" x14ac:dyDescent="0.25">
      <c r="O4115" s="21"/>
    </row>
    <row r="4116" spans="15:15" x14ac:dyDescent="0.25">
      <c r="O4116" s="21"/>
    </row>
    <row r="4117" spans="15:15" x14ac:dyDescent="0.25">
      <c r="O4117" s="21"/>
    </row>
    <row r="4118" spans="15:15" x14ac:dyDescent="0.25">
      <c r="O4118" s="21"/>
    </row>
    <row r="4119" spans="15:15" x14ac:dyDescent="0.25">
      <c r="O4119" s="21"/>
    </row>
    <row r="4120" spans="15:15" x14ac:dyDescent="0.25">
      <c r="O4120" s="21"/>
    </row>
    <row r="4121" spans="15:15" x14ac:dyDescent="0.25">
      <c r="O4121" s="21"/>
    </row>
    <row r="4122" spans="15:15" x14ac:dyDescent="0.25">
      <c r="O4122" s="21"/>
    </row>
    <row r="4123" spans="15:15" x14ac:dyDescent="0.25">
      <c r="O4123" s="21"/>
    </row>
    <row r="4124" spans="15:15" x14ac:dyDescent="0.25">
      <c r="O4124" s="21"/>
    </row>
    <row r="4125" spans="15:15" x14ac:dyDescent="0.25">
      <c r="O4125" s="21"/>
    </row>
    <row r="4126" spans="15:15" x14ac:dyDescent="0.25">
      <c r="O4126" s="21"/>
    </row>
    <row r="4127" spans="15:15" x14ac:dyDescent="0.25">
      <c r="O4127" s="21"/>
    </row>
    <row r="4128" spans="15:15" x14ac:dyDescent="0.25">
      <c r="O4128" s="21"/>
    </row>
    <row r="4129" spans="15:15" x14ac:dyDescent="0.25">
      <c r="O4129" s="21"/>
    </row>
    <row r="4130" spans="15:15" x14ac:dyDescent="0.25">
      <c r="O4130" s="21"/>
    </row>
    <row r="4131" spans="15:15" x14ac:dyDescent="0.25">
      <c r="O4131" s="21"/>
    </row>
    <row r="4132" spans="15:15" x14ac:dyDescent="0.25">
      <c r="O4132" s="21"/>
    </row>
    <row r="4133" spans="15:15" x14ac:dyDescent="0.25">
      <c r="O4133" s="21"/>
    </row>
    <row r="4134" spans="15:15" x14ac:dyDescent="0.25">
      <c r="O4134" s="21"/>
    </row>
    <row r="4135" spans="15:15" x14ac:dyDescent="0.25">
      <c r="O4135" s="21"/>
    </row>
    <row r="4136" spans="15:15" x14ac:dyDescent="0.25">
      <c r="O4136" s="21"/>
    </row>
    <row r="4137" spans="15:15" x14ac:dyDescent="0.25">
      <c r="O4137" s="21"/>
    </row>
    <row r="4138" spans="15:15" x14ac:dyDescent="0.25">
      <c r="O4138" s="21"/>
    </row>
    <row r="4139" spans="15:15" x14ac:dyDescent="0.25">
      <c r="O4139" s="21"/>
    </row>
    <row r="4140" spans="15:15" x14ac:dyDescent="0.25">
      <c r="O4140" s="21"/>
    </row>
    <row r="4141" spans="15:15" x14ac:dyDescent="0.25">
      <c r="O4141" s="21"/>
    </row>
    <row r="4142" spans="15:15" x14ac:dyDescent="0.25">
      <c r="O4142" s="21"/>
    </row>
    <row r="4143" spans="15:15" x14ac:dyDescent="0.25">
      <c r="O4143" s="21"/>
    </row>
    <row r="4144" spans="15:15" x14ac:dyDescent="0.25">
      <c r="O4144" s="21"/>
    </row>
    <row r="4145" spans="15:15" x14ac:dyDescent="0.25">
      <c r="O4145" s="21"/>
    </row>
    <row r="4146" spans="15:15" x14ac:dyDescent="0.25">
      <c r="O4146" s="21"/>
    </row>
    <row r="4147" spans="15:15" x14ac:dyDescent="0.25">
      <c r="O4147" s="21"/>
    </row>
    <row r="4148" spans="15:15" x14ac:dyDescent="0.25">
      <c r="O4148" s="21"/>
    </row>
    <row r="4149" spans="15:15" x14ac:dyDescent="0.25">
      <c r="O4149" s="21"/>
    </row>
    <row r="4150" spans="15:15" x14ac:dyDescent="0.25">
      <c r="O4150" s="21"/>
    </row>
    <row r="4151" spans="15:15" x14ac:dyDescent="0.25">
      <c r="O4151" s="21"/>
    </row>
    <row r="4152" spans="15:15" x14ac:dyDescent="0.25">
      <c r="O4152" s="21"/>
    </row>
    <row r="4153" spans="15:15" x14ac:dyDescent="0.25">
      <c r="O4153" s="21"/>
    </row>
    <row r="4154" spans="15:15" x14ac:dyDescent="0.25">
      <c r="O4154" s="21"/>
    </row>
    <row r="4155" spans="15:15" x14ac:dyDescent="0.25">
      <c r="O4155" s="21"/>
    </row>
    <row r="4156" spans="15:15" x14ac:dyDescent="0.25">
      <c r="O4156" s="21"/>
    </row>
    <row r="4157" spans="15:15" x14ac:dyDescent="0.25">
      <c r="O4157" s="21"/>
    </row>
    <row r="4158" spans="15:15" x14ac:dyDescent="0.25">
      <c r="O4158" s="21"/>
    </row>
    <row r="4159" spans="15:15" x14ac:dyDescent="0.25">
      <c r="O4159" s="21"/>
    </row>
    <row r="4160" spans="15:15" x14ac:dyDescent="0.25">
      <c r="O4160" s="21"/>
    </row>
    <row r="4161" spans="15:15" x14ac:dyDescent="0.25">
      <c r="O4161" s="21"/>
    </row>
    <row r="4162" spans="15:15" x14ac:dyDescent="0.25">
      <c r="O4162" s="21"/>
    </row>
    <row r="4163" spans="15:15" x14ac:dyDescent="0.25">
      <c r="O4163" s="21"/>
    </row>
    <row r="4164" spans="15:15" x14ac:dyDescent="0.25">
      <c r="O4164" s="21"/>
    </row>
    <row r="4165" spans="15:15" x14ac:dyDescent="0.25">
      <c r="O4165" s="21"/>
    </row>
    <row r="4166" spans="15:15" x14ac:dyDescent="0.25">
      <c r="O4166" s="21"/>
    </row>
    <row r="4167" spans="15:15" x14ac:dyDescent="0.25">
      <c r="O4167" s="21"/>
    </row>
    <row r="4168" spans="15:15" x14ac:dyDescent="0.25">
      <c r="O4168" s="21"/>
    </row>
    <row r="4169" spans="15:15" x14ac:dyDescent="0.25">
      <c r="O4169" s="21"/>
    </row>
    <row r="4170" spans="15:15" x14ac:dyDescent="0.25">
      <c r="O4170" s="21"/>
    </row>
    <row r="4171" spans="15:15" x14ac:dyDescent="0.25">
      <c r="O4171" s="21"/>
    </row>
    <row r="4172" spans="15:15" x14ac:dyDescent="0.25">
      <c r="O4172" s="21"/>
    </row>
    <row r="4173" spans="15:15" x14ac:dyDescent="0.25">
      <c r="O4173" s="21"/>
    </row>
    <row r="4174" spans="15:15" x14ac:dyDescent="0.25">
      <c r="O4174" s="21"/>
    </row>
    <row r="4175" spans="15:15" x14ac:dyDescent="0.25">
      <c r="O4175" s="21"/>
    </row>
    <row r="4176" spans="15:15" x14ac:dyDescent="0.25">
      <c r="O4176" s="21"/>
    </row>
    <row r="4177" spans="15:15" x14ac:dyDescent="0.25">
      <c r="O4177" s="21"/>
    </row>
    <row r="4178" spans="15:15" x14ac:dyDescent="0.25">
      <c r="O4178" s="21"/>
    </row>
    <row r="4179" spans="15:15" x14ac:dyDescent="0.25">
      <c r="O4179" s="21"/>
    </row>
    <row r="4180" spans="15:15" x14ac:dyDescent="0.25">
      <c r="O4180" s="21"/>
    </row>
    <row r="4181" spans="15:15" x14ac:dyDescent="0.25">
      <c r="O4181" s="21"/>
    </row>
    <row r="4182" spans="15:15" x14ac:dyDescent="0.25">
      <c r="O4182" s="21"/>
    </row>
    <row r="4183" spans="15:15" x14ac:dyDescent="0.25">
      <c r="O4183" s="21"/>
    </row>
    <row r="4184" spans="15:15" x14ac:dyDescent="0.25">
      <c r="O4184" s="21"/>
    </row>
    <row r="4185" spans="15:15" x14ac:dyDescent="0.25">
      <c r="O4185" s="21"/>
    </row>
    <row r="4186" spans="15:15" x14ac:dyDescent="0.25">
      <c r="O4186" s="21"/>
    </row>
    <row r="4187" spans="15:15" x14ac:dyDescent="0.25">
      <c r="O4187" s="21"/>
    </row>
    <row r="4188" spans="15:15" x14ac:dyDescent="0.25">
      <c r="O4188" s="21"/>
    </row>
    <row r="4189" spans="15:15" x14ac:dyDescent="0.25">
      <c r="O4189" s="21"/>
    </row>
    <row r="4190" spans="15:15" x14ac:dyDescent="0.25">
      <c r="O4190" s="21"/>
    </row>
    <row r="4191" spans="15:15" x14ac:dyDescent="0.25">
      <c r="O4191" s="21"/>
    </row>
    <row r="4192" spans="15:15" x14ac:dyDescent="0.25">
      <c r="O4192" s="21"/>
    </row>
    <row r="4193" spans="15:15" x14ac:dyDescent="0.25">
      <c r="O4193" s="21"/>
    </row>
    <row r="4194" spans="15:15" x14ac:dyDescent="0.25">
      <c r="O4194" s="21"/>
    </row>
    <row r="4195" spans="15:15" x14ac:dyDescent="0.25">
      <c r="O4195" s="21"/>
    </row>
    <row r="4196" spans="15:15" x14ac:dyDescent="0.25">
      <c r="O4196" s="21"/>
    </row>
    <row r="4197" spans="15:15" x14ac:dyDescent="0.25">
      <c r="O4197" s="21"/>
    </row>
    <row r="4198" spans="15:15" x14ac:dyDescent="0.25">
      <c r="O4198" s="21"/>
    </row>
    <row r="4199" spans="15:15" x14ac:dyDescent="0.25">
      <c r="O4199" s="21"/>
    </row>
    <row r="4200" spans="15:15" x14ac:dyDescent="0.25">
      <c r="O4200" s="21"/>
    </row>
    <row r="4201" spans="15:15" x14ac:dyDescent="0.25">
      <c r="O4201" s="21"/>
    </row>
    <row r="4202" spans="15:15" x14ac:dyDescent="0.25">
      <c r="O4202" s="21"/>
    </row>
    <row r="4203" spans="15:15" x14ac:dyDescent="0.25">
      <c r="O4203" s="21"/>
    </row>
    <row r="4204" spans="15:15" x14ac:dyDescent="0.25">
      <c r="O4204" s="21"/>
    </row>
    <row r="4205" spans="15:15" x14ac:dyDescent="0.25">
      <c r="O4205" s="21"/>
    </row>
    <row r="4206" spans="15:15" x14ac:dyDescent="0.25">
      <c r="O4206" s="21"/>
    </row>
    <row r="4207" spans="15:15" x14ac:dyDescent="0.25">
      <c r="O4207" s="21"/>
    </row>
    <row r="4208" spans="15:15" x14ac:dyDescent="0.25">
      <c r="O4208" s="21"/>
    </row>
    <row r="4209" spans="15:15" x14ac:dyDescent="0.25">
      <c r="O4209" s="21"/>
    </row>
    <row r="4210" spans="15:15" x14ac:dyDescent="0.25">
      <c r="O4210" s="21"/>
    </row>
    <row r="4211" spans="15:15" x14ac:dyDescent="0.25">
      <c r="O4211" s="21"/>
    </row>
    <row r="4212" spans="15:15" x14ac:dyDescent="0.25">
      <c r="O4212" s="21"/>
    </row>
    <row r="4213" spans="15:15" x14ac:dyDescent="0.25">
      <c r="O4213" s="21"/>
    </row>
    <row r="4214" spans="15:15" x14ac:dyDescent="0.25">
      <c r="O4214" s="21"/>
    </row>
    <row r="4215" spans="15:15" x14ac:dyDescent="0.25">
      <c r="O4215" s="21"/>
    </row>
    <row r="4216" spans="15:15" x14ac:dyDescent="0.25">
      <c r="O4216" s="21"/>
    </row>
    <row r="4217" spans="15:15" x14ac:dyDescent="0.25">
      <c r="O4217" s="21"/>
    </row>
    <row r="4218" spans="15:15" x14ac:dyDescent="0.25">
      <c r="O4218" s="21"/>
    </row>
    <row r="4219" spans="15:15" x14ac:dyDescent="0.25">
      <c r="O4219" s="21"/>
    </row>
    <row r="4220" spans="15:15" x14ac:dyDescent="0.25">
      <c r="O4220" s="21"/>
    </row>
    <row r="4221" spans="15:15" x14ac:dyDescent="0.25">
      <c r="O4221" s="21"/>
    </row>
    <row r="4222" spans="15:15" x14ac:dyDescent="0.25">
      <c r="O4222" s="21"/>
    </row>
    <row r="4223" spans="15:15" x14ac:dyDescent="0.25">
      <c r="O4223" s="21"/>
    </row>
    <row r="4224" spans="15:15" x14ac:dyDescent="0.25">
      <c r="O4224" s="21"/>
    </row>
    <row r="4225" spans="15:15" x14ac:dyDescent="0.25">
      <c r="O4225" s="21"/>
    </row>
    <row r="4226" spans="15:15" x14ac:dyDescent="0.25">
      <c r="O4226" s="21"/>
    </row>
    <row r="4227" spans="15:15" x14ac:dyDescent="0.25">
      <c r="O4227" s="21"/>
    </row>
    <row r="4228" spans="15:15" x14ac:dyDescent="0.25">
      <c r="O4228" s="21"/>
    </row>
    <row r="4229" spans="15:15" x14ac:dyDescent="0.25">
      <c r="O4229" s="21"/>
    </row>
    <row r="4230" spans="15:15" x14ac:dyDescent="0.25">
      <c r="O4230" s="21"/>
    </row>
    <row r="4231" spans="15:15" x14ac:dyDescent="0.25">
      <c r="O4231" s="21"/>
    </row>
    <row r="4232" spans="15:15" x14ac:dyDescent="0.25">
      <c r="O4232" s="21"/>
    </row>
    <row r="4233" spans="15:15" x14ac:dyDescent="0.25">
      <c r="O4233" s="21"/>
    </row>
    <row r="4234" spans="15:15" x14ac:dyDescent="0.25">
      <c r="O4234" s="21"/>
    </row>
    <row r="4235" spans="15:15" x14ac:dyDescent="0.25">
      <c r="O4235" s="21"/>
    </row>
    <row r="4236" spans="15:15" x14ac:dyDescent="0.25">
      <c r="O4236" s="21"/>
    </row>
    <row r="4237" spans="15:15" x14ac:dyDescent="0.25">
      <c r="O4237" s="21"/>
    </row>
    <row r="4238" spans="15:15" x14ac:dyDescent="0.25">
      <c r="O4238" s="21"/>
    </row>
    <row r="4239" spans="15:15" x14ac:dyDescent="0.25">
      <c r="O4239" s="21"/>
    </row>
    <row r="4240" spans="15:15" x14ac:dyDescent="0.25">
      <c r="O4240" s="21"/>
    </row>
    <row r="4241" spans="15:15" x14ac:dyDescent="0.25">
      <c r="O4241" s="21"/>
    </row>
    <row r="4242" spans="15:15" x14ac:dyDescent="0.25">
      <c r="O4242" s="21"/>
    </row>
    <row r="4243" spans="15:15" x14ac:dyDescent="0.25">
      <c r="O4243" s="21"/>
    </row>
    <row r="4244" spans="15:15" x14ac:dyDescent="0.25">
      <c r="O4244" s="21"/>
    </row>
    <row r="4245" spans="15:15" x14ac:dyDescent="0.25">
      <c r="O4245" s="21"/>
    </row>
    <row r="4246" spans="15:15" x14ac:dyDescent="0.25">
      <c r="O4246" s="21"/>
    </row>
    <row r="4247" spans="15:15" x14ac:dyDescent="0.25">
      <c r="O4247" s="21"/>
    </row>
    <row r="4248" spans="15:15" x14ac:dyDescent="0.25">
      <c r="O4248" s="21"/>
    </row>
    <row r="4249" spans="15:15" x14ac:dyDescent="0.25">
      <c r="O4249" s="21"/>
    </row>
    <row r="4250" spans="15:15" x14ac:dyDescent="0.25">
      <c r="O4250" s="21"/>
    </row>
    <row r="4251" spans="15:15" x14ac:dyDescent="0.25">
      <c r="O4251" s="21"/>
    </row>
    <row r="4252" spans="15:15" x14ac:dyDescent="0.25">
      <c r="O4252" s="21"/>
    </row>
    <row r="4253" spans="15:15" x14ac:dyDescent="0.25">
      <c r="O4253" s="21"/>
    </row>
    <row r="4254" spans="15:15" x14ac:dyDescent="0.25">
      <c r="O4254" s="21"/>
    </row>
    <row r="4255" spans="15:15" x14ac:dyDescent="0.25">
      <c r="O4255" s="21"/>
    </row>
    <row r="4256" spans="15:15" x14ac:dyDescent="0.25">
      <c r="O4256" s="21"/>
    </row>
    <row r="4257" spans="15:15" x14ac:dyDescent="0.25">
      <c r="O4257" s="21"/>
    </row>
    <row r="4258" spans="15:15" x14ac:dyDescent="0.25">
      <c r="O4258" s="21"/>
    </row>
    <row r="4259" spans="15:15" x14ac:dyDescent="0.25">
      <c r="O4259" s="21"/>
    </row>
    <row r="4260" spans="15:15" x14ac:dyDescent="0.25">
      <c r="O4260" s="21"/>
    </row>
    <row r="4261" spans="15:15" x14ac:dyDescent="0.25">
      <c r="O4261" s="21"/>
    </row>
    <row r="4262" spans="15:15" x14ac:dyDescent="0.25">
      <c r="O4262" s="21"/>
    </row>
    <row r="4263" spans="15:15" x14ac:dyDescent="0.25">
      <c r="O4263" s="21"/>
    </row>
    <row r="4264" spans="15:15" x14ac:dyDescent="0.25">
      <c r="O4264" s="21"/>
    </row>
    <row r="4265" spans="15:15" x14ac:dyDescent="0.25">
      <c r="O4265" s="21"/>
    </row>
    <row r="4266" spans="15:15" x14ac:dyDescent="0.25">
      <c r="O4266" s="21"/>
    </row>
    <row r="4267" spans="15:15" x14ac:dyDescent="0.25">
      <c r="O4267" s="21"/>
    </row>
    <row r="4268" spans="15:15" x14ac:dyDescent="0.25">
      <c r="O4268" s="21"/>
    </row>
    <row r="4269" spans="15:15" x14ac:dyDescent="0.25">
      <c r="O4269" s="21"/>
    </row>
    <row r="4270" spans="15:15" x14ac:dyDescent="0.25">
      <c r="O4270" s="21"/>
    </row>
    <row r="4271" spans="15:15" x14ac:dyDescent="0.25">
      <c r="O4271" s="21"/>
    </row>
    <row r="4272" spans="15:15" x14ac:dyDescent="0.25">
      <c r="O4272" s="21"/>
    </row>
    <row r="4273" spans="15:15" x14ac:dyDescent="0.25">
      <c r="O4273" s="21"/>
    </row>
    <row r="4274" spans="15:15" x14ac:dyDescent="0.25">
      <c r="O4274" s="21"/>
    </row>
    <row r="4275" spans="15:15" x14ac:dyDescent="0.25">
      <c r="O4275" s="21"/>
    </row>
    <row r="4276" spans="15:15" x14ac:dyDescent="0.25">
      <c r="O4276" s="21"/>
    </row>
    <row r="4277" spans="15:15" x14ac:dyDescent="0.25">
      <c r="O4277" s="21"/>
    </row>
    <row r="4278" spans="15:15" x14ac:dyDescent="0.25">
      <c r="O4278" s="21"/>
    </row>
    <row r="4279" spans="15:15" x14ac:dyDescent="0.25">
      <c r="O4279" s="21"/>
    </row>
    <row r="4280" spans="15:15" x14ac:dyDescent="0.25">
      <c r="O4280" s="21"/>
    </row>
    <row r="4281" spans="15:15" x14ac:dyDescent="0.25">
      <c r="O4281" s="21"/>
    </row>
    <row r="4282" spans="15:15" x14ac:dyDescent="0.25">
      <c r="O4282" s="21"/>
    </row>
    <row r="4283" spans="15:15" x14ac:dyDescent="0.25">
      <c r="O4283" s="21"/>
    </row>
    <row r="4284" spans="15:15" x14ac:dyDescent="0.25">
      <c r="O4284" s="21"/>
    </row>
    <row r="4285" spans="15:15" x14ac:dyDescent="0.25">
      <c r="O4285" s="21"/>
    </row>
    <row r="4286" spans="15:15" x14ac:dyDescent="0.25">
      <c r="O4286" s="21"/>
    </row>
    <row r="4287" spans="15:15" x14ac:dyDescent="0.25">
      <c r="O4287" s="21"/>
    </row>
    <row r="4288" spans="15:15" x14ac:dyDescent="0.25">
      <c r="O4288" s="21"/>
    </row>
    <row r="4289" spans="15:15" x14ac:dyDescent="0.25">
      <c r="O4289" s="21"/>
    </row>
    <row r="4290" spans="15:15" x14ac:dyDescent="0.25">
      <c r="O4290" s="21"/>
    </row>
    <row r="4291" spans="15:15" x14ac:dyDescent="0.25">
      <c r="O4291" s="21"/>
    </row>
    <row r="4292" spans="15:15" x14ac:dyDescent="0.25">
      <c r="O4292" s="21"/>
    </row>
    <row r="4293" spans="15:15" x14ac:dyDescent="0.25">
      <c r="O4293" s="21"/>
    </row>
    <row r="4294" spans="15:15" x14ac:dyDescent="0.25">
      <c r="O4294" s="21"/>
    </row>
    <row r="4295" spans="15:15" x14ac:dyDescent="0.25">
      <c r="O4295" s="21"/>
    </row>
    <row r="4296" spans="15:15" x14ac:dyDescent="0.25">
      <c r="O4296" s="21"/>
    </row>
    <row r="4297" spans="15:15" x14ac:dyDescent="0.25">
      <c r="O4297" s="21"/>
    </row>
    <row r="4298" spans="15:15" x14ac:dyDescent="0.25">
      <c r="O4298" s="21"/>
    </row>
    <row r="4299" spans="15:15" x14ac:dyDescent="0.25">
      <c r="O4299" s="21"/>
    </row>
    <row r="4300" spans="15:15" x14ac:dyDescent="0.25">
      <c r="O4300" s="21"/>
    </row>
    <row r="4301" spans="15:15" x14ac:dyDescent="0.25">
      <c r="O4301" s="21"/>
    </row>
    <row r="4302" spans="15:15" x14ac:dyDescent="0.25">
      <c r="O4302" s="21"/>
    </row>
    <row r="4303" spans="15:15" x14ac:dyDescent="0.25">
      <c r="O4303" s="21"/>
    </row>
    <row r="4304" spans="15:15" x14ac:dyDescent="0.25">
      <c r="O4304" s="21"/>
    </row>
    <row r="4305" spans="15:15" x14ac:dyDescent="0.25">
      <c r="O4305" s="21"/>
    </row>
    <row r="4306" spans="15:15" x14ac:dyDescent="0.25">
      <c r="O4306" s="21"/>
    </row>
    <row r="4307" spans="15:15" x14ac:dyDescent="0.25">
      <c r="O4307" s="21"/>
    </row>
    <row r="4308" spans="15:15" x14ac:dyDescent="0.25">
      <c r="O4308" s="21"/>
    </row>
    <row r="4309" spans="15:15" x14ac:dyDescent="0.25">
      <c r="O4309" s="21"/>
    </row>
    <row r="4310" spans="15:15" x14ac:dyDescent="0.25">
      <c r="O4310" s="21"/>
    </row>
    <row r="4311" spans="15:15" x14ac:dyDescent="0.25">
      <c r="O4311" s="21"/>
    </row>
    <row r="4312" spans="15:15" x14ac:dyDescent="0.25">
      <c r="O4312" s="21"/>
    </row>
    <row r="4313" spans="15:15" x14ac:dyDescent="0.25">
      <c r="O4313" s="21"/>
    </row>
    <row r="4314" spans="15:15" x14ac:dyDescent="0.25">
      <c r="O4314" s="21"/>
    </row>
    <row r="4315" spans="15:15" x14ac:dyDescent="0.25">
      <c r="O4315" s="21"/>
    </row>
    <row r="4316" spans="15:15" x14ac:dyDescent="0.25">
      <c r="O4316" s="21"/>
    </row>
    <row r="4317" spans="15:15" x14ac:dyDescent="0.25">
      <c r="O4317" s="21"/>
    </row>
    <row r="4318" spans="15:15" x14ac:dyDescent="0.25">
      <c r="O4318" s="21"/>
    </row>
    <row r="4319" spans="15:15" x14ac:dyDescent="0.25">
      <c r="O4319" s="21"/>
    </row>
    <row r="4320" spans="15:15" x14ac:dyDescent="0.25">
      <c r="O4320" s="21"/>
    </row>
    <row r="4321" spans="15:15" x14ac:dyDescent="0.25">
      <c r="O4321" s="21"/>
    </row>
    <row r="4322" spans="15:15" x14ac:dyDescent="0.25">
      <c r="O4322" s="21"/>
    </row>
    <row r="4323" spans="15:15" x14ac:dyDescent="0.25">
      <c r="O4323" s="21"/>
    </row>
    <row r="4324" spans="15:15" x14ac:dyDescent="0.25">
      <c r="O4324" s="21"/>
    </row>
    <row r="4325" spans="15:15" x14ac:dyDescent="0.25">
      <c r="O4325" s="21"/>
    </row>
    <row r="4326" spans="15:15" x14ac:dyDescent="0.25">
      <c r="O4326" s="21"/>
    </row>
    <row r="4327" spans="15:15" x14ac:dyDescent="0.25">
      <c r="O4327" s="21"/>
    </row>
    <row r="4328" spans="15:15" x14ac:dyDescent="0.25">
      <c r="O4328" s="21"/>
    </row>
    <row r="4329" spans="15:15" x14ac:dyDescent="0.25">
      <c r="O4329" s="21"/>
    </row>
    <row r="4330" spans="15:15" x14ac:dyDescent="0.25">
      <c r="O4330" s="21"/>
    </row>
    <row r="4331" spans="15:15" x14ac:dyDescent="0.25">
      <c r="O4331" s="21"/>
    </row>
    <row r="4332" spans="15:15" x14ac:dyDescent="0.25">
      <c r="O4332" s="21"/>
    </row>
    <row r="4333" spans="15:15" x14ac:dyDescent="0.25">
      <c r="O4333" s="21"/>
    </row>
    <row r="4334" spans="15:15" x14ac:dyDescent="0.25">
      <c r="O4334" s="21"/>
    </row>
    <row r="4335" spans="15:15" x14ac:dyDescent="0.25">
      <c r="O4335" s="21"/>
    </row>
    <row r="4336" spans="15:15" x14ac:dyDescent="0.25">
      <c r="O4336" s="21"/>
    </row>
    <row r="4337" spans="15:15" x14ac:dyDescent="0.25">
      <c r="O4337" s="21"/>
    </row>
    <row r="4338" spans="15:15" x14ac:dyDescent="0.25">
      <c r="O4338" s="21"/>
    </row>
    <row r="4339" spans="15:15" x14ac:dyDescent="0.25">
      <c r="O4339" s="21"/>
    </row>
    <row r="4340" spans="15:15" x14ac:dyDescent="0.25">
      <c r="O4340" s="21"/>
    </row>
    <row r="4341" spans="15:15" x14ac:dyDescent="0.25">
      <c r="O4341" s="21"/>
    </row>
    <row r="4342" spans="15:15" x14ac:dyDescent="0.25">
      <c r="O4342" s="21"/>
    </row>
    <row r="4343" spans="15:15" x14ac:dyDescent="0.25">
      <c r="O4343" s="21"/>
    </row>
    <row r="4344" spans="15:15" x14ac:dyDescent="0.25">
      <c r="O4344" s="21"/>
    </row>
    <row r="4345" spans="15:15" x14ac:dyDescent="0.25">
      <c r="O4345" s="21"/>
    </row>
    <row r="4346" spans="15:15" x14ac:dyDescent="0.25">
      <c r="O4346" s="21"/>
    </row>
    <row r="4347" spans="15:15" x14ac:dyDescent="0.25">
      <c r="O4347" s="21"/>
    </row>
    <row r="4348" spans="15:15" x14ac:dyDescent="0.25">
      <c r="O4348" s="21"/>
    </row>
    <row r="4349" spans="15:15" x14ac:dyDescent="0.25">
      <c r="O4349" s="21"/>
    </row>
    <row r="4350" spans="15:15" x14ac:dyDescent="0.25">
      <c r="O4350" s="21"/>
    </row>
    <row r="4351" spans="15:15" x14ac:dyDescent="0.25">
      <c r="O4351" s="21"/>
    </row>
    <row r="4352" spans="15:15" x14ac:dyDescent="0.25">
      <c r="O4352" s="21"/>
    </row>
    <row r="4353" spans="15:15" x14ac:dyDescent="0.25">
      <c r="O4353" s="21"/>
    </row>
    <row r="4354" spans="15:15" x14ac:dyDescent="0.25">
      <c r="O4354" s="21"/>
    </row>
    <row r="4355" spans="15:15" x14ac:dyDescent="0.25">
      <c r="O4355" s="21"/>
    </row>
    <row r="4356" spans="15:15" x14ac:dyDescent="0.25">
      <c r="O4356" s="21"/>
    </row>
    <row r="4357" spans="15:15" x14ac:dyDescent="0.25">
      <c r="O4357" s="21"/>
    </row>
    <row r="4358" spans="15:15" x14ac:dyDescent="0.25">
      <c r="O4358" s="21"/>
    </row>
    <row r="4359" spans="15:15" x14ac:dyDescent="0.25">
      <c r="O4359" s="21"/>
    </row>
    <row r="4360" spans="15:15" x14ac:dyDescent="0.25">
      <c r="O4360" s="21"/>
    </row>
    <row r="4361" spans="15:15" x14ac:dyDescent="0.25">
      <c r="O4361" s="21"/>
    </row>
    <row r="4362" spans="15:15" x14ac:dyDescent="0.25">
      <c r="O4362" s="21"/>
    </row>
    <row r="4363" spans="15:15" x14ac:dyDescent="0.25">
      <c r="O4363" s="21"/>
    </row>
    <row r="4364" spans="15:15" x14ac:dyDescent="0.25">
      <c r="O4364" s="21"/>
    </row>
    <row r="4365" spans="15:15" x14ac:dyDescent="0.25">
      <c r="O4365" s="21"/>
    </row>
    <row r="4366" spans="15:15" x14ac:dyDescent="0.25">
      <c r="O4366" s="21"/>
    </row>
    <row r="4367" spans="15:15" x14ac:dyDescent="0.25">
      <c r="O4367" s="21"/>
    </row>
    <row r="4368" spans="15:15" x14ac:dyDescent="0.25">
      <c r="O4368" s="21"/>
    </row>
    <row r="4369" spans="15:15" x14ac:dyDescent="0.25">
      <c r="O4369" s="21"/>
    </row>
    <row r="4370" spans="15:15" x14ac:dyDescent="0.25">
      <c r="O4370" s="21"/>
    </row>
    <row r="4371" spans="15:15" x14ac:dyDescent="0.25">
      <c r="O4371" s="21"/>
    </row>
    <row r="4372" spans="15:15" x14ac:dyDescent="0.25">
      <c r="O4372" s="21"/>
    </row>
    <row r="4373" spans="15:15" x14ac:dyDescent="0.25">
      <c r="O4373" s="21"/>
    </row>
    <row r="4374" spans="15:15" x14ac:dyDescent="0.25">
      <c r="O4374" s="21"/>
    </row>
    <row r="4375" spans="15:15" x14ac:dyDescent="0.25">
      <c r="O4375" s="21"/>
    </row>
    <row r="4376" spans="15:15" x14ac:dyDescent="0.25">
      <c r="O4376" s="21"/>
    </row>
    <row r="4377" spans="15:15" x14ac:dyDescent="0.25">
      <c r="O4377" s="21"/>
    </row>
    <row r="4378" spans="15:15" x14ac:dyDescent="0.25">
      <c r="O4378" s="21"/>
    </row>
    <row r="4379" spans="15:15" x14ac:dyDescent="0.25">
      <c r="O4379" s="21"/>
    </row>
    <row r="4380" spans="15:15" x14ac:dyDescent="0.25">
      <c r="O4380" s="21"/>
    </row>
    <row r="4381" spans="15:15" x14ac:dyDescent="0.25">
      <c r="O4381" s="21"/>
    </row>
    <row r="4382" spans="15:15" x14ac:dyDescent="0.25">
      <c r="O4382" s="21"/>
    </row>
    <row r="4383" spans="15:15" x14ac:dyDescent="0.25">
      <c r="O4383" s="21"/>
    </row>
    <row r="4384" spans="15:15" x14ac:dyDescent="0.25">
      <c r="O4384" s="21"/>
    </row>
    <row r="4385" spans="15:15" x14ac:dyDescent="0.25">
      <c r="O4385" s="21"/>
    </row>
    <row r="4386" spans="15:15" x14ac:dyDescent="0.25">
      <c r="O4386" s="21"/>
    </row>
    <row r="4387" spans="15:15" x14ac:dyDescent="0.25">
      <c r="O4387" s="21"/>
    </row>
    <row r="4388" spans="15:15" x14ac:dyDescent="0.25">
      <c r="O4388" s="21"/>
    </row>
    <row r="4389" spans="15:15" x14ac:dyDescent="0.25">
      <c r="O4389" s="21"/>
    </row>
    <row r="4390" spans="15:15" x14ac:dyDescent="0.25">
      <c r="O4390" s="21"/>
    </row>
    <row r="4391" spans="15:15" x14ac:dyDescent="0.25">
      <c r="O4391" s="21"/>
    </row>
    <row r="4392" spans="15:15" x14ac:dyDescent="0.25">
      <c r="O4392" s="21"/>
    </row>
    <row r="4393" spans="15:15" x14ac:dyDescent="0.25">
      <c r="O4393" s="21"/>
    </row>
    <row r="4394" spans="15:15" x14ac:dyDescent="0.25">
      <c r="O4394" s="21"/>
    </row>
    <row r="4395" spans="15:15" x14ac:dyDescent="0.25">
      <c r="O4395" s="21"/>
    </row>
    <row r="4396" spans="15:15" x14ac:dyDescent="0.25">
      <c r="O4396" s="21"/>
    </row>
    <row r="4397" spans="15:15" x14ac:dyDescent="0.25">
      <c r="O4397" s="21"/>
    </row>
    <row r="4398" spans="15:15" x14ac:dyDescent="0.25">
      <c r="O4398" s="21"/>
    </row>
    <row r="4399" spans="15:15" x14ac:dyDescent="0.25">
      <c r="O4399" s="21"/>
    </row>
    <row r="4400" spans="15:15" x14ac:dyDescent="0.25">
      <c r="O4400" s="21"/>
    </row>
    <row r="4401" spans="15:15" x14ac:dyDescent="0.25">
      <c r="O4401" s="21"/>
    </row>
    <row r="4402" spans="15:15" x14ac:dyDescent="0.25">
      <c r="O4402" s="21"/>
    </row>
    <row r="4403" spans="15:15" x14ac:dyDescent="0.25">
      <c r="O4403" s="21"/>
    </row>
    <row r="4404" spans="15:15" x14ac:dyDescent="0.25">
      <c r="O4404" s="21"/>
    </row>
    <row r="4405" spans="15:15" x14ac:dyDescent="0.25">
      <c r="O4405" s="21"/>
    </row>
    <row r="4406" spans="15:15" x14ac:dyDescent="0.25">
      <c r="O4406" s="21"/>
    </row>
    <row r="4407" spans="15:15" x14ac:dyDescent="0.25">
      <c r="O4407" s="21"/>
    </row>
    <row r="4408" spans="15:15" x14ac:dyDescent="0.25">
      <c r="O4408" s="21"/>
    </row>
    <row r="4409" spans="15:15" x14ac:dyDescent="0.25">
      <c r="O4409" s="21"/>
    </row>
    <row r="4410" spans="15:15" x14ac:dyDescent="0.25">
      <c r="O4410" s="21"/>
    </row>
    <row r="4411" spans="15:15" x14ac:dyDescent="0.25">
      <c r="O4411" s="21"/>
    </row>
    <row r="4412" spans="15:15" x14ac:dyDescent="0.25">
      <c r="O4412" s="21"/>
    </row>
    <row r="4413" spans="15:15" x14ac:dyDescent="0.25">
      <c r="O4413" s="21"/>
    </row>
    <row r="4414" spans="15:15" x14ac:dyDescent="0.25">
      <c r="O4414" s="21"/>
    </row>
    <row r="4415" spans="15:15" x14ac:dyDescent="0.25">
      <c r="O4415" s="21"/>
    </row>
    <row r="4416" spans="15:15" x14ac:dyDescent="0.25">
      <c r="O4416" s="21"/>
    </row>
    <row r="4417" spans="15:15" x14ac:dyDescent="0.25">
      <c r="O4417" s="21"/>
    </row>
    <row r="4418" spans="15:15" x14ac:dyDescent="0.25">
      <c r="O4418" s="21"/>
    </row>
    <row r="4419" spans="15:15" x14ac:dyDescent="0.25">
      <c r="O4419" s="21"/>
    </row>
    <row r="4420" spans="15:15" x14ac:dyDescent="0.25">
      <c r="O4420" s="21"/>
    </row>
    <row r="4421" spans="15:15" x14ac:dyDescent="0.25">
      <c r="O4421" s="21"/>
    </row>
    <row r="4422" spans="15:15" x14ac:dyDescent="0.25">
      <c r="O4422" s="21"/>
    </row>
    <row r="4423" spans="15:15" x14ac:dyDescent="0.25">
      <c r="O4423" s="21"/>
    </row>
    <row r="4424" spans="15:15" x14ac:dyDescent="0.25">
      <c r="O4424" s="21"/>
    </row>
    <row r="4425" spans="15:15" x14ac:dyDescent="0.25">
      <c r="O4425" s="21"/>
    </row>
    <row r="4426" spans="15:15" x14ac:dyDescent="0.25">
      <c r="O4426" s="21"/>
    </row>
    <row r="4427" spans="15:15" x14ac:dyDescent="0.25">
      <c r="O4427" s="21"/>
    </row>
    <row r="4428" spans="15:15" x14ac:dyDescent="0.25">
      <c r="O4428" s="21"/>
    </row>
    <row r="4429" spans="15:15" x14ac:dyDescent="0.25">
      <c r="O4429" s="21"/>
    </row>
    <row r="4430" spans="15:15" x14ac:dyDescent="0.25">
      <c r="O4430" s="21"/>
    </row>
    <row r="4431" spans="15:15" x14ac:dyDescent="0.25">
      <c r="O4431" s="21"/>
    </row>
    <row r="4432" spans="15:15" x14ac:dyDescent="0.25">
      <c r="O4432" s="21"/>
    </row>
    <row r="4433" spans="15:15" x14ac:dyDescent="0.25">
      <c r="O4433" s="21"/>
    </row>
    <row r="4434" spans="15:15" x14ac:dyDescent="0.25">
      <c r="O4434" s="21"/>
    </row>
    <row r="4435" spans="15:15" x14ac:dyDescent="0.25">
      <c r="O4435" s="21"/>
    </row>
    <row r="4436" spans="15:15" x14ac:dyDescent="0.25">
      <c r="O4436" s="21"/>
    </row>
    <row r="4437" spans="15:15" x14ac:dyDescent="0.25">
      <c r="O4437" s="21"/>
    </row>
    <row r="4438" spans="15:15" x14ac:dyDescent="0.25">
      <c r="O4438" s="21"/>
    </row>
    <row r="4439" spans="15:15" x14ac:dyDescent="0.25">
      <c r="O4439" s="21"/>
    </row>
    <row r="4440" spans="15:15" x14ac:dyDescent="0.25">
      <c r="O4440" s="21"/>
    </row>
    <row r="4441" spans="15:15" x14ac:dyDescent="0.25">
      <c r="O4441" s="21"/>
    </row>
    <row r="4442" spans="15:15" x14ac:dyDescent="0.25">
      <c r="O4442" s="21"/>
    </row>
    <row r="4443" spans="15:15" x14ac:dyDescent="0.25">
      <c r="O4443" s="21"/>
    </row>
    <row r="4444" spans="15:15" x14ac:dyDescent="0.25">
      <c r="O4444" s="21"/>
    </row>
    <row r="4445" spans="15:15" x14ac:dyDescent="0.25">
      <c r="O4445" s="21"/>
    </row>
    <row r="4446" spans="15:15" x14ac:dyDescent="0.25">
      <c r="O4446" s="21"/>
    </row>
    <row r="4447" spans="15:15" x14ac:dyDescent="0.25">
      <c r="O4447" s="21"/>
    </row>
    <row r="4448" spans="15:15" x14ac:dyDescent="0.25">
      <c r="O4448" s="21"/>
    </row>
    <row r="4449" spans="15:15" x14ac:dyDescent="0.25">
      <c r="O4449" s="21"/>
    </row>
    <row r="4450" spans="15:15" x14ac:dyDescent="0.25">
      <c r="O4450" s="21"/>
    </row>
    <row r="4451" spans="15:15" x14ac:dyDescent="0.25">
      <c r="O4451" s="21"/>
    </row>
    <row r="4452" spans="15:15" x14ac:dyDescent="0.25">
      <c r="O4452" s="21"/>
    </row>
    <row r="4453" spans="15:15" x14ac:dyDescent="0.25">
      <c r="O4453" s="21"/>
    </row>
    <row r="4454" spans="15:15" x14ac:dyDescent="0.25">
      <c r="O4454" s="21"/>
    </row>
    <row r="4455" spans="15:15" x14ac:dyDescent="0.25">
      <c r="O4455" s="21"/>
    </row>
    <row r="4456" spans="15:15" x14ac:dyDescent="0.25">
      <c r="O4456" s="21"/>
    </row>
    <row r="4457" spans="15:15" x14ac:dyDescent="0.25">
      <c r="O4457" s="21"/>
    </row>
    <row r="4458" spans="15:15" x14ac:dyDescent="0.25">
      <c r="O4458" s="21"/>
    </row>
    <row r="4459" spans="15:15" x14ac:dyDescent="0.25">
      <c r="O4459" s="21"/>
    </row>
    <row r="4460" spans="15:15" x14ac:dyDescent="0.25">
      <c r="O4460" s="21"/>
    </row>
    <row r="4461" spans="15:15" x14ac:dyDescent="0.25">
      <c r="O4461" s="21"/>
    </row>
    <row r="4462" spans="15:15" x14ac:dyDescent="0.25">
      <c r="O4462" s="21"/>
    </row>
    <row r="4463" spans="15:15" x14ac:dyDescent="0.25">
      <c r="O4463" s="21"/>
    </row>
    <row r="4464" spans="15:15" x14ac:dyDescent="0.25">
      <c r="O4464" s="21"/>
    </row>
    <row r="4465" spans="15:15" x14ac:dyDescent="0.25">
      <c r="O4465" s="21"/>
    </row>
    <row r="4466" spans="15:15" x14ac:dyDescent="0.25">
      <c r="O4466" s="21"/>
    </row>
    <row r="4467" spans="15:15" x14ac:dyDescent="0.25">
      <c r="O4467" s="21"/>
    </row>
    <row r="4468" spans="15:15" x14ac:dyDescent="0.25">
      <c r="O4468" s="21"/>
    </row>
    <row r="4469" spans="15:15" x14ac:dyDescent="0.25">
      <c r="O4469" s="21"/>
    </row>
    <row r="4470" spans="15:15" x14ac:dyDescent="0.25">
      <c r="O4470" s="21"/>
    </row>
    <row r="4471" spans="15:15" x14ac:dyDescent="0.25">
      <c r="O4471" s="21"/>
    </row>
    <row r="4472" spans="15:15" x14ac:dyDescent="0.25">
      <c r="O4472" s="21"/>
    </row>
    <row r="4473" spans="15:15" x14ac:dyDescent="0.25">
      <c r="O4473" s="21"/>
    </row>
    <row r="4474" spans="15:15" x14ac:dyDescent="0.25">
      <c r="O4474" s="21"/>
    </row>
    <row r="4475" spans="15:15" x14ac:dyDescent="0.25">
      <c r="O4475" s="21"/>
    </row>
    <row r="4476" spans="15:15" x14ac:dyDescent="0.25">
      <c r="O4476" s="21"/>
    </row>
    <row r="4477" spans="15:15" x14ac:dyDescent="0.25">
      <c r="O4477" s="21"/>
    </row>
    <row r="4478" spans="15:15" x14ac:dyDescent="0.25">
      <c r="O4478" s="21"/>
    </row>
    <row r="4479" spans="15:15" x14ac:dyDescent="0.25">
      <c r="O4479" s="21"/>
    </row>
    <row r="4480" spans="15:15" x14ac:dyDescent="0.25">
      <c r="O4480" s="21"/>
    </row>
    <row r="4481" spans="15:15" x14ac:dyDescent="0.25">
      <c r="O4481" s="21"/>
    </row>
    <row r="4482" spans="15:15" x14ac:dyDescent="0.25">
      <c r="O4482" s="21"/>
    </row>
    <row r="4483" spans="15:15" x14ac:dyDescent="0.25">
      <c r="O4483" s="21"/>
    </row>
    <row r="4484" spans="15:15" x14ac:dyDescent="0.25">
      <c r="O4484" s="21"/>
    </row>
    <row r="4485" spans="15:15" x14ac:dyDescent="0.25">
      <c r="O4485" s="21"/>
    </row>
    <row r="4486" spans="15:15" x14ac:dyDescent="0.25">
      <c r="O4486" s="21"/>
    </row>
    <row r="4487" spans="15:15" x14ac:dyDescent="0.25">
      <c r="O4487" s="21"/>
    </row>
    <row r="4488" spans="15:15" x14ac:dyDescent="0.25">
      <c r="O4488" s="21"/>
    </row>
    <row r="4489" spans="15:15" x14ac:dyDescent="0.25">
      <c r="O4489" s="21"/>
    </row>
    <row r="4490" spans="15:15" x14ac:dyDescent="0.25">
      <c r="O4490" s="21"/>
    </row>
    <row r="4491" spans="15:15" x14ac:dyDescent="0.25">
      <c r="O4491" s="21"/>
    </row>
    <row r="4492" spans="15:15" x14ac:dyDescent="0.25">
      <c r="O4492" s="21"/>
    </row>
    <row r="4493" spans="15:15" x14ac:dyDescent="0.25">
      <c r="O4493" s="21"/>
    </row>
    <row r="4494" spans="15:15" x14ac:dyDescent="0.25">
      <c r="O4494" s="21"/>
    </row>
    <row r="4495" spans="15:15" x14ac:dyDescent="0.25">
      <c r="O4495" s="21"/>
    </row>
    <row r="4496" spans="15:15" x14ac:dyDescent="0.25">
      <c r="O4496" s="21"/>
    </row>
    <row r="4497" spans="15:15" x14ac:dyDescent="0.25">
      <c r="O4497" s="21"/>
    </row>
    <row r="4498" spans="15:15" x14ac:dyDescent="0.25">
      <c r="O4498" s="21"/>
    </row>
    <row r="4499" spans="15:15" x14ac:dyDescent="0.25">
      <c r="O4499" s="21"/>
    </row>
    <row r="4500" spans="15:15" x14ac:dyDescent="0.25">
      <c r="O4500" s="21"/>
    </row>
    <row r="4501" spans="15:15" x14ac:dyDescent="0.25">
      <c r="O4501" s="21"/>
    </row>
    <row r="4502" spans="15:15" x14ac:dyDescent="0.25">
      <c r="O4502" s="21"/>
    </row>
    <row r="4503" spans="15:15" x14ac:dyDescent="0.25">
      <c r="O4503" s="21"/>
    </row>
    <row r="4504" spans="15:15" x14ac:dyDescent="0.25">
      <c r="O4504" s="21"/>
    </row>
    <row r="4505" spans="15:15" x14ac:dyDescent="0.25">
      <c r="O4505" s="21"/>
    </row>
    <row r="4506" spans="15:15" x14ac:dyDescent="0.25">
      <c r="O4506" s="21"/>
    </row>
    <row r="4507" spans="15:15" x14ac:dyDescent="0.25">
      <c r="O4507" s="21"/>
    </row>
    <row r="4508" spans="15:15" x14ac:dyDescent="0.25">
      <c r="O4508" s="21"/>
    </row>
    <row r="4509" spans="15:15" x14ac:dyDescent="0.25">
      <c r="O4509" s="21"/>
    </row>
    <row r="4510" spans="15:15" x14ac:dyDescent="0.25">
      <c r="O4510" s="21"/>
    </row>
    <row r="4511" spans="15:15" x14ac:dyDescent="0.25">
      <c r="O4511" s="21"/>
    </row>
    <row r="4512" spans="15:15" x14ac:dyDescent="0.25">
      <c r="O4512" s="21"/>
    </row>
    <row r="4513" spans="15:15" x14ac:dyDescent="0.25">
      <c r="O4513" s="21"/>
    </row>
    <row r="4514" spans="15:15" x14ac:dyDescent="0.25">
      <c r="O4514" s="21"/>
    </row>
    <row r="4515" spans="15:15" x14ac:dyDescent="0.25">
      <c r="O4515" s="21"/>
    </row>
    <row r="4516" spans="15:15" x14ac:dyDescent="0.25">
      <c r="O4516" s="21"/>
    </row>
    <row r="4517" spans="15:15" x14ac:dyDescent="0.25">
      <c r="O4517" s="21"/>
    </row>
    <row r="4518" spans="15:15" x14ac:dyDescent="0.25">
      <c r="O4518" s="21"/>
    </row>
    <row r="4519" spans="15:15" x14ac:dyDescent="0.25">
      <c r="O4519" s="21"/>
    </row>
    <row r="4520" spans="15:15" x14ac:dyDescent="0.25">
      <c r="O4520" s="21"/>
    </row>
    <row r="4521" spans="15:15" x14ac:dyDescent="0.25">
      <c r="O4521" s="21"/>
    </row>
    <row r="4522" spans="15:15" x14ac:dyDescent="0.25">
      <c r="O4522" s="21"/>
    </row>
    <row r="4523" spans="15:15" x14ac:dyDescent="0.25">
      <c r="O4523" s="21"/>
    </row>
    <row r="4524" spans="15:15" x14ac:dyDescent="0.25">
      <c r="O4524" s="21"/>
    </row>
    <row r="4525" spans="15:15" x14ac:dyDescent="0.25">
      <c r="O4525" s="21"/>
    </row>
    <row r="4526" spans="15:15" x14ac:dyDescent="0.25">
      <c r="O4526" s="21"/>
    </row>
    <row r="4527" spans="15:15" x14ac:dyDescent="0.25">
      <c r="O4527" s="21"/>
    </row>
    <row r="4528" spans="15:15" x14ac:dyDescent="0.25">
      <c r="O4528" s="21"/>
    </row>
    <row r="4529" spans="15:15" x14ac:dyDescent="0.25">
      <c r="O4529" s="21"/>
    </row>
    <row r="4530" spans="15:15" x14ac:dyDescent="0.25">
      <c r="O4530" s="21"/>
    </row>
    <row r="4531" spans="15:15" x14ac:dyDescent="0.25">
      <c r="O4531" s="21"/>
    </row>
    <row r="4532" spans="15:15" x14ac:dyDescent="0.25">
      <c r="O4532" s="21"/>
    </row>
    <row r="4533" spans="15:15" x14ac:dyDescent="0.25">
      <c r="O4533" s="21"/>
    </row>
    <row r="4534" spans="15:15" x14ac:dyDescent="0.25">
      <c r="O4534" s="21"/>
    </row>
    <row r="4535" spans="15:15" x14ac:dyDescent="0.25">
      <c r="O4535" s="21"/>
    </row>
    <row r="4536" spans="15:15" x14ac:dyDescent="0.25">
      <c r="O4536" s="21"/>
    </row>
    <row r="4537" spans="15:15" x14ac:dyDescent="0.25">
      <c r="O4537" s="21"/>
    </row>
    <row r="4538" spans="15:15" x14ac:dyDescent="0.25">
      <c r="O4538" s="21"/>
    </row>
    <row r="4539" spans="15:15" x14ac:dyDescent="0.25">
      <c r="O4539" s="21"/>
    </row>
    <row r="4540" spans="15:15" x14ac:dyDescent="0.25">
      <c r="O4540" s="21"/>
    </row>
    <row r="4541" spans="15:15" x14ac:dyDescent="0.25">
      <c r="O4541" s="21"/>
    </row>
    <row r="4542" spans="15:15" x14ac:dyDescent="0.25">
      <c r="O4542" s="21"/>
    </row>
    <row r="4543" spans="15:15" x14ac:dyDescent="0.25">
      <c r="O4543" s="21"/>
    </row>
    <row r="4544" spans="15:15" x14ac:dyDescent="0.25">
      <c r="O4544" s="21"/>
    </row>
    <row r="4545" spans="15:15" x14ac:dyDescent="0.25">
      <c r="O4545" s="21"/>
    </row>
    <row r="4546" spans="15:15" x14ac:dyDescent="0.25">
      <c r="O4546" s="21"/>
    </row>
    <row r="4547" spans="15:15" x14ac:dyDescent="0.25">
      <c r="O4547" s="21"/>
    </row>
    <row r="4548" spans="15:15" x14ac:dyDescent="0.25">
      <c r="O4548" s="21"/>
    </row>
    <row r="4549" spans="15:15" x14ac:dyDescent="0.25">
      <c r="O4549" s="21"/>
    </row>
    <row r="4550" spans="15:15" x14ac:dyDescent="0.25">
      <c r="O4550" s="21"/>
    </row>
    <row r="4551" spans="15:15" x14ac:dyDescent="0.25">
      <c r="O4551" s="21"/>
    </row>
    <row r="4552" spans="15:15" x14ac:dyDescent="0.25">
      <c r="O4552" s="21"/>
    </row>
    <row r="4553" spans="15:15" x14ac:dyDescent="0.25">
      <c r="O4553" s="21"/>
    </row>
    <row r="4554" spans="15:15" x14ac:dyDescent="0.25">
      <c r="O4554" s="21"/>
    </row>
    <row r="4555" spans="15:15" x14ac:dyDescent="0.25">
      <c r="O4555" s="21"/>
    </row>
    <row r="4556" spans="15:15" x14ac:dyDescent="0.25">
      <c r="O4556" s="21"/>
    </row>
    <row r="4557" spans="15:15" x14ac:dyDescent="0.25">
      <c r="O4557" s="21"/>
    </row>
    <row r="4558" spans="15:15" x14ac:dyDescent="0.25">
      <c r="O4558" s="21"/>
    </row>
    <row r="4559" spans="15:15" x14ac:dyDescent="0.25">
      <c r="O4559" s="21"/>
    </row>
    <row r="4560" spans="15:15" x14ac:dyDescent="0.25">
      <c r="O4560" s="21"/>
    </row>
    <row r="4561" spans="15:15" x14ac:dyDescent="0.25">
      <c r="O4561" s="21"/>
    </row>
    <row r="4562" spans="15:15" x14ac:dyDescent="0.25">
      <c r="O4562" s="21"/>
    </row>
    <row r="4563" spans="15:15" x14ac:dyDescent="0.25">
      <c r="O4563" s="21"/>
    </row>
    <row r="4564" spans="15:15" x14ac:dyDescent="0.25">
      <c r="O4564" s="21"/>
    </row>
    <row r="4565" spans="15:15" x14ac:dyDescent="0.25">
      <c r="O4565" s="21"/>
    </row>
    <row r="4566" spans="15:15" x14ac:dyDescent="0.25">
      <c r="O4566" s="21"/>
    </row>
    <row r="4567" spans="15:15" x14ac:dyDescent="0.25">
      <c r="O4567" s="21"/>
    </row>
    <row r="4568" spans="15:15" x14ac:dyDescent="0.25">
      <c r="O4568" s="21"/>
    </row>
    <row r="4569" spans="15:15" x14ac:dyDescent="0.25">
      <c r="O4569" s="21"/>
    </row>
    <row r="4570" spans="15:15" x14ac:dyDescent="0.25">
      <c r="O4570" s="21"/>
    </row>
    <row r="4571" spans="15:15" x14ac:dyDescent="0.25">
      <c r="O4571" s="21"/>
    </row>
    <row r="4572" spans="15:15" x14ac:dyDescent="0.25">
      <c r="O4572" s="21"/>
    </row>
    <row r="4573" spans="15:15" x14ac:dyDescent="0.25">
      <c r="O4573" s="21"/>
    </row>
    <row r="4574" spans="15:15" x14ac:dyDescent="0.25">
      <c r="O4574" s="21"/>
    </row>
    <row r="4575" spans="15:15" x14ac:dyDescent="0.25">
      <c r="O4575" s="21"/>
    </row>
    <row r="4576" spans="15:15" x14ac:dyDescent="0.25">
      <c r="O4576" s="21"/>
    </row>
    <row r="4577" spans="15:15" x14ac:dyDescent="0.25">
      <c r="O4577" s="21"/>
    </row>
    <row r="4578" spans="15:15" x14ac:dyDescent="0.25">
      <c r="O4578" s="21"/>
    </row>
    <row r="4579" spans="15:15" x14ac:dyDescent="0.25">
      <c r="O4579" s="21"/>
    </row>
    <row r="4580" spans="15:15" x14ac:dyDescent="0.25">
      <c r="O4580" s="21"/>
    </row>
    <row r="4581" spans="15:15" x14ac:dyDescent="0.25">
      <c r="O4581" s="21"/>
    </row>
    <row r="4582" spans="15:15" x14ac:dyDescent="0.25">
      <c r="O4582" s="21"/>
    </row>
    <row r="4583" spans="15:15" x14ac:dyDescent="0.25">
      <c r="O4583" s="21"/>
    </row>
    <row r="4584" spans="15:15" x14ac:dyDescent="0.25">
      <c r="O4584" s="21"/>
    </row>
    <row r="4585" spans="15:15" x14ac:dyDescent="0.25">
      <c r="O4585" s="21"/>
    </row>
    <row r="4586" spans="15:15" x14ac:dyDescent="0.25">
      <c r="O4586" s="21"/>
    </row>
    <row r="4587" spans="15:15" x14ac:dyDescent="0.25">
      <c r="O4587" s="21"/>
    </row>
    <row r="4588" spans="15:15" x14ac:dyDescent="0.25">
      <c r="O4588" s="21"/>
    </row>
    <row r="4589" spans="15:15" x14ac:dyDescent="0.25">
      <c r="O4589" s="21"/>
    </row>
    <row r="4590" spans="15:15" x14ac:dyDescent="0.25">
      <c r="O4590" s="21"/>
    </row>
    <row r="4591" spans="15:15" x14ac:dyDescent="0.25">
      <c r="O4591" s="21"/>
    </row>
    <row r="4592" spans="15:15" x14ac:dyDescent="0.25">
      <c r="O4592" s="21"/>
    </row>
    <row r="4593" spans="15:15" x14ac:dyDescent="0.25">
      <c r="O4593" s="21"/>
    </row>
    <row r="4594" spans="15:15" x14ac:dyDescent="0.25">
      <c r="O4594" s="21"/>
    </row>
    <row r="4595" spans="15:15" x14ac:dyDescent="0.25">
      <c r="O4595" s="21"/>
    </row>
    <row r="4596" spans="15:15" x14ac:dyDescent="0.25">
      <c r="O4596" s="21"/>
    </row>
    <row r="4597" spans="15:15" x14ac:dyDescent="0.25">
      <c r="O4597" s="21"/>
    </row>
    <row r="4598" spans="15:15" x14ac:dyDescent="0.25">
      <c r="O4598" s="21"/>
    </row>
    <row r="4599" spans="15:15" x14ac:dyDescent="0.25">
      <c r="O4599" s="21"/>
    </row>
    <row r="4600" spans="15:15" x14ac:dyDescent="0.25">
      <c r="O4600" s="21"/>
    </row>
    <row r="4601" spans="15:15" x14ac:dyDescent="0.25">
      <c r="O4601" s="21"/>
    </row>
    <row r="4602" spans="15:15" x14ac:dyDescent="0.25">
      <c r="O4602" s="21"/>
    </row>
    <row r="4603" spans="15:15" x14ac:dyDescent="0.25">
      <c r="O4603" s="21"/>
    </row>
    <row r="4604" spans="15:15" x14ac:dyDescent="0.25">
      <c r="O4604" s="21"/>
    </row>
    <row r="4605" spans="15:15" x14ac:dyDescent="0.25">
      <c r="O4605" s="21"/>
    </row>
    <row r="4606" spans="15:15" x14ac:dyDescent="0.25">
      <c r="O4606" s="21"/>
    </row>
    <row r="4607" spans="15:15" x14ac:dyDescent="0.25">
      <c r="O4607" s="21"/>
    </row>
    <row r="4608" spans="15:15" x14ac:dyDescent="0.25">
      <c r="O4608" s="21"/>
    </row>
    <row r="4609" spans="15:15" x14ac:dyDescent="0.25">
      <c r="O4609" s="21"/>
    </row>
    <row r="4610" spans="15:15" x14ac:dyDescent="0.25">
      <c r="O4610" s="21"/>
    </row>
    <row r="4611" spans="15:15" x14ac:dyDescent="0.25">
      <c r="O4611" s="21"/>
    </row>
    <row r="4612" spans="15:15" x14ac:dyDescent="0.25">
      <c r="O4612" s="21"/>
    </row>
    <row r="4613" spans="15:15" x14ac:dyDescent="0.25">
      <c r="O4613" s="21"/>
    </row>
    <row r="4614" spans="15:15" x14ac:dyDescent="0.25">
      <c r="O4614" s="21"/>
    </row>
    <row r="4615" spans="15:15" x14ac:dyDescent="0.25">
      <c r="O4615" s="21"/>
    </row>
    <row r="4616" spans="15:15" x14ac:dyDescent="0.25">
      <c r="O4616" s="21"/>
    </row>
    <row r="4617" spans="15:15" x14ac:dyDescent="0.25">
      <c r="O4617" s="21"/>
    </row>
    <row r="4618" spans="15:15" x14ac:dyDescent="0.25">
      <c r="O4618" s="21"/>
    </row>
    <row r="4619" spans="15:15" x14ac:dyDescent="0.25">
      <c r="O4619" s="21"/>
    </row>
    <row r="4620" spans="15:15" x14ac:dyDescent="0.25">
      <c r="O4620" s="21"/>
    </row>
    <row r="4621" spans="15:15" x14ac:dyDescent="0.25">
      <c r="O4621" s="21"/>
    </row>
    <row r="4622" spans="15:15" x14ac:dyDescent="0.25">
      <c r="O4622" s="21"/>
    </row>
    <row r="4623" spans="15:15" x14ac:dyDescent="0.25">
      <c r="O4623" s="21"/>
    </row>
    <row r="4624" spans="15:15" x14ac:dyDescent="0.25">
      <c r="O4624" s="21"/>
    </row>
    <row r="4625" spans="15:15" x14ac:dyDescent="0.25">
      <c r="O4625" s="21"/>
    </row>
    <row r="4626" spans="15:15" x14ac:dyDescent="0.25">
      <c r="O4626" s="21"/>
    </row>
    <row r="4627" spans="15:15" x14ac:dyDescent="0.25">
      <c r="O4627" s="21"/>
    </row>
    <row r="4628" spans="15:15" x14ac:dyDescent="0.25">
      <c r="O4628" s="21"/>
    </row>
    <row r="4629" spans="15:15" x14ac:dyDescent="0.25">
      <c r="O4629" s="21"/>
    </row>
    <row r="4630" spans="15:15" x14ac:dyDescent="0.25">
      <c r="O4630" s="21"/>
    </row>
    <row r="4631" spans="15:15" x14ac:dyDescent="0.25">
      <c r="O4631" s="21"/>
    </row>
    <row r="4632" spans="15:15" x14ac:dyDescent="0.25">
      <c r="O4632" s="21"/>
    </row>
    <row r="4633" spans="15:15" x14ac:dyDescent="0.25">
      <c r="O4633" s="21"/>
    </row>
    <row r="4634" spans="15:15" x14ac:dyDescent="0.25">
      <c r="O4634" s="21"/>
    </row>
    <row r="4635" spans="15:15" x14ac:dyDescent="0.25">
      <c r="O4635" s="21"/>
    </row>
    <row r="4636" spans="15:15" x14ac:dyDescent="0.25">
      <c r="O4636" s="21"/>
    </row>
    <row r="4637" spans="15:15" x14ac:dyDescent="0.25">
      <c r="O4637" s="21"/>
    </row>
    <row r="4638" spans="15:15" x14ac:dyDescent="0.25">
      <c r="O4638" s="21"/>
    </row>
    <row r="4639" spans="15:15" x14ac:dyDescent="0.25">
      <c r="O4639" s="21"/>
    </row>
    <row r="4640" spans="15:15" x14ac:dyDescent="0.25">
      <c r="O4640" s="21"/>
    </row>
    <row r="4641" spans="15:15" x14ac:dyDescent="0.25">
      <c r="O4641" s="21"/>
    </row>
    <row r="4642" spans="15:15" x14ac:dyDescent="0.25">
      <c r="O4642" s="21"/>
    </row>
    <row r="4643" spans="15:15" x14ac:dyDescent="0.25">
      <c r="O4643" s="21"/>
    </row>
    <row r="4644" spans="15:15" x14ac:dyDescent="0.25">
      <c r="O4644" s="21"/>
    </row>
    <row r="4645" spans="15:15" x14ac:dyDescent="0.25">
      <c r="O4645" s="21"/>
    </row>
    <row r="4646" spans="15:15" x14ac:dyDescent="0.25">
      <c r="O4646" s="21"/>
    </row>
    <row r="4647" spans="15:15" x14ac:dyDescent="0.25">
      <c r="O4647" s="21"/>
    </row>
    <row r="4648" spans="15:15" x14ac:dyDescent="0.25">
      <c r="O4648" s="21"/>
    </row>
    <row r="4649" spans="15:15" x14ac:dyDescent="0.25">
      <c r="O4649" s="21"/>
    </row>
    <row r="4650" spans="15:15" x14ac:dyDescent="0.25">
      <c r="O4650" s="21"/>
    </row>
    <row r="4651" spans="15:15" x14ac:dyDescent="0.25">
      <c r="O4651" s="21"/>
    </row>
    <row r="4652" spans="15:15" x14ac:dyDescent="0.25">
      <c r="O4652" s="21"/>
    </row>
    <row r="4653" spans="15:15" x14ac:dyDescent="0.25">
      <c r="O4653" s="21"/>
    </row>
    <row r="4654" spans="15:15" x14ac:dyDescent="0.25">
      <c r="O4654" s="21"/>
    </row>
    <row r="4655" spans="15:15" x14ac:dyDescent="0.25">
      <c r="O4655" s="21"/>
    </row>
    <row r="4656" spans="15:15" x14ac:dyDescent="0.25">
      <c r="O4656" s="21"/>
    </row>
    <row r="4657" spans="15:15" x14ac:dyDescent="0.25">
      <c r="O4657" s="21"/>
    </row>
    <row r="4658" spans="15:15" x14ac:dyDescent="0.25">
      <c r="O4658" s="21"/>
    </row>
    <row r="4659" spans="15:15" x14ac:dyDescent="0.25">
      <c r="O4659" s="21"/>
    </row>
    <row r="4660" spans="15:15" x14ac:dyDescent="0.25">
      <c r="O4660" s="21"/>
    </row>
    <row r="4661" spans="15:15" x14ac:dyDescent="0.25">
      <c r="O4661" s="21"/>
    </row>
    <row r="4662" spans="15:15" x14ac:dyDescent="0.25">
      <c r="O4662" s="21"/>
    </row>
    <row r="4663" spans="15:15" x14ac:dyDescent="0.25">
      <c r="O4663" s="21"/>
    </row>
    <row r="4664" spans="15:15" x14ac:dyDescent="0.25">
      <c r="O4664" s="21"/>
    </row>
    <row r="4665" spans="15:15" x14ac:dyDescent="0.25">
      <c r="O4665" s="21"/>
    </row>
    <row r="4666" spans="15:15" x14ac:dyDescent="0.25">
      <c r="O4666" s="21"/>
    </row>
    <row r="4667" spans="15:15" x14ac:dyDescent="0.25">
      <c r="O4667" s="21"/>
    </row>
    <row r="4668" spans="15:15" x14ac:dyDescent="0.25">
      <c r="O4668" s="21"/>
    </row>
    <row r="4669" spans="15:15" x14ac:dyDescent="0.25">
      <c r="O4669" s="21"/>
    </row>
    <row r="4670" spans="15:15" x14ac:dyDescent="0.25">
      <c r="O4670" s="21"/>
    </row>
    <row r="4671" spans="15:15" x14ac:dyDescent="0.25">
      <c r="O4671" s="21"/>
    </row>
    <row r="4672" spans="15:15" x14ac:dyDescent="0.25">
      <c r="O4672" s="21"/>
    </row>
    <row r="4673" spans="15:15" x14ac:dyDescent="0.25">
      <c r="O4673" s="21"/>
    </row>
    <row r="4674" spans="15:15" x14ac:dyDescent="0.25">
      <c r="O4674" s="21"/>
    </row>
    <row r="4675" spans="15:15" x14ac:dyDescent="0.25">
      <c r="O4675" s="21"/>
    </row>
    <row r="4676" spans="15:15" x14ac:dyDescent="0.25">
      <c r="O4676" s="21"/>
    </row>
    <row r="4677" spans="15:15" x14ac:dyDescent="0.25">
      <c r="O4677" s="21"/>
    </row>
    <row r="4678" spans="15:15" x14ac:dyDescent="0.25">
      <c r="O4678" s="21"/>
    </row>
    <row r="4679" spans="15:15" x14ac:dyDescent="0.25">
      <c r="O4679" s="21"/>
    </row>
    <row r="4680" spans="15:15" x14ac:dyDescent="0.25">
      <c r="O4680" s="21"/>
    </row>
    <row r="4681" spans="15:15" x14ac:dyDescent="0.25">
      <c r="O4681" s="21"/>
    </row>
    <row r="4682" spans="15:15" x14ac:dyDescent="0.25">
      <c r="O4682" s="21"/>
    </row>
    <row r="4683" spans="15:15" x14ac:dyDescent="0.25">
      <c r="O4683" s="21"/>
    </row>
    <row r="4684" spans="15:15" x14ac:dyDescent="0.25">
      <c r="O4684" s="21"/>
    </row>
    <row r="4685" spans="15:15" x14ac:dyDescent="0.25">
      <c r="O4685" s="21"/>
    </row>
    <row r="4686" spans="15:15" x14ac:dyDescent="0.25">
      <c r="O4686" s="21"/>
    </row>
    <row r="4687" spans="15:15" x14ac:dyDescent="0.25">
      <c r="O4687" s="21"/>
    </row>
    <row r="4688" spans="15:15" x14ac:dyDescent="0.25">
      <c r="O4688" s="21"/>
    </row>
    <row r="4689" spans="15:15" x14ac:dyDescent="0.25">
      <c r="O4689" s="21"/>
    </row>
    <row r="4690" spans="15:15" x14ac:dyDescent="0.25">
      <c r="O4690" s="21"/>
    </row>
    <row r="4691" spans="15:15" x14ac:dyDescent="0.25">
      <c r="O4691" s="21"/>
    </row>
    <row r="4692" spans="15:15" x14ac:dyDescent="0.25">
      <c r="O4692" s="21"/>
    </row>
    <row r="4693" spans="15:15" x14ac:dyDescent="0.25">
      <c r="O4693" s="21"/>
    </row>
    <row r="4694" spans="15:15" x14ac:dyDescent="0.25">
      <c r="O4694" s="21"/>
    </row>
    <row r="4695" spans="15:15" x14ac:dyDescent="0.25">
      <c r="O4695" s="21"/>
    </row>
    <row r="4696" spans="15:15" x14ac:dyDescent="0.25">
      <c r="O4696" s="21"/>
    </row>
    <row r="4697" spans="15:15" x14ac:dyDescent="0.25">
      <c r="O4697" s="21"/>
    </row>
    <row r="4698" spans="15:15" x14ac:dyDescent="0.25">
      <c r="O4698" s="21"/>
    </row>
    <row r="4699" spans="15:15" x14ac:dyDescent="0.25">
      <c r="O4699" s="21"/>
    </row>
    <row r="4700" spans="15:15" x14ac:dyDescent="0.25">
      <c r="O4700" s="21"/>
    </row>
    <row r="4701" spans="15:15" x14ac:dyDescent="0.25">
      <c r="O4701" s="21"/>
    </row>
    <row r="4702" spans="15:15" x14ac:dyDescent="0.25">
      <c r="O4702" s="21"/>
    </row>
    <row r="4703" spans="15:15" x14ac:dyDescent="0.25">
      <c r="O4703" s="21"/>
    </row>
    <row r="4704" spans="15:15" x14ac:dyDescent="0.25">
      <c r="O4704" s="21"/>
    </row>
    <row r="4705" spans="15:15" x14ac:dyDescent="0.25">
      <c r="O4705" s="21"/>
    </row>
    <row r="4706" spans="15:15" x14ac:dyDescent="0.25">
      <c r="O4706" s="21"/>
    </row>
    <row r="4707" spans="15:15" x14ac:dyDescent="0.25">
      <c r="O4707" s="21"/>
    </row>
    <row r="4708" spans="15:15" x14ac:dyDescent="0.25">
      <c r="O4708" s="21"/>
    </row>
    <row r="4709" spans="15:15" x14ac:dyDescent="0.25">
      <c r="O4709" s="21"/>
    </row>
    <row r="4710" spans="15:15" x14ac:dyDescent="0.25">
      <c r="O4710" s="21"/>
    </row>
    <row r="4711" spans="15:15" x14ac:dyDescent="0.25">
      <c r="O4711" s="21"/>
    </row>
    <row r="4712" spans="15:15" x14ac:dyDescent="0.25">
      <c r="O4712" s="21"/>
    </row>
    <row r="4713" spans="15:15" x14ac:dyDescent="0.25">
      <c r="O4713" s="21"/>
    </row>
    <row r="4714" spans="15:15" x14ac:dyDescent="0.25">
      <c r="O4714" s="21"/>
    </row>
    <row r="4715" spans="15:15" x14ac:dyDescent="0.25">
      <c r="O4715" s="21"/>
    </row>
    <row r="4716" spans="15:15" x14ac:dyDescent="0.25">
      <c r="O4716" s="21"/>
    </row>
    <row r="4717" spans="15:15" x14ac:dyDescent="0.25">
      <c r="O4717" s="21"/>
    </row>
    <row r="4718" spans="15:15" x14ac:dyDescent="0.25">
      <c r="O4718" s="21"/>
    </row>
    <row r="4719" spans="15:15" x14ac:dyDescent="0.25">
      <c r="O4719" s="21"/>
    </row>
    <row r="4720" spans="15:15" x14ac:dyDescent="0.25">
      <c r="O4720" s="21"/>
    </row>
    <row r="4721" spans="15:15" x14ac:dyDescent="0.25">
      <c r="O4721" s="21"/>
    </row>
    <row r="4722" spans="15:15" x14ac:dyDescent="0.25">
      <c r="O4722" s="21"/>
    </row>
    <row r="4723" spans="15:15" x14ac:dyDescent="0.25">
      <c r="O4723" s="21"/>
    </row>
    <row r="4724" spans="15:15" x14ac:dyDescent="0.25">
      <c r="O4724" s="21"/>
    </row>
    <row r="4725" spans="15:15" x14ac:dyDescent="0.25">
      <c r="O4725" s="21"/>
    </row>
    <row r="4726" spans="15:15" x14ac:dyDescent="0.25">
      <c r="O4726" s="21"/>
    </row>
    <row r="4727" spans="15:15" x14ac:dyDescent="0.25">
      <c r="O4727" s="21"/>
    </row>
    <row r="4728" spans="15:15" x14ac:dyDescent="0.25">
      <c r="O4728" s="21"/>
    </row>
    <row r="4729" spans="15:15" x14ac:dyDescent="0.25">
      <c r="O4729" s="21"/>
    </row>
    <row r="4730" spans="15:15" x14ac:dyDescent="0.25">
      <c r="O4730" s="21"/>
    </row>
    <row r="4731" spans="15:15" x14ac:dyDescent="0.25">
      <c r="O4731" s="21"/>
    </row>
    <row r="4732" spans="15:15" x14ac:dyDescent="0.25">
      <c r="O4732" s="21"/>
    </row>
    <row r="4733" spans="15:15" x14ac:dyDescent="0.25">
      <c r="O4733" s="21"/>
    </row>
    <row r="4734" spans="15:15" x14ac:dyDescent="0.25">
      <c r="O4734" s="21"/>
    </row>
    <row r="4735" spans="15:15" x14ac:dyDescent="0.25">
      <c r="O4735" s="21"/>
    </row>
    <row r="4736" spans="15:15" x14ac:dyDescent="0.25">
      <c r="O4736" s="21"/>
    </row>
    <row r="4737" spans="15:15" x14ac:dyDescent="0.25">
      <c r="O4737" s="21"/>
    </row>
    <row r="4738" spans="15:15" x14ac:dyDescent="0.25">
      <c r="O4738" s="21"/>
    </row>
    <row r="4739" spans="15:15" x14ac:dyDescent="0.25">
      <c r="O4739" s="21"/>
    </row>
    <row r="4740" spans="15:15" x14ac:dyDescent="0.25">
      <c r="O4740" s="21"/>
    </row>
    <row r="4741" spans="15:15" x14ac:dyDescent="0.25">
      <c r="O4741" s="21"/>
    </row>
    <row r="4742" spans="15:15" x14ac:dyDescent="0.25">
      <c r="O4742" s="21"/>
    </row>
    <row r="4743" spans="15:15" x14ac:dyDescent="0.25">
      <c r="O4743" s="21"/>
    </row>
    <row r="4744" spans="15:15" x14ac:dyDescent="0.25">
      <c r="O4744" s="21"/>
    </row>
    <row r="4745" spans="15:15" x14ac:dyDescent="0.25">
      <c r="O4745" s="21"/>
    </row>
    <row r="4746" spans="15:15" x14ac:dyDescent="0.25">
      <c r="O4746" s="21"/>
    </row>
    <row r="4747" spans="15:15" x14ac:dyDescent="0.25">
      <c r="O4747" s="21"/>
    </row>
    <row r="4748" spans="15:15" x14ac:dyDescent="0.25">
      <c r="O4748" s="21"/>
    </row>
    <row r="4749" spans="15:15" x14ac:dyDescent="0.25">
      <c r="O4749" s="21"/>
    </row>
    <row r="4750" spans="15:15" x14ac:dyDescent="0.25">
      <c r="O4750" s="21"/>
    </row>
    <row r="4751" spans="15:15" x14ac:dyDescent="0.25">
      <c r="O4751" s="21"/>
    </row>
    <row r="4752" spans="15:15" x14ac:dyDescent="0.25">
      <c r="O4752" s="21"/>
    </row>
    <row r="4753" spans="15:15" x14ac:dyDescent="0.25">
      <c r="O4753" s="21"/>
    </row>
    <row r="4754" spans="15:15" x14ac:dyDescent="0.25">
      <c r="O4754" s="21"/>
    </row>
    <row r="4755" spans="15:15" x14ac:dyDescent="0.25">
      <c r="O4755" s="21"/>
    </row>
    <row r="4756" spans="15:15" x14ac:dyDescent="0.25">
      <c r="O4756" s="21"/>
    </row>
    <row r="4757" spans="15:15" x14ac:dyDescent="0.25">
      <c r="O4757" s="21"/>
    </row>
    <row r="4758" spans="15:15" x14ac:dyDescent="0.25">
      <c r="O4758" s="21"/>
    </row>
    <row r="4759" spans="15:15" x14ac:dyDescent="0.25">
      <c r="O4759" s="21"/>
    </row>
    <row r="4760" spans="15:15" x14ac:dyDescent="0.25">
      <c r="O4760" s="21"/>
    </row>
    <row r="4761" spans="15:15" x14ac:dyDescent="0.25">
      <c r="O4761" s="21"/>
    </row>
    <row r="4762" spans="15:15" x14ac:dyDescent="0.25">
      <c r="O4762" s="21"/>
    </row>
    <row r="4763" spans="15:15" x14ac:dyDescent="0.25">
      <c r="O4763" s="21"/>
    </row>
    <row r="4764" spans="15:15" x14ac:dyDescent="0.25">
      <c r="O4764" s="21"/>
    </row>
    <row r="4765" spans="15:15" x14ac:dyDescent="0.25">
      <c r="O4765" s="21"/>
    </row>
    <row r="4766" spans="15:15" x14ac:dyDescent="0.25">
      <c r="O4766" s="21"/>
    </row>
    <row r="4767" spans="15:15" x14ac:dyDescent="0.25">
      <c r="O4767" s="21"/>
    </row>
    <row r="4768" spans="15:15" x14ac:dyDescent="0.25">
      <c r="O4768" s="21"/>
    </row>
    <row r="4769" spans="15:15" x14ac:dyDescent="0.25">
      <c r="O4769" s="21"/>
    </row>
    <row r="4770" spans="15:15" x14ac:dyDescent="0.25">
      <c r="O4770" s="21"/>
    </row>
    <row r="4771" spans="15:15" x14ac:dyDescent="0.25">
      <c r="O4771" s="21"/>
    </row>
    <row r="4772" spans="15:15" x14ac:dyDescent="0.25">
      <c r="O4772" s="21"/>
    </row>
    <row r="4773" spans="15:15" x14ac:dyDescent="0.25">
      <c r="O4773" s="21"/>
    </row>
    <row r="4774" spans="15:15" x14ac:dyDescent="0.25">
      <c r="O4774" s="21"/>
    </row>
    <row r="4775" spans="15:15" x14ac:dyDescent="0.25">
      <c r="O4775" s="21"/>
    </row>
    <row r="4776" spans="15:15" x14ac:dyDescent="0.25">
      <c r="O4776" s="21"/>
    </row>
    <row r="4777" spans="15:15" x14ac:dyDescent="0.25">
      <c r="O4777" s="21"/>
    </row>
    <row r="4778" spans="15:15" x14ac:dyDescent="0.25">
      <c r="O4778" s="21"/>
    </row>
    <row r="4779" spans="15:15" x14ac:dyDescent="0.25">
      <c r="O4779" s="21"/>
    </row>
    <row r="4780" spans="15:15" x14ac:dyDescent="0.25">
      <c r="O4780" s="21"/>
    </row>
    <row r="4781" spans="15:15" x14ac:dyDescent="0.25">
      <c r="O4781" s="21"/>
    </row>
    <row r="4782" spans="15:15" x14ac:dyDescent="0.25">
      <c r="O4782" s="21"/>
    </row>
    <row r="4783" spans="15:15" x14ac:dyDescent="0.25">
      <c r="O4783" s="21"/>
    </row>
    <row r="4784" spans="15:15" x14ac:dyDescent="0.25">
      <c r="O4784" s="21"/>
    </row>
    <row r="4785" spans="15:15" x14ac:dyDescent="0.25">
      <c r="O4785" s="21"/>
    </row>
    <row r="4786" spans="15:15" x14ac:dyDescent="0.25">
      <c r="O4786" s="21"/>
    </row>
    <row r="4787" spans="15:15" x14ac:dyDescent="0.25">
      <c r="O4787" s="21"/>
    </row>
    <row r="4788" spans="15:15" x14ac:dyDescent="0.25">
      <c r="O4788" s="21"/>
    </row>
    <row r="4789" spans="15:15" x14ac:dyDescent="0.25">
      <c r="O4789" s="21"/>
    </row>
    <row r="4790" spans="15:15" x14ac:dyDescent="0.25">
      <c r="O4790" s="21"/>
    </row>
    <row r="4791" spans="15:15" x14ac:dyDescent="0.25">
      <c r="O4791" s="21"/>
    </row>
    <row r="4792" spans="15:15" x14ac:dyDescent="0.25">
      <c r="O4792" s="21"/>
    </row>
    <row r="4793" spans="15:15" x14ac:dyDescent="0.25">
      <c r="O4793" s="21"/>
    </row>
    <row r="4794" spans="15:15" x14ac:dyDescent="0.25">
      <c r="O4794" s="21"/>
    </row>
    <row r="4795" spans="15:15" x14ac:dyDescent="0.25">
      <c r="O4795" s="21"/>
    </row>
    <row r="4796" spans="15:15" x14ac:dyDescent="0.25">
      <c r="O4796" s="21"/>
    </row>
    <row r="4797" spans="15:15" x14ac:dyDescent="0.25">
      <c r="O4797" s="21"/>
    </row>
    <row r="4798" spans="15:15" x14ac:dyDescent="0.25">
      <c r="O4798" s="21"/>
    </row>
    <row r="4799" spans="15:15" x14ac:dyDescent="0.25">
      <c r="O4799" s="21"/>
    </row>
    <row r="4800" spans="15:15" x14ac:dyDescent="0.25">
      <c r="O4800" s="21"/>
    </row>
    <row r="4801" spans="15:15" x14ac:dyDescent="0.25">
      <c r="O4801" s="21"/>
    </row>
    <row r="4802" spans="15:15" x14ac:dyDescent="0.25">
      <c r="O4802" s="21"/>
    </row>
    <row r="4803" spans="15:15" x14ac:dyDescent="0.25">
      <c r="O4803" s="21"/>
    </row>
    <row r="4804" spans="15:15" x14ac:dyDescent="0.25">
      <c r="O4804" s="21"/>
    </row>
    <row r="4805" spans="15:15" x14ac:dyDescent="0.25">
      <c r="O4805" s="21"/>
    </row>
    <row r="4806" spans="15:15" x14ac:dyDescent="0.25">
      <c r="O4806" s="21"/>
    </row>
    <row r="4807" spans="15:15" x14ac:dyDescent="0.25">
      <c r="O4807" s="21"/>
    </row>
    <row r="4808" spans="15:15" x14ac:dyDescent="0.25">
      <c r="O4808" s="21"/>
    </row>
    <row r="4809" spans="15:15" x14ac:dyDescent="0.25">
      <c r="O4809" s="21"/>
    </row>
    <row r="4810" spans="15:15" x14ac:dyDescent="0.25">
      <c r="O4810" s="21"/>
    </row>
    <row r="4811" spans="15:15" x14ac:dyDescent="0.25">
      <c r="O4811" s="21"/>
    </row>
    <row r="4812" spans="15:15" x14ac:dyDescent="0.25">
      <c r="O4812" s="21"/>
    </row>
    <row r="4813" spans="15:15" x14ac:dyDescent="0.25">
      <c r="O4813" s="21"/>
    </row>
    <row r="4814" spans="15:15" x14ac:dyDescent="0.25">
      <c r="O4814" s="21"/>
    </row>
    <row r="4815" spans="15:15" x14ac:dyDescent="0.25">
      <c r="O4815" s="21"/>
    </row>
    <row r="4816" spans="15:15" x14ac:dyDescent="0.25">
      <c r="O4816" s="21"/>
    </row>
    <row r="4817" spans="15:15" x14ac:dyDescent="0.25">
      <c r="O4817" s="21"/>
    </row>
    <row r="4818" spans="15:15" x14ac:dyDescent="0.25">
      <c r="O4818" s="21"/>
    </row>
    <row r="4819" spans="15:15" x14ac:dyDescent="0.25">
      <c r="O4819" s="21"/>
    </row>
    <row r="4820" spans="15:15" x14ac:dyDescent="0.25">
      <c r="O4820" s="21"/>
    </row>
    <row r="4821" spans="15:15" x14ac:dyDescent="0.25">
      <c r="O4821" s="21"/>
    </row>
    <row r="4822" spans="15:15" x14ac:dyDescent="0.25">
      <c r="O4822" s="21"/>
    </row>
    <row r="4823" spans="15:15" x14ac:dyDescent="0.25">
      <c r="O4823" s="21"/>
    </row>
    <row r="4824" spans="15:15" x14ac:dyDescent="0.25">
      <c r="O4824" s="21"/>
    </row>
    <row r="4825" spans="15:15" x14ac:dyDescent="0.25">
      <c r="O4825" s="21"/>
    </row>
    <row r="4826" spans="15:15" x14ac:dyDescent="0.25">
      <c r="O4826" s="21"/>
    </row>
    <row r="4827" spans="15:15" x14ac:dyDescent="0.25">
      <c r="O4827" s="21"/>
    </row>
    <row r="4828" spans="15:15" x14ac:dyDescent="0.25">
      <c r="O4828" s="21"/>
    </row>
    <row r="4829" spans="15:15" x14ac:dyDescent="0.25">
      <c r="O4829" s="21"/>
    </row>
    <row r="4830" spans="15:15" x14ac:dyDescent="0.25">
      <c r="O4830" s="21"/>
    </row>
    <row r="4831" spans="15:15" x14ac:dyDescent="0.25">
      <c r="O4831" s="21"/>
    </row>
    <row r="4832" spans="15:15" x14ac:dyDescent="0.25">
      <c r="O4832" s="21"/>
    </row>
    <row r="4833" spans="15:15" x14ac:dyDescent="0.25">
      <c r="O4833" s="21"/>
    </row>
    <row r="4834" spans="15:15" x14ac:dyDescent="0.25">
      <c r="O4834" s="21"/>
    </row>
    <row r="4835" spans="15:15" x14ac:dyDescent="0.25">
      <c r="O4835" s="21"/>
    </row>
    <row r="4836" spans="15:15" x14ac:dyDescent="0.25">
      <c r="O4836" s="21"/>
    </row>
    <row r="4837" spans="15:15" x14ac:dyDescent="0.25">
      <c r="O4837" s="21"/>
    </row>
    <row r="4838" spans="15:15" x14ac:dyDescent="0.25">
      <c r="O4838" s="21"/>
    </row>
    <row r="4839" spans="15:15" x14ac:dyDescent="0.25">
      <c r="O4839" s="21"/>
    </row>
    <row r="4840" spans="15:15" x14ac:dyDescent="0.25">
      <c r="O4840" s="21"/>
    </row>
    <row r="4841" spans="15:15" x14ac:dyDescent="0.25">
      <c r="O4841" s="21"/>
    </row>
    <row r="4842" spans="15:15" x14ac:dyDescent="0.25">
      <c r="O4842" s="21"/>
    </row>
    <row r="4843" spans="15:15" x14ac:dyDescent="0.25">
      <c r="O4843" s="21"/>
    </row>
    <row r="4844" spans="15:15" x14ac:dyDescent="0.25">
      <c r="O4844" s="21"/>
    </row>
    <row r="4845" spans="15:15" x14ac:dyDescent="0.25">
      <c r="O4845" s="21"/>
    </row>
    <row r="4846" spans="15:15" x14ac:dyDescent="0.25">
      <c r="O4846" s="21"/>
    </row>
    <row r="4847" spans="15:15" x14ac:dyDescent="0.25">
      <c r="O4847" s="21"/>
    </row>
    <row r="4848" spans="15:15" x14ac:dyDescent="0.25">
      <c r="O4848" s="21"/>
    </row>
    <row r="4849" spans="15:15" x14ac:dyDescent="0.25">
      <c r="O4849" s="21"/>
    </row>
    <row r="4850" spans="15:15" x14ac:dyDescent="0.25">
      <c r="O4850" s="21"/>
    </row>
    <row r="4851" spans="15:15" x14ac:dyDescent="0.25">
      <c r="O4851" s="21"/>
    </row>
    <row r="4852" spans="15:15" x14ac:dyDescent="0.25">
      <c r="O4852" s="21"/>
    </row>
    <row r="4853" spans="15:15" x14ac:dyDescent="0.25">
      <c r="O4853" s="21"/>
    </row>
    <row r="4854" spans="15:15" x14ac:dyDescent="0.25">
      <c r="O4854" s="21"/>
    </row>
    <row r="4855" spans="15:15" x14ac:dyDescent="0.25">
      <c r="O4855" s="21"/>
    </row>
    <row r="4856" spans="15:15" x14ac:dyDescent="0.25">
      <c r="O4856" s="21"/>
    </row>
    <row r="4857" spans="15:15" x14ac:dyDescent="0.25">
      <c r="O4857" s="21"/>
    </row>
    <row r="4858" spans="15:15" x14ac:dyDescent="0.25">
      <c r="O4858" s="21"/>
    </row>
    <row r="4859" spans="15:15" x14ac:dyDescent="0.25">
      <c r="O4859" s="21"/>
    </row>
    <row r="4860" spans="15:15" x14ac:dyDescent="0.25">
      <c r="O4860" s="21"/>
    </row>
    <row r="4861" spans="15:15" x14ac:dyDescent="0.25">
      <c r="O4861" s="21"/>
    </row>
    <row r="4862" spans="15:15" x14ac:dyDescent="0.25">
      <c r="O4862" s="21"/>
    </row>
    <row r="4863" spans="15:15" x14ac:dyDescent="0.25">
      <c r="O4863" s="21"/>
    </row>
    <row r="4864" spans="15:15" x14ac:dyDescent="0.25">
      <c r="O4864" s="21"/>
    </row>
    <row r="4865" spans="15:15" x14ac:dyDescent="0.25">
      <c r="O4865" s="21"/>
    </row>
    <row r="4866" spans="15:15" x14ac:dyDescent="0.25">
      <c r="O4866" s="21"/>
    </row>
    <row r="4867" spans="15:15" x14ac:dyDescent="0.25">
      <c r="O4867" s="21"/>
    </row>
    <row r="4868" spans="15:15" x14ac:dyDescent="0.25">
      <c r="O4868" s="21"/>
    </row>
    <row r="4869" spans="15:15" x14ac:dyDescent="0.25">
      <c r="O4869" s="21"/>
    </row>
    <row r="4870" spans="15:15" x14ac:dyDescent="0.25">
      <c r="O4870" s="21"/>
    </row>
    <row r="4871" spans="15:15" x14ac:dyDescent="0.25">
      <c r="O4871" s="21"/>
    </row>
    <row r="4872" spans="15:15" x14ac:dyDescent="0.25">
      <c r="O4872" s="21"/>
    </row>
    <row r="4873" spans="15:15" x14ac:dyDescent="0.25">
      <c r="O4873" s="21"/>
    </row>
    <row r="4874" spans="15:15" x14ac:dyDescent="0.25">
      <c r="O4874" s="21"/>
    </row>
    <row r="4875" spans="15:15" x14ac:dyDescent="0.25">
      <c r="O4875" s="21"/>
    </row>
    <row r="4876" spans="15:15" x14ac:dyDescent="0.25">
      <c r="O4876" s="21"/>
    </row>
    <row r="4877" spans="15:15" x14ac:dyDescent="0.25">
      <c r="O4877" s="21"/>
    </row>
    <row r="4878" spans="15:15" x14ac:dyDescent="0.25">
      <c r="O4878" s="21"/>
    </row>
    <row r="4879" spans="15:15" x14ac:dyDescent="0.25">
      <c r="O4879" s="21"/>
    </row>
    <row r="4880" spans="15:15" x14ac:dyDescent="0.25">
      <c r="O4880" s="21"/>
    </row>
    <row r="4881" spans="15:15" x14ac:dyDescent="0.25">
      <c r="O4881" s="21"/>
    </row>
    <row r="4882" spans="15:15" x14ac:dyDescent="0.25">
      <c r="O4882" s="21"/>
    </row>
    <row r="4883" spans="15:15" x14ac:dyDescent="0.25">
      <c r="O4883" s="21"/>
    </row>
    <row r="4884" spans="15:15" x14ac:dyDescent="0.25">
      <c r="O4884" s="21"/>
    </row>
    <row r="4885" spans="15:15" x14ac:dyDescent="0.25">
      <c r="O4885" s="21"/>
    </row>
    <row r="4886" spans="15:15" x14ac:dyDescent="0.25">
      <c r="O4886" s="21"/>
    </row>
    <row r="4887" spans="15:15" x14ac:dyDescent="0.25">
      <c r="O4887" s="21"/>
    </row>
    <row r="4888" spans="15:15" x14ac:dyDescent="0.25">
      <c r="O4888" s="21"/>
    </row>
    <row r="4889" spans="15:15" x14ac:dyDescent="0.25">
      <c r="O4889" s="21"/>
    </row>
    <row r="4890" spans="15:15" x14ac:dyDescent="0.25">
      <c r="O4890" s="21"/>
    </row>
    <row r="4891" spans="15:15" x14ac:dyDescent="0.25">
      <c r="O4891" s="21"/>
    </row>
    <row r="4892" spans="15:15" x14ac:dyDescent="0.25">
      <c r="O4892" s="21"/>
    </row>
    <row r="4893" spans="15:15" x14ac:dyDescent="0.25">
      <c r="O4893" s="21"/>
    </row>
    <row r="4894" spans="15:15" x14ac:dyDescent="0.25">
      <c r="O4894" s="21"/>
    </row>
    <row r="4895" spans="15:15" x14ac:dyDescent="0.25">
      <c r="O4895" s="21"/>
    </row>
    <row r="4896" spans="15:15" x14ac:dyDescent="0.25">
      <c r="O4896" s="21"/>
    </row>
    <row r="4897" spans="15:15" x14ac:dyDescent="0.25">
      <c r="O4897" s="21"/>
    </row>
    <row r="4898" spans="15:15" x14ac:dyDescent="0.25">
      <c r="O4898" s="21"/>
    </row>
    <row r="4899" spans="15:15" x14ac:dyDescent="0.25">
      <c r="O4899" s="21"/>
    </row>
    <row r="4900" spans="15:15" x14ac:dyDescent="0.25">
      <c r="O4900" s="21"/>
    </row>
    <row r="4901" spans="15:15" x14ac:dyDescent="0.25">
      <c r="O4901" s="21"/>
    </row>
    <row r="4902" spans="15:15" x14ac:dyDescent="0.25">
      <c r="O4902" s="21"/>
    </row>
    <row r="4903" spans="15:15" x14ac:dyDescent="0.25">
      <c r="O4903" s="21"/>
    </row>
    <row r="4904" spans="15:15" x14ac:dyDescent="0.25">
      <c r="O4904" s="21"/>
    </row>
    <row r="4905" spans="15:15" x14ac:dyDescent="0.25">
      <c r="O4905" s="21"/>
    </row>
    <row r="4906" spans="15:15" x14ac:dyDescent="0.25">
      <c r="O4906" s="21"/>
    </row>
    <row r="4907" spans="15:15" x14ac:dyDescent="0.25">
      <c r="O4907" s="21"/>
    </row>
    <row r="4908" spans="15:15" x14ac:dyDescent="0.25">
      <c r="O4908" s="21"/>
    </row>
    <row r="4909" spans="15:15" x14ac:dyDescent="0.25">
      <c r="O4909" s="21"/>
    </row>
    <row r="4910" spans="15:15" x14ac:dyDescent="0.25">
      <c r="O4910" s="21"/>
    </row>
    <row r="4911" spans="15:15" x14ac:dyDescent="0.25">
      <c r="O4911" s="21"/>
    </row>
    <row r="4912" spans="15:15" x14ac:dyDescent="0.25">
      <c r="O4912" s="21"/>
    </row>
    <row r="4913" spans="15:15" x14ac:dyDescent="0.25">
      <c r="O4913" s="21"/>
    </row>
    <row r="4914" spans="15:15" x14ac:dyDescent="0.25">
      <c r="O4914" s="21"/>
    </row>
    <row r="4915" spans="15:15" x14ac:dyDescent="0.25">
      <c r="O4915" s="21"/>
    </row>
    <row r="4916" spans="15:15" x14ac:dyDescent="0.25">
      <c r="O4916" s="21"/>
    </row>
    <row r="4917" spans="15:15" x14ac:dyDescent="0.25">
      <c r="O4917" s="21"/>
    </row>
    <row r="4918" spans="15:15" x14ac:dyDescent="0.25">
      <c r="O4918" s="21"/>
    </row>
    <row r="4919" spans="15:15" x14ac:dyDescent="0.25">
      <c r="O4919" s="21"/>
    </row>
    <row r="4920" spans="15:15" x14ac:dyDescent="0.25">
      <c r="O4920" s="21"/>
    </row>
    <row r="4921" spans="15:15" x14ac:dyDescent="0.25">
      <c r="O4921" s="21"/>
    </row>
    <row r="4922" spans="15:15" x14ac:dyDescent="0.25">
      <c r="O4922" s="21"/>
    </row>
    <row r="4923" spans="15:15" x14ac:dyDescent="0.25">
      <c r="O4923" s="21"/>
    </row>
    <row r="4924" spans="15:15" x14ac:dyDescent="0.25">
      <c r="O4924" s="21"/>
    </row>
    <row r="4925" spans="15:15" x14ac:dyDescent="0.25">
      <c r="O4925" s="21"/>
    </row>
    <row r="4926" spans="15:15" x14ac:dyDescent="0.25">
      <c r="O4926" s="21"/>
    </row>
    <row r="4927" spans="15:15" x14ac:dyDescent="0.25">
      <c r="O4927" s="21"/>
    </row>
    <row r="4928" spans="15:15" x14ac:dyDescent="0.25">
      <c r="O4928" s="21"/>
    </row>
    <row r="4929" spans="15:15" x14ac:dyDescent="0.25">
      <c r="O4929" s="21"/>
    </row>
    <row r="4930" spans="15:15" x14ac:dyDescent="0.25">
      <c r="O4930" s="21"/>
    </row>
    <row r="4931" spans="15:15" x14ac:dyDescent="0.25">
      <c r="O4931" s="21"/>
    </row>
    <row r="4932" spans="15:15" x14ac:dyDescent="0.25">
      <c r="O4932" s="21"/>
    </row>
    <row r="4933" spans="15:15" x14ac:dyDescent="0.25">
      <c r="O4933" s="21"/>
    </row>
    <row r="4934" spans="15:15" x14ac:dyDescent="0.25">
      <c r="O4934" s="21"/>
    </row>
    <row r="4935" spans="15:15" x14ac:dyDescent="0.25">
      <c r="O4935" s="21"/>
    </row>
    <row r="4936" spans="15:15" x14ac:dyDescent="0.25">
      <c r="O4936" s="21"/>
    </row>
    <row r="4937" spans="15:15" x14ac:dyDescent="0.25">
      <c r="O4937" s="21"/>
    </row>
    <row r="4938" spans="15:15" x14ac:dyDescent="0.25">
      <c r="O4938" s="21"/>
    </row>
    <row r="4939" spans="15:15" x14ac:dyDescent="0.25">
      <c r="O4939" s="21"/>
    </row>
    <row r="4940" spans="15:15" x14ac:dyDescent="0.25">
      <c r="O4940" s="21"/>
    </row>
    <row r="4941" spans="15:15" x14ac:dyDescent="0.25">
      <c r="O4941" s="21"/>
    </row>
    <row r="4942" spans="15:15" x14ac:dyDescent="0.25">
      <c r="O4942" s="21"/>
    </row>
    <row r="4943" spans="15:15" x14ac:dyDescent="0.25">
      <c r="O4943" s="21"/>
    </row>
    <row r="4944" spans="15:15" x14ac:dyDescent="0.25">
      <c r="O4944" s="21"/>
    </row>
    <row r="4945" spans="15:15" x14ac:dyDescent="0.25">
      <c r="O4945" s="21"/>
    </row>
    <row r="4946" spans="15:15" x14ac:dyDescent="0.25">
      <c r="O4946" s="21"/>
    </row>
    <row r="4947" spans="15:15" x14ac:dyDescent="0.25">
      <c r="O4947" s="21"/>
    </row>
    <row r="4948" spans="15:15" x14ac:dyDescent="0.25">
      <c r="O4948" s="21"/>
    </row>
    <row r="4949" spans="15:15" x14ac:dyDescent="0.25">
      <c r="O4949" s="21"/>
    </row>
    <row r="4950" spans="15:15" x14ac:dyDescent="0.25">
      <c r="O4950" s="21"/>
    </row>
    <row r="4951" spans="15:15" x14ac:dyDescent="0.25">
      <c r="O4951" s="21"/>
    </row>
    <row r="4952" spans="15:15" x14ac:dyDescent="0.25">
      <c r="O4952" s="21"/>
    </row>
    <row r="4953" spans="15:15" x14ac:dyDescent="0.25">
      <c r="O4953" s="21"/>
    </row>
    <row r="4954" spans="15:15" x14ac:dyDescent="0.25">
      <c r="O4954" s="21"/>
    </row>
    <row r="4955" spans="15:15" x14ac:dyDescent="0.25">
      <c r="O4955" s="21"/>
    </row>
    <row r="4956" spans="15:15" x14ac:dyDescent="0.25">
      <c r="O4956" s="21"/>
    </row>
    <row r="4957" spans="15:15" x14ac:dyDescent="0.25">
      <c r="O4957" s="21"/>
    </row>
    <row r="4958" spans="15:15" x14ac:dyDescent="0.25">
      <c r="O4958" s="21"/>
    </row>
    <row r="4959" spans="15:15" x14ac:dyDescent="0.25">
      <c r="O4959" s="21"/>
    </row>
    <row r="4960" spans="15:15" x14ac:dyDescent="0.25">
      <c r="O4960" s="21"/>
    </row>
    <row r="4961" spans="15:15" x14ac:dyDescent="0.25">
      <c r="O4961" s="21"/>
    </row>
    <row r="4962" spans="15:15" x14ac:dyDescent="0.25">
      <c r="O4962" s="21"/>
    </row>
    <row r="4963" spans="15:15" x14ac:dyDescent="0.25">
      <c r="O4963" s="21"/>
    </row>
    <row r="4964" spans="15:15" x14ac:dyDescent="0.25">
      <c r="O4964" s="21"/>
    </row>
    <row r="4965" spans="15:15" x14ac:dyDescent="0.25">
      <c r="O4965" s="21"/>
    </row>
    <row r="4966" spans="15:15" x14ac:dyDescent="0.25">
      <c r="O4966" s="21"/>
    </row>
    <row r="4967" spans="15:15" x14ac:dyDescent="0.25">
      <c r="O4967" s="21"/>
    </row>
    <row r="4968" spans="15:15" x14ac:dyDescent="0.25">
      <c r="O4968" s="21"/>
    </row>
    <row r="4969" spans="15:15" x14ac:dyDescent="0.25">
      <c r="O4969" s="21"/>
    </row>
    <row r="4970" spans="15:15" x14ac:dyDescent="0.25">
      <c r="O4970" s="21"/>
    </row>
    <row r="4971" spans="15:15" x14ac:dyDescent="0.25">
      <c r="O4971" s="21"/>
    </row>
    <row r="4972" spans="15:15" x14ac:dyDescent="0.25">
      <c r="O4972" s="21"/>
    </row>
    <row r="4973" spans="15:15" x14ac:dyDescent="0.25">
      <c r="O4973" s="21"/>
    </row>
    <row r="4974" spans="15:15" x14ac:dyDescent="0.25">
      <c r="O4974" s="21"/>
    </row>
    <row r="4975" spans="15:15" x14ac:dyDescent="0.25">
      <c r="O4975" s="21"/>
    </row>
    <row r="4976" spans="15:15" x14ac:dyDescent="0.25">
      <c r="O4976" s="21"/>
    </row>
    <row r="4977" spans="15:15" x14ac:dyDescent="0.25">
      <c r="O4977" s="21"/>
    </row>
    <row r="4978" spans="15:15" x14ac:dyDescent="0.25">
      <c r="O4978" s="21"/>
    </row>
    <row r="4979" spans="15:15" x14ac:dyDescent="0.25">
      <c r="O4979" s="21"/>
    </row>
    <row r="4980" spans="15:15" x14ac:dyDescent="0.25">
      <c r="O4980" s="21"/>
    </row>
    <row r="4981" spans="15:15" x14ac:dyDescent="0.25">
      <c r="O4981" s="21"/>
    </row>
    <row r="4982" spans="15:15" x14ac:dyDescent="0.25">
      <c r="O4982" s="21"/>
    </row>
    <row r="4983" spans="15:15" x14ac:dyDescent="0.25">
      <c r="O4983" s="21"/>
    </row>
    <row r="4984" spans="15:15" x14ac:dyDescent="0.25">
      <c r="O4984" s="21"/>
    </row>
    <row r="4985" spans="15:15" x14ac:dyDescent="0.25">
      <c r="O4985" s="21"/>
    </row>
    <row r="4986" spans="15:15" x14ac:dyDescent="0.25">
      <c r="O4986" s="21"/>
    </row>
    <row r="4987" spans="15:15" x14ac:dyDescent="0.25">
      <c r="O4987" s="21"/>
    </row>
    <row r="4988" spans="15:15" x14ac:dyDescent="0.25">
      <c r="O4988" s="21"/>
    </row>
    <row r="4989" spans="15:15" x14ac:dyDescent="0.25">
      <c r="O4989" s="21"/>
    </row>
    <row r="4990" spans="15:15" x14ac:dyDescent="0.25">
      <c r="O4990" s="21"/>
    </row>
    <row r="4991" spans="15:15" x14ac:dyDescent="0.25">
      <c r="O4991" s="21"/>
    </row>
    <row r="4992" spans="15:15" x14ac:dyDescent="0.25">
      <c r="O4992" s="21"/>
    </row>
    <row r="4993" spans="15:15" x14ac:dyDescent="0.25">
      <c r="O4993" s="21"/>
    </row>
    <row r="4994" spans="15:15" x14ac:dyDescent="0.25">
      <c r="O4994" s="21"/>
    </row>
    <row r="4995" spans="15:15" x14ac:dyDescent="0.25">
      <c r="O4995" s="21"/>
    </row>
    <row r="4996" spans="15:15" x14ac:dyDescent="0.25">
      <c r="O4996" s="21"/>
    </row>
    <row r="4997" spans="15:15" x14ac:dyDescent="0.25">
      <c r="O4997" s="21"/>
    </row>
    <row r="4998" spans="15:15" x14ac:dyDescent="0.25">
      <c r="O4998" s="21"/>
    </row>
    <row r="4999" spans="15:15" x14ac:dyDescent="0.25">
      <c r="O4999" s="21"/>
    </row>
    <row r="5000" spans="15:15" x14ac:dyDescent="0.25">
      <c r="O5000" s="21"/>
    </row>
    <row r="5001" spans="15:15" x14ac:dyDescent="0.25">
      <c r="O5001" s="21"/>
    </row>
    <row r="5002" spans="15:15" x14ac:dyDescent="0.25">
      <c r="O5002" s="21"/>
    </row>
    <row r="5003" spans="15:15" x14ac:dyDescent="0.25">
      <c r="O5003" s="21"/>
    </row>
    <row r="5004" spans="15:15" x14ac:dyDescent="0.25">
      <c r="O5004" s="21"/>
    </row>
    <row r="5005" spans="15:15" x14ac:dyDescent="0.25">
      <c r="O5005" s="21"/>
    </row>
    <row r="5006" spans="15:15" x14ac:dyDescent="0.25">
      <c r="O5006" s="21"/>
    </row>
    <row r="5007" spans="15:15" x14ac:dyDescent="0.25">
      <c r="O5007" s="21"/>
    </row>
    <row r="5008" spans="15:15" x14ac:dyDescent="0.25">
      <c r="O5008" s="21"/>
    </row>
    <row r="5009" spans="15:15" x14ac:dyDescent="0.25">
      <c r="O5009" s="21"/>
    </row>
    <row r="5010" spans="15:15" x14ac:dyDescent="0.25">
      <c r="O5010" s="21"/>
    </row>
    <row r="5011" spans="15:15" x14ac:dyDescent="0.25">
      <c r="O5011" s="21"/>
    </row>
    <row r="5012" spans="15:15" x14ac:dyDescent="0.25">
      <c r="O5012" s="21"/>
    </row>
    <row r="5013" spans="15:15" x14ac:dyDescent="0.25">
      <c r="O5013" s="21"/>
    </row>
    <row r="5014" spans="15:15" x14ac:dyDescent="0.25">
      <c r="O5014" s="21"/>
    </row>
    <row r="5015" spans="15:15" x14ac:dyDescent="0.25">
      <c r="O5015" s="21"/>
    </row>
    <row r="5016" spans="15:15" x14ac:dyDescent="0.25">
      <c r="O5016" s="21"/>
    </row>
    <row r="5017" spans="15:15" x14ac:dyDescent="0.25">
      <c r="O5017" s="21"/>
    </row>
    <row r="5018" spans="15:15" x14ac:dyDescent="0.25">
      <c r="O5018" s="21"/>
    </row>
    <row r="5019" spans="15:15" x14ac:dyDescent="0.25">
      <c r="O5019" s="21"/>
    </row>
    <row r="5020" spans="15:15" x14ac:dyDescent="0.25">
      <c r="O5020" s="21"/>
    </row>
    <row r="5021" spans="15:15" x14ac:dyDescent="0.25">
      <c r="O5021" s="21"/>
    </row>
    <row r="5022" spans="15:15" x14ac:dyDescent="0.25">
      <c r="O5022" s="21"/>
    </row>
    <row r="5023" spans="15:15" x14ac:dyDescent="0.25">
      <c r="O5023" s="21"/>
    </row>
    <row r="5024" spans="15:15" x14ac:dyDescent="0.25">
      <c r="O5024" s="21"/>
    </row>
    <row r="5025" spans="15:15" x14ac:dyDescent="0.25">
      <c r="O5025" s="21"/>
    </row>
    <row r="5026" spans="15:15" x14ac:dyDescent="0.25">
      <c r="O5026" s="21"/>
    </row>
    <row r="5027" spans="15:15" x14ac:dyDescent="0.25">
      <c r="O5027" s="21"/>
    </row>
    <row r="5028" spans="15:15" x14ac:dyDescent="0.25">
      <c r="O5028" s="21"/>
    </row>
    <row r="5029" spans="15:15" x14ac:dyDescent="0.25">
      <c r="O5029" s="21"/>
    </row>
    <row r="5030" spans="15:15" x14ac:dyDescent="0.25">
      <c r="O5030" s="21"/>
    </row>
    <row r="5031" spans="15:15" x14ac:dyDescent="0.25">
      <c r="O5031" s="21"/>
    </row>
    <row r="5032" spans="15:15" x14ac:dyDescent="0.25">
      <c r="O5032" s="21"/>
    </row>
    <row r="5033" spans="15:15" x14ac:dyDescent="0.25">
      <c r="O5033" s="21"/>
    </row>
    <row r="5034" spans="15:15" x14ac:dyDescent="0.25">
      <c r="O5034" s="21"/>
    </row>
    <row r="5035" spans="15:15" x14ac:dyDescent="0.25">
      <c r="O5035" s="21"/>
    </row>
    <row r="5036" spans="15:15" x14ac:dyDescent="0.25">
      <c r="O5036" s="21"/>
    </row>
    <row r="5037" spans="15:15" x14ac:dyDescent="0.25">
      <c r="O5037" s="21"/>
    </row>
    <row r="5038" spans="15:15" x14ac:dyDescent="0.25">
      <c r="O5038" s="21"/>
    </row>
    <row r="5039" spans="15:15" x14ac:dyDescent="0.25">
      <c r="O5039" s="21"/>
    </row>
    <row r="5040" spans="15:15" x14ac:dyDescent="0.25">
      <c r="O5040" s="21"/>
    </row>
    <row r="5041" spans="15:15" x14ac:dyDescent="0.25">
      <c r="O5041" s="21"/>
    </row>
    <row r="5042" spans="15:15" x14ac:dyDescent="0.25">
      <c r="O5042" s="21"/>
    </row>
    <row r="5043" spans="15:15" x14ac:dyDescent="0.25">
      <c r="O5043" s="21"/>
    </row>
    <row r="5044" spans="15:15" x14ac:dyDescent="0.25">
      <c r="O5044" s="21"/>
    </row>
    <row r="5045" spans="15:15" x14ac:dyDescent="0.25">
      <c r="O5045" s="21"/>
    </row>
    <row r="5046" spans="15:15" x14ac:dyDescent="0.25">
      <c r="O5046" s="21"/>
    </row>
    <row r="5047" spans="15:15" x14ac:dyDescent="0.25">
      <c r="O5047" s="21"/>
    </row>
    <row r="5048" spans="15:15" x14ac:dyDescent="0.25">
      <c r="O5048" s="21"/>
    </row>
    <row r="5049" spans="15:15" x14ac:dyDescent="0.25">
      <c r="O5049" s="21"/>
    </row>
    <row r="5050" spans="15:15" x14ac:dyDescent="0.25">
      <c r="O5050" s="21"/>
    </row>
    <row r="5051" spans="15:15" x14ac:dyDescent="0.25">
      <c r="O5051" s="21"/>
    </row>
    <row r="5052" spans="15:15" x14ac:dyDescent="0.25">
      <c r="O5052" s="21"/>
    </row>
    <row r="5053" spans="15:15" x14ac:dyDescent="0.25">
      <c r="O5053" s="21"/>
    </row>
    <row r="5054" spans="15:15" x14ac:dyDescent="0.25">
      <c r="O5054" s="21"/>
    </row>
    <row r="5055" spans="15:15" x14ac:dyDescent="0.25">
      <c r="O5055" s="21"/>
    </row>
    <row r="5056" spans="15:15" x14ac:dyDescent="0.25">
      <c r="O5056" s="21"/>
    </row>
    <row r="5057" spans="15:15" x14ac:dyDescent="0.25">
      <c r="O5057" s="21"/>
    </row>
    <row r="5058" spans="15:15" x14ac:dyDescent="0.25">
      <c r="O5058" s="21"/>
    </row>
    <row r="5059" spans="15:15" x14ac:dyDescent="0.25">
      <c r="O5059" s="21"/>
    </row>
    <row r="5060" spans="15:15" x14ac:dyDescent="0.25">
      <c r="O5060" s="21"/>
    </row>
    <row r="5061" spans="15:15" x14ac:dyDescent="0.25">
      <c r="O5061" s="21"/>
    </row>
    <row r="5062" spans="15:15" x14ac:dyDescent="0.25">
      <c r="O5062" s="21"/>
    </row>
    <row r="5063" spans="15:15" x14ac:dyDescent="0.25">
      <c r="O5063" s="21"/>
    </row>
    <row r="5064" spans="15:15" x14ac:dyDescent="0.25">
      <c r="O5064" s="21"/>
    </row>
    <row r="5065" spans="15:15" x14ac:dyDescent="0.25">
      <c r="O5065" s="21"/>
    </row>
    <row r="5066" spans="15:15" x14ac:dyDescent="0.25">
      <c r="O5066" s="21"/>
    </row>
    <row r="5067" spans="15:15" x14ac:dyDescent="0.25">
      <c r="O5067" s="21"/>
    </row>
    <row r="5068" spans="15:15" x14ac:dyDescent="0.25">
      <c r="O5068" s="21"/>
    </row>
    <row r="5069" spans="15:15" x14ac:dyDescent="0.25">
      <c r="O5069" s="21"/>
    </row>
    <row r="5070" spans="15:15" x14ac:dyDescent="0.25">
      <c r="O5070" s="21"/>
    </row>
    <row r="5071" spans="15:15" x14ac:dyDescent="0.25">
      <c r="O5071" s="21"/>
    </row>
    <row r="5072" spans="15:15" x14ac:dyDescent="0.25">
      <c r="O5072" s="21"/>
    </row>
    <row r="5073" spans="15:15" x14ac:dyDescent="0.25">
      <c r="O5073" s="21"/>
    </row>
    <row r="5074" spans="15:15" x14ac:dyDescent="0.25">
      <c r="O5074" s="21"/>
    </row>
    <row r="5075" spans="15:15" x14ac:dyDescent="0.25">
      <c r="O5075" s="21"/>
    </row>
    <row r="5076" spans="15:15" x14ac:dyDescent="0.25">
      <c r="O5076" s="21"/>
    </row>
    <row r="5077" spans="15:15" x14ac:dyDescent="0.25">
      <c r="O5077" s="21"/>
    </row>
    <row r="5078" spans="15:15" x14ac:dyDescent="0.25">
      <c r="O5078" s="21"/>
    </row>
    <row r="5079" spans="15:15" x14ac:dyDescent="0.25">
      <c r="O5079" s="21"/>
    </row>
    <row r="5080" spans="15:15" x14ac:dyDescent="0.25">
      <c r="O5080" s="21"/>
    </row>
    <row r="5081" spans="15:15" x14ac:dyDescent="0.25">
      <c r="O5081" s="21"/>
    </row>
    <row r="5082" spans="15:15" x14ac:dyDescent="0.25">
      <c r="O5082" s="21"/>
    </row>
    <row r="5083" spans="15:15" x14ac:dyDescent="0.25">
      <c r="O5083" s="21"/>
    </row>
    <row r="5084" spans="15:15" x14ac:dyDescent="0.25">
      <c r="O5084" s="21"/>
    </row>
    <row r="5085" spans="15:15" x14ac:dyDescent="0.25">
      <c r="O5085" s="21"/>
    </row>
    <row r="5086" spans="15:15" x14ac:dyDescent="0.25">
      <c r="O5086" s="21"/>
    </row>
    <row r="5087" spans="15:15" x14ac:dyDescent="0.25">
      <c r="O5087" s="21"/>
    </row>
    <row r="5088" spans="15:15" x14ac:dyDescent="0.25">
      <c r="O5088" s="21"/>
    </row>
    <row r="5089" spans="15:15" x14ac:dyDescent="0.25">
      <c r="O5089" s="21"/>
    </row>
    <row r="5090" spans="15:15" x14ac:dyDescent="0.25">
      <c r="O5090" s="21"/>
    </row>
    <row r="5091" spans="15:15" x14ac:dyDescent="0.25">
      <c r="O5091" s="21"/>
    </row>
    <row r="5092" spans="15:15" x14ac:dyDescent="0.25">
      <c r="O5092" s="21"/>
    </row>
    <row r="5093" spans="15:15" x14ac:dyDescent="0.25">
      <c r="O5093" s="21"/>
    </row>
    <row r="5094" spans="15:15" x14ac:dyDescent="0.25">
      <c r="O5094" s="21"/>
    </row>
    <row r="5095" spans="15:15" x14ac:dyDescent="0.25">
      <c r="O5095" s="21"/>
    </row>
    <row r="5096" spans="15:15" x14ac:dyDescent="0.25">
      <c r="O5096" s="21"/>
    </row>
    <row r="5097" spans="15:15" x14ac:dyDescent="0.25">
      <c r="O5097" s="21"/>
    </row>
    <row r="5098" spans="15:15" x14ac:dyDescent="0.25">
      <c r="O5098" s="21"/>
    </row>
    <row r="5099" spans="15:15" x14ac:dyDescent="0.25">
      <c r="O5099" s="21"/>
    </row>
    <row r="5100" spans="15:15" x14ac:dyDescent="0.25">
      <c r="O5100" s="21"/>
    </row>
    <row r="5101" spans="15:15" x14ac:dyDescent="0.25">
      <c r="O5101" s="21"/>
    </row>
    <row r="5102" spans="15:15" x14ac:dyDescent="0.25">
      <c r="O5102" s="21"/>
    </row>
    <row r="5103" spans="15:15" x14ac:dyDescent="0.25">
      <c r="O5103" s="21"/>
    </row>
    <row r="5104" spans="15:15" x14ac:dyDescent="0.25">
      <c r="O5104" s="21"/>
    </row>
    <row r="5105" spans="15:15" x14ac:dyDescent="0.25">
      <c r="O5105" s="21"/>
    </row>
    <row r="5106" spans="15:15" x14ac:dyDescent="0.25">
      <c r="O5106" s="21"/>
    </row>
    <row r="5107" spans="15:15" x14ac:dyDescent="0.25">
      <c r="O5107" s="21"/>
    </row>
    <row r="5108" spans="15:15" x14ac:dyDescent="0.25">
      <c r="O5108" s="21"/>
    </row>
    <row r="5109" spans="15:15" x14ac:dyDescent="0.25">
      <c r="O5109" s="21"/>
    </row>
    <row r="5110" spans="15:15" x14ac:dyDescent="0.25">
      <c r="O5110" s="21"/>
    </row>
    <row r="5111" spans="15:15" x14ac:dyDescent="0.25">
      <c r="O5111" s="21"/>
    </row>
    <row r="5112" spans="15:15" x14ac:dyDescent="0.25">
      <c r="O5112" s="21"/>
    </row>
    <row r="5113" spans="15:15" x14ac:dyDescent="0.25">
      <c r="O5113" s="21"/>
    </row>
    <row r="5114" spans="15:15" x14ac:dyDescent="0.25">
      <c r="O5114" s="21"/>
    </row>
    <row r="5115" spans="15:15" x14ac:dyDescent="0.25">
      <c r="O5115" s="21"/>
    </row>
    <row r="5116" spans="15:15" x14ac:dyDescent="0.25">
      <c r="O5116" s="21"/>
    </row>
    <row r="5117" spans="15:15" x14ac:dyDescent="0.25">
      <c r="O5117" s="21"/>
    </row>
    <row r="5118" spans="15:15" x14ac:dyDescent="0.25">
      <c r="O5118" s="21"/>
    </row>
    <row r="5119" spans="15:15" x14ac:dyDescent="0.25">
      <c r="O5119" s="21"/>
    </row>
    <row r="5120" spans="15:15" x14ac:dyDescent="0.25">
      <c r="O5120" s="21"/>
    </row>
    <row r="5121" spans="15:15" x14ac:dyDescent="0.25">
      <c r="O5121" s="21"/>
    </row>
    <row r="5122" spans="15:15" x14ac:dyDescent="0.25">
      <c r="O5122" s="21"/>
    </row>
    <row r="5123" spans="15:15" x14ac:dyDescent="0.25">
      <c r="O5123" s="21"/>
    </row>
    <row r="5124" spans="15:15" x14ac:dyDescent="0.25">
      <c r="O5124" s="21"/>
    </row>
    <row r="5125" spans="15:15" x14ac:dyDescent="0.25">
      <c r="O5125" s="21"/>
    </row>
    <row r="5126" spans="15:15" x14ac:dyDescent="0.25">
      <c r="O5126" s="21"/>
    </row>
    <row r="5127" spans="15:15" x14ac:dyDescent="0.25">
      <c r="O5127" s="21"/>
    </row>
    <row r="5128" spans="15:15" x14ac:dyDescent="0.25">
      <c r="O5128" s="21"/>
    </row>
    <row r="5129" spans="15:15" x14ac:dyDescent="0.25">
      <c r="O5129" s="21"/>
    </row>
    <row r="5130" spans="15:15" x14ac:dyDescent="0.25">
      <c r="O5130" s="21"/>
    </row>
    <row r="5131" spans="15:15" x14ac:dyDescent="0.25">
      <c r="O5131" s="21"/>
    </row>
    <row r="5132" spans="15:15" x14ac:dyDescent="0.25">
      <c r="O5132" s="21"/>
    </row>
    <row r="5133" spans="15:15" x14ac:dyDescent="0.25">
      <c r="O5133" s="21"/>
    </row>
    <row r="5134" spans="15:15" x14ac:dyDescent="0.25">
      <c r="O5134" s="21"/>
    </row>
    <row r="5135" spans="15:15" x14ac:dyDescent="0.25">
      <c r="O5135" s="21"/>
    </row>
    <row r="5136" spans="15:15" x14ac:dyDescent="0.25">
      <c r="O5136" s="21"/>
    </row>
    <row r="5137" spans="15:15" x14ac:dyDescent="0.25">
      <c r="O5137" s="21"/>
    </row>
    <row r="5138" spans="15:15" x14ac:dyDescent="0.25">
      <c r="O5138" s="21"/>
    </row>
    <row r="5139" spans="15:15" x14ac:dyDescent="0.25">
      <c r="O5139" s="21"/>
    </row>
    <row r="5140" spans="15:15" x14ac:dyDescent="0.25">
      <c r="O5140" s="21"/>
    </row>
    <row r="5141" spans="15:15" x14ac:dyDescent="0.25">
      <c r="O5141" s="21"/>
    </row>
    <row r="5142" spans="15:15" x14ac:dyDescent="0.25">
      <c r="O5142" s="21"/>
    </row>
    <row r="5143" spans="15:15" x14ac:dyDescent="0.25">
      <c r="O5143" s="21"/>
    </row>
    <row r="5144" spans="15:15" x14ac:dyDescent="0.25">
      <c r="O5144" s="21"/>
    </row>
    <row r="5145" spans="15:15" x14ac:dyDescent="0.25">
      <c r="O5145" s="21"/>
    </row>
    <row r="5146" spans="15:15" x14ac:dyDescent="0.25">
      <c r="O5146" s="21"/>
    </row>
    <row r="5147" spans="15:15" x14ac:dyDescent="0.25">
      <c r="O5147" s="21"/>
    </row>
    <row r="5148" spans="15:15" x14ac:dyDescent="0.25">
      <c r="O5148" s="21"/>
    </row>
    <row r="5149" spans="15:15" x14ac:dyDescent="0.25">
      <c r="O5149" s="21"/>
    </row>
    <row r="5150" spans="15:15" x14ac:dyDescent="0.25">
      <c r="O5150" s="21"/>
    </row>
    <row r="5151" spans="15:15" x14ac:dyDescent="0.25">
      <c r="O5151" s="21"/>
    </row>
    <row r="5152" spans="15:15" x14ac:dyDescent="0.25">
      <c r="O5152" s="21"/>
    </row>
    <row r="5153" spans="15:15" x14ac:dyDescent="0.25">
      <c r="O5153" s="21"/>
    </row>
    <row r="5154" spans="15:15" x14ac:dyDescent="0.25">
      <c r="O5154" s="21"/>
    </row>
    <row r="5155" spans="15:15" x14ac:dyDescent="0.25">
      <c r="O5155" s="21"/>
    </row>
    <row r="5156" spans="15:15" x14ac:dyDescent="0.25">
      <c r="O5156" s="21"/>
    </row>
    <row r="5157" spans="15:15" x14ac:dyDescent="0.25">
      <c r="O5157" s="21"/>
    </row>
    <row r="5158" spans="15:15" x14ac:dyDescent="0.25">
      <c r="O5158" s="21"/>
    </row>
    <row r="5159" spans="15:15" x14ac:dyDescent="0.25">
      <c r="O5159" s="21"/>
    </row>
    <row r="5160" spans="15:15" x14ac:dyDescent="0.25">
      <c r="O5160" s="21"/>
    </row>
    <row r="5161" spans="15:15" x14ac:dyDescent="0.25">
      <c r="O5161" s="21"/>
    </row>
    <row r="5162" spans="15:15" x14ac:dyDescent="0.25">
      <c r="O5162" s="21"/>
    </row>
    <row r="5163" spans="15:15" x14ac:dyDescent="0.25">
      <c r="O5163" s="21"/>
    </row>
    <row r="5164" spans="15:15" x14ac:dyDescent="0.25">
      <c r="O5164" s="21"/>
    </row>
    <row r="5165" spans="15:15" x14ac:dyDescent="0.25">
      <c r="O5165" s="21"/>
    </row>
    <row r="5166" spans="15:15" x14ac:dyDescent="0.25">
      <c r="O5166" s="21"/>
    </row>
    <row r="5167" spans="15:15" x14ac:dyDescent="0.25">
      <c r="O5167" s="21"/>
    </row>
    <row r="5168" spans="15:15" x14ac:dyDescent="0.25">
      <c r="O5168" s="21"/>
    </row>
    <row r="5169" spans="15:15" x14ac:dyDescent="0.25">
      <c r="O5169" s="21"/>
    </row>
    <row r="5170" spans="15:15" x14ac:dyDescent="0.25">
      <c r="O5170" s="21"/>
    </row>
    <row r="5171" spans="15:15" x14ac:dyDescent="0.25">
      <c r="O5171" s="21"/>
    </row>
    <row r="5172" spans="15:15" x14ac:dyDescent="0.25">
      <c r="O5172" s="21"/>
    </row>
    <row r="5173" spans="15:15" x14ac:dyDescent="0.25">
      <c r="O5173" s="21"/>
    </row>
    <row r="5174" spans="15:15" x14ac:dyDescent="0.25">
      <c r="O5174" s="21"/>
    </row>
    <row r="5175" spans="15:15" x14ac:dyDescent="0.25">
      <c r="O5175" s="21"/>
    </row>
    <row r="5176" spans="15:15" x14ac:dyDescent="0.25">
      <c r="O5176" s="21"/>
    </row>
    <row r="5177" spans="15:15" x14ac:dyDescent="0.25">
      <c r="O5177" s="21"/>
    </row>
    <row r="5178" spans="15:15" x14ac:dyDescent="0.25">
      <c r="O5178" s="21"/>
    </row>
    <row r="5179" spans="15:15" x14ac:dyDescent="0.25">
      <c r="O5179" s="21"/>
    </row>
    <row r="5180" spans="15:15" x14ac:dyDescent="0.25">
      <c r="O5180" s="21"/>
    </row>
    <row r="5181" spans="15:15" x14ac:dyDescent="0.25">
      <c r="O5181" s="21"/>
    </row>
    <row r="5182" spans="15:15" x14ac:dyDescent="0.25">
      <c r="O5182" s="21"/>
    </row>
    <row r="5183" spans="15:15" x14ac:dyDescent="0.25">
      <c r="O5183" s="21"/>
    </row>
    <row r="5184" spans="15:15" x14ac:dyDescent="0.25">
      <c r="O5184" s="21"/>
    </row>
    <row r="5185" spans="15:15" x14ac:dyDescent="0.25">
      <c r="O5185" s="21"/>
    </row>
    <row r="5186" spans="15:15" x14ac:dyDescent="0.25">
      <c r="O5186" s="21"/>
    </row>
    <row r="5187" spans="15:15" x14ac:dyDescent="0.25">
      <c r="O5187" s="21"/>
    </row>
    <row r="5188" spans="15:15" x14ac:dyDescent="0.25">
      <c r="O5188" s="21"/>
    </row>
    <row r="5189" spans="15:15" x14ac:dyDescent="0.25">
      <c r="O5189" s="21"/>
    </row>
    <row r="5190" spans="15:15" x14ac:dyDescent="0.25">
      <c r="O5190" s="21"/>
    </row>
    <row r="5191" spans="15:15" x14ac:dyDescent="0.25">
      <c r="O5191" s="21"/>
    </row>
    <row r="5192" spans="15:15" x14ac:dyDescent="0.25">
      <c r="O5192" s="21"/>
    </row>
    <row r="5193" spans="15:15" x14ac:dyDescent="0.25">
      <c r="O5193" s="21"/>
    </row>
    <row r="5194" spans="15:15" x14ac:dyDescent="0.25">
      <c r="O5194" s="21"/>
    </row>
    <row r="5195" spans="15:15" x14ac:dyDescent="0.25">
      <c r="O5195" s="21"/>
    </row>
    <row r="5196" spans="15:15" x14ac:dyDescent="0.25">
      <c r="O5196" s="21"/>
    </row>
    <row r="5197" spans="15:15" x14ac:dyDescent="0.25">
      <c r="O5197" s="21"/>
    </row>
    <row r="5198" spans="15:15" x14ac:dyDescent="0.25">
      <c r="O5198" s="21"/>
    </row>
    <row r="5199" spans="15:15" x14ac:dyDescent="0.25">
      <c r="O5199" s="21"/>
    </row>
    <row r="5200" spans="15:15" x14ac:dyDescent="0.25">
      <c r="O5200" s="21"/>
    </row>
    <row r="5201" spans="15:15" x14ac:dyDescent="0.25">
      <c r="O5201" s="21"/>
    </row>
    <row r="5202" spans="15:15" x14ac:dyDescent="0.25">
      <c r="O5202" s="21"/>
    </row>
    <row r="5203" spans="15:15" x14ac:dyDescent="0.25">
      <c r="O5203" s="21"/>
    </row>
    <row r="5204" spans="15:15" x14ac:dyDescent="0.25">
      <c r="O5204" s="21"/>
    </row>
    <row r="5205" spans="15:15" x14ac:dyDescent="0.25">
      <c r="O5205" s="21"/>
    </row>
    <row r="5206" spans="15:15" x14ac:dyDescent="0.25">
      <c r="O5206" s="21"/>
    </row>
    <row r="5207" spans="15:15" x14ac:dyDescent="0.25">
      <c r="O5207" s="21"/>
    </row>
    <row r="5208" spans="15:15" x14ac:dyDescent="0.25">
      <c r="O5208" s="21"/>
    </row>
    <row r="5209" spans="15:15" x14ac:dyDescent="0.25">
      <c r="O5209" s="21"/>
    </row>
    <row r="5210" spans="15:15" x14ac:dyDescent="0.25">
      <c r="O5210" s="21"/>
    </row>
    <row r="5211" spans="15:15" x14ac:dyDescent="0.25">
      <c r="O5211" s="21"/>
    </row>
    <row r="5212" spans="15:15" x14ac:dyDescent="0.25">
      <c r="O5212" s="21"/>
    </row>
    <row r="5213" spans="15:15" x14ac:dyDescent="0.25">
      <c r="O5213" s="21"/>
    </row>
    <row r="5214" spans="15:15" x14ac:dyDescent="0.25">
      <c r="O5214" s="21"/>
    </row>
    <row r="5215" spans="15:15" x14ac:dyDescent="0.25">
      <c r="O5215" s="21"/>
    </row>
    <row r="5216" spans="15:15" x14ac:dyDescent="0.25">
      <c r="O5216" s="21"/>
    </row>
    <row r="5217" spans="15:15" x14ac:dyDescent="0.25">
      <c r="O5217" s="21"/>
    </row>
    <row r="5218" spans="15:15" x14ac:dyDescent="0.25">
      <c r="O5218" s="21"/>
    </row>
    <row r="5219" spans="15:15" x14ac:dyDescent="0.25">
      <c r="O5219" s="21"/>
    </row>
    <row r="5220" spans="15:15" x14ac:dyDescent="0.25">
      <c r="O5220" s="21"/>
    </row>
    <row r="5221" spans="15:15" x14ac:dyDescent="0.25">
      <c r="O5221" s="21"/>
    </row>
    <row r="5222" spans="15:15" x14ac:dyDescent="0.25">
      <c r="O5222" s="21"/>
    </row>
    <row r="5223" spans="15:15" x14ac:dyDescent="0.25">
      <c r="O5223" s="21"/>
    </row>
    <row r="5224" spans="15:15" x14ac:dyDescent="0.25">
      <c r="O5224" s="21"/>
    </row>
    <row r="5225" spans="15:15" x14ac:dyDescent="0.25">
      <c r="O5225" s="21"/>
    </row>
    <row r="5226" spans="15:15" x14ac:dyDescent="0.25">
      <c r="O5226" s="21"/>
    </row>
    <row r="5227" spans="15:15" x14ac:dyDescent="0.25">
      <c r="O5227" s="21"/>
    </row>
    <row r="5228" spans="15:15" x14ac:dyDescent="0.25">
      <c r="O5228" s="21"/>
    </row>
    <row r="5229" spans="15:15" x14ac:dyDescent="0.25">
      <c r="O5229" s="21"/>
    </row>
    <row r="5230" spans="15:15" x14ac:dyDescent="0.25">
      <c r="O5230" s="21"/>
    </row>
    <row r="5231" spans="15:15" x14ac:dyDescent="0.25">
      <c r="O5231" s="21"/>
    </row>
    <row r="5232" spans="15:15" x14ac:dyDescent="0.25">
      <c r="O5232" s="21"/>
    </row>
    <row r="5233" spans="15:15" x14ac:dyDescent="0.25">
      <c r="O5233" s="21"/>
    </row>
    <row r="5234" spans="15:15" x14ac:dyDescent="0.25">
      <c r="O5234" s="21"/>
    </row>
    <row r="5235" spans="15:15" x14ac:dyDescent="0.25">
      <c r="O5235" s="21"/>
    </row>
    <row r="5236" spans="15:15" x14ac:dyDescent="0.25">
      <c r="O5236" s="21"/>
    </row>
    <row r="5237" spans="15:15" x14ac:dyDescent="0.25">
      <c r="O5237" s="21"/>
    </row>
    <row r="5238" spans="15:15" x14ac:dyDescent="0.25">
      <c r="O5238" s="21"/>
    </row>
    <row r="5239" spans="15:15" x14ac:dyDescent="0.25">
      <c r="O5239" s="21"/>
    </row>
    <row r="5240" spans="15:15" x14ac:dyDescent="0.25">
      <c r="O5240" s="21"/>
    </row>
    <row r="5241" spans="15:15" x14ac:dyDescent="0.25">
      <c r="O5241" s="21"/>
    </row>
    <row r="5242" spans="15:15" x14ac:dyDescent="0.25">
      <c r="O5242" s="21"/>
    </row>
    <row r="5243" spans="15:15" x14ac:dyDescent="0.25">
      <c r="O5243" s="21"/>
    </row>
    <row r="5244" spans="15:15" x14ac:dyDescent="0.25">
      <c r="O5244" s="21"/>
    </row>
    <row r="5245" spans="15:15" x14ac:dyDescent="0.25">
      <c r="O5245" s="21"/>
    </row>
    <row r="5246" spans="15:15" x14ac:dyDescent="0.25">
      <c r="O5246" s="21"/>
    </row>
    <row r="5247" spans="15:15" x14ac:dyDescent="0.25">
      <c r="O5247" s="21"/>
    </row>
    <row r="5248" spans="15:15" x14ac:dyDescent="0.25">
      <c r="O5248" s="21"/>
    </row>
    <row r="5249" spans="15:15" x14ac:dyDescent="0.25">
      <c r="O5249" s="21"/>
    </row>
    <row r="5250" spans="15:15" x14ac:dyDescent="0.25">
      <c r="O5250" s="21"/>
    </row>
    <row r="5251" spans="15:15" x14ac:dyDescent="0.25">
      <c r="O5251" s="21"/>
    </row>
    <row r="5252" spans="15:15" x14ac:dyDescent="0.25">
      <c r="O5252" s="21"/>
    </row>
    <row r="5253" spans="15:15" x14ac:dyDescent="0.25">
      <c r="O5253" s="21"/>
    </row>
    <row r="5254" spans="15:15" x14ac:dyDescent="0.25">
      <c r="O5254" s="21"/>
    </row>
    <row r="5255" spans="15:15" x14ac:dyDescent="0.25">
      <c r="O5255" s="21"/>
    </row>
    <row r="5256" spans="15:15" x14ac:dyDescent="0.25">
      <c r="O5256" s="21"/>
    </row>
    <row r="5257" spans="15:15" x14ac:dyDescent="0.25">
      <c r="O5257" s="21"/>
    </row>
    <row r="5258" spans="15:15" x14ac:dyDescent="0.25">
      <c r="O5258" s="21"/>
    </row>
    <row r="5259" spans="15:15" x14ac:dyDescent="0.25">
      <c r="O5259" s="21"/>
    </row>
    <row r="5260" spans="15:15" x14ac:dyDescent="0.25">
      <c r="O5260" s="21"/>
    </row>
    <row r="5261" spans="15:15" x14ac:dyDescent="0.25">
      <c r="O5261" s="21"/>
    </row>
    <row r="5262" spans="15:15" x14ac:dyDescent="0.25">
      <c r="O5262" s="21"/>
    </row>
    <row r="5263" spans="15:15" x14ac:dyDescent="0.25">
      <c r="O5263" s="21"/>
    </row>
    <row r="5264" spans="15:15" x14ac:dyDescent="0.25">
      <c r="O5264" s="21"/>
    </row>
    <row r="5265" spans="15:15" x14ac:dyDescent="0.25">
      <c r="O5265" s="21"/>
    </row>
    <row r="5266" spans="15:15" x14ac:dyDescent="0.25">
      <c r="O5266" s="21"/>
    </row>
    <row r="5267" spans="15:15" x14ac:dyDescent="0.25">
      <c r="O5267" s="21"/>
    </row>
    <row r="5268" spans="15:15" x14ac:dyDescent="0.25">
      <c r="O5268" s="21"/>
    </row>
    <row r="5269" spans="15:15" x14ac:dyDescent="0.25">
      <c r="O5269" s="21"/>
    </row>
    <row r="5270" spans="15:15" x14ac:dyDescent="0.25">
      <c r="O5270" s="21"/>
    </row>
    <row r="5271" spans="15:15" x14ac:dyDescent="0.25">
      <c r="O5271" s="21"/>
    </row>
    <row r="5272" spans="15:15" x14ac:dyDescent="0.25">
      <c r="O5272" s="21"/>
    </row>
    <row r="5273" spans="15:15" x14ac:dyDescent="0.25">
      <c r="O5273" s="21"/>
    </row>
    <row r="5274" spans="15:15" x14ac:dyDescent="0.25">
      <c r="O5274" s="21"/>
    </row>
    <row r="5275" spans="15:15" x14ac:dyDescent="0.25">
      <c r="O5275" s="21"/>
    </row>
    <row r="5276" spans="15:15" x14ac:dyDescent="0.25">
      <c r="O5276" s="21"/>
    </row>
    <row r="5277" spans="15:15" x14ac:dyDescent="0.25">
      <c r="O5277" s="21"/>
    </row>
    <row r="5278" spans="15:15" x14ac:dyDescent="0.25">
      <c r="O5278" s="21"/>
    </row>
    <row r="5279" spans="15:15" x14ac:dyDescent="0.25">
      <c r="O5279" s="21"/>
    </row>
    <row r="5280" spans="15:15" x14ac:dyDescent="0.25">
      <c r="O5280" s="21"/>
    </row>
    <row r="5281" spans="15:15" x14ac:dyDescent="0.25">
      <c r="O5281" s="21"/>
    </row>
    <row r="5282" spans="15:15" x14ac:dyDescent="0.25">
      <c r="O5282" s="21"/>
    </row>
    <row r="5283" spans="15:15" x14ac:dyDescent="0.25">
      <c r="O5283" s="21"/>
    </row>
    <row r="5284" spans="15:15" x14ac:dyDescent="0.25">
      <c r="O5284" s="21"/>
    </row>
    <row r="5285" spans="15:15" x14ac:dyDescent="0.25">
      <c r="O5285" s="21"/>
    </row>
    <row r="5286" spans="15:15" x14ac:dyDescent="0.25">
      <c r="O5286" s="21"/>
    </row>
    <row r="5287" spans="15:15" x14ac:dyDescent="0.25">
      <c r="O5287" s="21"/>
    </row>
    <row r="5288" spans="15:15" x14ac:dyDescent="0.25">
      <c r="O5288" s="21"/>
    </row>
    <row r="5289" spans="15:15" x14ac:dyDescent="0.25">
      <c r="O5289" s="21"/>
    </row>
    <row r="5290" spans="15:15" x14ac:dyDescent="0.25">
      <c r="O5290" s="21"/>
    </row>
    <row r="5291" spans="15:15" x14ac:dyDescent="0.25">
      <c r="O5291" s="21"/>
    </row>
    <row r="5292" spans="15:15" x14ac:dyDescent="0.25">
      <c r="O5292" s="21"/>
    </row>
    <row r="5293" spans="15:15" x14ac:dyDescent="0.25">
      <c r="O5293" s="21"/>
    </row>
    <row r="5294" spans="15:15" x14ac:dyDescent="0.25">
      <c r="O5294" s="21"/>
    </row>
    <row r="5295" spans="15:15" x14ac:dyDescent="0.25">
      <c r="O5295" s="21"/>
    </row>
    <row r="5296" spans="15:15" x14ac:dyDescent="0.25">
      <c r="O5296" s="21"/>
    </row>
    <row r="5297" spans="15:15" x14ac:dyDescent="0.25">
      <c r="O5297" s="21"/>
    </row>
    <row r="5298" spans="15:15" x14ac:dyDescent="0.25">
      <c r="O5298" s="21"/>
    </row>
    <row r="5299" spans="15:15" x14ac:dyDescent="0.25">
      <c r="O5299" s="21"/>
    </row>
    <row r="5300" spans="15:15" x14ac:dyDescent="0.25">
      <c r="O5300" s="21"/>
    </row>
    <row r="5301" spans="15:15" x14ac:dyDescent="0.25">
      <c r="O5301" s="21"/>
    </row>
    <row r="5302" spans="15:15" x14ac:dyDescent="0.25">
      <c r="O5302" s="21"/>
    </row>
    <row r="5303" spans="15:15" x14ac:dyDescent="0.25">
      <c r="O5303" s="21"/>
    </row>
    <row r="5304" spans="15:15" x14ac:dyDescent="0.25">
      <c r="O5304" s="21"/>
    </row>
    <row r="5305" spans="15:15" x14ac:dyDescent="0.25">
      <c r="O5305" s="21"/>
    </row>
    <row r="5306" spans="15:15" x14ac:dyDescent="0.25">
      <c r="O5306" s="21"/>
    </row>
    <row r="5307" spans="15:15" x14ac:dyDescent="0.25">
      <c r="O5307" s="21"/>
    </row>
    <row r="5308" spans="15:15" x14ac:dyDescent="0.25">
      <c r="O5308" s="21"/>
    </row>
    <row r="5309" spans="15:15" x14ac:dyDescent="0.25">
      <c r="O5309" s="21"/>
    </row>
    <row r="5310" spans="15:15" x14ac:dyDescent="0.25">
      <c r="O5310" s="21"/>
    </row>
    <row r="5311" spans="15:15" x14ac:dyDescent="0.25">
      <c r="O5311" s="21"/>
    </row>
    <row r="5312" spans="15:15" x14ac:dyDescent="0.25">
      <c r="O5312" s="21"/>
    </row>
    <row r="5313" spans="15:15" x14ac:dyDescent="0.25">
      <c r="O5313" s="21"/>
    </row>
    <row r="5314" spans="15:15" x14ac:dyDescent="0.25">
      <c r="O5314" s="21"/>
    </row>
    <row r="5315" spans="15:15" x14ac:dyDescent="0.25">
      <c r="O5315" s="21"/>
    </row>
    <row r="5316" spans="15:15" x14ac:dyDescent="0.25">
      <c r="O5316" s="21"/>
    </row>
    <row r="5317" spans="15:15" x14ac:dyDescent="0.25">
      <c r="O5317" s="21"/>
    </row>
    <row r="5318" spans="15:15" x14ac:dyDescent="0.25">
      <c r="O5318" s="21"/>
    </row>
    <row r="5319" spans="15:15" x14ac:dyDescent="0.25">
      <c r="O5319" s="21"/>
    </row>
    <row r="5320" spans="15:15" x14ac:dyDescent="0.25">
      <c r="O5320" s="21"/>
    </row>
    <row r="5321" spans="15:15" x14ac:dyDescent="0.25">
      <c r="O5321" s="21"/>
    </row>
    <row r="5322" spans="15:15" x14ac:dyDescent="0.25">
      <c r="O5322" s="21"/>
    </row>
    <row r="5323" spans="15:15" x14ac:dyDescent="0.25">
      <c r="O5323" s="21"/>
    </row>
    <row r="5324" spans="15:15" x14ac:dyDescent="0.25">
      <c r="O5324" s="21"/>
    </row>
    <row r="5325" spans="15:15" x14ac:dyDescent="0.25">
      <c r="O5325" s="21"/>
    </row>
    <row r="5326" spans="15:15" x14ac:dyDescent="0.25">
      <c r="O5326" s="21"/>
    </row>
    <row r="5327" spans="15:15" x14ac:dyDescent="0.25">
      <c r="O5327" s="21"/>
    </row>
    <row r="5328" spans="15:15" x14ac:dyDescent="0.25">
      <c r="O5328" s="21"/>
    </row>
    <row r="5329" spans="15:15" x14ac:dyDescent="0.25">
      <c r="O5329" s="21"/>
    </row>
    <row r="5330" spans="15:15" x14ac:dyDescent="0.25">
      <c r="O5330" s="21"/>
    </row>
    <row r="5331" spans="15:15" x14ac:dyDescent="0.25">
      <c r="O5331" s="21"/>
    </row>
    <row r="5332" spans="15:15" x14ac:dyDescent="0.25">
      <c r="O5332" s="21"/>
    </row>
    <row r="5333" spans="15:15" x14ac:dyDescent="0.25">
      <c r="O5333" s="21"/>
    </row>
    <row r="5334" spans="15:15" x14ac:dyDescent="0.25">
      <c r="O5334" s="21"/>
    </row>
    <row r="5335" spans="15:15" x14ac:dyDescent="0.25">
      <c r="O5335" s="21"/>
    </row>
    <row r="5336" spans="15:15" x14ac:dyDescent="0.25">
      <c r="O5336" s="21"/>
    </row>
    <row r="5337" spans="15:15" x14ac:dyDescent="0.25">
      <c r="O5337" s="21"/>
    </row>
    <row r="5338" spans="15:15" x14ac:dyDescent="0.25">
      <c r="O5338" s="21"/>
    </row>
    <row r="5339" spans="15:15" x14ac:dyDescent="0.25">
      <c r="O5339" s="21"/>
    </row>
    <row r="5340" spans="15:15" x14ac:dyDescent="0.25">
      <c r="O5340" s="21"/>
    </row>
    <row r="5341" spans="15:15" x14ac:dyDescent="0.25">
      <c r="O5341" s="21"/>
    </row>
    <row r="5342" spans="15:15" x14ac:dyDescent="0.25">
      <c r="O5342" s="21"/>
    </row>
    <row r="5343" spans="15:15" x14ac:dyDescent="0.25">
      <c r="O5343" s="21"/>
    </row>
    <row r="5344" spans="15:15" x14ac:dyDescent="0.25">
      <c r="O5344" s="21"/>
    </row>
    <row r="5345" spans="15:15" x14ac:dyDescent="0.25">
      <c r="O5345" s="21"/>
    </row>
    <row r="5346" spans="15:15" x14ac:dyDescent="0.25">
      <c r="O5346" s="21"/>
    </row>
    <row r="5347" spans="15:15" x14ac:dyDescent="0.25">
      <c r="O5347" s="21"/>
    </row>
    <row r="5348" spans="15:15" x14ac:dyDescent="0.25">
      <c r="O5348" s="21"/>
    </row>
    <row r="5349" spans="15:15" x14ac:dyDescent="0.25">
      <c r="O5349" s="21"/>
    </row>
    <row r="5350" spans="15:15" x14ac:dyDescent="0.25">
      <c r="O5350" s="21"/>
    </row>
    <row r="5351" spans="15:15" x14ac:dyDescent="0.25">
      <c r="O5351" s="21"/>
    </row>
    <row r="5352" spans="15:15" x14ac:dyDescent="0.25">
      <c r="O5352" s="21"/>
    </row>
    <row r="5353" spans="15:15" x14ac:dyDescent="0.25">
      <c r="O5353" s="21"/>
    </row>
    <row r="5354" spans="15:15" x14ac:dyDescent="0.25">
      <c r="O5354" s="21"/>
    </row>
    <row r="5355" spans="15:15" x14ac:dyDescent="0.25">
      <c r="O5355" s="21"/>
    </row>
    <row r="5356" spans="15:15" x14ac:dyDescent="0.25">
      <c r="O5356" s="21"/>
    </row>
    <row r="5357" spans="15:15" x14ac:dyDescent="0.25">
      <c r="O5357" s="21"/>
    </row>
    <row r="5358" spans="15:15" x14ac:dyDescent="0.25">
      <c r="O5358" s="21"/>
    </row>
    <row r="5359" spans="15:15" x14ac:dyDescent="0.25">
      <c r="O5359" s="21"/>
    </row>
    <row r="5360" spans="15:15" x14ac:dyDescent="0.25">
      <c r="O5360" s="21"/>
    </row>
    <row r="5361" spans="15:15" x14ac:dyDescent="0.25">
      <c r="O5361" s="21"/>
    </row>
    <row r="5362" spans="15:15" x14ac:dyDescent="0.25">
      <c r="O5362" s="21"/>
    </row>
    <row r="5363" spans="15:15" x14ac:dyDescent="0.25">
      <c r="O5363" s="21"/>
    </row>
    <row r="5364" spans="15:15" x14ac:dyDescent="0.25">
      <c r="O5364" s="21"/>
    </row>
    <row r="5365" spans="15:15" x14ac:dyDescent="0.25">
      <c r="O5365" s="21"/>
    </row>
    <row r="5366" spans="15:15" x14ac:dyDescent="0.25">
      <c r="O5366" s="21"/>
    </row>
    <row r="5367" spans="15:15" x14ac:dyDescent="0.25">
      <c r="O5367" s="21"/>
    </row>
    <row r="5368" spans="15:15" x14ac:dyDescent="0.25">
      <c r="O5368" s="21"/>
    </row>
    <row r="5369" spans="15:15" x14ac:dyDescent="0.25">
      <c r="O5369" s="21"/>
    </row>
    <row r="5370" spans="15:15" x14ac:dyDescent="0.25">
      <c r="O5370" s="21"/>
    </row>
    <row r="5371" spans="15:15" x14ac:dyDescent="0.25">
      <c r="O5371" s="21"/>
    </row>
    <row r="5372" spans="15:15" x14ac:dyDescent="0.25">
      <c r="O5372" s="21"/>
    </row>
    <row r="5373" spans="15:15" x14ac:dyDescent="0.25">
      <c r="O5373" s="21"/>
    </row>
    <row r="5374" spans="15:15" x14ac:dyDescent="0.25">
      <c r="O5374" s="21"/>
    </row>
    <row r="5375" spans="15:15" x14ac:dyDescent="0.25">
      <c r="O5375" s="21"/>
    </row>
    <row r="5376" spans="15:15" x14ac:dyDescent="0.25">
      <c r="O5376" s="21"/>
    </row>
    <row r="5377" spans="15:15" x14ac:dyDescent="0.25">
      <c r="O5377" s="21"/>
    </row>
    <row r="5378" spans="15:15" x14ac:dyDescent="0.25">
      <c r="O5378" s="21"/>
    </row>
    <row r="5379" spans="15:15" x14ac:dyDescent="0.25">
      <c r="O5379" s="21"/>
    </row>
    <row r="5380" spans="15:15" x14ac:dyDescent="0.25">
      <c r="O5380" s="21"/>
    </row>
    <row r="5381" spans="15:15" x14ac:dyDescent="0.25">
      <c r="O5381" s="21"/>
    </row>
    <row r="5382" spans="15:15" x14ac:dyDescent="0.25">
      <c r="O5382" s="21"/>
    </row>
    <row r="5383" spans="15:15" x14ac:dyDescent="0.25">
      <c r="O5383" s="21"/>
    </row>
    <row r="5384" spans="15:15" x14ac:dyDescent="0.25">
      <c r="O5384" s="21"/>
    </row>
    <row r="5385" spans="15:15" x14ac:dyDescent="0.25">
      <c r="O5385" s="21"/>
    </row>
    <row r="5386" spans="15:15" x14ac:dyDescent="0.25">
      <c r="O5386" s="21"/>
    </row>
    <row r="5387" spans="15:15" x14ac:dyDescent="0.25">
      <c r="O5387" s="21"/>
    </row>
    <row r="5388" spans="15:15" x14ac:dyDescent="0.25">
      <c r="O5388" s="21"/>
    </row>
    <row r="5389" spans="15:15" x14ac:dyDescent="0.25">
      <c r="O5389" s="21"/>
    </row>
    <row r="5390" spans="15:15" x14ac:dyDescent="0.25">
      <c r="O5390" s="21"/>
    </row>
    <row r="5391" spans="15:15" x14ac:dyDescent="0.25">
      <c r="O5391" s="21"/>
    </row>
    <row r="5392" spans="15:15" x14ac:dyDescent="0.25">
      <c r="O5392" s="21"/>
    </row>
    <row r="5393" spans="15:15" x14ac:dyDescent="0.25">
      <c r="O5393" s="21"/>
    </row>
    <row r="5394" spans="15:15" x14ac:dyDescent="0.25">
      <c r="O5394" s="21"/>
    </row>
    <row r="5395" spans="15:15" x14ac:dyDescent="0.25">
      <c r="O5395" s="21"/>
    </row>
    <row r="5396" spans="15:15" x14ac:dyDescent="0.25">
      <c r="O5396" s="21"/>
    </row>
    <row r="5397" spans="15:15" x14ac:dyDescent="0.25">
      <c r="O5397" s="21"/>
    </row>
    <row r="5398" spans="15:15" x14ac:dyDescent="0.25">
      <c r="O5398" s="21"/>
    </row>
    <row r="5399" spans="15:15" x14ac:dyDescent="0.25">
      <c r="O5399" s="21"/>
    </row>
    <row r="5400" spans="15:15" x14ac:dyDescent="0.25">
      <c r="O5400" s="21"/>
    </row>
    <row r="5401" spans="15:15" x14ac:dyDescent="0.25">
      <c r="O5401" s="21"/>
    </row>
    <row r="5402" spans="15:15" x14ac:dyDescent="0.25">
      <c r="O5402" s="21"/>
    </row>
    <row r="5403" spans="15:15" x14ac:dyDescent="0.25">
      <c r="O5403" s="21"/>
    </row>
    <row r="5404" spans="15:15" x14ac:dyDescent="0.25">
      <c r="O5404" s="21"/>
    </row>
    <row r="5405" spans="15:15" x14ac:dyDescent="0.25">
      <c r="O5405" s="21"/>
    </row>
    <row r="5406" spans="15:15" x14ac:dyDescent="0.25">
      <c r="O5406" s="21"/>
    </row>
    <row r="5407" spans="15:15" x14ac:dyDescent="0.25">
      <c r="O5407" s="21"/>
    </row>
    <row r="5408" spans="15:15" x14ac:dyDescent="0.25">
      <c r="O5408" s="21"/>
    </row>
    <row r="5409" spans="15:15" x14ac:dyDescent="0.25">
      <c r="O5409" s="21"/>
    </row>
    <row r="5410" spans="15:15" x14ac:dyDescent="0.25">
      <c r="O5410" s="21"/>
    </row>
    <row r="5411" spans="15:15" x14ac:dyDescent="0.25">
      <c r="O5411" s="21"/>
    </row>
    <row r="5412" spans="15:15" x14ac:dyDescent="0.25">
      <c r="O5412" s="21"/>
    </row>
    <row r="5413" spans="15:15" x14ac:dyDescent="0.25">
      <c r="O5413" s="21"/>
    </row>
    <row r="5414" spans="15:15" x14ac:dyDescent="0.25">
      <c r="O5414" s="21"/>
    </row>
    <row r="5415" spans="15:15" x14ac:dyDescent="0.25">
      <c r="O5415" s="21"/>
    </row>
    <row r="5416" spans="15:15" x14ac:dyDescent="0.25">
      <c r="O5416" s="21"/>
    </row>
    <row r="5417" spans="15:15" x14ac:dyDescent="0.25">
      <c r="O5417" s="21"/>
    </row>
    <row r="5418" spans="15:15" x14ac:dyDescent="0.25">
      <c r="O5418" s="21"/>
    </row>
    <row r="5419" spans="15:15" x14ac:dyDescent="0.25">
      <c r="O5419" s="21"/>
    </row>
    <row r="5420" spans="15:15" x14ac:dyDescent="0.25">
      <c r="O5420" s="21"/>
    </row>
    <row r="5421" spans="15:15" x14ac:dyDescent="0.25">
      <c r="O5421" s="21"/>
    </row>
    <row r="5422" spans="15:15" x14ac:dyDescent="0.25">
      <c r="O5422" s="21"/>
    </row>
    <row r="5423" spans="15:15" x14ac:dyDescent="0.25">
      <c r="O5423" s="21"/>
    </row>
    <row r="5424" spans="15:15" x14ac:dyDescent="0.25">
      <c r="O5424" s="21"/>
    </row>
    <row r="5425" spans="15:15" x14ac:dyDescent="0.25">
      <c r="O5425" s="21"/>
    </row>
    <row r="5426" spans="15:15" x14ac:dyDescent="0.25">
      <c r="O5426" s="21"/>
    </row>
    <row r="5427" spans="15:15" x14ac:dyDescent="0.25">
      <c r="O5427" s="21"/>
    </row>
    <row r="5428" spans="15:15" x14ac:dyDescent="0.25">
      <c r="O5428" s="21"/>
    </row>
    <row r="5429" spans="15:15" x14ac:dyDescent="0.25">
      <c r="O5429" s="21"/>
    </row>
    <row r="5430" spans="15:15" x14ac:dyDescent="0.25">
      <c r="O5430" s="21"/>
    </row>
    <row r="5431" spans="15:15" x14ac:dyDescent="0.25">
      <c r="O5431" s="21"/>
    </row>
    <row r="5432" spans="15:15" x14ac:dyDescent="0.25">
      <c r="O5432" s="21"/>
    </row>
    <row r="5433" spans="15:15" x14ac:dyDescent="0.25">
      <c r="O5433" s="21"/>
    </row>
    <row r="5434" spans="15:15" x14ac:dyDescent="0.25">
      <c r="O5434" s="21"/>
    </row>
    <row r="5435" spans="15:15" x14ac:dyDescent="0.25">
      <c r="O5435" s="21"/>
    </row>
    <row r="5436" spans="15:15" x14ac:dyDescent="0.25">
      <c r="O5436" s="21"/>
    </row>
    <row r="5437" spans="15:15" x14ac:dyDescent="0.25">
      <c r="O5437" s="21"/>
    </row>
    <row r="5438" spans="15:15" x14ac:dyDescent="0.25">
      <c r="O5438" s="21"/>
    </row>
    <row r="5439" spans="15:15" x14ac:dyDescent="0.25">
      <c r="O5439" s="21"/>
    </row>
    <row r="5440" spans="15:15" x14ac:dyDescent="0.25">
      <c r="O5440" s="21"/>
    </row>
    <row r="5441" spans="15:15" x14ac:dyDescent="0.25">
      <c r="O5441" s="21"/>
    </row>
    <row r="5442" spans="15:15" x14ac:dyDescent="0.25">
      <c r="O5442" s="21"/>
    </row>
    <row r="5443" spans="15:15" x14ac:dyDescent="0.25">
      <c r="O5443" s="21"/>
    </row>
    <row r="5444" spans="15:15" x14ac:dyDescent="0.25">
      <c r="O5444" s="21"/>
    </row>
    <row r="5445" spans="15:15" x14ac:dyDescent="0.25">
      <c r="O5445" s="21"/>
    </row>
    <row r="5446" spans="15:15" x14ac:dyDescent="0.25">
      <c r="O5446" s="21"/>
    </row>
    <row r="5447" spans="15:15" x14ac:dyDescent="0.25">
      <c r="O5447" s="21"/>
    </row>
    <row r="5448" spans="15:15" x14ac:dyDescent="0.25">
      <c r="O5448" s="21"/>
    </row>
    <row r="5449" spans="15:15" x14ac:dyDescent="0.25">
      <c r="O5449" s="21"/>
    </row>
    <row r="5450" spans="15:15" x14ac:dyDescent="0.25">
      <c r="O5450" s="21"/>
    </row>
    <row r="5451" spans="15:15" x14ac:dyDescent="0.25">
      <c r="O5451" s="21"/>
    </row>
    <row r="5452" spans="15:15" x14ac:dyDescent="0.25">
      <c r="O5452" s="21"/>
    </row>
    <row r="5453" spans="15:15" x14ac:dyDescent="0.25">
      <c r="O5453" s="21"/>
    </row>
    <row r="5454" spans="15:15" x14ac:dyDescent="0.25">
      <c r="O5454" s="21"/>
    </row>
    <row r="5455" spans="15:15" x14ac:dyDescent="0.25">
      <c r="O5455" s="21"/>
    </row>
    <row r="5456" spans="15:15" x14ac:dyDescent="0.25">
      <c r="O5456" s="21"/>
    </row>
    <row r="5457" spans="15:15" x14ac:dyDescent="0.25">
      <c r="O5457" s="21"/>
    </row>
    <row r="5458" spans="15:15" x14ac:dyDescent="0.25">
      <c r="O5458" s="21"/>
    </row>
    <row r="5459" spans="15:15" x14ac:dyDescent="0.25">
      <c r="O5459" s="21"/>
    </row>
    <row r="5460" spans="15:15" x14ac:dyDescent="0.25">
      <c r="O5460" s="21"/>
    </row>
    <row r="5461" spans="15:15" x14ac:dyDescent="0.25">
      <c r="O5461" s="21"/>
    </row>
    <row r="5462" spans="15:15" x14ac:dyDescent="0.25">
      <c r="O5462" s="21"/>
    </row>
    <row r="5463" spans="15:15" x14ac:dyDescent="0.25">
      <c r="O5463" s="21"/>
    </row>
    <row r="5464" spans="15:15" x14ac:dyDescent="0.25">
      <c r="O5464" s="21"/>
    </row>
    <row r="5465" spans="15:15" x14ac:dyDescent="0.25">
      <c r="O5465" s="21"/>
    </row>
    <row r="5466" spans="15:15" x14ac:dyDescent="0.25">
      <c r="O5466" s="21"/>
    </row>
    <row r="5467" spans="15:15" x14ac:dyDescent="0.25">
      <c r="O5467" s="21"/>
    </row>
    <row r="5468" spans="15:15" x14ac:dyDescent="0.25">
      <c r="O5468" s="21"/>
    </row>
    <row r="5469" spans="15:15" x14ac:dyDescent="0.25">
      <c r="O5469" s="21"/>
    </row>
    <row r="5470" spans="15:15" x14ac:dyDescent="0.25">
      <c r="O5470" s="21"/>
    </row>
    <row r="5471" spans="15:15" x14ac:dyDescent="0.25">
      <c r="O5471" s="21"/>
    </row>
    <row r="5472" spans="15:15" x14ac:dyDescent="0.25">
      <c r="O5472" s="21"/>
    </row>
    <row r="5473" spans="15:15" x14ac:dyDescent="0.25">
      <c r="O5473" s="21"/>
    </row>
    <row r="5474" spans="15:15" x14ac:dyDescent="0.25">
      <c r="O5474" s="21"/>
    </row>
    <row r="5475" spans="15:15" x14ac:dyDescent="0.25">
      <c r="O5475" s="21"/>
    </row>
    <row r="5476" spans="15:15" x14ac:dyDescent="0.25">
      <c r="O5476" s="21"/>
    </row>
    <row r="5477" spans="15:15" x14ac:dyDescent="0.25">
      <c r="O5477" s="21"/>
    </row>
    <row r="5478" spans="15:15" x14ac:dyDescent="0.25">
      <c r="O5478" s="21"/>
    </row>
    <row r="5479" spans="15:15" x14ac:dyDescent="0.25">
      <c r="O5479" s="21"/>
    </row>
    <row r="5480" spans="15:15" x14ac:dyDescent="0.25">
      <c r="O5480" s="21"/>
    </row>
    <row r="5481" spans="15:15" x14ac:dyDescent="0.25">
      <c r="O5481" s="21"/>
    </row>
    <row r="5482" spans="15:15" x14ac:dyDescent="0.25">
      <c r="O5482" s="21"/>
    </row>
    <row r="5483" spans="15:15" x14ac:dyDescent="0.25">
      <c r="O5483" s="21"/>
    </row>
    <row r="5484" spans="15:15" x14ac:dyDescent="0.25">
      <c r="O5484" s="21"/>
    </row>
    <row r="5485" spans="15:15" x14ac:dyDescent="0.25">
      <c r="O5485" s="21"/>
    </row>
    <row r="5486" spans="15:15" x14ac:dyDescent="0.25">
      <c r="O5486" s="21"/>
    </row>
    <row r="5487" spans="15:15" x14ac:dyDescent="0.25">
      <c r="O5487" s="21"/>
    </row>
    <row r="5488" spans="15:15" x14ac:dyDescent="0.25">
      <c r="O5488" s="21"/>
    </row>
    <row r="5489" spans="15:15" x14ac:dyDescent="0.25">
      <c r="O5489" s="21"/>
    </row>
    <row r="5490" spans="15:15" x14ac:dyDescent="0.25">
      <c r="O5490" s="21"/>
    </row>
    <row r="5491" spans="15:15" x14ac:dyDescent="0.25">
      <c r="O5491" s="21"/>
    </row>
    <row r="5492" spans="15:15" x14ac:dyDescent="0.25">
      <c r="O5492" s="21"/>
    </row>
    <row r="5493" spans="15:15" x14ac:dyDescent="0.25">
      <c r="O5493" s="21"/>
    </row>
    <row r="5494" spans="15:15" x14ac:dyDescent="0.25">
      <c r="O5494" s="21"/>
    </row>
    <row r="5495" spans="15:15" x14ac:dyDescent="0.25">
      <c r="O5495" s="21"/>
    </row>
    <row r="5496" spans="15:15" x14ac:dyDescent="0.25">
      <c r="O5496" s="21"/>
    </row>
    <row r="5497" spans="15:15" x14ac:dyDescent="0.25">
      <c r="O5497" s="21"/>
    </row>
    <row r="5498" spans="15:15" x14ac:dyDescent="0.25">
      <c r="O5498" s="21"/>
    </row>
    <row r="5499" spans="15:15" x14ac:dyDescent="0.25">
      <c r="O5499" s="21"/>
    </row>
    <row r="5500" spans="15:15" x14ac:dyDescent="0.25">
      <c r="O5500" s="21"/>
    </row>
    <row r="5501" spans="15:15" x14ac:dyDescent="0.25">
      <c r="O5501" s="21"/>
    </row>
    <row r="5502" spans="15:15" x14ac:dyDescent="0.25">
      <c r="O5502" s="21"/>
    </row>
    <row r="5503" spans="15:15" x14ac:dyDescent="0.25">
      <c r="O5503" s="21"/>
    </row>
    <row r="5504" spans="15:15" x14ac:dyDescent="0.25">
      <c r="O5504" s="21"/>
    </row>
    <row r="5505" spans="15:15" x14ac:dyDescent="0.25">
      <c r="O5505" s="21"/>
    </row>
    <row r="5506" spans="15:15" x14ac:dyDescent="0.25">
      <c r="O5506" s="21"/>
    </row>
    <row r="5507" spans="15:15" x14ac:dyDescent="0.25">
      <c r="O5507" s="21"/>
    </row>
    <row r="5508" spans="15:15" x14ac:dyDescent="0.25">
      <c r="O5508" s="21"/>
    </row>
    <row r="5509" spans="15:15" x14ac:dyDescent="0.25">
      <c r="O5509" s="21"/>
    </row>
    <row r="5510" spans="15:15" x14ac:dyDescent="0.25">
      <c r="O5510" s="21"/>
    </row>
    <row r="5511" spans="15:15" x14ac:dyDescent="0.25">
      <c r="O5511" s="21"/>
    </row>
    <row r="5512" spans="15:15" x14ac:dyDescent="0.25">
      <c r="O5512" s="21"/>
    </row>
    <row r="5513" spans="15:15" x14ac:dyDescent="0.25">
      <c r="O5513" s="21"/>
    </row>
    <row r="5514" spans="15:15" x14ac:dyDescent="0.25">
      <c r="O5514" s="21"/>
    </row>
    <row r="5515" spans="15:15" x14ac:dyDescent="0.25">
      <c r="O5515" s="21"/>
    </row>
    <row r="5516" spans="15:15" x14ac:dyDescent="0.25">
      <c r="O5516" s="21"/>
    </row>
    <row r="5517" spans="15:15" x14ac:dyDescent="0.25">
      <c r="O5517" s="21"/>
    </row>
    <row r="5518" spans="15:15" x14ac:dyDescent="0.25">
      <c r="O5518" s="21"/>
    </row>
    <row r="5519" spans="15:15" x14ac:dyDescent="0.25">
      <c r="O5519" s="21"/>
    </row>
    <row r="5520" spans="15:15" x14ac:dyDescent="0.25">
      <c r="O5520" s="21"/>
    </row>
    <row r="5521" spans="15:15" x14ac:dyDescent="0.25">
      <c r="O5521" s="21"/>
    </row>
    <row r="5522" spans="15:15" x14ac:dyDescent="0.25">
      <c r="O5522" s="21"/>
    </row>
    <row r="5523" spans="15:15" x14ac:dyDescent="0.25">
      <c r="O5523" s="21"/>
    </row>
    <row r="5524" spans="15:15" x14ac:dyDescent="0.25">
      <c r="O5524" s="21"/>
    </row>
    <row r="5525" spans="15:15" x14ac:dyDescent="0.25">
      <c r="O5525" s="21"/>
    </row>
    <row r="5526" spans="15:15" x14ac:dyDescent="0.25">
      <c r="O5526" s="21"/>
    </row>
    <row r="5527" spans="15:15" x14ac:dyDescent="0.25">
      <c r="O5527" s="21"/>
    </row>
    <row r="5528" spans="15:15" x14ac:dyDescent="0.25">
      <c r="O5528" s="21"/>
    </row>
    <row r="5529" spans="15:15" x14ac:dyDescent="0.25">
      <c r="O5529" s="21"/>
    </row>
    <row r="5530" spans="15:15" x14ac:dyDescent="0.25">
      <c r="O5530" s="21"/>
    </row>
    <row r="5531" spans="15:15" x14ac:dyDescent="0.25">
      <c r="O5531" s="21"/>
    </row>
    <row r="5532" spans="15:15" x14ac:dyDescent="0.25">
      <c r="O5532" s="21"/>
    </row>
    <row r="5533" spans="15:15" x14ac:dyDescent="0.25">
      <c r="O5533" s="21"/>
    </row>
    <row r="5534" spans="15:15" x14ac:dyDescent="0.25">
      <c r="O5534" s="21"/>
    </row>
    <row r="5535" spans="15:15" x14ac:dyDescent="0.25">
      <c r="O5535" s="21"/>
    </row>
    <row r="5536" spans="15:15" x14ac:dyDescent="0.25">
      <c r="O5536" s="21"/>
    </row>
    <row r="5537" spans="15:15" x14ac:dyDescent="0.25">
      <c r="O5537" s="21"/>
    </row>
    <row r="5538" spans="15:15" x14ac:dyDescent="0.25">
      <c r="O5538" s="21"/>
    </row>
    <row r="5539" spans="15:15" x14ac:dyDescent="0.25">
      <c r="O5539" s="21"/>
    </row>
    <row r="5540" spans="15:15" x14ac:dyDescent="0.25">
      <c r="O5540" s="21"/>
    </row>
    <row r="5541" spans="15:15" x14ac:dyDescent="0.25">
      <c r="O5541" s="21"/>
    </row>
    <row r="5542" spans="15:15" x14ac:dyDescent="0.25">
      <c r="O5542" s="21"/>
    </row>
    <row r="5543" spans="15:15" x14ac:dyDescent="0.25">
      <c r="O5543" s="21"/>
    </row>
    <row r="5544" spans="15:15" x14ac:dyDescent="0.25">
      <c r="O5544" s="21"/>
    </row>
    <row r="5545" spans="15:15" x14ac:dyDescent="0.25">
      <c r="O5545" s="21"/>
    </row>
    <row r="5546" spans="15:15" x14ac:dyDescent="0.25">
      <c r="O5546" s="21"/>
    </row>
    <row r="5547" spans="15:15" x14ac:dyDescent="0.25">
      <c r="O5547" s="21"/>
    </row>
    <row r="5548" spans="15:15" x14ac:dyDescent="0.25">
      <c r="O5548" s="21"/>
    </row>
    <row r="5549" spans="15:15" x14ac:dyDescent="0.25">
      <c r="O5549" s="21"/>
    </row>
    <row r="5550" spans="15:15" x14ac:dyDescent="0.25">
      <c r="O5550" s="21"/>
    </row>
    <row r="5551" spans="15:15" x14ac:dyDescent="0.25">
      <c r="O5551" s="21"/>
    </row>
    <row r="5552" spans="15:15" x14ac:dyDescent="0.25">
      <c r="O5552" s="21"/>
    </row>
    <row r="5553" spans="15:15" x14ac:dyDescent="0.25">
      <c r="O5553" s="21"/>
    </row>
    <row r="5554" spans="15:15" x14ac:dyDescent="0.25">
      <c r="O5554" s="21"/>
    </row>
    <row r="5555" spans="15:15" x14ac:dyDescent="0.25">
      <c r="O5555" s="21"/>
    </row>
    <row r="5556" spans="15:15" x14ac:dyDescent="0.25">
      <c r="O5556" s="21"/>
    </row>
    <row r="5557" spans="15:15" x14ac:dyDescent="0.25">
      <c r="O5557" s="21"/>
    </row>
    <row r="5558" spans="15:15" x14ac:dyDescent="0.25">
      <c r="O5558" s="21"/>
    </row>
    <row r="5559" spans="15:15" x14ac:dyDescent="0.25">
      <c r="O5559" s="21"/>
    </row>
    <row r="5560" spans="15:15" x14ac:dyDescent="0.25">
      <c r="O5560" s="21"/>
    </row>
    <row r="5561" spans="15:15" x14ac:dyDescent="0.25">
      <c r="O5561" s="21"/>
    </row>
    <row r="5562" spans="15:15" x14ac:dyDescent="0.25">
      <c r="O5562" s="21"/>
    </row>
    <row r="5563" spans="15:15" x14ac:dyDescent="0.25">
      <c r="O5563" s="21"/>
    </row>
    <row r="5564" spans="15:15" x14ac:dyDescent="0.25">
      <c r="O5564" s="21"/>
    </row>
    <row r="5565" spans="15:15" x14ac:dyDescent="0.25">
      <c r="O5565" s="21"/>
    </row>
    <row r="5566" spans="15:15" x14ac:dyDescent="0.25">
      <c r="O5566" s="21"/>
    </row>
    <row r="5567" spans="15:15" x14ac:dyDescent="0.25">
      <c r="O5567" s="21"/>
    </row>
    <row r="5568" spans="15:15" x14ac:dyDescent="0.25">
      <c r="O5568" s="21"/>
    </row>
    <row r="5569" spans="15:15" x14ac:dyDescent="0.25">
      <c r="O5569" s="21"/>
    </row>
    <row r="5570" spans="15:15" x14ac:dyDescent="0.25">
      <c r="O5570" s="21"/>
    </row>
    <row r="5571" spans="15:15" x14ac:dyDescent="0.25">
      <c r="O5571" s="21"/>
    </row>
    <row r="5572" spans="15:15" x14ac:dyDescent="0.25">
      <c r="O5572" s="21"/>
    </row>
    <row r="5573" spans="15:15" x14ac:dyDescent="0.25">
      <c r="O5573" s="21"/>
    </row>
    <row r="5574" spans="15:15" x14ac:dyDescent="0.25">
      <c r="O5574" s="21"/>
    </row>
    <row r="5575" spans="15:15" x14ac:dyDescent="0.25">
      <c r="O5575" s="21"/>
    </row>
    <row r="5576" spans="15:15" x14ac:dyDescent="0.25">
      <c r="O5576" s="21"/>
    </row>
    <row r="5577" spans="15:15" x14ac:dyDescent="0.25">
      <c r="O5577" s="21"/>
    </row>
    <row r="5578" spans="15:15" x14ac:dyDescent="0.25">
      <c r="O5578" s="21"/>
    </row>
    <row r="5579" spans="15:15" x14ac:dyDescent="0.25">
      <c r="O5579" s="21"/>
    </row>
    <row r="5580" spans="15:15" x14ac:dyDescent="0.25">
      <c r="O5580" s="21"/>
    </row>
    <row r="5581" spans="15:15" x14ac:dyDescent="0.25">
      <c r="O5581" s="21"/>
    </row>
    <row r="5582" spans="15:15" x14ac:dyDescent="0.25">
      <c r="O5582" s="21"/>
    </row>
    <row r="5583" spans="15:15" x14ac:dyDescent="0.25">
      <c r="O5583" s="21"/>
    </row>
    <row r="5584" spans="15:15" x14ac:dyDescent="0.25">
      <c r="O5584" s="21"/>
    </row>
    <row r="5585" spans="15:15" x14ac:dyDescent="0.25">
      <c r="O5585" s="21"/>
    </row>
    <row r="5586" spans="15:15" x14ac:dyDescent="0.25">
      <c r="O5586" s="21"/>
    </row>
    <row r="5587" spans="15:15" x14ac:dyDescent="0.25">
      <c r="O5587" s="21"/>
    </row>
    <row r="5588" spans="15:15" x14ac:dyDescent="0.25">
      <c r="O5588" s="21"/>
    </row>
    <row r="5589" spans="15:15" x14ac:dyDescent="0.25">
      <c r="O5589" s="21"/>
    </row>
    <row r="5590" spans="15:15" x14ac:dyDescent="0.25">
      <c r="O5590" s="21"/>
    </row>
    <row r="5591" spans="15:15" x14ac:dyDescent="0.25">
      <c r="O5591" s="21"/>
    </row>
    <row r="5592" spans="15:15" x14ac:dyDescent="0.25">
      <c r="O5592" s="21"/>
    </row>
    <row r="5593" spans="15:15" x14ac:dyDescent="0.25">
      <c r="O5593" s="21"/>
    </row>
    <row r="5594" spans="15:15" x14ac:dyDescent="0.25">
      <c r="O5594" s="21"/>
    </row>
    <row r="5595" spans="15:15" x14ac:dyDescent="0.25">
      <c r="O5595" s="21"/>
    </row>
    <row r="5596" spans="15:15" x14ac:dyDescent="0.25">
      <c r="O5596" s="21"/>
    </row>
    <row r="5597" spans="15:15" x14ac:dyDescent="0.25">
      <c r="O5597" s="21"/>
    </row>
    <row r="5598" spans="15:15" x14ac:dyDescent="0.25">
      <c r="O5598" s="21"/>
    </row>
    <row r="5599" spans="15:15" x14ac:dyDescent="0.25">
      <c r="O5599" s="21"/>
    </row>
    <row r="5600" spans="15:15" x14ac:dyDescent="0.25">
      <c r="O5600" s="21"/>
    </row>
    <row r="5601" spans="15:15" x14ac:dyDescent="0.25">
      <c r="O5601" s="21"/>
    </row>
    <row r="5602" spans="15:15" x14ac:dyDescent="0.25">
      <c r="O5602" s="21"/>
    </row>
    <row r="5603" spans="15:15" x14ac:dyDescent="0.25">
      <c r="O5603" s="21"/>
    </row>
    <row r="5604" spans="15:15" x14ac:dyDescent="0.25">
      <c r="O5604" s="21"/>
    </row>
    <row r="5605" spans="15:15" x14ac:dyDescent="0.25">
      <c r="O5605" s="21"/>
    </row>
    <row r="5606" spans="15:15" x14ac:dyDescent="0.25">
      <c r="O5606" s="21"/>
    </row>
    <row r="5607" spans="15:15" x14ac:dyDescent="0.25">
      <c r="O5607" s="21"/>
    </row>
    <row r="5608" spans="15:15" x14ac:dyDescent="0.25">
      <c r="O5608" s="21"/>
    </row>
    <row r="5609" spans="15:15" x14ac:dyDescent="0.25">
      <c r="O5609" s="21"/>
    </row>
    <row r="5610" spans="15:15" x14ac:dyDescent="0.25">
      <c r="O5610" s="21"/>
    </row>
    <row r="5611" spans="15:15" x14ac:dyDescent="0.25">
      <c r="O5611" s="21"/>
    </row>
    <row r="5612" spans="15:15" x14ac:dyDescent="0.25">
      <c r="O5612" s="21"/>
    </row>
    <row r="5613" spans="15:15" x14ac:dyDescent="0.25">
      <c r="O5613" s="21"/>
    </row>
    <row r="5614" spans="15:15" x14ac:dyDescent="0.25">
      <c r="O5614" s="21"/>
    </row>
    <row r="5615" spans="15:15" x14ac:dyDescent="0.25">
      <c r="O5615" s="21"/>
    </row>
    <row r="5616" spans="15:15" x14ac:dyDescent="0.25">
      <c r="O5616" s="21"/>
    </row>
    <row r="5617" spans="15:15" x14ac:dyDescent="0.25">
      <c r="O5617" s="21"/>
    </row>
    <row r="5618" spans="15:15" x14ac:dyDescent="0.25">
      <c r="O5618" s="21"/>
    </row>
    <row r="5619" spans="15:15" x14ac:dyDescent="0.25">
      <c r="O5619" s="21"/>
    </row>
    <row r="5620" spans="15:15" x14ac:dyDescent="0.25">
      <c r="O5620" s="21"/>
    </row>
    <row r="5621" spans="15:15" x14ac:dyDescent="0.25">
      <c r="O5621" s="21"/>
    </row>
    <row r="5622" spans="15:15" x14ac:dyDescent="0.25">
      <c r="O5622" s="21"/>
    </row>
    <row r="5623" spans="15:15" x14ac:dyDescent="0.25">
      <c r="O5623" s="21"/>
    </row>
    <row r="5624" spans="15:15" x14ac:dyDescent="0.25">
      <c r="O5624" s="21"/>
    </row>
    <row r="5625" spans="15:15" x14ac:dyDescent="0.25">
      <c r="O5625" s="21"/>
    </row>
    <row r="5626" spans="15:15" x14ac:dyDescent="0.25">
      <c r="O5626" s="21"/>
    </row>
    <row r="5627" spans="15:15" x14ac:dyDescent="0.25">
      <c r="O5627" s="21"/>
    </row>
    <row r="5628" spans="15:15" x14ac:dyDescent="0.25">
      <c r="O5628" s="21"/>
    </row>
    <row r="5629" spans="15:15" x14ac:dyDescent="0.25">
      <c r="O5629" s="21"/>
    </row>
    <row r="5630" spans="15:15" x14ac:dyDescent="0.25">
      <c r="O5630" s="21"/>
    </row>
    <row r="5631" spans="15:15" x14ac:dyDescent="0.25">
      <c r="O5631" s="21"/>
    </row>
    <row r="5632" spans="15:15" x14ac:dyDescent="0.25">
      <c r="O5632" s="21"/>
    </row>
    <row r="5633" spans="15:15" x14ac:dyDescent="0.25">
      <c r="O5633" s="21"/>
    </row>
    <row r="5634" spans="15:15" x14ac:dyDescent="0.25">
      <c r="O5634" s="21"/>
    </row>
    <row r="5635" spans="15:15" x14ac:dyDescent="0.25">
      <c r="O5635" s="21"/>
    </row>
    <row r="5636" spans="15:15" x14ac:dyDescent="0.25">
      <c r="O5636" s="21"/>
    </row>
    <row r="5637" spans="15:15" x14ac:dyDescent="0.25">
      <c r="O5637" s="21"/>
    </row>
    <row r="5638" spans="15:15" x14ac:dyDescent="0.25">
      <c r="O5638" s="21"/>
    </row>
    <row r="5639" spans="15:15" x14ac:dyDescent="0.25">
      <c r="O5639" s="21"/>
    </row>
    <row r="5640" spans="15:15" x14ac:dyDescent="0.25">
      <c r="O5640" s="21"/>
    </row>
    <row r="5641" spans="15:15" x14ac:dyDescent="0.25">
      <c r="O5641" s="21"/>
    </row>
    <row r="5642" spans="15:15" x14ac:dyDescent="0.25">
      <c r="O5642" s="21"/>
    </row>
    <row r="5643" spans="15:15" x14ac:dyDescent="0.25">
      <c r="O5643" s="21"/>
    </row>
    <row r="5644" spans="15:15" x14ac:dyDescent="0.25">
      <c r="O5644" s="21"/>
    </row>
    <row r="5645" spans="15:15" x14ac:dyDescent="0.25">
      <c r="O5645" s="21"/>
    </row>
    <row r="5646" spans="15:15" x14ac:dyDescent="0.25">
      <c r="O5646" s="21"/>
    </row>
    <row r="5647" spans="15:15" x14ac:dyDescent="0.25">
      <c r="O5647" s="21"/>
    </row>
    <row r="5648" spans="15:15" x14ac:dyDescent="0.25">
      <c r="O5648" s="21"/>
    </row>
    <row r="5649" spans="15:15" x14ac:dyDescent="0.25">
      <c r="O5649" s="21"/>
    </row>
    <row r="5650" spans="15:15" x14ac:dyDescent="0.25">
      <c r="O5650" s="21"/>
    </row>
    <row r="5651" spans="15:15" x14ac:dyDescent="0.25">
      <c r="O5651" s="21"/>
    </row>
    <row r="5652" spans="15:15" x14ac:dyDescent="0.25">
      <c r="O5652" s="21"/>
    </row>
    <row r="5653" spans="15:15" x14ac:dyDescent="0.25">
      <c r="O5653" s="21"/>
    </row>
    <row r="5654" spans="15:15" x14ac:dyDescent="0.25">
      <c r="O5654" s="21"/>
    </row>
    <row r="5655" spans="15:15" x14ac:dyDescent="0.25">
      <c r="O5655" s="21"/>
    </row>
    <row r="5656" spans="15:15" x14ac:dyDescent="0.25">
      <c r="O5656" s="21"/>
    </row>
    <row r="5657" spans="15:15" x14ac:dyDescent="0.25">
      <c r="O5657" s="21"/>
    </row>
    <row r="5658" spans="15:15" x14ac:dyDescent="0.25">
      <c r="O5658" s="21"/>
    </row>
    <row r="5659" spans="15:15" x14ac:dyDescent="0.25">
      <c r="O5659" s="21"/>
    </row>
    <row r="5660" spans="15:15" x14ac:dyDescent="0.25">
      <c r="O5660" s="21"/>
    </row>
    <row r="5661" spans="15:15" x14ac:dyDescent="0.25">
      <c r="O5661" s="21"/>
    </row>
    <row r="5662" spans="15:15" x14ac:dyDescent="0.25">
      <c r="O5662" s="21"/>
    </row>
    <row r="5663" spans="15:15" x14ac:dyDescent="0.25">
      <c r="O5663" s="21"/>
    </row>
    <row r="5664" spans="15:15" x14ac:dyDescent="0.25">
      <c r="O5664" s="21"/>
    </row>
    <row r="5665" spans="15:15" x14ac:dyDescent="0.25">
      <c r="O5665" s="21"/>
    </row>
    <row r="5666" spans="15:15" x14ac:dyDescent="0.25">
      <c r="O5666" s="21"/>
    </row>
    <row r="5667" spans="15:15" x14ac:dyDescent="0.25">
      <c r="O5667" s="21"/>
    </row>
    <row r="5668" spans="15:15" x14ac:dyDescent="0.25">
      <c r="O5668" s="21"/>
    </row>
    <row r="5669" spans="15:15" x14ac:dyDescent="0.25">
      <c r="O5669" s="21"/>
    </row>
    <row r="5670" spans="15:15" x14ac:dyDescent="0.25">
      <c r="O5670" s="21"/>
    </row>
    <row r="5671" spans="15:15" x14ac:dyDescent="0.25">
      <c r="O5671" s="21"/>
    </row>
    <row r="5672" spans="15:15" x14ac:dyDescent="0.25">
      <c r="O5672" s="21"/>
    </row>
    <row r="5673" spans="15:15" x14ac:dyDescent="0.25">
      <c r="O5673" s="21"/>
    </row>
    <row r="5674" spans="15:15" x14ac:dyDescent="0.25">
      <c r="O5674" s="21"/>
    </row>
    <row r="5675" spans="15:15" x14ac:dyDescent="0.25">
      <c r="O5675" s="21"/>
    </row>
    <row r="5676" spans="15:15" x14ac:dyDescent="0.25">
      <c r="O5676" s="21"/>
    </row>
    <row r="5677" spans="15:15" x14ac:dyDescent="0.25">
      <c r="O5677" s="21"/>
    </row>
    <row r="5678" spans="15:15" x14ac:dyDescent="0.25">
      <c r="O5678" s="21"/>
    </row>
    <row r="5679" spans="15:15" x14ac:dyDescent="0.25">
      <c r="O5679" s="21"/>
    </row>
    <row r="5680" spans="15:15" x14ac:dyDescent="0.25">
      <c r="O5680" s="21"/>
    </row>
    <row r="5681" spans="15:15" x14ac:dyDescent="0.25">
      <c r="O5681" s="21"/>
    </row>
    <row r="5682" spans="15:15" x14ac:dyDescent="0.25">
      <c r="O5682" s="21"/>
    </row>
    <row r="5683" spans="15:15" x14ac:dyDescent="0.25">
      <c r="O5683" s="21"/>
    </row>
    <row r="5684" spans="15:15" x14ac:dyDescent="0.25">
      <c r="O5684" s="21"/>
    </row>
    <row r="5685" spans="15:15" x14ac:dyDescent="0.25">
      <c r="O5685" s="21"/>
    </row>
    <row r="5686" spans="15:15" x14ac:dyDescent="0.25">
      <c r="O5686" s="21"/>
    </row>
    <row r="5687" spans="15:15" x14ac:dyDescent="0.25">
      <c r="O5687" s="21"/>
    </row>
    <row r="5688" spans="15:15" x14ac:dyDescent="0.25">
      <c r="O5688" s="21"/>
    </row>
    <row r="5689" spans="15:15" x14ac:dyDescent="0.25">
      <c r="O5689" s="21"/>
    </row>
    <row r="5690" spans="15:15" x14ac:dyDescent="0.25">
      <c r="O5690" s="21"/>
    </row>
    <row r="5691" spans="15:15" x14ac:dyDescent="0.25">
      <c r="O5691" s="21"/>
    </row>
    <row r="5692" spans="15:15" x14ac:dyDescent="0.25">
      <c r="O5692" s="21"/>
    </row>
    <row r="5693" spans="15:15" x14ac:dyDescent="0.25">
      <c r="O5693" s="21"/>
    </row>
    <row r="5694" spans="15:15" x14ac:dyDescent="0.25">
      <c r="O5694" s="21"/>
    </row>
    <row r="5695" spans="15:15" x14ac:dyDescent="0.25">
      <c r="O5695" s="21"/>
    </row>
    <row r="5696" spans="15:15" x14ac:dyDescent="0.25">
      <c r="O5696" s="21"/>
    </row>
    <row r="5697" spans="15:15" x14ac:dyDescent="0.25">
      <c r="O5697" s="21"/>
    </row>
    <row r="5698" spans="15:15" x14ac:dyDescent="0.25">
      <c r="O5698" s="21"/>
    </row>
    <row r="5699" spans="15:15" x14ac:dyDescent="0.25">
      <c r="O5699" s="21"/>
    </row>
    <row r="5700" spans="15:15" x14ac:dyDescent="0.25">
      <c r="O5700" s="21"/>
    </row>
    <row r="5701" spans="15:15" x14ac:dyDescent="0.25">
      <c r="O5701" s="21"/>
    </row>
    <row r="5702" spans="15:15" x14ac:dyDescent="0.25">
      <c r="O5702" s="21"/>
    </row>
    <row r="5703" spans="15:15" x14ac:dyDescent="0.25">
      <c r="O5703" s="21"/>
    </row>
    <row r="5704" spans="15:15" x14ac:dyDescent="0.25">
      <c r="O5704" s="21"/>
    </row>
    <row r="5705" spans="15:15" x14ac:dyDescent="0.25">
      <c r="O5705" s="21"/>
    </row>
    <row r="5706" spans="15:15" x14ac:dyDescent="0.25">
      <c r="O5706" s="21"/>
    </row>
    <row r="5707" spans="15:15" x14ac:dyDescent="0.25">
      <c r="O5707" s="21"/>
    </row>
    <row r="5708" spans="15:15" x14ac:dyDescent="0.25">
      <c r="O5708" s="21"/>
    </row>
    <row r="5709" spans="15:15" x14ac:dyDescent="0.25">
      <c r="O5709" s="21"/>
    </row>
    <row r="5710" spans="15:15" x14ac:dyDescent="0.25">
      <c r="O5710" s="21"/>
    </row>
    <row r="5711" spans="15:15" x14ac:dyDescent="0.25">
      <c r="O5711" s="21"/>
    </row>
    <row r="5712" spans="15:15" x14ac:dyDescent="0.25">
      <c r="O5712" s="21"/>
    </row>
    <row r="5713" spans="15:15" x14ac:dyDescent="0.25">
      <c r="O5713" s="21"/>
    </row>
    <row r="5714" spans="15:15" x14ac:dyDescent="0.25">
      <c r="O5714" s="21"/>
    </row>
    <row r="5715" spans="15:15" x14ac:dyDescent="0.25">
      <c r="O5715" s="21"/>
    </row>
    <row r="5716" spans="15:15" x14ac:dyDescent="0.25">
      <c r="O5716" s="21"/>
    </row>
    <row r="5717" spans="15:15" x14ac:dyDescent="0.25">
      <c r="O5717" s="21"/>
    </row>
    <row r="5718" spans="15:15" x14ac:dyDescent="0.25">
      <c r="O5718" s="21"/>
    </row>
    <row r="5719" spans="15:15" x14ac:dyDescent="0.25">
      <c r="O5719" s="21"/>
    </row>
    <row r="5720" spans="15:15" x14ac:dyDescent="0.25">
      <c r="O5720" s="21"/>
    </row>
    <row r="5721" spans="15:15" x14ac:dyDescent="0.25">
      <c r="O5721" s="21"/>
    </row>
    <row r="5722" spans="15:15" x14ac:dyDescent="0.25">
      <c r="O5722" s="21"/>
    </row>
    <row r="5723" spans="15:15" x14ac:dyDescent="0.25">
      <c r="O5723" s="21"/>
    </row>
    <row r="5724" spans="15:15" x14ac:dyDescent="0.25">
      <c r="O5724" s="21"/>
    </row>
    <row r="5725" spans="15:15" x14ac:dyDescent="0.25">
      <c r="O5725" s="21"/>
    </row>
    <row r="5726" spans="15:15" x14ac:dyDescent="0.25">
      <c r="O5726" s="21"/>
    </row>
    <row r="5727" spans="15:15" x14ac:dyDescent="0.25">
      <c r="O5727" s="21"/>
    </row>
    <row r="5728" spans="15:15" x14ac:dyDescent="0.25">
      <c r="O5728" s="21"/>
    </row>
    <row r="5729" spans="15:15" x14ac:dyDescent="0.25">
      <c r="O5729" s="21"/>
    </row>
    <row r="5730" spans="15:15" x14ac:dyDescent="0.25">
      <c r="O5730" s="21"/>
    </row>
    <row r="5731" spans="15:15" x14ac:dyDescent="0.25">
      <c r="O5731" s="21"/>
    </row>
    <row r="5732" spans="15:15" x14ac:dyDescent="0.25">
      <c r="O5732" s="21"/>
    </row>
    <row r="5733" spans="15:15" x14ac:dyDescent="0.25">
      <c r="O5733" s="21"/>
    </row>
    <row r="5734" spans="15:15" x14ac:dyDescent="0.25">
      <c r="O5734" s="21"/>
    </row>
    <row r="5735" spans="15:15" x14ac:dyDescent="0.25">
      <c r="O5735" s="21"/>
    </row>
    <row r="5736" spans="15:15" x14ac:dyDescent="0.25">
      <c r="O5736" s="21"/>
    </row>
    <row r="5737" spans="15:15" x14ac:dyDescent="0.25">
      <c r="O5737" s="21"/>
    </row>
    <row r="5738" spans="15:15" x14ac:dyDescent="0.25">
      <c r="O5738" s="21"/>
    </row>
    <row r="5739" spans="15:15" x14ac:dyDescent="0.25">
      <c r="O5739" s="21"/>
    </row>
    <row r="5740" spans="15:15" x14ac:dyDescent="0.25">
      <c r="O5740" s="21"/>
    </row>
    <row r="5741" spans="15:15" x14ac:dyDescent="0.25">
      <c r="O5741" s="21"/>
    </row>
    <row r="5742" spans="15:15" x14ac:dyDescent="0.25">
      <c r="O5742" s="21"/>
    </row>
    <row r="5743" spans="15:15" x14ac:dyDescent="0.25">
      <c r="O5743" s="21"/>
    </row>
    <row r="5744" spans="15:15" x14ac:dyDescent="0.25">
      <c r="O5744" s="21"/>
    </row>
    <row r="5745" spans="15:15" x14ac:dyDescent="0.25">
      <c r="O5745" s="21"/>
    </row>
    <row r="5746" spans="15:15" x14ac:dyDescent="0.25">
      <c r="O5746" s="21"/>
    </row>
    <row r="5747" spans="15:15" x14ac:dyDescent="0.25">
      <c r="O5747" s="21"/>
    </row>
    <row r="5748" spans="15:15" x14ac:dyDescent="0.25">
      <c r="O5748" s="21"/>
    </row>
    <row r="5749" spans="15:15" x14ac:dyDescent="0.25">
      <c r="O5749" s="21"/>
    </row>
    <row r="5750" spans="15:15" x14ac:dyDescent="0.25">
      <c r="O5750" s="21"/>
    </row>
    <row r="5751" spans="15:15" x14ac:dyDescent="0.25">
      <c r="O5751" s="21"/>
    </row>
    <row r="5752" spans="15:15" x14ac:dyDescent="0.25">
      <c r="O5752" s="21"/>
    </row>
    <row r="5753" spans="15:15" x14ac:dyDescent="0.25">
      <c r="O5753" s="21"/>
    </row>
    <row r="5754" spans="15:15" x14ac:dyDescent="0.25">
      <c r="O5754" s="21"/>
    </row>
    <row r="5755" spans="15:15" x14ac:dyDescent="0.25">
      <c r="O5755" s="21"/>
    </row>
    <row r="5756" spans="15:15" x14ac:dyDescent="0.25">
      <c r="O5756" s="21"/>
    </row>
    <row r="5757" spans="15:15" x14ac:dyDescent="0.25">
      <c r="O5757" s="21"/>
    </row>
    <row r="5758" spans="15:15" x14ac:dyDescent="0.25">
      <c r="O5758" s="21"/>
    </row>
    <row r="5759" spans="15:15" x14ac:dyDescent="0.25">
      <c r="O5759" s="21"/>
    </row>
    <row r="5760" spans="15:15" x14ac:dyDescent="0.25">
      <c r="O5760" s="21"/>
    </row>
    <row r="5761" spans="15:15" x14ac:dyDescent="0.25">
      <c r="O5761" s="21"/>
    </row>
    <row r="5762" spans="15:15" x14ac:dyDescent="0.25">
      <c r="O5762" s="21"/>
    </row>
    <row r="5763" spans="15:15" x14ac:dyDescent="0.25">
      <c r="O5763" s="21"/>
    </row>
    <row r="5764" spans="15:15" x14ac:dyDescent="0.25">
      <c r="O5764" s="21"/>
    </row>
    <row r="5765" spans="15:15" x14ac:dyDescent="0.25">
      <c r="O5765" s="21"/>
    </row>
    <row r="5766" spans="15:15" x14ac:dyDescent="0.25">
      <c r="O5766" s="21"/>
    </row>
    <row r="5767" spans="15:15" x14ac:dyDescent="0.25">
      <c r="O5767" s="21"/>
    </row>
    <row r="5768" spans="15:15" x14ac:dyDescent="0.25">
      <c r="O5768" s="21"/>
    </row>
    <row r="5769" spans="15:15" x14ac:dyDescent="0.25">
      <c r="O5769" s="21"/>
    </row>
    <row r="5770" spans="15:15" x14ac:dyDescent="0.25">
      <c r="O5770" s="21"/>
    </row>
    <row r="5771" spans="15:15" x14ac:dyDescent="0.25">
      <c r="O5771" s="21"/>
    </row>
    <row r="5772" spans="15:15" x14ac:dyDescent="0.25">
      <c r="O5772" s="21"/>
    </row>
    <row r="5773" spans="15:15" x14ac:dyDescent="0.25">
      <c r="O5773" s="21"/>
    </row>
    <row r="5774" spans="15:15" x14ac:dyDescent="0.25">
      <c r="O5774" s="21"/>
    </row>
    <row r="5775" spans="15:15" x14ac:dyDescent="0.25">
      <c r="O5775" s="21"/>
    </row>
    <row r="5776" spans="15:15" x14ac:dyDescent="0.25">
      <c r="O5776" s="21"/>
    </row>
    <row r="5777" spans="15:15" x14ac:dyDescent="0.25">
      <c r="O5777" s="21"/>
    </row>
    <row r="5778" spans="15:15" x14ac:dyDescent="0.25">
      <c r="O5778" s="21"/>
    </row>
    <row r="5779" spans="15:15" x14ac:dyDescent="0.25">
      <c r="O5779" s="21"/>
    </row>
    <row r="5780" spans="15:15" x14ac:dyDescent="0.25">
      <c r="O5780" s="21"/>
    </row>
    <row r="5781" spans="15:15" x14ac:dyDescent="0.25">
      <c r="O5781" s="21"/>
    </row>
    <row r="5782" spans="15:15" x14ac:dyDescent="0.25">
      <c r="O5782" s="21"/>
    </row>
    <row r="5783" spans="15:15" x14ac:dyDescent="0.25">
      <c r="O5783" s="21"/>
    </row>
    <row r="5784" spans="15:15" x14ac:dyDescent="0.25">
      <c r="O5784" s="21"/>
    </row>
    <row r="5785" spans="15:15" x14ac:dyDescent="0.25">
      <c r="O5785" s="21"/>
    </row>
    <row r="5786" spans="15:15" x14ac:dyDescent="0.25">
      <c r="O5786" s="21"/>
    </row>
    <row r="5787" spans="15:15" x14ac:dyDescent="0.25">
      <c r="O5787" s="21"/>
    </row>
    <row r="5788" spans="15:15" x14ac:dyDescent="0.25">
      <c r="O5788" s="21"/>
    </row>
    <row r="5789" spans="15:15" x14ac:dyDescent="0.25">
      <c r="O5789" s="21"/>
    </row>
    <row r="5790" spans="15:15" x14ac:dyDescent="0.25">
      <c r="O5790" s="21"/>
    </row>
    <row r="5791" spans="15:15" x14ac:dyDescent="0.25">
      <c r="O5791" s="21"/>
    </row>
    <row r="5792" spans="15:15" x14ac:dyDescent="0.25">
      <c r="O5792" s="21"/>
    </row>
    <row r="5793" spans="15:15" x14ac:dyDescent="0.25">
      <c r="O5793" s="21"/>
    </row>
    <row r="5794" spans="15:15" x14ac:dyDescent="0.25">
      <c r="O5794" s="21"/>
    </row>
    <row r="5795" spans="15:15" x14ac:dyDescent="0.25">
      <c r="O5795" s="21"/>
    </row>
    <row r="5796" spans="15:15" x14ac:dyDescent="0.25">
      <c r="O5796" s="21"/>
    </row>
    <row r="5797" spans="15:15" x14ac:dyDescent="0.25">
      <c r="O5797" s="21"/>
    </row>
    <row r="5798" spans="15:15" x14ac:dyDescent="0.25">
      <c r="O5798" s="21"/>
    </row>
    <row r="5799" spans="15:15" x14ac:dyDescent="0.25">
      <c r="O5799" s="21"/>
    </row>
    <row r="5800" spans="15:15" x14ac:dyDescent="0.25">
      <c r="O5800" s="21"/>
    </row>
    <row r="5801" spans="15:15" x14ac:dyDescent="0.25">
      <c r="O5801" s="21"/>
    </row>
    <row r="5802" spans="15:15" x14ac:dyDescent="0.25">
      <c r="O5802" s="21"/>
    </row>
    <row r="5803" spans="15:15" x14ac:dyDescent="0.25">
      <c r="O5803" s="21"/>
    </row>
    <row r="5804" spans="15:15" x14ac:dyDescent="0.25">
      <c r="O5804" s="21"/>
    </row>
    <row r="5805" spans="15:15" x14ac:dyDescent="0.25">
      <c r="O5805" s="21"/>
    </row>
    <row r="5806" spans="15:15" x14ac:dyDescent="0.25">
      <c r="O5806" s="21"/>
    </row>
    <row r="5807" spans="15:15" x14ac:dyDescent="0.25">
      <c r="O5807" s="21"/>
    </row>
    <row r="5808" spans="15:15" x14ac:dyDescent="0.25">
      <c r="O5808" s="21"/>
    </row>
    <row r="5809" spans="15:15" x14ac:dyDescent="0.25">
      <c r="O5809" s="21"/>
    </row>
    <row r="5810" spans="15:15" x14ac:dyDescent="0.25">
      <c r="O5810" s="21"/>
    </row>
    <row r="5811" spans="15:15" x14ac:dyDescent="0.25">
      <c r="O5811" s="21"/>
    </row>
    <row r="5812" spans="15:15" x14ac:dyDescent="0.25">
      <c r="O5812" s="21"/>
    </row>
    <row r="5813" spans="15:15" x14ac:dyDescent="0.25">
      <c r="O5813" s="21"/>
    </row>
    <row r="5814" spans="15:15" x14ac:dyDescent="0.25">
      <c r="O5814" s="21"/>
    </row>
    <row r="5815" spans="15:15" x14ac:dyDescent="0.25">
      <c r="O5815" s="21"/>
    </row>
    <row r="5816" spans="15:15" x14ac:dyDescent="0.25">
      <c r="O5816" s="21"/>
    </row>
    <row r="5817" spans="15:15" x14ac:dyDescent="0.25">
      <c r="O5817" s="21"/>
    </row>
    <row r="5818" spans="15:15" x14ac:dyDescent="0.25">
      <c r="O5818" s="21"/>
    </row>
    <row r="5819" spans="15:15" x14ac:dyDescent="0.25">
      <c r="O5819" s="21"/>
    </row>
    <row r="5820" spans="15:15" x14ac:dyDescent="0.25">
      <c r="O5820" s="21"/>
    </row>
    <row r="5821" spans="15:15" x14ac:dyDescent="0.25">
      <c r="O5821" s="21"/>
    </row>
    <row r="5822" spans="15:15" x14ac:dyDescent="0.25">
      <c r="O5822" s="21"/>
    </row>
    <row r="5823" spans="15:15" x14ac:dyDescent="0.25">
      <c r="O5823" s="21"/>
    </row>
    <row r="5824" spans="15:15" x14ac:dyDescent="0.25">
      <c r="O5824" s="21"/>
    </row>
    <row r="5825" spans="15:15" x14ac:dyDescent="0.25">
      <c r="O5825" s="21"/>
    </row>
    <row r="5826" spans="15:15" x14ac:dyDescent="0.25">
      <c r="O5826" s="21"/>
    </row>
    <row r="5827" spans="15:15" x14ac:dyDescent="0.25">
      <c r="O5827" s="21"/>
    </row>
    <row r="5828" spans="15:15" x14ac:dyDescent="0.25">
      <c r="O5828" s="21"/>
    </row>
    <row r="5829" spans="15:15" x14ac:dyDescent="0.25">
      <c r="O5829" s="21"/>
    </row>
    <row r="5830" spans="15:15" x14ac:dyDescent="0.25">
      <c r="O5830" s="21"/>
    </row>
    <row r="5831" spans="15:15" x14ac:dyDescent="0.25">
      <c r="O5831" s="21"/>
    </row>
    <row r="5832" spans="15:15" x14ac:dyDescent="0.25">
      <c r="O5832" s="21"/>
    </row>
    <row r="5833" spans="15:15" x14ac:dyDescent="0.25">
      <c r="O5833" s="21"/>
    </row>
    <row r="5834" spans="15:15" x14ac:dyDescent="0.25">
      <c r="O5834" s="21"/>
    </row>
    <row r="5835" spans="15:15" x14ac:dyDescent="0.25">
      <c r="O5835" s="21"/>
    </row>
    <row r="5836" spans="15:15" x14ac:dyDescent="0.25">
      <c r="O5836" s="21"/>
    </row>
    <row r="5837" spans="15:15" x14ac:dyDescent="0.25">
      <c r="O5837" s="21"/>
    </row>
    <row r="5838" spans="15:15" x14ac:dyDescent="0.25">
      <c r="O5838" s="21"/>
    </row>
    <row r="5839" spans="15:15" x14ac:dyDescent="0.25">
      <c r="O5839" s="21"/>
    </row>
    <row r="5840" spans="15:15" x14ac:dyDescent="0.25">
      <c r="O5840" s="21"/>
    </row>
    <row r="5841" spans="15:15" x14ac:dyDescent="0.25">
      <c r="O5841" s="21"/>
    </row>
    <row r="5842" spans="15:15" x14ac:dyDescent="0.25">
      <c r="O5842" s="21"/>
    </row>
    <row r="5843" spans="15:15" x14ac:dyDescent="0.25">
      <c r="O5843" s="21"/>
    </row>
    <row r="5844" spans="15:15" x14ac:dyDescent="0.25">
      <c r="O5844" s="21"/>
    </row>
    <row r="5845" spans="15:15" x14ac:dyDescent="0.25">
      <c r="O5845" s="21"/>
    </row>
    <row r="5846" spans="15:15" x14ac:dyDescent="0.25">
      <c r="O5846" s="21"/>
    </row>
    <row r="5847" spans="15:15" x14ac:dyDescent="0.25">
      <c r="O5847" s="21"/>
    </row>
    <row r="5848" spans="15:15" x14ac:dyDescent="0.25">
      <c r="O5848" s="21"/>
    </row>
    <row r="5849" spans="15:15" x14ac:dyDescent="0.25">
      <c r="O5849" s="21"/>
    </row>
    <row r="5850" spans="15:15" x14ac:dyDescent="0.25">
      <c r="O5850" s="21"/>
    </row>
    <row r="5851" spans="15:15" x14ac:dyDescent="0.25">
      <c r="O5851" s="21"/>
    </row>
    <row r="5852" spans="15:15" x14ac:dyDescent="0.25">
      <c r="O5852" s="21"/>
    </row>
    <row r="5853" spans="15:15" x14ac:dyDescent="0.25">
      <c r="O5853" s="21"/>
    </row>
    <row r="5854" spans="15:15" x14ac:dyDescent="0.25">
      <c r="O5854" s="21"/>
    </row>
    <row r="5855" spans="15:15" x14ac:dyDescent="0.25">
      <c r="O5855" s="21"/>
    </row>
    <row r="5856" spans="15:15" x14ac:dyDescent="0.25">
      <c r="O5856" s="21"/>
    </row>
    <row r="5857" spans="15:15" x14ac:dyDescent="0.25">
      <c r="O5857" s="21"/>
    </row>
    <row r="5858" spans="15:15" x14ac:dyDescent="0.25">
      <c r="O5858" s="21"/>
    </row>
    <row r="5859" spans="15:15" x14ac:dyDescent="0.25">
      <c r="O5859" s="21"/>
    </row>
    <row r="5860" spans="15:15" x14ac:dyDescent="0.25">
      <c r="O5860" s="21"/>
    </row>
    <row r="5861" spans="15:15" x14ac:dyDescent="0.25">
      <c r="O5861" s="21"/>
    </row>
    <row r="5862" spans="15:15" x14ac:dyDescent="0.25">
      <c r="O5862" s="21"/>
    </row>
    <row r="5863" spans="15:15" x14ac:dyDescent="0.25">
      <c r="O5863" s="21"/>
    </row>
    <row r="5864" spans="15:15" x14ac:dyDescent="0.25">
      <c r="O5864" s="21"/>
    </row>
    <row r="5865" spans="15:15" x14ac:dyDescent="0.25">
      <c r="O5865" s="21"/>
    </row>
    <row r="5866" spans="15:15" x14ac:dyDescent="0.25">
      <c r="O5866" s="21"/>
    </row>
    <row r="5867" spans="15:15" x14ac:dyDescent="0.25">
      <c r="O5867" s="21"/>
    </row>
    <row r="5868" spans="15:15" x14ac:dyDescent="0.25">
      <c r="O5868" s="21"/>
    </row>
    <row r="5869" spans="15:15" x14ac:dyDescent="0.25">
      <c r="O5869" s="21"/>
    </row>
    <row r="5870" spans="15:15" x14ac:dyDescent="0.25">
      <c r="O5870" s="21"/>
    </row>
    <row r="5871" spans="15:15" x14ac:dyDescent="0.25">
      <c r="O5871" s="21"/>
    </row>
    <row r="5872" spans="15:15" x14ac:dyDescent="0.25">
      <c r="O5872" s="21"/>
    </row>
    <row r="5873" spans="15:15" x14ac:dyDescent="0.25">
      <c r="O5873" s="21"/>
    </row>
    <row r="5874" spans="15:15" x14ac:dyDescent="0.25">
      <c r="O5874" s="21"/>
    </row>
    <row r="5875" spans="15:15" x14ac:dyDescent="0.25">
      <c r="O5875" s="21"/>
    </row>
    <row r="5876" spans="15:15" x14ac:dyDescent="0.25">
      <c r="O5876" s="21"/>
    </row>
    <row r="5877" spans="15:15" x14ac:dyDescent="0.25">
      <c r="O5877" s="21"/>
    </row>
    <row r="5878" spans="15:15" x14ac:dyDescent="0.25">
      <c r="O5878" s="21"/>
    </row>
    <row r="5879" spans="15:15" x14ac:dyDescent="0.25">
      <c r="O5879" s="21"/>
    </row>
    <row r="5880" spans="15:15" x14ac:dyDescent="0.25">
      <c r="O5880" s="21"/>
    </row>
    <row r="5881" spans="15:15" x14ac:dyDescent="0.25">
      <c r="O5881" s="21"/>
    </row>
    <row r="5882" spans="15:15" x14ac:dyDescent="0.25">
      <c r="O5882" s="21"/>
    </row>
    <row r="5883" spans="15:15" x14ac:dyDescent="0.25">
      <c r="O5883" s="21"/>
    </row>
    <row r="5884" spans="15:15" x14ac:dyDescent="0.25">
      <c r="O5884" s="21"/>
    </row>
    <row r="5885" spans="15:15" x14ac:dyDescent="0.25">
      <c r="O5885" s="21"/>
    </row>
    <row r="5886" spans="15:15" x14ac:dyDescent="0.25">
      <c r="O5886" s="21"/>
    </row>
    <row r="5887" spans="15:15" x14ac:dyDescent="0.25">
      <c r="O5887" s="21"/>
    </row>
    <row r="5888" spans="15:15" x14ac:dyDescent="0.25">
      <c r="O5888" s="21"/>
    </row>
    <row r="5889" spans="15:15" x14ac:dyDescent="0.25">
      <c r="O5889" s="21"/>
    </row>
    <row r="5890" spans="15:15" x14ac:dyDescent="0.25">
      <c r="O5890" s="21"/>
    </row>
    <row r="5891" spans="15:15" x14ac:dyDescent="0.25">
      <c r="O5891" s="21"/>
    </row>
    <row r="5892" spans="15:15" x14ac:dyDescent="0.25">
      <c r="O5892" s="21"/>
    </row>
    <row r="5893" spans="15:15" x14ac:dyDescent="0.25">
      <c r="O5893" s="21"/>
    </row>
    <row r="5894" spans="15:15" x14ac:dyDescent="0.25">
      <c r="O5894" s="21"/>
    </row>
    <row r="5895" spans="15:15" x14ac:dyDescent="0.25">
      <c r="O5895" s="21"/>
    </row>
    <row r="5896" spans="15:15" x14ac:dyDescent="0.25">
      <c r="O5896" s="21"/>
    </row>
    <row r="5897" spans="15:15" x14ac:dyDescent="0.25">
      <c r="O5897" s="21"/>
    </row>
    <row r="5898" spans="15:15" x14ac:dyDescent="0.25">
      <c r="O5898" s="21"/>
    </row>
    <row r="5899" spans="15:15" x14ac:dyDescent="0.25">
      <c r="O5899" s="21"/>
    </row>
    <row r="5900" spans="15:15" x14ac:dyDescent="0.25">
      <c r="O5900" s="21"/>
    </row>
    <row r="5901" spans="15:15" x14ac:dyDescent="0.25">
      <c r="O5901" s="21"/>
    </row>
    <row r="5902" spans="15:15" x14ac:dyDescent="0.25">
      <c r="O5902" s="21"/>
    </row>
    <row r="5903" spans="15:15" x14ac:dyDescent="0.25">
      <c r="O5903" s="21"/>
    </row>
    <row r="5904" spans="15:15" x14ac:dyDescent="0.25">
      <c r="O5904" s="21"/>
    </row>
    <row r="5905" spans="15:15" x14ac:dyDescent="0.25">
      <c r="O5905" s="21"/>
    </row>
    <row r="5906" spans="15:15" x14ac:dyDescent="0.25">
      <c r="O5906" s="21"/>
    </row>
    <row r="5907" spans="15:15" x14ac:dyDescent="0.25">
      <c r="O5907" s="21"/>
    </row>
    <row r="5908" spans="15:15" x14ac:dyDescent="0.25">
      <c r="O5908" s="21"/>
    </row>
    <row r="5909" spans="15:15" x14ac:dyDescent="0.25">
      <c r="O5909" s="21"/>
    </row>
    <row r="5910" spans="15:15" x14ac:dyDescent="0.25">
      <c r="O5910" s="21"/>
    </row>
    <row r="5911" spans="15:15" x14ac:dyDescent="0.25">
      <c r="O5911" s="21"/>
    </row>
    <row r="5912" spans="15:15" x14ac:dyDescent="0.25">
      <c r="O5912" s="21"/>
    </row>
    <row r="5913" spans="15:15" x14ac:dyDescent="0.25">
      <c r="O5913" s="21"/>
    </row>
    <row r="5914" spans="15:15" x14ac:dyDescent="0.25">
      <c r="O5914" s="21"/>
    </row>
    <row r="5915" spans="15:15" x14ac:dyDescent="0.25">
      <c r="O5915" s="21"/>
    </row>
    <row r="5916" spans="15:15" x14ac:dyDescent="0.25">
      <c r="O5916" s="21"/>
    </row>
    <row r="5917" spans="15:15" x14ac:dyDescent="0.25">
      <c r="O5917" s="21"/>
    </row>
    <row r="5918" spans="15:15" x14ac:dyDescent="0.25">
      <c r="O5918" s="21"/>
    </row>
    <row r="5919" spans="15:15" x14ac:dyDescent="0.25">
      <c r="O5919" s="21"/>
    </row>
    <row r="5920" spans="15:15" x14ac:dyDescent="0.25">
      <c r="O5920" s="21"/>
    </row>
    <row r="5921" spans="15:15" x14ac:dyDescent="0.25">
      <c r="O5921" s="21"/>
    </row>
    <row r="5922" spans="15:15" x14ac:dyDescent="0.25">
      <c r="O5922" s="21"/>
    </row>
    <row r="5923" spans="15:15" x14ac:dyDescent="0.25">
      <c r="O5923" s="21"/>
    </row>
    <row r="5924" spans="15:15" x14ac:dyDescent="0.25">
      <c r="O5924" s="21"/>
    </row>
    <row r="5925" spans="15:15" x14ac:dyDescent="0.25">
      <c r="O5925" s="21"/>
    </row>
    <row r="5926" spans="15:15" x14ac:dyDescent="0.25">
      <c r="O5926" s="21"/>
    </row>
    <row r="5927" spans="15:15" x14ac:dyDescent="0.25">
      <c r="O5927" s="21"/>
    </row>
    <row r="5928" spans="15:15" x14ac:dyDescent="0.25">
      <c r="O5928" s="21"/>
    </row>
    <row r="5929" spans="15:15" x14ac:dyDescent="0.25">
      <c r="O5929" s="21"/>
    </row>
    <row r="5930" spans="15:15" x14ac:dyDescent="0.25">
      <c r="O5930" s="21"/>
    </row>
    <row r="5931" spans="15:15" x14ac:dyDescent="0.25">
      <c r="O5931" s="21"/>
    </row>
    <row r="5932" spans="15:15" x14ac:dyDescent="0.25">
      <c r="O5932" s="21"/>
    </row>
    <row r="5933" spans="15:15" x14ac:dyDescent="0.25">
      <c r="O5933" s="21"/>
    </row>
    <row r="5934" spans="15:15" x14ac:dyDescent="0.25">
      <c r="O5934" s="21"/>
    </row>
    <row r="5935" spans="15:15" x14ac:dyDescent="0.25">
      <c r="O5935" s="21"/>
    </row>
    <row r="5936" spans="15:15" x14ac:dyDescent="0.25">
      <c r="O5936" s="21"/>
    </row>
    <row r="5937" spans="15:15" x14ac:dyDescent="0.25">
      <c r="O5937" s="21"/>
    </row>
    <row r="5938" spans="15:15" x14ac:dyDescent="0.25">
      <c r="O5938" s="21"/>
    </row>
    <row r="5939" spans="15:15" x14ac:dyDescent="0.25">
      <c r="O5939" s="21"/>
    </row>
    <row r="5940" spans="15:15" x14ac:dyDescent="0.25">
      <c r="O5940" s="21"/>
    </row>
    <row r="5941" spans="15:15" x14ac:dyDescent="0.25">
      <c r="O5941" s="21"/>
    </row>
    <row r="5942" spans="15:15" x14ac:dyDescent="0.25">
      <c r="O5942" s="21"/>
    </row>
    <row r="5943" spans="15:15" x14ac:dyDescent="0.25">
      <c r="O5943" s="21"/>
    </row>
    <row r="5944" spans="15:15" x14ac:dyDescent="0.25">
      <c r="O5944" s="21"/>
    </row>
    <row r="5945" spans="15:15" x14ac:dyDescent="0.25">
      <c r="O5945" s="21"/>
    </row>
    <row r="5946" spans="15:15" x14ac:dyDescent="0.25">
      <c r="O5946" s="21"/>
    </row>
    <row r="5947" spans="15:15" x14ac:dyDescent="0.25">
      <c r="O5947" s="21"/>
    </row>
    <row r="5948" spans="15:15" x14ac:dyDescent="0.25">
      <c r="O5948" s="21"/>
    </row>
    <row r="5949" spans="15:15" x14ac:dyDescent="0.25">
      <c r="O5949" s="21"/>
    </row>
    <row r="5950" spans="15:15" x14ac:dyDescent="0.25">
      <c r="O5950" s="21"/>
    </row>
    <row r="5951" spans="15:15" x14ac:dyDescent="0.25">
      <c r="O5951" s="21"/>
    </row>
    <row r="5952" spans="15:15" x14ac:dyDescent="0.25">
      <c r="O5952" s="21"/>
    </row>
    <row r="5953" spans="15:15" x14ac:dyDescent="0.25">
      <c r="O5953" s="21"/>
    </row>
    <row r="5954" spans="15:15" x14ac:dyDescent="0.25">
      <c r="O5954" s="21"/>
    </row>
    <row r="5955" spans="15:15" x14ac:dyDescent="0.25">
      <c r="O5955" s="21"/>
    </row>
    <row r="5956" spans="15:15" x14ac:dyDescent="0.25">
      <c r="O5956" s="21"/>
    </row>
    <row r="5957" spans="15:15" x14ac:dyDescent="0.25">
      <c r="O5957" s="21"/>
    </row>
    <row r="5958" spans="15:15" x14ac:dyDescent="0.25">
      <c r="O5958" s="21"/>
    </row>
    <row r="5959" spans="15:15" x14ac:dyDescent="0.25">
      <c r="O5959" s="21"/>
    </row>
    <row r="5960" spans="15:15" x14ac:dyDescent="0.25">
      <c r="O5960" s="21"/>
    </row>
    <row r="5961" spans="15:15" x14ac:dyDescent="0.25">
      <c r="O5961" s="21"/>
    </row>
    <row r="5962" spans="15:15" x14ac:dyDescent="0.25">
      <c r="O5962" s="21"/>
    </row>
    <row r="5963" spans="15:15" x14ac:dyDescent="0.25">
      <c r="O5963" s="21"/>
    </row>
    <row r="5964" spans="15:15" x14ac:dyDescent="0.25">
      <c r="O5964" s="21"/>
    </row>
    <row r="5965" spans="15:15" x14ac:dyDescent="0.25">
      <c r="O5965" s="21"/>
    </row>
    <row r="5966" spans="15:15" x14ac:dyDescent="0.25">
      <c r="O5966" s="21"/>
    </row>
    <row r="5967" spans="15:15" x14ac:dyDescent="0.25">
      <c r="O5967" s="21"/>
    </row>
    <row r="5968" spans="15:15" x14ac:dyDescent="0.25">
      <c r="O5968" s="21"/>
    </row>
    <row r="5969" spans="15:15" x14ac:dyDescent="0.25">
      <c r="O5969" s="21"/>
    </row>
    <row r="5970" spans="15:15" x14ac:dyDescent="0.25">
      <c r="O5970" s="21"/>
    </row>
    <row r="5971" spans="15:15" x14ac:dyDescent="0.25">
      <c r="O5971" s="21"/>
    </row>
    <row r="5972" spans="15:15" x14ac:dyDescent="0.25">
      <c r="O5972" s="21"/>
    </row>
    <row r="5973" spans="15:15" x14ac:dyDescent="0.25">
      <c r="O5973" s="21"/>
    </row>
    <row r="5974" spans="15:15" x14ac:dyDescent="0.25">
      <c r="O5974" s="21"/>
    </row>
    <row r="5975" spans="15:15" x14ac:dyDescent="0.25">
      <c r="O5975" s="21"/>
    </row>
    <row r="5976" spans="15:15" x14ac:dyDescent="0.25">
      <c r="O5976" s="21"/>
    </row>
    <row r="5977" spans="15:15" x14ac:dyDescent="0.25">
      <c r="O5977" s="21"/>
    </row>
    <row r="5978" spans="15:15" x14ac:dyDescent="0.25">
      <c r="O5978" s="21"/>
    </row>
    <row r="5979" spans="15:15" x14ac:dyDescent="0.25">
      <c r="O5979" s="21"/>
    </row>
    <row r="5980" spans="15:15" x14ac:dyDescent="0.25">
      <c r="O5980" s="21"/>
    </row>
    <row r="5981" spans="15:15" x14ac:dyDescent="0.25">
      <c r="O5981" s="21"/>
    </row>
    <row r="5982" spans="15:15" x14ac:dyDescent="0.25">
      <c r="O5982" s="21"/>
    </row>
    <row r="5983" spans="15:15" x14ac:dyDescent="0.25">
      <c r="O5983" s="21"/>
    </row>
    <row r="5984" spans="15:15" x14ac:dyDescent="0.25">
      <c r="O5984" s="21"/>
    </row>
    <row r="5985" spans="15:15" x14ac:dyDescent="0.25">
      <c r="O5985" s="21"/>
    </row>
    <row r="5986" spans="15:15" x14ac:dyDescent="0.25">
      <c r="O5986" s="21"/>
    </row>
    <row r="5987" spans="15:15" x14ac:dyDescent="0.25">
      <c r="O5987" s="21"/>
    </row>
    <row r="5988" spans="15:15" x14ac:dyDescent="0.25">
      <c r="O5988" s="21"/>
    </row>
    <row r="5989" spans="15:15" x14ac:dyDescent="0.25">
      <c r="O5989" s="21"/>
    </row>
    <row r="5990" spans="15:15" x14ac:dyDescent="0.25">
      <c r="O5990" s="21"/>
    </row>
    <row r="5991" spans="15:15" x14ac:dyDescent="0.25">
      <c r="O5991" s="21"/>
    </row>
    <row r="5992" spans="15:15" x14ac:dyDescent="0.25">
      <c r="O5992" s="21"/>
    </row>
    <row r="5993" spans="15:15" x14ac:dyDescent="0.25">
      <c r="O5993" s="21"/>
    </row>
    <row r="5994" spans="15:15" x14ac:dyDescent="0.25">
      <c r="O5994" s="21"/>
    </row>
    <row r="5995" spans="15:15" x14ac:dyDescent="0.25">
      <c r="O5995" s="21"/>
    </row>
    <row r="5996" spans="15:15" x14ac:dyDescent="0.25">
      <c r="O5996" s="21"/>
    </row>
    <row r="5997" spans="15:15" x14ac:dyDescent="0.25">
      <c r="O5997" s="21"/>
    </row>
    <row r="5998" spans="15:15" x14ac:dyDescent="0.25">
      <c r="O5998" s="21"/>
    </row>
    <row r="5999" spans="15:15" x14ac:dyDescent="0.25">
      <c r="O5999" s="21"/>
    </row>
    <row r="6000" spans="15:15" x14ac:dyDescent="0.25">
      <c r="O6000" s="21"/>
    </row>
    <row r="6001" spans="15:15" x14ac:dyDescent="0.25">
      <c r="O6001" s="21"/>
    </row>
    <row r="6002" spans="15:15" x14ac:dyDescent="0.25">
      <c r="O6002" s="21"/>
    </row>
    <row r="6003" spans="15:15" x14ac:dyDescent="0.25">
      <c r="O6003" s="21"/>
    </row>
    <row r="6004" spans="15:15" x14ac:dyDescent="0.25">
      <c r="O6004" s="21"/>
    </row>
    <row r="6005" spans="15:15" x14ac:dyDescent="0.25">
      <c r="O6005" s="21"/>
    </row>
    <row r="6006" spans="15:15" x14ac:dyDescent="0.25">
      <c r="O6006" s="21"/>
    </row>
    <row r="6007" spans="15:15" x14ac:dyDescent="0.25">
      <c r="O6007" s="21"/>
    </row>
    <row r="6008" spans="15:15" x14ac:dyDescent="0.25">
      <c r="O6008" s="21"/>
    </row>
    <row r="6009" spans="15:15" x14ac:dyDescent="0.25">
      <c r="O6009" s="21"/>
    </row>
    <row r="6010" spans="15:15" x14ac:dyDescent="0.25">
      <c r="O6010" s="21"/>
    </row>
    <row r="6011" spans="15:15" x14ac:dyDescent="0.25">
      <c r="O6011" s="21"/>
    </row>
    <row r="6012" spans="15:15" x14ac:dyDescent="0.25">
      <c r="O6012" s="21"/>
    </row>
    <row r="6013" spans="15:15" x14ac:dyDescent="0.25">
      <c r="O6013" s="21"/>
    </row>
    <row r="6014" spans="15:15" x14ac:dyDescent="0.25">
      <c r="O6014" s="21"/>
    </row>
    <row r="6015" spans="15:15" x14ac:dyDescent="0.25">
      <c r="O6015" s="21"/>
    </row>
    <row r="6016" spans="15:15" x14ac:dyDescent="0.25">
      <c r="O6016" s="21"/>
    </row>
    <row r="6017" spans="15:15" x14ac:dyDescent="0.25">
      <c r="O6017" s="21"/>
    </row>
    <row r="6018" spans="15:15" x14ac:dyDescent="0.25">
      <c r="O6018" s="21"/>
    </row>
    <row r="6019" spans="15:15" x14ac:dyDescent="0.25">
      <c r="O6019" s="21"/>
    </row>
    <row r="6020" spans="15:15" x14ac:dyDescent="0.25">
      <c r="O6020" s="21"/>
    </row>
    <row r="6021" spans="15:15" x14ac:dyDescent="0.25">
      <c r="O6021" s="21"/>
    </row>
    <row r="6022" spans="15:15" x14ac:dyDescent="0.25">
      <c r="O6022" s="21"/>
    </row>
    <row r="6023" spans="15:15" x14ac:dyDescent="0.25">
      <c r="O6023" s="21"/>
    </row>
    <row r="6024" spans="15:15" x14ac:dyDescent="0.25">
      <c r="O6024" s="21"/>
    </row>
    <row r="6025" spans="15:15" x14ac:dyDescent="0.25">
      <c r="O6025" s="21"/>
    </row>
    <row r="6026" spans="15:15" x14ac:dyDescent="0.25">
      <c r="O6026" s="21"/>
    </row>
    <row r="6027" spans="15:15" x14ac:dyDescent="0.25">
      <c r="O6027" s="21"/>
    </row>
    <row r="6028" spans="15:15" x14ac:dyDescent="0.25">
      <c r="O6028" s="21"/>
    </row>
    <row r="6029" spans="15:15" x14ac:dyDescent="0.25">
      <c r="O6029" s="21"/>
    </row>
    <row r="6030" spans="15:15" x14ac:dyDescent="0.25">
      <c r="O6030" s="21"/>
    </row>
    <row r="6031" spans="15:15" x14ac:dyDescent="0.25">
      <c r="O6031" s="21"/>
    </row>
    <row r="6032" spans="15:15" x14ac:dyDescent="0.25">
      <c r="O6032" s="21"/>
    </row>
    <row r="6033" spans="15:15" x14ac:dyDescent="0.25">
      <c r="O6033" s="21"/>
    </row>
    <row r="6034" spans="15:15" x14ac:dyDescent="0.25">
      <c r="O6034" s="21"/>
    </row>
    <row r="6035" spans="15:15" x14ac:dyDescent="0.25">
      <c r="O6035" s="21"/>
    </row>
    <row r="6036" spans="15:15" x14ac:dyDescent="0.25">
      <c r="O6036" s="21"/>
    </row>
    <row r="6037" spans="15:15" x14ac:dyDescent="0.25">
      <c r="O6037" s="21"/>
    </row>
    <row r="6038" spans="15:15" x14ac:dyDescent="0.25">
      <c r="O6038" s="21"/>
    </row>
    <row r="6039" spans="15:15" x14ac:dyDescent="0.25">
      <c r="O6039" s="21"/>
    </row>
    <row r="6040" spans="15:15" x14ac:dyDescent="0.25">
      <c r="O6040" s="21"/>
    </row>
    <row r="6041" spans="15:15" x14ac:dyDescent="0.25">
      <c r="O6041" s="21"/>
    </row>
    <row r="6042" spans="15:15" x14ac:dyDescent="0.25">
      <c r="O6042" s="21"/>
    </row>
    <row r="6043" spans="15:15" x14ac:dyDescent="0.25">
      <c r="O6043" s="21"/>
    </row>
    <row r="6044" spans="15:15" x14ac:dyDescent="0.25">
      <c r="O6044" s="21"/>
    </row>
    <row r="6045" spans="15:15" x14ac:dyDescent="0.25">
      <c r="O6045" s="21"/>
    </row>
    <row r="6046" spans="15:15" x14ac:dyDescent="0.25">
      <c r="O6046" s="21"/>
    </row>
    <row r="6047" spans="15:15" x14ac:dyDescent="0.25">
      <c r="O6047" s="21"/>
    </row>
    <row r="6048" spans="15:15" x14ac:dyDescent="0.25">
      <c r="O6048" s="21"/>
    </row>
    <row r="6049" spans="15:15" x14ac:dyDescent="0.25">
      <c r="O6049" s="21"/>
    </row>
    <row r="6050" spans="15:15" x14ac:dyDescent="0.25">
      <c r="O6050" s="21"/>
    </row>
    <row r="6051" spans="15:15" x14ac:dyDescent="0.25">
      <c r="O6051" s="21"/>
    </row>
    <row r="6052" spans="15:15" x14ac:dyDescent="0.25">
      <c r="O6052" s="21"/>
    </row>
    <row r="6053" spans="15:15" x14ac:dyDescent="0.25">
      <c r="O6053" s="21"/>
    </row>
    <row r="6054" spans="15:15" x14ac:dyDescent="0.25">
      <c r="O6054" s="21"/>
    </row>
    <row r="6055" spans="15:15" x14ac:dyDescent="0.25">
      <c r="O6055" s="21"/>
    </row>
    <row r="6056" spans="15:15" x14ac:dyDescent="0.25">
      <c r="O6056" s="21"/>
    </row>
    <row r="6057" spans="15:15" x14ac:dyDescent="0.25">
      <c r="O6057" s="21"/>
    </row>
    <row r="6058" spans="15:15" x14ac:dyDescent="0.25">
      <c r="O6058" s="21"/>
    </row>
    <row r="6059" spans="15:15" x14ac:dyDescent="0.25">
      <c r="O6059" s="21"/>
    </row>
    <row r="6060" spans="15:15" x14ac:dyDescent="0.25">
      <c r="O6060" s="21"/>
    </row>
    <row r="6061" spans="15:15" x14ac:dyDescent="0.25">
      <c r="O6061" s="21"/>
    </row>
    <row r="6062" spans="15:15" x14ac:dyDescent="0.25">
      <c r="O6062" s="21"/>
    </row>
    <row r="6063" spans="15:15" x14ac:dyDescent="0.25">
      <c r="O6063" s="21"/>
    </row>
    <row r="6064" spans="15:15" x14ac:dyDescent="0.25">
      <c r="O6064" s="21"/>
    </row>
    <row r="6065" spans="15:15" x14ac:dyDescent="0.25">
      <c r="O6065" s="21"/>
    </row>
    <row r="6066" spans="15:15" x14ac:dyDescent="0.25">
      <c r="O6066" s="21"/>
    </row>
    <row r="6067" spans="15:15" x14ac:dyDescent="0.25">
      <c r="O6067" s="21"/>
    </row>
    <row r="6068" spans="15:15" x14ac:dyDescent="0.25">
      <c r="O6068" s="21"/>
    </row>
    <row r="6069" spans="15:15" x14ac:dyDescent="0.25">
      <c r="O6069" s="21"/>
    </row>
    <row r="6070" spans="15:15" x14ac:dyDescent="0.25">
      <c r="O6070" s="21"/>
    </row>
    <row r="6071" spans="15:15" x14ac:dyDescent="0.25">
      <c r="O6071" s="21"/>
    </row>
    <row r="6072" spans="15:15" x14ac:dyDescent="0.25">
      <c r="O6072" s="21"/>
    </row>
    <row r="6073" spans="15:15" x14ac:dyDescent="0.25">
      <c r="O6073" s="21"/>
    </row>
    <row r="6074" spans="15:15" x14ac:dyDescent="0.25">
      <c r="O6074" s="21"/>
    </row>
    <row r="6075" spans="15:15" x14ac:dyDescent="0.25">
      <c r="O6075" s="21"/>
    </row>
    <row r="6076" spans="15:15" x14ac:dyDescent="0.25">
      <c r="O6076" s="21"/>
    </row>
    <row r="6077" spans="15:15" x14ac:dyDescent="0.25">
      <c r="O6077" s="21"/>
    </row>
    <row r="6078" spans="15:15" x14ac:dyDescent="0.25">
      <c r="O6078" s="21"/>
    </row>
    <row r="6079" spans="15:15" x14ac:dyDescent="0.25">
      <c r="O6079" s="21"/>
    </row>
    <row r="6080" spans="15:15" x14ac:dyDescent="0.25">
      <c r="O6080" s="21"/>
    </row>
    <row r="6081" spans="15:15" x14ac:dyDescent="0.25">
      <c r="O6081" s="21"/>
    </row>
    <row r="6082" spans="15:15" x14ac:dyDescent="0.25">
      <c r="O6082" s="21"/>
    </row>
    <row r="6083" spans="15:15" x14ac:dyDescent="0.25">
      <c r="O6083" s="21"/>
    </row>
    <row r="6084" spans="15:15" x14ac:dyDescent="0.25">
      <c r="O6084" s="21"/>
    </row>
    <row r="6085" spans="15:15" x14ac:dyDescent="0.25">
      <c r="O6085" s="21"/>
    </row>
    <row r="6086" spans="15:15" x14ac:dyDescent="0.25">
      <c r="O6086" s="21"/>
    </row>
    <row r="6087" spans="15:15" x14ac:dyDescent="0.25">
      <c r="O6087" s="21"/>
    </row>
    <row r="6088" spans="15:15" x14ac:dyDescent="0.25">
      <c r="O6088" s="21"/>
    </row>
    <row r="6089" spans="15:15" x14ac:dyDescent="0.25">
      <c r="O6089" s="21"/>
    </row>
    <row r="6090" spans="15:15" x14ac:dyDescent="0.25">
      <c r="O6090" s="21"/>
    </row>
    <row r="6091" spans="15:15" x14ac:dyDescent="0.25">
      <c r="O6091" s="21"/>
    </row>
    <row r="6092" spans="15:15" x14ac:dyDescent="0.25">
      <c r="O6092" s="21"/>
    </row>
    <row r="6093" spans="15:15" x14ac:dyDescent="0.25">
      <c r="O6093" s="21"/>
    </row>
    <row r="6094" spans="15:15" x14ac:dyDescent="0.25">
      <c r="O6094" s="21"/>
    </row>
    <row r="6095" spans="15:15" x14ac:dyDescent="0.25">
      <c r="O6095" s="21"/>
    </row>
    <row r="6096" spans="15:15" x14ac:dyDescent="0.25">
      <c r="O6096" s="21"/>
    </row>
    <row r="6097" spans="15:15" x14ac:dyDescent="0.25">
      <c r="O6097" s="21"/>
    </row>
    <row r="6098" spans="15:15" x14ac:dyDescent="0.25">
      <c r="O6098" s="21"/>
    </row>
    <row r="6099" spans="15:15" x14ac:dyDescent="0.25">
      <c r="O6099" s="21"/>
    </row>
    <row r="6100" spans="15:15" x14ac:dyDescent="0.25">
      <c r="O6100" s="21"/>
    </row>
    <row r="6101" spans="15:15" x14ac:dyDescent="0.25">
      <c r="O6101" s="21"/>
    </row>
    <row r="6102" spans="15:15" x14ac:dyDescent="0.25">
      <c r="O6102" s="21"/>
    </row>
    <row r="6103" spans="15:15" x14ac:dyDescent="0.25">
      <c r="O6103" s="21"/>
    </row>
    <row r="6104" spans="15:15" x14ac:dyDescent="0.25">
      <c r="O6104" s="21"/>
    </row>
    <row r="6105" spans="15:15" x14ac:dyDescent="0.25">
      <c r="O6105" s="21"/>
    </row>
    <row r="6106" spans="15:15" x14ac:dyDescent="0.25">
      <c r="O6106" s="21"/>
    </row>
    <row r="6107" spans="15:15" x14ac:dyDescent="0.25">
      <c r="O6107" s="21"/>
    </row>
    <row r="6108" spans="15:15" x14ac:dyDescent="0.25">
      <c r="O6108" s="21"/>
    </row>
    <row r="6109" spans="15:15" x14ac:dyDescent="0.25">
      <c r="O6109" s="21"/>
    </row>
    <row r="6110" spans="15:15" x14ac:dyDescent="0.25">
      <c r="O6110" s="21"/>
    </row>
    <row r="6111" spans="15:15" x14ac:dyDescent="0.25">
      <c r="O6111" s="21"/>
    </row>
    <row r="6112" spans="15:15" x14ac:dyDescent="0.25">
      <c r="O6112" s="21"/>
    </row>
    <row r="6113" spans="15:15" x14ac:dyDescent="0.25">
      <c r="O6113" s="21"/>
    </row>
    <row r="6114" spans="15:15" x14ac:dyDescent="0.25">
      <c r="O6114" s="21"/>
    </row>
    <row r="6115" spans="15:15" x14ac:dyDescent="0.25">
      <c r="O6115" s="21"/>
    </row>
    <row r="6116" spans="15:15" x14ac:dyDescent="0.25">
      <c r="O6116" s="21"/>
    </row>
    <row r="6117" spans="15:15" x14ac:dyDescent="0.25">
      <c r="O6117" s="21"/>
    </row>
    <row r="6118" spans="15:15" x14ac:dyDescent="0.25">
      <c r="O6118" s="21"/>
    </row>
    <row r="6119" spans="15:15" x14ac:dyDescent="0.25">
      <c r="O6119" s="21"/>
    </row>
    <row r="6120" spans="15:15" x14ac:dyDescent="0.25">
      <c r="O6120" s="21"/>
    </row>
    <row r="6121" spans="15:15" x14ac:dyDescent="0.25">
      <c r="O6121" s="21"/>
    </row>
    <row r="6122" spans="15:15" x14ac:dyDescent="0.25">
      <c r="O6122" s="21"/>
    </row>
    <row r="6123" spans="15:15" x14ac:dyDescent="0.25">
      <c r="O6123" s="21"/>
    </row>
    <row r="6124" spans="15:15" x14ac:dyDescent="0.25">
      <c r="O6124" s="21"/>
    </row>
    <row r="6125" spans="15:15" x14ac:dyDescent="0.25">
      <c r="O6125" s="21"/>
    </row>
    <row r="6126" spans="15:15" x14ac:dyDescent="0.25">
      <c r="O6126" s="21"/>
    </row>
    <row r="6127" spans="15:15" x14ac:dyDescent="0.25">
      <c r="O6127" s="21"/>
    </row>
    <row r="6128" spans="15:15" x14ac:dyDescent="0.25">
      <c r="O6128" s="21"/>
    </row>
    <row r="6129" spans="15:15" x14ac:dyDescent="0.25">
      <c r="O6129" s="21"/>
    </row>
    <row r="6130" spans="15:15" x14ac:dyDescent="0.25">
      <c r="O6130" s="21"/>
    </row>
    <row r="6131" spans="15:15" x14ac:dyDescent="0.25">
      <c r="O6131" s="21"/>
    </row>
    <row r="6132" spans="15:15" x14ac:dyDescent="0.25">
      <c r="O6132" s="21"/>
    </row>
    <row r="6133" spans="15:15" x14ac:dyDescent="0.25">
      <c r="O6133" s="21"/>
    </row>
    <row r="6134" spans="15:15" x14ac:dyDescent="0.25">
      <c r="O6134" s="21"/>
    </row>
    <row r="6135" spans="15:15" x14ac:dyDescent="0.25">
      <c r="O6135" s="21"/>
    </row>
    <row r="6136" spans="15:15" x14ac:dyDescent="0.25">
      <c r="O6136" s="21"/>
    </row>
    <row r="6137" spans="15:15" x14ac:dyDescent="0.25">
      <c r="O6137" s="21"/>
    </row>
    <row r="6138" spans="15:15" x14ac:dyDescent="0.25">
      <c r="O6138" s="21"/>
    </row>
    <row r="6139" spans="15:15" x14ac:dyDescent="0.25">
      <c r="O6139" s="21"/>
    </row>
    <row r="6140" spans="15:15" x14ac:dyDescent="0.25">
      <c r="O6140" s="21"/>
    </row>
    <row r="6141" spans="15:15" x14ac:dyDescent="0.25">
      <c r="O6141" s="21"/>
    </row>
    <row r="6142" spans="15:15" x14ac:dyDescent="0.25">
      <c r="O6142" s="21"/>
    </row>
    <row r="6143" spans="15:15" x14ac:dyDescent="0.25">
      <c r="O6143" s="21"/>
    </row>
    <row r="6144" spans="15:15" x14ac:dyDescent="0.25">
      <c r="O6144" s="21"/>
    </row>
    <row r="6145" spans="15:15" x14ac:dyDescent="0.25">
      <c r="O6145" s="21"/>
    </row>
    <row r="6146" spans="15:15" x14ac:dyDescent="0.25">
      <c r="O6146" s="21"/>
    </row>
    <row r="6147" spans="15:15" x14ac:dyDescent="0.25">
      <c r="O6147" s="21"/>
    </row>
    <row r="6148" spans="15:15" x14ac:dyDescent="0.25">
      <c r="O6148" s="21"/>
    </row>
    <row r="6149" spans="15:15" x14ac:dyDescent="0.25">
      <c r="O6149" s="21"/>
    </row>
    <row r="6150" spans="15:15" x14ac:dyDescent="0.25">
      <c r="O6150" s="21"/>
    </row>
    <row r="6151" spans="15:15" x14ac:dyDescent="0.25">
      <c r="O6151" s="21"/>
    </row>
    <row r="6152" spans="15:15" x14ac:dyDescent="0.25">
      <c r="O6152" s="21"/>
    </row>
    <row r="6153" spans="15:15" x14ac:dyDescent="0.25">
      <c r="O6153" s="21"/>
    </row>
    <row r="6154" spans="15:15" x14ac:dyDescent="0.25">
      <c r="O6154" s="21"/>
    </row>
    <row r="6155" spans="15:15" x14ac:dyDescent="0.25">
      <c r="O6155" s="21"/>
    </row>
    <row r="6156" spans="15:15" x14ac:dyDescent="0.25">
      <c r="O6156" s="21"/>
    </row>
    <row r="6157" spans="15:15" x14ac:dyDescent="0.25">
      <c r="O6157" s="21"/>
    </row>
    <row r="6158" spans="15:15" x14ac:dyDescent="0.25">
      <c r="O6158" s="21"/>
    </row>
    <row r="6159" spans="15:15" x14ac:dyDescent="0.25">
      <c r="O6159" s="21"/>
    </row>
    <row r="6160" spans="15:15" x14ac:dyDescent="0.25">
      <c r="O6160" s="21"/>
    </row>
    <row r="6161" spans="15:15" x14ac:dyDescent="0.25">
      <c r="O6161" s="21"/>
    </row>
    <row r="6162" spans="15:15" x14ac:dyDescent="0.25">
      <c r="O6162" s="21"/>
    </row>
    <row r="6163" spans="15:15" x14ac:dyDescent="0.25">
      <c r="O6163" s="21"/>
    </row>
    <row r="6164" spans="15:15" x14ac:dyDescent="0.25">
      <c r="O6164" s="21"/>
    </row>
    <row r="6165" spans="15:15" x14ac:dyDescent="0.25">
      <c r="O6165" s="21"/>
    </row>
    <row r="6166" spans="15:15" x14ac:dyDescent="0.25">
      <c r="O6166" s="21"/>
    </row>
    <row r="6167" spans="15:15" x14ac:dyDescent="0.25">
      <c r="O6167" s="21"/>
    </row>
    <row r="6168" spans="15:15" x14ac:dyDescent="0.25">
      <c r="O6168" s="21"/>
    </row>
    <row r="6169" spans="15:15" x14ac:dyDescent="0.25">
      <c r="O6169" s="21"/>
    </row>
    <row r="6170" spans="15:15" x14ac:dyDescent="0.25">
      <c r="O6170" s="21"/>
    </row>
    <row r="6171" spans="15:15" x14ac:dyDescent="0.25">
      <c r="O6171" s="21"/>
    </row>
    <row r="6172" spans="15:15" x14ac:dyDescent="0.25">
      <c r="O6172" s="21"/>
    </row>
    <row r="6173" spans="15:15" x14ac:dyDescent="0.25">
      <c r="O6173" s="21"/>
    </row>
    <row r="6174" spans="15:15" x14ac:dyDescent="0.25">
      <c r="O6174" s="21"/>
    </row>
    <row r="6175" spans="15:15" x14ac:dyDescent="0.25">
      <c r="O6175" s="21"/>
    </row>
    <row r="6176" spans="15:15" x14ac:dyDescent="0.25">
      <c r="O6176" s="21"/>
    </row>
    <row r="6177" spans="15:15" x14ac:dyDescent="0.25">
      <c r="O6177" s="21"/>
    </row>
    <row r="6178" spans="15:15" x14ac:dyDescent="0.25">
      <c r="O6178" s="21"/>
    </row>
    <row r="6179" spans="15:15" x14ac:dyDescent="0.25">
      <c r="O6179" s="21"/>
    </row>
    <row r="6180" spans="15:15" x14ac:dyDescent="0.25">
      <c r="O6180" s="21"/>
    </row>
    <row r="6181" spans="15:15" x14ac:dyDescent="0.25">
      <c r="O6181" s="21"/>
    </row>
    <row r="6182" spans="15:15" x14ac:dyDescent="0.25">
      <c r="O6182" s="21"/>
    </row>
    <row r="6183" spans="15:15" x14ac:dyDescent="0.25">
      <c r="O6183" s="21"/>
    </row>
    <row r="6184" spans="15:15" x14ac:dyDescent="0.25">
      <c r="O6184" s="21"/>
    </row>
    <row r="6185" spans="15:15" x14ac:dyDescent="0.25">
      <c r="O6185" s="21"/>
    </row>
    <row r="6186" spans="15:15" x14ac:dyDescent="0.25">
      <c r="O6186" s="21"/>
    </row>
    <row r="6187" spans="15:15" x14ac:dyDescent="0.25">
      <c r="O6187" s="21"/>
    </row>
    <row r="6188" spans="15:15" x14ac:dyDescent="0.25">
      <c r="O6188" s="21"/>
    </row>
    <row r="6189" spans="15:15" x14ac:dyDescent="0.25">
      <c r="O6189" s="21"/>
    </row>
    <row r="6190" spans="15:15" x14ac:dyDescent="0.25">
      <c r="O6190" s="21"/>
    </row>
    <row r="6191" spans="15:15" x14ac:dyDescent="0.25">
      <c r="O6191" s="21"/>
    </row>
    <row r="6192" spans="15:15" x14ac:dyDescent="0.25">
      <c r="O6192" s="21"/>
    </row>
    <row r="6193" spans="15:15" x14ac:dyDescent="0.25">
      <c r="O6193" s="21"/>
    </row>
    <row r="6194" spans="15:15" x14ac:dyDescent="0.25">
      <c r="O6194" s="21"/>
    </row>
    <row r="6195" spans="15:15" x14ac:dyDescent="0.25">
      <c r="O6195" s="21"/>
    </row>
    <row r="6196" spans="15:15" x14ac:dyDescent="0.25">
      <c r="O6196" s="21"/>
    </row>
    <row r="6197" spans="15:15" x14ac:dyDescent="0.25">
      <c r="O6197" s="21"/>
    </row>
    <row r="6198" spans="15:15" x14ac:dyDescent="0.25">
      <c r="O6198" s="21"/>
    </row>
    <row r="6199" spans="15:15" x14ac:dyDescent="0.25">
      <c r="O6199" s="21"/>
    </row>
    <row r="6200" spans="15:15" x14ac:dyDescent="0.25">
      <c r="O6200" s="21"/>
    </row>
    <row r="6201" spans="15:15" x14ac:dyDescent="0.25">
      <c r="O6201" s="21"/>
    </row>
    <row r="6202" spans="15:15" x14ac:dyDescent="0.25">
      <c r="O6202" s="21"/>
    </row>
    <row r="6203" spans="15:15" x14ac:dyDescent="0.25">
      <c r="O6203" s="21"/>
    </row>
    <row r="6204" spans="15:15" x14ac:dyDescent="0.25">
      <c r="O6204" s="21"/>
    </row>
    <row r="6205" spans="15:15" x14ac:dyDescent="0.25">
      <c r="O6205" s="21"/>
    </row>
    <row r="6206" spans="15:15" x14ac:dyDescent="0.25">
      <c r="O6206" s="21"/>
    </row>
    <row r="6207" spans="15:15" x14ac:dyDescent="0.25">
      <c r="O6207" s="21"/>
    </row>
    <row r="6208" spans="15:15" x14ac:dyDescent="0.25">
      <c r="O6208" s="21"/>
    </row>
    <row r="6209" spans="15:15" x14ac:dyDescent="0.25">
      <c r="O6209" s="21"/>
    </row>
    <row r="6210" spans="15:15" x14ac:dyDescent="0.25">
      <c r="O6210" s="21"/>
    </row>
    <row r="6211" spans="15:15" x14ac:dyDescent="0.25">
      <c r="O6211" s="21"/>
    </row>
    <row r="6212" spans="15:15" x14ac:dyDescent="0.25">
      <c r="O6212" s="21"/>
    </row>
    <row r="6213" spans="15:15" x14ac:dyDescent="0.25">
      <c r="O6213" s="21"/>
    </row>
    <row r="6214" spans="15:15" x14ac:dyDescent="0.25">
      <c r="O6214" s="21"/>
    </row>
    <row r="6215" spans="15:15" x14ac:dyDescent="0.25">
      <c r="O6215" s="21"/>
    </row>
    <row r="6216" spans="15:15" x14ac:dyDescent="0.25">
      <c r="O6216" s="21"/>
    </row>
    <row r="6217" spans="15:15" x14ac:dyDescent="0.25">
      <c r="O6217" s="21"/>
    </row>
    <row r="6218" spans="15:15" x14ac:dyDescent="0.25">
      <c r="O6218" s="21"/>
    </row>
    <row r="6219" spans="15:15" x14ac:dyDescent="0.25">
      <c r="O6219" s="21"/>
    </row>
    <row r="6220" spans="15:15" x14ac:dyDescent="0.25">
      <c r="O6220" s="21"/>
    </row>
    <row r="6221" spans="15:15" x14ac:dyDescent="0.25">
      <c r="O6221" s="21"/>
    </row>
    <row r="6222" spans="15:15" x14ac:dyDescent="0.25">
      <c r="O6222" s="21"/>
    </row>
    <row r="6223" spans="15:15" x14ac:dyDescent="0.25">
      <c r="O6223" s="21"/>
    </row>
    <row r="6224" spans="15:15" x14ac:dyDescent="0.25">
      <c r="O6224" s="21"/>
    </row>
    <row r="6225" spans="15:15" x14ac:dyDescent="0.25">
      <c r="O6225" s="21"/>
    </row>
    <row r="6226" spans="15:15" x14ac:dyDescent="0.25">
      <c r="O6226" s="21"/>
    </row>
    <row r="6227" spans="15:15" x14ac:dyDescent="0.25">
      <c r="O6227" s="21"/>
    </row>
    <row r="6228" spans="15:15" x14ac:dyDescent="0.25">
      <c r="O6228" s="21"/>
    </row>
    <row r="6229" spans="15:15" x14ac:dyDescent="0.25">
      <c r="O6229" s="21"/>
    </row>
    <row r="6230" spans="15:15" x14ac:dyDescent="0.25">
      <c r="O6230" s="21"/>
    </row>
    <row r="6231" spans="15:15" x14ac:dyDescent="0.25">
      <c r="O6231" s="21"/>
    </row>
    <row r="6232" spans="15:15" x14ac:dyDescent="0.25">
      <c r="O6232" s="21"/>
    </row>
    <row r="6233" spans="15:15" x14ac:dyDescent="0.25">
      <c r="O6233" s="21"/>
    </row>
    <row r="6234" spans="15:15" x14ac:dyDescent="0.25">
      <c r="O6234" s="21"/>
    </row>
    <row r="6235" spans="15:15" x14ac:dyDescent="0.25">
      <c r="O6235" s="21"/>
    </row>
    <row r="6236" spans="15:15" x14ac:dyDescent="0.25">
      <c r="O6236" s="21"/>
    </row>
    <row r="6237" spans="15:15" x14ac:dyDescent="0.25">
      <c r="O6237" s="21"/>
    </row>
    <row r="6238" spans="15:15" x14ac:dyDescent="0.25">
      <c r="O6238" s="21"/>
    </row>
    <row r="6239" spans="15:15" x14ac:dyDescent="0.25">
      <c r="O6239" s="21"/>
    </row>
    <row r="6240" spans="15:15" x14ac:dyDescent="0.25">
      <c r="O6240" s="21"/>
    </row>
    <row r="6241" spans="15:15" x14ac:dyDescent="0.25">
      <c r="O6241" s="21"/>
    </row>
    <row r="6242" spans="15:15" x14ac:dyDescent="0.25">
      <c r="O6242" s="21"/>
    </row>
    <row r="6243" spans="15:15" x14ac:dyDescent="0.25">
      <c r="O6243" s="21"/>
    </row>
    <row r="6244" spans="15:15" x14ac:dyDescent="0.25">
      <c r="O6244" s="21"/>
    </row>
    <row r="6245" spans="15:15" x14ac:dyDescent="0.25">
      <c r="O6245" s="21"/>
    </row>
    <row r="6246" spans="15:15" x14ac:dyDescent="0.25">
      <c r="O6246" s="21"/>
    </row>
    <row r="6247" spans="15:15" x14ac:dyDescent="0.25">
      <c r="O6247" s="21"/>
    </row>
    <row r="6248" spans="15:15" x14ac:dyDescent="0.25">
      <c r="O6248" s="21"/>
    </row>
    <row r="6249" spans="15:15" x14ac:dyDescent="0.25">
      <c r="O6249" s="21"/>
    </row>
    <row r="6250" spans="15:15" x14ac:dyDescent="0.25">
      <c r="O6250" s="21"/>
    </row>
    <row r="6251" spans="15:15" x14ac:dyDescent="0.25">
      <c r="O6251" s="21"/>
    </row>
    <row r="6252" spans="15:15" x14ac:dyDescent="0.25">
      <c r="O6252" s="21"/>
    </row>
    <row r="6253" spans="15:15" x14ac:dyDescent="0.25">
      <c r="O6253" s="21"/>
    </row>
    <row r="6254" spans="15:15" x14ac:dyDescent="0.25">
      <c r="O6254" s="21"/>
    </row>
    <row r="6255" spans="15:15" x14ac:dyDescent="0.25">
      <c r="O6255" s="21"/>
    </row>
    <row r="6256" spans="15:15" x14ac:dyDescent="0.25">
      <c r="O6256" s="21"/>
    </row>
    <row r="6257" spans="15:15" x14ac:dyDescent="0.25">
      <c r="O6257" s="21"/>
    </row>
    <row r="6258" spans="15:15" x14ac:dyDescent="0.25">
      <c r="O6258" s="21"/>
    </row>
    <row r="6259" spans="15:15" x14ac:dyDescent="0.25">
      <c r="O6259" s="21"/>
    </row>
    <row r="6260" spans="15:15" x14ac:dyDescent="0.25">
      <c r="O6260" s="21"/>
    </row>
    <row r="6261" spans="15:15" x14ac:dyDescent="0.25">
      <c r="O6261" s="21"/>
    </row>
    <row r="6262" spans="15:15" x14ac:dyDescent="0.25">
      <c r="O6262" s="21"/>
    </row>
    <row r="6263" spans="15:15" x14ac:dyDescent="0.25">
      <c r="O6263" s="21"/>
    </row>
    <row r="6264" spans="15:15" x14ac:dyDescent="0.25">
      <c r="O6264" s="21"/>
    </row>
    <row r="6265" spans="15:15" x14ac:dyDescent="0.25">
      <c r="O6265" s="21"/>
    </row>
    <row r="6266" spans="15:15" x14ac:dyDescent="0.25">
      <c r="O6266" s="21"/>
    </row>
    <row r="6267" spans="15:15" x14ac:dyDescent="0.25">
      <c r="O6267" s="21"/>
    </row>
    <row r="6268" spans="15:15" x14ac:dyDescent="0.25">
      <c r="O6268" s="21"/>
    </row>
    <row r="6269" spans="15:15" x14ac:dyDescent="0.25">
      <c r="O6269" s="21"/>
    </row>
    <row r="6270" spans="15:15" x14ac:dyDescent="0.25">
      <c r="O6270" s="21"/>
    </row>
    <row r="6271" spans="15:15" x14ac:dyDescent="0.25">
      <c r="O6271" s="21"/>
    </row>
    <row r="6272" spans="15:15" x14ac:dyDescent="0.25">
      <c r="O6272" s="21"/>
    </row>
    <row r="6273" spans="15:15" x14ac:dyDescent="0.25">
      <c r="O6273" s="21"/>
    </row>
    <row r="6274" spans="15:15" x14ac:dyDescent="0.25">
      <c r="O6274" s="21"/>
    </row>
    <row r="6275" spans="15:15" x14ac:dyDescent="0.25">
      <c r="O6275" s="21"/>
    </row>
    <row r="6276" spans="15:15" x14ac:dyDescent="0.25">
      <c r="O6276" s="21"/>
    </row>
    <row r="6277" spans="15:15" x14ac:dyDescent="0.25">
      <c r="O6277" s="21"/>
    </row>
    <row r="6278" spans="15:15" x14ac:dyDescent="0.25">
      <c r="O6278" s="21"/>
    </row>
    <row r="6279" spans="15:15" x14ac:dyDescent="0.25">
      <c r="O6279" s="21"/>
    </row>
    <row r="6280" spans="15:15" x14ac:dyDescent="0.25">
      <c r="O6280" s="21"/>
    </row>
    <row r="6281" spans="15:15" x14ac:dyDescent="0.25">
      <c r="O6281" s="21"/>
    </row>
    <row r="6282" spans="15:15" x14ac:dyDescent="0.25">
      <c r="O6282" s="21"/>
    </row>
    <row r="6283" spans="15:15" x14ac:dyDescent="0.25">
      <c r="O6283" s="21"/>
    </row>
    <row r="6284" spans="15:15" x14ac:dyDescent="0.25">
      <c r="O6284" s="21"/>
    </row>
    <row r="6285" spans="15:15" x14ac:dyDescent="0.25">
      <c r="O6285" s="21"/>
    </row>
    <row r="6286" spans="15:15" x14ac:dyDescent="0.25">
      <c r="O6286" s="21"/>
    </row>
    <row r="6287" spans="15:15" x14ac:dyDescent="0.25">
      <c r="O6287" s="21"/>
    </row>
    <row r="6288" spans="15:15" x14ac:dyDescent="0.25">
      <c r="O6288" s="21"/>
    </row>
    <row r="6289" spans="15:15" x14ac:dyDescent="0.25">
      <c r="O6289" s="21"/>
    </row>
    <row r="6290" spans="15:15" x14ac:dyDescent="0.25">
      <c r="O6290" s="21"/>
    </row>
    <row r="6291" spans="15:15" x14ac:dyDescent="0.25">
      <c r="O6291" s="21"/>
    </row>
    <row r="6292" spans="15:15" x14ac:dyDescent="0.25">
      <c r="O6292" s="21"/>
    </row>
    <row r="6293" spans="15:15" x14ac:dyDescent="0.25">
      <c r="O6293" s="21"/>
    </row>
    <row r="6294" spans="15:15" x14ac:dyDescent="0.25">
      <c r="O6294" s="21"/>
    </row>
    <row r="6295" spans="15:15" x14ac:dyDescent="0.25">
      <c r="O6295" s="21"/>
    </row>
    <row r="6296" spans="15:15" x14ac:dyDescent="0.25">
      <c r="O6296" s="21"/>
    </row>
    <row r="6297" spans="15:15" x14ac:dyDescent="0.25">
      <c r="O6297" s="21"/>
    </row>
    <row r="6298" spans="15:15" x14ac:dyDescent="0.25">
      <c r="O6298" s="21"/>
    </row>
    <row r="6299" spans="15:15" x14ac:dyDescent="0.25">
      <c r="O6299" s="21"/>
    </row>
    <row r="6300" spans="15:15" x14ac:dyDescent="0.25">
      <c r="O6300" s="21"/>
    </row>
    <row r="6301" spans="15:15" x14ac:dyDescent="0.25">
      <c r="O6301" s="21"/>
    </row>
    <row r="6302" spans="15:15" x14ac:dyDescent="0.25">
      <c r="O6302" s="21"/>
    </row>
    <row r="6303" spans="15:15" x14ac:dyDescent="0.25">
      <c r="O6303" s="21"/>
    </row>
    <row r="6304" spans="15:15" x14ac:dyDescent="0.25">
      <c r="O6304" s="21"/>
    </row>
    <row r="6305" spans="15:15" x14ac:dyDescent="0.25">
      <c r="O6305" s="21"/>
    </row>
    <row r="6306" spans="15:15" x14ac:dyDescent="0.25">
      <c r="O6306" s="21"/>
    </row>
    <row r="6307" spans="15:15" x14ac:dyDescent="0.25">
      <c r="O6307" s="21"/>
    </row>
    <row r="6308" spans="15:15" x14ac:dyDescent="0.25">
      <c r="O6308" s="21"/>
    </row>
    <row r="6309" spans="15:15" x14ac:dyDescent="0.25">
      <c r="O6309" s="21"/>
    </row>
    <row r="6310" spans="15:15" x14ac:dyDescent="0.25">
      <c r="O6310" s="21"/>
    </row>
    <row r="6311" spans="15:15" x14ac:dyDescent="0.25">
      <c r="O6311" s="21"/>
    </row>
    <row r="6312" spans="15:15" x14ac:dyDescent="0.25">
      <c r="O6312" s="21"/>
    </row>
    <row r="6313" spans="15:15" x14ac:dyDescent="0.25">
      <c r="O6313" s="21"/>
    </row>
    <row r="6314" spans="15:15" x14ac:dyDescent="0.25">
      <c r="O6314" s="21"/>
    </row>
    <row r="6315" spans="15:15" x14ac:dyDescent="0.25">
      <c r="O6315" s="21"/>
    </row>
    <row r="6316" spans="15:15" x14ac:dyDescent="0.25">
      <c r="O6316" s="21"/>
    </row>
    <row r="6317" spans="15:15" x14ac:dyDescent="0.25">
      <c r="O6317" s="21"/>
    </row>
    <row r="6318" spans="15:15" x14ac:dyDescent="0.25">
      <c r="O6318" s="21"/>
    </row>
    <row r="6319" spans="15:15" x14ac:dyDescent="0.25">
      <c r="O6319" s="21"/>
    </row>
    <row r="6320" spans="15:15" x14ac:dyDescent="0.25">
      <c r="O6320" s="21"/>
    </row>
    <row r="6321" spans="15:15" x14ac:dyDescent="0.25">
      <c r="O6321" s="21"/>
    </row>
    <row r="6322" spans="15:15" x14ac:dyDescent="0.25">
      <c r="O6322" s="21"/>
    </row>
    <row r="6323" spans="15:15" x14ac:dyDescent="0.25">
      <c r="O6323" s="21"/>
    </row>
    <row r="6324" spans="15:15" x14ac:dyDescent="0.25">
      <c r="O6324" s="21"/>
    </row>
    <row r="6325" spans="15:15" x14ac:dyDescent="0.25">
      <c r="O6325" s="21"/>
    </row>
    <row r="6326" spans="15:15" x14ac:dyDescent="0.25">
      <c r="O6326" s="21"/>
    </row>
    <row r="6327" spans="15:15" x14ac:dyDescent="0.25">
      <c r="O6327" s="21"/>
    </row>
    <row r="6328" spans="15:15" x14ac:dyDescent="0.25">
      <c r="O6328" s="21"/>
    </row>
    <row r="6329" spans="15:15" x14ac:dyDescent="0.25">
      <c r="O6329" s="21"/>
    </row>
    <row r="6330" spans="15:15" x14ac:dyDescent="0.25">
      <c r="O6330" s="21"/>
    </row>
    <row r="6331" spans="15:15" x14ac:dyDescent="0.25">
      <c r="O6331" s="21"/>
    </row>
    <row r="6332" spans="15:15" x14ac:dyDescent="0.25">
      <c r="O6332" s="21"/>
    </row>
    <row r="6333" spans="15:15" x14ac:dyDescent="0.25">
      <c r="O6333" s="21"/>
    </row>
    <row r="6334" spans="15:15" x14ac:dyDescent="0.25">
      <c r="O6334" s="21"/>
    </row>
    <row r="6335" spans="15:15" x14ac:dyDescent="0.25">
      <c r="O6335" s="21"/>
    </row>
    <row r="6336" spans="15:15" x14ac:dyDescent="0.25">
      <c r="O6336" s="21"/>
    </row>
    <row r="6337" spans="15:15" x14ac:dyDescent="0.25">
      <c r="O6337" s="21"/>
    </row>
    <row r="6338" spans="15:15" x14ac:dyDescent="0.25">
      <c r="O6338" s="21"/>
    </row>
    <row r="6339" spans="15:15" x14ac:dyDescent="0.25">
      <c r="O6339" s="21"/>
    </row>
    <row r="6340" spans="15:15" x14ac:dyDescent="0.25">
      <c r="O6340" s="21"/>
    </row>
    <row r="6341" spans="15:15" x14ac:dyDescent="0.25">
      <c r="O6341" s="21"/>
    </row>
    <row r="6342" spans="15:15" x14ac:dyDescent="0.25">
      <c r="O6342" s="21"/>
    </row>
    <row r="6343" spans="15:15" x14ac:dyDescent="0.25">
      <c r="O6343" s="21"/>
    </row>
    <row r="6344" spans="15:15" x14ac:dyDescent="0.25">
      <c r="O6344" s="21"/>
    </row>
    <row r="6345" spans="15:15" x14ac:dyDescent="0.25">
      <c r="O6345" s="21"/>
    </row>
    <row r="6346" spans="15:15" x14ac:dyDescent="0.25">
      <c r="O6346" s="21"/>
    </row>
    <row r="6347" spans="15:15" x14ac:dyDescent="0.25">
      <c r="O6347" s="21"/>
    </row>
    <row r="6348" spans="15:15" x14ac:dyDescent="0.25">
      <c r="O6348" s="21"/>
    </row>
    <row r="6349" spans="15:15" x14ac:dyDescent="0.25">
      <c r="O6349" s="21"/>
    </row>
    <row r="6350" spans="15:15" x14ac:dyDescent="0.25">
      <c r="O6350" s="21"/>
    </row>
    <row r="6351" spans="15:15" x14ac:dyDescent="0.25">
      <c r="O6351" s="21"/>
    </row>
    <row r="6352" spans="15:15" x14ac:dyDescent="0.25">
      <c r="O6352" s="21"/>
    </row>
    <row r="6353" spans="15:15" x14ac:dyDescent="0.25">
      <c r="O6353" s="21"/>
    </row>
    <row r="6354" spans="15:15" x14ac:dyDescent="0.25">
      <c r="O6354" s="21"/>
    </row>
    <row r="6355" spans="15:15" x14ac:dyDescent="0.25">
      <c r="O6355" s="21"/>
    </row>
    <row r="6356" spans="15:15" x14ac:dyDescent="0.25">
      <c r="O6356" s="21"/>
    </row>
    <row r="6357" spans="15:15" x14ac:dyDescent="0.25">
      <c r="O6357" s="21"/>
    </row>
    <row r="6358" spans="15:15" x14ac:dyDescent="0.25">
      <c r="O6358" s="21"/>
    </row>
    <row r="6359" spans="15:15" x14ac:dyDescent="0.25">
      <c r="O6359" s="21"/>
    </row>
    <row r="6360" spans="15:15" x14ac:dyDescent="0.25">
      <c r="O6360" s="21"/>
    </row>
    <row r="6361" spans="15:15" x14ac:dyDescent="0.25">
      <c r="O6361" s="21"/>
    </row>
    <row r="6362" spans="15:15" x14ac:dyDescent="0.25">
      <c r="O6362" s="21"/>
    </row>
    <row r="6363" spans="15:15" x14ac:dyDescent="0.25">
      <c r="O6363" s="21"/>
    </row>
    <row r="6364" spans="15:15" x14ac:dyDescent="0.25">
      <c r="O6364" s="21"/>
    </row>
    <row r="6365" spans="15:15" x14ac:dyDescent="0.25">
      <c r="O6365" s="21"/>
    </row>
    <row r="6366" spans="15:15" x14ac:dyDescent="0.25">
      <c r="O6366" s="21"/>
    </row>
    <row r="6367" spans="15:15" x14ac:dyDescent="0.25">
      <c r="O6367" s="21"/>
    </row>
    <row r="6368" spans="15:15" x14ac:dyDescent="0.25">
      <c r="O6368" s="21"/>
    </row>
    <row r="6369" spans="15:15" x14ac:dyDescent="0.25">
      <c r="O6369" s="21"/>
    </row>
    <row r="6370" spans="15:15" x14ac:dyDescent="0.25">
      <c r="O6370" s="21"/>
    </row>
    <row r="6371" spans="15:15" x14ac:dyDescent="0.25">
      <c r="O6371" s="21"/>
    </row>
    <row r="6372" spans="15:15" x14ac:dyDescent="0.25">
      <c r="O6372" s="21"/>
    </row>
    <row r="6373" spans="15:15" x14ac:dyDescent="0.25">
      <c r="O6373" s="21"/>
    </row>
    <row r="6374" spans="15:15" x14ac:dyDescent="0.25">
      <c r="O6374" s="21"/>
    </row>
    <row r="6375" spans="15:15" x14ac:dyDescent="0.25">
      <c r="O6375" s="21"/>
    </row>
    <row r="6376" spans="15:15" x14ac:dyDescent="0.25">
      <c r="O6376" s="21"/>
    </row>
    <row r="6377" spans="15:15" x14ac:dyDescent="0.25">
      <c r="O6377" s="21"/>
    </row>
    <row r="6378" spans="15:15" x14ac:dyDescent="0.25">
      <c r="O6378" s="21"/>
    </row>
    <row r="6379" spans="15:15" x14ac:dyDescent="0.25">
      <c r="O6379" s="21"/>
    </row>
    <row r="6380" spans="15:15" x14ac:dyDescent="0.25">
      <c r="O6380" s="21"/>
    </row>
    <row r="6381" spans="15:15" x14ac:dyDescent="0.25">
      <c r="O6381" s="21"/>
    </row>
    <row r="6382" spans="15:15" x14ac:dyDescent="0.25">
      <c r="O6382" s="21"/>
    </row>
    <row r="6383" spans="15:15" x14ac:dyDescent="0.25">
      <c r="O6383" s="21"/>
    </row>
    <row r="6384" spans="15:15" x14ac:dyDescent="0.25">
      <c r="O6384" s="21"/>
    </row>
    <row r="6385" spans="15:15" x14ac:dyDescent="0.25">
      <c r="O6385" s="21"/>
    </row>
    <row r="6386" spans="15:15" x14ac:dyDescent="0.25">
      <c r="O6386" s="21"/>
    </row>
    <row r="6387" spans="15:15" x14ac:dyDescent="0.25">
      <c r="O6387" s="21"/>
    </row>
    <row r="6388" spans="15:15" x14ac:dyDescent="0.25">
      <c r="O6388" s="21"/>
    </row>
    <row r="6389" spans="15:15" x14ac:dyDescent="0.25">
      <c r="O6389" s="21"/>
    </row>
    <row r="6390" spans="15:15" x14ac:dyDescent="0.25">
      <c r="O6390" s="21"/>
    </row>
    <row r="6391" spans="15:15" x14ac:dyDescent="0.25">
      <c r="O6391" s="21"/>
    </row>
    <row r="6392" spans="15:15" x14ac:dyDescent="0.25">
      <c r="O6392" s="21"/>
    </row>
    <row r="6393" spans="15:15" x14ac:dyDescent="0.25">
      <c r="O6393" s="21"/>
    </row>
    <row r="6394" spans="15:15" x14ac:dyDescent="0.25">
      <c r="O6394" s="21"/>
    </row>
    <row r="6395" spans="15:15" x14ac:dyDescent="0.25">
      <c r="O6395" s="21"/>
    </row>
    <row r="6396" spans="15:15" x14ac:dyDescent="0.25">
      <c r="O6396" s="21"/>
    </row>
    <row r="6397" spans="15:15" x14ac:dyDescent="0.25">
      <c r="O6397" s="21"/>
    </row>
    <row r="6398" spans="15:15" x14ac:dyDescent="0.25">
      <c r="O6398" s="21"/>
    </row>
    <row r="6399" spans="15:15" x14ac:dyDescent="0.25">
      <c r="O6399" s="21"/>
    </row>
    <row r="6400" spans="15:15" x14ac:dyDescent="0.25">
      <c r="O6400" s="21"/>
    </row>
    <row r="6401" spans="15:15" x14ac:dyDescent="0.25">
      <c r="O6401" s="21"/>
    </row>
    <row r="6402" spans="15:15" x14ac:dyDescent="0.25">
      <c r="O6402" s="21"/>
    </row>
    <row r="6403" spans="15:15" x14ac:dyDescent="0.25">
      <c r="O6403" s="21"/>
    </row>
    <row r="6404" spans="15:15" x14ac:dyDescent="0.25">
      <c r="O6404" s="21"/>
    </row>
    <row r="6405" spans="15:15" x14ac:dyDescent="0.25">
      <c r="O6405" s="21"/>
    </row>
    <row r="6406" spans="15:15" x14ac:dyDescent="0.25">
      <c r="O6406" s="21"/>
    </row>
    <row r="6407" spans="15:15" x14ac:dyDescent="0.25">
      <c r="O6407" s="21"/>
    </row>
    <row r="6408" spans="15:15" x14ac:dyDescent="0.25">
      <c r="O6408" s="21"/>
    </row>
    <row r="6409" spans="15:15" x14ac:dyDescent="0.25">
      <c r="O6409" s="21"/>
    </row>
    <row r="6410" spans="15:15" x14ac:dyDescent="0.25">
      <c r="O6410" s="21"/>
    </row>
    <row r="6411" spans="15:15" x14ac:dyDescent="0.25">
      <c r="O6411" s="21"/>
    </row>
    <row r="6412" spans="15:15" x14ac:dyDescent="0.25">
      <c r="O6412" s="21"/>
    </row>
    <row r="6413" spans="15:15" x14ac:dyDescent="0.25">
      <c r="O6413" s="21"/>
    </row>
    <row r="6414" spans="15:15" x14ac:dyDescent="0.25">
      <c r="O6414" s="21"/>
    </row>
    <row r="6415" spans="15:15" x14ac:dyDescent="0.25">
      <c r="O6415" s="21"/>
    </row>
    <row r="6416" spans="15:15" x14ac:dyDescent="0.25">
      <c r="O6416" s="21"/>
    </row>
    <row r="6417" spans="15:15" x14ac:dyDescent="0.25">
      <c r="O6417" s="21"/>
    </row>
    <row r="6418" spans="15:15" x14ac:dyDescent="0.25">
      <c r="O6418" s="21"/>
    </row>
    <row r="6419" spans="15:15" x14ac:dyDescent="0.25">
      <c r="O6419" s="21"/>
    </row>
    <row r="6420" spans="15:15" x14ac:dyDescent="0.25">
      <c r="O6420" s="21"/>
    </row>
    <row r="6421" spans="15:15" x14ac:dyDescent="0.25">
      <c r="O6421" s="21"/>
    </row>
    <row r="6422" spans="15:15" x14ac:dyDescent="0.25">
      <c r="O6422" s="21"/>
    </row>
    <row r="6423" spans="15:15" x14ac:dyDescent="0.25">
      <c r="O6423" s="21"/>
    </row>
    <row r="6424" spans="15:15" x14ac:dyDescent="0.25">
      <c r="O6424" s="21"/>
    </row>
    <row r="6425" spans="15:15" x14ac:dyDescent="0.25">
      <c r="O6425" s="21"/>
    </row>
    <row r="6426" spans="15:15" x14ac:dyDescent="0.25">
      <c r="O6426" s="21"/>
    </row>
    <row r="6427" spans="15:15" x14ac:dyDescent="0.25">
      <c r="O6427" s="21"/>
    </row>
    <row r="6428" spans="15:15" x14ac:dyDescent="0.25">
      <c r="O6428" s="21"/>
    </row>
    <row r="6429" spans="15:15" x14ac:dyDescent="0.25">
      <c r="O6429" s="21"/>
    </row>
    <row r="6430" spans="15:15" x14ac:dyDescent="0.25">
      <c r="O6430" s="21"/>
    </row>
    <row r="6431" spans="15:15" x14ac:dyDescent="0.25">
      <c r="O6431" s="21"/>
    </row>
    <row r="6432" spans="15:15" x14ac:dyDescent="0.25">
      <c r="O6432" s="21"/>
    </row>
    <row r="6433" spans="15:15" x14ac:dyDescent="0.25">
      <c r="O6433" s="21"/>
    </row>
    <row r="6434" spans="15:15" x14ac:dyDescent="0.25">
      <c r="O6434" s="21"/>
    </row>
    <row r="6435" spans="15:15" x14ac:dyDescent="0.25">
      <c r="O6435" s="21"/>
    </row>
    <row r="6436" spans="15:15" x14ac:dyDescent="0.25">
      <c r="O6436" s="21"/>
    </row>
    <row r="6437" spans="15:15" x14ac:dyDescent="0.25">
      <c r="O6437" s="21"/>
    </row>
    <row r="6438" spans="15:15" x14ac:dyDescent="0.25">
      <c r="O6438" s="21"/>
    </row>
    <row r="6439" spans="15:15" x14ac:dyDescent="0.25">
      <c r="O6439" s="21"/>
    </row>
    <row r="6440" spans="15:15" x14ac:dyDescent="0.25">
      <c r="O6440" s="21"/>
    </row>
    <row r="6441" spans="15:15" x14ac:dyDescent="0.25">
      <c r="O6441" s="21"/>
    </row>
    <row r="6442" spans="15:15" x14ac:dyDescent="0.25">
      <c r="O6442" s="21"/>
    </row>
    <row r="6443" spans="15:15" x14ac:dyDescent="0.25">
      <c r="O6443" s="21"/>
    </row>
    <row r="6444" spans="15:15" x14ac:dyDescent="0.25">
      <c r="O6444" s="21"/>
    </row>
    <row r="6445" spans="15:15" x14ac:dyDescent="0.25">
      <c r="O6445" s="21"/>
    </row>
    <row r="6446" spans="15:15" x14ac:dyDescent="0.25">
      <c r="O6446" s="21"/>
    </row>
    <row r="6447" spans="15:15" x14ac:dyDescent="0.25">
      <c r="O6447" s="21"/>
    </row>
    <row r="6448" spans="15:15" x14ac:dyDescent="0.25">
      <c r="O6448" s="21"/>
    </row>
    <row r="6449" spans="15:15" x14ac:dyDescent="0.25">
      <c r="O6449" s="21"/>
    </row>
    <row r="6450" spans="15:15" x14ac:dyDescent="0.25">
      <c r="O6450" s="21"/>
    </row>
    <row r="6451" spans="15:15" x14ac:dyDescent="0.25">
      <c r="O6451" s="21"/>
    </row>
    <row r="6452" spans="15:15" x14ac:dyDescent="0.25">
      <c r="O6452" s="21"/>
    </row>
    <row r="6453" spans="15:15" x14ac:dyDescent="0.25">
      <c r="O6453" s="21"/>
    </row>
    <row r="6454" spans="15:15" x14ac:dyDescent="0.25">
      <c r="O6454" s="21"/>
    </row>
    <row r="6455" spans="15:15" x14ac:dyDescent="0.25">
      <c r="O6455" s="21"/>
    </row>
    <row r="6456" spans="15:15" x14ac:dyDescent="0.25">
      <c r="O6456" s="21"/>
    </row>
    <row r="6457" spans="15:15" x14ac:dyDescent="0.25">
      <c r="O6457" s="21"/>
    </row>
    <row r="6458" spans="15:15" x14ac:dyDescent="0.25">
      <c r="O6458" s="21"/>
    </row>
    <row r="6459" spans="15:15" x14ac:dyDescent="0.25">
      <c r="O6459" s="21"/>
    </row>
    <row r="6460" spans="15:15" x14ac:dyDescent="0.25">
      <c r="O6460" s="21"/>
    </row>
    <row r="6461" spans="15:15" x14ac:dyDescent="0.25">
      <c r="O6461" s="21"/>
    </row>
    <row r="6462" spans="15:15" x14ac:dyDescent="0.25">
      <c r="O6462" s="21"/>
    </row>
    <row r="6463" spans="15:15" x14ac:dyDescent="0.25">
      <c r="O6463" s="21"/>
    </row>
    <row r="6464" spans="15:15" x14ac:dyDescent="0.25">
      <c r="O6464" s="21"/>
    </row>
    <row r="6465" spans="15:15" x14ac:dyDescent="0.25">
      <c r="O6465" s="21"/>
    </row>
    <row r="6466" spans="15:15" x14ac:dyDescent="0.25">
      <c r="O6466" s="21"/>
    </row>
    <row r="6467" spans="15:15" x14ac:dyDescent="0.25">
      <c r="O6467" s="21"/>
    </row>
    <row r="6468" spans="15:15" x14ac:dyDescent="0.25">
      <c r="O6468" s="21"/>
    </row>
    <row r="6469" spans="15:15" x14ac:dyDescent="0.25">
      <c r="O6469" s="21"/>
    </row>
    <row r="6470" spans="15:15" x14ac:dyDescent="0.25">
      <c r="O6470" s="21"/>
    </row>
    <row r="6471" spans="15:15" x14ac:dyDescent="0.25">
      <c r="O6471" s="21"/>
    </row>
    <row r="6472" spans="15:15" x14ac:dyDescent="0.25">
      <c r="O6472" s="21"/>
    </row>
    <row r="6473" spans="15:15" x14ac:dyDescent="0.25">
      <c r="O6473" s="21"/>
    </row>
    <row r="6474" spans="15:15" x14ac:dyDescent="0.25">
      <c r="O6474" s="21"/>
    </row>
    <row r="6475" spans="15:15" x14ac:dyDescent="0.25">
      <c r="O6475" s="21"/>
    </row>
    <row r="6476" spans="15:15" x14ac:dyDescent="0.25">
      <c r="O6476" s="21"/>
    </row>
    <row r="6477" spans="15:15" x14ac:dyDescent="0.25">
      <c r="O6477" s="21"/>
    </row>
    <row r="6478" spans="15:15" x14ac:dyDescent="0.25">
      <c r="O6478" s="21"/>
    </row>
    <row r="6479" spans="15:15" x14ac:dyDescent="0.25">
      <c r="O6479" s="21"/>
    </row>
    <row r="6480" spans="15:15" x14ac:dyDescent="0.25">
      <c r="O6480" s="21"/>
    </row>
    <row r="6481" spans="15:15" x14ac:dyDescent="0.25">
      <c r="O6481" s="21"/>
    </row>
    <row r="6482" spans="15:15" x14ac:dyDescent="0.25">
      <c r="O6482" s="21"/>
    </row>
    <row r="6483" spans="15:15" x14ac:dyDescent="0.25">
      <c r="O6483" s="21"/>
    </row>
    <row r="6484" spans="15:15" x14ac:dyDescent="0.25">
      <c r="O6484" s="21"/>
    </row>
    <row r="6485" spans="15:15" x14ac:dyDescent="0.25">
      <c r="O6485" s="21"/>
    </row>
    <row r="6486" spans="15:15" x14ac:dyDescent="0.25">
      <c r="O6486" s="21"/>
    </row>
    <row r="6487" spans="15:15" x14ac:dyDescent="0.25">
      <c r="O6487" s="21"/>
    </row>
    <row r="6488" spans="15:15" x14ac:dyDescent="0.25">
      <c r="O6488" s="21"/>
    </row>
    <row r="6489" spans="15:15" x14ac:dyDescent="0.25">
      <c r="O6489" s="21"/>
    </row>
    <row r="6490" spans="15:15" x14ac:dyDescent="0.25">
      <c r="O6490" s="21"/>
    </row>
    <row r="6491" spans="15:15" x14ac:dyDescent="0.25">
      <c r="O6491" s="21"/>
    </row>
    <row r="6492" spans="15:15" x14ac:dyDescent="0.25">
      <c r="O6492" s="21"/>
    </row>
    <row r="6493" spans="15:15" x14ac:dyDescent="0.25">
      <c r="O6493" s="21"/>
    </row>
    <row r="6494" spans="15:15" x14ac:dyDescent="0.25">
      <c r="O6494" s="21"/>
    </row>
    <row r="6495" spans="15:15" x14ac:dyDescent="0.25">
      <c r="O6495" s="21"/>
    </row>
    <row r="6496" spans="15:15" x14ac:dyDescent="0.25">
      <c r="O6496" s="21"/>
    </row>
    <row r="6497" spans="15:15" x14ac:dyDescent="0.25">
      <c r="O6497" s="21"/>
    </row>
    <row r="6498" spans="15:15" x14ac:dyDescent="0.25">
      <c r="O6498" s="21"/>
    </row>
    <row r="6499" spans="15:15" x14ac:dyDescent="0.25">
      <c r="O6499" s="21"/>
    </row>
    <row r="6500" spans="15:15" x14ac:dyDescent="0.25">
      <c r="O6500" s="21"/>
    </row>
    <row r="6501" spans="15:15" x14ac:dyDescent="0.25">
      <c r="O6501" s="21"/>
    </row>
    <row r="6502" spans="15:15" x14ac:dyDescent="0.25">
      <c r="O6502" s="21"/>
    </row>
    <row r="6503" spans="15:15" x14ac:dyDescent="0.25">
      <c r="O6503" s="21"/>
    </row>
    <row r="6504" spans="15:15" x14ac:dyDescent="0.25">
      <c r="O6504" s="21"/>
    </row>
    <row r="6505" spans="15:15" x14ac:dyDescent="0.25">
      <c r="O6505" s="21"/>
    </row>
    <row r="6506" spans="15:15" x14ac:dyDescent="0.25">
      <c r="O6506" s="21"/>
    </row>
    <row r="6507" spans="15:15" x14ac:dyDescent="0.25">
      <c r="O6507" s="21"/>
    </row>
    <row r="6508" spans="15:15" x14ac:dyDescent="0.25">
      <c r="O6508" s="21"/>
    </row>
    <row r="6509" spans="15:15" x14ac:dyDescent="0.25">
      <c r="O6509" s="21"/>
    </row>
    <row r="6510" spans="15:15" x14ac:dyDescent="0.25">
      <c r="O6510" s="21"/>
    </row>
    <row r="6511" spans="15:15" x14ac:dyDescent="0.25">
      <c r="O6511" s="21"/>
    </row>
    <row r="6512" spans="15:15" x14ac:dyDescent="0.25">
      <c r="O6512" s="21"/>
    </row>
    <row r="6513" spans="15:15" x14ac:dyDescent="0.25">
      <c r="O6513" s="21"/>
    </row>
    <row r="6514" spans="15:15" x14ac:dyDescent="0.25">
      <c r="O6514" s="21"/>
    </row>
    <row r="6515" spans="15:15" x14ac:dyDescent="0.25">
      <c r="O6515" s="21"/>
    </row>
    <row r="6516" spans="15:15" x14ac:dyDescent="0.25">
      <c r="O6516" s="21"/>
    </row>
    <row r="6517" spans="15:15" x14ac:dyDescent="0.25">
      <c r="O6517" s="21"/>
    </row>
    <row r="6518" spans="15:15" x14ac:dyDescent="0.25">
      <c r="O6518" s="21"/>
    </row>
    <row r="6519" spans="15:15" x14ac:dyDescent="0.25">
      <c r="O6519" s="21"/>
    </row>
    <row r="6520" spans="15:15" x14ac:dyDescent="0.25">
      <c r="O6520" s="21"/>
    </row>
    <row r="6521" spans="15:15" x14ac:dyDescent="0.25">
      <c r="O6521" s="21"/>
    </row>
    <row r="6522" spans="15:15" x14ac:dyDescent="0.25">
      <c r="O6522" s="21"/>
    </row>
    <row r="6523" spans="15:15" x14ac:dyDescent="0.25">
      <c r="O6523" s="21"/>
    </row>
    <row r="6524" spans="15:15" x14ac:dyDescent="0.25">
      <c r="O6524" s="21"/>
    </row>
    <row r="6525" spans="15:15" x14ac:dyDescent="0.25">
      <c r="O6525" s="21"/>
    </row>
    <row r="6526" spans="15:15" x14ac:dyDescent="0.25">
      <c r="O6526" s="21"/>
    </row>
    <row r="6527" spans="15:15" x14ac:dyDescent="0.25">
      <c r="O6527" s="21"/>
    </row>
    <row r="6528" spans="15:15" x14ac:dyDescent="0.25">
      <c r="O6528" s="21"/>
    </row>
    <row r="6529" spans="15:15" x14ac:dyDescent="0.25">
      <c r="O6529" s="21"/>
    </row>
    <row r="6530" spans="15:15" x14ac:dyDescent="0.25">
      <c r="O6530" s="21"/>
    </row>
    <row r="6531" spans="15:15" x14ac:dyDescent="0.25">
      <c r="O6531" s="21"/>
    </row>
    <row r="6532" spans="15:15" x14ac:dyDescent="0.25">
      <c r="O6532" s="21"/>
    </row>
    <row r="6533" spans="15:15" x14ac:dyDescent="0.25">
      <c r="O6533" s="21"/>
    </row>
    <row r="6534" spans="15:15" x14ac:dyDescent="0.25">
      <c r="O6534" s="21"/>
    </row>
    <row r="6535" spans="15:15" x14ac:dyDescent="0.25">
      <c r="O6535" s="21"/>
    </row>
    <row r="6536" spans="15:15" x14ac:dyDescent="0.25">
      <c r="O6536" s="21"/>
    </row>
    <row r="6537" spans="15:15" x14ac:dyDescent="0.25">
      <c r="O6537" s="21"/>
    </row>
    <row r="6538" spans="15:15" x14ac:dyDescent="0.25">
      <c r="O6538" s="21"/>
    </row>
    <row r="6539" spans="15:15" x14ac:dyDescent="0.25">
      <c r="O6539" s="21"/>
    </row>
    <row r="6540" spans="15:15" x14ac:dyDescent="0.25">
      <c r="O6540" s="21"/>
    </row>
    <row r="6541" spans="15:15" x14ac:dyDescent="0.25">
      <c r="O6541" s="21"/>
    </row>
    <row r="6542" spans="15:15" x14ac:dyDescent="0.25">
      <c r="O6542" s="21"/>
    </row>
    <row r="6543" spans="15:15" x14ac:dyDescent="0.25">
      <c r="O6543" s="21"/>
    </row>
    <row r="6544" spans="15:15" x14ac:dyDescent="0.25">
      <c r="O6544" s="21"/>
    </row>
    <row r="6545" spans="15:15" x14ac:dyDescent="0.25">
      <c r="O6545" s="21"/>
    </row>
    <row r="6546" spans="15:15" x14ac:dyDescent="0.25">
      <c r="O6546" s="21"/>
    </row>
    <row r="6547" spans="15:15" x14ac:dyDescent="0.25">
      <c r="O6547" s="21"/>
    </row>
    <row r="6548" spans="15:15" x14ac:dyDescent="0.25">
      <c r="O6548" s="21"/>
    </row>
    <row r="6549" spans="15:15" x14ac:dyDescent="0.25">
      <c r="O6549" s="21"/>
    </row>
    <row r="6550" spans="15:15" x14ac:dyDescent="0.25">
      <c r="O6550" s="21"/>
    </row>
    <row r="6551" spans="15:15" x14ac:dyDescent="0.25">
      <c r="O6551" s="21"/>
    </row>
    <row r="6552" spans="15:15" x14ac:dyDescent="0.25">
      <c r="O6552" s="21"/>
    </row>
    <row r="6553" spans="15:15" x14ac:dyDescent="0.25">
      <c r="O6553" s="21"/>
    </row>
    <row r="6554" spans="15:15" x14ac:dyDescent="0.25">
      <c r="O6554" s="21"/>
    </row>
    <row r="6555" spans="15:15" x14ac:dyDescent="0.25">
      <c r="O6555" s="21"/>
    </row>
    <row r="6556" spans="15:15" x14ac:dyDescent="0.25">
      <c r="O6556" s="21"/>
    </row>
    <row r="6557" spans="15:15" x14ac:dyDescent="0.25">
      <c r="O6557" s="21"/>
    </row>
    <row r="6558" spans="15:15" x14ac:dyDescent="0.25">
      <c r="O6558" s="21"/>
    </row>
    <row r="6559" spans="15:15" x14ac:dyDescent="0.25">
      <c r="O6559" s="21"/>
    </row>
    <row r="6560" spans="15:15" x14ac:dyDescent="0.25">
      <c r="O6560" s="21"/>
    </row>
    <row r="6561" spans="15:15" x14ac:dyDescent="0.25">
      <c r="O6561" s="21"/>
    </row>
    <row r="6562" spans="15:15" x14ac:dyDescent="0.25">
      <c r="O6562" s="21"/>
    </row>
    <row r="6563" spans="15:15" x14ac:dyDescent="0.25">
      <c r="O6563" s="21"/>
    </row>
    <row r="6564" spans="15:15" x14ac:dyDescent="0.25">
      <c r="O6564" s="21"/>
    </row>
    <row r="6565" spans="15:15" x14ac:dyDescent="0.25">
      <c r="O6565" s="21"/>
    </row>
    <row r="6566" spans="15:15" x14ac:dyDescent="0.25">
      <c r="O6566" s="21"/>
    </row>
    <row r="6567" spans="15:15" x14ac:dyDescent="0.25">
      <c r="O6567" s="21"/>
    </row>
    <row r="6568" spans="15:15" x14ac:dyDescent="0.25">
      <c r="O6568" s="21"/>
    </row>
    <row r="6569" spans="15:15" x14ac:dyDescent="0.25">
      <c r="O6569" s="21"/>
    </row>
    <row r="6570" spans="15:15" x14ac:dyDescent="0.25">
      <c r="O6570" s="21"/>
    </row>
    <row r="6571" spans="15:15" x14ac:dyDescent="0.25">
      <c r="O6571" s="21"/>
    </row>
    <row r="6572" spans="15:15" x14ac:dyDescent="0.25">
      <c r="O6572" s="21"/>
    </row>
    <row r="6573" spans="15:15" x14ac:dyDescent="0.25">
      <c r="O6573" s="21"/>
    </row>
    <row r="6574" spans="15:15" x14ac:dyDescent="0.25">
      <c r="O6574" s="21"/>
    </row>
    <row r="6575" spans="15:15" x14ac:dyDescent="0.25">
      <c r="O6575" s="21"/>
    </row>
    <row r="6576" spans="15:15" x14ac:dyDescent="0.25">
      <c r="O6576" s="21"/>
    </row>
    <row r="6577" spans="15:15" x14ac:dyDescent="0.25">
      <c r="O6577" s="21"/>
    </row>
    <row r="6578" spans="15:15" x14ac:dyDescent="0.25">
      <c r="O6578" s="21"/>
    </row>
    <row r="6579" spans="15:15" x14ac:dyDescent="0.25">
      <c r="O6579" s="21"/>
    </row>
    <row r="6580" spans="15:15" x14ac:dyDescent="0.25">
      <c r="O6580" s="21"/>
    </row>
    <row r="6581" spans="15:15" x14ac:dyDescent="0.25">
      <c r="O6581" s="21"/>
    </row>
    <row r="6582" spans="15:15" x14ac:dyDescent="0.25">
      <c r="O6582" s="21"/>
    </row>
    <row r="6583" spans="15:15" x14ac:dyDescent="0.25">
      <c r="O6583" s="21"/>
    </row>
    <row r="6584" spans="15:15" x14ac:dyDescent="0.25">
      <c r="O6584" s="21"/>
    </row>
    <row r="6585" spans="15:15" x14ac:dyDescent="0.25">
      <c r="O6585" s="21"/>
    </row>
    <row r="6586" spans="15:15" x14ac:dyDescent="0.25">
      <c r="O6586" s="21"/>
    </row>
    <row r="6587" spans="15:15" x14ac:dyDescent="0.25">
      <c r="O6587" s="21"/>
    </row>
    <row r="6588" spans="15:15" x14ac:dyDescent="0.25">
      <c r="O6588" s="21"/>
    </row>
    <row r="6589" spans="15:15" x14ac:dyDescent="0.25">
      <c r="O6589" s="21"/>
    </row>
    <row r="6590" spans="15:15" x14ac:dyDescent="0.25">
      <c r="O6590" s="21"/>
    </row>
    <row r="6591" spans="15:15" x14ac:dyDescent="0.25">
      <c r="O6591" s="21"/>
    </row>
    <row r="6592" spans="15:15" x14ac:dyDescent="0.25">
      <c r="O6592" s="21"/>
    </row>
    <row r="6593" spans="15:15" x14ac:dyDescent="0.25">
      <c r="O6593" s="21"/>
    </row>
    <row r="6594" spans="15:15" x14ac:dyDescent="0.25">
      <c r="O6594" s="21"/>
    </row>
    <row r="6595" spans="15:15" x14ac:dyDescent="0.25">
      <c r="O6595" s="21"/>
    </row>
    <row r="6596" spans="15:15" x14ac:dyDescent="0.25">
      <c r="O6596" s="21"/>
    </row>
    <row r="6597" spans="15:15" x14ac:dyDescent="0.25">
      <c r="O6597" s="21"/>
    </row>
    <row r="6598" spans="15:15" x14ac:dyDescent="0.25">
      <c r="O6598" s="21"/>
    </row>
    <row r="6599" spans="15:15" x14ac:dyDescent="0.25">
      <c r="O6599" s="21"/>
    </row>
    <row r="6600" spans="15:15" x14ac:dyDescent="0.25">
      <c r="O6600" s="21"/>
    </row>
    <row r="6601" spans="15:15" x14ac:dyDescent="0.25">
      <c r="O6601" s="21"/>
    </row>
    <row r="6602" spans="15:15" x14ac:dyDescent="0.25">
      <c r="O6602" s="21"/>
    </row>
    <row r="6603" spans="15:15" x14ac:dyDescent="0.25">
      <c r="O6603" s="21"/>
    </row>
    <row r="6604" spans="15:15" x14ac:dyDescent="0.25">
      <c r="O6604" s="21"/>
    </row>
    <row r="6605" spans="15:15" x14ac:dyDescent="0.25">
      <c r="O6605" s="21"/>
    </row>
    <row r="6606" spans="15:15" x14ac:dyDescent="0.25">
      <c r="O6606" s="21"/>
    </row>
    <row r="6607" spans="15:15" x14ac:dyDescent="0.25">
      <c r="O6607" s="21"/>
    </row>
    <row r="6608" spans="15:15" x14ac:dyDescent="0.25">
      <c r="O6608" s="21"/>
    </row>
    <row r="6609" spans="15:15" x14ac:dyDescent="0.25">
      <c r="O6609" s="21"/>
    </row>
    <row r="6610" spans="15:15" x14ac:dyDescent="0.25">
      <c r="O6610" s="21"/>
    </row>
    <row r="6611" spans="15:15" x14ac:dyDescent="0.25">
      <c r="O6611" s="21"/>
    </row>
    <row r="6612" spans="15:15" x14ac:dyDescent="0.25">
      <c r="O6612" s="21"/>
    </row>
    <row r="6613" spans="15:15" x14ac:dyDescent="0.25">
      <c r="O6613" s="21"/>
    </row>
    <row r="6614" spans="15:15" x14ac:dyDescent="0.25">
      <c r="O6614" s="21"/>
    </row>
    <row r="6615" spans="15:15" x14ac:dyDescent="0.25">
      <c r="O6615" s="21"/>
    </row>
    <row r="6616" spans="15:15" x14ac:dyDescent="0.25">
      <c r="O6616" s="21"/>
    </row>
    <row r="6617" spans="15:15" x14ac:dyDescent="0.25">
      <c r="O6617" s="21"/>
    </row>
    <row r="6618" spans="15:15" x14ac:dyDescent="0.25">
      <c r="O6618" s="21"/>
    </row>
    <row r="6619" spans="15:15" x14ac:dyDescent="0.25">
      <c r="O6619" s="21"/>
    </row>
    <row r="6620" spans="15:15" x14ac:dyDescent="0.25">
      <c r="O6620" s="21"/>
    </row>
    <row r="6621" spans="15:15" x14ac:dyDescent="0.25">
      <c r="O6621" s="21"/>
    </row>
    <row r="6622" spans="15:15" x14ac:dyDescent="0.25">
      <c r="O6622" s="21"/>
    </row>
    <row r="6623" spans="15:15" x14ac:dyDescent="0.25">
      <c r="O6623" s="21"/>
    </row>
    <row r="6624" spans="15:15" x14ac:dyDescent="0.25">
      <c r="O6624" s="21"/>
    </row>
    <row r="6625" spans="15:15" x14ac:dyDescent="0.25">
      <c r="O6625" s="21"/>
    </row>
    <row r="6626" spans="15:15" x14ac:dyDescent="0.25">
      <c r="O6626" s="21"/>
    </row>
    <row r="6627" spans="15:15" x14ac:dyDescent="0.25">
      <c r="O6627" s="21"/>
    </row>
    <row r="6628" spans="15:15" x14ac:dyDescent="0.25">
      <c r="O6628" s="21"/>
    </row>
    <row r="6629" spans="15:15" x14ac:dyDescent="0.25">
      <c r="O6629" s="21"/>
    </row>
    <row r="6630" spans="15:15" x14ac:dyDescent="0.25">
      <c r="O6630" s="21"/>
    </row>
    <row r="6631" spans="15:15" x14ac:dyDescent="0.25">
      <c r="O6631" s="21"/>
    </row>
    <row r="6632" spans="15:15" x14ac:dyDescent="0.25">
      <c r="O6632" s="21"/>
    </row>
    <row r="6633" spans="15:15" x14ac:dyDescent="0.25">
      <c r="O6633" s="21"/>
    </row>
    <row r="6634" spans="15:15" x14ac:dyDescent="0.25">
      <c r="O6634" s="21"/>
    </row>
    <row r="6635" spans="15:15" x14ac:dyDescent="0.25">
      <c r="O6635" s="21"/>
    </row>
    <row r="6636" spans="15:15" x14ac:dyDescent="0.25">
      <c r="O6636" s="21"/>
    </row>
    <row r="6637" spans="15:15" x14ac:dyDescent="0.25">
      <c r="O6637" s="21"/>
    </row>
    <row r="6638" spans="15:15" x14ac:dyDescent="0.25">
      <c r="O6638" s="21"/>
    </row>
    <row r="6639" spans="15:15" x14ac:dyDescent="0.25">
      <c r="O6639" s="21"/>
    </row>
    <row r="6640" spans="15:15" x14ac:dyDescent="0.25">
      <c r="O6640" s="21"/>
    </row>
    <row r="6641" spans="15:15" x14ac:dyDescent="0.25">
      <c r="O6641" s="21"/>
    </row>
    <row r="6642" spans="15:15" x14ac:dyDescent="0.25">
      <c r="O6642" s="21"/>
    </row>
    <row r="6643" spans="15:15" x14ac:dyDescent="0.25">
      <c r="O6643" s="21"/>
    </row>
    <row r="6644" spans="15:15" x14ac:dyDescent="0.25">
      <c r="O6644" s="21"/>
    </row>
    <row r="6645" spans="15:15" x14ac:dyDescent="0.25">
      <c r="O6645" s="21"/>
    </row>
    <row r="6646" spans="15:15" x14ac:dyDescent="0.25">
      <c r="O6646" s="21"/>
    </row>
    <row r="6647" spans="15:15" x14ac:dyDescent="0.25">
      <c r="O6647" s="21"/>
    </row>
    <row r="6648" spans="15:15" x14ac:dyDescent="0.25">
      <c r="O6648" s="21"/>
    </row>
    <row r="6649" spans="15:15" x14ac:dyDescent="0.25">
      <c r="O6649" s="21"/>
    </row>
    <row r="6650" spans="15:15" x14ac:dyDescent="0.25">
      <c r="O6650" s="21"/>
    </row>
    <row r="6651" spans="15:15" x14ac:dyDescent="0.25">
      <c r="O6651" s="21"/>
    </row>
    <row r="6652" spans="15:15" x14ac:dyDescent="0.25">
      <c r="O6652" s="21"/>
    </row>
    <row r="6653" spans="15:15" x14ac:dyDescent="0.25">
      <c r="O6653" s="21"/>
    </row>
    <row r="6654" spans="15:15" x14ac:dyDescent="0.25">
      <c r="O6654" s="21"/>
    </row>
    <row r="6655" spans="15:15" x14ac:dyDescent="0.25">
      <c r="O6655" s="21"/>
    </row>
    <row r="6656" spans="15:15" x14ac:dyDescent="0.25">
      <c r="O6656" s="21"/>
    </row>
    <row r="6657" spans="15:15" x14ac:dyDescent="0.25">
      <c r="O6657" s="21"/>
    </row>
    <row r="6658" spans="15:15" x14ac:dyDescent="0.25">
      <c r="O6658" s="21"/>
    </row>
    <row r="6659" spans="15:15" x14ac:dyDescent="0.25">
      <c r="O6659" s="21"/>
    </row>
    <row r="6660" spans="15:15" x14ac:dyDescent="0.25">
      <c r="O6660" s="21"/>
    </row>
    <row r="6661" spans="15:15" x14ac:dyDescent="0.25">
      <c r="O6661" s="21"/>
    </row>
    <row r="6662" spans="15:15" x14ac:dyDescent="0.25">
      <c r="O6662" s="21"/>
    </row>
    <row r="6663" spans="15:15" x14ac:dyDescent="0.25">
      <c r="O6663" s="21"/>
    </row>
    <row r="6664" spans="15:15" x14ac:dyDescent="0.25">
      <c r="O6664" s="21"/>
    </row>
    <row r="6665" spans="15:15" x14ac:dyDescent="0.25">
      <c r="O6665" s="21"/>
    </row>
    <row r="6666" spans="15:15" x14ac:dyDescent="0.25">
      <c r="O6666" s="21"/>
    </row>
    <row r="6667" spans="15:15" x14ac:dyDescent="0.25">
      <c r="O6667" s="21"/>
    </row>
    <row r="6668" spans="15:15" x14ac:dyDescent="0.25">
      <c r="O6668" s="21"/>
    </row>
    <row r="6669" spans="15:15" x14ac:dyDescent="0.25">
      <c r="O6669" s="21"/>
    </row>
    <row r="6670" spans="15:15" x14ac:dyDescent="0.25">
      <c r="O6670" s="21"/>
    </row>
    <row r="6671" spans="15:15" x14ac:dyDescent="0.25">
      <c r="O6671" s="21"/>
    </row>
    <row r="6672" spans="15:15" x14ac:dyDescent="0.25">
      <c r="O6672" s="21"/>
    </row>
    <row r="6673" spans="15:15" x14ac:dyDescent="0.25">
      <c r="O6673" s="21"/>
    </row>
    <row r="6674" spans="15:15" x14ac:dyDescent="0.25">
      <c r="O6674" s="21"/>
    </row>
    <row r="6675" spans="15:15" x14ac:dyDescent="0.25">
      <c r="O6675" s="21"/>
    </row>
    <row r="6676" spans="15:15" x14ac:dyDescent="0.25">
      <c r="O6676" s="21"/>
    </row>
    <row r="6677" spans="15:15" x14ac:dyDescent="0.25">
      <c r="O6677" s="21"/>
    </row>
    <row r="6678" spans="15:15" x14ac:dyDescent="0.25">
      <c r="O6678" s="21"/>
    </row>
    <row r="6679" spans="15:15" x14ac:dyDescent="0.25">
      <c r="O6679" s="21"/>
    </row>
    <row r="6680" spans="15:15" x14ac:dyDescent="0.25">
      <c r="O6680" s="21"/>
    </row>
    <row r="6681" spans="15:15" x14ac:dyDescent="0.25">
      <c r="O6681" s="21"/>
    </row>
    <row r="6682" spans="15:15" x14ac:dyDescent="0.25">
      <c r="O6682" s="21"/>
    </row>
    <row r="6683" spans="15:15" x14ac:dyDescent="0.25">
      <c r="O6683" s="21"/>
    </row>
    <row r="6684" spans="15:15" x14ac:dyDescent="0.25">
      <c r="O6684" s="21"/>
    </row>
    <row r="6685" spans="15:15" x14ac:dyDescent="0.25">
      <c r="O6685" s="21"/>
    </row>
    <row r="6686" spans="15:15" x14ac:dyDescent="0.25">
      <c r="O6686" s="21"/>
    </row>
    <row r="6687" spans="15:15" x14ac:dyDescent="0.25">
      <c r="O6687" s="21"/>
    </row>
    <row r="6688" spans="15:15" x14ac:dyDescent="0.25">
      <c r="O6688" s="21"/>
    </row>
    <row r="6689" spans="15:15" x14ac:dyDescent="0.25">
      <c r="O6689" s="21"/>
    </row>
    <row r="6690" spans="15:15" x14ac:dyDescent="0.25">
      <c r="O6690" s="21"/>
    </row>
    <row r="6691" spans="15:15" x14ac:dyDescent="0.25">
      <c r="O6691" s="21"/>
    </row>
    <row r="6692" spans="15:15" x14ac:dyDescent="0.25">
      <c r="O6692" s="21"/>
    </row>
    <row r="6693" spans="15:15" x14ac:dyDescent="0.25">
      <c r="O6693" s="21"/>
    </row>
    <row r="6694" spans="15:15" x14ac:dyDescent="0.25">
      <c r="O6694" s="21"/>
    </row>
    <row r="6695" spans="15:15" x14ac:dyDescent="0.25">
      <c r="O6695" s="21"/>
    </row>
    <row r="6696" spans="15:15" x14ac:dyDescent="0.25">
      <c r="O6696" s="21"/>
    </row>
    <row r="6697" spans="15:15" x14ac:dyDescent="0.25">
      <c r="O6697" s="21"/>
    </row>
    <row r="6698" spans="15:15" x14ac:dyDescent="0.25">
      <c r="O6698" s="21"/>
    </row>
    <row r="6699" spans="15:15" x14ac:dyDescent="0.25">
      <c r="O6699" s="21"/>
    </row>
    <row r="6700" spans="15:15" x14ac:dyDescent="0.25">
      <c r="O6700" s="21"/>
    </row>
    <row r="6701" spans="15:15" x14ac:dyDescent="0.25">
      <c r="O6701" s="21"/>
    </row>
    <row r="6702" spans="15:15" x14ac:dyDescent="0.25">
      <c r="O6702" s="21"/>
    </row>
    <row r="6703" spans="15:15" x14ac:dyDescent="0.25">
      <c r="O6703" s="21"/>
    </row>
    <row r="6704" spans="15:15" x14ac:dyDescent="0.25">
      <c r="O6704" s="21"/>
    </row>
    <row r="6705" spans="15:15" x14ac:dyDescent="0.25">
      <c r="O6705" s="21"/>
    </row>
    <row r="6706" spans="15:15" x14ac:dyDescent="0.25">
      <c r="O6706" s="21"/>
    </row>
    <row r="6707" spans="15:15" x14ac:dyDescent="0.25">
      <c r="O6707" s="21"/>
    </row>
    <row r="6708" spans="15:15" x14ac:dyDescent="0.25">
      <c r="O6708" s="21"/>
    </row>
    <row r="6709" spans="15:15" x14ac:dyDescent="0.25">
      <c r="O6709" s="21"/>
    </row>
    <row r="6710" spans="15:15" x14ac:dyDescent="0.25">
      <c r="O6710" s="21"/>
    </row>
    <row r="6711" spans="15:15" x14ac:dyDescent="0.25">
      <c r="O6711" s="21"/>
    </row>
    <row r="6712" spans="15:15" x14ac:dyDescent="0.25">
      <c r="O6712" s="21"/>
    </row>
    <row r="6713" spans="15:15" x14ac:dyDescent="0.25">
      <c r="O6713" s="21"/>
    </row>
    <row r="6714" spans="15:15" x14ac:dyDescent="0.25">
      <c r="O6714" s="21"/>
    </row>
    <row r="6715" spans="15:15" x14ac:dyDescent="0.25">
      <c r="O6715" s="21"/>
    </row>
    <row r="6716" spans="15:15" x14ac:dyDescent="0.25">
      <c r="O6716" s="21"/>
    </row>
    <row r="6717" spans="15:15" x14ac:dyDescent="0.25">
      <c r="O6717" s="21"/>
    </row>
    <row r="6718" spans="15:15" x14ac:dyDescent="0.25">
      <c r="O6718" s="21"/>
    </row>
    <row r="6719" spans="15:15" x14ac:dyDescent="0.25">
      <c r="O6719" s="21"/>
    </row>
    <row r="6720" spans="15:15" x14ac:dyDescent="0.25">
      <c r="O6720" s="21"/>
    </row>
    <row r="6721" spans="15:15" x14ac:dyDescent="0.25">
      <c r="O6721" s="21"/>
    </row>
    <row r="6722" spans="15:15" x14ac:dyDescent="0.25">
      <c r="O6722" s="21"/>
    </row>
    <row r="6723" spans="15:15" x14ac:dyDescent="0.25">
      <c r="O6723" s="21"/>
    </row>
    <row r="6724" spans="15:15" x14ac:dyDescent="0.25">
      <c r="O6724" s="21"/>
    </row>
    <row r="6725" spans="15:15" x14ac:dyDescent="0.25">
      <c r="O6725" s="21"/>
    </row>
    <row r="6726" spans="15:15" x14ac:dyDescent="0.25">
      <c r="O6726" s="21"/>
    </row>
    <row r="6727" spans="15:15" x14ac:dyDescent="0.25">
      <c r="O6727" s="21"/>
    </row>
    <row r="6728" spans="15:15" x14ac:dyDescent="0.25">
      <c r="O6728" s="21"/>
    </row>
    <row r="6729" spans="15:15" x14ac:dyDescent="0.25">
      <c r="O6729" s="21"/>
    </row>
    <row r="6730" spans="15:15" x14ac:dyDescent="0.25">
      <c r="O6730" s="21"/>
    </row>
    <row r="6731" spans="15:15" x14ac:dyDescent="0.25">
      <c r="O6731" s="21"/>
    </row>
    <row r="6732" spans="15:15" x14ac:dyDescent="0.25">
      <c r="O6732" s="21"/>
    </row>
    <row r="6733" spans="15:15" x14ac:dyDescent="0.25">
      <c r="O6733" s="21"/>
    </row>
    <row r="6734" spans="15:15" x14ac:dyDescent="0.25">
      <c r="O6734" s="21"/>
    </row>
    <row r="6735" spans="15:15" x14ac:dyDescent="0.25">
      <c r="O6735" s="21"/>
    </row>
    <row r="6736" spans="15:15" x14ac:dyDescent="0.25">
      <c r="O6736" s="21"/>
    </row>
    <row r="6737" spans="15:15" x14ac:dyDescent="0.25">
      <c r="O6737" s="21"/>
    </row>
    <row r="6738" spans="15:15" x14ac:dyDescent="0.25">
      <c r="O6738" s="21"/>
    </row>
    <row r="6739" spans="15:15" x14ac:dyDescent="0.25">
      <c r="O6739" s="21"/>
    </row>
    <row r="6740" spans="15:15" x14ac:dyDescent="0.25">
      <c r="O6740" s="21"/>
    </row>
    <row r="6741" spans="15:15" x14ac:dyDescent="0.25">
      <c r="O6741" s="21"/>
    </row>
    <row r="6742" spans="15:15" x14ac:dyDescent="0.25">
      <c r="O6742" s="21"/>
    </row>
    <row r="6743" spans="15:15" x14ac:dyDescent="0.25">
      <c r="O6743" s="21"/>
    </row>
    <row r="6744" spans="15:15" x14ac:dyDescent="0.25">
      <c r="O6744" s="21"/>
    </row>
    <row r="6745" spans="15:15" x14ac:dyDescent="0.25">
      <c r="O6745" s="21"/>
    </row>
    <row r="6746" spans="15:15" x14ac:dyDescent="0.25">
      <c r="O6746" s="21"/>
    </row>
    <row r="6747" spans="15:15" x14ac:dyDescent="0.25">
      <c r="O6747" s="21"/>
    </row>
    <row r="6748" spans="15:15" x14ac:dyDescent="0.25">
      <c r="O6748" s="21"/>
    </row>
    <row r="6749" spans="15:15" x14ac:dyDescent="0.25">
      <c r="O6749" s="21"/>
    </row>
    <row r="6750" spans="15:15" x14ac:dyDescent="0.25">
      <c r="O6750" s="21"/>
    </row>
    <row r="6751" spans="15:15" x14ac:dyDescent="0.25">
      <c r="O6751" s="21"/>
    </row>
    <row r="6752" spans="15:15" x14ac:dyDescent="0.25">
      <c r="O6752" s="21"/>
    </row>
    <row r="6753" spans="15:15" x14ac:dyDescent="0.25">
      <c r="O6753" s="21"/>
    </row>
    <row r="6754" spans="15:15" x14ac:dyDescent="0.25">
      <c r="O6754" s="21"/>
    </row>
    <row r="6755" spans="15:15" x14ac:dyDescent="0.25">
      <c r="O6755" s="21"/>
    </row>
    <row r="6756" spans="15:15" x14ac:dyDescent="0.25">
      <c r="O6756" s="21"/>
    </row>
    <row r="6757" spans="15:15" x14ac:dyDescent="0.25">
      <c r="O6757" s="21"/>
    </row>
    <row r="6758" spans="15:15" x14ac:dyDescent="0.25">
      <c r="O6758" s="21"/>
    </row>
    <row r="6759" spans="15:15" x14ac:dyDescent="0.25">
      <c r="O6759" s="21"/>
    </row>
    <row r="6760" spans="15:15" x14ac:dyDescent="0.25">
      <c r="O6760" s="21"/>
    </row>
    <row r="6761" spans="15:15" x14ac:dyDescent="0.25">
      <c r="O6761" s="21"/>
    </row>
    <row r="6762" spans="15:15" x14ac:dyDescent="0.25">
      <c r="O6762" s="21"/>
    </row>
    <row r="6763" spans="15:15" x14ac:dyDescent="0.25">
      <c r="O6763" s="21"/>
    </row>
    <row r="6764" spans="15:15" x14ac:dyDescent="0.25">
      <c r="O6764" s="21"/>
    </row>
    <row r="6765" spans="15:15" x14ac:dyDescent="0.25">
      <c r="O6765" s="21"/>
    </row>
    <row r="6766" spans="15:15" x14ac:dyDescent="0.25">
      <c r="O6766" s="21"/>
    </row>
    <row r="6767" spans="15:15" x14ac:dyDescent="0.25">
      <c r="O6767" s="21"/>
    </row>
    <row r="6768" spans="15:15" x14ac:dyDescent="0.25">
      <c r="O6768" s="21"/>
    </row>
    <row r="6769" spans="15:15" x14ac:dyDescent="0.25">
      <c r="O6769" s="21"/>
    </row>
    <row r="6770" spans="15:15" x14ac:dyDescent="0.25">
      <c r="O6770" s="21"/>
    </row>
    <row r="6771" spans="15:15" x14ac:dyDescent="0.25">
      <c r="O6771" s="21"/>
    </row>
    <row r="6772" spans="15:15" x14ac:dyDescent="0.25">
      <c r="O6772" s="21"/>
    </row>
    <row r="6773" spans="15:15" x14ac:dyDescent="0.25">
      <c r="O6773" s="21"/>
    </row>
    <row r="6774" spans="15:15" x14ac:dyDescent="0.25">
      <c r="O6774" s="21"/>
    </row>
    <row r="6775" spans="15:15" x14ac:dyDescent="0.25">
      <c r="O6775" s="21"/>
    </row>
    <row r="6776" spans="15:15" x14ac:dyDescent="0.25">
      <c r="O6776" s="21"/>
    </row>
    <row r="6777" spans="15:15" x14ac:dyDescent="0.25">
      <c r="O6777" s="21"/>
    </row>
    <row r="6778" spans="15:15" x14ac:dyDescent="0.25">
      <c r="O6778" s="21"/>
    </row>
    <row r="6779" spans="15:15" x14ac:dyDescent="0.25">
      <c r="O6779" s="21"/>
    </row>
    <row r="6780" spans="15:15" x14ac:dyDescent="0.25">
      <c r="O6780" s="21"/>
    </row>
    <row r="6781" spans="15:15" x14ac:dyDescent="0.25">
      <c r="O6781" s="21"/>
    </row>
    <row r="6782" spans="15:15" x14ac:dyDescent="0.25">
      <c r="O6782" s="21"/>
    </row>
    <row r="6783" spans="15:15" x14ac:dyDescent="0.25">
      <c r="O6783" s="21"/>
    </row>
    <row r="6784" spans="15:15" x14ac:dyDescent="0.25">
      <c r="O6784" s="21"/>
    </row>
    <row r="6785" spans="15:15" x14ac:dyDescent="0.25">
      <c r="O6785" s="21"/>
    </row>
    <row r="6786" spans="15:15" x14ac:dyDescent="0.25">
      <c r="O6786" s="21"/>
    </row>
    <row r="6787" spans="15:15" x14ac:dyDescent="0.25">
      <c r="O6787" s="21"/>
    </row>
    <row r="6788" spans="15:15" x14ac:dyDescent="0.25">
      <c r="O6788" s="21"/>
    </row>
    <row r="6789" spans="15:15" x14ac:dyDescent="0.25">
      <c r="O6789" s="21"/>
    </row>
    <row r="6790" spans="15:15" x14ac:dyDescent="0.25">
      <c r="O6790" s="21"/>
    </row>
    <row r="6791" spans="15:15" x14ac:dyDescent="0.25">
      <c r="O6791" s="21"/>
    </row>
    <row r="6792" spans="15:15" x14ac:dyDescent="0.25">
      <c r="O6792" s="21"/>
    </row>
    <row r="6793" spans="15:15" x14ac:dyDescent="0.25">
      <c r="O6793" s="21"/>
    </row>
    <row r="6794" spans="15:15" x14ac:dyDescent="0.25">
      <c r="O6794" s="21"/>
    </row>
    <row r="6795" spans="15:15" x14ac:dyDescent="0.25">
      <c r="O6795" s="21"/>
    </row>
    <row r="6796" spans="15:15" x14ac:dyDescent="0.25">
      <c r="O6796" s="21"/>
    </row>
    <row r="6797" spans="15:15" x14ac:dyDescent="0.25">
      <c r="O6797" s="21"/>
    </row>
    <row r="6798" spans="15:15" x14ac:dyDescent="0.25">
      <c r="O6798" s="21"/>
    </row>
    <row r="6799" spans="15:15" x14ac:dyDescent="0.25">
      <c r="O6799" s="21"/>
    </row>
    <row r="6800" spans="15:15" x14ac:dyDescent="0.25">
      <c r="O6800" s="21"/>
    </row>
    <row r="6801" spans="15:15" x14ac:dyDescent="0.25">
      <c r="O6801" s="21"/>
    </row>
    <row r="6802" spans="15:15" x14ac:dyDescent="0.25">
      <c r="O6802" s="21"/>
    </row>
    <row r="6803" spans="15:15" x14ac:dyDescent="0.25">
      <c r="O6803" s="21"/>
    </row>
    <row r="6804" spans="15:15" x14ac:dyDescent="0.25">
      <c r="O6804" s="21"/>
    </row>
    <row r="6805" spans="15:15" x14ac:dyDescent="0.25">
      <c r="O6805" s="21"/>
    </row>
    <row r="6806" spans="15:15" x14ac:dyDescent="0.25">
      <c r="O6806" s="21"/>
    </row>
    <row r="6807" spans="15:15" x14ac:dyDescent="0.25">
      <c r="O6807" s="21"/>
    </row>
    <row r="6808" spans="15:15" x14ac:dyDescent="0.25">
      <c r="O6808" s="21"/>
    </row>
    <row r="6809" spans="15:15" x14ac:dyDescent="0.25">
      <c r="O6809" s="21"/>
    </row>
    <row r="6810" spans="15:15" x14ac:dyDescent="0.25">
      <c r="O6810" s="21"/>
    </row>
    <row r="6811" spans="15:15" x14ac:dyDescent="0.25">
      <c r="O6811" s="21"/>
    </row>
    <row r="6812" spans="15:15" x14ac:dyDescent="0.25">
      <c r="O6812" s="21"/>
    </row>
    <row r="6813" spans="15:15" x14ac:dyDescent="0.25">
      <c r="O6813" s="21"/>
    </row>
    <row r="6814" spans="15:15" x14ac:dyDescent="0.25">
      <c r="O6814" s="21"/>
    </row>
    <row r="6815" spans="15:15" x14ac:dyDescent="0.25">
      <c r="O6815" s="21"/>
    </row>
    <row r="6816" spans="15:15" x14ac:dyDescent="0.25">
      <c r="O6816" s="21"/>
    </row>
    <row r="6817" spans="15:15" x14ac:dyDescent="0.25">
      <c r="O6817" s="21"/>
    </row>
    <row r="6818" spans="15:15" x14ac:dyDescent="0.25">
      <c r="O6818" s="21"/>
    </row>
    <row r="6819" spans="15:15" x14ac:dyDescent="0.25">
      <c r="O6819" s="21"/>
    </row>
    <row r="6820" spans="15:15" x14ac:dyDescent="0.25">
      <c r="O6820" s="21"/>
    </row>
    <row r="6821" spans="15:15" x14ac:dyDescent="0.25">
      <c r="O6821" s="21"/>
    </row>
    <row r="6822" spans="15:15" x14ac:dyDescent="0.25">
      <c r="O6822" s="21"/>
    </row>
    <row r="6823" spans="15:15" x14ac:dyDescent="0.25">
      <c r="O6823" s="21"/>
    </row>
    <row r="6824" spans="15:15" x14ac:dyDescent="0.25">
      <c r="O6824" s="21"/>
    </row>
    <row r="6825" spans="15:15" x14ac:dyDescent="0.25">
      <c r="O6825" s="21"/>
    </row>
    <row r="6826" spans="15:15" x14ac:dyDescent="0.25">
      <c r="O6826" s="21"/>
    </row>
    <row r="6827" spans="15:15" x14ac:dyDescent="0.25">
      <c r="O6827" s="21"/>
    </row>
    <row r="6828" spans="15:15" x14ac:dyDescent="0.25">
      <c r="O6828" s="21"/>
    </row>
    <row r="6829" spans="15:15" x14ac:dyDescent="0.25">
      <c r="O6829" s="21"/>
    </row>
    <row r="6830" spans="15:15" x14ac:dyDescent="0.25">
      <c r="O6830" s="21"/>
    </row>
    <row r="6831" spans="15:15" x14ac:dyDescent="0.25">
      <c r="O6831" s="21"/>
    </row>
    <row r="6832" spans="15:15" x14ac:dyDescent="0.25">
      <c r="O6832" s="21"/>
    </row>
    <row r="6833" spans="15:15" x14ac:dyDescent="0.25">
      <c r="O6833" s="21"/>
    </row>
    <row r="6834" spans="15:15" x14ac:dyDescent="0.25">
      <c r="O6834" s="21"/>
    </row>
    <row r="6835" spans="15:15" x14ac:dyDescent="0.25">
      <c r="O6835" s="21"/>
    </row>
    <row r="6836" spans="15:15" x14ac:dyDescent="0.25">
      <c r="O6836" s="21"/>
    </row>
    <row r="6837" spans="15:15" x14ac:dyDescent="0.25">
      <c r="O6837" s="21"/>
    </row>
    <row r="6838" spans="15:15" x14ac:dyDescent="0.25">
      <c r="O6838" s="21"/>
    </row>
    <row r="6839" spans="15:15" x14ac:dyDescent="0.25">
      <c r="O6839" s="21"/>
    </row>
    <row r="6840" spans="15:15" x14ac:dyDescent="0.25">
      <c r="O6840" s="21"/>
    </row>
    <row r="6841" spans="15:15" x14ac:dyDescent="0.25">
      <c r="O6841" s="21"/>
    </row>
    <row r="6842" spans="15:15" x14ac:dyDescent="0.25">
      <c r="O6842" s="21"/>
    </row>
    <row r="6843" spans="15:15" x14ac:dyDescent="0.25">
      <c r="O6843" s="21"/>
    </row>
    <row r="6844" spans="15:15" x14ac:dyDescent="0.25">
      <c r="O6844" s="21"/>
    </row>
    <row r="6845" spans="15:15" x14ac:dyDescent="0.25">
      <c r="O6845" s="21"/>
    </row>
    <row r="6846" spans="15:15" x14ac:dyDescent="0.25">
      <c r="O6846" s="21"/>
    </row>
    <row r="6847" spans="15:15" x14ac:dyDescent="0.25">
      <c r="O6847" s="21"/>
    </row>
    <row r="6848" spans="15:15" x14ac:dyDescent="0.25">
      <c r="O6848" s="21"/>
    </row>
    <row r="6849" spans="15:15" x14ac:dyDescent="0.25">
      <c r="O6849" s="21"/>
    </row>
    <row r="6850" spans="15:15" x14ac:dyDescent="0.25">
      <c r="O6850" s="21"/>
    </row>
    <row r="6851" spans="15:15" x14ac:dyDescent="0.25">
      <c r="O6851" s="21"/>
    </row>
    <row r="6852" spans="15:15" x14ac:dyDescent="0.25">
      <c r="O6852" s="21"/>
    </row>
    <row r="6853" spans="15:15" x14ac:dyDescent="0.25">
      <c r="O6853" s="21"/>
    </row>
    <row r="6854" spans="15:15" x14ac:dyDescent="0.25">
      <c r="O6854" s="21"/>
    </row>
    <row r="6855" spans="15:15" x14ac:dyDescent="0.25">
      <c r="O6855" s="21"/>
    </row>
    <row r="6856" spans="15:15" x14ac:dyDescent="0.25">
      <c r="O6856" s="21"/>
    </row>
    <row r="6857" spans="15:15" x14ac:dyDescent="0.25">
      <c r="O6857" s="21"/>
    </row>
    <row r="6858" spans="15:15" x14ac:dyDescent="0.25">
      <c r="O6858" s="21"/>
    </row>
    <row r="6859" spans="15:15" x14ac:dyDescent="0.25">
      <c r="O6859" s="21"/>
    </row>
    <row r="6860" spans="15:15" x14ac:dyDescent="0.25">
      <c r="O6860" s="21"/>
    </row>
    <row r="6861" spans="15:15" x14ac:dyDescent="0.25">
      <c r="O6861" s="21"/>
    </row>
    <row r="6862" spans="15:15" x14ac:dyDescent="0.25">
      <c r="O6862" s="21"/>
    </row>
    <row r="6863" spans="15:15" x14ac:dyDescent="0.25">
      <c r="O6863" s="21"/>
    </row>
    <row r="6864" spans="15:15" x14ac:dyDescent="0.25">
      <c r="O6864" s="21"/>
    </row>
    <row r="6865" spans="15:15" x14ac:dyDescent="0.25">
      <c r="O6865" s="21"/>
    </row>
    <row r="6866" spans="15:15" x14ac:dyDescent="0.25">
      <c r="O6866" s="21"/>
    </row>
    <row r="6867" spans="15:15" x14ac:dyDescent="0.25">
      <c r="O6867" s="21"/>
    </row>
    <row r="6868" spans="15:15" x14ac:dyDescent="0.25">
      <c r="O6868" s="21"/>
    </row>
    <row r="6869" spans="15:15" x14ac:dyDescent="0.25">
      <c r="O6869" s="21"/>
    </row>
    <row r="6870" spans="15:15" x14ac:dyDescent="0.25">
      <c r="O6870" s="21"/>
    </row>
    <row r="6871" spans="15:15" x14ac:dyDescent="0.25">
      <c r="O6871" s="21"/>
    </row>
    <row r="6872" spans="15:15" x14ac:dyDescent="0.25">
      <c r="O6872" s="21"/>
    </row>
    <row r="6873" spans="15:15" x14ac:dyDescent="0.25">
      <c r="O6873" s="21"/>
    </row>
    <row r="6874" spans="15:15" x14ac:dyDescent="0.25">
      <c r="O6874" s="21"/>
    </row>
    <row r="6875" spans="15:15" x14ac:dyDescent="0.25">
      <c r="O6875" s="21"/>
    </row>
    <row r="6876" spans="15:15" x14ac:dyDescent="0.25">
      <c r="O6876" s="21"/>
    </row>
    <row r="6877" spans="15:15" x14ac:dyDescent="0.25">
      <c r="O6877" s="21"/>
    </row>
    <row r="6878" spans="15:15" x14ac:dyDescent="0.25">
      <c r="O6878" s="21"/>
    </row>
    <row r="6879" spans="15:15" x14ac:dyDescent="0.25">
      <c r="O6879" s="21"/>
    </row>
    <row r="6880" spans="15:15" x14ac:dyDescent="0.25">
      <c r="O6880" s="21"/>
    </row>
    <row r="6881" spans="15:15" x14ac:dyDescent="0.25">
      <c r="O6881" s="21"/>
    </row>
    <row r="6882" spans="15:15" x14ac:dyDescent="0.25">
      <c r="O6882" s="21"/>
    </row>
    <row r="6883" spans="15:15" x14ac:dyDescent="0.25">
      <c r="O6883" s="21"/>
    </row>
    <row r="6884" spans="15:15" x14ac:dyDescent="0.25">
      <c r="O6884" s="21"/>
    </row>
    <row r="6885" spans="15:15" x14ac:dyDescent="0.25">
      <c r="O6885" s="21"/>
    </row>
    <row r="6886" spans="15:15" x14ac:dyDescent="0.25">
      <c r="O6886" s="21"/>
    </row>
    <row r="6887" spans="15:15" x14ac:dyDescent="0.25">
      <c r="O6887" s="21"/>
    </row>
    <row r="6888" spans="15:15" x14ac:dyDescent="0.25">
      <c r="O6888" s="21"/>
    </row>
    <row r="6889" spans="15:15" x14ac:dyDescent="0.25">
      <c r="O6889" s="21"/>
    </row>
    <row r="6890" spans="15:15" x14ac:dyDescent="0.25">
      <c r="O6890" s="21"/>
    </row>
    <row r="6891" spans="15:15" x14ac:dyDescent="0.25">
      <c r="O6891" s="21"/>
    </row>
    <row r="6892" spans="15:15" x14ac:dyDescent="0.25">
      <c r="O6892" s="21"/>
    </row>
    <row r="6893" spans="15:15" x14ac:dyDescent="0.25">
      <c r="O6893" s="21"/>
    </row>
    <row r="6894" spans="15:15" x14ac:dyDescent="0.25">
      <c r="O6894" s="21"/>
    </row>
    <row r="6895" spans="15:15" x14ac:dyDescent="0.25">
      <c r="O6895" s="21"/>
    </row>
    <row r="6896" spans="15:15" x14ac:dyDescent="0.25">
      <c r="O6896" s="21"/>
    </row>
    <row r="6897" spans="15:15" x14ac:dyDescent="0.25">
      <c r="O6897" s="21"/>
    </row>
    <row r="6898" spans="15:15" x14ac:dyDescent="0.25">
      <c r="O6898" s="21"/>
    </row>
    <row r="6899" spans="15:15" x14ac:dyDescent="0.25">
      <c r="O6899" s="21"/>
    </row>
    <row r="6900" spans="15:15" x14ac:dyDescent="0.25">
      <c r="O6900" s="21"/>
    </row>
    <row r="6901" spans="15:15" x14ac:dyDescent="0.25">
      <c r="O6901" s="21"/>
    </row>
    <row r="6902" spans="15:15" x14ac:dyDescent="0.25">
      <c r="O6902" s="21"/>
    </row>
    <row r="6903" spans="15:15" x14ac:dyDescent="0.25">
      <c r="O6903" s="21"/>
    </row>
    <row r="6904" spans="15:15" x14ac:dyDescent="0.25">
      <c r="O6904" s="21"/>
    </row>
    <row r="6905" spans="15:15" x14ac:dyDescent="0.25">
      <c r="O6905" s="21"/>
    </row>
    <row r="6906" spans="15:15" x14ac:dyDescent="0.25">
      <c r="O6906" s="21"/>
    </row>
    <row r="6907" spans="15:15" x14ac:dyDescent="0.25">
      <c r="O6907" s="21"/>
    </row>
    <row r="6908" spans="15:15" x14ac:dyDescent="0.25">
      <c r="O6908" s="21"/>
    </row>
    <row r="6909" spans="15:15" x14ac:dyDescent="0.25">
      <c r="O6909" s="21"/>
    </row>
    <row r="6910" spans="15:15" x14ac:dyDescent="0.25">
      <c r="O6910" s="21"/>
    </row>
    <row r="6911" spans="15:15" x14ac:dyDescent="0.25">
      <c r="O6911" s="21"/>
    </row>
    <row r="6912" spans="15:15" x14ac:dyDescent="0.25">
      <c r="O6912" s="21"/>
    </row>
    <row r="6913" spans="15:15" x14ac:dyDescent="0.25">
      <c r="O6913" s="21"/>
    </row>
    <row r="6914" spans="15:15" x14ac:dyDescent="0.25">
      <c r="O6914" s="21"/>
    </row>
    <row r="6915" spans="15:15" x14ac:dyDescent="0.25">
      <c r="O6915" s="21"/>
    </row>
    <row r="6916" spans="15:15" x14ac:dyDescent="0.25">
      <c r="O6916" s="21"/>
    </row>
    <row r="6917" spans="15:15" x14ac:dyDescent="0.25">
      <c r="O6917" s="21"/>
    </row>
    <row r="6918" spans="15:15" x14ac:dyDescent="0.25">
      <c r="O6918" s="21"/>
    </row>
    <row r="6919" spans="15:15" x14ac:dyDescent="0.25">
      <c r="O6919" s="21"/>
    </row>
    <row r="6920" spans="15:15" x14ac:dyDescent="0.25">
      <c r="O6920" s="21"/>
    </row>
    <row r="6921" spans="15:15" x14ac:dyDescent="0.25">
      <c r="O6921" s="21"/>
    </row>
    <row r="6922" spans="15:15" x14ac:dyDescent="0.25">
      <c r="O6922" s="21"/>
    </row>
    <row r="6923" spans="15:15" x14ac:dyDescent="0.25">
      <c r="O6923" s="21"/>
    </row>
    <row r="6924" spans="15:15" x14ac:dyDescent="0.25">
      <c r="O6924" s="21"/>
    </row>
    <row r="6925" spans="15:15" x14ac:dyDescent="0.25">
      <c r="O6925" s="21"/>
    </row>
    <row r="6926" spans="15:15" x14ac:dyDescent="0.25">
      <c r="O6926" s="21"/>
    </row>
    <row r="6927" spans="15:15" x14ac:dyDescent="0.25">
      <c r="O6927" s="21"/>
    </row>
    <row r="6928" spans="15:15" x14ac:dyDescent="0.25">
      <c r="O6928" s="21"/>
    </row>
    <row r="6929" spans="15:15" x14ac:dyDescent="0.25">
      <c r="O6929" s="21"/>
    </row>
    <row r="6930" spans="15:15" x14ac:dyDescent="0.25">
      <c r="O6930" s="21"/>
    </row>
    <row r="6931" spans="15:15" x14ac:dyDescent="0.25">
      <c r="O6931" s="21"/>
    </row>
    <row r="6932" spans="15:15" x14ac:dyDescent="0.25">
      <c r="O6932" s="21"/>
    </row>
    <row r="6933" spans="15:15" x14ac:dyDescent="0.25">
      <c r="O6933" s="21"/>
    </row>
    <row r="6934" spans="15:15" x14ac:dyDescent="0.25">
      <c r="O6934" s="21"/>
    </row>
    <row r="6935" spans="15:15" x14ac:dyDescent="0.25">
      <c r="O6935" s="21"/>
    </row>
    <row r="6936" spans="15:15" x14ac:dyDescent="0.25">
      <c r="O6936" s="21"/>
    </row>
    <row r="6937" spans="15:15" x14ac:dyDescent="0.25">
      <c r="O6937" s="21"/>
    </row>
    <row r="6938" spans="15:15" x14ac:dyDescent="0.25">
      <c r="O6938" s="21"/>
    </row>
    <row r="6939" spans="15:15" x14ac:dyDescent="0.25">
      <c r="O6939" s="21"/>
    </row>
    <row r="6940" spans="15:15" x14ac:dyDescent="0.25">
      <c r="O6940" s="21"/>
    </row>
    <row r="6941" spans="15:15" x14ac:dyDescent="0.25">
      <c r="O6941" s="21"/>
    </row>
    <row r="6942" spans="15:15" x14ac:dyDescent="0.25">
      <c r="O6942" s="21"/>
    </row>
    <row r="6943" spans="15:15" x14ac:dyDescent="0.25">
      <c r="O6943" s="21"/>
    </row>
    <row r="6944" spans="15:15" x14ac:dyDescent="0.25">
      <c r="O6944" s="21"/>
    </row>
    <row r="6945" spans="15:15" x14ac:dyDescent="0.25">
      <c r="O6945" s="21"/>
    </row>
    <row r="6946" spans="15:15" x14ac:dyDescent="0.25">
      <c r="O6946" s="21"/>
    </row>
    <row r="6947" spans="15:15" x14ac:dyDescent="0.25">
      <c r="O6947" s="21"/>
    </row>
    <row r="6948" spans="15:15" x14ac:dyDescent="0.25">
      <c r="O6948" s="21"/>
    </row>
    <row r="6949" spans="15:15" x14ac:dyDescent="0.25">
      <c r="O6949" s="21"/>
    </row>
    <row r="6950" spans="15:15" x14ac:dyDescent="0.25">
      <c r="O6950" s="21"/>
    </row>
    <row r="6951" spans="15:15" x14ac:dyDescent="0.25">
      <c r="O6951" s="21"/>
    </row>
    <row r="6952" spans="15:15" x14ac:dyDescent="0.25">
      <c r="O6952" s="21"/>
    </row>
    <row r="6953" spans="15:15" x14ac:dyDescent="0.25">
      <c r="O6953" s="21"/>
    </row>
    <row r="6954" spans="15:15" x14ac:dyDescent="0.25">
      <c r="O6954" s="21"/>
    </row>
    <row r="6955" spans="15:15" x14ac:dyDescent="0.25">
      <c r="O6955" s="21"/>
    </row>
    <row r="6956" spans="15:15" x14ac:dyDescent="0.25">
      <c r="O6956" s="21"/>
    </row>
    <row r="6957" spans="15:15" x14ac:dyDescent="0.25">
      <c r="O6957" s="21"/>
    </row>
    <row r="6958" spans="15:15" x14ac:dyDescent="0.25">
      <c r="O6958" s="21"/>
    </row>
    <row r="6959" spans="15:15" x14ac:dyDescent="0.25">
      <c r="O6959" s="21"/>
    </row>
    <row r="6960" spans="15:15" x14ac:dyDescent="0.25">
      <c r="O6960" s="21"/>
    </row>
    <row r="6961" spans="15:15" x14ac:dyDescent="0.25">
      <c r="O6961" s="21"/>
    </row>
    <row r="6962" spans="15:15" x14ac:dyDescent="0.25">
      <c r="O6962" s="21"/>
    </row>
    <row r="6963" spans="15:15" x14ac:dyDescent="0.25">
      <c r="O6963" s="21"/>
    </row>
    <row r="6964" spans="15:15" x14ac:dyDescent="0.25">
      <c r="O6964" s="21"/>
    </row>
    <row r="6965" spans="15:15" x14ac:dyDescent="0.25">
      <c r="O6965" s="21"/>
    </row>
    <row r="6966" spans="15:15" x14ac:dyDescent="0.25">
      <c r="O6966" s="21"/>
    </row>
    <row r="6967" spans="15:15" x14ac:dyDescent="0.25">
      <c r="O6967" s="21"/>
    </row>
    <row r="6968" spans="15:15" x14ac:dyDescent="0.25">
      <c r="O6968" s="21"/>
    </row>
    <row r="6969" spans="15:15" x14ac:dyDescent="0.25">
      <c r="O6969" s="21"/>
    </row>
    <row r="6970" spans="15:15" x14ac:dyDescent="0.25">
      <c r="O6970" s="21"/>
    </row>
    <row r="6971" spans="15:15" x14ac:dyDescent="0.25">
      <c r="O6971" s="21"/>
    </row>
    <row r="6972" spans="15:15" x14ac:dyDescent="0.25">
      <c r="O6972" s="21"/>
    </row>
    <row r="6973" spans="15:15" x14ac:dyDescent="0.25">
      <c r="O6973" s="21"/>
    </row>
    <row r="6974" spans="15:15" x14ac:dyDescent="0.25">
      <c r="O6974" s="21"/>
    </row>
    <row r="6975" spans="15:15" x14ac:dyDescent="0.25">
      <c r="O6975" s="21"/>
    </row>
    <row r="6976" spans="15:15" x14ac:dyDescent="0.25">
      <c r="O6976" s="21"/>
    </row>
    <row r="6977" spans="15:15" x14ac:dyDescent="0.25">
      <c r="O6977" s="21"/>
    </row>
    <row r="6978" spans="15:15" x14ac:dyDescent="0.25">
      <c r="O6978" s="21"/>
    </row>
    <row r="6979" spans="15:15" x14ac:dyDescent="0.25">
      <c r="O6979" s="21"/>
    </row>
    <row r="6980" spans="15:15" x14ac:dyDescent="0.25">
      <c r="O6980" s="21"/>
    </row>
    <row r="6981" spans="15:15" x14ac:dyDescent="0.25">
      <c r="O6981" s="21"/>
    </row>
    <row r="6982" spans="15:15" x14ac:dyDescent="0.25">
      <c r="O6982" s="21"/>
    </row>
    <row r="6983" spans="15:15" x14ac:dyDescent="0.25">
      <c r="O6983" s="21"/>
    </row>
    <row r="6984" spans="15:15" x14ac:dyDescent="0.25">
      <c r="O6984" s="21"/>
    </row>
    <row r="6985" spans="15:15" x14ac:dyDescent="0.25">
      <c r="O6985" s="21"/>
    </row>
    <row r="6986" spans="15:15" x14ac:dyDescent="0.25">
      <c r="O6986" s="21"/>
    </row>
    <row r="6987" spans="15:15" x14ac:dyDescent="0.25">
      <c r="O6987" s="21"/>
    </row>
    <row r="6988" spans="15:15" x14ac:dyDescent="0.25">
      <c r="O6988" s="21"/>
    </row>
    <row r="6989" spans="15:15" x14ac:dyDescent="0.25">
      <c r="O6989" s="21"/>
    </row>
    <row r="6990" spans="15:15" x14ac:dyDescent="0.25">
      <c r="O6990" s="21"/>
    </row>
    <row r="6991" spans="15:15" x14ac:dyDescent="0.25">
      <c r="O6991" s="21"/>
    </row>
    <row r="6992" spans="15:15" x14ac:dyDescent="0.25">
      <c r="O6992" s="21"/>
    </row>
    <row r="6993" spans="15:15" x14ac:dyDescent="0.25">
      <c r="O6993" s="21"/>
    </row>
    <row r="6994" spans="15:15" x14ac:dyDescent="0.25">
      <c r="O6994" s="21"/>
    </row>
    <row r="6995" spans="15:15" x14ac:dyDescent="0.25">
      <c r="O6995" s="21"/>
    </row>
    <row r="6996" spans="15:15" x14ac:dyDescent="0.25">
      <c r="O6996" s="21"/>
    </row>
    <row r="6997" spans="15:15" x14ac:dyDescent="0.25">
      <c r="O6997" s="21"/>
    </row>
    <row r="6998" spans="15:15" x14ac:dyDescent="0.25">
      <c r="O6998" s="21"/>
    </row>
    <row r="6999" spans="15:15" x14ac:dyDescent="0.25">
      <c r="O6999" s="21"/>
    </row>
    <row r="7000" spans="15:15" x14ac:dyDescent="0.25">
      <c r="O7000" s="21"/>
    </row>
    <row r="7001" spans="15:15" x14ac:dyDescent="0.25">
      <c r="O7001" s="21"/>
    </row>
    <row r="7002" spans="15:15" x14ac:dyDescent="0.25">
      <c r="O7002" s="21"/>
    </row>
    <row r="7003" spans="15:15" x14ac:dyDescent="0.25">
      <c r="O7003" s="21"/>
    </row>
    <row r="7004" spans="15:15" x14ac:dyDescent="0.25">
      <c r="O7004" s="21"/>
    </row>
    <row r="7005" spans="15:15" x14ac:dyDescent="0.25">
      <c r="O7005" s="21"/>
    </row>
    <row r="7006" spans="15:15" x14ac:dyDescent="0.25">
      <c r="O7006" s="21"/>
    </row>
    <row r="7007" spans="15:15" x14ac:dyDescent="0.25">
      <c r="O7007" s="21"/>
    </row>
    <row r="7008" spans="15:15" x14ac:dyDescent="0.25">
      <c r="O7008" s="21"/>
    </row>
    <row r="7009" spans="15:15" x14ac:dyDescent="0.25">
      <c r="O7009" s="21"/>
    </row>
    <row r="7010" spans="15:15" x14ac:dyDescent="0.25">
      <c r="O7010" s="21"/>
    </row>
    <row r="7011" spans="15:15" x14ac:dyDescent="0.25">
      <c r="O7011" s="21"/>
    </row>
    <row r="7012" spans="15:15" x14ac:dyDescent="0.25">
      <c r="O7012" s="21"/>
    </row>
    <row r="7013" spans="15:15" x14ac:dyDescent="0.25">
      <c r="O7013" s="21"/>
    </row>
    <row r="7014" spans="15:15" x14ac:dyDescent="0.25">
      <c r="O7014" s="21"/>
    </row>
    <row r="7015" spans="15:15" x14ac:dyDescent="0.25">
      <c r="O7015" s="21"/>
    </row>
    <row r="7016" spans="15:15" x14ac:dyDescent="0.25">
      <c r="O7016" s="21"/>
    </row>
    <row r="7017" spans="15:15" x14ac:dyDescent="0.25">
      <c r="O7017" s="21"/>
    </row>
    <row r="7018" spans="15:15" x14ac:dyDescent="0.25">
      <c r="O7018" s="21"/>
    </row>
    <row r="7019" spans="15:15" x14ac:dyDescent="0.25">
      <c r="O7019" s="21"/>
    </row>
    <row r="7020" spans="15:15" x14ac:dyDescent="0.25">
      <c r="O7020" s="21"/>
    </row>
    <row r="7021" spans="15:15" x14ac:dyDescent="0.25">
      <c r="O7021" s="21"/>
    </row>
    <row r="7022" spans="15:15" x14ac:dyDescent="0.25">
      <c r="O7022" s="21"/>
    </row>
    <row r="7023" spans="15:15" x14ac:dyDescent="0.25">
      <c r="O7023" s="21"/>
    </row>
    <row r="7024" spans="15:15" x14ac:dyDescent="0.25">
      <c r="O7024" s="21"/>
    </row>
    <row r="7025" spans="15:15" x14ac:dyDescent="0.25">
      <c r="O7025" s="21"/>
    </row>
    <row r="7026" spans="15:15" x14ac:dyDescent="0.25">
      <c r="O7026" s="21"/>
    </row>
    <row r="7027" spans="15:15" x14ac:dyDescent="0.25">
      <c r="O7027" s="21"/>
    </row>
    <row r="7028" spans="15:15" x14ac:dyDescent="0.25">
      <c r="O7028" s="21"/>
    </row>
    <row r="7029" spans="15:15" x14ac:dyDescent="0.25">
      <c r="O7029" s="21"/>
    </row>
    <row r="7030" spans="15:15" x14ac:dyDescent="0.25">
      <c r="O7030" s="21"/>
    </row>
    <row r="7031" spans="15:15" x14ac:dyDescent="0.25">
      <c r="O7031" s="21"/>
    </row>
    <row r="7032" spans="15:15" x14ac:dyDescent="0.25">
      <c r="O7032" s="21"/>
    </row>
    <row r="7033" spans="15:15" x14ac:dyDescent="0.25">
      <c r="O7033" s="21"/>
    </row>
    <row r="7034" spans="15:15" x14ac:dyDescent="0.25">
      <c r="O7034" s="21"/>
    </row>
    <row r="7035" spans="15:15" x14ac:dyDescent="0.25">
      <c r="O7035" s="21"/>
    </row>
    <row r="7036" spans="15:15" x14ac:dyDescent="0.25">
      <c r="O7036" s="21"/>
    </row>
    <row r="7037" spans="15:15" x14ac:dyDescent="0.25">
      <c r="O7037" s="21"/>
    </row>
    <row r="7038" spans="15:15" x14ac:dyDescent="0.25">
      <c r="O7038" s="21"/>
    </row>
    <row r="7039" spans="15:15" x14ac:dyDescent="0.25">
      <c r="O7039" s="21"/>
    </row>
    <row r="7040" spans="15:15" x14ac:dyDescent="0.25">
      <c r="O7040" s="21"/>
    </row>
    <row r="7041" spans="15:15" x14ac:dyDescent="0.25">
      <c r="O7041" s="21"/>
    </row>
    <row r="7042" spans="15:15" x14ac:dyDescent="0.25">
      <c r="O7042" s="21"/>
    </row>
    <row r="7043" spans="15:15" x14ac:dyDescent="0.25">
      <c r="O7043" s="21"/>
    </row>
    <row r="7044" spans="15:15" x14ac:dyDescent="0.25">
      <c r="O7044" s="21"/>
    </row>
    <row r="7045" spans="15:15" x14ac:dyDescent="0.25">
      <c r="O7045" s="21"/>
    </row>
    <row r="7046" spans="15:15" x14ac:dyDescent="0.25">
      <c r="O7046" s="21"/>
    </row>
    <row r="7047" spans="15:15" x14ac:dyDescent="0.25">
      <c r="O7047" s="21"/>
    </row>
    <row r="7048" spans="15:15" x14ac:dyDescent="0.25">
      <c r="O7048" s="21"/>
    </row>
    <row r="7049" spans="15:15" x14ac:dyDescent="0.25">
      <c r="O7049" s="21"/>
    </row>
    <row r="7050" spans="15:15" x14ac:dyDescent="0.25">
      <c r="O7050" s="21"/>
    </row>
    <row r="7051" spans="15:15" x14ac:dyDescent="0.25">
      <c r="O7051" s="21"/>
    </row>
    <row r="7052" spans="15:15" x14ac:dyDescent="0.25">
      <c r="O7052" s="21"/>
    </row>
    <row r="7053" spans="15:15" x14ac:dyDescent="0.25">
      <c r="O7053" s="21"/>
    </row>
    <row r="7054" spans="15:15" x14ac:dyDescent="0.25">
      <c r="O7054" s="21"/>
    </row>
    <row r="7055" spans="15:15" x14ac:dyDescent="0.25">
      <c r="O7055" s="21"/>
    </row>
    <row r="7056" spans="15:15" x14ac:dyDescent="0.25">
      <c r="O7056" s="21"/>
    </row>
    <row r="7057" spans="15:15" x14ac:dyDescent="0.25">
      <c r="O7057" s="21"/>
    </row>
    <row r="7058" spans="15:15" x14ac:dyDescent="0.25">
      <c r="O7058" s="21"/>
    </row>
    <row r="7059" spans="15:15" x14ac:dyDescent="0.25">
      <c r="O7059" s="21"/>
    </row>
    <row r="7060" spans="15:15" x14ac:dyDescent="0.25">
      <c r="O7060" s="21"/>
    </row>
    <row r="7061" spans="15:15" x14ac:dyDescent="0.25">
      <c r="O7061" s="21"/>
    </row>
    <row r="7062" spans="15:15" x14ac:dyDescent="0.25">
      <c r="O7062" s="21"/>
    </row>
    <row r="7063" spans="15:15" x14ac:dyDescent="0.25">
      <c r="O7063" s="21"/>
    </row>
    <row r="7064" spans="15:15" x14ac:dyDescent="0.25">
      <c r="O7064" s="21"/>
    </row>
    <row r="7065" spans="15:15" x14ac:dyDescent="0.25">
      <c r="O7065" s="21"/>
    </row>
    <row r="7066" spans="15:15" x14ac:dyDescent="0.25">
      <c r="O7066" s="21"/>
    </row>
    <row r="7067" spans="15:15" x14ac:dyDescent="0.25">
      <c r="O7067" s="21"/>
    </row>
    <row r="7068" spans="15:15" x14ac:dyDescent="0.25">
      <c r="O7068" s="21"/>
    </row>
    <row r="7069" spans="15:15" x14ac:dyDescent="0.25">
      <c r="O7069" s="21"/>
    </row>
    <row r="7070" spans="15:15" x14ac:dyDescent="0.25">
      <c r="O7070" s="21"/>
    </row>
    <row r="7071" spans="15:15" x14ac:dyDescent="0.25">
      <c r="O7071" s="21"/>
    </row>
    <row r="7072" spans="15:15" x14ac:dyDescent="0.25">
      <c r="O7072" s="21"/>
    </row>
    <row r="7073" spans="15:15" x14ac:dyDescent="0.25">
      <c r="O7073" s="21"/>
    </row>
    <row r="7074" spans="15:15" x14ac:dyDescent="0.25">
      <c r="O7074" s="21"/>
    </row>
    <row r="7075" spans="15:15" x14ac:dyDescent="0.25">
      <c r="O7075" s="21"/>
    </row>
    <row r="7076" spans="15:15" x14ac:dyDescent="0.25">
      <c r="O7076" s="21"/>
    </row>
    <row r="7077" spans="15:15" x14ac:dyDescent="0.25">
      <c r="O7077" s="21"/>
    </row>
    <row r="7078" spans="15:15" x14ac:dyDescent="0.25">
      <c r="O7078" s="21"/>
    </row>
    <row r="7079" spans="15:15" x14ac:dyDescent="0.25">
      <c r="O7079" s="21"/>
    </row>
    <row r="7080" spans="15:15" x14ac:dyDescent="0.25">
      <c r="O7080" s="21"/>
    </row>
    <row r="7081" spans="15:15" x14ac:dyDescent="0.25">
      <c r="O7081" s="21"/>
    </row>
    <row r="7082" spans="15:15" x14ac:dyDescent="0.25">
      <c r="O7082" s="21"/>
    </row>
    <row r="7083" spans="15:15" x14ac:dyDescent="0.25">
      <c r="O7083" s="21"/>
    </row>
    <row r="7084" spans="15:15" x14ac:dyDescent="0.25">
      <c r="O7084" s="21"/>
    </row>
    <row r="7085" spans="15:15" x14ac:dyDescent="0.25">
      <c r="O7085" s="21"/>
    </row>
    <row r="7086" spans="15:15" x14ac:dyDescent="0.25">
      <c r="O7086" s="21"/>
    </row>
    <row r="7087" spans="15:15" x14ac:dyDescent="0.25">
      <c r="O7087" s="21"/>
    </row>
    <row r="7088" spans="15:15" x14ac:dyDescent="0.25">
      <c r="O7088" s="21"/>
    </row>
    <row r="7089" spans="15:15" x14ac:dyDescent="0.25">
      <c r="O7089" s="21"/>
    </row>
    <row r="7090" spans="15:15" x14ac:dyDescent="0.25">
      <c r="O7090" s="21"/>
    </row>
    <row r="7091" spans="15:15" x14ac:dyDescent="0.25">
      <c r="O7091" s="21"/>
    </row>
    <row r="7092" spans="15:15" x14ac:dyDescent="0.25">
      <c r="O7092" s="21"/>
    </row>
    <row r="7093" spans="15:15" x14ac:dyDescent="0.25">
      <c r="O7093" s="21"/>
    </row>
    <row r="7094" spans="15:15" x14ac:dyDescent="0.25">
      <c r="O7094" s="21"/>
    </row>
    <row r="7095" spans="15:15" x14ac:dyDescent="0.25">
      <c r="O7095" s="21"/>
    </row>
    <row r="7096" spans="15:15" x14ac:dyDescent="0.25">
      <c r="O7096" s="21"/>
    </row>
    <row r="7097" spans="15:15" x14ac:dyDescent="0.25">
      <c r="O7097" s="21"/>
    </row>
    <row r="7098" spans="15:15" x14ac:dyDescent="0.25">
      <c r="O7098" s="21"/>
    </row>
    <row r="7099" spans="15:15" x14ac:dyDescent="0.25">
      <c r="O7099" s="21"/>
    </row>
    <row r="7100" spans="15:15" x14ac:dyDescent="0.25">
      <c r="O7100" s="21"/>
    </row>
    <row r="7101" spans="15:15" x14ac:dyDescent="0.25">
      <c r="O7101" s="21"/>
    </row>
    <row r="7102" spans="15:15" x14ac:dyDescent="0.25">
      <c r="O7102" s="21"/>
    </row>
    <row r="7103" spans="15:15" x14ac:dyDescent="0.25">
      <c r="O7103" s="21"/>
    </row>
    <row r="7104" spans="15:15" x14ac:dyDescent="0.25">
      <c r="O7104" s="21"/>
    </row>
    <row r="7105" spans="15:15" x14ac:dyDescent="0.25">
      <c r="O7105" s="21"/>
    </row>
    <row r="7106" spans="15:15" x14ac:dyDescent="0.25">
      <c r="O7106" s="21"/>
    </row>
    <row r="7107" spans="15:15" x14ac:dyDescent="0.25">
      <c r="O7107" s="21"/>
    </row>
    <row r="7108" spans="15:15" x14ac:dyDescent="0.25">
      <c r="O7108" s="21"/>
    </row>
    <row r="7109" spans="15:15" x14ac:dyDescent="0.25">
      <c r="O7109" s="21"/>
    </row>
    <row r="7110" spans="15:15" x14ac:dyDescent="0.25">
      <c r="O7110" s="21"/>
    </row>
    <row r="7111" spans="15:15" x14ac:dyDescent="0.25">
      <c r="O7111" s="21"/>
    </row>
    <row r="7112" spans="15:15" x14ac:dyDescent="0.25">
      <c r="O7112" s="21"/>
    </row>
    <row r="7113" spans="15:15" x14ac:dyDescent="0.25">
      <c r="O7113" s="21"/>
    </row>
    <row r="7114" spans="15:15" x14ac:dyDescent="0.25">
      <c r="O7114" s="21"/>
    </row>
    <row r="7115" spans="15:15" x14ac:dyDescent="0.25">
      <c r="O7115" s="21"/>
    </row>
    <row r="7116" spans="15:15" x14ac:dyDescent="0.25">
      <c r="O7116" s="21"/>
    </row>
    <row r="7117" spans="15:15" x14ac:dyDescent="0.25">
      <c r="O7117" s="21"/>
    </row>
    <row r="7118" spans="15:15" x14ac:dyDescent="0.25">
      <c r="O7118" s="21"/>
    </row>
    <row r="7119" spans="15:15" x14ac:dyDescent="0.25">
      <c r="O7119" s="21"/>
    </row>
    <row r="7120" spans="15:15" x14ac:dyDescent="0.25">
      <c r="O7120" s="21"/>
    </row>
    <row r="7121" spans="15:15" x14ac:dyDescent="0.25">
      <c r="O7121" s="21"/>
    </row>
    <row r="7122" spans="15:15" x14ac:dyDescent="0.25">
      <c r="O7122" s="21"/>
    </row>
    <row r="7123" spans="15:15" x14ac:dyDescent="0.25">
      <c r="O7123" s="21"/>
    </row>
    <row r="7124" spans="15:15" x14ac:dyDescent="0.25">
      <c r="O7124" s="21"/>
    </row>
    <row r="7125" spans="15:15" x14ac:dyDescent="0.25">
      <c r="O7125" s="21"/>
    </row>
    <row r="7126" spans="15:15" x14ac:dyDescent="0.25">
      <c r="O7126" s="21"/>
    </row>
    <row r="7127" spans="15:15" x14ac:dyDescent="0.25">
      <c r="O7127" s="21"/>
    </row>
    <row r="7128" spans="15:15" x14ac:dyDescent="0.25">
      <c r="O7128" s="21"/>
    </row>
    <row r="7129" spans="15:15" x14ac:dyDescent="0.25">
      <c r="O7129" s="21"/>
    </row>
    <row r="7130" spans="15:15" x14ac:dyDescent="0.25">
      <c r="O7130" s="21"/>
    </row>
    <row r="7131" spans="15:15" x14ac:dyDescent="0.25">
      <c r="O7131" s="21"/>
    </row>
    <row r="7132" spans="15:15" x14ac:dyDescent="0.25">
      <c r="O7132" s="21"/>
    </row>
    <row r="7133" spans="15:15" x14ac:dyDescent="0.25">
      <c r="O7133" s="21"/>
    </row>
    <row r="7134" spans="15:15" x14ac:dyDescent="0.25">
      <c r="O7134" s="21"/>
    </row>
    <row r="7135" spans="15:15" x14ac:dyDescent="0.25">
      <c r="O7135" s="21"/>
    </row>
    <row r="7136" spans="15:15" x14ac:dyDescent="0.25">
      <c r="O7136" s="21"/>
    </row>
    <row r="7137" spans="15:15" x14ac:dyDescent="0.25">
      <c r="O7137" s="21"/>
    </row>
    <row r="7138" spans="15:15" x14ac:dyDescent="0.25">
      <c r="O7138" s="21"/>
    </row>
    <row r="7139" spans="15:15" x14ac:dyDescent="0.25">
      <c r="O7139" s="21"/>
    </row>
    <row r="7140" spans="15:15" x14ac:dyDescent="0.25">
      <c r="O7140" s="21"/>
    </row>
    <row r="7141" spans="15:15" x14ac:dyDescent="0.25">
      <c r="O7141" s="21"/>
    </row>
    <row r="7142" spans="15:15" x14ac:dyDescent="0.25">
      <c r="O7142" s="21"/>
    </row>
    <row r="7143" spans="15:15" x14ac:dyDescent="0.25">
      <c r="O7143" s="21"/>
    </row>
    <row r="7144" spans="15:15" x14ac:dyDescent="0.25">
      <c r="O7144" s="21"/>
    </row>
    <row r="7145" spans="15:15" x14ac:dyDescent="0.25">
      <c r="O7145" s="21"/>
    </row>
    <row r="7146" spans="15:15" x14ac:dyDescent="0.25">
      <c r="O7146" s="21"/>
    </row>
    <row r="7147" spans="15:15" x14ac:dyDescent="0.25">
      <c r="O7147" s="21"/>
    </row>
    <row r="7148" spans="15:15" x14ac:dyDescent="0.25">
      <c r="O7148" s="21"/>
    </row>
    <row r="7149" spans="15:15" x14ac:dyDescent="0.25">
      <c r="O7149" s="21"/>
    </row>
    <row r="7150" spans="15:15" x14ac:dyDescent="0.25">
      <c r="O7150" s="21"/>
    </row>
    <row r="7151" spans="15:15" x14ac:dyDescent="0.25">
      <c r="O7151" s="21"/>
    </row>
    <row r="7152" spans="15:15" x14ac:dyDescent="0.25">
      <c r="O7152" s="21"/>
    </row>
    <row r="7153" spans="15:15" x14ac:dyDescent="0.25">
      <c r="O7153" s="21"/>
    </row>
    <row r="7154" spans="15:15" x14ac:dyDescent="0.25">
      <c r="O7154" s="21"/>
    </row>
    <row r="7155" spans="15:15" x14ac:dyDescent="0.25">
      <c r="O7155" s="21"/>
    </row>
    <row r="7156" spans="15:15" x14ac:dyDescent="0.25">
      <c r="O7156" s="21"/>
    </row>
    <row r="7157" spans="15:15" x14ac:dyDescent="0.25">
      <c r="O7157" s="21"/>
    </row>
    <row r="7158" spans="15:15" x14ac:dyDescent="0.25">
      <c r="O7158" s="21"/>
    </row>
    <row r="7159" spans="15:15" x14ac:dyDescent="0.25">
      <c r="O7159" s="21"/>
    </row>
    <row r="7160" spans="15:15" x14ac:dyDescent="0.25">
      <c r="O7160" s="21"/>
    </row>
    <row r="7161" spans="15:15" x14ac:dyDescent="0.25">
      <c r="O7161" s="21"/>
    </row>
    <row r="7162" spans="15:15" x14ac:dyDescent="0.25">
      <c r="O7162" s="21"/>
    </row>
    <row r="7163" spans="15:15" x14ac:dyDescent="0.25">
      <c r="O7163" s="21"/>
    </row>
    <row r="7164" spans="15:15" x14ac:dyDescent="0.25">
      <c r="O7164" s="21"/>
    </row>
    <row r="7165" spans="15:15" x14ac:dyDescent="0.25">
      <c r="O7165" s="21"/>
    </row>
    <row r="7166" spans="15:15" x14ac:dyDescent="0.25">
      <c r="O7166" s="21"/>
    </row>
    <row r="7167" spans="15:15" x14ac:dyDescent="0.25">
      <c r="O7167" s="21"/>
    </row>
    <row r="7168" spans="15:15" x14ac:dyDescent="0.25">
      <c r="O7168" s="21"/>
    </row>
    <row r="7169" spans="15:15" x14ac:dyDescent="0.25">
      <c r="O7169" s="21"/>
    </row>
    <row r="7170" spans="15:15" x14ac:dyDescent="0.25">
      <c r="O7170" s="21"/>
    </row>
    <row r="7171" spans="15:15" x14ac:dyDescent="0.25">
      <c r="O7171" s="21"/>
    </row>
    <row r="7172" spans="15:15" x14ac:dyDescent="0.25">
      <c r="O7172" s="21"/>
    </row>
    <row r="7173" spans="15:15" x14ac:dyDescent="0.25">
      <c r="O7173" s="21"/>
    </row>
    <row r="7174" spans="15:15" x14ac:dyDescent="0.25">
      <c r="O7174" s="21"/>
    </row>
    <row r="7175" spans="15:15" x14ac:dyDescent="0.25">
      <c r="O7175" s="21"/>
    </row>
    <row r="7176" spans="15:15" x14ac:dyDescent="0.25">
      <c r="O7176" s="21"/>
    </row>
    <row r="7177" spans="15:15" x14ac:dyDescent="0.25">
      <c r="O7177" s="21"/>
    </row>
    <row r="7178" spans="15:15" x14ac:dyDescent="0.25">
      <c r="O7178" s="21"/>
    </row>
    <row r="7179" spans="15:15" x14ac:dyDescent="0.25">
      <c r="O7179" s="21"/>
    </row>
    <row r="7180" spans="15:15" x14ac:dyDescent="0.25">
      <c r="O7180" s="21"/>
    </row>
    <row r="7181" spans="15:15" x14ac:dyDescent="0.25">
      <c r="O7181" s="21"/>
    </row>
    <row r="7182" spans="15:15" x14ac:dyDescent="0.25">
      <c r="O7182" s="21"/>
    </row>
    <row r="7183" spans="15:15" x14ac:dyDescent="0.25">
      <c r="O7183" s="21"/>
    </row>
    <row r="7184" spans="15:15" x14ac:dyDescent="0.25">
      <c r="O7184" s="21"/>
    </row>
    <row r="7185" spans="15:15" x14ac:dyDescent="0.25">
      <c r="O7185" s="21"/>
    </row>
    <row r="7186" spans="15:15" x14ac:dyDescent="0.25">
      <c r="O7186" s="21"/>
    </row>
    <row r="7187" spans="15:15" x14ac:dyDescent="0.25">
      <c r="O7187" s="21"/>
    </row>
    <row r="7188" spans="15:15" x14ac:dyDescent="0.25">
      <c r="O7188" s="21"/>
    </row>
    <row r="7189" spans="15:15" x14ac:dyDescent="0.25">
      <c r="O7189" s="21"/>
    </row>
    <row r="7190" spans="15:15" x14ac:dyDescent="0.25">
      <c r="O7190" s="21"/>
    </row>
    <row r="7191" spans="15:15" x14ac:dyDescent="0.25">
      <c r="O7191" s="21"/>
    </row>
    <row r="7192" spans="15:15" x14ac:dyDescent="0.25">
      <c r="O7192" s="21"/>
    </row>
    <row r="7193" spans="15:15" x14ac:dyDescent="0.25">
      <c r="O7193" s="21"/>
    </row>
    <row r="7194" spans="15:15" x14ac:dyDescent="0.25">
      <c r="O7194" s="21"/>
    </row>
    <row r="7195" spans="15:15" x14ac:dyDescent="0.25">
      <c r="O7195" s="21"/>
    </row>
    <row r="7196" spans="15:15" x14ac:dyDescent="0.25">
      <c r="O7196" s="21"/>
    </row>
    <row r="7197" spans="15:15" x14ac:dyDescent="0.25">
      <c r="O7197" s="21"/>
    </row>
    <row r="7198" spans="15:15" x14ac:dyDescent="0.25">
      <c r="O7198" s="21"/>
    </row>
    <row r="7199" spans="15:15" x14ac:dyDescent="0.25">
      <c r="O7199" s="21"/>
    </row>
    <row r="7200" spans="15:15" x14ac:dyDescent="0.25">
      <c r="O7200" s="21"/>
    </row>
    <row r="7201" spans="15:15" x14ac:dyDescent="0.25">
      <c r="O7201" s="21"/>
    </row>
    <row r="7202" spans="15:15" x14ac:dyDescent="0.25">
      <c r="O7202" s="21"/>
    </row>
    <row r="7203" spans="15:15" x14ac:dyDescent="0.25">
      <c r="O7203" s="21"/>
    </row>
    <row r="7204" spans="15:15" x14ac:dyDescent="0.25">
      <c r="O7204" s="21"/>
    </row>
    <row r="7205" spans="15:15" x14ac:dyDescent="0.25">
      <c r="O7205" s="21"/>
    </row>
    <row r="7206" spans="15:15" x14ac:dyDescent="0.25">
      <c r="O7206" s="21"/>
    </row>
    <row r="7207" spans="15:15" x14ac:dyDescent="0.25">
      <c r="O7207" s="21"/>
    </row>
    <row r="7208" spans="15:15" x14ac:dyDescent="0.25">
      <c r="O7208" s="21"/>
    </row>
    <row r="7209" spans="15:15" x14ac:dyDescent="0.25">
      <c r="O7209" s="21"/>
    </row>
    <row r="7210" spans="15:15" x14ac:dyDescent="0.25">
      <c r="O7210" s="21"/>
    </row>
    <row r="7211" spans="15:15" x14ac:dyDescent="0.25">
      <c r="O7211" s="21"/>
    </row>
    <row r="7212" spans="15:15" x14ac:dyDescent="0.25">
      <c r="O7212" s="21"/>
    </row>
    <row r="7213" spans="15:15" x14ac:dyDescent="0.25">
      <c r="O7213" s="21"/>
    </row>
    <row r="7214" spans="15:15" x14ac:dyDescent="0.25">
      <c r="O7214" s="21"/>
    </row>
    <row r="7215" spans="15:15" x14ac:dyDescent="0.25">
      <c r="O7215" s="21"/>
    </row>
    <row r="7216" spans="15:15" x14ac:dyDescent="0.25">
      <c r="O7216" s="21"/>
    </row>
    <row r="7217" spans="15:15" x14ac:dyDescent="0.25">
      <c r="O7217" s="21"/>
    </row>
    <row r="7218" spans="15:15" x14ac:dyDescent="0.25">
      <c r="O7218" s="21"/>
    </row>
    <row r="7219" spans="15:15" x14ac:dyDescent="0.25">
      <c r="O7219" s="21"/>
    </row>
    <row r="7220" spans="15:15" x14ac:dyDescent="0.25">
      <c r="O7220" s="21"/>
    </row>
    <row r="7221" spans="15:15" x14ac:dyDescent="0.25">
      <c r="O7221" s="21"/>
    </row>
    <row r="7222" spans="15:15" x14ac:dyDescent="0.25">
      <c r="O7222" s="21"/>
    </row>
    <row r="7223" spans="15:15" x14ac:dyDescent="0.25">
      <c r="O7223" s="21"/>
    </row>
    <row r="7224" spans="15:15" x14ac:dyDescent="0.25">
      <c r="O7224" s="21"/>
    </row>
    <row r="7225" spans="15:15" x14ac:dyDescent="0.25">
      <c r="O7225" s="21"/>
    </row>
    <row r="7226" spans="15:15" x14ac:dyDescent="0.25">
      <c r="O7226" s="21"/>
    </row>
    <row r="7227" spans="15:15" x14ac:dyDescent="0.25">
      <c r="O7227" s="21"/>
    </row>
    <row r="7228" spans="15:15" x14ac:dyDescent="0.25">
      <c r="O7228" s="21"/>
    </row>
    <row r="7229" spans="15:15" x14ac:dyDescent="0.25">
      <c r="O7229" s="21"/>
    </row>
    <row r="7230" spans="15:15" x14ac:dyDescent="0.25">
      <c r="O7230" s="21"/>
    </row>
    <row r="7231" spans="15:15" x14ac:dyDescent="0.25">
      <c r="O7231" s="21"/>
    </row>
    <row r="7232" spans="15:15" x14ac:dyDescent="0.25">
      <c r="O7232" s="21"/>
    </row>
    <row r="7233" spans="15:15" x14ac:dyDescent="0.25">
      <c r="O7233" s="21"/>
    </row>
    <row r="7234" spans="15:15" x14ac:dyDescent="0.25">
      <c r="O7234" s="21"/>
    </row>
    <row r="7235" spans="15:15" x14ac:dyDescent="0.25">
      <c r="O7235" s="21"/>
    </row>
    <row r="7236" spans="15:15" x14ac:dyDescent="0.25">
      <c r="O7236" s="21"/>
    </row>
    <row r="7237" spans="15:15" x14ac:dyDescent="0.25">
      <c r="O7237" s="21"/>
    </row>
    <row r="7238" spans="15:15" x14ac:dyDescent="0.25">
      <c r="O7238" s="21"/>
    </row>
    <row r="7239" spans="15:15" x14ac:dyDescent="0.25">
      <c r="O7239" s="21"/>
    </row>
    <row r="7240" spans="15:15" x14ac:dyDescent="0.25">
      <c r="O7240" s="21"/>
    </row>
    <row r="7241" spans="15:15" x14ac:dyDescent="0.25">
      <c r="O7241" s="21"/>
    </row>
    <row r="7242" spans="15:15" x14ac:dyDescent="0.25">
      <c r="O7242" s="21"/>
    </row>
    <row r="7243" spans="15:15" x14ac:dyDescent="0.25">
      <c r="O7243" s="21"/>
    </row>
    <row r="7244" spans="15:15" x14ac:dyDescent="0.25">
      <c r="O7244" s="21"/>
    </row>
    <row r="7245" spans="15:15" x14ac:dyDescent="0.25">
      <c r="O7245" s="21"/>
    </row>
    <row r="7246" spans="15:15" x14ac:dyDescent="0.25">
      <c r="O7246" s="21"/>
    </row>
    <row r="7247" spans="15:15" x14ac:dyDescent="0.25">
      <c r="O7247" s="21"/>
    </row>
    <row r="7248" spans="15:15" x14ac:dyDescent="0.25">
      <c r="O7248" s="21"/>
    </row>
    <row r="7249" spans="15:15" x14ac:dyDescent="0.25">
      <c r="O7249" s="21"/>
    </row>
    <row r="7250" spans="15:15" x14ac:dyDescent="0.25">
      <c r="O7250" s="21"/>
    </row>
    <row r="7251" spans="15:15" x14ac:dyDescent="0.25">
      <c r="O7251" s="21"/>
    </row>
    <row r="7252" spans="15:15" x14ac:dyDescent="0.25">
      <c r="O7252" s="21"/>
    </row>
    <row r="7253" spans="15:15" x14ac:dyDescent="0.25">
      <c r="O7253" s="21"/>
    </row>
    <row r="7254" spans="15:15" x14ac:dyDescent="0.25">
      <c r="O7254" s="21"/>
    </row>
    <row r="7255" spans="15:15" x14ac:dyDescent="0.25">
      <c r="O7255" s="21"/>
    </row>
    <row r="7256" spans="15:15" x14ac:dyDescent="0.25">
      <c r="O7256" s="21"/>
    </row>
    <row r="7257" spans="15:15" x14ac:dyDescent="0.25">
      <c r="O7257" s="21"/>
    </row>
    <row r="7258" spans="15:15" x14ac:dyDescent="0.25">
      <c r="O7258" s="21"/>
    </row>
    <row r="7259" spans="15:15" x14ac:dyDescent="0.25">
      <c r="O7259" s="21"/>
    </row>
    <row r="7260" spans="15:15" x14ac:dyDescent="0.25">
      <c r="O7260" s="21"/>
    </row>
    <row r="7261" spans="15:15" x14ac:dyDescent="0.25">
      <c r="O7261" s="21"/>
    </row>
    <row r="7262" spans="15:15" x14ac:dyDescent="0.25">
      <c r="O7262" s="21"/>
    </row>
    <row r="7263" spans="15:15" x14ac:dyDescent="0.25">
      <c r="O7263" s="21"/>
    </row>
    <row r="7264" spans="15:15" x14ac:dyDescent="0.25">
      <c r="O7264" s="21"/>
    </row>
    <row r="7265" spans="15:15" x14ac:dyDescent="0.25">
      <c r="O7265" s="21"/>
    </row>
    <row r="7266" spans="15:15" x14ac:dyDescent="0.25">
      <c r="O7266" s="21"/>
    </row>
    <row r="7267" spans="15:15" x14ac:dyDescent="0.25">
      <c r="O7267" s="21"/>
    </row>
    <row r="7268" spans="15:15" x14ac:dyDescent="0.25">
      <c r="O7268" s="21"/>
    </row>
    <row r="7269" spans="15:15" x14ac:dyDescent="0.25">
      <c r="O7269" s="21"/>
    </row>
    <row r="7270" spans="15:15" x14ac:dyDescent="0.25">
      <c r="O7270" s="21"/>
    </row>
    <row r="7271" spans="15:15" x14ac:dyDescent="0.25">
      <c r="O7271" s="21"/>
    </row>
    <row r="7272" spans="15:15" x14ac:dyDescent="0.25">
      <c r="O7272" s="21"/>
    </row>
    <row r="7273" spans="15:15" x14ac:dyDescent="0.25">
      <c r="O7273" s="21"/>
    </row>
    <row r="7274" spans="15:15" x14ac:dyDescent="0.25">
      <c r="O7274" s="21"/>
    </row>
    <row r="7275" spans="15:15" x14ac:dyDescent="0.25">
      <c r="O7275" s="21"/>
    </row>
    <row r="7276" spans="15:15" x14ac:dyDescent="0.25">
      <c r="O7276" s="21"/>
    </row>
    <row r="7277" spans="15:15" x14ac:dyDescent="0.25">
      <c r="O7277" s="21"/>
    </row>
    <row r="7278" spans="15:15" x14ac:dyDescent="0.25">
      <c r="O7278" s="21"/>
    </row>
    <row r="7279" spans="15:15" x14ac:dyDescent="0.25">
      <c r="O7279" s="21"/>
    </row>
    <row r="7280" spans="15:15" x14ac:dyDescent="0.25">
      <c r="O7280" s="21"/>
    </row>
    <row r="7281" spans="15:15" x14ac:dyDescent="0.25">
      <c r="O7281" s="21"/>
    </row>
    <row r="7282" spans="15:15" x14ac:dyDescent="0.25">
      <c r="O7282" s="21"/>
    </row>
    <row r="7283" spans="15:15" x14ac:dyDescent="0.25">
      <c r="O7283" s="21"/>
    </row>
    <row r="7284" spans="15:15" x14ac:dyDescent="0.25">
      <c r="O7284" s="21"/>
    </row>
    <row r="7285" spans="15:15" x14ac:dyDescent="0.25">
      <c r="O7285" s="21"/>
    </row>
    <row r="7286" spans="15:15" x14ac:dyDescent="0.25">
      <c r="O7286" s="21"/>
    </row>
    <row r="7287" spans="15:15" x14ac:dyDescent="0.25">
      <c r="O7287" s="21"/>
    </row>
    <row r="7288" spans="15:15" x14ac:dyDescent="0.25">
      <c r="O7288" s="21"/>
    </row>
    <row r="7289" spans="15:15" x14ac:dyDescent="0.25">
      <c r="O7289" s="21"/>
    </row>
    <row r="7290" spans="15:15" x14ac:dyDescent="0.25">
      <c r="O7290" s="21"/>
    </row>
    <row r="7291" spans="15:15" x14ac:dyDescent="0.25">
      <c r="O7291" s="21"/>
    </row>
    <row r="7292" spans="15:15" x14ac:dyDescent="0.25">
      <c r="O7292" s="21"/>
    </row>
    <row r="7293" spans="15:15" x14ac:dyDescent="0.25">
      <c r="O7293" s="21"/>
    </row>
    <row r="7294" spans="15:15" x14ac:dyDescent="0.25">
      <c r="O7294" s="21"/>
    </row>
    <row r="7295" spans="15:15" x14ac:dyDescent="0.25">
      <c r="O7295" s="21"/>
    </row>
    <row r="7296" spans="15:15" x14ac:dyDescent="0.25">
      <c r="O7296" s="21"/>
    </row>
    <row r="7297" spans="15:15" x14ac:dyDescent="0.25">
      <c r="O7297" s="21"/>
    </row>
    <row r="7298" spans="15:15" x14ac:dyDescent="0.25">
      <c r="O7298" s="21"/>
    </row>
    <row r="7299" spans="15:15" x14ac:dyDescent="0.25">
      <c r="O7299" s="21"/>
    </row>
    <row r="7300" spans="15:15" x14ac:dyDescent="0.25">
      <c r="O7300" s="21"/>
    </row>
    <row r="7301" spans="15:15" x14ac:dyDescent="0.25">
      <c r="O7301" s="21"/>
    </row>
    <row r="7302" spans="15:15" x14ac:dyDescent="0.25">
      <c r="O7302" s="21"/>
    </row>
    <row r="7303" spans="15:15" x14ac:dyDescent="0.25">
      <c r="O7303" s="21"/>
    </row>
    <row r="7304" spans="15:15" x14ac:dyDescent="0.25">
      <c r="O7304" s="21"/>
    </row>
    <row r="7305" spans="15:15" x14ac:dyDescent="0.25">
      <c r="O7305" s="21"/>
    </row>
    <row r="7306" spans="15:15" x14ac:dyDescent="0.25">
      <c r="O7306" s="21"/>
    </row>
    <row r="7307" spans="15:15" x14ac:dyDescent="0.25">
      <c r="O7307" s="21"/>
    </row>
    <row r="7308" spans="15:15" x14ac:dyDescent="0.25">
      <c r="O7308" s="21"/>
    </row>
    <row r="7309" spans="15:15" x14ac:dyDescent="0.25">
      <c r="O7309" s="21"/>
    </row>
    <row r="7310" spans="15:15" x14ac:dyDescent="0.25">
      <c r="O7310" s="21"/>
    </row>
    <row r="7311" spans="15:15" x14ac:dyDescent="0.25">
      <c r="O7311" s="21"/>
    </row>
    <row r="7312" spans="15:15" x14ac:dyDescent="0.25">
      <c r="O7312" s="21"/>
    </row>
    <row r="7313" spans="15:15" x14ac:dyDescent="0.25">
      <c r="O7313" s="21"/>
    </row>
    <row r="7314" spans="15:15" x14ac:dyDescent="0.25">
      <c r="O7314" s="21"/>
    </row>
    <row r="7315" spans="15:15" x14ac:dyDescent="0.25">
      <c r="O7315" s="21"/>
    </row>
    <row r="7316" spans="15:15" x14ac:dyDescent="0.25">
      <c r="O7316" s="21"/>
    </row>
    <row r="7317" spans="15:15" x14ac:dyDescent="0.25">
      <c r="O7317" s="21"/>
    </row>
    <row r="7318" spans="15:15" x14ac:dyDescent="0.25">
      <c r="O7318" s="21"/>
    </row>
    <row r="7319" spans="15:15" x14ac:dyDescent="0.25">
      <c r="O7319" s="21"/>
    </row>
    <row r="7320" spans="15:15" x14ac:dyDescent="0.25">
      <c r="O7320" s="21"/>
    </row>
    <row r="7321" spans="15:15" x14ac:dyDescent="0.25">
      <c r="O7321" s="21"/>
    </row>
    <row r="7322" spans="15:15" x14ac:dyDescent="0.25">
      <c r="O7322" s="21"/>
    </row>
    <row r="7323" spans="15:15" x14ac:dyDescent="0.25">
      <c r="O7323" s="21"/>
    </row>
    <row r="7324" spans="15:15" x14ac:dyDescent="0.25">
      <c r="O7324" s="21"/>
    </row>
    <row r="7325" spans="15:15" x14ac:dyDescent="0.25">
      <c r="O7325" s="21"/>
    </row>
    <row r="7326" spans="15:15" x14ac:dyDescent="0.25">
      <c r="O7326" s="21"/>
    </row>
    <row r="7327" spans="15:15" x14ac:dyDescent="0.25">
      <c r="O7327" s="21"/>
    </row>
    <row r="7328" spans="15:15" x14ac:dyDescent="0.25">
      <c r="O7328" s="21"/>
    </row>
    <row r="7329" spans="15:15" x14ac:dyDescent="0.25">
      <c r="O7329" s="21"/>
    </row>
    <row r="7330" spans="15:15" x14ac:dyDescent="0.25">
      <c r="O7330" s="21"/>
    </row>
    <row r="7331" spans="15:15" x14ac:dyDescent="0.25">
      <c r="O7331" s="21"/>
    </row>
    <row r="7332" spans="15:15" x14ac:dyDescent="0.25">
      <c r="O7332" s="21"/>
    </row>
    <row r="7333" spans="15:15" x14ac:dyDescent="0.25">
      <c r="O7333" s="21"/>
    </row>
    <row r="7334" spans="15:15" x14ac:dyDescent="0.25">
      <c r="O7334" s="21"/>
    </row>
    <row r="7335" spans="15:15" x14ac:dyDescent="0.25">
      <c r="O7335" s="21"/>
    </row>
    <row r="7336" spans="15:15" x14ac:dyDescent="0.25">
      <c r="O7336" s="21"/>
    </row>
    <row r="7337" spans="15:15" x14ac:dyDescent="0.25">
      <c r="O7337" s="21"/>
    </row>
    <row r="7338" spans="15:15" x14ac:dyDescent="0.25">
      <c r="O7338" s="21"/>
    </row>
    <row r="7339" spans="15:15" x14ac:dyDescent="0.25">
      <c r="O7339" s="21"/>
    </row>
    <row r="7340" spans="15:15" x14ac:dyDescent="0.25">
      <c r="O7340" s="21"/>
    </row>
    <row r="7341" spans="15:15" x14ac:dyDescent="0.25">
      <c r="O7341" s="21"/>
    </row>
    <row r="7342" spans="15:15" x14ac:dyDescent="0.25">
      <c r="O7342" s="21"/>
    </row>
    <row r="7343" spans="15:15" x14ac:dyDescent="0.25">
      <c r="O7343" s="21"/>
    </row>
    <row r="7344" spans="15:15" x14ac:dyDescent="0.25">
      <c r="O7344" s="21"/>
    </row>
    <row r="7345" spans="15:15" x14ac:dyDescent="0.25">
      <c r="O7345" s="21"/>
    </row>
    <row r="7346" spans="15:15" x14ac:dyDescent="0.25">
      <c r="O7346" s="21"/>
    </row>
    <row r="7347" spans="15:15" x14ac:dyDescent="0.25">
      <c r="O7347" s="21"/>
    </row>
    <row r="7348" spans="15:15" x14ac:dyDescent="0.25">
      <c r="O7348" s="21"/>
    </row>
    <row r="7349" spans="15:15" x14ac:dyDescent="0.25">
      <c r="O7349" s="21"/>
    </row>
    <row r="7350" spans="15:15" x14ac:dyDescent="0.25">
      <c r="O7350" s="21"/>
    </row>
    <row r="7351" spans="15:15" x14ac:dyDescent="0.25">
      <c r="O7351" s="21"/>
    </row>
    <row r="7352" spans="15:15" x14ac:dyDescent="0.25">
      <c r="O7352" s="21"/>
    </row>
    <row r="7353" spans="15:15" x14ac:dyDescent="0.25">
      <c r="O7353" s="21"/>
    </row>
    <row r="7354" spans="15:15" x14ac:dyDescent="0.25">
      <c r="O7354" s="21"/>
    </row>
    <row r="7355" spans="15:15" x14ac:dyDescent="0.25">
      <c r="O7355" s="21"/>
    </row>
    <row r="7356" spans="15:15" x14ac:dyDescent="0.25">
      <c r="O7356" s="21"/>
    </row>
    <row r="7357" spans="15:15" x14ac:dyDescent="0.25">
      <c r="O7357" s="21"/>
    </row>
    <row r="7358" spans="15:15" x14ac:dyDescent="0.25">
      <c r="O7358" s="21"/>
    </row>
    <row r="7359" spans="15:15" x14ac:dyDescent="0.25">
      <c r="O7359" s="21"/>
    </row>
    <row r="7360" spans="15:15" x14ac:dyDescent="0.25">
      <c r="O7360" s="21"/>
    </row>
    <row r="7361" spans="15:15" x14ac:dyDescent="0.25">
      <c r="O7361" s="21"/>
    </row>
    <row r="7362" spans="15:15" x14ac:dyDescent="0.25">
      <c r="O7362" s="21"/>
    </row>
    <row r="7363" spans="15:15" x14ac:dyDescent="0.25">
      <c r="O7363" s="21"/>
    </row>
    <row r="7364" spans="15:15" x14ac:dyDescent="0.25">
      <c r="O7364" s="21"/>
    </row>
    <row r="7365" spans="15:15" x14ac:dyDescent="0.25">
      <c r="O7365" s="21"/>
    </row>
    <row r="7366" spans="15:15" x14ac:dyDescent="0.25">
      <c r="O7366" s="21"/>
    </row>
    <row r="7367" spans="15:15" x14ac:dyDescent="0.25">
      <c r="O7367" s="21"/>
    </row>
    <row r="7368" spans="15:15" x14ac:dyDescent="0.25">
      <c r="O7368" s="21"/>
    </row>
    <row r="7369" spans="15:15" x14ac:dyDescent="0.25">
      <c r="O7369" s="21"/>
    </row>
    <row r="7370" spans="15:15" x14ac:dyDescent="0.25">
      <c r="O7370" s="21"/>
    </row>
    <row r="7371" spans="15:15" x14ac:dyDescent="0.25">
      <c r="O7371" s="21"/>
    </row>
    <row r="7372" spans="15:15" x14ac:dyDescent="0.25">
      <c r="O7372" s="21"/>
    </row>
    <row r="7373" spans="15:15" x14ac:dyDescent="0.25">
      <c r="O7373" s="21"/>
    </row>
    <row r="7374" spans="15:15" x14ac:dyDescent="0.25">
      <c r="O7374" s="21"/>
    </row>
    <row r="7375" spans="15:15" x14ac:dyDescent="0.25">
      <c r="O7375" s="21"/>
    </row>
    <row r="7376" spans="15:15" x14ac:dyDescent="0.25">
      <c r="O7376" s="21"/>
    </row>
    <row r="7377" spans="15:15" x14ac:dyDescent="0.25">
      <c r="O7377" s="21"/>
    </row>
    <row r="7378" spans="15:15" x14ac:dyDescent="0.25">
      <c r="O7378" s="21"/>
    </row>
    <row r="7379" spans="15:15" x14ac:dyDescent="0.25">
      <c r="O7379" s="21"/>
    </row>
    <row r="7380" spans="15:15" x14ac:dyDescent="0.25">
      <c r="O7380" s="21"/>
    </row>
    <row r="7381" spans="15:15" x14ac:dyDescent="0.25">
      <c r="O7381" s="21"/>
    </row>
    <row r="7382" spans="15:15" x14ac:dyDescent="0.25">
      <c r="O7382" s="21"/>
    </row>
    <row r="7383" spans="15:15" x14ac:dyDescent="0.25">
      <c r="O7383" s="21"/>
    </row>
    <row r="7384" spans="15:15" x14ac:dyDescent="0.25">
      <c r="O7384" s="21"/>
    </row>
    <row r="7385" spans="15:15" x14ac:dyDescent="0.25">
      <c r="O7385" s="21"/>
    </row>
    <row r="7386" spans="15:15" x14ac:dyDescent="0.25">
      <c r="O7386" s="21"/>
    </row>
    <row r="7387" spans="15:15" x14ac:dyDescent="0.25">
      <c r="O7387" s="21"/>
    </row>
    <row r="7388" spans="15:15" x14ac:dyDescent="0.25">
      <c r="O7388" s="21"/>
    </row>
    <row r="7389" spans="15:15" x14ac:dyDescent="0.25">
      <c r="O7389" s="21"/>
    </row>
    <row r="7390" spans="15:15" x14ac:dyDescent="0.25">
      <c r="O7390" s="21"/>
    </row>
    <row r="7391" spans="15:15" x14ac:dyDescent="0.25">
      <c r="O7391" s="21"/>
    </row>
    <row r="7392" spans="15:15" x14ac:dyDescent="0.25">
      <c r="O7392" s="21"/>
    </row>
    <row r="7393" spans="15:15" x14ac:dyDescent="0.25">
      <c r="O7393" s="21"/>
    </row>
    <row r="7394" spans="15:15" x14ac:dyDescent="0.25">
      <c r="O7394" s="21"/>
    </row>
    <row r="7395" spans="15:15" x14ac:dyDescent="0.25">
      <c r="O7395" s="21"/>
    </row>
    <row r="7396" spans="15:15" x14ac:dyDescent="0.25">
      <c r="O7396" s="21"/>
    </row>
    <row r="7397" spans="15:15" x14ac:dyDescent="0.25">
      <c r="O7397" s="21"/>
    </row>
    <row r="7398" spans="15:15" x14ac:dyDescent="0.25">
      <c r="O7398" s="21"/>
    </row>
    <row r="7399" spans="15:15" x14ac:dyDescent="0.25">
      <c r="O7399" s="21"/>
    </row>
    <row r="7400" spans="15:15" x14ac:dyDescent="0.25">
      <c r="O7400" s="21"/>
    </row>
    <row r="7401" spans="15:15" x14ac:dyDescent="0.25">
      <c r="O7401" s="21"/>
    </row>
    <row r="7402" spans="15:15" x14ac:dyDescent="0.25">
      <c r="O7402" s="21"/>
    </row>
    <row r="7403" spans="15:15" x14ac:dyDescent="0.25">
      <c r="O7403" s="21"/>
    </row>
    <row r="7404" spans="15:15" x14ac:dyDescent="0.25">
      <c r="O7404" s="21"/>
    </row>
    <row r="7405" spans="15:15" x14ac:dyDescent="0.25">
      <c r="O7405" s="21"/>
    </row>
    <row r="7406" spans="15:15" x14ac:dyDescent="0.25">
      <c r="O7406" s="21"/>
    </row>
    <row r="7407" spans="15:15" x14ac:dyDescent="0.25">
      <c r="O7407" s="21"/>
    </row>
    <row r="7408" spans="15:15" x14ac:dyDescent="0.25">
      <c r="O7408" s="21"/>
    </row>
    <row r="7409" spans="15:15" x14ac:dyDescent="0.25">
      <c r="O7409" s="21"/>
    </row>
    <row r="7410" spans="15:15" x14ac:dyDescent="0.25">
      <c r="O7410" s="21"/>
    </row>
    <row r="7411" spans="15:15" x14ac:dyDescent="0.25">
      <c r="O7411" s="21"/>
    </row>
    <row r="7412" spans="15:15" x14ac:dyDescent="0.25">
      <c r="O7412" s="21"/>
    </row>
    <row r="7413" spans="15:15" x14ac:dyDescent="0.25">
      <c r="O7413" s="21"/>
    </row>
    <row r="7414" spans="15:15" x14ac:dyDescent="0.25">
      <c r="O7414" s="21"/>
    </row>
    <row r="7415" spans="15:15" x14ac:dyDescent="0.25">
      <c r="O7415" s="21"/>
    </row>
    <row r="7416" spans="15:15" x14ac:dyDescent="0.25">
      <c r="O7416" s="21"/>
    </row>
    <row r="7417" spans="15:15" x14ac:dyDescent="0.25">
      <c r="O7417" s="21"/>
    </row>
    <row r="7418" spans="15:15" x14ac:dyDescent="0.25">
      <c r="O7418" s="21"/>
    </row>
    <row r="7419" spans="15:15" x14ac:dyDescent="0.25">
      <c r="O7419" s="21"/>
    </row>
    <row r="7420" spans="15:15" x14ac:dyDescent="0.25">
      <c r="O7420" s="21"/>
    </row>
    <row r="7421" spans="15:15" x14ac:dyDescent="0.25">
      <c r="O7421" s="21"/>
    </row>
    <row r="7422" spans="15:15" x14ac:dyDescent="0.25">
      <c r="O7422" s="21"/>
    </row>
    <row r="7423" spans="15:15" x14ac:dyDescent="0.25">
      <c r="O7423" s="21"/>
    </row>
    <row r="7424" spans="15:15" x14ac:dyDescent="0.25">
      <c r="O7424" s="21"/>
    </row>
    <row r="7425" spans="15:15" x14ac:dyDescent="0.25">
      <c r="O7425" s="21"/>
    </row>
    <row r="7426" spans="15:15" x14ac:dyDescent="0.25">
      <c r="O7426" s="21"/>
    </row>
    <row r="7427" spans="15:15" x14ac:dyDescent="0.25">
      <c r="O7427" s="21"/>
    </row>
    <row r="7428" spans="15:15" x14ac:dyDescent="0.25">
      <c r="O7428" s="21"/>
    </row>
    <row r="7429" spans="15:15" x14ac:dyDescent="0.25">
      <c r="O7429" s="21"/>
    </row>
    <row r="7430" spans="15:15" x14ac:dyDescent="0.25">
      <c r="O7430" s="21"/>
    </row>
    <row r="7431" spans="15:15" x14ac:dyDescent="0.25">
      <c r="O7431" s="21"/>
    </row>
    <row r="7432" spans="15:15" x14ac:dyDescent="0.25">
      <c r="O7432" s="21"/>
    </row>
    <row r="7433" spans="15:15" x14ac:dyDescent="0.25">
      <c r="O7433" s="21"/>
    </row>
    <row r="7434" spans="15:15" x14ac:dyDescent="0.25">
      <c r="O7434" s="21"/>
    </row>
    <row r="7435" spans="15:15" x14ac:dyDescent="0.25">
      <c r="O7435" s="21"/>
    </row>
    <row r="7436" spans="15:15" x14ac:dyDescent="0.25">
      <c r="O7436" s="21"/>
    </row>
    <row r="7437" spans="15:15" x14ac:dyDescent="0.25">
      <c r="O7437" s="21"/>
    </row>
    <row r="7438" spans="15:15" x14ac:dyDescent="0.25">
      <c r="O7438" s="21"/>
    </row>
    <row r="7439" spans="15:15" x14ac:dyDescent="0.25">
      <c r="O7439" s="21"/>
    </row>
    <row r="7440" spans="15:15" x14ac:dyDescent="0.25">
      <c r="O7440" s="21"/>
    </row>
    <row r="7441" spans="15:15" x14ac:dyDescent="0.25">
      <c r="O7441" s="21"/>
    </row>
    <row r="7442" spans="15:15" x14ac:dyDescent="0.25">
      <c r="O7442" s="21"/>
    </row>
    <row r="7443" spans="15:15" x14ac:dyDescent="0.25">
      <c r="O7443" s="21"/>
    </row>
    <row r="7444" spans="15:15" x14ac:dyDescent="0.25">
      <c r="O7444" s="21"/>
    </row>
    <row r="7445" spans="15:15" x14ac:dyDescent="0.25">
      <c r="O7445" s="21"/>
    </row>
    <row r="7446" spans="15:15" x14ac:dyDescent="0.25">
      <c r="O7446" s="21"/>
    </row>
    <row r="7447" spans="15:15" x14ac:dyDescent="0.25">
      <c r="O7447" s="21"/>
    </row>
    <row r="7448" spans="15:15" x14ac:dyDescent="0.25">
      <c r="O7448" s="21"/>
    </row>
    <row r="7449" spans="15:15" x14ac:dyDescent="0.25">
      <c r="O7449" s="21"/>
    </row>
    <row r="7450" spans="15:15" x14ac:dyDescent="0.25">
      <c r="O7450" s="21"/>
    </row>
    <row r="7451" spans="15:15" x14ac:dyDescent="0.25">
      <c r="O7451" s="21"/>
    </row>
    <row r="7452" spans="15:15" x14ac:dyDescent="0.25">
      <c r="O7452" s="21"/>
    </row>
    <row r="7453" spans="15:15" x14ac:dyDescent="0.25">
      <c r="O7453" s="21"/>
    </row>
    <row r="7454" spans="15:15" x14ac:dyDescent="0.25">
      <c r="O7454" s="21"/>
    </row>
    <row r="7455" spans="15:15" x14ac:dyDescent="0.25">
      <c r="O7455" s="21"/>
    </row>
    <row r="7456" spans="15:15" x14ac:dyDescent="0.25">
      <c r="O7456" s="21"/>
    </row>
    <row r="7457" spans="15:15" x14ac:dyDescent="0.25">
      <c r="O7457" s="21"/>
    </row>
    <row r="7458" spans="15:15" x14ac:dyDescent="0.25">
      <c r="O7458" s="21"/>
    </row>
    <row r="7459" spans="15:15" x14ac:dyDescent="0.25">
      <c r="O7459" s="21"/>
    </row>
    <row r="7460" spans="15:15" x14ac:dyDescent="0.25">
      <c r="O7460" s="21"/>
    </row>
    <row r="7461" spans="15:15" x14ac:dyDescent="0.25">
      <c r="O7461" s="21"/>
    </row>
    <row r="7462" spans="15:15" x14ac:dyDescent="0.25">
      <c r="O7462" s="21"/>
    </row>
    <row r="7463" spans="15:15" x14ac:dyDescent="0.25">
      <c r="O7463" s="21"/>
    </row>
    <row r="7464" spans="15:15" x14ac:dyDescent="0.25">
      <c r="O7464" s="21"/>
    </row>
    <row r="7465" spans="15:15" x14ac:dyDescent="0.25">
      <c r="O7465" s="21"/>
    </row>
    <row r="7466" spans="15:15" x14ac:dyDescent="0.25">
      <c r="O7466" s="21"/>
    </row>
    <row r="7467" spans="15:15" x14ac:dyDescent="0.25">
      <c r="O7467" s="21"/>
    </row>
    <row r="7468" spans="15:15" x14ac:dyDescent="0.25">
      <c r="O7468" s="21"/>
    </row>
    <row r="7469" spans="15:15" x14ac:dyDescent="0.25">
      <c r="O7469" s="21"/>
    </row>
    <row r="7470" spans="15:15" x14ac:dyDescent="0.25">
      <c r="O7470" s="21"/>
    </row>
    <row r="7471" spans="15:15" x14ac:dyDescent="0.25">
      <c r="O7471" s="21"/>
    </row>
    <row r="7472" spans="15:15" x14ac:dyDescent="0.25">
      <c r="O7472" s="21"/>
    </row>
    <row r="7473" spans="15:15" x14ac:dyDescent="0.25">
      <c r="O7473" s="21"/>
    </row>
    <row r="7474" spans="15:15" x14ac:dyDescent="0.25">
      <c r="O7474" s="21"/>
    </row>
    <row r="7475" spans="15:15" x14ac:dyDescent="0.25">
      <c r="O7475" s="21"/>
    </row>
    <row r="7476" spans="15:15" x14ac:dyDescent="0.25">
      <c r="O7476" s="21"/>
    </row>
    <row r="7477" spans="15:15" x14ac:dyDescent="0.25">
      <c r="O7477" s="21"/>
    </row>
    <row r="7478" spans="15:15" x14ac:dyDescent="0.25">
      <c r="O7478" s="21"/>
    </row>
    <row r="7479" spans="15:15" x14ac:dyDescent="0.25">
      <c r="O7479" s="21"/>
    </row>
    <row r="7480" spans="15:15" x14ac:dyDescent="0.25">
      <c r="O7480" s="21"/>
    </row>
    <row r="7481" spans="15:15" x14ac:dyDescent="0.25">
      <c r="O7481" s="21"/>
    </row>
    <row r="7482" spans="15:15" x14ac:dyDescent="0.25">
      <c r="O7482" s="21"/>
    </row>
    <row r="7483" spans="15:15" x14ac:dyDescent="0.25">
      <c r="O7483" s="21"/>
    </row>
    <row r="7484" spans="15:15" x14ac:dyDescent="0.25">
      <c r="O7484" s="21"/>
    </row>
    <row r="7485" spans="15:15" x14ac:dyDescent="0.25">
      <c r="O7485" s="21"/>
    </row>
    <row r="7486" spans="15:15" x14ac:dyDescent="0.25">
      <c r="O7486" s="21"/>
    </row>
    <row r="7487" spans="15:15" x14ac:dyDescent="0.25">
      <c r="O7487" s="21"/>
    </row>
    <row r="7488" spans="15:15" x14ac:dyDescent="0.25">
      <c r="O7488" s="21"/>
    </row>
    <row r="7489" spans="15:15" x14ac:dyDescent="0.25">
      <c r="O7489" s="21"/>
    </row>
    <row r="7490" spans="15:15" x14ac:dyDescent="0.25">
      <c r="O7490" s="21"/>
    </row>
    <row r="7491" spans="15:15" x14ac:dyDescent="0.25">
      <c r="O7491" s="21"/>
    </row>
    <row r="7492" spans="15:15" x14ac:dyDescent="0.25">
      <c r="O7492" s="21"/>
    </row>
    <row r="7493" spans="15:15" x14ac:dyDescent="0.25">
      <c r="O7493" s="21"/>
    </row>
    <row r="7494" spans="15:15" x14ac:dyDescent="0.25">
      <c r="O7494" s="21"/>
    </row>
    <row r="7495" spans="15:15" x14ac:dyDescent="0.25">
      <c r="O7495" s="21"/>
    </row>
    <row r="7496" spans="15:15" x14ac:dyDescent="0.25">
      <c r="O7496" s="21"/>
    </row>
    <row r="7497" spans="15:15" x14ac:dyDescent="0.25">
      <c r="O7497" s="21"/>
    </row>
    <row r="7498" spans="15:15" x14ac:dyDescent="0.25">
      <c r="O7498" s="21"/>
    </row>
    <row r="7499" spans="15:15" x14ac:dyDescent="0.25">
      <c r="O7499" s="21"/>
    </row>
    <row r="7500" spans="15:15" x14ac:dyDescent="0.25">
      <c r="O7500" s="21"/>
    </row>
    <row r="7501" spans="15:15" x14ac:dyDescent="0.25">
      <c r="O7501" s="21"/>
    </row>
    <row r="7502" spans="15:15" x14ac:dyDescent="0.25">
      <c r="O7502" s="21"/>
    </row>
    <row r="7503" spans="15:15" x14ac:dyDescent="0.25">
      <c r="O7503" s="21"/>
    </row>
    <row r="7504" spans="15:15" x14ac:dyDescent="0.25">
      <c r="O7504" s="21"/>
    </row>
    <row r="7505" spans="15:15" x14ac:dyDescent="0.25">
      <c r="O7505" s="21"/>
    </row>
    <row r="7506" spans="15:15" x14ac:dyDescent="0.25">
      <c r="O7506" s="21"/>
    </row>
    <row r="7507" spans="15:15" x14ac:dyDescent="0.25">
      <c r="O7507" s="21"/>
    </row>
    <row r="7508" spans="15:15" x14ac:dyDescent="0.25">
      <c r="O7508" s="21"/>
    </row>
    <row r="7509" spans="15:15" x14ac:dyDescent="0.25">
      <c r="O7509" s="21"/>
    </row>
    <row r="7510" spans="15:15" x14ac:dyDescent="0.25">
      <c r="O7510" s="21"/>
    </row>
    <row r="7511" spans="15:15" x14ac:dyDescent="0.25">
      <c r="O7511" s="21"/>
    </row>
    <row r="7512" spans="15:15" x14ac:dyDescent="0.25">
      <c r="O7512" s="21"/>
    </row>
    <row r="7513" spans="15:15" x14ac:dyDescent="0.25">
      <c r="O7513" s="21"/>
    </row>
    <row r="7514" spans="15:15" x14ac:dyDescent="0.25">
      <c r="O7514" s="21"/>
    </row>
    <row r="7515" spans="15:15" x14ac:dyDescent="0.25">
      <c r="O7515" s="21"/>
    </row>
    <row r="7516" spans="15:15" x14ac:dyDescent="0.25">
      <c r="O7516" s="21"/>
    </row>
    <row r="7517" spans="15:15" x14ac:dyDescent="0.25">
      <c r="O7517" s="21"/>
    </row>
    <row r="7518" spans="15:15" x14ac:dyDescent="0.25">
      <c r="O7518" s="21"/>
    </row>
    <row r="7519" spans="15:15" x14ac:dyDescent="0.25">
      <c r="O7519" s="21"/>
    </row>
    <row r="7520" spans="15:15" x14ac:dyDescent="0.25">
      <c r="O7520" s="21"/>
    </row>
    <row r="7521" spans="15:15" x14ac:dyDescent="0.25">
      <c r="O7521" s="21"/>
    </row>
    <row r="7522" spans="15:15" x14ac:dyDescent="0.25">
      <c r="O7522" s="21"/>
    </row>
    <row r="7523" spans="15:15" x14ac:dyDescent="0.25">
      <c r="O7523" s="21"/>
    </row>
    <row r="7524" spans="15:15" x14ac:dyDescent="0.25">
      <c r="O7524" s="21"/>
    </row>
    <row r="7525" spans="15:15" x14ac:dyDescent="0.25">
      <c r="O7525" s="21"/>
    </row>
    <row r="7526" spans="15:15" x14ac:dyDescent="0.25">
      <c r="O7526" s="21"/>
    </row>
    <row r="7527" spans="15:15" x14ac:dyDescent="0.25">
      <c r="O7527" s="21"/>
    </row>
    <row r="7528" spans="15:15" x14ac:dyDescent="0.25">
      <c r="O7528" s="21"/>
    </row>
    <row r="7529" spans="15:15" x14ac:dyDescent="0.25">
      <c r="O7529" s="21"/>
    </row>
    <row r="7530" spans="15:15" x14ac:dyDescent="0.25">
      <c r="O7530" s="21"/>
    </row>
    <row r="7531" spans="15:15" x14ac:dyDescent="0.25">
      <c r="O7531" s="21"/>
    </row>
    <row r="7532" spans="15:15" x14ac:dyDescent="0.25">
      <c r="O7532" s="21"/>
    </row>
    <row r="7533" spans="15:15" x14ac:dyDescent="0.25">
      <c r="O7533" s="21"/>
    </row>
    <row r="7534" spans="15:15" x14ac:dyDescent="0.25">
      <c r="O7534" s="21"/>
    </row>
    <row r="7535" spans="15:15" x14ac:dyDescent="0.25">
      <c r="O7535" s="21"/>
    </row>
    <row r="7536" spans="15:15" x14ac:dyDescent="0.25">
      <c r="O7536" s="21"/>
    </row>
    <row r="7537" spans="15:15" x14ac:dyDescent="0.25">
      <c r="O7537" s="21"/>
    </row>
    <row r="7538" spans="15:15" x14ac:dyDescent="0.25">
      <c r="O7538" s="21"/>
    </row>
    <row r="7539" spans="15:15" x14ac:dyDescent="0.25">
      <c r="O7539" s="21"/>
    </row>
    <row r="7540" spans="15:15" x14ac:dyDescent="0.25">
      <c r="O7540" s="21"/>
    </row>
    <row r="7541" spans="15:15" x14ac:dyDescent="0.25">
      <c r="O7541" s="21"/>
    </row>
    <row r="7542" spans="15:15" x14ac:dyDescent="0.25">
      <c r="O7542" s="21"/>
    </row>
    <row r="7543" spans="15:15" x14ac:dyDescent="0.25">
      <c r="O7543" s="21"/>
    </row>
    <row r="7544" spans="15:15" x14ac:dyDescent="0.25">
      <c r="O7544" s="21"/>
    </row>
    <row r="7545" spans="15:15" x14ac:dyDescent="0.25">
      <c r="O7545" s="21"/>
    </row>
    <row r="7546" spans="15:15" x14ac:dyDescent="0.25">
      <c r="O7546" s="21"/>
    </row>
    <row r="7547" spans="15:15" x14ac:dyDescent="0.25">
      <c r="O7547" s="21"/>
    </row>
    <row r="7548" spans="15:15" x14ac:dyDescent="0.25">
      <c r="O7548" s="21"/>
    </row>
    <row r="7549" spans="15:15" x14ac:dyDescent="0.25">
      <c r="O7549" s="21"/>
    </row>
    <row r="7550" spans="15:15" x14ac:dyDescent="0.25">
      <c r="O7550" s="21"/>
    </row>
    <row r="7551" spans="15:15" x14ac:dyDescent="0.25">
      <c r="O7551" s="21"/>
    </row>
    <row r="7552" spans="15:15" x14ac:dyDescent="0.25">
      <c r="O7552" s="21"/>
    </row>
    <row r="7553" spans="15:15" x14ac:dyDescent="0.25">
      <c r="O7553" s="21"/>
    </row>
    <row r="7554" spans="15:15" x14ac:dyDescent="0.25">
      <c r="O7554" s="21"/>
    </row>
    <row r="7555" spans="15:15" x14ac:dyDescent="0.25">
      <c r="O7555" s="21"/>
    </row>
    <row r="7556" spans="15:15" x14ac:dyDescent="0.25">
      <c r="O7556" s="21"/>
    </row>
    <row r="7557" spans="15:15" x14ac:dyDescent="0.25">
      <c r="O7557" s="21"/>
    </row>
    <row r="7558" spans="15:15" x14ac:dyDescent="0.25">
      <c r="O7558" s="21"/>
    </row>
    <row r="7559" spans="15:15" x14ac:dyDescent="0.25">
      <c r="O7559" s="21"/>
    </row>
    <row r="7560" spans="15:15" x14ac:dyDescent="0.25">
      <c r="O7560" s="21"/>
    </row>
    <row r="7561" spans="15:15" x14ac:dyDescent="0.25">
      <c r="O7561" s="21"/>
    </row>
    <row r="7562" spans="15:15" x14ac:dyDescent="0.25">
      <c r="O7562" s="21"/>
    </row>
    <row r="7563" spans="15:15" x14ac:dyDescent="0.25">
      <c r="O7563" s="21"/>
    </row>
    <row r="7564" spans="15:15" x14ac:dyDescent="0.25">
      <c r="O7564" s="21"/>
    </row>
    <row r="7565" spans="15:15" x14ac:dyDescent="0.25">
      <c r="O7565" s="21"/>
    </row>
    <row r="7566" spans="15:15" x14ac:dyDescent="0.25">
      <c r="O7566" s="21"/>
    </row>
    <row r="7567" spans="15:15" x14ac:dyDescent="0.25">
      <c r="O7567" s="21"/>
    </row>
    <row r="7568" spans="15:15" x14ac:dyDescent="0.25">
      <c r="O7568" s="21"/>
    </row>
    <row r="7569" spans="15:15" x14ac:dyDescent="0.25">
      <c r="O7569" s="21"/>
    </row>
    <row r="7570" spans="15:15" x14ac:dyDescent="0.25">
      <c r="O7570" s="21"/>
    </row>
    <row r="7571" spans="15:15" x14ac:dyDescent="0.25">
      <c r="O7571" s="21"/>
    </row>
    <row r="7572" spans="15:15" x14ac:dyDescent="0.25">
      <c r="O7572" s="21"/>
    </row>
    <row r="7573" spans="15:15" x14ac:dyDescent="0.25">
      <c r="O7573" s="21"/>
    </row>
    <row r="7574" spans="15:15" x14ac:dyDescent="0.25">
      <c r="O7574" s="21"/>
    </row>
    <row r="7575" spans="15:15" x14ac:dyDescent="0.25">
      <c r="O7575" s="21"/>
    </row>
    <row r="7576" spans="15:15" x14ac:dyDescent="0.25">
      <c r="O7576" s="21"/>
    </row>
    <row r="7577" spans="15:15" x14ac:dyDescent="0.25">
      <c r="O7577" s="21"/>
    </row>
    <row r="7578" spans="15:15" x14ac:dyDescent="0.25">
      <c r="O7578" s="21"/>
    </row>
    <row r="7579" spans="15:15" x14ac:dyDescent="0.25">
      <c r="O7579" s="21"/>
    </row>
    <row r="7580" spans="15:15" x14ac:dyDescent="0.25">
      <c r="O7580" s="21"/>
    </row>
    <row r="7581" spans="15:15" x14ac:dyDescent="0.25">
      <c r="O7581" s="21"/>
    </row>
    <row r="7582" spans="15:15" x14ac:dyDescent="0.25">
      <c r="O7582" s="21"/>
    </row>
    <row r="7583" spans="15:15" x14ac:dyDescent="0.25">
      <c r="O7583" s="21"/>
    </row>
    <row r="7584" spans="15:15" x14ac:dyDescent="0.25">
      <c r="O7584" s="21"/>
    </row>
    <row r="7585" spans="15:15" x14ac:dyDescent="0.25">
      <c r="O7585" s="21"/>
    </row>
    <row r="7586" spans="15:15" x14ac:dyDescent="0.25">
      <c r="O7586" s="21"/>
    </row>
    <row r="7587" spans="15:15" x14ac:dyDescent="0.25">
      <c r="O7587" s="21"/>
    </row>
    <row r="7588" spans="15:15" x14ac:dyDescent="0.25">
      <c r="O7588" s="21"/>
    </row>
    <row r="7589" spans="15:15" x14ac:dyDescent="0.25">
      <c r="O7589" s="21"/>
    </row>
    <row r="7590" spans="15:15" x14ac:dyDescent="0.25">
      <c r="O7590" s="21"/>
    </row>
    <row r="7591" spans="15:15" x14ac:dyDescent="0.25">
      <c r="O7591" s="21"/>
    </row>
    <row r="7592" spans="15:15" x14ac:dyDescent="0.25">
      <c r="O7592" s="21"/>
    </row>
    <row r="7593" spans="15:15" x14ac:dyDescent="0.25">
      <c r="O7593" s="21"/>
    </row>
    <row r="7594" spans="15:15" x14ac:dyDescent="0.25">
      <c r="O7594" s="21"/>
    </row>
    <row r="7595" spans="15:15" x14ac:dyDescent="0.25">
      <c r="O7595" s="21"/>
    </row>
    <row r="7596" spans="15:15" x14ac:dyDescent="0.25">
      <c r="O7596" s="21"/>
    </row>
    <row r="7597" spans="15:15" x14ac:dyDescent="0.25">
      <c r="O7597" s="21"/>
    </row>
    <row r="7598" spans="15:15" x14ac:dyDescent="0.25">
      <c r="O7598" s="21"/>
    </row>
    <row r="7599" spans="15:15" x14ac:dyDescent="0.25">
      <c r="O7599" s="21"/>
    </row>
    <row r="7600" spans="15:15" x14ac:dyDescent="0.25">
      <c r="O7600" s="21"/>
    </row>
    <row r="7601" spans="15:15" x14ac:dyDescent="0.25">
      <c r="O7601" s="21"/>
    </row>
    <row r="7602" spans="15:15" x14ac:dyDescent="0.25">
      <c r="O7602" s="21"/>
    </row>
    <row r="7603" spans="15:15" x14ac:dyDescent="0.25">
      <c r="O7603" s="21"/>
    </row>
    <row r="7604" spans="15:15" x14ac:dyDescent="0.25">
      <c r="O7604" s="21"/>
    </row>
    <row r="7605" spans="15:15" x14ac:dyDescent="0.25">
      <c r="O7605" s="21"/>
    </row>
    <row r="7606" spans="15:15" x14ac:dyDescent="0.25">
      <c r="O7606" s="21"/>
    </row>
    <row r="7607" spans="15:15" x14ac:dyDescent="0.25">
      <c r="O7607" s="21"/>
    </row>
    <row r="7608" spans="15:15" x14ac:dyDescent="0.25">
      <c r="O7608" s="21"/>
    </row>
    <row r="7609" spans="15:15" x14ac:dyDescent="0.25">
      <c r="O7609" s="21"/>
    </row>
    <row r="7610" spans="15:15" x14ac:dyDescent="0.25">
      <c r="O7610" s="21"/>
    </row>
    <row r="7611" spans="15:15" x14ac:dyDescent="0.25">
      <c r="O7611" s="21"/>
    </row>
    <row r="7612" spans="15:15" x14ac:dyDescent="0.25">
      <c r="O7612" s="21"/>
    </row>
    <row r="7613" spans="15:15" x14ac:dyDescent="0.25">
      <c r="O7613" s="21"/>
    </row>
    <row r="7614" spans="15:15" x14ac:dyDescent="0.25">
      <c r="O7614" s="21"/>
    </row>
    <row r="7615" spans="15:15" x14ac:dyDescent="0.25">
      <c r="O7615" s="21"/>
    </row>
    <row r="7616" spans="15:15" x14ac:dyDescent="0.25">
      <c r="O7616" s="21"/>
    </row>
    <row r="7617" spans="15:15" x14ac:dyDescent="0.25">
      <c r="O7617" s="21"/>
    </row>
    <row r="7618" spans="15:15" x14ac:dyDescent="0.25">
      <c r="O7618" s="21"/>
    </row>
    <row r="7619" spans="15:15" x14ac:dyDescent="0.25">
      <c r="O7619" s="21"/>
    </row>
    <row r="7620" spans="15:15" x14ac:dyDescent="0.25">
      <c r="O7620" s="21"/>
    </row>
    <row r="7621" spans="15:15" x14ac:dyDescent="0.25">
      <c r="O7621" s="21"/>
    </row>
    <row r="7622" spans="15:15" x14ac:dyDescent="0.25">
      <c r="O7622" s="21"/>
    </row>
    <row r="7623" spans="15:15" x14ac:dyDescent="0.25">
      <c r="O7623" s="21"/>
    </row>
    <row r="7624" spans="15:15" x14ac:dyDescent="0.25">
      <c r="O7624" s="21"/>
    </row>
    <row r="7625" spans="15:15" x14ac:dyDescent="0.25">
      <c r="O7625" s="21"/>
    </row>
    <row r="7626" spans="15:15" x14ac:dyDescent="0.25">
      <c r="O7626" s="21"/>
    </row>
    <row r="7627" spans="15:15" x14ac:dyDescent="0.25">
      <c r="O7627" s="21"/>
    </row>
    <row r="7628" spans="15:15" x14ac:dyDescent="0.25">
      <c r="O7628" s="21"/>
    </row>
    <row r="7629" spans="15:15" x14ac:dyDescent="0.25">
      <c r="O7629" s="21"/>
    </row>
    <row r="7630" spans="15:15" x14ac:dyDescent="0.25">
      <c r="O7630" s="21"/>
    </row>
    <row r="7631" spans="15:15" x14ac:dyDescent="0.25">
      <c r="O7631" s="21"/>
    </row>
    <row r="7632" spans="15:15" x14ac:dyDescent="0.25">
      <c r="O7632" s="21"/>
    </row>
    <row r="7633" spans="15:15" x14ac:dyDescent="0.25">
      <c r="O7633" s="21"/>
    </row>
    <row r="7634" spans="15:15" x14ac:dyDescent="0.25">
      <c r="O7634" s="21"/>
    </row>
    <row r="7635" spans="15:15" x14ac:dyDescent="0.25">
      <c r="O7635" s="21"/>
    </row>
    <row r="7636" spans="15:15" x14ac:dyDescent="0.25">
      <c r="O7636" s="21"/>
    </row>
    <row r="7637" spans="15:15" x14ac:dyDescent="0.25">
      <c r="O7637" s="21"/>
    </row>
    <row r="7638" spans="15:15" x14ac:dyDescent="0.25">
      <c r="O7638" s="21"/>
    </row>
    <row r="7639" spans="15:15" x14ac:dyDescent="0.25">
      <c r="O7639" s="21"/>
    </row>
    <row r="7640" spans="15:15" x14ac:dyDescent="0.25">
      <c r="O7640" s="21"/>
    </row>
    <row r="7641" spans="15:15" x14ac:dyDescent="0.25">
      <c r="O7641" s="21"/>
    </row>
    <row r="7642" spans="15:15" x14ac:dyDescent="0.25">
      <c r="O7642" s="21"/>
    </row>
    <row r="7643" spans="15:15" x14ac:dyDescent="0.25">
      <c r="O7643" s="21"/>
    </row>
    <row r="7644" spans="15:15" x14ac:dyDescent="0.25">
      <c r="O7644" s="21"/>
    </row>
    <row r="7645" spans="15:15" x14ac:dyDescent="0.25">
      <c r="O7645" s="21"/>
    </row>
    <row r="7646" spans="15:15" x14ac:dyDescent="0.25">
      <c r="O7646" s="21"/>
    </row>
    <row r="7647" spans="15:15" x14ac:dyDescent="0.25">
      <c r="O7647" s="21"/>
    </row>
    <row r="7648" spans="15:15" x14ac:dyDescent="0.25">
      <c r="O7648" s="21"/>
    </row>
    <row r="7649" spans="15:15" x14ac:dyDescent="0.25">
      <c r="O7649" s="21"/>
    </row>
    <row r="7650" spans="15:15" x14ac:dyDescent="0.25">
      <c r="O7650" s="21"/>
    </row>
    <row r="7651" spans="15:15" x14ac:dyDescent="0.25">
      <c r="O7651" s="21"/>
    </row>
    <row r="7652" spans="15:15" x14ac:dyDescent="0.25">
      <c r="O7652" s="21"/>
    </row>
    <row r="7653" spans="15:15" x14ac:dyDescent="0.25">
      <c r="O7653" s="21"/>
    </row>
    <row r="7654" spans="15:15" x14ac:dyDescent="0.25">
      <c r="O7654" s="21"/>
    </row>
    <row r="7655" spans="15:15" x14ac:dyDescent="0.25">
      <c r="O7655" s="21"/>
    </row>
    <row r="7656" spans="15:15" x14ac:dyDescent="0.25">
      <c r="O7656" s="21"/>
    </row>
    <row r="7657" spans="15:15" x14ac:dyDescent="0.25">
      <c r="O7657" s="21"/>
    </row>
    <row r="7658" spans="15:15" x14ac:dyDescent="0.25">
      <c r="O7658" s="21"/>
    </row>
    <row r="7659" spans="15:15" x14ac:dyDescent="0.25">
      <c r="O7659" s="21"/>
    </row>
    <row r="7660" spans="15:15" x14ac:dyDescent="0.25">
      <c r="O7660" s="21"/>
    </row>
    <row r="7661" spans="15:15" x14ac:dyDescent="0.25">
      <c r="O7661" s="21"/>
    </row>
    <row r="7662" spans="15:15" x14ac:dyDescent="0.25">
      <c r="O7662" s="21"/>
    </row>
    <row r="7663" spans="15:15" x14ac:dyDescent="0.25">
      <c r="O7663" s="21"/>
    </row>
    <row r="7664" spans="15:15" x14ac:dyDescent="0.25">
      <c r="O7664" s="21"/>
    </row>
    <row r="7665" spans="15:15" x14ac:dyDescent="0.25">
      <c r="O7665" s="21"/>
    </row>
    <row r="7666" spans="15:15" x14ac:dyDescent="0.25">
      <c r="O7666" s="21"/>
    </row>
    <row r="7667" spans="15:15" x14ac:dyDescent="0.25">
      <c r="O7667" s="21"/>
    </row>
    <row r="7668" spans="15:15" x14ac:dyDescent="0.25">
      <c r="O7668" s="21"/>
    </row>
    <row r="7669" spans="15:15" x14ac:dyDescent="0.25">
      <c r="O7669" s="21"/>
    </row>
    <row r="7670" spans="15:15" x14ac:dyDescent="0.25">
      <c r="O7670" s="21"/>
    </row>
    <row r="7671" spans="15:15" x14ac:dyDescent="0.25">
      <c r="O7671" s="21"/>
    </row>
    <row r="7672" spans="15:15" x14ac:dyDescent="0.25">
      <c r="O7672" s="21"/>
    </row>
    <row r="7673" spans="15:15" x14ac:dyDescent="0.25">
      <c r="O7673" s="21"/>
    </row>
    <row r="7674" spans="15:15" x14ac:dyDescent="0.25">
      <c r="O7674" s="21"/>
    </row>
    <row r="7675" spans="15:15" x14ac:dyDescent="0.25">
      <c r="O7675" s="21"/>
    </row>
    <row r="7676" spans="15:15" x14ac:dyDescent="0.25">
      <c r="O7676" s="21"/>
    </row>
    <row r="7677" spans="15:15" x14ac:dyDescent="0.25">
      <c r="O7677" s="21"/>
    </row>
    <row r="7678" spans="15:15" x14ac:dyDescent="0.25">
      <c r="O7678" s="21"/>
    </row>
    <row r="7679" spans="15:15" x14ac:dyDescent="0.25">
      <c r="O7679" s="21"/>
    </row>
    <row r="7680" spans="15:15" x14ac:dyDescent="0.25">
      <c r="O7680" s="21"/>
    </row>
    <row r="7681" spans="15:15" x14ac:dyDescent="0.25">
      <c r="O7681" s="21"/>
    </row>
    <row r="7682" spans="15:15" x14ac:dyDescent="0.25">
      <c r="O7682" s="21"/>
    </row>
    <row r="7683" spans="15:15" x14ac:dyDescent="0.25">
      <c r="O7683" s="21"/>
    </row>
    <row r="7684" spans="15:15" x14ac:dyDescent="0.25">
      <c r="O7684" s="21"/>
    </row>
    <row r="7685" spans="15:15" x14ac:dyDescent="0.25">
      <c r="O7685" s="21"/>
    </row>
    <row r="7686" spans="15:15" x14ac:dyDescent="0.25">
      <c r="O7686" s="21"/>
    </row>
    <row r="7687" spans="15:15" x14ac:dyDescent="0.25">
      <c r="O7687" s="21"/>
    </row>
    <row r="7688" spans="15:15" x14ac:dyDescent="0.25">
      <c r="O7688" s="21"/>
    </row>
    <row r="7689" spans="15:15" x14ac:dyDescent="0.25">
      <c r="O7689" s="21"/>
    </row>
    <row r="7690" spans="15:15" x14ac:dyDescent="0.25">
      <c r="O7690" s="21"/>
    </row>
    <row r="7691" spans="15:15" x14ac:dyDescent="0.25">
      <c r="O7691" s="21"/>
    </row>
    <row r="7692" spans="15:15" x14ac:dyDescent="0.25">
      <c r="O7692" s="21"/>
    </row>
    <row r="7693" spans="15:15" x14ac:dyDescent="0.25">
      <c r="O7693" s="21"/>
    </row>
    <row r="7694" spans="15:15" x14ac:dyDescent="0.25">
      <c r="O7694" s="21"/>
    </row>
    <row r="7695" spans="15:15" x14ac:dyDescent="0.25">
      <c r="O7695" s="21"/>
    </row>
    <row r="7696" spans="15:15" x14ac:dyDescent="0.25">
      <c r="O7696" s="21"/>
    </row>
    <row r="7697" spans="15:15" x14ac:dyDescent="0.25">
      <c r="O7697" s="21"/>
    </row>
    <row r="7698" spans="15:15" x14ac:dyDescent="0.25">
      <c r="O7698" s="21"/>
    </row>
    <row r="7699" spans="15:15" x14ac:dyDescent="0.25">
      <c r="O7699" s="21"/>
    </row>
    <row r="7700" spans="15:15" x14ac:dyDescent="0.25">
      <c r="O7700" s="21"/>
    </row>
    <row r="7701" spans="15:15" x14ac:dyDescent="0.25">
      <c r="O7701" s="21"/>
    </row>
    <row r="7702" spans="15:15" x14ac:dyDescent="0.25">
      <c r="O7702" s="21"/>
    </row>
    <row r="7703" spans="15:15" x14ac:dyDescent="0.25">
      <c r="O7703" s="21"/>
    </row>
    <row r="7704" spans="15:15" x14ac:dyDescent="0.25">
      <c r="O7704" s="21"/>
    </row>
    <row r="7705" spans="15:15" x14ac:dyDescent="0.25">
      <c r="O7705" s="21"/>
    </row>
    <row r="7706" spans="15:15" x14ac:dyDescent="0.25">
      <c r="O7706" s="21"/>
    </row>
    <row r="7707" spans="15:15" x14ac:dyDescent="0.25">
      <c r="O7707" s="21"/>
    </row>
    <row r="7708" spans="15:15" x14ac:dyDescent="0.25">
      <c r="O7708" s="21"/>
    </row>
    <row r="7709" spans="15:15" x14ac:dyDescent="0.25">
      <c r="O7709" s="21"/>
    </row>
    <row r="7710" spans="15:15" x14ac:dyDescent="0.25">
      <c r="O7710" s="21"/>
    </row>
    <row r="7711" spans="15:15" x14ac:dyDescent="0.25">
      <c r="O7711" s="21"/>
    </row>
    <row r="7712" spans="15:15" x14ac:dyDescent="0.25">
      <c r="O7712" s="21"/>
    </row>
    <row r="7713" spans="15:15" x14ac:dyDescent="0.25">
      <c r="O7713" s="21"/>
    </row>
    <row r="7714" spans="15:15" x14ac:dyDescent="0.25">
      <c r="O7714" s="21"/>
    </row>
    <row r="7715" spans="15:15" x14ac:dyDescent="0.25">
      <c r="O7715" s="21"/>
    </row>
    <row r="7716" spans="15:15" x14ac:dyDescent="0.25">
      <c r="O7716" s="21"/>
    </row>
    <row r="7717" spans="15:15" x14ac:dyDescent="0.25">
      <c r="O7717" s="21"/>
    </row>
    <row r="7718" spans="15:15" x14ac:dyDescent="0.25">
      <c r="O7718" s="21"/>
    </row>
    <row r="7719" spans="15:15" x14ac:dyDescent="0.25">
      <c r="O7719" s="21"/>
    </row>
    <row r="7720" spans="15:15" x14ac:dyDescent="0.25">
      <c r="O7720" s="21"/>
    </row>
    <row r="7721" spans="15:15" x14ac:dyDescent="0.25">
      <c r="O7721" s="21"/>
    </row>
    <row r="7722" spans="15:15" x14ac:dyDescent="0.25">
      <c r="O7722" s="21"/>
    </row>
    <row r="7723" spans="15:15" x14ac:dyDescent="0.25">
      <c r="O7723" s="21"/>
    </row>
    <row r="7724" spans="15:15" x14ac:dyDescent="0.25">
      <c r="O7724" s="21"/>
    </row>
    <row r="7725" spans="15:15" x14ac:dyDescent="0.25">
      <c r="O7725" s="21"/>
    </row>
    <row r="7726" spans="15:15" x14ac:dyDescent="0.25">
      <c r="O7726" s="21"/>
    </row>
    <row r="7727" spans="15:15" x14ac:dyDescent="0.25">
      <c r="O7727" s="21"/>
    </row>
    <row r="7728" spans="15:15" x14ac:dyDescent="0.25">
      <c r="O7728" s="21"/>
    </row>
    <row r="7729" spans="15:15" x14ac:dyDescent="0.25">
      <c r="O7729" s="21"/>
    </row>
    <row r="7730" spans="15:15" x14ac:dyDescent="0.25">
      <c r="O7730" s="21"/>
    </row>
    <row r="7731" spans="15:15" x14ac:dyDescent="0.25">
      <c r="O7731" s="21"/>
    </row>
    <row r="7732" spans="15:15" x14ac:dyDescent="0.25">
      <c r="O7732" s="21"/>
    </row>
    <row r="7733" spans="15:15" x14ac:dyDescent="0.25">
      <c r="O7733" s="21"/>
    </row>
    <row r="7734" spans="15:15" x14ac:dyDescent="0.25">
      <c r="O7734" s="21"/>
    </row>
    <row r="7735" spans="15:15" x14ac:dyDescent="0.25">
      <c r="O7735" s="21"/>
    </row>
    <row r="7736" spans="15:15" x14ac:dyDescent="0.25">
      <c r="O7736" s="21"/>
    </row>
    <row r="7737" spans="15:15" x14ac:dyDescent="0.25">
      <c r="O7737" s="21"/>
    </row>
    <row r="7738" spans="15:15" x14ac:dyDescent="0.25">
      <c r="O7738" s="21"/>
    </row>
    <row r="7739" spans="15:15" x14ac:dyDescent="0.25">
      <c r="O7739" s="21"/>
    </row>
    <row r="7740" spans="15:15" x14ac:dyDescent="0.25">
      <c r="O7740" s="21"/>
    </row>
    <row r="7741" spans="15:15" x14ac:dyDescent="0.25">
      <c r="O7741" s="21"/>
    </row>
    <row r="7742" spans="15:15" x14ac:dyDescent="0.25">
      <c r="O7742" s="21"/>
    </row>
    <row r="7743" spans="15:15" x14ac:dyDescent="0.25">
      <c r="O7743" s="21"/>
    </row>
    <row r="7744" spans="15:15" x14ac:dyDescent="0.25">
      <c r="O7744" s="21"/>
    </row>
    <row r="7745" spans="15:15" x14ac:dyDescent="0.25">
      <c r="O7745" s="21"/>
    </row>
    <row r="7746" spans="15:15" x14ac:dyDescent="0.25">
      <c r="O7746" s="21"/>
    </row>
    <row r="7747" spans="15:15" x14ac:dyDescent="0.25">
      <c r="O7747" s="21"/>
    </row>
    <row r="7748" spans="15:15" x14ac:dyDescent="0.25">
      <c r="O7748" s="21"/>
    </row>
    <row r="7749" spans="15:15" x14ac:dyDescent="0.25">
      <c r="O7749" s="21"/>
    </row>
    <row r="7750" spans="15:15" x14ac:dyDescent="0.25">
      <c r="O7750" s="21"/>
    </row>
    <row r="7751" spans="15:15" x14ac:dyDescent="0.25">
      <c r="O7751" s="21"/>
    </row>
    <row r="7752" spans="15:15" x14ac:dyDescent="0.25">
      <c r="O7752" s="21"/>
    </row>
    <row r="7753" spans="15:15" x14ac:dyDescent="0.25">
      <c r="O7753" s="21"/>
    </row>
    <row r="7754" spans="15:15" x14ac:dyDescent="0.25">
      <c r="O7754" s="21"/>
    </row>
    <row r="7755" spans="15:15" x14ac:dyDescent="0.25">
      <c r="O7755" s="21"/>
    </row>
    <row r="7756" spans="15:15" x14ac:dyDescent="0.25">
      <c r="O7756" s="21"/>
    </row>
    <row r="7757" spans="15:15" x14ac:dyDescent="0.25">
      <c r="O7757" s="21"/>
    </row>
    <row r="7758" spans="15:15" x14ac:dyDescent="0.25">
      <c r="O7758" s="21"/>
    </row>
    <row r="7759" spans="15:15" x14ac:dyDescent="0.25">
      <c r="O7759" s="21"/>
    </row>
    <row r="7760" spans="15:15" x14ac:dyDescent="0.25">
      <c r="O7760" s="21"/>
    </row>
    <row r="7761" spans="15:15" x14ac:dyDescent="0.25">
      <c r="O7761" s="21"/>
    </row>
    <row r="7762" spans="15:15" x14ac:dyDescent="0.25">
      <c r="O7762" s="21"/>
    </row>
    <row r="7763" spans="15:15" x14ac:dyDescent="0.25">
      <c r="O7763" s="21"/>
    </row>
    <row r="7764" spans="15:15" x14ac:dyDescent="0.25">
      <c r="O7764" s="21"/>
    </row>
    <row r="7765" spans="15:15" x14ac:dyDescent="0.25">
      <c r="O7765" s="21"/>
    </row>
    <row r="7766" spans="15:15" x14ac:dyDescent="0.25">
      <c r="O7766" s="21"/>
    </row>
    <row r="7767" spans="15:15" x14ac:dyDescent="0.25">
      <c r="O7767" s="21"/>
    </row>
    <row r="7768" spans="15:15" x14ac:dyDescent="0.25">
      <c r="O7768" s="21"/>
    </row>
    <row r="7769" spans="15:15" x14ac:dyDescent="0.25">
      <c r="O7769" s="21"/>
    </row>
    <row r="7770" spans="15:15" x14ac:dyDescent="0.25">
      <c r="O7770" s="21"/>
    </row>
    <row r="7771" spans="15:15" x14ac:dyDescent="0.25">
      <c r="O7771" s="21"/>
    </row>
    <row r="7772" spans="15:15" x14ac:dyDescent="0.25">
      <c r="O7772" s="21"/>
    </row>
    <row r="7773" spans="15:15" x14ac:dyDescent="0.25">
      <c r="O7773" s="21"/>
    </row>
    <row r="7774" spans="15:15" x14ac:dyDescent="0.25">
      <c r="O7774" s="21"/>
    </row>
    <row r="7775" spans="15:15" x14ac:dyDescent="0.25">
      <c r="O7775" s="21"/>
    </row>
    <row r="7776" spans="15:15" x14ac:dyDescent="0.25">
      <c r="O7776" s="21"/>
    </row>
    <row r="7777" spans="15:15" x14ac:dyDescent="0.25">
      <c r="O7777" s="21"/>
    </row>
    <row r="7778" spans="15:15" x14ac:dyDescent="0.25">
      <c r="O7778" s="21"/>
    </row>
    <row r="7779" spans="15:15" x14ac:dyDescent="0.25">
      <c r="O7779" s="21"/>
    </row>
    <row r="7780" spans="15:15" x14ac:dyDescent="0.25">
      <c r="O7780" s="21"/>
    </row>
    <row r="7781" spans="15:15" x14ac:dyDescent="0.25">
      <c r="O7781" s="21"/>
    </row>
    <row r="7782" spans="15:15" x14ac:dyDescent="0.25">
      <c r="O7782" s="21"/>
    </row>
    <row r="7783" spans="15:15" x14ac:dyDescent="0.25">
      <c r="O7783" s="21"/>
    </row>
    <row r="7784" spans="15:15" x14ac:dyDescent="0.25">
      <c r="O7784" s="21"/>
    </row>
    <row r="7785" spans="15:15" x14ac:dyDescent="0.25">
      <c r="O7785" s="21"/>
    </row>
    <row r="7786" spans="15:15" x14ac:dyDescent="0.25">
      <c r="O7786" s="21"/>
    </row>
    <row r="7787" spans="15:15" x14ac:dyDescent="0.25">
      <c r="O7787" s="21"/>
    </row>
    <row r="7788" spans="15:15" x14ac:dyDescent="0.25">
      <c r="O7788" s="21"/>
    </row>
    <row r="7789" spans="15:15" x14ac:dyDescent="0.25">
      <c r="O7789" s="21"/>
    </row>
    <row r="7790" spans="15:15" x14ac:dyDescent="0.25">
      <c r="O7790" s="21"/>
    </row>
    <row r="7791" spans="15:15" x14ac:dyDescent="0.25">
      <c r="O7791" s="21"/>
    </row>
    <row r="7792" spans="15:15" x14ac:dyDescent="0.25">
      <c r="O7792" s="21"/>
    </row>
    <row r="7793" spans="15:15" x14ac:dyDescent="0.25">
      <c r="O7793" s="21"/>
    </row>
    <row r="7794" spans="15:15" x14ac:dyDescent="0.25">
      <c r="O7794" s="21"/>
    </row>
    <row r="7795" spans="15:15" x14ac:dyDescent="0.25">
      <c r="O7795" s="21"/>
    </row>
    <row r="7796" spans="15:15" x14ac:dyDescent="0.25">
      <c r="O7796" s="21"/>
    </row>
    <row r="7797" spans="15:15" x14ac:dyDescent="0.25">
      <c r="O7797" s="21"/>
    </row>
    <row r="7798" spans="15:15" x14ac:dyDescent="0.25">
      <c r="O7798" s="21"/>
    </row>
    <row r="7799" spans="15:15" x14ac:dyDescent="0.25">
      <c r="O7799" s="21"/>
    </row>
    <row r="7800" spans="15:15" x14ac:dyDescent="0.25">
      <c r="O7800" s="21"/>
    </row>
    <row r="7801" spans="15:15" x14ac:dyDescent="0.25">
      <c r="O7801" s="21"/>
    </row>
    <row r="7802" spans="15:15" x14ac:dyDescent="0.25">
      <c r="O7802" s="21"/>
    </row>
    <row r="7803" spans="15:15" x14ac:dyDescent="0.25">
      <c r="O7803" s="21"/>
    </row>
    <row r="7804" spans="15:15" x14ac:dyDescent="0.25">
      <c r="O7804" s="21"/>
    </row>
    <row r="7805" spans="15:15" x14ac:dyDescent="0.25">
      <c r="O7805" s="21"/>
    </row>
    <row r="7806" spans="15:15" x14ac:dyDescent="0.25">
      <c r="O7806" s="21"/>
    </row>
    <row r="7807" spans="15:15" x14ac:dyDescent="0.25">
      <c r="O7807" s="21"/>
    </row>
    <row r="7808" spans="15:15" x14ac:dyDescent="0.25">
      <c r="O7808" s="21"/>
    </row>
    <row r="7809" spans="15:15" x14ac:dyDescent="0.25">
      <c r="O7809" s="21"/>
    </row>
    <row r="7810" spans="15:15" x14ac:dyDescent="0.25">
      <c r="O7810" s="21"/>
    </row>
    <row r="7811" spans="15:15" x14ac:dyDescent="0.25">
      <c r="O7811" s="21"/>
    </row>
    <row r="7812" spans="15:15" x14ac:dyDescent="0.25">
      <c r="O7812" s="21"/>
    </row>
    <row r="7813" spans="15:15" x14ac:dyDescent="0.25">
      <c r="O7813" s="21"/>
    </row>
    <row r="7814" spans="15:15" x14ac:dyDescent="0.25">
      <c r="O7814" s="21"/>
    </row>
    <row r="7815" spans="15:15" x14ac:dyDescent="0.25">
      <c r="O7815" s="21"/>
    </row>
    <row r="7816" spans="15:15" x14ac:dyDescent="0.25">
      <c r="O7816" s="21"/>
    </row>
    <row r="7817" spans="15:15" x14ac:dyDescent="0.25">
      <c r="O7817" s="21"/>
    </row>
    <row r="7818" spans="15:15" x14ac:dyDescent="0.25">
      <c r="O7818" s="21"/>
    </row>
    <row r="7819" spans="15:15" x14ac:dyDescent="0.25">
      <c r="O7819" s="21"/>
    </row>
    <row r="7820" spans="15:15" x14ac:dyDescent="0.25">
      <c r="O7820" s="21"/>
    </row>
    <row r="7821" spans="15:15" x14ac:dyDescent="0.25">
      <c r="O7821" s="21"/>
    </row>
    <row r="7822" spans="15:15" x14ac:dyDescent="0.25">
      <c r="O7822" s="21"/>
    </row>
    <row r="7823" spans="15:15" x14ac:dyDescent="0.25">
      <c r="O7823" s="21"/>
    </row>
    <row r="7824" spans="15:15" x14ac:dyDescent="0.25">
      <c r="O7824" s="21"/>
    </row>
    <row r="7825" spans="15:15" x14ac:dyDescent="0.25">
      <c r="O7825" s="21"/>
    </row>
    <row r="7826" spans="15:15" x14ac:dyDescent="0.25">
      <c r="O7826" s="21"/>
    </row>
    <row r="7827" spans="15:15" x14ac:dyDescent="0.25">
      <c r="O7827" s="21"/>
    </row>
    <row r="7828" spans="15:15" x14ac:dyDescent="0.25">
      <c r="O7828" s="21"/>
    </row>
    <row r="7829" spans="15:15" x14ac:dyDescent="0.25">
      <c r="O7829" s="21"/>
    </row>
    <row r="7830" spans="15:15" x14ac:dyDescent="0.25">
      <c r="O7830" s="21"/>
    </row>
    <row r="7831" spans="15:15" x14ac:dyDescent="0.25">
      <c r="O7831" s="21"/>
    </row>
    <row r="7832" spans="15:15" x14ac:dyDescent="0.25">
      <c r="O7832" s="21"/>
    </row>
    <row r="7833" spans="15:15" x14ac:dyDescent="0.25">
      <c r="O7833" s="21"/>
    </row>
    <row r="7834" spans="15:15" x14ac:dyDescent="0.25">
      <c r="O7834" s="21"/>
    </row>
    <row r="7835" spans="15:15" x14ac:dyDescent="0.25">
      <c r="O7835" s="21"/>
    </row>
    <row r="7836" spans="15:15" x14ac:dyDescent="0.25">
      <c r="O7836" s="21"/>
    </row>
    <row r="7837" spans="15:15" x14ac:dyDescent="0.25">
      <c r="O7837" s="21"/>
    </row>
    <row r="7838" spans="15:15" x14ac:dyDescent="0.25">
      <c r="O7838" s="21"/>
    </row>
    <row r="7839" spans="15:15" x14ac:dyDescent="0.25">
      <c r="O7839" s="21"/>
    </row>
    <row r="7840" spans="15:15" x14ac:dyDescent="0.25">
      <c r="O7840" s="21"/>
    </row>
    <row r="7841" spans="15:15" x14ac:dyDescent="0.25">
      <c r="O7841" s="21"/>
    </row>
    <row r="7842" spans="15:15" x14ac:dyDescent="0.25">
      <c r="O7842" s="21"/>
    </row>
    <row r="7843" spans="15:15" x14ac:dyDescent="0.25">
      <c r="O7843" s="21"/>
    </row>
    <row r="7844" spans="15:15" x14ac:dyDescent="0.25">
      <c r="O7844" s="21"/>
    </row>
    <row r="7845" spans="15:15" x14ac:dyDescent="0.25">
      <c r="O7845" s="21"/>
    </row>
    <row r="7846" spans="15:15" x14ac:dyDescent="0.25">
      <c r="O7846" s="21"/>
    </row>
    <row r="7847" spans="15:15" x14ac:dyDescent="0.25">
      <c r="O7847" s="21"/>
    </row>
    <row r="7848" spans="15:15" x14ac:dyDescent="0.25">
      <c r="O7848" s="21"/>
    </row>
    <row r="7849" spans="15:15" x14ac:dyDescent="0.25">
      <c r="O7849" s="21"/>
    </row>
    <row r="7850" spans="15:15" x14ac:dyDescent="0.25">
      <c r="O7850" s="21"/>
    </row>
    <row r="7851" spans="15:15" x14ac:dyDescent="0.25">
      <c r="O7851" s="21"/>
    </row>
    <row r="7852" spans="15:15" x14ac:dyDescent="0.25">
      <c r="O7852" s="21"/>
    </row>
    <row r="7853" spans="15:15" x14ac:dyDescent="0.25">
      <c r="O7853" s="21"/>
    </row>
    <row r="7854" spans="15:15" x14ac:dyDescent="0.25">
      <c r="O7854" s="21"/>
    </row>
    <row r="7855" spans="15:15" x14ac:dyDescent="0.25">
      <c r="O7855" s="21"/>
    </row>
    <row r="7856" spans="15:15" x14ac:dyDescent="0.25">
      <c r="O7856" s="21"/>
    </row>
    <row r="7857" spans="15:15" x14ac:dyDescent="0.25">
      <c r="O7857" s="21"/>
    </row>
    <row r="7858" spans="15:15" x14ac:dyDescent="0.25">
      <c r="O7858" s="21"/>
    </row>
    <row r="7859" spans="15:15" x14ac:dyDescent="0.25">
      <c r="O7859" s="21"/>
    </row>
    <row r="7860" spans="15:15" x14ac:dyDescent="0.25">
      <c r="O7860" s="21"/>
    </row>
    <row r="7861" spans="15:15" x14ac:dyDescent="0.25">
      <c r="O7861" s="21"/>
    </row>
    <row r="7862" spans="15:15" x14ac:dyDescent="0.25">
      <c r="O7862" s="21"/>
    </row>
    <row r="7863" spans="15:15" x14ac:dyDescent="0.25">
      <c r="O7863" s="21"/>
    </row>
    <row r="7864" spans="15:15" x14ac:dyDescent="0.25">
      <c r="O7864" s="21"/>
    </row>
    <row r="7865" spans="15:15" x14ac:dyDescent="0.25">
      <c r="O7865" s="21"/>
    </row>
    <row r="7866" spans="15:15" x14ac:dyDescent="0.25">
      <c r="O7866" s="21"/>
    </row>
    <row r="7867" spans="15:15" x14ac:dyDescent="0.25">
      <c r="O7867" s="21"/>
    </row>
    <row r="7868" spans="15:15" x14ac:dyDescent="0.25">
      <c r="O7868" s="21"/>
    </row>
    <row r="7869" spans="15:15" x14ac:dyDescent="0.25">
      <c r="O7869" s="21"/>
    </row>
    <row r="7870" spans="15:15" x14ac:dyDescent="0.25">
      <c r="O7870" s="21"/>
    </row>
    <row r="7871" spans="15:15" x14ac:dyDescent="0.25">
      <c r="O7871" s="21"/>
    </row>
    <row r="7872" spans="15:15" x14ac:dyDescent="0.25">
      <c r="O7872" s="21"/>
    </row>
    <row r="7873" spans="15:15" x14ac:dyDescent="0.25">
      <c r="O7873" s="21"/>
    </row>
    <row r="7874" spans="15:15" x14ac:dyDescent="0.25">
      <c r="O7874" s="21"/>
    </row>
    <row r="7875" spans="15:15" x14ac:dyDescent="0.25">
      <c r="O7875" s="21"/>
    </row>
    <row r="7876" spans="15:15" x14ac:dyDescent="0.25">
      <c r="O7876" s="21"/>
    </row>
    <row r="7877" spans="15:15" x14ac:dyDescent="0.25">
      <c r="O7877" s="21"/>
    </row>
    <row r="7878" spans="15:15" x14ac:dyDescent="0.25">
      <c r="O7878" s="21"/>
    </row>
    <row r="7879" spans="15:15" x14ac:dyDescent="0.25">
      <c r="O7879" s="21"/>
    </row>
    <row r="7880" spans="15:15" x14ac:dyDescent="0.25">
      <c r="O7880" s="21"/>
    </row>
    <row r="7881" spans="15:15" x14ac:dyDescent="0.25">
      <c r="O7881" s="21"/>
    </row>
    <row r="7882" spans="15:15" x14ac:dyDescent="0.25">
      <c r="O7882" s="21"/>
    </row>
    <row r="7883" spans="15:15" x14ac:dyDescent="0.25">
      <c r="O7883" s="21"/>
    </row>
    <row r="7884" spans="15:15" x14ac:dyDescent="0.25">
      <c r="O7884" s="21"/>
    </row>
    <row r="7885" spans="15:15" x14ac:dyDescent="0.25">
      <c r="O7885" s="21"/>
    </row>
    <row r="7886" spans="15:15" x14ac:dyDescent="0.25">
      <c r="O7886" s="21"/>
    </row>
    <row r="7887" spans="15:15" x14ac:dyDescent="0.25">
      <c r="O7887" s="21"/>
    </row>
    <row r="7888" spans="15:15" x14ac:dyDescent="0.25">
      <c r="O7888" s="21"/>
    </row>
    <row r="7889" spans="15:15" x14ac:dyDescent="0.25">
      <c r="O7889" s="21"/>
    </row>
    <row r="7890" spans="15:15" x14ac:dyDescent="0.25">
      <c r="O7890" s="21"/>
    </row>
    <row r="7891" spans="15:15" x14ac:dyDescent="0.25">
      <c r="O7891" s="21"/>
    </row>
    <row r="7892" spans="15:15" x14ac:dyDescent="0.25">
      <c r="O7892" s="21"/>
    </row>
    <row r="7893" spans="15:15" x14ac:dyDescent="0.25">
      <c r="O7893" s="21"/>
    </row>
    <row r="7894" spans="15:15" x14ac:dyDescent="0.25">
      <c r="O7894" s="21"/>
    </row>
    <row r="7895" spans="15:15" x14ac:dyDescent="0.25">
      <c r="O7895" s="21"/>
    </row>
    <row r="7896" spans="15:15" x14ac:dyDescent="0.25">
      <c r="O7896" s="21"/>
    </row>
    <row r="7897" spans="15:15" x14ac:dyDescent="0.25">
      <c r="O7897" s="21"/>
    </row>
    <row r="7898" spans="15:15" x14ac:dyDescent="0.25">
      <c r="O7898" s="21"/>
    </row>
    <row r="7899" spans="15:15" x14ac:dyDescent="0.25">
      <c r="O7899" s="21"/>
    </row>
    <row r="7900" spans="15:15" x14ac:dyDescent="0.25">
      <c r="O7900" s="21"/>
    </row>
    <row r="7901" spans="15:15" x14ac:dyDescent="0.25">
      <c r="O7901" s="21"/>
    </row>
    <row r="7902" spans="15:15" x14ac:dyDescent="0.25">
      <c r="O7902" s="21"/>
    </row>
    <row r="7903" spans="15:15" x14ac:dyDescent="0.25">
      <c r="O7903" s="21"/>
    </row>
    <row r="7904" spans="15:15" x14ac:dyDescent="0.25">
      <c r="O7904" s="21"/>
    </row>
    <row r="7905" spans="15:15" x14ac:dyDescent="0.25">
      <c r="O7905" s="21"/>
    </row>
    <row r="7906" spans="15:15" x14ac:dyDescent="0.25">
      <c r="O7906" s="21"/>
    </row>
    <row r="7907" spans="15:15" x14ac:dyDescent="0.25">
      <c r="O7907" s="21"/>
    </row>
    <row r="7908" spans="15:15" x14ac:dyDescent="0.25">
      <c r="O7908" s="21"/>
    </row>
    <row r="7909" spans="15:15" x14ac:dyDescent="0.25">
      <c r="O7909" s="21"/>
    </row>
    <row r="7910" spans="15:15" x14ac:dyDescent="0.25">
      <c r="O7910" s="21"/>
    </row>
    <row r="7911" spans="15:15" x14ac:dyDescent="0.25">
      <c r="O7911" s="21"/>
    </row>
    <row r="7912" spans="15:15" x14ac:dyDescent="0.25">
      <c r="O7912" s="21"/>
    </row>
    <row r="7913" spans="15:15" x14ac:dyDescent="0.25">
      <c r="O7913" s="21"/>
    </row>
    <row r="7914" spans="15:15" x14ac:dyDescent="0.25">
      <c r="O7914" s="21"/>
    </row>
    <row r="7915" spans="15:15" x14ac:dyDescent="0.25">
      <c r="O7915" s="21"/>
    </row>
    <row r="7916" spans="15:15" x14ac:dyDescent="0.25">
      <c r="O7916" s="21"/>
    </row>
    <row r="7917" spans="15:15" x14ac:dyDescent="0.25">
      <c r="O7917" s="21"/>
    </row>
    <row r="7918" spans="15:15" x14ac:dyDescent="0.25">
      <c r="O7918" s="21"/>
    </row>
    <row r="7919" spans="15:15" x14ac:dyDescent="0.25">
      <c r="O7919" s="21"/>
    </row>
    <row r="7920" spans="15:15" x14ac:dyDescent="0.25">
      <c r="O7920" s="21"/>
    </row>
    <row r="7921" spans="15:15" x14ac:dyDescent="0.25">
      <c r="O7921" s="21"/>
    </row>
    <row r="7922" spans="15:15" x14ac:dyDescent="0.25">
      <c r="O7922" s="21"/>
    </row>
    <row r="7923" spans="15:15" x14ac:dyDescent="0.25">
      <c r="O7923" s="21"/>
    </row>
    <row r="7924" spans="15:15" x14ac:dyDescent="0.25">
      <c r="O7924" s="21"/>
    </row>
    <row r="7925" spans="15:15" x14ac:dyDescent="0.25">
      <c r="O7925" s="21"/>
    </row>
    <row r="7926" spans="15:15" x14ac:dyDescent="0.25">
      <c r="O7926" s="21"/>
    </row>
    <row r="7927" spans="15:15" x14ac:dyDescent="0.25">
      <c r="O7927" s="21"/>
    </row>
    <row r="7928" spans="15:15" x14ac:dyDescent="0.25">
      <c r="O7928" s="21"/>
    </row>
    <row r="7929" spans="15:15" x14ac:dyDescent="0.25">
      <c r="O7929" s="21"/>
    </row>
    <row r="7930" spans="15:15" x14ac:dyDescent="0.25">
      <c r="O7930" s="21"/>
    </row>
    <row r="7931" spans="15:15" x14ac:dyDescent="0.25">
      <c r="O7931" s="21"/>
    </row>
    <row r="7932" spans="15:15" x14ac:dyDescent="0.25">
      <c r="O7932" s="21"/>
    </row>
    <row r="7933" spans="15:15" x14ac:dyDescent="0.25">
      <c r="O7933" s="21"/>
    </row>
    <row r="7934" spans="15:15" x14ac:dyDescent="0.25">
      <c r="O7934" s="21"/>
    </row>
    <row r="7935" spans="15:15" x14ac:dyDescent="0.25">
      <c r="O7935" s="21"/>
    </row>
    <row r="7936" spans="15:15" x14ac:dyDescent="0.25">
      <c r="O7936" s="21"/>
    </row>
    <row r="7937" spans="15:15" x14ac:dyDescent="0.25">
      <c r="O7937" s="21"/>
    </row>
    <row r="7938" spans="15:15" x14ac:dyDescent="0.25">
      <c r="O7938" s="21"/>
    </row>
    <row r="7939" spans="15:15" x14ac:dyDescent="0.25">
      <c r="O7939" s="21"/>
    </row>
    <row r="7940" spans="15:15" x14ac:dyDescent="0.25">
      <c r="O7940" s="21"/>
    </row>
    <row r="7941" spans="15:15" x14ac:dyDescent="0.25">
      <c r="O7941" s="21"/>
    </row>
    <row r="7942" spans="15:15" x14ac:dyDescent="0.25">
      <c r="O7942" s="21"/>
    </row>
    <row r="7943" spans="15:15" x14ac:dyDescent="0.25">
      <c r="O7943" s="21"/>
    </row>
    <row r="7944" spans="15:15" x14ac:dyDescent="0.25">
      <c r="O7944" s="21"/>
    </row>
    <row r="7945" spans="15:15" x14ac:dyDescent="0.25">
      <c r="O7945" s="21"/>
    </row>
    <row r="7946" spans="15:15" x14ac:dyDescent="0.25">
      <c r="O7946" s="21"/>
    </row>
    <row r="7947" spans="15:15" x14ac:dyDescent="0.25">
      <c r="O7947" s="21"/>
    </row>
    <row r="7948" spans="15:15" x14ac:dyDescent="0.25">
      <c r="O7948" s="21"/>
    </row>
    <row r="7949" spans="15:15" x14ac:dyDescent="0.25">
      <c r="O7949" s="21"/>
    </row>
    <row r="7950" spans="15:15" x14ac:dyDescent="0.25">
      <c r="O7950" s="21"/>
    </row>
    <row r="7951" spans="15:15" x14ac:dyDescent="0.25">
      <c r="O7951" s="21"/>
    </row>
    <row r="7952" spans="15:15" x14ac:dyDescent="0.25">
      <c r="O7952" s="21"/>
    </row>
    <row r="7953" spans="15:15" x14ac:dyDescent="0.25">
      <c r="O7953" s="21"/>
    </row>
    <row r="7954" spans="15:15" x14ac:dyDescent="0.25">
      <c r="O7954" s="21"/>
    </row>
    <row r="7955" spans="15:15" x14ac:dyDescent="0.25">
      <c r="O7955" s="21"/>
    </row>
    <row r="7956" spans="15:15" x14ac:dyDescent="0.25">
      <c r="O7956" s="21"/>
    </row>
    <row r="7957" spans="15:15" x14ac:dyDescent="0.25">
      <c r="O7957" s="21"/>
    </row>
    <row r="7958" spans="15:15" x14ac:dyDescent="0.25">
      <c r="O7958" s="21"/>
    </row>
    <row r="7959" spans="15:15" x14ac:dyDescent="0.25">
      <c r="O7959" s="21"/>
    </row>
    <row r="7960" spans="15:15" x14ac:dyDescent="0.25">
      <c r="O7960" s="21"/>
    </row>
    <row r="7961" spans="15:15" x14ac:dyDescent="0.25">
      <c r="O7961" s="21"/>
    </row>
    <row r="7962" spans="15:15" x14ac:dyDescent="0.25">
      <c r="O7962" s="21"/>
    </row>
    <row r="7963" spans="15:15" x14ac:dyDescent="0.25">
      <c r="O7963" s="21"/>
    </row>
    <row r="7964" spans="15:15" x14ac:dyDescent="0.25">
      <c r="O7964" s="21"/>
    </row>
    <row r="7965" spans="15:15" x14ac:dyDescent="0.25">
      <c r="O7965" s="21"/>
    </row>
    <row r="7966" spans="15:15" x14ac:dyDescent="0.25">
      <c r="O7966" s="21"/>
    </row>
    <row r="7967" spans="15:15" x14ac:dyDescent="0.25">
      <c r="O7967" s="21"/>
    </row>
    <row r="7968" spans="15:15" x14ac:dyDescent="0.25">
      <c r="O7968" s="21"/>
    </row>
    <row r="7969" spans="15:15" x14ac:dyDescent="0.25">
      <c r="O7969" s="21"/>
    </row>
    <row r="7970" spans="15:15" x14ac:dyDescent="0.25">
      <c r="O7970" s="21"/>
    </row>
    <row r="7971" spans="15:15" x14ac:dyDescent="0.25">
      <c r="O7971" s="21"/>
    </row>
    <row r="7972" spans="15:15" x14ac:dyDescent="0.25">
      <c r="O7972" s="21"/>
    </row>
    <row r="7973" spans="15:15" x14ac:dyDescent="0.25">
      <c r="O7973" s="21"/>
    </row>
    <row r="7974" spans="15:15" x14ac:dyDescent="0.25">
      <c r="O7974" s="21"/>
    </row>
    <row r="7975" spans="15:15" x14ac:dyDescent="0.25">
      <c r="O7975" s="21"/>
    </row>
    <row r="7976" spans="15:15" x14ac:dyDescent="0.25">
      <c r="O7976" s="21"/>
    </row>
    <row r="7977" spans="15:15" x14ac:dyDescent="0.25">
      <c r="O7977" s="21"/>
    </row>
    <row r="7978" spans="15:15" x14ac:dyDescent="0.25">
      <c r="O7978" s="21"/>
    </row>
    <row r="7979" spans="15:15" x14ac:dyDescent="0.25">
      <c r="O7979" s="21"/>
    </row>
    <row r="7980" spans="15:15" x14ac:dyDescent="0.25">
      <c r="O7980" s="21"/>
    </row>
    <row r="7981" spans="15:15" x14ac:dyDescent="0.25">
      <c r="O7981" s="21"/>
    </row>
    <row r="7982" spans="15:15" x14ac:dyDescent="0.25">
      <c r="O7982" s="21"/>
    </row>
    <row r="7983" spans="15:15" x14ac:dyDescent="0.25">
      <c r="O7983" s="21"/>
    </row>
    <row r="7984" spans="15:15" x14ac:dyDescent="0.25">
      <c r="O7984" s="21"/>
    </row>
    <row r="7985" spans="15:15" x14ac:dyDescent="0.25">
      <c r="O7985" s="21"/>
    </row>
    <row r="7986" spans="15:15" x14ac:dyDescent="0.25">
      <c r="O7986" s="21"/>
    </row>
    <row r="7987" spans="15:15" x14ac:dyDescent="0.25">
      <c r="O7987" s="21"/>
    </row>
    <row r="7988" spans="15:15" x14ac:dyDescent="0.25">
      <c r="O7988" s="21"/>
    </row>
    <row r="7989" spans="15:15" x14ac:dyDescent="0.25">
      <c r="O7989" s="21"/>
    </row>
    <row r="7990" spans="15:15" x14ac:dyDescent="0.25">
      <c r="O7990" s="21"/>
    </row>
    <row r="7991" spans="15:15" x14ac:dyDescent="0.25">
      <c r="O7991" s="21"/>
    </row>
    <row r="7992" spans="15:15" x14ac:dyDescent="0.25">
      <c r="O7992" s="21"/>
    </row>
    <row r="7993" spans="15:15" x14ac:dyDescent="0.25">
      <c r="O7993" s="21"/>
    </row>
    <row r="7994" spans="15:15" x14ac:dyDescent="0.25">
      <c r="O7994" s="21"/>
    </row>
    <row r="7995" spans="15:15" x14ac:dyDescent="0.25">
      <c r="O7995" s="21"/>
    </row>
    <row r="7996" spans="15:15" x14ac:dyDescent="0.25">
      <c r="O7996" s="21"/>
    </row>
    <row r="7997" spans="15:15" x14ac:dyDescent="0.25">
      <c r="O7997" s="21"/>
    </row>
    <row r="7998" spans="15:15" x14ac:dyDescent="0.25">
      <c r="O7998" s="21"/>
    </row>
    <row r="7999" spans="15:15" x14ac:dyDescent="0.25">
      <c r="O7999" s="21"/>
    </row>
    <row r="8000" spans="15:15" x14ac:dyDescent="0.25">
      <c r="O8000" s="21"/>
    </row>
    <row r="8001" spans="15:15" x14ac:dyDescent="0.25">
      <c r="O8001" s="21"/>
    </row>
    <row r="8002" spans="15:15" x14ac:dyDescent="0.25">
      <c r="O8002" s="21"/>
    </row>
    <row r="8003" spans="15:15" x14ac:dyDescent="0.25">
      <c r="O8003" s="21"/>
    </row>
    <row r="8004" spans="15:15" x14ac:dyDescent="0.25">
      <c r="O8004" s="21"/>
    </row>
    <row r="8005" spans="15:15" x14ac:dyDescent="0.25">
      <c r="O8005" s="21"/>
    </row>
    <row r="8006" spans="15:15" x14ac:dyDescent="0.25">
      <c r="O8006" s="21"/>
    </row>
    <row r="8007" spans="15:15" x14ac:dyDescent="0.25">
      <c r="O8007" s="21"/>
    </row>
    <row r="8008" spans="15:15" x14ac:dyDescent="0.25">
      <c r="O8008" s="21"/>
    </row>
    <row r="8009" spans="15:15" x14ac:dyDescent="0.25">
      <c r="O8009" s="21"/>
    </row>
    <row r="8010" spans="15:15" x14ac:dyDescent="0.25">
      <c r="O8010" s="21"/>
    </row>
    <row r="8011" spans="15:15" x14ac:dyDescent="0.25">
      <c r="O8011" s="21"/>
    </row>
    <row r="8012" spans="15:15" x14ac:dyDescent="0.25">
      <c r="O8012" s="21"/>
    </row>
    <row r="8013" spans="15:15" x14ac:dyDescent="0.25">
      <c r="O8013" s="21"/>
    </row>
    <row r="8014" spans="15:15" x14ac:dyDescent="0.25">
      <c r="O8014" s="21"/>
    </row>
    <row r="8015" spans="15:15" x14ac:dyDescent="0.25">
      <c r="O8015" s="21"/>
    </row>
    <row r="8016" spans="15:15" x14ac:dyDescent="0.25">
      <c r="O8016" s="21"/>
    </row>
    <row r="8017" spans="15:15" x14ac:dyDescent="0.25">
      <c r="O8017" s="21"/>
    </row>
    <row r="8018" spans="15:15" x14ac:dyDescent="0.25">
      <c r="O8018" s="21"/>
    </row>
    <row r="8019" spans="15:15" x14ac:dyDescent="0.25">
      <c r="O8019" s="21"/>
    </row>
    <row r="8020" spans="15:15" x14ac:dyDescent="0.25">
      <c r="O8020" s="21"/>
    </row>
    <row r="8021" spans="15:15" x14ac:dyDescent="0.25">
      <c r="O8021" s="21"/>
    </row>
    <row r="8022" spans="15:15" x14ac:dyDescent="0.25">
      <c r="O8022" s="21"/>
    </row>
    <row r="8023" spans="15:15" x14ac:dyDescent="0.25">
      <c r="O8023" s="21"/>
    </row>
    <row r="8024" spans="15:15" x14ac:dyDescent="0.25">
      <c r="O8024" s="21"/>
    </row>
    <row r="8025" spans="15:15" x14ac:dyDescent="0.25">
      <c r="O8025" s="21"/>
    </row>
    <row r="8026" spans="15:15" x14ac:dyDescent="0.25">
      <c r="O8026" s="21"/>
    </row>
    <row r="8027" spans="15:15" x14ac:dyDescent="0.25">
      <c r="O8027" s="21"/>
    </row>
    <row r="8028" spans="15:15" x14ac:dyDescent="0.25">
      <c r="O8028" s="21"/>
    </row>
    <row r="8029" spans="15:15" x14ac:dyDescent="0.25">
      <c r="O8029" s="21"/>
    </row>
    <row r="8030" spans="15:15" x14ac:dyDescent="0.25">
      <c r="O8030" s="21"/>
    </row>
    <row r="8031" spans="15:15" x14ac:dyDescent="0.25">
      <c r="O8031" s="21"/>
    </row>
    <row r="8032" spans="15:15" x14ac:dyDescent="0.25">
      <c r="O8032" s="21"/>
    </row>
    <row r="8033" spans="15:15" x14ac:dyDescent="0.25">
      <c r="O8033" s="21"/>
    </row>
    <row r="8034" spans="15:15" x14ac:dyDescent="0.25">
      <c r="O8034" s="21"/>
    </row>
    <row r="8035" spans="15:15" x14ac:dyDescent="0.25">
      <c r="O8035" s="21"/>
    </row>
    <row r="8036" spans="15:15" x14ac:dyDescent="0.25">
      <c r="O8036" s="21"/>
    </row>
    <row r="8037" spans="15:15" x14ac:dyDescent="0.25">
      <c r="O8037" s="21"/>
    </row>
    <row r="8038" spans="15:15" x14ac:dyDescent="0.25">
      <c r="O8038" s="21"/>
    </row>
    <row r="8039" spans="15:15" x14ac:dyDescent="0.25">
      <c r="O8039" s="21"/>
    </row>
    <row r="8040" spans="15:15" x14ac:dyDescent="0.25">
      <c r="O8040" s="21"/>
    </row>
    <row r="8041" spans="15:15" x14ac:dyDescent="0.25">
      <c r="O8041" s="21"/>
    </row>
    <row r="8042" spans="15:15" x14ac:dyDescent="0.25">
      <c r="O8042" s="21"/>
    </row>
    <row r="8043" spans="15:15" x14ac:dyDescent="0.25">
      <c r="O8043" s="21"/>
    </row>
    <row r="8044" spans="15:15" x14ac:dyDescent="0.25">
      <c r="O8044" s="21"/>
    </row>
    <row r="8045" spans="15:15" x14ac:dyDescent="0.25">
      <c r="O8045" s="21"/>
    </row>
    <row r="8046" spans="15:15" x14ac:dyDescent="0.25">
      <c r="O8046" s="21"/>
    </row>
    <row r="8047" spans="15:15" x14ac:dyDescent="0.25">
      <c r="O8047" s="21"/>
    </row>
    <row r="8048" spans="15:15" x14ac:dyDescent="0.25">
      <c r="O8048" s="21"/>
    </row>
    <row r="8049" spans="15:15" x14ac:dyDescent="0.25">
      <c r="O8049" s="21"/>
    </row>
    <row r="8050" spans="15:15" x14ac:dyDescent="0.25">
      <c r="O8050" s="21"/>
    </row>
    <row r="8051" spans="15:15" x14ac:dyDescent="0.25">
      <c r="O8051" s="21"/>
    </row>
    <row r="8052" spans="15:15" x14ac:dyDescent="0.25">
      <c r="O8052" s="21"/>
    </row>
    <row r="8053" spans="15:15" x14ac:dyDescent="0.25">
      <c r="O8053" s="21"/>
    </row>
    <row r="8054" spans="15:15" x14ac:dyDescent="0.25">
      <c r="O8054" s="21"/>
    </row>
    <row r="8055" spans="15:15" x14ac:dyDescent="0.25">
      <c r="O8055" s="21"/>
    </row>
    <row r="8056" spans="15:15" x14ac:dyDescent="0.25">
      <c r="O8056" s="21"/>
    </row>
    <row r="8057" spans="15:15" x14ac:dyDescent="0.25">
      <c r="O8057" s="21"/>
    </row>
    <row r="8058" spans="15:15" x14ac:dyDescent="0.25">
      <c r="O8058" s="21"/>
    </row>
    <row r="8059" spans="15:15" x14ac:dyDescent="0.25">
      <c r="O8059" s="21"/>
    </row>
    <row r="8060" spans="15:15" x14ac:dyDescent="0.25">
      <c r="O8060" s="21"/>
    </row>
    <row r="8061" spans="15:15" x14ac:dyDescent="0.25">
      <c r="O8061" s="21"/>
    </row>
    <row r="8062" spans="15:15" x14ac:dyDescent="0.25">
      <c r="O8062" s="21"/>
    </row>
    <row r="8063" spans="15:15" x14ac:dyDescent="0.25">
      <c r="O8063" s="21"/>
    </row>
    <row r="8064" spans="15:15" x14ac:dyDescent="0.25">
      <c r="O8064" s="21"/>
    </row>
    <row r="8065" spans="15:15" x14ac:dyDescent="0.25">
      <c r="O8065" s="21"/>
    </row>
    <row r="8066" spans="15:15" x14ac:dyDescent="0.25">
      <c r="O8066" s="21"/>
    </row>
    <row r="8067" spans="15:15" x14ac:dyDescent="0.25">
      <c r="O8067" s="21"/>
    </row>
    <row r="8068" spans="15:15" x14ac:dyDescent="0.25">
      <c r="O8068" s="21"/>
    </row>
    <row r="8069" spans="15:15" x14ac:dyDescent="0.25">
      <c r="O8069" s="21"/>
    </row>
    <row r="8070" spans="15:15" x14ac:dyDescent="0.25">
      <c r="O8070" s="21"/>
    </row>
    <row r="8071" spans="15:15" x14ac:dyDescent="0.25">
      <c r="O8071" s="21"/>
    </row>
    <row r="8072" spans="15:15" x14ac:dyDescent="0.25">
      <c r="O8072" s="21"/>
    </row>
    <row r="8073" spans="15:15" x14ac:dyDescent="0.25">
      <c r="O8073" s="21"/>
    </row>
    <row r="8074" spans="15:15" x14ac:dyDescent="0.25">
      <c r="O8074" s="21"/>
    </row>
    <row r="8075" spans="15:15" x14ac:dyDescent="0.25">
      <c r="O8075" s="21"/>
    </row>
    <row r="8076" spans="15:15" x14ac:dyDescent="0.25">
      <c r="O8076" s="21"/>
    </row>
    <row r="8077" spans="15:15" x14ac:dyDescent="0.25">
      <c r="O8077" s="21"/>
    </row>
    <row r="8078" spans="15:15" x14ac:dyDescent="0.25">
      <c r="O8078" s="21"/>
    </row>
    <row r="8079" spans="15:15" x14ac:dyDescent="0.25">
      <c r="O8079" s="21"/>
    </row>
    <row r="8080" spans="15:15" x14ac:dyDescent="0.25">
      <c r="O8080" s="21"/>
    </row>
    <row r="8081" spans="15:15" x14ac:dyDescent="0.25">
      <c r="O8081" s="21"/>
    </row>
    <row r="8082" spans="15:15" x14ac:dyDescent="0.25">
      <c r="O8082" s="21"/>
    </row>
    <row r="8083" spans="15:15" x14ac:dyDescent="0.25">
      <c r="O8083" s="21"/>
    </row>
    <row r="8084" spans="15:15" x14ac:dyDescent="0.25">
      <c r="O8084" s="21"/>
    </row>
    <row r="8085" spans="15:15" x14ac:dyDescent="0.25">
      <c r="O8085" s="21"/>
    </row>
    <row r="8086" spans="15:15" x14ac:dyDescent="0.25">
      <c r="O8086" s="21"/>
    </row>
    <row r="8087" spans="15:15" x14ac:dyDescent="0.25">
      <c r="O8087" s="21"/>
    </row>
    <row r="8088" spans="15:15" x14ac:dyDescent="0.25">
      <c r="O8088" s="21"/>
    </row>
    <row r="8089" spans="15:15" x14ac:dyDescent="0.25">
      <c r="O8089" s="21"/>
    </row>
    <row r="8090" spans="15:15" x14ac:dyDescent="0.25">
      <c r="O8090" s="21"/>
    </row>
    <row r="8091" spans="15:15" x14ac:dyDescent="0.25">
      <c r="O8091" s="21"/>
    </row>
    <row r="8092" spans="15:15" x14ac:dyDescent="0.25">
      <c r="O8092" s="21"/>
    </row>
    <row r="8093" spans="15:15" x14ac:dyDescent="0.25">
      <c r="O8093" s="21"/>
    </row>
    <row r="8094" spans="15:15" x14ac:dyDescent="0.25">
      <c r="O8094" s="21"/>
    </row>
    <row r="8095" spans="15:15" x14ac:dyDescent="0.25">
      <c r="O8095" s="21"/>
    </row>
    <row r="8096" spans="15:15" x14ac:dyDescent="0.25">
      <c r="O8096" s="21"/>
    </row>
    <row r="8097" spans="15:15" x14ac:dyDescent="0.25">
      <c r="O8097" s="21"/>
    </row>
    <row r="8098" spans="15:15" x14ac:dyDescent="0.25">
      <c r="O8098" s="21"/>
    </row>
    <row r="8099" spans="15:15" x14ac:dyDescent="0.25">
      <c r="O8099" s="21"/>
    </row>
    <row r="8100" spans="15:15" x14ac:dyDescent="0.25">
      <c r="O8100" s="21"/>
    </row>
    <row r="8101" spans="15:15" x14ac:dyDescent="0.25">
      <c r="O8101" s="21"/>
    </row>
    <row r="8102" spans="15:15" x14ac:dyDescent="0.25">
      <c r="O8102" s="21"/>
    </row>
    <row r="8103" spans="15:15" x14ac:dyDescent="0.25">
      <c r="O8103" s="21"/>
    </row>
    <row r="8104" spans="15:15" x14ac:dyDescent="0.25">
      <c r="O8104" s="21"/>
    </row>
    <row r="8105" spans="15:15" x14ac:dyDescent="0.25">
      <c r="O8105" s="21"/>
    </row>
    <row r="8106" spans="15:15" x14ac:dyDescent="0.25">
      <c r="O8106" s="21"/>
    </row>
    <row r="8107" spans="15:15" x14ac:dyDescent="0.25">
      <c r="O8107" s="21"/>
    </row>
    <row r="8108" spans="15:15" x14ac:dyDescent="0.25">
      <c r="O8108" s="21"/>
    </row>
    <row r="8109" spans="15:15" x14ac:dyDescent="0.25">
      <c r="O8109" s="21"/>
    </row>
    <row r="8110" spans="15:15" x14ac:dyDescent="0.25">
      <c r="O8110" s="21"/>
    </row>
    <row r="8111" spans="15:15" x14ac:dyDescent="0.25">
      <c r="O8111" s="21"/>
    </row>
    <row r="8112" spans="15:15" x14ac:dyDescent="0.25">
      <c r="O8112" s="21"/>
    </row>
    <row r="8113" spans="15:15" x14ac:dyDescent="0.25">
      <c r="O8113" s="21"/>
    </row>
    <row r="8114" spans="15:15" x14ac:dyDescent="0.25">
      <c r="O8114" s="21"/>
    </row>
    <row r="8115" spans="15:15" x14ac:dyDescent="0.25">
      <c r="O8115" s="21"/>
    </row>
    <row r="8116" spans="15:15" x14ac:dyDescent="0.25">
      <c r="O8116" s="21"/>
    </row>
    <row r="8117" spans="15:15" x14ac:dyDescent="0.25">
      <c r="O8117" s="21"/>
    </row>
    <row r="8118" spans="15:15" x14ac:dyDescent="0.25">
      <c r="O8118" s="21"/>
    </row>
    <row r="8119" spans="15:15" x14ac:dyDescent="0.25">
      <c r="O8119" s="21"/>
    </row>
    <row r="8120" spans="15:15" x14ac:dyDescent="0.25">
      <c r="O8120" s="21"/>
    </row>
    <row r="8121" spans="15:15" x14ac:dyDescent="0.25">
      <c r="O8121" s="21"/>
    </row>
    <row r="8122" spans="15:15" x14ac:dyDescent="0.25">
      <c r="O8122" s="21"/>
    </row>
    <row r="8123" spans="15:15" x14ac:dyDescent="0.25">
      <c r="O8123" s="21"/>
    </row>
    <row r="8124" spans="15:15" x14ac:dyDescent="0.25">
      <c r="O8124" s="21"/>
    </row>
    <row r="8125" spans="15:15" x14ac:dyDescent="0.25">
      <c r="O8125" s="21"/>
    </row>
    <row r="8126" spans="15:15" x14ac:dyDescent="0.25">
      <c r="O8126" s="21"/>
    </row>
    <row r="8127" spans="15:15" x14ac:dyDescent="0.25">
      <c r="O8127" s="21"/>
    </row>
    <row r="8128" spans="15:15" x14ac:dyDescent="0.25">
      <c r="O8128" s="21"/>
    </row>
    <row r="8129" spans="15:15" x14ac:dyDescent="0.25">
      <c r="O8129" s="21"/>
    </row>
    <row r="8130" spans="15:15" x14ac:dyDescent="0.25">
      <c r="O8130" s="21"/>
    </row>
    <row r="8131" spans="15:15" x14ac:dyDescent="0.25">
      <c r="O8131" s="21"/>
    </row>
    <row r="8132" spans="15:15" x14ac:dyDescent="0.25">
      <c r="O8132" s="21"/>
    </row>
    <row r="8133" spans="15:15" x14ac:dyDescent="0.25">
      <c r="O8133" s="21"/>
    </row>
    <row r="8134" spans="15:15" x14ac:dyDescent="0.25">
      <c r="O8134" s="21"/>
    </row>
    <row r="8135" spans="15:15" x14ac:dyDescent="0.25">
      <c r="O8135" s="21"/>
    </row>
    <row r="8136" spans="15:15" x14ac:dyDescent="0.25">
      <c r="O8136" s="21"/>
    </row>
    <row r="8137" spans="15:15" x14ac:dyDescent="0.25">
      <c r="O8137" s="21"/>
    </row>
    <row r="8138" spans="15:15" x14ac:dyDescent="0.25">
      <c r="O8138" s="21"/>
    </row>
    <row r="8139" spans="15:15" x14ac:dyDescent="0.25">
      <c r="O8139" s="21"/>
    </row>
    <row r="8140" spans="15:15" x14ac:dyDescent="0.25">
      <c r="O8140" s="21"/>
    </row>
    <row r="8141" spans="15:15" x14ac:dyDescent="0.25">
      <c r="O8141" s="21"/>
    </row>
    <row r="8142" spans="15:15" x14ac:dyDescent="0.25">
      <c r="O8142" s="21"/>
    </row>
    <row r="8143" spans="15:15" x14ac:dyDescent="0.25">
      <c r="O8143" s="21"/>
    </row>
    <row r="8144" spans="15:15" x14ac:dyDescent="0.25">
      <c r="O8144" s="21"/>
    </row>
    <row r="8145" spans="15:15" x14ac:dyDescent="0.25">
      <c r="O8145" s="21"/>
    </row>
    <row r="8146" spans="15:15" x14ac:dyDescent="0.25">
      <c r="O8146" s="21"/>
    </row>
    <row r="8147" spans="15:15" x14ac:dyDescent="0.25">
      <c r="O8147" s="21"/>
    </row>
    <row r="8148" spans="15:15" x14ac:dyDescent="0.25">
      <c r="O8148" s="21"/>
    </row>
    <row r="8149" spans="15:15" x14ac:dyDescent="0.25">
      <c r="O8149" s="21"/>
    </row>
    <row r="8150" spans="15:15" x14ac:dyDescent="0.25">
      <c r="O8150" s="21"/>
    </row>
    <row r="8151" spans="15:15" x14ac:dyDescent="0.25">
      <c r="O8151" s="21"/>
    </row>
    <row r="8152" spans="15:15" x14ac:dyDescent="0.25">
      <c r="O8152" s="21"/>
    </row>
    <row r="8153" spans="15:15" x14ac:dyDescent="0.25">
      <c r="O8153" s="21"/>
    </row>
    <row r="8154" spans="15:15" x14ac:dyDescent="0.25">
      <c r="O8154" s="21"/>
    </row>
    <row r="8155" spans="15:15" x14ac:dyDescent="0.25">
      <c r="O8155" s="21"/>
    </row>
    <row r="8156" spans="15:15" x14ac:dyDescent="0.25">
      <c r="O8156" s="21"/>
    </row>
    <row r="8157" spans="15:15" x14ac:dyDescent="0.25">
      <c r="O8157" s="21"/>
    </row>
    <row r="8158" spans="15:15" x14ac:dyDescent="0.25">
      <c r="O8158" s="21"/>
    </row>
    <row r="8159" spans="15:15" x14ac:dyDescent="0.25">
      <c r="O8159" s="21"/>
    </row>
    <row r="8160" spans="15:15" x14ac:dyDescent="0.25">
      <c r="O8160" s="21"/>
    </row>
    <row r="8161" spans="15:15" x14ac:dyDescent="0.25">
      <c r="O8161" s="21"/>
    </row>
    <row r="8162" spans="15:15" x14ac:dyDescent="0.25">
      <c r="O8162" s="21"/>
    </row>
    <row r="8163" spans="15:15" x14ac:dyDescent="0.25">
      <c r="O8163" s="21"/>
    </row>
    <row r="8164" spans="15:15" x14ac:dyDescent="0.25">
      <c r="O8164" s="21"/>
    </row>
    <row r="8165" spans="15:15" x14ac:dyDescent="0.25">
      <c r="O8165" s="21"/>
    </row>
    <row r="8166" spans="15:15" x14ac:dyDescent="0.25">
      <c r="O8166" s="21"/>
    </row>
    <row r="8167" spans="15:15" x14ac:dyDescent="0.25">
      <c r="O8167" s="21"/>
    </row>
    <row r="8168" spans="15:15" x14ac:dyDescent="0.25">
      <c r="O8168" s="21"/>
    </row>
    <row r="8169" spans="15:15" x14ac:dyDescent="0.25">
      <c r="O8169" s="21"/>
    </row>
    <row r="8170" spans="15:15" x14ac:dyDescent="0.25">
      <c r="O8170" s="21"/>
    </row>
    <row r="8171" spans="15:15" x14ac:dyDescent="0.25">
      <c r="O8171" s="21"/>
    </row>
    <row r="8172" spans="15:15" x14ac:dyDescent="0.25">
      <c r="O8172" s="21"/>
    </row>
    <row r="8173" spans="15:15" x14ac:dyDescent="0.25">
      <c r="O8173" s="21"/>
    </row>
    <row r="8174" spans="15:15" x14ac:dyDescent="0.25">
      <c r="O8174" s="21"/>
    </row>
    <row r="8175" spans="15:15" x14ac:dyDescent="0.25">
      <c r="O8175" s="21"/>
    </row>
    <row r="8176" spans="15:15" x14ac:dyDescent="0.25">
      <c r="O8176" s="21"/>
    </row>
    <row r="8177" spans="15:15" x14ac:dyDescent="0.25">
      <c r="O8177" s="21"/>
    </row>
    <row r="8178" spans="15:15" x14ac:dyDescent="0.25">
      <c r="O8178" s="21"/>
    </row>
    <row r="8179" spans="15:15" x14ac:dyDescent="0.25">
      <c r="O8179" s="21"/>
    </row>
    <row r="8180" spans="15:15" x14ac:dyDescent="0.25">
      <c r="O8180" s="21"/>
    </row>
    <row r="8181" spans="15:15" x14ac:dyDescent="0.25">
      <c r="O8181" s="21"/>
    </row>
    <row r="8182" spans="15:15" x14ac:dyDescent="0.25">
      <c r="O8182" s="21"/>
    </row>
    <row r="8183" spans="15:15" x14ac:dyDescent="0.25">
      <c r="O8183" s="21"/>
    </row>
    <row r="8184" spans="15:15" x14ac:dyDescent="0.25">
      <c r="O8184" s="21"/>
    </row>
    <row r="8185" spans="15:15" x14ac:dyDescent="0.25">
      <c r="O8185" s="21"/>
    </row>
    <row r="8186" spans="15:15" x14ac:dyDescent="0.25">
      <c r="O8186" s="21"/>
    </row>
    <row r="8187" spans="15:15" x14ac:dyDescent="0.25">
      <c r="O8187" s="21"/>
    </row>
    <row r="8188" spans="15:15" x14ac:dyDescent="0.25">
      <c r="O8188" s="21"/>
    </row>
    <row r="8189" spans="15:15" x14ac:dyDescent="0.25">
      <c r="O8189" s="21"/>
    </row>
    <row r="8190" spans="15:15" x14ac:dyDescent="0.25">
      <c r="O8190" s="21"/>
    </row>
    <row r="8191" spans="15:15" x14ac:dyDescent="0.25">
      <c r="O8191" s="21"/>
    </row>
    <row r="8192" spans="15:15" x14ac:dyDescent="0.25">
      <c r="O8192" s="21"/>
    </row>
    <row r="8193" spans="15:15" x14ac:dyDescent="0.25">
      <c r="O8193" s="21"/>
    </row>
    <row r="8194" spans="15:15" x14ac:dyDescent="0.25">
      <c r="O8194" s="21"/>
    </row>
    <row r="8195" spans="15:15" x14ac:dyDescent="0.25">
      <c r="O8195" s="21"/>
    </row>
    <row r="8196" spans="15:15" x14ac:dyDescent="0.25">
      <c r="O8196" s="21"/>
    </row>
    <row r="8197" spans="15:15" x14ac:dyDescent="0.25">
      <c r="O8197" s="21"/>
    </row>
    <row r="8198" spans="15:15" x14ac:dyDescent="0.25">
      <c r="O8198" s="21"/>
    </row>
    <row r="8199" spans="15:15" x14ac:dyDescent="0.25">
      <c r="O8199" s="21"/>
    </row>
    <row r="8200" spans="15:15" x14ac:dyDescent="0.25">
      <c r="O8200" s="21"/>
    </row>
    <row r="8201" spans="15:15" x14ac:dyDescent="0.25">
      <c r="O8201" s="21"/>
    </row>
    <row r="8202" spans="15:15" x14ac:dyDescent="0.25">
      <c r="O8202" s="21"/>
    </row>
    <row r="8203" spans="15:15" x14ac:dyDescent="0.25">
      <c r="O8203" s="21"/>
    </row>
    <row r="8204" spans="15:15" x14ac:dyDescent="0.25">
      <c r="O8204" s="21"/>
    </row>
    <row r="8205" spans="15:15" x14ac:dyDescent="0.25">
      <c r="O8205" s="21"/>
    </row>
    <row r="8206" spans="15:15" x14ac:dyDescent="0.25">
      <c r="O8206" s="21"/>
    </row>
    <row r="8207" spans="15:15" x14ac:dyDescent="0.25">
      <c r="O8207" s="21"/>
    </row>
    <row r="8208" spans="15:15" x14ac:dyDescent="0.25">
      <c r="O8208" s="21"/>
    </row>
    <row r="8209" spans="15:15" x14ac:dyDescent="0.25">
      <c r="O8209" s="21"/>
    </row>
    <row r="8210" spans="15:15" x14ac:dyDescent="0.25">
      <c r="O8210" s="21"/>
    </row>
    <row r="8211" spans="15:15" x14ac:dyDescent="0.25">
      <c r="O8211" s="21"/>
    </row>
    <row r="8212" spans="15:15" x14ac:dyDescent="0.25">
      <c r="O8212" s="21"/>
    </row>
    <row r="8213" spans="15:15" x14ac:dyDescent="0.25">
      <c r="O8213" s="21"/>
    </row>
    <row r="8214" spans="15:15" x14ac:dyDescent="0.25">
      <c r="O8214" s="21"/>
    </row>
    <row r="8215" spans="15:15" x14ac:dyDescent="0.25">
      <c r="O8215" s="21"/>
    </row>
    <row r="8216" spans="15:15" x14ac:dyDescent="0.25">
      <c r="O8216" s="21"/>
    </row>
    <row r="8217" spans="15:15" x14ac:dyDescent="0.25">
      <c r="O8217" s="21"/>
    </row>
    <row r="8218" spans="15:15" x14ac:dyDescent="0.25">
      <c r="O8218" s="21"/>
    </row>
    <row r="8219" spans="15:15" x14ac:dyDescent="0.25">
      <c r="O8219" s="21"/>
    </row>
    <row r="8220" spans="15:15" x14ac:dyDescent="0.25">
      <c r="O8220" s="21"/>
    </row>
    <row r="8221" spans="15:15" x14ac:dyDescent="0.25">
      <c r="O8221" s="21"/>
    </row>
    <row r="8222" spans="15:15" x14ac:dyDescent="0.25">
      <c r="O8222" s="21"/>
    </row>
    <row r="8223" spans="15:15" x14ac:dyDescent="0.25">
      <c r="O8223" s="21"/>
    </row>
    <row r="8224" spans="15:15" x14ac:dyDescent="0.25">
      <c r="O8224" s="21"/>
    </row>
    <row r="8225" spans="15:15" x14ac:dyDescent="0.25">
      <c r="O8225" s="21"/>
    </row>
    <row r="8226" spans="15:15" x14ac:dyDescent="0.25">
      <c r="O8226" s="21"/>
    </row>
    <row r="8227" spans="15:15" x14ac:dyDescent="0.25">
      <c r="O8227" s="21"/>
    </row>
    <row r="8228" spans="15:15" x14ac:dyDescent="0.25">
      <c r="O8228" s="21"/>
    </row>
    <row r="8229" spans="15:15" x14ac:dyDescent="0.25">
      <c r="O8229" s="21"/>
    </row>
    <row r="8230" spans="15:15" x14ac:dyDescent="0.25">
      <c r="O8230" s="21"/>
    </row>
    <row r="8231" spans="15:15" x14ac:dyDescent="0.25">
      <c r="O8231" s="21"/>
    </row>
    <row r="8232" spans="15:15" x14ac:dyDescent="0.25">
      <c r="O8232" s="21"/>
    </row>
    <row r="8233" spans="15:15" x14ac:dyDescent="0.25">
      <c r="O8233" s="21"/>
    </row>
    <row r="8234" spans="15:15" x14ac:dyDescent="0.25">
      <c r="O8234" s="21"/>
    </row>
    <row r="8235" spans="15:15" x14ac:dyDescent="0.25">
      <c r="O8235" s="21"/>
    </row>
    <row r="8236" spans="15:15" x14ac:dyDescent="0.25">
      <c r="O8236" s="21"/>
    </row>
    <row r="8237" spans="15:15" x14ac:dyDescent="0.25">
      <c r="O8237" s="21"/>
    </row>
    <row r="8238" spans="15:15" x14ac:dyDescent="0.25">
      <c r="O8238" s="21"/>
    </row>
    <row r="8239" spans="15:15" x14ac:dyDescent="0.25">
      <c r="O8239" s="21"/>
    </row>
    <row r="8240" spans="15:15" x14ac:dyDescent="0.25">
      <c r="O8240" s="21"/>
    </row>
    <row r="8241" spans="15:15" x14ac:dyDescent="0.25">
      <c r="O8241" s="21"/>
    </row>
    <row r="8242" spans="15:15" x14ac:dyDescent="0.25">
      <c r="O8242" s="21"/>
    </row>
    <row r="8243" spans="15:15" x14ac:dyDescent="0.25">
      <c r="O8243" s="21"/>
    </row>
    <row r="8244" spans="15:15" x14ac:dyDescent="0.25">
      <c r="O8244" s="21"/>
    </row>
    <row r="8245" spans="15:15" x14ac:dyDescent="0.25">
      <c r="O8245" s="21"/>
    </row>
    <row r="8246" spans="15:15" x14ac:dyDescent="0.25">
      <c r="O8246" s="21"/>
    </row>
    <row r="8247" spans="15:15" x14ac:dyDescent="0.25">
      <c r="O8247" s="21"/>
    </row>
    <row r="8248" spans="15:15" x14ac:dyDescent="0.25">
      <c r="O8248" s="21"/>
    </row>
    <row r="8249" spans="15:15" x14ac:dyDescent="0.25">
      <c r="O8249" s="21"/>
    </row>
    <row r="8250" spans="15:15" x14ac:dyDescent="0.25">
      <c r="O8250" s="21"/>
    </row>
    <row r="8251" spans="15:15" x14ac:dyDescent="0.25">
      <c r="O8251" s="21"/>
    </row>
    <row r="8252" spans="15:15" x14ac:dyDescent="0.25">
      <c r="O8252" s="21"/>
    </row>
    <row r="8253" spans="15:15" x14ac:dyDescent="0.25">
      <c r="O8253" s="21"/>
    </row>
    <row r="8254" spans="15:15" x14ac:dyDescent="0.25">
      <c r="O8254" s="21"/>
    </row>
    <row r="8255" spans="15:15" x14ac:dyDescent="0.25">
      <c r="O8255" s="21"/>
    </row>
    <row r="8256" spans="15:15" x14ac:dyDescent="0.25">
      <c r="O8256" s="21"/>
    </row>
    <row r="8257" spans="15:15" x14ac:dyDescent="0.25">
      <c r="O8257" s="21"/>
    </row>
    <row r="8258" spans="15:15" x14ac:dyDescent="0.25">
      <c r="O8258" s="21"/>
    </row>
    <row r="8259" spans="15:15" x14ac:dyDescent="0.25">
      <c r="O8259" s="21"/>
    </row>
    <row r="8260" spans="15:15" x14ac:dyDescent="0.25">
      <c r="O8260" s="21"/>
    </row>
    <row r="8261" spans="15:15" x14ac:dyDescent="0.25">
      <c r="O8261" s="21"/>
    </row>
    <row r="8262" spans="15:15" x14ac:dyDescent="0.25">
      <c r="O8262" s="21"/>
    </row>
    <row r="8263" spans="15:15" x14ac:dyDescent="0.25">
      <c r="O8263" s="21"/>
    </row>
    <row r="8264" spans="15:15" x14ac:dyDescent="0.25">
      <c r="O8264" s="21"/>
    </row>
    <row r="8265" spans="15:15" x14ac:dyDescent="0.25">
      <c r="O8265" s="21"/>
    </row>
    <row r="8266" spans="15:15" x14ac:dyDescent="0.25">
      <c r="O8266" s="21"/>
    </row>
    <row r="8267" spans="15:15" x14ac:dyDescent="0.25">
      <c r="O8267" s="21"/>
    </row>
    <row r="8268" spans="15:15" x14ac:dyDescent="0.25">
      <c r="O8268" s="21"/>
    </row>
    <row r="8269" spans="15:15" x14ac:dyDescent="0.25">
      <c r="O8269" s="21"/>
    </row>
    <row r="8270" spans="15:15" x14ac:dyDescent="0.25">
      <c r="O8270" s="21"/>
    </row>
    <row r="8271" spans="15:15" x14ac:dyDescent="0.25">
      <c r="O8271" s="21"/>
    </row>
    <row r="8272" spans="15:15" x14ac:dyDescent="0.25">
      <c r="O8272" s="21"/>
    </row>
    <row r="8273" spans="15:15" x14ac:dyDescent="0.25">
      <c r="O8273" s="21"/>
    </row>
    <row r="8274" spans="15:15" x14ac:dyDescent="0.25">
      <c r="O8274" s="21"/>
    </row>
    <row r="8275" spans="15:15" x14ac:dyDescent="0.25">
      <c r="O8275" s="21"/>
    </row>
    <row r="8276" spans="15:15" x14ac:dyDescent="0.25">
      <c r="O8276" s="21"/>
    </row>
    <row r="8277" spans="15:15" x14ac:dyDescent="0.25">
      <c r="O8277" s="21"/>
    </row>
    <row r="8278" spans="15:15" x14ac:dyDescent="0.25">
      <c r="O8278" s="21"/>
    </row>
    <row r="8279" spans="15:15" x14ac:dyDescent="0.25">
      <c r="O8279" s="21"/>
    </row>
    <row r="8280" spans="15:15" x14ac:dyDescent="0.25">
      <c r="O8280" s="21"/>
    </row>
    <row r="8281" spans="15:15" x14ac:dyDescent="0.25">
      <c r="O8281" s="21"/>
    </row>
    <row r="8282" spans="15:15" x14ac:dyDescent="0.25">
      <c r="O8282" s="21"/>
    </row>
    <row r="8283" spans="15:15" x14ac:dyDescent="0.25">
      <c r="O8283" s="21"/>
    </row>
    <row r="8284" spans="15:15" x14ac:dyDescent="0.25">
      <c r="O8284" s="21"/>
    </row>
    <row r="8285" spans="15:15" x14ac:dyDescent="0.25">
      <c r="O8285" s="21"/>
    </row>
    <row r="8286" spans="15:15" x14ac:dyDescent="0.25">
      <c r="O8286" s="21"/>
    </row>
    <row r="8287" spans="15:15" x14ac:dyDescent="0.25">
      <c r="O8287" s="21"/>
    </row>
    <row r="8288" spans="15:15" x14ac:dyDescent="0.25">
      <c r="O8288" s="21"/>
    </row>
    <row r="8289" spans="15:15" x14ac:dyDescent="0.25">
      <c r="O8289" s="21"/>
    </row>
    <row r="8290" spans="15:15" x14ac:dyDescent="0.25">
      <c r="O8290" s="21"/>
    </row>
    <row r="8291" spans="15:15" x14ac:dyDescent="0.25">
      <c r="O8291" s="21"/>
    </row>
    <row r="8292" spans="15:15" x14ac:dyDescent="0.25">
      <c r="O8292" s="21"/>
    </row>
    <row r="8293" spans="15:15" x14ac:dyDescent="0.25">
      <c r="O8293" s="21"/>
    </row>
    <row r="8294" spans="15:15" x14ac:dyDescent="0.25">
      <c r="O8294" s="21"/>
    </row>
    <row r="8295" spans="15:15" x14ac:dyDescent="0.25">
      <c r="O8295" s="21"/>
    </row>
    <row r="8296" spans="15:15" x14ac:dyDescent="0.25">
      <c r="O8296" s="21"/>
    </row>
    <row r="8297" spans="15:15" x14ac:dyDescent="0.25">
      <c r="O8297" s="21"/>
    </row>
    <row r="8298" spans="15:15" x14ac:dyDescent="0.25">
      <c r="O8298" s="21"/>
    </row>
    <row r="8299" spans="15:15" x14ac:dyDescent="0.25">
      <c r="O8299" s="21"/>
    </row>
    <row r="8300" spans="15:15" x14ac:dyDescent="0.25">
      <c r="O8300" s="21"/>
    </row>
    <row r="8301" spans="15:15" x14ac:dyDescent="0.25">
      <c r="O8301" s="21"/>
    </row>
    <row r="8302" spans="15:15" x14ac:dyDescent="0.25">
      <c r="O8302" s="21"/>
    </row>
    <row r="8303" spans="15:15" x14ac:dyDescent="0.25">
      <c r="O8303" s="21"/>
    </row>
    <row r="8304" spans="15:15" x14ac:dyDescent="0.25">
      <c r="O8304" s="21"/>
    </row>
    <row r="8305" spans="15:15" x14ac:dyDescent="0.25">
      <c r="O8305" s="21"/>
    </row>
    <row r="8306" spans="15:15" x14ac:dyDescent="0.25">
      <c r="O8306" s="21"/>
    </row>
    <row r="8307" spans="15:15" x14ac:dyDescent="0.25">
      <c r="O8307" s="21"/>
    </row>
    <row r="8308" spans="15:15" x14ac:dyDescent="0.25">
      <c r="O8308" s="21"/>
    </row>
    <row r="8309" spans="15:15" x14ac:dyDescent="0.25">
      <c r="O8309" s="21"/>
    </row>
    <row r="8310" spans="15:15" x14ac:dyDescent="0.25">
      <c r="O8310" s="21"/>
    </row>
    <row r="8311" spans="15:15" x14ac:dyDescent="0.25">
      <c r="O8311" s="21"/>
    </row>
    <row r="8312" spans="15:15" x14ac:dyDescent="0.25">
      <c r="O8312" s="21"/>
    </row>
    <row r="8313" spans="15:15" x14ac:dyDescent="0.25">
      <c r="O8313" s="21"/>
    </row>
    <row r="8314" spans="15:15" x14ac:dyDescent="0.25">
      <c r="O8314" s="21"/>
    </row>
    <row r="8315" spans="15:15" x14ac:dyDescent="0.25">
      <c r="O8315" s="21"/>
    </row>
    <row r="8316" spans="15:15" x14ac:dyDescent="0.25">
      <c r="O8316" s="21"/>
    </row>
    <row r="8317" spans="15:15" x14ac:dyDescent="0.25">
      <c r="O8317" s="21"/>
    </row>
    <row r="8318" spans="15:15" x14ac:dyDescent="0.25">
      <c r="O8318" s="21"/>
    </row>
    <row r="8319" spans="15:15" x14ac:dyDescent="0.25">
      <c r="O8319" s="21"/>
    </row>
    <row r="8320" spans="15:15" x14ac:dyDescent="0.25">
      <c r="O8320" s="21"/>
    </row>
    <row r="8321" spans="15:15" x14ac:dyDescent="0.25">
      <c r="O8321" s="21"/>
    </row>
    <row r="8322" spans="15:15" x14ac:dyDescent="0.25">
      <c r="O8322" s="21"/>
    </row>
    <row r="8323" spans="15:15" x14ac:dyDescent="0.25">
      <c r="O8323" s="21"/>
    </row>
    <row r="8324" spans="15:15" x14ac:dyDescent="0.25">
      <c r="O8324" s="21"/>
    </row>
    <row r="8325" spans="15:15" x14ac:dyDescent="0.25">
      <c r="O8325" s="21"/>
    </row>
    <row r="8326" spans="15:15" x14ac:dyDescent="0.25">
      <c r="O8326" s="21"/>
    </row>
    <row r="8327" spans="15:15" x14ac:dyDescent="0.25">
      <c r="O8327" s="21"/>
    </row>
    <row r="8328" spans="15:15" x14ac:dyDescent="0.25">
      <c r="O8328" s="21"/>
    </row>
    <row r="8329" spans="15:15" x14ac:dyDescent="0.25">
      <c r="O8329" s="21"/>
    </row>
    <row r="8330" spans="15:15" x14ac:dyDescent="0.25">
      <c r="O8330" s="21"/>
    </row>
    <row r="8331" spans="15:15" x14ac:dyDescent="0.25">
      <c r="O8331" s="21"/>
    </row>
    <row r="8332" spans="15:15" x14ac:dyDescent="0.25">
      <c r="O8332" s="21"/>
    </row>
    <row r="8333" spans="15:15" x14ac:dyDescent="0.25">
      <c r="O8333" s="21"/>
    </row>
    <row r="8334" spans="15:15" x14ac:dyDescent="0.25">
      <c r="O8334" s="21"/>
    </row>
    <row r="8335" spans="15:15" x14ac:dyDescent="0.25">
      <c r="O8335" s="21"/>
    </row>
    <row r="8336" spans="15:15" x14ac:dyDescent="0.25">
      <c r="O8336" s="21"/>
    </row>
    <row r="8337" spans="15:15" x14ac:dyDescent="0.25">
      <c r="O8337" s="21"/>
    </row>
    <row r="8338" spans="15:15" x14ac:dyDescent="0.25">
      <c r="O8338" s="21"/>
    </row>
    <row r="8339" spans="15:15" x14ac:dyDescent="0.25">
      <c r="O8339" s="21"/>
    </row>
    <row r="8340" spans="15:15" x14ac:dyDescent="0.25">
      <c r="O8340" s="21"/>
    </row>
    <row r="8341" spans="15:15" x14ac:dyDescent="0.25">
      <c r="O8341" s="21"/>
    </row>
    <row r="8342" spans="15:15" x14ac:dyDescent="0.25">
      <c r="O8342" s="21"/>
    </row>
    <row r="8343" spans="15:15" x14ac:dyDescent="0.25">
      <c r="O8343" s="21"/>
    </row>
    <row r="8344" spans="15:15" x14ac:dyDescent="0.25">
      <c r="O8344" s="21"/>
    </row>
    <row r="8345" spans="15:15" x14ac:dyDescent="0.25">
      <c r="O8345" s="21"/>
    </row>
    <row r="8346" spans="15:15" x14ac:dyDescent="0.25">
      <c r="O8346" s="21"/>
    </row>
    <row r="8347" spans="15:15" x14ac:dyDescent="0.25">
      <c r="O8347" s="21"/>
    </row>
    <row r="8348" spans="15:15" x14ac:dyDescent="0.25">
      <c r="O8348" s="21"/>
    </row>
    <row r="8349" spans="15:15" x14ac:dyDescent="0.25">
      <c r="O8349" s="21"/>
    </row>
    <row r="8350" spans="15:15" x14ac:dyDescent="0.25">
      <c r="O8350" s="21"/>
    </row>
    <row r="8351" spans="15:15" x14ac:dyDescent="0.25">
      <c r="O8351" s="21"/>
    </row>
    <row r="8352" spans="15:15" x14ac:dyDescent="0.25">
      <c r="O8352" s="21"/>
    </row>
    <row r="8353" spans="15:15" x14ac:dyDescent="0.25">
      <c r="O8353" s="21"/>
    </row>
    <row r="8354" spans="15:15" x14ac:dyDescent="0.25">
      <c r="O8354" s="21"/>
    </row>
    <row r="8355" spans="15:15" x14ac:dyDescent="0.25">
      <c r="O8355" s="21"/>
    </row>
    <row r="8356" spans="15:15" x14ac:dyDescent="0.25">
      <c r="O8356" s="21"/>
    </row>
    <row r="8357" spans="15:15" x14ac:dyDescent="0.25">
      <c r="O8357" s="21"/>
    </row>
    <row r="8358" spans="15:15" x14ac:dyDescent="0.25">
      <c r="O8358" s="21"/>
    </row>
    <row r="8359" spans="15:15" x14ac:dyDescent="0.25">
      <c r="O8359" s="21"/>
    </row>
    <row r="8360" spans="15:15" x14ac:dyDescent="0.25">
      <c r="O8360" s="21"/>
    </row>
    <row r="8361" spans="15:15" x14ac:dyDescent="0.25">
      <c r="O8361" s="21"/>
    </row>
    <row r="8362" spans="15:15" x14ac:dyDescent="0.25">
      <c r="O8362" s="21"/>
    </row>
    <row r="8363" spans="15:15" x14ac:dyDescent="0.25">
      <c r="O8363" s="21"/>
    </row>
    <row r="8364" spans="15:15" x14ac:dyDescent="0.25">
      <c r="O8364" s="21"/>
    </row>
    <row r="8365" spans="15:15" x14ac:dyDescent="0.25">
      <c r="O8365" s="21"/>
    </row>
    <row r="8366" spans="15:15" x14ac:dyDescent="0.25">
      <c r="O8366" s="21"/>
    </row>
    <row r="8367" spans="15:15" x14ac:dyDescent="0.25">
      <c r="O8367" s="21"/>
    </row>
    <row r="8368" spans="15:15" x14ac:dyDescent="0.25">
      <c r="O8368" s="21"/>
    </row>
    <row r="8369" spans="15:15" x14ac:dyDescent="0.25">
      <c r="O8369" s="21"/>
    </row>
    <row r="8370" spans="15:15" x14ac:dyDescent="0.25">
      <c r="O8370" s="21"/>
    </row>
    <row r="8371" spans="15:15" x14ac:dyDescent="0.25">
      <c r="O8371" s="21"/>
    </row>
    <row r="8372" spans="15:15" x14ac:dyDescent="0.25">
      <c r="O8372" s="21"/>
    </row>
    <row r="8373" spans="15:15" x14ac:dyDescent="0.25">
      <c r="O8373" s="21"/>
    </row>
    <row r="8374" spans="15:15" x14ac:dyDescent="0.25">
      <c r="O8374" s="21"/>
    </row>
    <row r="8375" spans="15:15" x14ac:dyDescent="0.25">
      <c r="O8375" s="21"/>
    </row>
    <row r="8376" spans="15:15" x14ac:dyDescent="0.25">
      <c r="O8376" s="21"/>
    </row>
    <row r="8377" spans="15:15" x14ac:dyDescent="0.25">
      <c r="O8377" s="21"/>
    </row>
    <row r="8378" spans="15:15" x14ac:dyDescent="0.25">
      <c r="O8378" s="21"/>
    </row>
    <row r="8379" spans="15:15" x14ac:dyDescent="0.25">
      <c r="O8379" s="21"/>
    </row>
    <row r="8380" spans="15:15" x14ac:dyDescent="0.25">
      <c r="O8380" s="21"/>
    </row>
    <row r="8381" spans="15:15" x14ac:dyDescent="0.25">
      <c r="O8381" s="21"/>
    </row>
    <row r="8382" spans="15:15" x14ac:dyDescent="0.25">
      <c r="O8382" s="21"/>
    </row>
    <row r="8383" spans="15:15" x14ac:dyDescent="0.25">
      <c r="O8383" s="21"/>
    </row>
    <row r="8384" spans="15:15" x14ac:dyDescent="0.25">
      <c r="O8384" s="21"/>
    </row>
    <row r="8385" spans="15:15" x14ac:dyDescent="0.25">
      <c r="O8385" s="21"/>
    </row>
    <row r="8386" spans="15:15" x14ac:dyDescent="0.25">
      <c r="O8386" s="21"/>
    </row>
    <row r="8387" spans="15:15" x14ac:dyDescent="0.25">
      <c r="O8387" s="21"/>
    </row>
    <row r="8388" spans="15:15" x14ac:dyDescent="0.25">
      <c r="O8388" s="21"/>
    </row>
    <row r="8389" spans="15:15" x14ac:dyDescent="0.25">
      <c r="O8389" s="21"/>
    </row>
    <row r="8390" spans="15:15" x14ac:dyDescent="0.25">
      <c r="O8390" s="21"/>
    </row>
    <row r="8391" spans="15:15" x14ac:dyDescent="0.25">
      <c r="O8391" s="21"/>
    </row>
    <row r="8392" spans="15:15" x14ac:dyDescent="0.25">
      <c r="O8392" s="21"/>
    </row>
    <row r="8393" spans="15:15" x14ac:dyDescent="0.25">
      <c r="O8393" s="21"/>
    </row>
    <row r="8394" spans="15:15" x14ac:dyDescent="0.25">
      <c r="O8394" s="21"/>
    </row>
    <row r="8395" spans="15:15" x14ac:dyDescent="0.25">
      <c r="O8395" s="21"/>
    </row>
    <row r="8396" spans="15:15" x14ac:dyDescent="0.25">
      <c r="O8396" s="21"/>
    </row>
    <row r="8397" spans="15:15" x14ac:dyDescent="0.25">
      <c r="O8397" s="21"/>
    </row>
    <row r="8398" spans="15:15" x14ac:dyDescent="0.25">
      <c r="O8398" s="21"/>
    </row>
    <row r="8399" spans="15:15" x14ac:dyDescent="0.25">
      <c r="O8399" s="21"/>
    </row>
    <row r="8400" spans="15:15" x14ac:dyDescent="0.25">
      <c r="O8400" s="21"/>
    </row>
    <row r="8401" spans="15:15" x14ac:dyDescent="0.25">
      <c r="O8401" s="21"/>
    </row>
    <row r="8402" spans="15:15" x14ac:dyDescent="0.25">
      <c r="O8402" s="21"/>
    </row>
    <row r="8403" spans="15:15" x14ac:dyDescent="0.25">
      <c r="O8403" s="21"/>
    </row>
    <row r="8404" spans="15:15" x14ac:dyDescent="0.25">
      <c r="O8404" s="21"/>
    </row>
    <row r="8405" spans="15:15" x14ac:dyDescent="0.25">
      <c r="O8405" s="21"/>
    </row>
    <row r="8406" spans="15:15" x14ac:dyDescent="0.25">
      <c r="O8406" s="21"/>
    </row>
    <row r="8407" spans="15:15" x14ac:dyDescent="0.25">
      <c r="O8407" s="21"/>
    </row>
    <row r="8408" spans="15:15" x14ac:dyDescent="0.25">
      <c r="O8408" s="21"/>
    </row>
    <row r="8409" spans="15:15" x14ac:dyDescent="0.25">
      <c r="O8409" s="21"/>
    </row>
    <row r="8410" spans="15:15" x14ac:dyDescent="0.25">
      <c r="O8410" s="21"/>
    </row>
    <row r="8411" spans="15:15" x14ac:dyDescent="0.25">
      <c r="O8411" s="21"/>
    </row>
    <row r="8412" spans="15:15" x14ac:dyDescent="0.25">
      <c r="O8412" s="21"/>
    </row>
    <row r="8413" spans="15:15" x14ac:dyDescent="0.25">
      <c r="O8413" s="21"/>
    </row>
    <row r="8414" spans="15:15" x14ac:dyDescent="0.25">
      <c r="O8414" s="21"/>
    </row>
    <row r="8415" spans="15:15" x14ac:dyDescent="0.25">
      <c r="O8415" s="21"/>
    </row>
    <row r="8416" spans="15:15" x14ac:dyDescent="0.25">
      <c r="O8416" s="21"/>
    </row>
    <row r="8417" spans="15:15" x14ac:dyDescent="0.25">
      <c r="O8417" s="21"/>
    </row>
    <row r="8418" spans="15:15" x14ac:dyDescent="0.25">
      <c r="O8418" s="21"/>
    </row>
    <row r="8419" spans="15:15" x14ac:dyDescent="0.25">
      <c r="O8419" s="21"/>
    </row>
    <row r="8420" spans="15:15" x14ac:dyDescent="0.25">
      <c r="O8420" s="21"/>
    </row>
    <row r="8421" spans="15:15" x14ac:dyDescent="0.25">
      <c r="O8421" s="21"/>
    </row>
    <row r="8422" spans="15:15" x14ac:dyDescent="0.25">
      <c r="O8422" s="21"/>
    </row>
    <row r="8423" spans="15:15" x14ac:dyDescent="0.25">
      <c r="O8423" s="21"/>
    </row>
    <row r="8424" spans="15:15" x14ac:dyDescent="0.25">
      <c r="O8424" s="21"/>
    </row>
    <row r="8425" spans="15:15" x14ac:dyDescent="0.25">
      <c r="O8425" s="21"/>
    </row>
    <row r="8426" spans="15:15" x14ac:dyDescent="0.25">
      <c r="O8426" s="21"/>
    </row>
    <row r="8427" spans="15:15" x14ac:dyDescent="0.25">
      <c r="O8427" s="21"/>
    </row>
    <row r="8428" spans="15:15" x14ac:dyDescent="0.25">
      <c r="O8428" s="21"/>
    </row>
    <row r="8429" spans="15:15" x14ac:dyDescent="0.25">
      <c r="O8429" s="21"/>
    </row>
    <row r="8430" spans="15:15" x14ac:dyDescent="0.25">
      <c r="O8430" s="21"/>
    </row>
    <row r="8431" spans="15:15" x14ac:dyDescent="0.25">
      <c r="O8431" s="21"/>
    </row>
    <row r="8432" spans="15:15" x14ac:dyDescent="0.25">
      <c r="O8432" s="21"/>
    </row>
    <row r="8433" spans="15:15" x14ac:dyDescent="0.25">
      <c r="O8433" s="21"/>
    </row>
    <row r="8434" spans="15:15" x14ac:dyDescent="0.25">
      <c r="O8434" s="21"/>
    </row>
    <row r="8435" spans="15:15" x14ac:dyDescent="0.25">
      <c r="O8435" s="21"/>
    </row>
    <row r="8436" spans="15:15" x14ac:dyDescent="0.25">
      <c r="O8436" s="21"/>
    </row>
    <row r="8437" spans="15:15" x14ac:dyDescent="0.25">
      <c r="O8437" s="21"/>
    </row>
    <row r="8438" spans="15:15" x14ac:dyDescent="0.25">
      <c r="O8438" s="21"/>
    </row>
    <row r="8439" spans="15:15" x14ac:dyDescent="0.25">
      <c r="O8439" s="21"/>
    </row>
    <row r="8440" spans="15:15" x14ac:dyDescent="0.25">
      <c r="O8440" s="21"/>
    </row>
    <row r="8441" spans="15:15" x14ac:dyDescent="0.25">
      <c r="O8441" s="21"/>
    </row>
    <row r="8442" spans="15:15" x14ac:dyDescent="0.25">
      <c r="O8442" s="21"/>
    </row>
    <row r="8443" spans="15:15" x14ac:dyDescent="0.25">
      <c r="O8443" s="21"/>
    </row>
    <row r="8444" spans="15:15" x14ac:dyDescent="0.25">
      <c r="O8444" s="21"/>
    </row>
    <row r="8445" spans="15:15" x14ac:dyDescent="0.25">
      <c r="O8445" s="21"/>
    </row>
    <row r="8446" spans="15:15" x14ac:dyDescent="0.25">
      <c r="O8446" s="21"/>
    </row>
    <row r="8447" spans="15:15" x14ac:dyDescent="0.25">
      <c r="O8447" s="21"/>
    </row>
    <row r="8448" spans="15:15" x14ac:dyDescent="0.25">
      <c r="O8448" s="21"/>
    </row>
    <row r="8449" spans="15:15" x14ac:dyDescent="0.25">
      <c r="O8449" s="21"/>
    </row>
    <row r="8450" spans="15:15" x14ac:dyDescent="0.25">
      <c r="O8450" s="21"/>
    </row>
    <row r="8451" spans="15:15" x14ac:dyDescent="0.25">
      <c r="O8451" s="21"/>
    </row>
    <row r="8452" spans="15:15" x14ac:dyDescent="0.25">
      <c r="O8452" s="21"/>
    </row>
    <row r="8453" spans="15:15" x14ac:dyDescent="0.25">
      <c r="O8453" s="21"/>
    </row>
    <row r="8454" spans="15:15" x14ac:dyDescent="0.25">
      <c r="O8454" s="21"/>
    </row>
    <row r="8455" spans="15:15" x14ac:dyDescent="0.25">
      <c r="O8455" s="21"/>
    </row>
    <row r="8456" spans="15:15" x14ac:dyDescent="0.25">
      <c r="O8456" s="21"/>
    </row>
    <row r="8457" spans="15:15" x14ac:dyDescent="0.25">
      <c r="O8457" s="21"/>
    </row>
    <row r="8458" spans="15:15" x14ac:dyDescent="0.25">
      <c r="O8458" s="21"/>
    </row>
    <row r="8459" spans="15:15" x14ac:dyDescent="0.25">
      <c r="O8459" s="21"/>
    </row>
    <row r="8460" spans="15:15" x14ac:dyDescent="0.25">
      <c r="O8460" s="21"/>
    </row>
    <row r="8461" spans="15:15" x14ac:dyDescent="0.25">
      <c r="O8461" s="21"/>
    </row>
    <row r="8462" spans="15:15" x14ac:dyDescent="0.25">
      <c r="O8462" s="21"/>
    </row>
    <row r="8463" spans="15:15" x14ac:dyDescent="0.25">
      <c r="O8463" s="21"/>
    </row>
    <row r="8464" spans="15:15" x14ac:dyDescent="0.25">
      <c r="O8464" s="21"/>
    </row>
    <row r="8465" spans="15:15" x14ac:dyDescent="0.25">
      <c r="O8465" s="21"/>
    </row>
    <row r="8466" spans="15:15" x14ac:dyDescent="0.25">
      <c r="O8466" s="21"/>
    </row>
    <row r="8467" spans="15:15" x14ac:dyDescent="0.25">
      <c r="O8467" s="21"/>
    </row>
    <row r="8468" spans="15:15" x14ac:dyDescent="0.25">
      <c r="O8468" s="21"/>
    </row>
    <row r="8469" spans="15:15" x14ac:dyDescent="0.25">
      <c r="O8469" s="21"/>
    </row>
    <row r="8470" spans="15:15" x14ac:dyDescent="0.25">
      <c r="O8470" s="21"/>
    </row>
    <row r="8471" spans="15:15" x14ac:dyDescent="0.25">
      <c r="O8471" s="21"/>
    </row>
    <row r="8472" spans="15:15" x14ac:dyDescent="0.25">
      <c r="O8472" s="21"/>
    </row>
    <row r="8473" spans="15:15" x14ac:dyDescent="0.25">
      <c r="O8473" s="21"/>
    </row>
    <row r="8474" spans="15:15" x14ac:dyDescent="0.25">
      <c r="O8474" s="21"/>
    </row>
    <row r="8475" spans="15:15" x14ac:dyDescent="0.25">
      <c r="O8475" s="21"/>
    </row>
    <row r="8476" spans="15:15" x14ac:dyDescent="0.25">
      <c r="O8476" s="21"/>
    </row>
    <row r="8477" spans="15:15" x14ac:dyDescent="0.25">
      <c r="O8477" s="21"/>
    </row>
    <row r="8478" spans="15:15" x14ac:dyDescent="0.25">
      <c r="O8478" s="21"/>
    </row>
    <row r="8479" spans="15:15" x14ac:dyDescent="0.25">
      <c r="O8479" s="21"/>
    </row>
    <row r="8480" spans="15:15" x14ac:dyDescent="0.25">
      <c r="O8480" s="21"/>
    </row>
    <row r="8481" spans="15:15" x14ac:dyDescent="0.25">
      <c r="O8481" s="21"/>
    </row>
    <row r="8482" spans="15:15" x14ac:dyDescent="0.25">
      <c r="O8482" s="21"/>
    </row>
    <row r="8483" spans="15:15" x14ac:dyDescent="0.25">
      <c r="O8483" s="21"/>
    </row>
    <row r="8484" spans="15:15" x14ac:dyDescent="0.25">
      <c r="O8484" s="21"/>
    </row>
    <row r="8485" spans="15:15" x14ac:dyDescent="0.25">
      <c r="O8485" s="21"/>
    </row>
    <row r="8486" spans="15:15" x14ac:dyDescent="0.25">
      <c r="O8486" s="21"/>
    </row>
    <row r="8487" spans="15:15" x14ac:dyDescent="0.25">
      <c r="O8487" s="21"/>
    </row>
    <row r="8488" spans="15:15" x14ac:dyDescent="0.25">
      <c r="O8488" s="21"/>
    </row>
    <row r="8489" spans="15:15" x14ac:dyDescent="0.25">
      <c r="O8489" s="21"/>
    </row>
    <row r="8490" spans="15:15" x14ac:dyDescent="0.25">
      <c r="O8490" s="21"/>
    </row>
    <row r="8491" spans="15:15" x14ac:dyDescent="0.25">
      <c r="O8491" s="21"/>
    </row>
    <row r="8492" spans="15:15" x14ac:dyDescent="0.25">
      <c r="O8492" s="21"/>
    </row>
    <row r="8493" spans="15:15" x14ac:dyDescent="0.25">
      <c r="O8493" s="21"/>
    </row>
    <row r="8494" spans="15:15" x14ac:dyDescent="0.25">
      <c r="O8494" s="21"/>
    </row>
    <row r="8495" spans="15:15" x14ac:dyDescent="0.25">
      <c r="O8495" s="21"/>
    </row>
    <row r="8496" spans="15:15" x14ac:dyDescent="0.25">
      <c r="O8496" s="21"/>
    </row>
    <row r="8497" spans="15:15" x14ac:dyDescent="0.25">
      <c r="O8497" s="21"/>
    </row>
    <row r="8498" spans="15:15" x14ac:dyDescent="0.25">
      <c r="O8498" s="21"/>
    </row>
    <row r="8499" spans="15:15" x14ac:dyDescent="0.25">
      <c r="O8499" s="21"/>
    </row>
    <row r="8500" spans="15:15" x14ac:dyDescent="0.25">
      <c r="O8500" s="21"/>
    </row>
    <row r="8501" spans="15:15" x14ac:dyDescent="0.25">
      <c r="O8501" s="21"/>
    </row>
    <row r="8502" spans="15:15" x14ac:dyDescent="0.25">
      <c r="O8502" s="21"/>
    </row>
    <row r="8503" spans="15:15" x14ac:dyDescent="0.25">
      <c r="O8503" s="21"/>
    </row>
    <row r="8504" spans="15:15" x14ac:dyDescent="0.25">
      <c r="O8504" s="21"/>
    </row>
    <row r="8505" spans="15:15" x14ac:dyDescent="0.25">
      <c r="O8505" s="21"/>
    </row>
    <row r="8506" spans="15:15" x14ac:dyDescent="0.25">
      <c r="O8506" s="21"/>
    </row>
    <row r="8507" spans="15:15" x14ac:dyDescent="0.25">
      <c r="O8507" s="21"/>
    </row>
    <row r="8508" spans="15:15" x14ac:dyDescent="0.25">
      <c r="O8508" s="21"/>
    </row>
    <row r="8509" spans="15:15" x14ac:dyDescent="0.25">
      <c r="O8509" s="21"/>
    </row>
    <row r="8510" spans="15:15" x14ac:dyDescent="0.25">
      <c r="O8510" s="21"/>
    </row>
    <row r="8511" spans="15:15" x14ac:dyDescent="0.25">
      <c r="O8511" s="21"/>
    </row>
    <row r="8512" spans="15:15" x14ac:dyDescent="0.25">
      <c r="O8512" s="21"/>
    </row>
    <row r="8513" spans="15:15" x14ac:dyDescent="0.25">
      <c r="O8513" s="21"/>
    </row>
    <row r="8514" spans="15:15" x14ac:dyDescent="0.25">
      <c r="O8514" s="21"/>
    </row>
    <row r="8515" spans="15:15" x14ac:dyDescent="0.25">
      <c r="O8515" s="21"/>
    </row>
    <row r="8516" spans="15:15" x14ac:dyDescent="0.25">
      <c r="O8516" s="21"/>
    </row>
    <row r="8517" spans="15:15" x14ac:dyDescent="0.25">
      <c r="O8517" s="21"/>
    </row>
    <row r="8518" spans="15:15" x14ac:dyDescent="0.25">
      <c r="O8518" s="21"/>
    </row>
    <row r="8519" spans="15:15" x14ac:dyDescent="0.25">
      <c r="O8519" s="21"/>
    </row>
    <row r="8520" spans="15:15" x14ac:dyDescent="0.25">
      <c r="O8520" s="21"/>
    </row>
    <row r="8521" spans="15:15" x14ac:dyDescent="0.25">
      <c r="O8521" s="21"/>
    </row>
    <row r="8522" spans="15:15" x14ac:dyDescent="0.25">
      <c r="O8522" s="21"/>
    </row>
    <row r="8523" spans="15:15" x14ac:dyDescent="0.25">
      <c r="O8523" s="21"/>
    </row>
    <row r="8524" spans="15:15" x14ac:dyDescent="0.25">
      <c r="O8524" s="21"/>
    </row>
    <row r="8525" spans="15:15" x14ac:dyDescent="0.25">
      <c r="O8525" s="21"/>
    </row>
    <row r="8526" spans="15:15" x14ac:dyDescent="0.25">
      <c r="O8526" s="21"/>
    </row>
    <row r="8527" spans="15:15" x14ac:dyDescent="0.25">
      <c r="O8527" s="21"/>
    </row>
    <row r="8528" spans="15:15" x14ac:dyDescent="0.25">
      <c r="O8528" s="21"/>
    </row>
    <row r="8529" spans="15:15" x14ac:dyDescent="0.25">
      <c r="O8529" s="21"/>
    </row>
    <row r="8530" spans="15:15" x14ac:dyDescent="0.25">
      <c r="O8530" s="21"/>
    </row>
    <row r="8531" spans="15:15" x14ac:dyDescent="0.25">
      <c r="O8531" s="21"/>
    </row>
    <row r="8532" spans="15:15" x14ac:dyDescent="0.25">
      <c r="O8532" s="21"/>
    </row>
    <row r="8533" spans="15:15" x14ac:dyDescent="0.25">
      <c r="O8533" s="21"/>
    </row>
    <row r="8534" spans="15:15" x14ac:dyDescent="0.25">
      <c r="O8534" s="21"/>
    </row>
    <row r="8535" spans="15:15" x14ac:dyDescent="0.25">
      <c r="O8535" s="21"/>
    </row>
    <row r="8536" spans="15:15" x14ac:dyDescent="0.25">
      <c r="O8536" s="21"/>
    </row>
    <row r="8537" spans="15:15" x14ac:dyDescent="0.25">
      <c r="O8537" s="21"/>
    </row>
    <row r="8538" spans="15:15" x14ac:dyDescent="0.25">
      <c r="O8538" s="21"/>
    </row>
    <row r="8539" spans="15:15" x14ac:dyDescent="0.25">
      <c r="O8539" s="21"/>
    </row>
    <row r="8540" spans="15:15" x14ac:dyDescent="0.25">
      <c r="O8540" s="21"/>
    </row>
    <row r="8541" spans="15:15" x14ac:dyDescent="0.25">
      <c r="O8541" s="21"/>
    </row>
    <row r="8542" spans="15:15" x14ac:dyDescent="0.25">
      <c r="O8542" s="21"/>
    </row>
    <row r="8543" spans="15:15" x14ac:dyDescent="0.25">
      <c r="O8543" s="21"/>
    </row>
    <row r="8544" spans="15:15" x14ac:dyDescent="0.25">
      <c r="O8544" s="21"/>
    </row>
    <row r="8545" spans="15:15" x14ac:dyDescent="0.25">
      <c r="O8545" s="21"/>
    </row>
    <row r="8546" spans="15:15" x14ac:dyDescent="0.25">
      <c r="O8546" s="21"/>
    </row>
    <row r="8547" spans="15:15" x14ac:dyDescent="0.25">
      <c r="O8547" s="21"/>
    </row>
    <row r="8548" spans="15:15" x14ac:dyDescent="0.25">
      <c r="O8548" s="21"/>
    </row>
    <row r="8549" spans="15:15" x14ac:dyDescent="0.25">
      <c r="O8549" s="21"/>
    </row>
    <row r="8550" spans="15:15" x14ac:dyDescent="0.25">
      <c r="O8550" s="21"/>
    </row>
    <row r="8551" spans="15:15" x14ac:dyDescent="0.25">
      <c r="O8551" s="21"/>
    </row>
    <row r="8552" spans="15:15" x14ac:dyDescent="0.25">
      <c r="O8552" s="21"/>
    </row>
    <row r="8553" spans="15:15" x14ac:dyDescent="0.25">
      <c r="O8553" s="21"/>
    </row>
    <row r="8554" spans="15:15" x14ac:dyDescent="0.25">
      <c r="O8554" s="21"/>
    </row>
    <row r="8555" spans="15:15" x14ac:dyDescent="0.25">
      <c r="O8555" s="21"/>
    </row>
    <row r="8556" spans="15:15" x14ac:dyDescent="0.25">
      <c r="O8556" s="21"/>
    </row>
    <row r="8557" spans="15:15" x14ac:dyDescent="0.25">
      <c r="O8557" s="21"/>
    </row>
    <row r="8558" spans="15:15" x14ac:dyDescent="0.25">
      <c r="O8558" s="21"/>
    </row>
    <row r="8559" spans="15:15" x14ac:dyDescent="0.25">
      <c r="O8559" s="21"/>
    </row>
    <row r="8560" spans="15:15" x14ac:dyDescent="0.25">
      <c r="O8560" s="21"/>
    </row>
    <row r="8561" spans="15:15" x14ac:dyDescent="0.25">
      <c r="O8561" s="21"/>
    </row>
    <row r="8562" spans="15:15" x14ac:dyDescent="0.25">
      <c r="O8562" s="21"/>
    </row>
    <row r="8563" spans="15:15" x14ac:dyDescent="0.25">
      <c r="O8563" s="21"/>
    </row>
    <row r="8564" spans="15:15" x14ac:dyDescent="0.25">
      <c r="O8564" s="21"/>
    </row>
    <row r="8565" spans="15:15" x14ac:dyDescent="0.25">
      <c r="O8565" s="21"/>
    </row>
    <row r="8566" spans="15:15" x14ac:dyDescent="0.25">
      <c r="O8566" s="21"/>
    </row>
    <row r="8567" spans="15:15" x14ac:dyDescent="0.25">
      <c r="O8567" s="21"/>
    </row>
    <row r="8568" spans="15:15" x14ac:dyDescent="0.25">
      <c r="O8568" s="21"/>
    </row>
    <row r="8569" spans="15:15" x14ac:dyDescent="0.25">
      <c r="O8569" s="21"/>
    </row>
    <row r="8570" spans="15:15" x14ac:dyDescent="0.25">
      <c r="O8570" s="21"/>
    </row>
    <row r="8571" spans="15:15" x14ac:dyDescent="0.25">
      <c r="O8571" s="21"/>
    </row>
    <row r="8572" spans="15:15" x14ac:dyDescent="0.25">
      <c r="O8572" s="21"/>
    </row>
    <row r="8573" spans="15:15" x14ac:dyDescent="0.25">
      <c r="O8573" s="21"/>
    </row>
    <row r="8574" spans="15:15" x14ac:dyDescent="0.25">
      <c r="O8574" s="21"/>
    </row>
    <row r="8575" spans="15:15" x14ac:dyDescent="0.25">
      <c r="O8575" s="21"/>
    </row>
    <row r="8576" spans="15:15" x14ac:dyDescent="0.25">
      <c r="O8576" s="21"/>
    </row>
    <row r="8577" spans="15:15" x14ac:dyDescent="0.25">
      <c r="O8577" s="21"/>
    </row>
    <row r="8578" spans="15:15" x14ac:dyDescent="0.25">
      <c r="O8578" s="21"/>
    </row>
    <row r="8579" spans="15:15" x14ac:dyDescent="0.25">
      <c r="O8579" s="21"/>
    </row>
    <row r="8580" spans="15:15" x14ac:dyDescent="0.25">
      <c r="O8580" s="21"/>
    </row>
    <row r="8581" spans="15:15" x14ac:dyDescent="0.25">
      <c r="O8581" s="21"/>
    </row>
    <row r="8582" spans="15:15" x14ac:dyDescent="0.25">
      <c r="O8582" s="21"/>
    </row>
    <row r="8583" spans="15:15" x14ac:dyDescent="0.25">
      <c r="O8583" s="21"/>
    </row>
    <row r="8584" spans="15:15" x14ac:dyDescent="0.25">
      <c r="O8584" s="21"/>
    </row>
    <row r="8585" spans="15:15" x14ac:dyDescent="0.25">
      <c r="O8585" s="21"/>
    </row>
    <row r="8586" spans="15:15" x14ac:dyDescent="0.25">
      <c r="O8586" s="21"/>
    </row>
    <row r="8587" spans="15:15" x14ac:dyDescent="0.25">
      <c r="O8587" s="21"/>
    </row>
    <row r="8588" spans="15:15" x14ac:dyDescent="0.25">
      <c r="O8588" s="21"/>
    </row>
    <row r="8589" spans="15:15" x14ac:dyDescent="0.25">
      <c r="O8589" s="21"/>
    </row>
    <row r="8590" spans="15:15" x14ac:dyDescent="0.25">
      <c r="O8590" s="21"/>
    </row>
    <row r="8591" spans="15:15" x14ac:dyDescent="0.25">
      <c r="O8591" s="21"/>
    </row>
    <row r="8592" spans="15:15" x14ac:dyDescent="0.25">
      <c r="O8592" s="21"/>
    </row>
    <row r="8593" spans="15:15" x14ac:dyDescent="0.25">
      <c r="O8593" s="21"/>
    </row>
    <row r="8594" spans="15:15" x14ac:dyDescent="0.25">
      <c r="O8594" s="21"/>
    </row>
    <row r="8595" spans="15:15" x14ac:dyDescent="0.25">
      <c r="O8595" s="21"/>
    </row>
    <row r="8596" spans="15:15" x14ac:dyDescent="0.25">
      <c r="O8596" s="21"/>
    </row>
    <row r="8597" spans="15:15" x14ac:dyDescent="0.25">
      <c r="O8597" s="21"/>
    </row>
    <row r="8598" spans="15:15" x14ac:dyDescent="0.25">
      <c r="O8598" s="21"/>
    </row>
    <row r="8599" spans="15:15" x14ac:dyDescent="0.25">
      <c r="O8599" s="21"/>
    </row>
    <row r="8600" spans="15:15" x14ac:dyDescent="0.25">
      <c r="O8600" s="21"/>
    </row>
    <row r="8601" spans="15:15" x14ac:dyDescent="0.25">
      <c r="O8601" s="21"/>
    </row>
    <row r="8602" spans="15:15" x14ac:dyDescent="0.25">
      <c r="O8602" s="21"/>
    </row>
    <row r="8603" spans="15:15" x14ac:dyDescent="0.25">
      <c r="O8603" s="21"/>
    </row>
    <row r="8604" spans="15:15" x14ac:dyDescent="0.25">
      <c r="O8604" s="21"/>
    </row>
    <row r="8605" spans="15:15" x14ac:dyDescent="0.25">
      <c r="O8605" s="21"/>
    </row>
    <row r="8606" spans="15:15" x14ac:dyDescent="0.25">
      <c r="O8606" s="21"/>
    </row>
    <row r="8607" spans="15:15" x14ac:dyDescent="0.25">
      <c r="O8607" s="21"/>
    </row>
    <row r="8608" spans="15:15" x14ac:dyDescent="0.25">
      <c r="O8608" s="21"/>
    </row>
    <row r="8609" spans="15:15" x14ac:dyDescent="0.25">
      <c r="O8609" s="21"/>
    </row>
    <row r="8610" spans="15:15" x14ac:dyDescent="0.25">
      <c r="O8610" s="21"/>
    </row>
    <row r="8611" spans="15:15" x14ac:dyDescent="0.25">
      <c r="O8611" s="21"/>
    </row>
    <row r="8612" spans="15:15" x14ac:dyDescent="0.25">
      <c r="O8612" s="21"/>
    </row>
    <row r="8613" spans="15:15" x14ac:dyDescent="0.25">
      <c r="O8613" s="21"/>
    </row>
    <row r="8614" spans="15:15" x14ac:dyDescent="0.25">
      <c r="O8614" s="21"/>
    </row>
    <row r="8615" spans="15:15" x14ac:dyDescent="0.25">
      <c r="O8615" s="21"/>
    </row>
    <row r="8616" spans="15:15" x14ac:dyDescent="0.25">
      <c r="O8616" s="21"/>
    </row>
    <row r="8617" spans="15:15" x14ac:dyDescent="0.25">
      <c r="O8617" s="21"/>
    </row>
    <row r="8618" spans="15:15" x14ac:dyDescent="0.25">
      <c r="O8618" s="21"/>
    </row>
    <row r="8619" spans="15:15" x14ac:dyDescent="0.25">
      <c r="O8619" s="21"/>
    </row>
    <row r="8620" spans="15:15" x14ac:dyDescent="0.25">
      <c r="O8620" s="21"/>
    </row>
    <row r="8621" spans="15:15" x14ac:dyDescent="0.25">
      <c r="O8621" s="21"/>
    </row>
    <row r="8622" spans="15:15" x14ac:dyDescent="0.25">
      <c r="O8622" s="21"/>
    </row>
    <row r="8623" spans="15:15" x14ac:dyDescent="0.25">
      <c r="O8623" s="21"/>
    </row>
    <row r="8624" spans="15:15" x14ac:dyDescent="0.25">
      <c r="O8624" s="21"/>
    </row>
    <row r="8625" spans="15:15" x14ac:dyDescent="0.25">
      <c r="O8625" s="21"/>
    </row>
    <row r="8626" spans="15:15" x14ac:dyDescent="0.25">
      <c r="O8626" s="21"/>
    </row>
    <row r="8627" spans="15:15" x14ac:dyDescent="0.25">
      <c r="O8627" s="21"/>
    </row>
    <row r="8628" spans="15:15" x14ac:dyDescent="0.25">
      <c r="O8628" s="21"/>
    </row>
    <row r="8629" spans="15:15" x14ac:dyDescent="0.25">
      <c r="O8629" s="21"/>
    </row>
    <row r="8630" spans="15:15" x14ac:dyDescent="0.25">
      <c r="O8630" s="21"/>
    </row>
    <row r="8631" spans="15:15" x14ac:dyDescent="0.25">
      <c r="O8631" s="21"/>
    </row>
    <row r="8632" spans="15:15" x14ac:dyDescent="0.25">
      <c r="O8632" s="21"/>
    </row>
    <row r="8633" spans="15:15" x14ac:dyDescent="0.25">
      <c r="O8633" s="21"/>
    </row>
    <row r="8634" spans="15:15" x14ac:dyDescent="0.25">
      <c r="O8634" s="21"/>
    </row>
    <row r="8635" spans="15:15" x14ac:dyDescent="0.25">
      <c r="O8635" s="21"/>
    </row>
    <row r="8636" spans="15:15" x14ac:dyDescent="0.25">
      <c r="O8636" s="21"/>
    </row>
    <row r="8637" spans="15:15" x14ac:dyDescent="0.25">
      <c r="O8637" s="21"/>
    </row>
    <row r="8638" spans="15:15" x14ac:dyDescent="0.25">
      <c r="O8638" s="21"/>
    </row>
    <row r="8639" spans="15:15" x14ac:dyDescent="0.25">
      <c r="O8639" s="21"/>
    </row>
    <row r="8640" spans="15:15" x14ac:dyDescent="0.25">
      <c r="O8640" s="21"/>
    </row>
    <row r="8641" spans="15:15" x14ac:dyDescent="0.25">
      <c r="O8641" s="21"/>
    </row>
    <row r="8642" spans="15:15" x14ac:dyDescent="0.25">
      <c r="O8642" s="21"/>
    </row>
    <row r="8643" spans="15:15" x14ac:dyDescent="0.25">
      <c r="O8643" s="21"/>
    </row>
    <row r="8644" spans="15:15" x14ac:dyDescent="0.25">
      <c r="O8644" s="21"/>
    </row>
    <row r="8645" spans="15:15" x14ac:dyDescent="0.25">
      <c r="O8645" s="21"/>
    </row>
    <row r="8646" spans="15:15" x14ac:dyDescent="0.25">
      <c r="O8646" s="21"/>
    </row>
    <row r="8647" spans="15:15" x14ac:dyDescent="0.25">
      <c r="O8647" s="21"/>
    </row>
    <row r="8648" spans="15:15" x14ac:dyDescent="0.25">
      <c r="O8648" s="21"/>
    </row>
    <row r="8649" spans="15:15" x14ac:dyDescent="0.25">
      <c r="O8649" s="21"/>
    </row>
    <row r="8650" spans="15:15" x14ac:dyDescent="0.25">
      <c r="O8650" s="21"/>
    </row>
    <row r="8651" spans="15:15" x14ac:dyDescent="0.25">
      <c r="O8651" s="21"/>
    </row>
    <row r="8652" spans="15:15" x14ac:dyDescent="0.25">
      <c r="O8652" s="21"/>
    </row>
    <row r="8653" spans="15:15" x14ac:dyDescent="0.25">
      <c r="O8653" s="21"/>
    </row>
    <row r="8654" spans="15:15" x14ac:dyDescent="0.25">
      <c r="O8654" s="21"/>
    </row>
    <row r="8655" spans="15:15" x14ac:dyDescent="0.25">
      <c r="O8655" s="21"/>
    </row>
    <row r="8656" spans="15:15" x14ac:dyDescent="0.25">
      <c r="O8656" s="21"/>
    </row>
    <row r="8657" spans="15:15" x14ac:dyDescent="0.25">
      <c r="O8657" s="21"/>
    </row>
    <row r="8658" spans="15:15" x14ac:dyDescent="0.25">
      <c r="O8658" s="21"/>
    </row>
    <row r="8659" spans="15:15" x14ac:dyDescent="0.25">
      <c r="O8659" s="21"/>
    </row>
    <row r="8660" spans="15:15" x14ac:dyDescent="0.25">
      <c r="O8660" s="21"/>
    </row>
    <row r="8661" spans="15:15" x14ac:dyDescent="0.25">
      <c r="O8661" s="21"/>
    </row>
    <row r="8662" spans="15:15" x14ac:dyDescent="0.25">
      <c r="O8662" s="21"/>
    </row>
    <row r="8663" spans="15:15" x14ac:dyDescent="0.25">
      <c r="O8663" s="21"/>
    </row>
    <row r="8664" spans="15:15" x14ac:dyDescent="0.25">
      <c r="O8664" s="21"/>
    </row>
    <row r="8665" spans="15:15" x14ac:dyDescent="0.25">
      <c r="O8665" s="21"/>
    </row>
    <row r="8666" spans="15:15" x14ac:dyDescent="0.25">
      <c r="O8666" s="21"/>
    </row>
    <row r="8667" spans="15:15" x14ac:dyDescent="0.25">
      <c r="O8667" s="21"/>
    </row>
    <row r="8668" spans="15:15" x14ac:dyDescent="0.25">
      <c r="O8668" s="21"/>
    </row>
    <row r="8669" spans="15:15" x14ac:dyDescent="0.25">
      <c r="O8669" s="21"/>
    </row>
    <row r="8670" spans="15:15" x14ac:dyDescent="0.25">
      <c r="O8670" s="21"/>
    </row>
    <row r="8671" spans="15:15" x14ac:dyDescent="0.25">
      <c r="O8671" s="21"/>
    </row>
    <row r="8672" spans="15:15" x14ac:dyDescent="0.25">
      <c r="O8672" s="21"/>
    </row>
    <row r="8673" spans="15:15" x14ac:dyDescent="0.25">
      <c r="O8673" s="21"/>
    </row>
    <row r="8674" spans="15:15" x14ac:dyDescent="0.25">
      <c r="O8674" s="21"/>
    </row>
    <row r="8675" spans="15:15" x14ac:dyDescent="0.25">
      <c r="O8675" s="21"/>
    </row>
    <row r="8676" spans="15:15" x14ac:dyDescent="0.25">
      <c r="O8676" s="21"/>
    </row>
    <row r="8677" spans="15:15" x14ac:dyDescent="0.25">
      <c r="O8677" s="21"/>
    </row>
    <row r="8678" spans="15:15" x14ac:dyDescent="0.25">
      <c r="O8678" s="21"/>
    </row>
    <row r="8679" spans="15:15" x14ac:dyDescent="0.25">
      <c r="O8679" s="21"/>
    </row>
    <row r="8680" spans="15:15" x14ac:dyDescent="0.25">
      <c r="O8680" s="21"/>
    </row>
    <row r="8681" spans="15:15" x14ac:dyDescent="0.25">
      <c r="O8681" s="21"/>
    </row>
    <row r="8682" spans="15:15" x14ac:dyDescent="0.25">
      <c r="O8682" s="21"/>
    </row>
    <row r="8683" spans="15:15" x14ac:dyDescent="0.25">
      <c r="O8683" s="21"/>
    </row>
    <row r="8684" spans="15:15" x14ac:dyDescent="0.25">
      <c r="O8684" s="21"/>
    </row>
    <row r="8685" spans="15:15" x14ac:dyDescent="0.25">
      <c r="O8685" s="21"/>
    </row>
    <row r="8686" spans="15:15" x14ac:dyDescent="0.25">
      <c r="O8686" s="21"/>
    </row>
    <row r="8687" spans="15:15" x14ac:dyDescent="0.25">
      <c r="O8687" s="21"/>
    </row>
    <row r="8688" spans="15:15" x14ac:dyDescent="0.25">
      <c r="O8688" s="21"/>
    </row>
    <row r="8689" spans="15:15" x14ac:dyDescent="0.25">
      <c r="O8689" s="21"/>
    </row>
    <row r="8690" spans="15:15" x14ac:dyDescent="0.25">
      <c r="O8690" s="21"/>
    </row>
    <row r="8691" spans="15:15" x14ac:dyDescent="0.25">
      <c r="O8691" s="21"/>
    </row>
    <row r="8692" spans="15:15" x14ac:dyDescent="0.25">
      <c r="O8692" s="21"/>
    </row>
    <row r="8693" spans="15:15" x14ac:dyDescent="0.25">
      <c r="O8693" s="21"/>
    </row>
    <row r="8694" spans="15:15" x14ac:dyDescent="0.25">
      <c r="O8694" s="21"/>
    </row>
    <row r="8695" spans="15:15" x14ac:dyDescent="0.25">
      <c r="O8695" s="21"/>
    </row>
    <row r="8696" spans="15:15" x14ac:dyDescent="0.25">
      <c r="O8696" s="21"/>
    </row>
    <row r="8697" spans="15:15" x14ac:dyDescent="0.25">
      <c r="O8697" s="21"/>
    </row>
    <row r="8698" spans="15:15" x14ac:dyDescent="0.25">
      <c r="O8698" s="21"/>
    </row>
    <row r="8699" spans="15:15" x14ac:dyDescent="0.25">
      <c r="O8699" s="21"/>
    </row>
    <row r="8700" spans="15:15" x14ac:dyDescent="0.25">
      <c r="O8700" s="21"/>
    </row>
    <row r="8701" spans="15:15" x14ac:dyDescent="0.25">
      <c r="O8701" s="21"/>
    </row>
    <row r="8702" spans="15:15" x14ac:dyDescent="0.25">
      <c r="O8702" s="21"/>
    </row>
    <row r="8703" spans="15:15" x14ac:dyDescent="0.25">
      <c r="O8703" s="21"/>
    </row>
    <row r="8704" spans="15:15" x14ac:dyDescent="0.25">
      <c r="O8704" s="21"/>
    </row>
    <row r="8705" spans="15:15" x14ac:dyDescent="0.25">
      <c r="O8705" s="21"/>
    </row>
    <row r="8706" spans="15:15" x14ac:dyDescent="0.25">
      <c r="O8706" s="21"/>
    </row>
    <row r="8707" spans="15:15" x14ac:dyDescent="0.25">
      <c r="O8707" s="21"/>
    </row>
    <row r="8708" spans="15:15" x14ac:dyDescent="0.25">
      <c r="O8708" s="21"/>
    </row>
    <row r="8709" spans="15:15" x14ac:dyDescent="0.25">
      <c r="O8709" s="21"/>
    </row>
    <row r="8710" spans="15:15" x14ac:dyDescent="0.25">
      <c r="O8710" s="21"/>
    </row>
    <row r="8711" spans="15:15" x14ac:dyDescent="0.25">
      <c r="O8711" s="21"/>
    </row>
    <row r="8712" spans="15:15" x14ac:dyDescent="0.25">
      <c r="O8712" s="21"/>
    </row>
    <row r="8713" spans="15:15" x14ac:dyDescent="0.25">
      <c r="O8713" s="21"/>
    </row>
    <row r="8714" spans="15:15" x14ac:dyDescent="0.25">
      <c r="O8714" s="21"/>
    </row>
    <row r="8715" spans="15:15" x14ac:dyDescent="0.25">
      <c r="O8715" s="21"/>
    </row>
    <row r="8716" spans="15:15" x14ac:dyDescent="0.25">
      <c r="O8716" s="21"/>
    </row>
    <row r="8717" spans="15:15" x14ac:dyDescent="0.25">
      <c r="O8717" s="21"/>
    </row>
    <row r="8718" spans="15:15" x14ac:dyDescent="0.25">
      <c r="O8718" s="21"/>
    </row>
    <row r="8719" spans="15:15" x14ac:dyDescent="0.25">
      <c r="O8719" s="21"/>
    </row>
    <row r="8720" spans="15:15" x14ac:dyDescent="0.25">
      <c r="O8720" s="21"/>
    </row>
    <row r="8721" spans="15:15" x14ac:dyDescent="0.25">
      <c r="O8721" s="21"/>
    </row>
    <row r="8722" spans="15:15" x14ac:dyDescent="0.25">
      <c r="O8722" s="21"/>
    </row>
    <row r="8723" spans="15:15" x14ac:dyDescent="0.25">
      <c r="O8723" s="21"/>
    </row>
    <row r="8724" spans="15:15" x14ac:dyDescent="0.25">
      <c r="O8724" s="21"/>
    </row>
    <row r="8725" spans="15:15" x14ac:dyDescent="0.25">
      <c r="O8725" s="21"/>
    </row>
    <row r="8726" spans="15:15" x14ac:dyDescent="0.25">
      <c r="O8726" s="21"/>
    </row>
    <row r="8727" spans="15:15" x14ac:dyDescent="0.25">
      <c r="O8727" s="21"/>
    </row>
    <row r="8728" spans="15:15" x14ac:dyDescent="0.25">
      <c r="O8728" s="21"/>
    </row>
    <row r="8729" spans="15:15" x14ac:dyDescent="0.25">
      <c r="O8729" s="21"/>
    </row>
    <row r="8730" spans="15:15" x14ac:dyDescent="0.25">
      <c r="O8730" s="21"/>
    </row>
    <row r="8731" spans="15:15" x14ac:dyDescent="0.25">
      <c r="O8731" s="21"/>
    </row>
    <row r="8732" spans="15:15" x14ac:dyDescent="0.25">
      <c r="O8732" s="21"/>
    </row>
    <row r="8733" spans="15:15" x14ac:dyDescent="0.25">
      <c r="O8733" s="21"/>
    </row>
    <row r="8734" spans="15:15" x14ac:dyDescent="0.25">
      <c r="O8734" s="21"/>
    </row>
    <row r="8735" spans="15:15" x14ac:dyDescent="0.25">
      <c r="O8735" s="21"/>
    </row>
    <row r="8736" spans="15:15" x14ac:dyDescent="0.25">
      <c r="O8736" s="21"/>
    </row>
    <row r="8737" spans="15:15" x14ac:dyDescent="0.25">
      <c r="O8737" s="21"/>
    </row>
    <row r="8738" spans="15:15" x14ac:dyDescent="0.25">
      <c r="O8738" s="21"/>
    </row>
    <row r="8739" spans="15:15" x14ac:dyDescent="0.25">
      <c r="O8739" s="21"/>
    </row>
    <row r="8740" spans="15:15" x14ac:dyDescent="0.25">
      <c r="O8740" s="21"/>
    </row>
    <row r="8741" spans="15:15" x14ac:dyDescent="0.25">
      <c r="O8741" s="21"/>
    </row>
    <row r="8742" spans="15:15" x14ac:dyDescent="0.25">
      <c r="O8742" s="21"/>
    </row>
    <row r="8743" spans="15:15" x14ac:dyDescent="0.25">
      <c r="O8743" s="21"/>
    </row>
    <row r="8744" spans="15:15" x14ac:dyDescent="0.25">
      <c r="O8744" s="21"/>
    </row>
    <row r="8745" spans="15:15" x14ac:dyDescent="0.25">
      <c r="O8745" s="21"/>
    </row>
    <row r="8746" spans="15:15" x14ac:dyDescent="0.25">
      <c r="O8746" s="21"/>
    </row>
    <row r="8747" spans="15:15" x14ac:dyDescent="0.25">
      <c r="O8747" s="21"/>
    </row>
    <row r="8748" spans="15:15" x14ac:dyDescent="0.25">
      <c r="O8748" s="21"/>
    </row>
    <row r="8749" spans="15:15" x14ac:dyDescent="0.25">
      <c r="O8749" s="21"/>
    </row>
    <row r="8750" spans="15:15" x14ac:dyDescent="0.25">
      <c r="O8750" s="21"/>
    </row>
    <row r="8751" spans="15:15" x14ac:dyDescent="0.25">
      <c r="O8751" s="21"/>
    </row>
    <row r="8752" spans="15:15" x14ac:dyDescent="0.25">
      <c r="O8752" s="21"/>
    </row>
    <row r="8753" spans="15:15" x14ac:dyDescent="0.25">
      <c r="O8753" s="21"/>
    </row>
    <row r="8754" spans="15:15" x14ac:dyDescent="0.25">
      <c r="O8754" s="21"/>
    </row>
    <row r="8755" spans="15:15" x14ac:dyDescent="0.25">
      <c r="O8755" s="21"/>
    </row>
    <row r="8756" spans="15:15" x14ac:dyDescent="0.25">
      <c r="O8756" s="21"/>
    </row>
    <row r="8757" spans="15:15" x14ac:dyDescent="0.25">
      <c r="O8757" s="21"/>
    </row>
    <row r="8758" spans="15:15" x14ac:dyDescent="0.25">
      <c r="O8758" s="21"/>
    </row>
    <row r="8759" spans="15:15" x14ac:dyDescent="0.25">
      <c r="O8759" s="21"/>
    </row>
    <row r="8760" spans="15:15" x14ac:dyDescent="0.25">
      <c r="O8760" s="21"/>
    </row>
    <row r="8761" spans="15:15" x14ac:dyDescent="0.25">
      <c r="O8761" s="21"/>
    </row>
    <row r="8762" spans="15:15" x14ac:dyDescent="0.25">
      <c r="O8762" s="21"/>
    </row>
    <row r="8763" spans="15:15" x14ac:dyDescent="0.25">
      <c r="O8763" s="21"/>
    </row>
    <row r="8764" spans="15:15" x14ac:dyDescent="0.25">
      <c r="O8764" s="21"/>
    </row>
    <row r="8765" spans="15:15" x14ac:dyDescent="0.25">
      <c r="O8765" s="21"/>
    </row>
    <row r="8766" spans="15:15" x14ac:dyDescent="0.25">
      <c r="O8766" s="21"/>
    </row>
    <row r="8767" spans="15:15" x14ac:dyDescent="0.25">
      <c r="O8767" s="21"/>
    </row>
    <row r="8768" spans="15:15" x14ac:dyDescent="0.25">
      <c r="O8768" s="21"/>
    </row>
    <row r="8769" spans="15:15" x14ac:dyDescent="0.25">
      <c r="O8769" s="21"/>
    </row>
    <row r="8770" spans="15:15" x14ac:dyDescent="0.25">
      <c r="O8770" s="21"/>
    </row>
    <row r="8771" spans="15:15" x14ac:dyDescent="0.25">
      <c r="O8771" s="21"/>
    </row>
    <row r="8772" spans="15:15" x14ac:dyDescent="0.25">
      <c r="O8772" s="21"/>
    </row>
    <row r="8773" spans="15:15" x14ac:dyDescent="0.25">
      <c r="O8773" s="21"/>
    </row>
    <row r="8774" spans="15:15" x14ac:dyDescent="0.25">
      <c r="O8774" s="21"/>
    </row>
    <row r="8775" spans="15:15" x14ac:dyDescent="0.25">
      <c r="O8775" s="21"/>
    </row>
    <row r="8776" spans="15:15" x14ac:dyDescent="0.25">
      <c r="O8776" s="21"/>
    </row>
    <row r="8777" spans="15:15" x14ac:dyDescent="0.25">
      <c r="O8777" s="21"/>
    </row>
    <row r="8778" spans="15:15" x14ac:dyDescent="0.25">
      <c r="O8778" s="21"/>
    </row>
    <row r="8779" spans="15:15" x14ac:dyDescent="0.25">
      <c r="O8779" s="21"/>
    </row>
    <row r="8780" spans="15:15" x14ac:dyDescent="0.25">
      <c r="O8780" s="21"/>
    </row>
    <row r="8781" spans="15:15" x14ac:dyDescent="0.25">
      <c r="O8781" s="21"/>
    </row>
    <row r="8782" spans="15:15" x14ac:dyDescent="0.25">
      <c r="O8782" s="21"/>
    </row>
    <row r="8783" spans="15:15" x14ac:dyDescent="0.25">
      <c r="O8783" s="21"/>
    </row>
    <row r="8784" spans="15:15" x14ac:dyDescent="0.25">
      <c r="O8784" s="21"/>
    </row>
    <row r="8785" spans="15:15" x14ac:dyDescent="0.25">
      <c r="O8785" s="21"/>
    </row>
    <row r="8786" spans="15:15" x14ac:dyDescent="0.25">
      <c r="O8786" s="21"/>
    </row>
    <row r="8787" spans="15:15" x14ac:dyDescent="0.25">
      <c r="O8787" s="21"/>
    </row>
    <row r="8788" spans="15:15" x14ac:dyDescent="0.25">
      <c r="O8788" s="21"/>
    </row>
    <row r="8789" spans="15:15" x14ac:dyDescent="0.25">
      <c r="O8789" s="21"/>
    </row>
    <row r="8790" spans="15:15" x14ac:dyDescent="0.25">
      <c r="O8790" s="21"/>
    </row>
    <row r="8791" spans="15:15" x14ac:dyDescent="0.25">
      <c r="O8791" s="21"/>
    </row>
    <row r="8792" spans="15:15" x14ac:dyDescent="0.25">
      <c r="O8792" s="21"/>
    </row>
    <row r="8793" spans="15:15" x14ac:dyDescent="0.25">
      <c r="O8793" s="21"/>
    </row>
    <row r="8794" spans="15:15" x14ac:dyDescent="0.25">
      <c r="O8794" s="21"/>
    </row>
    <row r="8795" spans="15:15" x14ac:dyDescent="0.25">
      <c r="O8795" s="21"/>
    </row>
    <row r="8796" spans="15:15" x14ac:dyDescent="0.25">
      <c r="O8796" s="21"/>
    </row>
    <row r="8797" spans="15:15" x14ac:dyDescent="0.25">
      <c r="O8797" s="21"/>
    </row>
    <row r="8798" spans="15:15" x14ac:dyDescent="0.25">
      <c r="O8798" s="21"/>
    </row>
    <row r="8799" spans="15:15" x14ac:dyDescent="0.25">
      <c r="O8799" s="21"/>
    </row>
    <row r="8800" spans="15:15" x14ac:dyDescent="0.25">
      <c r="O8800" s="21"/>
    </row>
    <row r="8801" spans="15:15" x14ac:dyDescent="0.25">
      <c r="O8801" s="21"/>
    </row>
    <row r="8802" spans="15:15" x14ac:dyDescent="0.25">
      <c r="O8802" s="21"/>
    </row>
    <row r="8803" spans="15:15" x14ac:dyDescent="0.25">
      <c r="O8803" s="21"/>
    </row>
    <row r="8804" spans="15:15" x14ac:dyDescent="0.25">
      <c r="O8804" s="21"/>
    </row>
    <row r="8805" spans="15:15" x14ac:dyDescent="0.25">
      <c r="O8805" s="21"/>
    </row>
    <row r="8806" spans="15:15" x14ac:dyDescent="0.25">
      <c r="O8806" s="21"/>
    </row>
    <row r="8807" spans="15:15" x14ac:dyDescent="0.25">
      <c r="O8807" s="21"/>
    </row>
    <row r="8808" spans="15:15" x14ac:dyDescent="0.25">
      <c r="O8808" s="21"/>
    </row>
    <row r="8809" spans="15:15" x14ac:dyDescent="0.25">
      <c r="O8809" s="21"/>
    </row>
    <row r="8810" spans="15:15" x14ac:dyDescent="0.25">
      <c r="O8810" s="21"/>
    </row>
    <row r="8811" spans="15:15" x14ac:dyDescent="0.25">
      <c r="O8811" s="21"/>
    </row>
    <row r="8812" spans="15:15" x14ac:dyDescent="0.25">
      <c r="O8812" s="21"/>
    </row>
    <row r="8813" spans="15:15" x14ac:dyDescent="0.25">
      <c r="O8813" s="21"/>
    </row>
    <row r="8814" spans="15:15" x14ac:dyDescent="0.25">
      <c r="O8814" s="21"/>
    </row>
    <row r="8815" spans="15:15" x14ac:dyDescent="0.25">
      <c r="O8815" s="21"/>
    </row>
    <row r="8816" spans="15:15" x14ac:dyDescent="0.25">
      <c r="O8816" s="21"/>
    </row>
    <row r="8817" spans="15:15" x14ac:dyDescent="0.25">
      <c r="O8817" s="21"/>
    </row>
    <row r="8818" spans="15:15" x14ac:dyDescent="0.25">
      <c r="O8818" s="21"/>
    </row>
    <row r="8819" spans="15:15" x14ac:dyDescent="0.25">
      <c r="O8819" s="21"/>
    </row>
    <row r="8820" spans="15:15" x14ac:dyDescent="0.25">
      <c r="O8820" s="21"/>
    </row>
    <row r="8821" spans="15:15" x14ac:dyDescent="0.25">
      <c r="O8821" s="21"/>
    </row>
    <row r="8822" spans="15:15" x14ac:dyDescent="0.25">
      <c r="O8822" s="21"/>
    </row>
    <row r="8823" spans="15:15" x14ac:dyDescent="0.25">
      <c r="O8823" s="21"/>
    </row>
    <row r="8824" spans="15:15" x14ac:dyDescent="0.25">
      <c r="O8824" s="21"/>
    </row>
    <row r="8825" spans="15:15" x14ac:dyDescent="0.25">
      <c r="O8825" s="21"/>
    </row>
    <row r="8826" spans="15:15" x14ac:dyDescent="0.25">
      <c r="O8826" s="21"/>
    </row>
    <row r="8827" spans="15:15" x14ac:dyDescent="0.25">
      <c r="O8827" s="21"/>
    </row>
    <row r="8828" spans="15:15" x14ac:dyDescent="0.25">
      <c r="O8828" s="21"/>
    </row>
    <row r="8829" spans="15:15" x14ac:dyDescent="0.25">
      <c r="O8829" s="21"/>
    </row>
    <row r="8830" spans="15:15" x14ac:dyDescent="0.25">
      <c r="O8830" s="21"/>
    </row>
    <row r="8831" spans="15:15" x14ac:dyDescent="0.25">
      <c r="O8831" s="21"/>
    </row>
    <row r="8832" spans="15:15" x14ac:dyDescent="0.25">
      <c r="O8832" s="21"/>
    </row>
    <row r="8833" spans="15:15" x14ac:dyDescent="0.25">
      <c r="O8833" s="21"/>
    </row>
    <row r="8834" spans="15:15" x14ac:dyDescent="0.25">
      <c r="O8834" s="21"/>
    </row>
    <row r="8835" spans="15:15" x14ac:dyDescent="0.25">
      <c r="O8835" s="21"/>
    </row>
    <row r="8836" spans="15:15" x14ac:dyDescent="0.25">
      <c r="O8836" s="21"/>
    </row>
    <row r="8837" spans="15:15" x14ac:dyDescent="0.25">
      <c r="O8837" s="21"/>
    </row>
    <row r="8838" spans="15:15" x14ac:dyDescent="0.25">
      <c r="O8838" s="21"/>
    </row>
    <row r="8839" spans="15:15" x14ac:dyDescent="0.25">
      <c r="O8839" s="21"/>
    </row>
    <row r="8840" spans="15:15" x14ac:dyDescent="0.25">
      <c r="O8840" s="21"/>
    </row>
    <row r="8841" spans="15:15" x14ac:dyDescent="0.25">
      <c r="O8841" s="21"/>
    </row>
    <row r="8842" spans="15:15" x14ac:dyDescent="0.25">
      <c r="O8842" s="21"/>
    </row>
    <row r="8843" spans="15:15" x14ac:dyDescent="0.25">
      <c r="O8843" s="21"/>
    </row>
    <row r="8844" spans="15:15" x14ac:dyDescent="0.25">
      <c r="O8844" s="21"/>
    </row>
    <row r="8845" spans="15:15" x14ac:dyDescent="0.25">
      <c r="O8845" s="21"/>
    </row>
    <row r="8846" spans="15:15" x14ac:dyDescent="0.25">
      <c r="O8846" s="21"/>
    </row>
    <row r="8847" spans="15:15" x14ac:dyDescent="0.25">
      <c r="O8847" s="21"/>
    </row>
    <row r="8848" spans="15:15" x14ac:dyDescent="0.25">
      <c r="O8848" s="21"/>
    </row>
    <row r="8849" spans="15:15" x14ac:dyDescent="0.25">
      <c r="O8849" s="21"/>
    </row>
    <row r="8850" spans="15:15" x14ac:dyDescent="0.25">
      <c r="O8850" s="21"/>
    </row>
    <row r="8851" spans="15:15" x14ac:dyDescent="0.25">
      <c r="O8851" s="21"/>
    </row>
    <row r="8852" spans="15:15" x14ac:dyDescent="0.25">
      <c r="O8852" s="21"/>
    </row>
    <row r="8853" spans="15:15" x14ac:dyDescent="0.25">
      <c r="O8853" s="21"/>
    </row>
    <row r="8854" spans="15:15" x14ac:dyDescent="0.25">
      <c r="O8854" s="21"/>
    </row>
    <row r="8855" spans="15:15" x14ac:dyDescent="0.25">
      <c r="O8855" s="21"/>
    </row>
    <row r="8856" spans="15:15" x14ac:dyDescent="0.25">
      <c r="O8856" s="21"/>
    </row>
    <row r="8857" spans="15:15" x14ac:dyDescent="0.25">
      <c r="O8857" s="21"/>
    </row>
    <row r="8858" spans="15:15" x14ac:dyDescent="0.25">
      <c r="O8858" s="21"/>
    </row>
    <row r="8859" spans="15:15" x14ac:dyDescent="0.25">
      <c r="O8859" s="21"/>
    </row>
    <row r="8860" spans="15:15" x14ac:dyDescent="0.25">
      <c r="O8860" s="21"/>
    </row>
    <row r="8861" spans="15:15" x14ac:dyDescent="0.25">
      <c r="O8861" s="21"/>
    </row>
    <row r="8862" spans="15:15" x14ac:dyDescent="0.25">
      <c r="O8862" s="21"/>
    </row>
    <row r="8863" spans="15:15" x14ac:dyDescent="0.25">
      <c r="O8863" s="21"/>
    </row>
    <row r="8864" spans="15:15" x14ac:dyDescent="0.25">
      <c r="O8864" s="21"/>
    </row>
    <row r="8865" spans="15:15" x14ac:dyDescent="0.25">
      <c r="O8865" s="21"/>
    </row>
    <row r="8866" spans="15:15" x14ac:dyDescent="0.25">
      <c r="O8866" s="21"/>
    </row>
    <row r="8867" spans="15:15" x14ac:dyDescent="0.25">
      <c r="O8867" s="21"/>
    </row>
    <row r="8868" spans="15:15" x14ac:dyDescent="0.25">
      <c r="O8868" s="21"/>
    </row>
    <row r="8869" spans="15:15" x14ac:dyDescent="0.25">
      <c r="O8869" s="21"/>
    </row>
    <row r="8870" spans="15:15" x14ac:dyDescent="0.25">
      <c r="O8870" s="21"/>
    </row>
    <row r="8871" spans="15:15" x14ac:dyDescent="0.25">
      <c r="O8871" s="21"/>
    </row>
    <row r="8872" spans="15:15" x14ac:dyDescent="0.25">
      <c r="O8872" s="21"/>
    </row>
    <row r="8873" spans="15:15" x14ac:dyDescent="0.25">
      <c r="O8873" s="21"/>
    </row>
    <row r="8874" spans="15:15" x14ac:dyDescent="0.25">
      <c r="O8874" s="21"/>
    </row>
    <row r="8875" spans="15:15" x14ac:dyDescent="0.25">
      <c r="O8875" s="21"/>
    </row>
    <row r="8876" spans="15:15" x14ac:dyDescent="0.25">
      <c r="O8876" s="21"/>
    </row>
    <row r="8877" spans="15:15" x14ac:dyDescent="0.25">
      <c r="O8877" s="21"/>
    </row>
    <row r="8878" spans="15:15" x14ac:dyDescent="0.25">
      <c r="O8878" s="21"/>
    </row>
    <row r="8879" spans="15:15" x14ac:dyDescent="0.25">
      <c r="O8879" s="21"/>
    </row>
    <row r="8880" spans="15:15" x14ac:dyDescent="0.25">
      <c r="O8880" s="21"/>
    </row>
    <row r="8881" spans="15:15" x14ac:dyDescent="0.25">
      <c r="O8881" s="21"/>
    </row>
    <row r="8882" spans="15:15" x14ac:dyDescent="0.25">
      <c r="O8882" s="21"/>
    </row>
    <row r="8883" spans="15:15" x14ac:dyDescent="0.25">
      <c r="O8883" s="21"/>
    </row>
    <row r="8884" spans="15:15" x14ac:dyDescent="0.25">
      <c r="O8884" s="21"/>
    </row>
    <row r="8885" spans="15:15" x14ac:dyDescent="0.25">
      <c r="O8885" s="21"/>
    </row>
    <row r="8886" spans="15:15" x14ac:dyDescent="0.25">
      <c r="O8886" s="21"/>
    </row>
    <row r="8887" spans="15:15" x14ac:dyDescent="0.25">
      <c r="O8887" s="21"/>
    </row>
    <row r="8888" spans="15:15" x14ac:dyDescent="0.25">
      <c r="O8888" s="21"/>
    </row>
    <row r="8889" spans="15:15" x14ac:dyDescent="0.25">
      <c r="O8889" s="21"/>
    </row>
    <row r="8890" spans="15:15" x14ac:dyDescent="0.25">
      <c r="O8890" s="21"/>
    </row>
    <row r="8891" spans="15:15" x14ac:dyDescent="0.25">
      <c r="O8891" s="21"/>
    </row>
    <row r="8892" spans="15:15" x14ac:dyDescent="0.25">
      <c r="O8892" s="21"/>
    </row>
    <row r="8893" spans="15:15" x14ac:dyDescent="0.25">
      <c r="O8893" s="21"/>
    </row>
    <row r="8894" spans="15:15" x14ac:dyDescent="0.25">
      <c r="O8894" s="21"/>
    </row>
    <row r="8895" spans="15:15" x14ac:dyDescent="0.25">
      <c r="O8895" s="21"/>
    </row>
    <row r="8896" spans="15:15" x14ac:dyDescent="0.25">
      <c r="O8896" s="21"/>
    </row>
    <row r="8897" spans="15:15" x14ac:dyDescent="0.25">
      <c r="O8897" s="21"/>
    </row>
    <row r="8898" spans="15:15" x14ac:dyDescent="0.25">
      <c r="O8898" s="21"/>
    </row>
    <row r="8899" spans="15:15" x14ac:dyDescent="0.25">
      <c r="O8899" s="21"/>
    </row>
    <row r="8900" spans="15:15" x14ac:dyDescent="0.25">
      <c r="O8900" s="21"/>
    </row>
    <row r="8901" spans="15:15" x14ac:dyDescent="0.25">
      <c r="O8901" s="21"/>
    </row>
    <row r="8902" spans="15:15" x14ac:dyDescent="0.25">
      <c r="O8902" s="21"/>
    </row>
    <row r="8903" spans="15:15" x14ac:dyDescent="0.25">
      <c r="O8903" s="21"/>
    </row>
    <row r="8904" spans="15:15" x14ac:dyDescent="0.25">
      <c r="O8904" s="21"/>
    </row>
    <row r="8905" spans="15:15" x14ac:dyDescent="0.25">
      <c r="O8905" s="21"/>
    </row>
    <row r="8906" spans="15:15" x14ac:dyDescent="0.25">
      <c r="O8906" s="21"/>
    </row>
    <row r="8907" spans="15:15" x14ac:dyDescent="0.25">
      <c r="O8907" s="21"/>
    </row>
    <row r="8908" spans="15:15" x14ac:dyDescent="0.25">
      <c r="O8908" s="21"/>
    </row>
    <row r="8909" spans="15:15" x14ac:dyDescent="0.25">
      <c r="O8909" s="21"/>
    </row>
    <row r="8910" spans="15:15" x14ac:dyDescent="0.25">
      <c r="O8910" s="21"/>
    </row>
    <row r="8911" spans="15:15" x14ac:dyDescent="0.25">
      <c r="O8911" s="21"/>
    </row>
    <row r="8912" spans="15:15" x14ac:dyDescent="0.25">
      <c r="O8912" s="21"/>
    </row>
    <row r="8913" spans="15:15" x14ac:dyDescent="0.25">
      <c r="O8913" s="21"/>
    </row>
    <row r="8914" spans="15:15" x14ac:dyDescent="0.25">
      <c r="O8914" s="21"/>
    </row>
    <row r="8915" spans="15:15" x14ac:dyDescent="0.25">
      <c r="O8915" s="21"/>
    </row>
    <row r="8916" spans="15:15" x14ac:dyDescent="0.25">
      <c r="O8916" s="21"/>
    </row>
    <row r="8917" spans="15:15" x14ac:dyDescent="0.25">
      <c r="O8917" s="21"/>
    </row>
    <row r="8918" spans="15:15" x14ac:dyDescent="0.25">
      <c r="O8918" s="21"/>
    </row>
    <row r="8919" spans="15:15" x14ac:dyDescent="0.25">
      <c r="O8919" s="21"/>
    </row>
    <row r="8920" spans="15:15" x14ac:dyDescent="0.25">
      <c r="O8920" s="21"/>
    </row>
    <row r="8921" spans="15:15" x14ac:dyDescent="0.25">
      <c r="O8921" s="21"/>
    </row>
    <row r="8922" spans="15:15" x14ac:dyDescent="0.25">
      <c r="O8922" s="21"/>
    </row>
    <row r="8923" spans="15:15" x14ac:dyDescent="0.25">
      <c r="O8923" s="21"/>
    </row>
    <row r="8924" spans="15:15" x14ac:dyDescent="0.25">
      <c r="O8924" s="21"/>
    </row>
    <row r="8925" spans="15:15" x14ac:dyDescent="0.25">
      <c r="O8925" s="21"/>
    </row>
    <row r="8926" spans="15:15" x14ac:dyDescent="0.25">
      <c r="O8926" s="21"/>
    </row>
    <row r="8927" spans="15:15" x14ac:dyDescent="0.25">
      <c r="O8927" s="21"/>
    </row>
    <row r="8928" spans="15:15" x14ac:dyDescent="0.25">
      <c r="O8928" s="21"/>
    </row>
    <row r="8929" spans="15:15" x14ac:dyDescent="0.25">
      <c r="O8929" s="21"/>
    </row>
    <row r="8930" spans="15:15" x14ac:dyDescent="0.25">
      <c r="O8930" s="21"/>
    </row>
    <row r="8931" spans="15:15" x14ac:dyDescent="0.25">
      <c r="O8931" s="21"/>
    </row>
    <row r="8932" spans="15:15" x14ac:dyDescent="0.25">
      <c r="O8932" s="21"/>
    </row>
    <row r="8933" spans="15:15" x14ac:dyDescent="0.25">
      <c r="O8933" s="21"/>
    </row>
    <row r="8934" spans="15:15" x14ac:dyDescent="0.25">
      <c r="O8934" s="21"/>
    </row>
    <row r="8935" spans="15:15" x14ac:dyDescent="0.25">
      <c r="O8935" s="21"/>
    </row>
    <row r="8936" spans="15:15" x14ac:dyDescent="0.25">
      <c r="O8936" s="21"/>
    </row>
    <row r="8937" spans="15:15" x14ac:dyDescent="0.25">
      <c r="O8937" s="21"/>
    </row>
    <row r="8938" spans="15:15" x14ac:dyDescent="0.25">
      <c r="O8938" s="21"/>
    </row>
    <row r="8939" spans="15:15" x14ac:dyDescent="0.25">
      <c r="O8939" s="21"/>
    </row>
    <row r="8940" spans="15:15" x14ac:dyDescent="0.25">
      <c r="O8940" s="21"/>
    </row>
    <row r="8941" spans="15:15" x14ac:dyDescent="0.25">
      <c r="O8941" s="21"/>
    </row>
    <row r="8942" spans="15:15" x14ac:dyDescent="0.25">
      <c r="O8942" s="21"/>
    </row>
    <row r="8943" spans="15:15" x14ac:dyDescent="0.25">
      <c r="O8943" s="21"/>
    </row>
    <row r="8944" spans="15:15" x14ac:dyDescent="0.25">
      <c r="O8944" s="21"/>
    </row>
    <row r="8945" spans="15:15" x14ac:dyDescent="0.25">
      <c r="O8945" s="21"/>
    </row>
    <row r="8946" spans="15:15" x14ac:dyDescent="0.25">
      <c r="O8946" s="21"/>
    </row>
    <row r="8947" spans="15:15" x14ac:dyDescent="0.25">
      <c r="O8947" s="21"/>
    </row>
    <row r="8948" spans="15:15" x14ac:dyDescent="0.25">
      <c r="O8948" s="21"/>
    </row>
    <row r="8949" spans="15:15" x14ac:dyDescent="0.25">
      <c r="O8949" s="21"/>
    </row>
    <row r="8950" spans="15:15" x14ac:dyDescent="0.25">
      <c r="O8950" s="21"/>
    </row>
    <row r="8951" spans="15:15" x14ac:dyDescent="0.25">
      <c r="O8951" s="21"/>
    </row>
    <row r="8952" spans="15:15" x14ac:dyDescent="0.25">
      <c r="O8952" s="21"/>
    </row>
    <row r="8953" spans="15:15" x14ac:dyDescent="0.25">
      <c r="O8953" s="21"/>
    </row>
    <row r="8954" spans="15:15" x14ac:dyDescent="0.25">
      <c r="O8954" s="21"/>
    </row>
    <row r="8955" spans="15:15" x14ac:dyDescent="0.25">
      <c r="O8955" s="21"/>
    </row>
    <row r="8956" spans="15:15" x14ac:dyDescent="0.25">
      <c r="O8956" s="21"/>
    </row>
    <row r="8957" spans="15:15" x14ac:dyDescent="0.25">
      <c r="O8957" s="21"/>
    </row>
    <row r="8958" spans="15:15" x14ac:dyDescent="0.25">
      <c r="O8958" s="21"/>
    </row>
    <row r="8959" spans="15:15" x14ac:dyDescent="0.25">
      <c r="O8959" s="21"/>
    </row>
    <row r="8960" spans="15:15" x14ac:dyDescent="0.25">
      <c r="O8960" s="21"/>
    </row>
    <row r="8961" spans="15:15" x14ac:dyDescent="0.25">
      <c r="O8961" s="21"/>
    </row>
    <row r="8962" spans="15:15" x14ac:dyDescent="0.25">
      <c r="O8962" s="21"/>
    </row>
    <row r="8963" spans="15:15" x14ac:dyDescent="0.25">
      <c r="O8963" s="21"/>
    </row>
    <row r="8964" spans="15:15" x14ac:dyDescent="0.25">
      <c r="O8964" s="21"/>
    </row>
    <row r="8965" spans="15:15" x14ac:dyDescent="0.25">
      <c r="O8965" s="21"/>
    </row>
    <row r="8966" spans="15:15" x14ac:dyDescent="0.25">
      <c r="O8966" s="21"/>
    </row>
    <row r="8967" spans="15:15" x14ac:dyDescent="0.25">
      <c r="O8967" s="21"/>
    </row>
    <row r="8968" spans="15:15" x14ac:dyDescent="0.25">
      <c r="O8968" s="21"/>
    </row>
    <row r="8969" spans="15:15" x14ac:dyDescent="0.25">
      <c r="O8969" s="21"/>
    </row>
    <row r="8970" spans="15:15" x14ac:dyDescent="0.25">
      <c r="O8970" s="21"/>
    </row>
    <row r="8971" spans="15:15" x14ac:dyDescent="0.25">
      <c r="O8971" s="21"/>
    </row>
    <row r="8972" spans="15:15" x14ac:dyDescent="0.25">
      <c r="O8972" s="21"/>
    </row>
    <row r="8973" spans="15:15" x14ac:dyDescent="0.25">
      <c r="O8973" s="21"/>
    </row>
    <row r="8974" spans="15:15" x14ac:dyDescent="0.25">
      <c r="O8974" s="21"/>
    </row>
    <row r="8975" spans="15:15" x14ac:dyDescent="0.25">
      <c r="O8975" s="21"/>
    </row>
    <row r="8976" spans="15:15" x14ac:dyDescent="0.25">
      <c r="O8976" s="21"/>
    </row>
    <row r="8977" spans="15:15" x14ac:dyDescent="0.25">
      <c r="O8977" s="21"/>
    </row>
    <row r="8978" spans="15:15" x14ac:dyDescent="0.25">
      <c r="O8978" s="21"/>
    </row>
    <row r="8979" spans="15:15" x14ac:dyDescent="0.25">
      <c r="O8979" s="21"/>
    </row>
    <row r="8980" spans="15:15" x14ac:dyDescent="0.25">
      <c r="O8980" s="21"/>
    </row>
    <row r="8981" spans="15:15" x14ac:dyDescent="0.25">
      <c r="O8981" s="21"/>
    </row>
    <row r="8982" spans="15:15" x14ac:dyDescent="0.25">
      <c r="O8982" s="21"/>
    </row>
    <row r="8983" spans="15:15" x14ac:dyDescent="0.25">
      <c r="O8983" s="21"/>
    </row>
    <row r="8984" spans="15:15" x14ac:dyDescent="0.25">
      <c r="O8984" s="21"/>
    </row>
    <row r="8985" spans="15:15" x14ac:dyDescent="0.25">
      <c r="O8985" s="21"/>
    </row>
    <row r="8986" spans="15:15" x14ac:dyDescent="0.25">
      <c r="O8986" s="21"/>
    </row>
    <row r="8987" spans="15:15" x14ac:dyDescent="0.25">
      <c r="O8987" s="21"/>
    </row>
    <row r="8988" spans="15:15" x14ac:dyDescent="0.25">
      <c r="O8988" s="21"/>
    </row>
    <row r="8989" spans="15:15" x14ac:dyDescent="0.25">
      <c r="O8989" s="21"/>
    </row>
    <row r="8990" spans="15:15" x14ac:dyDescent="0.25">
      <c r="O8990" s="21"/>
    </row>
    <row r="8991" spans="15:15" x14ac:dyDescent="0.25">
      <c r="O8991" s="21"/>
    </row>
    <row r="8992" spans="15:15" x14ac:dyDescent="0.25">
      <c r="O8992" s="21"/>
    </row>
    <row r="8993" spans="15:15" x14ac:dyDescent="0.25">
      <c r="O8993" s="21"/>
    </row>
    <row r="8994" spans="15:15" x14ac:dyDescent="0.25">
      <c r="O8994" s="21"/>
    </row>
    <row r="8995" spans="15:15" x14ac:dyDescent="0.25">
      <c r="O8995" s="21"/>
    </row>
    <row r="8996" spans="15:15" x14ac:dyDescent="0.25">
      <c r="O8996" s="21"/>
    </row>
    <row r="8997" spans="15:15" x14ac:dyDescent="0.25">
      <c r="O8997" s="21"/>
    </row>
    <row r="8998" spans="15:15" x14ac:dyDescent="0.25">
      <c r="O8998" s="21"/>
    </row>
    <row r="8999" spans="15:15" x14ac:dyDescent="0.25">
      <c r="O8999" s="21"/>
    </row>
    <row r="9000" spans="15:15" x14ac:dyDescent="0.25">
      <c r="O9000" s="21"/>
    </row>
    <row r="9001" spans="15:15" x14ac:dyDescent="0.25">
      <c r="O9001" s="21"/>
    </row>
    <row r="9002" spans="15:15" x14ac:dyDescent="0.25">
      <c r="O9002" s="21"/>
    </row>
    <row r="9003" spans="15:15" x14ac:dyDescent="0.25">
      <c r="O9003" s="21"/>
    </row>
    <row r="9004" spans="15:15" x14ac:dyDescent="0.25">
      <c r="O9004" s="21"/>
    </row>
    <row r="9005" spans="15:15" x14ac:dyDescent="0.25">
      <c r="O9005" s="21"/>
    </row>
    <row r="9006" spans="15:15" x14ac:dyDescent="0.25">
      <c r="O9006" s="21"/>
    </row>
    <row r="9007" spans="15:15" x14ac:dyDescent="0.25">
      <c r="O9007" s="21"/>
    </row>
    <row r="9008" spans="15:15" x14ac:dyDescent="0.25">
      <c r="O9008" s="21"/>
    </row>
    <row r="9009" spans="15:15" x14ac:dyDescent="0.25">
      <c r="O9009" s="21"/>
    </row>
    <row r="9010" spans="15:15" x14ac:dyDescent="0.25">
      <c r="O9010" s="21"/>
    </row>
    <row r="9011" spans="15:15" x14ac:dyDescent="0.25">
      <c r="O9011" s="21"/>
    </row>
    <row r="9012" spans="15:15" x14ac:dyDescent="0.25">
      <c r="O9012" s="21"/>
    </row>
    <row r="9013" spans="15:15" x14ac:dyDescent="0.25">
      <c r="O9013" s="21"/>
    </row>
    <row r="9014" spans="15:15" x14ac:dyDescent="0.25">
      <c r="O9014" s="21"/>
    </row>
    <row r="9015" spans="15:15" x14ac:dyDescent="0.25">
      <c r="O9015" s="21"/>
    </row>
    <row r="9016" spans="15:15" x14ac:dyDescent="0.25">
      <c r="O9016" s="21"/>
    </row>
    <row r="9017" spans="15:15" x14ac:dyDescent="0.25">
      <c r="O9017" s="21"/>
    </row>
    <row r="9018" spans="15:15" x14ac:dyDescent="0.25">
      <c r="O9018" s="21"/>
    </row>
    <row r="9019" spans="15:15" x14ac:dyDescent="0.25">
      <c r="O9019" s="21"/>
    </row>
    <row r="9020" spans="15:15" x14ac:dyDescent="0.25">
      <c r="O9020" s="21"/>
    </row>
    <row r="9021" spans="15:15" x14ac:dyDescent="0.25">
      <c r="O9021" s="21"/>
    </row>
    <row r="9022" spans="15:15" x14ac:dyDescent="0.25">
      <c r="O9022" s="21"/>
    </row>
    <row r="9023" spans="15:15" x14ac:dyDescent="0.25">
      <c r="O9023" s="21"/>
    </row>
    <row r="9024" spans="15:15" x14ac:dyDescent="0.25">
      <c r="O9024" s="21"/>
    </row>
    <row r="9025" spans="15:15" x14ac:dyDescent="0.25">
      <c r="O9025" s="21"/>
    </row>
    <row r="9026" spans="15:15" x14ac:dyDescent="0.25">
      <c r="O9026" s="21"/>
    </row>
    <row r="9027" spans="15:15" x14ac:dyDescent="0.25">
      <c r="O9027" s="21"/>
    </row>
    <row r="9028" spans="15:15" x14ac:dyDescent="0.25">
      <c r="O9028" s="21"/>
    </row>
    <row r="9029" spans="15:15" x14ac:dyDescent="0.25">
      <c r="O9029" s="21"/>
    </row>
    <row r="9030" spans="15:15" x14ac:dyDescent="0.25">
      <c r="O9030" s="21"/>
    </row>
    <row r="9031" spans="15:15" x14ac:dyDescent="0.25">
      <c r="O9031" s="21"/>
    </row>
    <row r="9032" spans="15:15" x14ac:dyDescent="0.25">
      <c r="O9032" s="21"/>
    </row>
    <row r="9033" spans="15:15" x14ac:dyDescent="0.25">
      <c r="O9033" s="21"/>
    </row>
    <row r="9034" spans="15:15" x14ac:dyDescent="0.25">
      <c r="O9034" s="21"/>
    </row>
    <row r="9035" spans="15:15" x14ac:dyDescent="0.25">
      <c r="O9035" s="21"/>
    </row>
    <row r="9036" spans="15:15" x14ac:dyDescent="0.25">
      <c r="O9036" s="21"/>
    </row>
    <row r="9037" spans="15:15" x14ac:dyDescent="0.25">
      <c r="O9037" s="21"/>
    </row>
    <row r="9038" spans="15:15" x14ac:dyDescent="0.25">
      <c r="O9038" s="21"/>
    </row>
    <row r="9039" spans="15:15" x14ac:dyDescent="0.25">
      <c r="O9039" s="21"/>
    </row>
    <row r="9040" spans="15:15" x14ac:dyDescent="0.25">
      <c r="O9040" s="21"/>
    </row>
    <row r="9041" spans="15:15" x14ac:dyDescent="0.25">
      <c r="O9041" s="21"/>
    </row>
    <row r="9042" spans="15:15" x14ac:dyDescent="0.25">
      <c r="O9042" s="21"/>
    </row>
    <row r="9043" spans="15:15" x14ac:dyDescent="0.25">
      <c r="O9043" s="21"/>
    </row>
    <row r="9044" spans="15:15" x14ac:dyDescent="0.25">
      <c r="O9044" s="21"/>
    </row>
    <row r="9045" spans="15:15" x14ac:dyDescent="0.25">
      <c r="O9045" s="21"/>
    </row>
    <row r="9046" spans="15:15" x14ac:dyDescent="0.25">
      <c r="O9046" s="21"/>
    </row>
    <row r="9047" spans="15:15" x14ac:dyDescent="0.25">
      <c r="O9047" s="21"/>
    </row>
    <row r="9048" spans="15:15" x14ac:dyDescent="0.25">
      <c r="O9048" s="21"/>
    </row>
    <row r="9049" spans="15:15" x14ac:dyDescent="0.25">
      <c r="O9049" s="21"/>
    </row>
    <row r="9050" spans="15:15" x14ac:dyDescent="0.25">
      <c r="O9050" s="21"/>
    </row>
    <row r="9051" spans="15:15" x14ac:dyDescent="0.25">
      <c r="O9051" s="21"/>
    </row>
    <row r="9052" spans="15:15" x14ac:dyDescent="0.25">
      <c r="O9052" s="21"/>
    </row>
    <row r="9053" spans="15:15" x14ac:dyDescent="0.25">
      <c r="O9053" s="21"/>
    </row>
    <row r="9054" spans="15:15" x14ac:dyDescent="0.25">
      <c r="O9054" s="21"/>
    </row>
    <row r="9055" spans="15:15" x14ac:dyDescent="0.25">
      <c r="O9055" s="21"/>
    </row>
    <row r="9056" spans="15:15" x14ac:dyDescent="0.25">
      <c r="O9056" s="21"/>
    </row>
    <row r="9057" spans="15:15" x14ac:dyDescent="0.25">
      <c r="O9057" s="21"/>
    </row>
    <row r="9058" spans="15:15" x14ac:dyDescent="0.25">
      <c r="O9058" s="21"/>
    </row>
    <row r="9059" spans="15:15" x14ac:dyDescent="0.25">
      <c r="O9059" s="21"/>
    </row>
    <row r="9060" spans="15:15" x14ac:dyDescent="0.25">
      <c r="O9060" s="21"/>
    </row>
    <row r="9061" spans="15:15" x14ac:dyDescent="0.25">
      <c r="O9061" s="21"/>
    </row>
    <row r="9062" spans="15:15" x14ac:dyDescent="0.25">
      <c r="O9062" s="21"/>
    </row>
    <row r="9063" spans="15:15" x14ac:dyDescent="0.25">
      <c r="O9063" s="21"/>
    </row>
    <row r="9064" spans="15:15" x14ac:dyDescent="0.25">
      <c r="O9064" s="21"/>
    </row>
    <row r="9065" spans="15:15" x14ac:dyDescent="0.25">
      <c r="O9065" s="21"/>
    </row>
    <row r="9066" spans="15:15" x14ac:dyDescent="0.25">
      <c r="O9066" s="21"/>
    </row>
    <row r="9067" spans="15:15" x14ac:dyDescent="0.25">
      <c r="O9067" s="21"/>
    </row>
    <row r="9068" spans="15:15" x14ac:dyDescent="0.25">
      <c r="O9068" s="21"/>
    </row>
    <row r="9069" spans="15:15" x14ac:dyDescent="0.25">
      <c r="O9069" s="21"/>
    </row>
    <row r="9070" spans="15:15" x14ac:dyDescent="0.25">
      <c r="O9070" s="21"/>
    </row>
    <row r="9071" spans="15:15" x14ac:dyDescent="0.25">
      <c r="O9071" s="21"/>
    </row>
    <row r="9072" spans="15:15" x14ac:dyDescent="0.25">
      <c r="O9072" s="21"/>
    </row>
    <row r="9073" spans="15:15" x14ac:dyDescent="0.25">
      <c r="O9073" s="21"/>
    </row>
    <row r="9074" spans="15:15" x14ac:dyDescent="0.25">
      <c r="O9074" s="21"/>
    </row>
    <row r="9075" spans="15:15" x14ac:dyDescent="0.25">
      <c r="O9075" s="21"/>
    </row>
    <row r="9076" spans="15:15" x14ac:dyDescent="0.25">
      <c r="O9076" s="21"/>
    </row>
    <row r="9077" spans="15:15" x14ac:dyDescent="0.25">
      <c r="O9077" s="21"/>
    </row>
    <row r="9078" spans="15:15" x14ac:dyDescent="0.25">
      <c r="O9078" s="21"/>
    </row>
    <row r="9079" spans="15:15" x14ac:dyDescent="0.25">
      <c r="O9079" s="21"/>
    </row>
    <row r="9080" spans="15:15" x14ac:dyDescent="0.25">
      <c r="O9080" s="21"/>
    </row>
    <row r="9081" spans="15:15" x14ac:dyDescent="0.25">
      <c r="O9081" s="21"/>
    </row>
    <row r="9082" spans="15:15" x14ac:dyDescent="0.25">
      <c r="O9082" s="21"/>
    </row>
    <row r="9083" spans="15:15" x14ac:dyDescent="0.25">
      <c r="O9083" s="21"/>
    </row>
    <row r="9084" spans="15:15" x14ac:dyDescent="0.25">
      <c r="O9084" s="21"/>
    </row>
    <row r="9085" spans="15:15" x14ac:dyDescent="0.25">
      <c r="O9085" s="21"/>
    </row>
    <row r="9086" spans="15:15" x14ac:dyDescent="0.25">
      <c r="O9086" s="21"/>
    </row>
    <row r="9087" spans="15:15" x14ac:dyDescent="0.25">
      <c r="O9087" s="21"/>
    </row>
    <row r="9088" spans="15:15" x14ac:dyDescent="0.25">
      <c r="O9088" s="21"/>
    </row>
    <row r="9089" spans="15:15" x14ac:dyDescent="0.25">
      <c r="O9089" s="21"/>
    </row>
    <row r="9090" spans="15:15" x14ac:dyDescent="0.25">
      <c r="O9090" s="21"/>
    </row>
    <row r="9091" spans="15:15" x14ac:dyDescent="0.25">
      <c r="O9091" s="21"/>
    </row>
    <row r="9092" spans="15:15" x14ac:dyDescent="0.25">
      <c r="O9092" s="21"/>
    </row>
    <row r="9093" spans="15:15" x14ac:dyDescent="0.25">
      <c r="O9093" s="21"/>
    </row>
    <row r="9094" spans="15:15" x14ac:dyDescent="0.25">
      <c r="O9094" s="21"/>
    </row>
    <row r="9095" spans="15:15" x14ac:dyDescent="0.25">
      <c r="O9095" s="21"/>
    </row>
    <row r="9096" spans="15:15" x14ac:dyDescent="0.25">
      <c r="O9096" s="21"/>
    </row>
    <row r="9097" spans="15:15" x14ac:dyDescent="0.25">
      <c r="O9097" s="21"/>
    </row>
    <row r="9098" spans="15:15" x14ac:dyDescent="0.25">
      <c r="O9098" s="21"/>
    </row>
    <row r="9099" spans="15:15" x14ac:dyDescent="0.25">
      <c r="O9099" s="21"/>
    </row>
    <row r="9100" spans="15:15" x14ac:dyDescent="0.25">
      <c r="O9100" s="21"/>
    </row>
    <row r="9101" spans="15:15" x14ac:dyDescent="0.25">
      <c r="O9101" s="21"/>
    </row>
    <row r="9102" spans="15:15" x14ac:dyDescent="0.25">
      <c r="O9102" s="21"/>
    </row>
    <row r="9103" spans="15:15" x14ac:dyDescent="0.25">
      <c r="O9103" s="21"/>
    </row>
    <row r="9104" spans="15:15" x14ac:dyDescent="0.25">
      <c r="O9104" s="21"/>
    </row>
    <row r="9105" spans="15:15" x14ac:dyDescent="0.25">
      <c r="O9105" s="21"/>
    </row>
    <row r="9106" spans="15:15" x14ac:dyDescent="0.25">
      <c r="O9106" s="21"/>
    </row>
    <row r="9107" spans="15:15" x14ac:dyDescent="0.25">
      <c r="O9107" s="21"/>
    </row>
    <row r="9108" spans="15:15" x14ac:dyDescent="0.25">
      <c r="O9108" s="21"/>
    </row>
    <row r="9109" spans="15:15" x14ac:dyDescent="0.25">
      <c r="O9109" s="21"/>
    </row>
    <row r="9110" spans="15:15" x14ac:dyDescent="0.25">
      <c r="O9110" s="21"/>
    </row>
    <row r="9111" spans="15:15" x14ac:dyDescent="0.25">
      <c r="O9111" s="21"/>
    </row>
    <row r="9112" spans="15:15" x14ac:dyDescent="0.25">
      <c r="O9112" s="21"/>
    </row>
    <row r="9113" spans="15:15" x14ac:dyDescent="0.25">
      <c r="O9113" s="21"/>
    </row>
    <row r="9114" spans="15:15" x14ac:dyDescent="0.25">
      <c r="O9114" s="21"/>
    </row>
    <row r="9115" spans="15:15" x14ac:dyDescent="0.25">
      <c r="O9115" s="21"/>
    </row>
    <row r="9116" spans="15:15" x14ac:dyDescent="0.25">
      <c r="O9116" s="21"/>
    </row>
    <row r="9117" spans="15:15" x14ac:dyDescent="0.25">
      <c r="O9117" s="21"/>
    </row>
    <row r="9118" spans="15:15" x14ac:dyDescent="0.25">
      <c r="O9118" s="21"/>
    </row>
    <row r="9119" spans="15:15" x14ac:dyDescent="0.25">
      <c r="O9119" s="21"/>
    </row>
    <row r="9120" spans="15:15" x14ac:dyDescent="0.25">
      <c r="O9120" s="21"/>
    </row>
    <row r="9121" spans="15:15" x14ac:dyDescent="0.25">
      <c r="O9121" s="21"/>
    </row>
    <row r="9122" spans="15:15" x14ac:dyDescent="0.25">
      <c r="O9122" s="21"/>
    </row>
    <row r="9123" spans="15:15" x14ac:dyDescent="0.25">
      <c r="O9123" s="21"/>
    </row>
    <row r="9124" spans="15:15" x14ac:dyDescent="0.25">
      <c r="O9124" s="21"/>
    </row>
    <row r="9125" spans="15:15" x14ac:dyDescent="0.25">
      <c r="O9125" s="21"/>
    </row>
    <row r="9126" spans="15:15" x14ac:dyDescent="0.25">
      <c r="O9126" s="21"/>
    </row>
    <row r="9127" spans="15:15" x14ac:dyDescent="0.25">
      <c r="O9127" s="21"/>
    </row>
    <row r="9128" spans="15:15" x14ac:dyDescent="0.25">
      <c r="O9128" s="21"/>
    </row>
    <row r="9129" spans="15:15" x14ac:dyDescent="0.25">
      <c r="O9129" s="21"/>
    </row>
    <row r="9130" spans="15:15" x14ac:dyDescent="0.25">
      <c r="O9130" s="21"/>
    </row>
    <row r="9131" spans="15:15" x14ac:dyDescent="0.25">
      <c r="O9131" s="21"/>
    </row>
    <row r="9132" spans="15:15" x14ac:dyDescent="0.25">
      <c r="O9132" s="21"/>
    </row>
    <row r="9133" spans="15:15" x14ac:dyDescent="0.25">
      <c r="O9133" s="21"/>
    </row>
    <row r="9134" spans="15:15" x14ac:dyDescent="0.25">
      <c r="O9134" s="21"/>
    </row>
    <row r="9135" spans="15:15" x14ac:dyDescent="0.25">
      <c r="O9135" s="21"/>
    </row>
    <row r="9136" spans="15:15" x14ac:dyDescent="0.25">
      <c r="O9136" s="21"/>
    </row>
    <row r="9137" spans="15:15" x14ac:dyDescent="0.25">
      <c r="O9137" s="21"/>
    </row>
    <row r="9138" spans="15:15" x14ac:dyDescent="0.25">
      <c r="O9138" s="21"/>
    </row>
    <row r="9139" spans="15:15" x14ac:dyDescent="0.25">
      <c r="O9139" s="21"/>
    </row>
    <row r="9140" spans="15:15" x14ac:dyDescent="0.25">
      <c r="O9140" s="21"/>
    </row>
    <row r="9141" spans="15:15" x14ac:dyDescent="0.25">
      <c r="O9141" s="21"/>
    </row>
    <row r="9142" spans="15:15" x14ac:dyDescent="0.25">
      <c r="O9142" s="21"/>
    </row>
    <row r="9143" spans="15:15" x14ac:dyDescent="0.25">
      <c r="O9143" s="21"/>
    </row>
    <row r="9144" spans="15:15" x14ac:dyDescent="0.25">
      <c r="O9144" s="21"/>
    </row>
    <row r="9145" spans="15:15" x14ac:dyDescent="0.25">
      <c r="O9145" s="21"/>
    </row>
    <row r="9146" spans="15:15" x14ac:dyDescent="0.25">
      <c r="O9146" s="21"/>
    </row>
    <row r="9147" spans="15:15" x14ac:dyDescent="0.25">
      <c r="O9147" s="21"/>
    </row>
    <row r="9148" spans="15:15" x14ac:dyDescent="0.25">
      <c r="O9148" s="21"/>
    </row>
    <row r="9149" spans="15:15" x14ac:dyDescent="0.25">
      <c r="O9149" s="21"/>
    </row>
    <row r="9150" spans="15:15" x14ac:dyDescent="0.25">
      <c r="O9150" s="21"/>
    </row>
    <row r="9151" spans="15:15" x14ac:dyDescent="0.25">
      <c r="O9151" s="21"/>
    </row>
    <row r="9152" spans="15:15" x14ac:dyDescent="0.25">
      <c r="O9152" s="21"/>
    </row>
    <row r="9153" spans="15:15" x14ac:dyDescent="0.25">
      <c r="O9153" s="21"/>
    </row>
    <row r="9154" spans="15:15" x14ac:dyDescent="0.25">
      <c r="O9154" s="21"/>
    </row>
    <row r="9155" spans="15:15" x14ac:dyDescent="0.25">
      <c r="O9155" s="21"/>
    </row>
    <row r="9156" spans="15:15" x14ac:dyDescent="0.25">
      <c r="O9156" s="21"/>
    </row>
    <row r="9157" spans="15:15" x14ac:dyDescent="0.25">
      <c r="O9157" s="21"/>
    </row>
    <row r="9158" spans="15:15" x14ac:dyDescent="0.25">
      <c r="O9158" s="21"/>
    </row>
    <row r="9159" spans="15:15" x14ac:dyDescent="0.25">
      <c r="O9159" s="21"/>
    </row>
    <row r="9160" spans="15:15" x14ac:dyDescent="0.25">
      <c r="O9160" s="21"/>
    </row>
    <row r="9161" spans="15:15" x14ac:dyDescent="0.25">
      <c r="O9161" s="21"/>
    </row>
    <row r="9162" spans="15:15" x14ac:dyDescent="0.25">
      <c r="O9162" s="21"/>
    </row>
    <row r="9163" spans="15:15" x14ac:dyDescent="0.25">
      <c r="O9163" s="21"/>
    </row>
    <row r="9164" spans="15:15" x14ac:dyDescent="0.25">
      <c r="O9164" s="21"/>
    </row>
    <row r="9165" spans="15:15" x14ac:dyDescent="0.25">
      <c r="O9165" s="21"/>
    </row>
    <row r="9166" spans="15:15" x14ac:dyDescent="0.25">
      <c r="O9166" s="21"/>
    </row>
    <row r="9167" spans="15:15" x14ac:dyDescent="0.25">
      <c r="O9167" s="21"/>
    </row>
    <row r="9168" spans="15:15" x14ac:dyDescent="0.25">
      <c r="O9168" s="21"/>
    </row>
    <row r="9169" spans="15:15" x14ac:dyDescent="0.25">
      <c r="O9169" s="21"/>
    </row>
    <row r="9170" spans="15:15" x14ac:dyDescent="0.25">
      <c r="O9170" s="21"/>
    </row>
    <row r="9171" spans="15:15" x14ac:dyDescent="0.25">
      <c r="O9171" s="21"/>
    </row>
    <row r="9172" spans="15:15" x14ac:dyDescent="0.25">
      <c r="O9172" s="21"/>
    </row>
    <row r="9173" spans="15:15" x14ac:dyDescent="0.25">
      <c r="O9173" s="21"/>
    </row>
    <row r="9174" spans="15:15" x14ac:dyDescent="0.25">
      <c r="O9174" s="21"/>
    </row>
    <row r="9175" spans="15:15" x14ac:dyDescent="0.25">
      <c r="O9175" s="21"/>
    </row>
    <row r="9176" spans="15:15" x14ac:dyDescent="0.25">
      <c r="O9176" s="21"/>
    </row>
    <row r="9177" spans="15:15" x14ac:dyDescent="0.25">
      <c r="O9177" s="21"/>
    </row>
    <row r="9178" spans="15:15" x14ac:dyDescent="0.25">
      <c r="O9178" s="21"/>
    </row>
    <row r="9179" spans="15:15" x14ac:dyDescent="0.25">
      <c r="O9179" s="21"/>
    </row>
    <row r="9180" spans="15:15" x14ac:dyDescent="0.25">
      <c r="O9180" s="21"/>
    </row>
    <row r="9181" spans="15:15" x14ac:dyDescent="0.25">
      <c r="O9181" s="21"/>
    </row>
    <row r="9182" spans="15:15" x14ac:dyDescent="0.25">
      <c r="O9182" s="21"/>
    </row>
    <row r="9183" spans="15:15" x14ac:dyDescent="0.25">
      <c r="O9183" s="21"/>
    </row>
    <row r="9184" spans="15:15" x14ac:dyDescent="0.25">
      <c r="O9184" s="21"/>
    </row>
    <row r="9185" spans="15:15" x14ac:dyDescent="0.25">
      <c r="O9185" s="21"/>
    </row>
    <row r="9186" spans="15:15" x14ac:dyDescent="0.25">
      <c r="O9186" s="21"/>
    </row>
    <row r="9187" spans="15:15" x14ac:dyDescent="0.25">
      <c r="O9187" s="21"/>
    </row>
    <row r="9188" spans="15:15" x14ac:dyDescent="0.25">
      <c r="O9188" s="21"/>
    </row>
    <row r="9189" spans="15:15" x14ac:dyDescent="0.25">
      <c r="O9189" s="21"/>
    </row>
    <row r="9190" spans="15:15" x14ac:dyDescent="0.25">
      <c r="O9190" s="21"/>
    </row>
    <row r="9191" spans="15:15" x14ac:dyDescent="0.25">
      <c r="O9191" s="21"/>
    </row>
    <row r="9192" spans="15:15" x14ac:dyDescent="0.25">
      <c r="O9192" s="21"/>
    </row>
    <row r="9193" spans="15:15" x14ac:dyDescent="0.25">
      <c r="O9193" s="21"/>
    </row>
    <row r="9194" spans="15:15" x14ac:dyDescent="0.25">
      <c r="O9194" s="21"/>
    </row>
    <row r="9195" spans="15:15" x14ac:dyDescent="0.25">
      <c r="O9195" s="21"/>
    </row>
    <row r="9196" spans="15:15" x14ac:dyDescent="0.25">
      <c r="O9196" s="21"/>
    </row>
    <row r="9197" spans="15:15" x14ac:dyDescent="0.25">
      <c r="O9197" s="21"/>
    </row>
    <row r="9198" spans="15:15" x14ac:dyDescent="0.25">
      <c r="O9198" s="21"/>
    </row>
    <row r="9199" spans="15:15" x14ac:dyDescent="0.25">
      <c r="O9199" s="21"/>
    </row>
    <row r="9200" spans="15:15" x14ac:dyDescent="0.25">
      <c r="O9200" s="21"/>
    </row>
    <row r="9201" spans="15:15" x14ac:dyDescent="0.25">
      <c r="O9201" s="21"/>
    </row>
    <row r="9202" spans="15:15" x14ac:dyDescent="0.25">
      <c r="O9202" s="21"/>
    </row>
    <row r="9203" spans="15:15" x14ac:dyDescent="0.25">
      <c r="O9203" s="21"/>
    </row>
    <row r="9204" spans="15:15" x14ac:dyDescent="0.25">
      <c r="O9204" s="21"/>
    </row>
    <row r="9205" spans="15:15" x14ac:dyDescent="0.25">
      <c r="O9205" s="21"/>
    </row>
    <row r="9206" spans="15:15" x14ac:dyDescent="0.25">
      <c r="O9206" s="21"/>
    </row>
    <row r="9207" spans="15:15" x14ac:dyDescent="0.25">
      <c r="O9207" s="21"/>
    </row>
    <row r="9208" spans="15:15" x14ac:dyDescent="0.25">
      <c r="O9208" s="21"/>
    </row>
    <row r="9209" spans="15:15" x14ac:dyDescent="0.25">
      <c r="O9209" s="21"/>
    </row>
    <row r="9210" spans="15:15" x14ac:dyDescent="0.25">
      <c r="O9210" s="21"/>
    </row>
    <row r="9211" spans="15:15" x14ac:dyDescent="0.25">
      <c r="O9211" s="21"/>
    </row>
    <row r="9212" spans="15:15" x14ac:dyDescent="0.25">
      <c r="O9212" s="21"/>
    </row>
    <row r="9213" spans="15:15" x14ac:dyDescent="0.25">
      <c r="O9213" s="21"/>
    </row>
    <row r="9214" spans="15:15" x14ac:dyDescent="0.25">
      <c r="O9214" s="21"/>
    </row>
    <row r="9215" spans="15:15" x14ac:dyDescent="0.25">
      <c r="O9215" s="21"/>
    </row>
    <row r="9216" spans="15:15" x14ac:dyDescent="0.25">
      <c r="O9216" s="21"/>
    </row>
    <row r="9217" spans="15:15" x14ac:dyDescent="0.25">
      <c r="O9217" s="21"/>
    </row>
    <row r="9218" spans="15:15" x14ac:dyDescent="0.25">
      <c r="O9218" s="21"/>
    </row>
    <row r="9219" spans="15:15" x14ac:dyDescent="0.25">
      <c r="O9219" s="21"/>
    </row>
    <row r="9220" spans="15:15" x14ac:dyDescent="0.25">
      <c r="O9220" s="21"/>
    </row>
    <row r="9221" spans="15:15" x14ac:dyDescent="0.25">
      <c r="O9221" s="21"/>
    </row>
    <row r="9222" spans="15:15" x14ac:dyDescent="0.25">
      <c r="O9222" s="21"/>
    </row>
    <row r="9223" spans="15:15" x14ac:dyDescent="0.25">
      <c r="O9223" s="21"/>
    </row>
    <row r="9224" spans="15:15" x14ac:dyDescent="0.25">
      <c r="O9224" s="21"/>
    </row>
    <row r="9225" spans="15:15" x14ac:dyDescent="0.25">
      <c r="O9225" s="21"/>
    </row>
    <row r="9226" spans="15:15" x14ac:dyDescent="0.25">
      <c r="O9226" s="21"/>
    </row>
    <row r="9227" spans="15:15" x14ac:dyDescent="0.25">
      <c r="O9227" s="21"/>
    </row>
    <row r="9228" spans="15:15" x14ac:dyDescent="0.25">
      <c r="O9228" s="21"/>
    </row>
    <row r="9229" spans="15:15" x14ac:dyDescent="0.25">
      <c r="O9229" s="21"/>
    </row>
    <row r="9230" spans="15:15" x14ac:dyDescent="0.25">
      <c r="O9230" s="21"/>
    </row>
    <row r="9231" spans="15:15" x14ac:dyDescent="0.25">
      <c r="O9231" s="21"/>
    </row>
    <row r="9232" spans="15:15" x14ac:dyDescent="0.25">
      <c r="O9232" s="21"/>
    </row>
    <row r="9233" spans="15:15" x14ac:dyDescent="0.25">
      <c r="O9233" s="21"/>
    </row>
    <row r="9234" spans="15:15" x14ac:dyDescent="0.25">
      <c r="O9234" s="21"/>
    </row>
    <row r="9235" spans="15:15" x14ac:dyDescent="0.25">
      <c r="O9235" s="21"/>
    </row>
    <row r="9236" spans="15:15" x14ac:dyDescent="0.25">
      <c r="O9236" s="21"/>
    </row>
    <row r="9237" spans="15:15" x14ac:dyDescent="0.25">
      <c r="O9237" s="21"/>
    </row>
    <row r="9238" spans="15:15" x14ac:dyDescent="0.25">
      <c r="O9238" s="21"/>
    </row>
    <row r="9239" spans="15:15" x14ac:dyDescent="0.25">
      <c r="O9239" s="21"/>
    </row>
    <row r="9240" spans="15:15" x14ac:dyDescent="0.25">
      <c r="O9240" s="21"/>
    </row>
    <row r="9241" spans="15:15" x14ac:dyDescent="0.25">
      <c r="O9241" s="21"/>
    </row>
    <row r="9242" spans="15:15" x14ac:dyDescent="0.25">
      <c r="O9242" s="21"/>
    </row>
    <row r="9243" spans="15:15" x14ac:dyDescent="0.25">
      <c r="O9243" s="21"/>
    </row>
    <row r="9244" spans="15:15" x14ac:dyDescent="0.25">
      <c r="O9244" s="21"/>
    </row>
    <row r="9245" spans="15:15" x14ac:dyDescent="0.25">
      <c r="O9245" s="21"/>
    </row>
    <row r="9246" spans="15:15" x14ac:dyDescent="0.25">
      <c r="O9246" s="21"/>
    </row>
    <row r="9247" spans="15:15" x14ac:dyDescent="0.25">
      <c r="O9247" s="21"/>
    </row>
    <row r="9248" spans="15:15" x14ac:dyDescent="0.25">
      <c r="O9248" s="21"/>
    </row>
    <row r="9249" spans="15:15" x14ac:dyDescent="0.25">
      <c r="O9249" s="21"/>
    </row>
    <row r="9250" spans="15:15" x14ac:dyDescent="0.25">
      <c r="O9250" s="21"/>
    </row>
    <row r="9251" spans="15:15" x14ac:dyDescent="0.25">
      <c r="O9251" s="21"/>
    </row>
    <row r="9252" spans="15:15" x14ac:dyDescent="0.25">
      <c r="O9252" s="21"/>
    </row>
    <row r="9253" spans="15:15" x14ac:dyDescent="0.25">
      <c r="O9253" s="21"/>
    </row>
    <row r="9254" spans="15:15" x14ac:dyDescent="0.25">
      <c r="O9254" s="21"/>
    </row>
    <row r="9255" spans="15:15" x14ac:dyDescent="0.25">
      <c r="O9255" s="21"/>
    </row>
    <row r="9256" spans="15:15" x14ac:dyDescent="0.25">
      <c r="O9256" s="21"/>
    </row>
    <row r="9257" spans="15:15" x14ac:dyDescent="0.25">
      <c r="O9257" s="21"/>
    </row>
    <row r="9258" spans="15:15" x14ac:dyDescent="0.25">
      <c r="O9258" s="21"/>
    </row>
    <row r="9259" spans="15:15" x14ac:dyDescent="0.25">
      <c r="O9259" s="21"/>
    </row>
    <row r="9260" spans="15:15" x14ac:dyDescent="0.25">
      <c r="O9260" s="21"/>
    </row>
    <row r="9261" spans="15:15" x14ac:dyDescent="0.25">
      <c r="O9261" s="21"/>
    </row>
    <row r="9262" spans="15:15" x14ac:dyDescent="0.25">
      <c r="O9262" s="21"/>
    </row>
    <row r="9263" spans="15:15" x14ac:dyDescent="0.25">
      <c r="O9263" s="21"/>
    </row>
    <row r="9264" spans="15:15" x14ac:dyDescent="0.25">
      <c r="O9264" s="21"/>
    </row>
    <row r="9265" spans="15:15" x14ac:dyDescent="0.25">
      <c r="O9265" s="21"/>
    </row>
    <row r="9266" spans="15:15" x14ac:dyDescent="0.25">
      <c r="O9266" s="21"/>
    </row>
    <row r="9267" spans="15:15" x14ac:dyDescent="0.25">
      <c r="O9267" s="21"/>
    </row>
    <row r="9268" spans="15:15" x14ac:dyDescent="0.25">
      <c r="O9268" s="21"/>
    </row>
    <row r="9269" spans="15:15" x14ac:dyDescent="0.25">
      <c r="O9269" s="21"/>
    </row>
    <row r="9270" spans="15:15" x14ac:dyDescent="0.25">
      <c r="O9270" s="21"/>
    </row>
    <row r="9271" spans="15:15" x14ac:dyDescent="0.25">
      <c r="O9271" s="21"/>
    </row>
    <row r="9272" spans="15:15" x14ac:dyDescent="0.25">
      <c r="O9272" s="21"/>
    </row>
    <row r="9273" spans="15:15" x14ac:dyDescent="0.25">
      <c r="O9273" s="21"/>
    </row>
    <row r="9274" spans="15:15" x14ac:dyDescent="0.25">
      <c r="O9274" s="21"/>
    </row>
    <row r="9275" spans="15:15" x14ac:dyDescent="0.25">
      <c r="O9275" s="21"/>
    </row>
    <row r="9276" spans="15:15" x14ac:dyDescent="0.25">
      <c r="O9276" s="21"/>
    </row>
    <row r="9277" spans="15:15" x14ac:dyDescent="0.25">
      <c r="O9277" s="21"/>
    </row>
    <row r="9278" spans="15:15" x14ac:dyDescent="0.25">
      <c r="O9278" s="21"/>
    </row>
    <row r="9279" spans="15:15" x14ac:dyDescent="0.25">
      <c r="O9279" s="21"/>
    </row>
    <row r="9280" spans="15:15" x14ac:dyDescent="0.25">
      <c r="O9280" s="21"/>
    </row>
    <row r="9281" spans="15:15" x14ac:dyDescent="0.25">
      <c r="O9281" s="21"/>
    </row>
    <row r="9282" spans="15:15" x14ac:dyDescent="0.25">
      <c r="O9282" s="21"/>
    </row>
    <row r="9283" spans="15:15" x14ac:dyDescent="0.25">
      <c r="O9283" s="21"/>
    </row>
    <row r="9284" spans="15:15" x14ac:dyDescent="0.25">
      <c r="O9284" s="21"/>
    </row>
    <row r="9285" spans="15:15" x14ac:dyDescent="0.25">
      <c r="O9285" s="21"/>
    </row>
    <row r="9286" spans="15:15" x14ac:dyDescent="0.25">
      <c r="O9286" s="21"/>
    </row>
    <row r="9287" spans="15:15" x14ac:dyDescent="0.25">
      <c r="O9287" s="21"/>
    </row>
    <row r="9288" spans="15:15" x14ac:dyDescent="0.25">
      <c r="O9288" s="21"/>
    </row>
    <row r="9289" spans="15:15" x14ac:dyDescent="0.25">
      <c r="O9289" s="21"/>
    </row>
    <row r="9290" spans="15:15" x14ac:dyDescent="0.25">
      <c r="O9290" s="21"/>
    </row>
    <row r="9291" spans="15:15" x14ac:dyDescent="0.25">
      <c r="O9291" s="21"/>
    </row>
    <row r="9292" spans="15:15" x14ac:dyDescent="0.25">
      <c r="O9292" s="21"/>
    </row>
    <row r="9293" spans="15:15" x14ac:dyDescent="0.25">
      <c r="O9293" s="21"/>
    </row>
    <row r="9294" spans="15:15" x14ac:dyDescent="0.25">
      <c r="O9294" s="21"/>
    </row>
    <row r="9295" spans="15:15" x14ac:dyDescent="0.25">
      <c r="O9295" s="21"/>
    </row>
    <row r="9296" spans="15:15" x14ac:dyDescent="0.25">
      <c r="O9296" s="21"/>
    </row>
    <row r="9297" spans="15:15" x14ac:dyDescent="0.25">
      <c r="O9297" s="21"/>
    </row>
    <row r="9298" spans="15:15" x14ac:dyDescent="0.25">
      <c r="O9298" s="21"/>
    </row>
    <row r="9299" spans="15:15" x14ac:dyDescent="0.25">
      <c r="O9299" s="21"/>
    </row>
    <row r="9300" spans="15:15" x14ac:dyDescent="0.25">
      <c r="O9300" s="21"/>
    </row>
    <row r="9301" spans="15:15" x14ac:dyDescent="0.25">
      <c r="O9301" s="21"/>
    </row>
    <row r="9302" spans="15:15" x14ac:dyDescent="0.25">
      <c r="O9302" s="21"/>
    </row>
    <row r="9303" spans="15:15" x14ac:dyDescent="0.25">
      <c r="O9303" s="21"/>
    </row>
    <row r="9304" spans="15:15" x14ac:dyDescent="0.25">
      <c r="O9304" s="21"/>
    </row>
    <row r="9305" spans="15:15" x14ac:dyDescent="0.25">
      <c r="O9305" s="21"/>
    </row>
    <row r="9306" spans="15:15" x14ac:dyDescent="0.25">
      <c r="O9306" s="21"/>
    </row>
    <row r="9307" spans="15:15" x14ac:dyDescent="0.25">
      <c r="O9307" s="21"/>
    </row>
    <row r="9308" spans="15:15" x14ac:dyDescent="0.25">
      <c r="O9308" s="21"/>
    </row>
    <row r="9309" spans="15:15" x14ac:dyDescent="0.25">
      <c r="O9309" s="21"/>
    </row>
    <row r="9310" spans="15:15" x14ac:dyDescent="0.25">
      <c r="O9310" s="21"/>
    </row>
    <row r="9311" spans="15:15" x14ac:dyDescent="0.25">
      <c r="O9311" s="21"/>
    </row>
    <row r="9312" spans="15:15" x14ac:dyDescent="0.25">
      <c r="O9312" s="21"/>
    </row>
    <row r="9313" spans="15:15" x14ac:dyDescent="0.25">
      <c r="O9313" s="21"/>
    </row>
    <row r="9314" spans="15:15" x14ac:dyDescent="0.25">
      <c r="O9314" s="21"/>
    </row>
    <row r="9315" spans="15:15" x14ac:dyDescent="0.25">
      <c r="O9315" s="21"/>
    </row>
    <row r="9316" spans="15:15" x14ac:dyDescent="0.25">
      <c r="O9316" s="21"/>
    </row>
    <row r="9317" spans="15:15" x14ac:dyDescent="0.25">
      <c r="O9317" s="21"/>
    </row>
    <row r="9318" spans="15:15" x14ac:dyDescent="0.25">
      <c r="O9318" s="21"/>
    </row>
    <row r="9319" spans="15:15" x14ac:dyDescent="0.25">
      <c r="O9319" s="21"/>
    </row>
    <row r="9320" spans="15:15" x14ac:dyDescent="0.25">
      <c r="O9320" s="21"/>
    </row>
    <row r="9321" spans="15:15" x14ac:dyDescent="0.25">
      <c r="O9321" s="21"/>
    </row>
    <row r="9322" spans="15:15" x14ac:dyDescent="0.25">
      <c r="O9322" s="21"/>
    </row>
    <row r="9323" spans="15:15" x14ac:dyDescent="0.25">
      <c r="O9323" s="21"/>
    </row>
    <row r="9324" spans="15:15" x14ac:dyDescent="0.25">
      <c r="O9324" s="21"/>
    </row>
    <row r="9325" spans="15:15" x14ac:dyDescent="0.25">
      <c r="O9325" s="21"/>
    </row>
    <row r="9326" spans="15:15" x14ac:dyDescent="0.25">
      <c r="O9326" s="21"/>
    </row>
    <row r="9327" spans="15:15" x14ac:dyDescent="0.25">
      <c r="O9327" s="21"/>
    </row>
    <row r="9328" spans="15:15" x14ac:dyDescent="0.25">
      <c r="O9328" s="21"/>
    </row>
    <row r="9329" spans="15:15" x14ac:dyDescent="0.25">
      <c r="O9329" s="21"/>
    </row>
    <row r="9330" spans="15:15" x14ac:dyDescent="0.25">
      <c r="O9330" s="21"/>
    </row>
    <row r="9331" spans="15:15" x14ac:dyDescent="0.25">
      <c r="O9331" s="21"/>
    </row>
    <row r="9332" spans="15:15" x14ac:dyDescent="0.25">
      <c r="O9332" s="21"/>
    </row>
    <row r="9333" spans="15:15" x14ac:dyDescent="0.25">
      <c r="O9333" s="21"/>
    </row>
    <row r="9334" spans="15:15" x14ac:dyDescent="0.25">
      <c r="O9334" s="21"/>
    </row>
    <row r="9335" spans="15:15" x14ac:dyDescent="0.25">
      <c r="O9335" s="21"/>
    </row>
    <row r="9336" spans="15:15" x14ac:dyDescent="0.25">
      <c r="O9336" s="21"/>
    </row>
    <row r="9337" spans="15:15" x14ac:dyDescent="0.25">
      <c r="O9337" s="21"/>
    </row>
    <row r="9338" spans="15:15" x14ac:dyDescent="0.25">
      <c r="O9338" s="21"/>
    </row>
    <row r="9339" spans="15:15" x14ac:dyDescent="0.25">
      <c r="O9339" s="21"/>
    </row>
    <row r="9340" spans="15:15" x14ac:dyDescent="0.25">
      <c r="O9340" s="21"/>
    </row>
    <row r="9341" spans="15:15" x14ac:dyDescent="0.25">
      <c r="O9341" s="21"/>
    </row>
    <row r="9342" spans="15:15" x14ac:dyDescent="0.25">
      <c r="O9342" s="21"/>
    </row>
    <row r="9343" spans="15:15" x14ac:dyDescent="0.25">
      <c r="O9343" s="21"/>
    </row>
    <row r="9344" spans="15:15" x14ac:dyDescent="0.25">
      <c r="O9344" s="21"/>
    </row>
    <row r="9345" spans="15:15" x14ac:dyDescent="0.25">
      <c r="O9345" s="21"/>
    </row>
    <row r="9346" spans="15:15" x14ac:dyDescent="0.25">
      <c r="O9346" s="21"/>
    </row>
    <row r="9347" spans="15:15" x14ac:dyDescent="0.25">
      <c r="O9347" s="21"/>
    </row>
    <row r="9348" spans="15:15" x14ac:dyDescent="0.25">
      <c r="O9348" s="21"/>
    </row>
    <row r="9349" spans="15:15" x14ac:dyDescent="0.25">
      <c r="O9349" s="21"/>
    </row>
    <row r="9350" spans="15:15" x14ac:dyDescent="0.25">
      <c r="O9350" s="21"/>
    </row>
    <row r="9351" spans="15:15" x14ac:dyDescent="0.25">
      <c r="O9351" s="21"/>
    </row>
    <row r="9352" spans="15:15" x14ac:dyDescent="0.25">
      <c r="O9352" s="21"/>
    </row>
    <row r="9353" spans="15:15" x14ac:dyDescent="0.25">
      <c r="O9353" s="21"/>
    </row>
    <row r="9354" spans="15:15" x14ac:dyDescent="0.25">
      <c r="O9354" s="21"/>
    </row>
    <row r="9355" spans="15:15" x14ac:dyDescent="0.25">
      <c r="O9355" s="21"/>
    </row>
    <row r="9356" spans="15:15" x14ac:dyDescent="0.25">
      <c r="O9356" s="21"/>
    </row>
    <row r="9357" spans="15:15" x14ac:dyDescent="0.25">
      <c r="O9357" s="21"/>
    </row>
    <row r="9358" spans="15:15" x14ac:dyDescent="0.25">
      <c r="O9358" s="21"/>
    </row>
    <row r="9359" spans="15:15" x14ac:dyDescent="0.25">
      <c r="O9359" s="21"/>
    </row>
    <row r="9360" spans="15:15" x14ac:dyDescent="0.25">
      <c r="O9360" s="21"/>
    </row>
    <row r="9361" spans="15:15" x14ac:dyDescent="0.25">
      <c r="O9361" s="21"/>
    </row>
    <row r="9362" spans="15:15" x14ac:dyDescent="0.25">
      <c r="O9362" s="21"/>
    </row>
    <row r="9363" spans="15:15" x14ac:dyDescent="0.25">
      <c r="O9363" s="21"/>
    </row>
    <row r="9364" spans="15:15" x14ac:dyDescent="0.25">
      <c r="O9364" s="21"/>
    </row>
    <row r="9365" spans="15:15" x14ac:dyDescent="0.25">
      <c r="O9365" s="21"/>
    </row>
    <row r="9366" spans="15:15" x14ac:dyDescent="0.25">
      <c r="O9366" s="21"/>
    </row>
    <row r="9367" spans="15:15" x14ac:dyDescent="0.25">
      <c r="O9367" s="21"/>
    </row>
    <row r="9368" spans="15:15" x14ac:dyDescent="0.25">
      <c r="O9368" s="21"/>
    </row>
    <row r="9369" spans="15:15" x14ac:dyDescent="0.25">
      <c r="O9369" s="21"/>
    </row>
    <row r="9370" spans="15:15" x14ac:dyDescent="0.25">
      <c r="O9370" s="21"/>
    </row>
    <row r="9371" spans="15:15" x14ac:dyDescent="0.25">
      <c r="O9371" s="21"/>
    </row>
    <row r="9372" spans="15:15" x14ac:dyDescent="0.25">
      <c r="O9372" s="21"/>
    </row>
    <row r="9373" spans="15:15" x14ac:dyDescent="0.25">
      <c r="O9373" s="21"/>
    </row>
    <row r="9374" spans="15:15" x14ac:dyDescent="0.25">
      <c r="O9374" s="21"/>
    </row>
    <row r="9375" spans="15:15" x14ac:dyDescent="0.25">
      <c r="O9375" s="21"/>
    </row>
    <row r="9376" spans="15:15" x14ac:dyDescent="0.25">
      <c r="O9376" s="21"/>
    </row>
    <row r="9377" spans="15:15" x14ac:dyDescent="0.25">
      <c r="O9377" s="21"/>
    </row>
    <row r="9378" spans="15:15" x14ac:dyDescent="0.25">
      <c r="O9378" s="21"/>
    </row>
    <row r="9379" spans="15:15" x14ac:dyDescent="0.25">
      <c r="O9379" s="21"/>
    </row>
    <row r="9380" spans="15:15" x14ac:dyDescent="0.25">
      <c r="O9380" s="21"/>
    </row>
    <row r="9381" spans="15:15" x14ac:dyDescent="0.25">
      <c r="O9381" s="21"/>
    </row>
    <row r="9382" spans="15:15" x14ac:dyDescent="0.25">
      <c r="O9382" s="21"/>
    </row>
    <row r="9383" spans="15:15" x14ac:dyDescent="0.25">
      <c r="O9383" s="21"/>
    </row>
    <row r="9384" spans="15:15" x14ac:dyDescent="0.25">
      <c r="O9384" s="21"/>
    </row>
    <row r="9385" spans="15:15" x14ac:dyDescent="0.25">
      <c r="O9385" s="21"/>
    </row>
    <row r="9386" spans="15:15" x14ac:dyDescent="0.25">
      <c r="O9386" s="21"/>
    </row>
    <row r="9387" spans="15:15" x14ac:dyDescent="0.25">
      <c r="O9387" s="21"/>
    </row>
    <row r="9388" spans="15:15" x14ac:dyDescent="0.25">
      <c r="O9388" s="21"/>
    </row>
    <row r="9389" spans="15:15" x14ac:dyDescent="0.25">
      <c r="O9389" s="21"/>
    </row>
    <row r="9390" spans="15:15" x14ac:dyDescent="0.25">
      <c r="O9390" s="21"/>
    </row>
    <row r="9391" spans="15:15" x14ac:dyDescent="0.25">
      <c r="O9391" s="21"/>
    </row>
    <row r="9392" spans="15:15" x14ac:dyDescent="0.25">
      <c r="O9392" s="21"/>
    </row>
    <row r="9393" spans="15:15" x14ac:dyDescent="0.25">
      <c r="O9393" s="21"/>
    </row>
    <row r="9394" spans="15:15" x14ac:dyDescent="0.25">
      <c r="O9394" s="21"/>
    </row>
    <row r="9395" spans="15:15" x14ac:dyDescent="0.25">
      <c r="O9395" s="21"/>
    </row>
    <row r="9396" spans="15:15" x14ac:dyDescent="0.25">
      <c r="O9396" s="21"/>
    </row>
    <row r="9397" spans="15:15" x14ac:dyDescent="0.25">
      <c r="O9397" s="21"/>
    </row>
    <row r="9398" spans="15:15" x14ac:dyDescent="0.25">
      <c r="O9398" s="21"/>
    </row>
    <row r="9399" spans="15:15" x14ac:dyDescent="0.25">
      <c r="O9399" s="21"/>
    </row>
    <row r="9400" spans="15:15" x14ac:dyDescent="0.25">
      <c r="O9400" s="21"/>
    </row>
    <row r="9401" spans="15:15" x14ac:dyDescent="0.25">
      <c r="O9401" s="21"/>
    </row>
    <row r="9402" spans="15:15" x14ac:dyDescent="0.25">
      <c r="O9402" s="21"/>
    </row>
    <row r="9403" spans="15:15" x14ac:dyDescent="0.25">
      <c r="O9403" s="21"/>
    </row>
    <row r="9404" spans="15:15" x14ac:dyDescent="0.25">
      <c r="O9404" s="21"/>
    </row>
    <row r="9405" spans="15:15" x14ac:dyDescent="0.25">
      <c r="O9405" s="21"/>
    </row>
    <row r="9406" spans="15:15" x14ac:dyDescent="0.25">
      <c r="O9406" s="21"/>
    </row>
    <row r="9407" spans="15:15" x14ac:dyDescent="0.25">
      <c r="O9407" s="21"/>
    </row>
    <row r="9408" spans="15:15" x14ac:dyDescent="0.25">
      <c r="O9408" s="21"/>
    </row>
    <row r="9409" spans="15:15" x14ac:dyDescent="0.25">
      <c r="O9409" s="21"/>
    </row>
    <row r="9410" spans="15:15" x14ac:dyDescent="0.25">
      <c r="O9410" s="21"/>
    </row>
    <row r="9411" spans="15:15" x14ac:dyDescent="0.25">
      <c r="O9411" s="21"/>
    </row>
    <row r="9412" spans="15:15" x14ac:dyDescent="0.25">
      <c r="O9412" s="21"/>
    </row>
    <row r="9413" spans="15:15" x14ac:dyDescent="0.25">
      <c r="O9413" s="21"/>
    </row>
    <row r="9414" spans="15:15" x14ac:dyDescent="0.25">
      <c r="O9414" s="21"/>
    </row>
    <row r="9415" spans="15:15" x14ac:dyDescent="0.25">
      <c r="O9415" s="21"/>
    </row>
    <row r="9416" spans="15:15" x14ac:dyDescent="0.25">
      <c r="O9416" s="21"/>
    </row>
    <row r="9417" spans="15:15" x14ac:dyDescent="0.25">
      <c r="O9417" s="21"/>
    </row>
    <row r="9418" spans="15:15" x14ac:dyDescent="0.25">
      <c r="O9418" s="21"/>
    </row>
    <row r="9419" spans="15:15" x14ac:dyDescent="0.25">
      <c r="O9419" s="21"/>
    </row>
    <row r="9420" spans="15:15" x14ac:dyDescent="0.25">
      <c r="O9420" s="21"/>
    </row>
    <row r="9421" spans="15:15" x14ac:dyDescent="0.25">
      <c r="O9421" s="21"/>
    </row>
    <row r="9422" spans="15:15" x14ac:dyDescent="0.25">
      <c r="O9422" s="21"/>
    </row>
    <row r="9423" spans="15:15" x14ac:dyDescent="0.25">
      <c r="O9423" s="21"/>
    </row>
    <row r="9424" spans="15:15" x14ac:dyDescent="0.25">
      <c r="O9424" s="21"/>
    </row>
    <row r="9425" spans="15:15" x14ac:dyDescent="0.25">
      <c r="O9425" s="21"/>
    </row>
    <row r="9426" spans="15:15" x14ac:dyDescent="0.25">
      <c r="O9426" s="21"/>
    </row>
    <row r="9427" spans="15:15" x14ac:dyDescent="0.25">
      <c r="O9427" s="21"/>
    </row>
    <row r="9428" spans="15:15" x14ac:dyDescent="0.25">
      <c r="O9428" s="21"/>
    </row>
    <row r="9429" spans="15:15" x14ac:dyDescent="0.25">
      <c r="O9429" s="21"/>
    </row>
    <row r="9430" spans="15:15" x14ac:dyDescent="0.25">
      <c r="O9430" s="21"/>
    </row>
    <row r="9431" spans="15:15" x14ac:dyDescent="0.25">
      <c r="O9431" s="21"/>
    </row>
    <row r="9432" spans="15:15" x14ac:dyDescent="0.25">
      <c r="O9432" s="21"/>
    </row>
    <row r="9433" spans="15:15" x14ac:dyDescent="0.25">
      <c r="O9433" s="21"/>
    </row>
    <row r="9434" spans="15:15" x14ac:dyDescent="0.25">
      <c r="O9434" s="21"/>
    </row>
    <row r="9435" spans="15:15" x14ac:dyDescent="0.25">
      <c r="O9435" s="21"/>
    </row>
    <row r="9436" spans="15:15" x14ac:dyDescent="0.25">
      <c r="O9436" s="21"/>
    </row>
    <row r="9437" spans="15:15" x14ac:dyDescent="0.25">
      <c r="O9437" s="21"/>
    </row>
    <row r="9438" spans="15:15" x14ac:dyDescent="0.25">
      <c r="O9438" s="21"/>
    </row>
    <row r="9439" spans="15:15" x14ac:dyDescent="0.25">
      <c r="O9439" s="21"/>
    </row>
    <row r="9440" spans="15:15" x14ac:dyDescent="0.25">
      <c r="O9440" s="21"/>
    </row>
    <row r="9441" spans="15:15" x14ac:dyDescent="0.25">
      <c r="O9441" s="21"/>
    </row>
    <row r="9442" spans="15:15" x14ac:dyDescent="0.25">
      <c r="O9442" s="21"/>
    </row>
    <row r="9443" spans="15:15" x14ac:dyDescent="0.25">
      <c r="O9443" s="21"/>
    </row>
    <row r="9444" spans="15:15" x14ac:dyDescent="0.25">
      <c r="O9444" s="21"/>
    </row>
    <row r="9445" spans="15:15" x14ac:dyDescent="0.25">
      <c r="O9445" s="21"/>
    </row>
    <row r="9446" spans="15:15" x14ac:dyDescent="0.25">
      <c r="O9446" s="21"/>
    </row>
    <row r="9447" spans="15:15" x14ac:dyDescent="0.25">
      <c r="O9447" s="21"/>
    </row>
    <row r="9448" spans="15:15" x14ac:dyDescent="0.25">
      <c r="O9448" s="21"/>
    </row>
    <row r="9449" spans="15:15" x14ac:dyDescent="0.25">
      <c r="O9449" s="21"/>
    </row>
    <row r="9450" spans="15:15" x14ac:dyDescent="0.25">
      <c r="O9450" s="21"/>
    </row>
    <row r="9451" spans="15:15" x14ac:dyDescent="0.25">
      <c r="O9451" s="21"/>
    </row>
    <row r="9452" spans="15:15" x14ac:dyDescent="0.25">
      <c r="O9452" s="21"/>
    </row>
    <row r="9453" spans="15:15" x14ac:dyDescent="0.25">
      <c r="O9453" s="21"/>
    </row>
    <row r="9454" spans="15:15" x14ac:dyDescent="0.25">
      <c r="O9454" s="21"/>
    </row>
    <row r="9455" spans="15:15" x14ac:dyDescent="0.25">
      <c r="O9455" s="21"/>
    </row>
    <row r="9456" spans="15:15" x14ac:dyDescent="0.25">
      <c r="O9456" s="21"/>
    </row>
    <row r="9457" spans="15:15" x14ac:dyDescent="0.25">
      <c r="O9457" s="21"/>
    </row>
    <row r="9458" spans="15:15" x14ac:dyDescent="0.25">
      <c r="O9458" s="21"/>
    </row>
    <row r="9459" spans="15:15" x14ac:dyDescent="0.25">
      <c r="O9459" s="21"/>
    </row>
    <row r="9460" spans="15:15" x14ac:dyDescent="0.25">
      <c r="O9460" s="21"/>
    </row>
    <row r="9461" spans="15:15" x14ac:dyDescent="0.25">
      <c r="O9461" s="21"/>
    </row>
    <row r="9462" spans="15:15" x14ac:dyDescent="0.25">
      <c r="O9462" s="21"/>
    </row>
    <row r="9463" spans="15:15" x14ac:dyDescent="0.25">
      <c r="O9463" s="21"/>
    </row>
    <row r="9464" spans="15:15" x14ac:dyDescent="0.25">
      <c r="O9464" s="21"/>
    </row>
    <row r="9465" spans="15:15" x14ac:dyDescent="0.25">
      <c r="O9465" s="21"/>
    </row>
    <row r="9466" spans="15:15" x14ac:dyDescent="0.25">
      <c r="O9466" s="21"/>
    </row>
    <row r="9467" spans="15:15" x14ac:dyDescent="0.25">
      <c r="O9467" s="21"/>
    </row>
    <row r="9468" spans="15:15" x14ac:dyDescent="0.25">
      <c r="O9468" s="21"/>
    </row>
    <row r="9469" spans="15:15" x14ac:dyDescent="0.25">
      <c r="O9469" s="21"/>
    </row>
    <row r="9470" spans="15:15" x14ac:dyDescent="0.25">
      <c r="O9470" s="21"/>
    </row>
    <row r="9471" spans="15:15" x14ac:dyDescent="0.25">
      <c r="O9471" s="21"/>
    </row>
    <row r="9472" spans="15:15" x14ac:dyDescent="0.25">
      <c r="O9472" s="21"/>
    </row>
    <row r="9473" spans="15:15" x14ac:dyDescent="0.25">
      <c r="O9473" s="21"/>
    </row>
    <row r="9474" spans="15:15" x14ac:dyDescent="0.25">
      <c r="O9474" s="21"/>
    </row>
    <row r="9475" spans="15:15" x14ac:dyDescent="0.25">
      <c r="O9475" s="21"/>
    </row>
    <row r="9476" spans="15:15" x14ac:dyDescent="0.25">
      <c r="O9476" s="21"/>
    </row>
    <row r="9477" spans="15:15" x14ac:dyDescent="0.25">
      <c r="O9477" s="21"/>
    </row>
    <row r="9478" spans="15:15" x14ac:dyDescent="0.25">
      <c r="O9478" s="21"/>
    </row>
    <row r="9479" spans="15:15" x14ac:dyDescent="0.25">
      <c r="O9479" s="21"/>
    </row>
    <row r="9480" spans="15:15" x14ac:dyDescent="0.25">
      <c r="O9480" s="21"/>
    </row>
    <row r="9481" spans="15:15" x14ac:dyDescent="0.25">
      <c r="O9481" s="21"/>
    </row>
    <row r="9482" spans="15:15" x14ac:dyDescent="0.25">
      <c r="O9482" s="21"/>
    </row>
    <row r="9483" spans="15:15" x14ac:dyDescent="0.25">
      <c r="O9483" s="21"/>
    </row>
    <row r="9484" spans="15:15" x14ac:dyDescent="0.25">
      <c r="O9484" s="21"/>
    </row>
    <row r="9485" spans="15:15" x14ac:dyDescent="0.25">
      <c r="O9485" s="21"/>
    </row>
    <row r="9486" spans="15:15" x14ac:dyDescent="0.25">
      <c r="O9486" s="21"/>
    </row>
    <row r="9487" spans="15:15" x14ac:dyDescent="0.25">
      <c r="O9487" s="21"/>
    </row>
    <row r="9488" spans="15:15" x14ac:dyDescent="0.25">
      <c r="O9488" s="21"/>
    </row>
    <row r="9489" spans="15:15" x14ac:dyDescent="0.25">
      <c r="O9489" s="21"/>
    </row>
    <row r="9490" spans="15:15" x14ac:dyDescent="0.25">
      <c r="O9490" s="21"/>
    </row>
    <row r="9491" spans="15:15" x14ac:dyDescent="0.25">
      <c r="O9491" s="21"/>
    </row>
    <row r="9492" spans="15:15" x14ac:dyDescent="0.25">
      <c r="O9492" s="21"/>
    </row>
    <row r="9493" spans="15:15" x14ac:dyDescent="0.25">
      <c r="O9493" s="21"/>
    </row>
    <row r="9494" spans="15:15" x14ac:dyDescent="0.25">
      <c r="O9494" s="21"/>
    </row>
    <row r="9495" spans="15:15" x14ac:dyDescent="0.25">
      <c r="O9495" s="21"/>
    </row>
    <row r="9496" spans="15:15" x14ac:dyDescent="0.25">
      <c r="O9496" s="21"/>
    </row>
    <row r="9497" spans="15:15" x14ac:dyDescent="0.25">
      <c r="O9497" s="21"/>
    </row>
    <row r="9498" spans="15:15" x14ac:dyDescent="0.25">
      <c r="O9498" s="21"/>
    </row>
    <row r="9499" spans="15:15" x14ac:dyDescent="0.25">
      <c r="O9499" s="21"/>
    </row>
    <row r="9500" spans="15:15" x14ac:dyDescent="0.25">
      <c r="O9500" s="21"/>
    </row>
    <row r="9501" spans="15:15" x14ac:dyDescent="0.25">
      <c r="O9501" s="21"/>
    </row>
    <row r="9502" spans="15:15" x14ac:dyDescent="0.25">
      <c r="O9502" s="21"/>
    </row>
    <row r="9503" spans="15:15" x14ac:dyDescent="0.25">
      <c r="O9503" s="21"/>
    </row>
    <row r="9504" spans="15:15" x14ac:dyDescent="0.25">
      <c r="O9504" s="21"/>
    </row>
    <row r="9505" spans="15:15" x14ac:dyDescent="0.25">
      <c r="O9505" s="21"/>
    </row>
    <row r="9506" spans="15:15" x14ac:dyDescent="0.25">
      <c r="O9506" s="21"/>
    </row>
    <row r="9507" spans="15:15" x14ac:dyDescent="0.25">
      <c r="O9507" s="21"/>
    </row>
    <row r="9508" spans="15:15" x14ac:dyDescent="0.25">
      <c r="O9508" s="21"/>
    </row>
    <row r="9509" spans="15:15" x14ac:dyDescent="0.25">
      <c r="O9509" s="21"/>
    </row>
    <row r="9510" spans="15:15" x14ac:dyDescent="0.25">
      <c r="O9510" s="21"/>
    </row>
    <row r="9511" spans="15:15" x14ac:dyDescent="0.25">
      <c r="O9511" s="21"/>
    </row>
    <row r="9512" spans="15:15" x14ac:dyDescent="0.25">
      <c r="O9512" s="21"/>
    </row>
    <row r="9513" spans="15:15" x14ac:dyDescent="0.25">
      <c r="O9513" s="21"/>
    </row>
    <row r="9514" spans="15:15" x14ac:dyDescent="0.25">
      <c r="O9514" s="21"/>
    </row>
    <row r="9515" spans="15:15" x14ac:dyDescent="0.25">
      <c r="O9515" s="21"/>
    </row>
    <row r="9516" spans="15:15" x14ac:dyDescent="0.25">
      <c r="O9516" s="21"/>
    </row>
    <row r="9517" spans="15:15" x14ac:dyDescent="0.25">
      <c r="O9517" s="21"/>
    </row>
    <row r="9518" spans="15:15" x14ac:dyDescent="0.25">
      <c r="O9518" s="21"/>
    </row>
    <row r="9519" spans="15:15" x14ac:dyDescent="0.25">
      <c r="O9519" s="21"/>
    </row>
    <row r="9520" spans="15:15" x14ac:dyDescent="0.25">
      <c r="O9520" s="21"/>
    </row>
    <row r="9521" spans="15:15" x14ac:dyDescent="0.25">
      <c r="O9521" s="21"/>
    </row>
    <row r="9522" spans="15:15" x14ac:dyDescent="0.25">
      <c r="O9522" s="21"/>
    </row>
    <row r="9523" spans="15:15" x14ac:dyDescent="0.25">
      <c r="O9523" s="21"/>
    </row>
    <row r="9524" spans="15:15" x14ac:dyDescent="0.25">
      <c r="O9524" s="21"/>
    </row>
    <row r="9525" spans="15:15" x14ac:dyDescent="0.25">
      <c r="O9525" s="21"/>
    </row>
    <row r="9526" spans="15:15" x14ac:dyDescent="0.25">
      <c r="O9526" s="21"/>
    </row>
    <row r="9527" spans="15:15" x14ac:dyDescent="0.25">
      <c r="O9527" s="21"/>
    </row>
    <row r="9528" spans="15:15" x14ac:dyDescent="0.25">
      <c r="O9528" s="21"/>
    </row>
    <row r="9529" spans="15:15" x14ac:dyDescent="0.25">
      <c r="O9529" s="21"/>
    </row>
    <row r="9530" spans="15:15" x14ac:dyDescent="0.25">
      <c r="O9530" s="21"/>
    </row>
    <row r="9531" spans="15:15" x14ac:dyDescent="0.25">
      <c r="O9531" s="21"/>
    </row>
    <row r="9532" spans="15:15" x14ac:dyDescent="0.25">
      <c r="O9532" s="21"/>
    </row>
    <row r="9533" spans="15:15" x14ac:dyDescent="0.25">
      <c r="O9533" s="21"/>
    </row>
    <row r="9534" spans="15:15" x14ac:dyDescent="0.25">
      <c r="O9534" s="21"/>
    </row>
    <row r="9535" spans="15:15" x14ac:dyDescent="0.25">
      <c r="O9535" s="21"/>
    </row>
    <row r="9536" spans="15:15" x14ac:dyDescent="0.25">
      <c r="O9536" s="21"/>
    </row>
    <row r="9537" spans="15:15" x14ac:dyDescent="0.25">
      <c r="O9537" s="21"/>
    </row>
    <row r="9538" spans="15:15" x14ac:dyDescent="0.25">
      <c r="O9538" s="21"/>
    </row>
    <row r="9539" spans="15:15" x14ac:dyDescent="0.25">
      <c r="O9539" s="21"/>
    </row>
    <row r="9540" spans="15:15" x14ac:dyDescent="0.25">
      <c r="O9540" s="21"/>
    </row>
    <row r="9541" spans="15:15" x14ac:dyDescent="0.25">
      <c r="O9541" s="21"/>
    </row>
    <row r="9542" spans="15:15" x14ac:dyDescent="0.25">
      <c r="O9542" s="21"/>
    </row>
    <row r="9543" spans="15:15" x14ac:dyDescent="0.25">
      <c r="O9543" s="21"/>
    </row>
    <row r="9544" spans="15:15" x14ac:dyDescent="0.25">
      <c r="O9544" s="21"/>
    </row>
    <row r="9545" spans="15:15" x14ac:dyDescent="0.25">
      <c r="O9545" s="21"/>
    </row>
    <row r="9546" spans="15:15" x14ac:dyDescent="0.25">
      <c r="O9546" s="21"/>
    </row>
    <row r="9547" spans="15:15" x14ac:dyDescent="0.25">
      <c r="O9547" s="21"/>
    </row>
    <row r="9548" spans="15:15" x14ac:dyDescent="0.25">
      <c r="O9548" s="21"/>
    </row>
    <row r="9549" spans="15:15" x14ac:dyDescent="0.25">
      <c r="O9549" s="21"/>
    </row>
    <row r="9550" spans="15:15" x14ac:dyDescent="0.25">
      <c r="O9550" s="21"/>
    </row>
    <row r="9551" spans="15:15" x14ac:dyDescent="0.25">
      <c r="O9551" s="21"/>
    </row>
    <row r="9552" spans="15:15" x14ac:dyDescent="0.25">
      <c r="O9552" s="21"/>
    </row>
    <row r="9553" spans="15:15" x14ac:dyDescent="0.25">
      <c r="O9553" s="21"/>
    </row>
    <row r="9554" spans="15:15" x14ac:dyDescent="0.25">
      <c r="O9554" s="21"/>
    </row>
    <row r="9555" spans="15:15" x14ac:dyDescent="0.25">
      <c r="O9555" s="21"/>
    </row>
    <row r="9556" spans="15:15" x14ac:dyDescent="0.25">
      <c r="O9556" s="21"/>
    </row>
    <row r="9557" spans="15:15" x14ac:dyDescent="0.25">
      <c r="O9557" s="21"/>
    </row>
    <row r="9558" spans="15:15" x14ac:dyDescent="0.25">
      <c r="O9558" s="21"/>
    </row>
    <row r="9559" spans="15:15" x14ac:dyDescent="0.25">
      <c r="O9559" s="21"/>
    </row>
    <row r="9560" spans="15:15" x14ac:dyDescent="0.25">
      <c r="O9560" s="21"/>
    </row>
    <row r="9561" spans="15:15" x14ac:dyDescent="0.25">
      <c r="O9561" s="21"/>
    </row>
    <row r="9562" spans="15:15" x14ac:dyDescent="0.25">
      <c r="O9562" s="21"/>
    </row>
    <row r="9563" spans="15:15" x14ac:dyDescent="0.25">
      <c r="O9563" s="21"/>
    </row>
    <row r="9564" spans="15:15" x14ac:dyDescent="0.25">
      <c r="O9564" s="21"/>
    </row>
    <row r="9565" spans="15:15" x14ac:dyDescent="0.25">
      <c r="O9565" s="21"/>
    </row>
    <row r="9566" spans="15:15" x14ac:dyDescent="0.25">
      <c r="O9566" s="21"/>
    </row>
    <row r="9567" spans="15:15" x14ac:dyDescent="0.25">
      <c r="O9567" s="21"/>
    </row>
    <row r="9568" spans="15:15" x14ac:dyDescent="0.25">
      <c r="O9568" s="21"/>
    </row>
    <row r="9569" spans="15:15" x14ac:dyDescent="0.25">
      <c r="O9569" s="21"/>
    </row>
    <row r="9570" spans="15:15" x14ac:dyDescent="0.25">
      <c r="O9570" s="21"/>
    </row>
    <row r="9571" spans="15:15" x14ac:dyDescent="0.25">
      <c r="O9571" s="21"/>
    </row>
    <row r="9572" spans="15:15" x14ac:dyDescent="0.25">
      <c r="O9572" s="21"/>
    </row>
    <row r="9573" spans="15:15" x14ac:dyDescent="0.25">
      <c r="O9573" s="21"/>
    </row>
    <row r="9574" spans="15:15" x14ac:dyDescent="0.25">
      <c r="O9574" s="21"/>
    </row>
    <row r="9575" spans="15:15" x14ac:dyDescent="0.25">
      <c r="O9575" s="21"/>
    </row>
    <row r="9576" spans="15:15" x14ac:dyDescent="0.25">
      <c r="O9576" s="21"/>
    </row>
    <row r="9577" spans="15:15" x14ac:dyDescent="0.25">
      <c r="O9577" s="21"/>
    </row>
    <row r="9578" spans="15:15" x14ac:dyDescent="0.25">
      <c r="O9578" s="21"/>
    </row>
    <row r="9579" spans="15:15" x14ac:dyDescent="0.25">
      <c r="O9579" s="21"/>
    </row>
    <row r="9580" spans="15:15" x14ac:dyDescent="0.25">
      <c r="O9580" s="21"/>
    </row>
    <row r="9581" spans="15:15" x14ac:dyDescent="0.25">
      <c r="O9581" s="21"/>
    </row>
    <row r="9582" spans="15:15" x14ac:dyDescent="0.25">
      <c r="O9582" s="21"/>
    </row>
    <row r="9583" spans="15:15" x14ac:dyDescent="0.25">
      <c r="O9583" s="21"/>
    </row>
    <row r="9584" spans="15:15" x14ac:dyDescent="0.25">
      <c r="O9584" s="21"/>
    </row>
    <row r="9585" spans="15:15" x14ac:dyDescent="0.25">
      <c r="O9585" s="21"/>
    </row>
    <row r="9586" spans="15:15" x14ac:dyDescent="0.25">
      <c r="O9586" s="21"/>
    </row>
    <row r="9587" spans="15:15" x14ac:dyDescent="0.25">
      <c r="O9587" s="21"/>
    </row>
    <row r="9588" spans="15:15" x14ac:dyDescent="0.25">
      <c r="O9588" s="21"/>
    </row>
    <row r="9589" spans="15:15" x14ac:dyDescent="0.25">
      <c r="O9589" s="21"/>
    </row>
    <row r="9590" spans="15:15" x14ac:dyDescent="0.25">
      <c r="O9590" s="21"/>
    </row>
    <row r="9591" spans="15:15" x14ac:dyDescent="0.25">
      <c r="O9591" s="21"/>
    </row>
    <row r="9592" spans="15:15" x14ac:dyDescent="0.25">
      <c r="O9592" s="21"/>
    </row>
    <row r="9593" spans="15:15" x14ac:dyDescent="0.25">
      <c r="O9593" s="21"/>
    </row>
    <row r="9594" spans="15:15" x14ac:dyDescent="0.25">
      <c r="O9594" s="21"/>
    </row>
    <row r="9595" spans="15:15" x14ac:dyDescent="0.25">
      <c r="O9595" s="21"/>
    </row>
    <row r="9596" spans="15:15" x14ac:dyDescent="0.25">
      <c r="O9596" s="21"/>
    </row>
    <row r="9597" spans="15:15" x14ac:dyDescent="0.25">
      <c r="O9597" s="21"/>
    </row>
    <row r="9598" spans="15:15" x14ac:dyDescent="0.25">
      <c r="O9598" s="21"/>
    </row>
    <row r="9599" spans="15:15" x14ac:dyDescent="0.25">
      <c r="O9599" s="21"/>
    </row>
    <row r="9600" spans="15:15" x14ac:dyDescent="0.25">
      <c r="O9600" s="21"/>
    </row>
    <row r="9601" spans="15:15" x14ac:dyDescent="0.25">
      <c r="O9601" s="21"/>
    </row>
    <row r="9602" spans="15:15" x14ac:dyDescent="0.25">
      <c r="O9602" s="21"/>
    </row>
    <row r="9603" spans="15:15" x14ac:dyDescent="0.25">
      <c r="O9603" s="21"/>
    </row>
    <row r="9604" spans="15:15" x14ac:dyDescent="0.25">
      <c r="O9604" s="21"/>
    </row>
    <row r="9605" spans="15:15" x14ac:dyDescent="0.25">
      <c r="O9605" s="21"/>
    </row>
    <row r="9606" spans="15:15" x14ac:dyDescent="0.25">
      <c r="O9606" s="21"/>
    </row>
    <row r="9607" spans="15:15" x14ac:dyDescent="0.25">
      <c r="O9607" s="21"/>
    </row>
    <row r="9608" spans="15:15" x14ac:dyDescent="0.25">
      <c r="O9608" s="21"/>
    </row>
    <row r="9609" spans="15:15" x14ac:dyDescent="0.25">
      <c r="O9609" s="21"/>
    </row>
    <row r="9610" spans="15:15" x14ac:dyDescent="0.25">
      <c r="O9610" s="21"/>
    </row>
    <row r="9611" spans="15:15" x14ac:dyDescent="0.25">
      <c r="O9611" s="21"/>
    </row>
    <row r="9612" spans="15:15" x14ac:dyDescent="0.25">
      <c r="O9612" s="21"/>
    </row>
    <row r="9613" spans="15:15" x14ac:dyDescent="0.25">
      <c r="O9613" s="21"/>
    </row>
    <row r="9614" spans="15:15" x14ac:dyDescent="0.25">
      <c r="O9614" s="21"/>
    </row>
    <row r="9615" spans="15:15" x14ac:dyDescent="0.25">
      <c r="O9615" s="21"/>
    </row>
    <row r="9616" spans="15:15" x14ac:dyDescent="0.25">
      <c r="O9616" s="21"/>
    </row>
    <row r="9617" spans="15:15" x14ac:dyDescent="0.25">
      <c r="O9617" s="21"/>
    </row>
    <row r="9618" spans="15:15" x14ac:dyDescent="0.25">
      <c r="O9618" s="21"/>
    </row>
    <row r="9619" spans="15:15" x14ac:dyDescent="0.25">
      <c r="O9619" s="21"/>
    </row>
    <row r="9620" spans="15:15" x14ac:dyDescent="0.25">
      <c r="O9620" s="21"/>
    </row>
    <row r="9621" spans="15:15" x14ac:dyDescent="0.25">
      <c r="O9621" s="21"/>
    </row>
    <row r="9622" spans="15:15" x14ac:dyDescent="0.25">
      <c r="O9622" s="21"/>
    </row>
    <row r="9623" spans="15:15" x14ac:dyDescent="0.25">
      <c r="O9623" s="21"/>
    </row>
    <row r="9624" spans="15:15" x14ac:dyDescent="0.25">
      <c r="O9624" s="21"/>
    </row>
    <row r="9625" spans="15:15" x14ac:dyDescent="0.25">
      <c r="O9625" s="21"/>
    </row>
    <row r="9626" spans="15:15" x14ac:dyDescent="0.25">
      <c r="O9626" s="21"/>
    </row>
    <row r="9627" spans="15:15" x14ac:dyDescent="0.25">
      <c r="O9627" s="21"/>
    </row>
    <row r="9628" spans="15:15" x14ac:dyDescent="0.25">
      <c r="O9628" s="21"/>
    </row>
    <row r="9629" spans="15:15" x14ac:dyDescent="0.25">
      <c r="O9629" s="21"/>
    </row>
    <row r="9630" spans="15:15" x14ac:dyDescent="0.25">
      <c r="O9630" s="21"/>
    </row>
    <row r="9631" spans="15:15" x14ac:dyDescent="0.25">
      <c r="O9631" s="21"/>
    </row>
    <row r="9632" spans="15:15" x14ac:dyDescent="0.25">
      <c r="O9632" s="21"/>
    </row>
    <row r="9633" spans="15:15" x14ac:dyDescent="0.25">
      <c r="O9633" s="21"/>
    </row>
    <row r="9634" spans="15:15" x14ac:dyDescent="0.25">
      <c r="O9634" s="21"/>
    </row>
    <row r="9635" spans="15:15" x14ac:dyDescent="0.25">
      <c r="O9635" s="21"/>
    </row>
    <row r="9636" spans="15:15" x14ac:dyDescent="0.25">
      <c r="O9636" s="21"/>
    </row>
    <row r="9637" spans="15:15" x14ac:dyDescent="0.25">
      <c r="O9637" s="21"/>
    </row>
    <row r="9638" spans="15:15" x14ac:dyDescent="0.25">
      <c r="O9638" s="21"/>
    </row>
    <row r="9639" spans="15:15" x14ac:dyDescent="0.25">
      <c r="O9639" s="21"/>
    </row>
    <row r="9640" spans="15:15" x14ac:dyDescent="0.25">
      <c r="O9640" s="21"/>
    </row>
    <row r="9641" spans="15:15" x14ac:dyDescent="0.25">
      <c r="O9641" s="21"/>
    </row>
    <row r="9642" spans="15:15" x14ac:dyDescent="0.25">
      <c r="O9642" s="21"/>
    </row>
    <row r="9643" spans="15:15" x14ac:dyDescent="0.25">
      <c r="O9643" s="21"/>
    </row>
    <row r="9644" spans="15:15" x14ac:dyDescent="0.25">
      <c r="O9644" s="21"/>
    </row>
    <row r="9645" spans="15:15" x14ac:dyDescent="0.25">
      <c r="O9645" s="21"/>
    </row>
    <row r="9646" spans="15:15" x14ac:dyDescent="0.25">
      <c r="O9646" s="21"/>
    </row>
    <row r="9647" spans="15:15" x14ac:dyDescent="0.25">
      <c r="O9647" s="21"/>
    </row>
    <row r="9648" spans="15:15" x14ac:dyDescent="0.25">
      <c r="O9648" s="21"/>
    </row>
    <row r="9649" spans="15:15" x14ac:dyDescent="0.25">
      <c r="O9649" s="21"/>
    </row>
    <row r="9650" spans="15:15" x14ac:dyDescent="0.25">
      <c r="O9650" s="21"/>
    </row>
    <row r="9651" spans="15:15" x14ac:dyDescent="0.25">
      <c r="O9651" s="21"/>
    </row>
    <row r="9652" spans="15:15" x14ac:dyDescent="0.25">
      <c r="O9652" s="21"/>
    </row>
    <row r="9653" spans="15:15" x14ac:dyDescent="0.25">
      <c r="O9653" s="21"/>
    </row>
    <row r="9654" spans="15:15" x14ac:dyDescent="0.25">
      <c r="O9654" s="21"/>
    </row>
    <row r="9655" spans="15:15" x14ac:dyDescent="0.25">
      <c r="O9655" s="21"/>
    </row>
    <row r="9656" spans="15:15" x14ac:dyDescent="0.25">
      <c r="O9656" s="21"/>
    </row>
    <row r="9657" spans="15:15" x14ac:dyDescent="0.25">
      <c r="O9657" s="21"/>
    </row>
    <row r="9658" spans="15:15" x14ac:dyDescent="0.25">
      <c r="O9658" s="21"/>
    </row>
    <row r="9659" spans="15:15" x14ac:dyDescent="0.25">
      <c r="O9659" s="21"/>
    </row>
    <row r="9660" spans="15:15" x14ac:dyDescent="0.25">
      <c r="O9660" s="21"/>
    </row>
    <row r="9661" spans="15:15" x14ac:dyDescent="0.25">
      <c r="O9661" s="21"/>
    </row>
    <row r="9662" spans="15:15" x14ac:dyDescent="0.25">
      <c r="O9662" s="21"/>
    </row>
    <row r="9663" spans="15:15" x14ac:dyDescent="0.25">
      <c r="O9663" s="21"/>
    </row>
    <row r="9664" spans="15:15" x14ac:dyDescent="0.25">
      <c r="O9664" s="21"/>
    </row>
    <row r="9665" spans="15:15" x14ac:dyDescent="0.25">
      <c r="O9665" s="21"/>
    </row>
    <row r="9666" spans="15:15" x14ac:dyDescent="0.25">
      <c r="O9666" s="21"/>
    </row>
    <row r="9667" spans="15:15" x14ac:dyDescent="0.25">
      <c r="O9667" s="21"/>
    </row>
    <row r="9668" spans="15:15" x14ac:dyDescent="0.25">
      <c r="O9668" s="21"/>
    </row>
    <row r="9669" spans="15:15" x14ac:dyDescent="0.25">
      <c r="O9669" s="21"/>
    </row>
    <row r="9670" spans="15:15" x14ac:dyDescent="0.25">
      <c r="O9670" s="21"/>
    </row>
    <row r="9671" spans="15:15" x14ac:dyDescent="0.25">
      <c r="O9671" s="21"/>
    </row>
    <row r="9672" spans="15:15" x14ac:dyDescent="0.25">
      <c r="O9672" s="21"/>
    </row>
    <row r="9673" spans="15:15" x14ac:dyDescent="0.25">
      <c r="O9673" s="21"/>
    </row>
    <row r="9674" spans="15:15" x14ac:dyDescent="0.25">
      <c r="O9674" s="21"/>
    </row>
    <row r="9675" spans="15:15" x14ac:dyDescent="0.25">
      <c r="O9675" s="21"/>
    </row>
    <row r="9676" spans="15:15" x14ac:dyDescent="0.25">
      <c r="O9676" s="21"/>
    </row>
    <row r="9677" spans="15:15" x14ac:dyDescent="0.25">
      <c r="O9677" s="21"/>
    </row>
    <row r="9678" spans="15:15" x14ac:dyDescent="0.25">
      <c r="O9678" s="21"/>
    </row>
    <row r="9679" spans="15:15" x14ac:dyDescent="0.25">
      <c r="O9679" s="21"/>
    </row>
    <row r="9680" spans="15:15" x14ac:dyDescent="0.25">
      <c r="O9680" s="21"/>
    </row>
    <row r="9681" spans="15:15" x14ac:dyDescent="0.25">
      <c r="O9681" s="21"/>
    </row>
    <row r="9682" spans="15:15" x14ac:dyDescent="0.25">
      <c r="O9682" s="21"/>
    </row>
    <row r="9683" spans="15:15" x14ac:dyDescent="0.25">
      <c r="O9683" s="21"/>
    </row>
    <row r="9684" spans="15:15" x14ac:dyDescent="0.25">
      <c r="O9684" s="21"/>
    </row>
    <row r="9685" spans="15:15" x14ac:dyDescent="0.25">
      <c r="O9685" s="21"/>
    </row>
    <row r="9686" spans="15:15" x14ac:dyDescent="0.25">
      <c r="O9686" s="21"/>
    </row>
    <row r="9687" spans="15:15" x14ac:dyDescent="0.25">
      <c r="O9687" s="21"/>
    </row>
    <row r="9688" spans="15:15" x14ac:dyDescent="0.25">
      <c r="O9688" s="21"/>
    </row>
    <row r="9689" spans="15:15" x14ac:dyDescent="0.25">
      <c r="O9689" s="21"/>
    </row>
    <row r="9690" spans="15:15" x14ac:dyDescent="0.25">
      <c r="O9690" s="21"/>
    </row>
    <row r="9691" spans="15:15" x14ac:dyDescent="0.25">
      <c r="O9691" s="21"/>
    </row>
    <row r="9692" spans="15:15" x14ac:dyDescent="0.25">
      <c r="O9692" s="21"/>
    </row>
    <row r="9693" spans="15:15" x14ac:dyDescent="0.25">
      <c r="O9693" s="21"/>
    </row>
    <row r="9694" spans="15:15" x14ac:dyDescent="0.25">
      <c r="O9694" s="21"/>
    </row>
    <row r="9695" spans="15:15" x14ac:dyDescent="0.25">
      <c r="O9695" s="21"/>
    </row>
    <row r="9696" spans="15:15" x14ac:dyDescent="0.25">
      <c r="O9696" s="21"/>
    </row>
    <row r="9697" spans="15:15" x14ac:dyDescent="0.25">
      <c r="O9697" s="21"/>
    </row>
    <row r="9698" spans="15:15" x14ac:dyDescent="0.25">
      <c r="O9698" s="21"/>
    </row>
    <row r="9699" spans="15:15" x14ac:dyDescent="0.25">
      <c r="O9699" s="21"/>
    </row>
    <row r="9700" spans="15:15" x14ac:dyDescent="0.25">
      <c r="O9700" s="21"/>
    </row>
    <row r="9701" spans="15:15" x14ac:dyDescent="0.25">
      <c r="O9701" s="21"/>
    </row>
    <row r="9702" spans="15:15" x14ac:dyDescent="0.25">
      <c r="O9702" s="21"/>
    </row>
    <row r="9703" spans="15:15" x14ac:dyDescent="0.25">
      <c r="O9703" s="21"/>
    </row>
    <row r="9704" spans="15:15" x14ac:dyDescent="0.25">
      <c r="O9704" s="21"/>
    </row>
    <row r="9705" spans="15:15" x14ac:dyDescent="0.25">
      <c r="O9705" s="21"/>
    </row>
    <row r="9706" spans="15:15" x14ac:dyDescent="0.25">
      <c r="O9706" s="21"/>
    </row>
    <row r="9707" spans="15:15" x14ac:dyDescent="0.25">
      <c r="O9707" s="21"/>
    </row>
    <row r="9708" spans="15:15" x14ac:dyDescent="0.25">
      <c r="O9708" s="21"/>
    </row>
    <row r="9709" spans="15:15" x14ac:dyDescent="0.25">
      <c r="O9709" s="21"/>
    </row>
    <row r="9710" spans="15:15" x14ac:dyDescent="0.25">
      <c r="O9710" s="21"/>
    </row>
    <row r="9711" spans="15:15" x14ac:dyDescent="0.25">
      <c r="O9711" s="21"/>
    </row>
    <row r="9712" spans="15:15" x14ac:dyDescent="0.25">
      <c r="O9712" s="21"/>
    </row>
    <row r="9713" spans="15:15" x14ac:dyDescent="0.25">
      <c r="O9713" s="21"/>
    </row>
    <row r="9714" spans="15:15" x14ac:dyDescent="0.25">
      <c r="O9714" s="21"/>
    </row>
    <row r="9715" spans="15:15" x14ac:dyDescent="0.25">
      <c r="O9715" s="21"/>
    </row>
    <row r="9716" spans="15:15" x14ac:dyDescent="0.25">
      <c r="O9716" s="21"/>
    </row>
    <row r="9717" spans="15:15" x14ac:dyDescent="0.25">
      <c r="O9717" s="21"/>
    </row>
    <row r="9718" spans="15:15" x14ac:dyDescent="0.25">
      <c r="O9718" s="21"/>
    </row>
    <row r="9719" spans="15:15" x14ac:dyDescent="0.25">
      <c r="O9719" s="21"/>
    </row>
    <row r="9720" spans="15:15" x14ac:dyDescent="0.25">
      <c r="O9720" s="21"/>
    </row>
    <row r="9721" spans="15:15" x14ac:dyDescent="0.25">
      <c r="O9721" s="21"/>
    </row>
    <row r="9722" spans="15:15" x14ac:dyDescent="0.25">
      <c r="O9722" s="21"/>
    </row>
    <row r="9723" spans="15:15" x14ac:dyDescent="0.25">
      <c r="O9723" s="21"/>
    </row>
    <row r="9724" spans="15:15" x14ac:dyDescent="0.25">
      <c r="O9724" s="21"/>
    </row>
    <row r="9725" spans="15:15" x14ac:dyDescent="0.25">
      <c r="O9725" s="21"/>
    </row>
    <row r="9726" spans="15:15" x14ac:dyDescent="0.25">
      <c r="O9726" s="21"/>
    </row>
    <row r="9727" spans="15:15" x14ac:dyDescent="0.25">
      <c r="O9727" s="21"/>
    </row>
    <row r="9728" spans="15:15" x14ac:dyDescent="0.25">
      <c r="O9728" s="21"/>
    </row>
    <row r="9729" spans="15:15" x14ac:dyDescent="0.25">
      <c r="O9729" s="21"/>
    </row>
    <row r="9730" spans="15:15" x14ac:dyDescent="0.25">
      <c r="O9730" s="21"/>
    </row>
    <row r="9731" spans="15:15" x14ac:dyDescent="0.25">
      <c r="O9731" s="21"/>
    </row>
    <row r="9732" spans="15:15" x14ac:dyDescent="0.25">
      <c r="O9732" s="21"/>
    </row>
    <row r="9733" spans="15:15" x14ac:dyDescent="0.25">
      <c r="O9733" s="21"/>
    </row>
    <row r="9734" spans="15:15" x14ac:dyDescent="0.25">
      <c r="O9734" s="21"/>
    </row>
    <row r="9735" spans="15:15" x14ac:dyDescent="0.25">
      <c r="O9735" s="21"/>
    </row>
    <row r="9736" spans="15:15" x14ac:dyDescent="0.25">
      <c r="O9736" s="21"/>
    </row>
    <row r="9737" spans="15:15" x14ac:dyDescent="0.25">
      <c r="O9737" s="21"/>
    </row>
    <row r="9738" spans="15:15" x14ac:dyDescent="0.25">
      <c r="O9738" s="21"/>
    </row>
    <row r="9739" spans="15:15" x14ac:dyDescent="0.25">
      <c r="O9739" s="21"/>
    </row>
    <row r="9740" spans="15:15" x14ac:dyDescent="0.25">
      <c r="O9740" s="21"/>
    </row>
    <row r="9741" spans="15:15" x14ac:dyDescent="0.25">
      <c r="O9741" s="21"/>
    </row>
    <row r="9742" spans="15:15" x14ac:dyDescent="0.25">
      <c r="O9742" s="21"/>
    </row>
    <row r="9743" spans="15:15" x14ac:dyDescent="0.25">
      <c r="O9743" s="21"/>
    </row>
    <row r="9744" spans="15:15" x14ac:dyDescent="0.25">
      <c r="O9744" s="21"/>
    </row>
    <row r="9745" spans="15:15" x14ac:dyDescent="0.25">
      <c r="O9745" s="21"/>
    </row>
    <row r="9746" spans="15:15" x14ac:dyDescent="0.25">
      <c r="O9746" s="21"/>
    </row>
    <row r="9747" spans="15:15" x14ac:dyDescent="0.25">
      <c r="O9747" s="21"/>
    </row>
    <row r="9748" spans="15:15" x14ac:dyDescent="0.25">
      <c r="O9748" s="21"/>
    </row>
    <row r="9749" spans="15:15" x14ac:dyDescent="0.25">
      <c r="O9749" s="21"/>
    </row>
    <row r="9750" spans="15:15" x14ac:dyDescent="0.25">
      <c r="O9750" s="21"/>
    </row>
    <row r="9751" spans="15:15" x14ac:dyDescent="0.25">
      <c r="O9751" s="21"/>
    </row>
    <row r="9752" spans="15:15" x14ac:dyDescent="0.25">
      <c r="O9752" s="21"/>
    </row>
    <row r="9753" spans="15:15" x14ac:dyDescent="0.25">
      <c r="O9753" s="21"/>
    </row>
    <row r="9754" spans="15:15" x14ac:dyDescent="0.25">
      <c r="O9754" s="21"/>
    </row>
    <row r="9755" spans="15:15" x14ac:dyDescent="0.25">
      <c r="O9755" s="21"/>
    </row>
    <row r="9756" spans="15:15" x14ac:dyDescent="0.25">
      <c r="O9756" s="21"/>
    </row>
    <row r="9757" spans="15:15" x14ac:dyDescent="0.25">
      <c r="O9757" s="21"/>
    </row>
    <row r="9758" spans="15:15" x14ac:dyDescent="0.25">
      <c r="O9758" s="21"/>
    </row>
    <row r="9759" spans="15:15" x14ac:dyDescent="0.25">
      <c r="O9759" s="21"/>
    </row>
    <row r="9760" spans="15:15" x14ac:dyDescent="0.25">
      <c r="O9760" s="21"/>
    </row>
    <row r="9761" spans="15:15" x14ac:dyDescent="0.25">
      <c r="O9761" s="21"/>
    </row>
    <row r="9762" spans="15:15" x14ac:dyDescent="0.25">
      <c r="O9762" s="21"/>
    </row>
    <row r="9763" spans="15:15" x14ac:dyDescent="0.25">
      <c r="O9763" s="21"/>
    </row>
    <row r="9764" spans="15:15" x14ac:dyDescent="0.25">
      <c r="O9764" s="21"/>
    </row>
    <row r="9765" spans="15:15" x14ac:dyDescent="0.25">
      <c r="O9765" s="21"/>
    </row>
    <row r="9766" spans="15:15" x14ac:dyDescent="0.25">
      <c r="O9766" s="21"/>
    </row>
    <row r="9767" spans="15:15" x14ac:dyDescent="0.25">
      <c r="O9767" s="21"/>
    </row>
    <row r="9768" spans="15:15" x14ac:dyDescent="0.25">
      <c r="O9768" s="21"/>
    </row>
    <row r="9769" spans="15:15" x14ac:dyDescent="0.25">
      <c r="O9769" s="21"/>
    </row>
    <row r="9770" spans="15:15" x14ac:dyDescent="0.25">
      <c r="O9770" s="21"/>
    </row>
    <row r="9771" spans="15:15" x14ac:dyDescent="0.25">
      <c r="O9771" s="21"/>
    </row>
    <row r="9772" spans="15:15" x14ac:dyDescent="0.25">
      <c r="O9772" s="21"/>
    </row>
    <row r="9773" spans="15:15" x14ac:dyDescent="0.25">
      <c r="O9773" s="21"/>
    </row>
    <row r="9774" spans="15:15" x14ac:dyDescent="0.25">
      <c r="O9774" s="21"/>
    </row>
    <row r="9775" spans="15:15" x14ac:dyDescent="0.25">
      <c r="O9775" s="21"/>
    </row>
    <row r="9776" spans="15:15" x14ac:dyDescent="0.25">
      <c r="O9776" s="21"/>
    </row>
    <row r="9777" spans="15:15" x14ac:dyDescent="0.25">
      <c r="O9777" s="21"/>
    </row>
    <row r="9778" spans="15:15" x14ac:dyDescent="0.25">
      <c r="O9778" s="21"/>
    </row>
    <row r="9779" spans="15:15" x14ac:dyDescent="0.25">
      <c r="O9779" s="21"/>
    </row>
    <row r="9780" spans="15:15" x14ac:dyDescent="0.25">
      <c r="O9780" s="21"/>
    </row>
    <row r="9781" spans="15:15" x14ac:dyDescent="0.25">
      <c r="O9781" s="21"/>
    </row>
    <row r="9782" spans="15:15" x14ac:dyDescent="0.25">
      <c r="O9782" s="21"/>
    </row>
    <row r="9783" spans="15:15" x14ac:dyDescent="0.25">
      <c r="O9783" s="21"/>
    </row>
    <row r="9784" spans="15:15" x14ac:dyDescent="0.25">
      <c r="O9784" s="21"/>
    </row>
    <row r="9785" spans="15:15" x14ac:dyDescent="0.25">
      <c r="O9785" s="21"/>
    </row>
    <row r="9786" spans="15:15" x14ac:dyDescent="0.25">
      <c r="O9786" s="21"/>
    </row>
    <row r="9787" spans="15:15" x14ac:dyDescent="0.25">
      <c r="O9787" s="21"/>
    </row>
    <row r="9788" spans="15:15" x14ac:dyDescent="0.25">
      <c r="O9788" s="21"/>
    </row>
    <row r="9789" spans="15:15" x14ac:dyDescent="0.25">
      <c r="O9789" s="21"/>
    </row>
    <row r="9790" spans="15:15" x14ac:dyDescent="0.25">
      <c r="O9790" s="21"/>
    </row>
    <row r="9791" spans="15:15" x14ac:dyDescent="0.25">
      <c r="O9791" s="21"/>
    </row>
    <row r="9792" spans="15:15" x14ac:dyDescent="0.25">
      <c r="O9792" s="21"/>
    </row>
    <row r="9793" spans="15:15" x14ac:dyDescent="0.25">
      <c r="O9793" s="21"/>
    </row>
    <row r="9794" spans="15:15" x14ac:dyDescent="0.25">
      <c r="O9794" s="21"/>
    </row>
    <row r="9795" spans="15:15" x14ac:dyDescent="0.25">
      <c r="O9795" s="21"/>
    </row>
    <row r="9796" spans="15:15" x14ac:dyDescent="0.25">
      <c r="O9796" s="21"/>
    </row>
    <row r="9797" spans="15:15" x14ac:dyDescent="0.25">
      <c r="O9797" s="21"/>
    </row>
    <row r="9798" spans="15:15" x14ac:dyDescent="0.25">
      <c r="O9798" s="21"/>
    </row>
    <row r="9799" spans="15:15" x14ac:dyDescent="0.25">
      <c r="O9799" s="21"/>
    </row>
    <row r="9800" spans="15:15" x14ac:dyDescent="0.25">
      <c r="O9800" s="21"/>
    </row>
    <row r="9801" spans="15:15" x14ac:dyDescent="0.25">
      <c r="O9801" s="21"/>
    </row>
    <row r="9802" spans="15:15" x14ac:dyDescent="0.25">
      <c r="O9802" s="21"/>
    </row>
    <row r="9803" spans="15:15" x14ac:dyDescent="0.25">
      <c r="O9803" s="21"/>
    </row>
    <row r="9804" spans="15:15" x14ac:dyDescent="0.25">
      <c r="O9804" s="21"/>
    </row>
    <row r="9805" spans="15:15" x14ac:dyDescent="0.25">
      <c r="O9805" s="21"/>
    </row>
    <row r="9806" spans="15:15" x14ac:dyDescent="0.25">
      <c r="O9806" s="21"/>
    </row>
    <row r="9807" spans="15:15" x14ac:dyDescent="0.25">
      <c r="O9807" s="21"/>
    </row>
    <row r="9808" spans="15:15" x14ac:dyDescent="0.25">
      <c r="O9808" s="21"/>
    </row>
    <row r="9809" spans="15:15" x14ac:dyDescent="0.25">
      <c r="O9809" s="21"/>
    </row>
    <row r="9810" spans="15:15" x14ac:dyDescent="0.25">
      <c r="O9810" s="21"/>
    </row>
    <row r="9811" spans="15:15" x14ac:dyDescent="0.25">
      <c r="O9811" s="21"/>
    </row>
    <row r="9812" spans="15:15" x14ac:dyDescent="0.25">
      <c r="O9812" s="21"/>
    </row>
    <row r="9813" spans="15:15" x14ac:dyDescent="0.25">
      <c r="O9813" s="21"/>
    </row>
    <row r="9814" spans="15:15" x14ac:dyDescent="0.25">
      <c r="O9814" s="21"/>
    </row>
    <row r="9815" spans="15:15" x14ac:dyDescent="0.25">
      <c r="O9815" s="21"/>
    </row>
    <row r="9816" spans="15:15" x14ac:dyDescent="0.25">
      <c r="O9816" s="21"/>
    </row>
    <row r="9817" spans="15:15" x14ac:dyDescent="0.25">
      <c r="O9817" s="21"/>
    </row>
    <row r="9818" spans="15:15" x14ac:dyDescent="0.25">
      <c r="O9818" s="21"/>
    </row>
    <row r="9819" spans="15:15" x14ac:dyDescent="0.25">
      <c r="O9819" s="21"/>
    </row>
    <row r="9820" spans="15:15" x14ac:dyDescent="0.25">
      <c r="O9820" s="21"/>
    </row>
    <row r="9821" spans="15:15" x14ac:dyDescent="0.25">
      <c r="O9821" s="21"/>
    </row>
    <row r="9822" spans="15:15" x14ac:dyDescent="0.25">
      <c r="O9822" s="21"/>
    </row>
    <row r="9823" spans="15:15" x14ac:dyDescent="0.25">
      <c r="O9823" s="21"/>
    </row>
    <row r="9824" spans="15:15" x14ac:dyDescent="0.25">
      <c r="O9824" s="21"/>
    </row>
    <row r="9825" spans="15:15" x14ac:dyDescent="0.25">
      <c r="O9825" s="21"/>
    </row>
    <row r="9826" spans="15:15" x14ac:dyDescent="0.25">
      <c r="O9826" s="21"/>
    </row>
    <row r="9827" spans="15:15" x14ac:dyDescent="0.25">
      <c r="O9827" s="21"/>
    </row>
    <row r="9828" spans="15:15" x14ac:dyDescent="0.25">
      <c r="O9828" s="21"/>
    </row>
    <row r="9829" spans="15:15" x14ac:dyDescent="0.25">
      <c r="O9829" s="21"/>
    </row>
    <row r="9830" spans="15:15" x14ac:dyDescent="0.25">
      <c r="O9830" s="21"/>
    </row>
    <row r="9831" spans="15:15" x14ac:dyDescent="0.25">
      <c r="O9831" s="21"/>
    </row>
    <row r="9832" spans="15:15" x14ac:dyDescent="0.25">
      <c r="O9832" s="21"/>
    </row>
    <row r="9833" spans="15:15" x14ac:dyDescent="0.25">
      <c r="O9833" s="21"/>
    </row>
    <row r="9834" spans="15:15" x14ac:dyDescent="0.25">
      <c r="O9834" s="21"/>
    </row>
    <row r="9835" spans="15:15" x14ac:dyDescent="0.25">
      <c r="O9835" s="21"/>
    </row>
    <row r="9836" spans="15:15" x14ac:dyDescent="0.25">
      <c r="O9836" s="21"/>
    </row>
    <row r="9837" spans="15:15" x14ac:dyDescent="0.25">
      <c r="O9837" s="21"/>
    </row>
    <row r="9838" spans="15:15" x14ac:dyDescent="0.25">
      <c r="O9838" s="21"/>
    </row>
    <row r="9839" spans="15:15" x14ac:dyDescent="0.25">
      <c r="O9839" s="21"/>
    </row>
    <row r="9840" spans="15:15" x14ac:dyDescent="0.25">
      <c r="O9840" s="21"/>
    </row>
    <row r="9841" spans="15:15" x14ac:dyDescent="0.25">
      <c r="O9841" s="21"/>
    </row>
    <row r="9842" spans="15:15" x14ac:dyDescent="0.25">
      <c r="O9842" s="21"/>
    </row>
    <row r="9843" spans="15:15" x14ac:dyDescent="0.25">
      <c r="O9843" s="21"/>
    </row>
    <row r="9844" spans="15:15" x14ac:dyDescent="0.25">
      <c r="O9844" s="21"/>
    </row>
    <row r="9845" spans="15:15" x14ac:dyDescent="0.25">
      <c r="O9845" s="21"/>
    </row>
    <row r="9846" spans="15:15" x14ac:dyDescent="0.25">
      <c r="O9846" s="21"/>
    </row>
    <row r="9847" spans="15:15" x14ac:dyDescent="0.25">
      <c r="O9847" s="21"/>
    </row>
    <row r="9848" spans="15:15" x14ac:dyDescent="0.25">
      <c r="O9848" s="21"/>
    </row>
    <row r="9849" spans="15:15" x14ac:dyDescent="0.25">
      <c r="O9849" s="21"/>
    </row>
    <row r="9850" spans="15:15" x14ac:dyDescent="0.25">
      <c r="O9850" s="21"/>
    </row>
    <row r="9851" spans="15:15" x14ac:dyDescent="0.25">
      <c r="O9851" s="21"/>
    </row>
    <row r="9852" spans="15:15" x14ac:dyDescent="0.25">
      <c r="O9852" s="21"/>
    </row>
    <row r="9853" spans="15:15" x14ac:dyDescent="0.25">
      <c r="O9853" s="21"/>
    </row>
    <row r="9854" spans="15:15" x14ac:dyDescent="0.25">
      <c r="O9854" s="21"/>
    </row>
    <row r="9855" spans="15:15" x14ac:dyDescent="0.25">
      <c r="O9855" s="21"/>
    </row>
    <row r="9856" spans="15:15" x14ac:dyDescent="0.25">
      <c r="O9856" s="21"/>
    </row>
    <row r="9857" spans="15:15" x14ac:dyDescent="0.25">
      <c r="O9857" s="21"/>
    </row>
    <row r="9858" spans="15:15" x14ac:dyDescent="0.25">
      <c r="O9858" s="21"/>
    </row>
    <row r="9859" spans="15:15" x14ac:dyDescent="0.25">
      <c r="O9859" s="21"/>
    </row>
    <row r="9860" spans="15:15" x14ac:dyDescent="0.25">
      <c r="O9860" s="21"/>
    </row>
    <row r="9861" spans="15:15" x14ac:dyDescent="0.25">
      <c r="O9861" s="21"/>
    </row>
    <row r="9862" spans="15:15" x14ac:dyDescent="0.25">
      <c r="O9862" s="21"/>
    </row>
    <row r="9863" spans="15:15" x14ac:dyDescent="0.25">
      <c r="O9863" s="21"/>
    </row>
    <row r="9864" spans="15:15" x14ac:dyDescent="0.25">
      <c r="O9864" s="21"/>
    </row>
    <row r="9865" spans="15:15" x14ac:dyDescent="0.25">
      <c r="O9865" s="21"/>
    </row>
    <row r="9866" spans="15:15" x14ac:dyDescent="0.25">
      <c r="O9866" s="21"/>
    </row>
    <row r="9867" spans="15:15" x14ac:dyDescent="0.25">
      <c r="O9867" s="21"/>
    </row>
    <row r="9868" spans="15:15" x14ac:dyDescent="0.25">
      <c r="O9868" s="21"/>
    </row>
    <row r="9869" spans="15:15" x14ac:dyDescent="0.25">
      <c r="O9869" s="21"/>
    </row>
    <row r="9870" spans="15:15" x14ac:dyDescent="0.25">
      <c r="O9870" s="21"/>
    </row>
    <row r="9871" spans="15:15" x14ac:dyDescent="0.25">
      <c r="O9871" s="21"/>
    </row>
    <row r="9872" spans="15:15" x14ac:dyDescent="0.25">
      <c r="O9872" s="21"/>
    </row>
    <row r="9873" spans="15:15" x14ac:dyDescent="0.25">
      <c r="O9873" s="21"/>
    </row>
    <row r="9874" spans="15:15" x14ac:dyDescent="0.25">
      <c r="O9874" s="21"/>
    </row>
    <row r="9875" spans="15:15" x14ac:dyDescent="0.25">
      <c r="O9875" s="21"/>
    </row>
    <row r="9876" spans="15:15" x14ac:dyDescent="0.25">
      <c r="O9876" s="21"/>
    </row>
    <row r="9877" spans="15:15" x14ac:dyDescent="0.25">
      <c r="O9877" s="21"/>
    </row>
    <row r="9878" spans="15:15" x14ac:dyDescent="0.25">
      <c r="O9878" s="21"/>
    </row>
    <row r="9879" spans="15:15" x14ac:dyDescent="0.25">
      <c r="O9879" s="21"/>
    </row>
    <row r="9880" spans="15:15" x14ac:dyDescent="0.25">
      <c r="O9880" s="21"/>
    </row>
    <row r="9881" spans="15:15" x14ac:dyDescent="0.25">
      <c r="O9881" s="21"/>
    </row>
    <row r="9882" spans="15:15" x14ac:dyDescent="0.25">
      <c r="O9882" s="21"/>
    </row>
    <row r="9883" spans="15:15" x14ac:dyDescent="0.25">
      <c r="O9883" s="21"/>
    </row>
    <row r="9884" spans="15:15" x14ac:dyDescent="0.25">
      <c r="O9884" s="21"/>
    </row>
    <row r="9885" spans="15:15" x14ac:dyDescent="0.25">
      <c r="O9885" s="21"/>
    </row>
    <row r="9886" spans="15:15" x14ac:dyDescent="0.25">
      <c r="O9886" s="21"/>
    </row>
    <row r="9887" spans="15:15" x14ac:dyDescent="0.25">
      <c r="O9887" s="21"/>
    </row>
    <row r="9888" spans="15:15" x14ac:dyDescent="0.25">
      <c r="O9888" s="21"/>
    </row>
    <row r="9889" spans="15:15" x14ac:dyDescent="0.25">
      <c r="O9889" s="21"/>
    </row>
    <row r="9890" spans="15:15" x14ac:dyDescent="0.25">
      <c r="O9890" s="21"/>
    </row>
    <row r="9891" spans="15:15" x14ac:dyDescent="0.25">
      <c r="O9891" s="21"/>
    </row>
    <row r="9892" spans="15:15" x14ac:dyDescent="0.25">
      <c r="O9892" s="21"/>
    </row>
    <row r="9893" spans="15:15" x14ac:dyDescent="0.25">
      <c r="O9893" s="21"/>
    </row>
    <row r="9894" spans="15:15" x14ac:dyDescent="0.25">
      <c r="O9894" s="21"/>
    </row>
    <row r="9895" spans="15:15" x14ac:dyDescent="0.25">
      <c r="O9895" s="21"/>
    </row>
    <row r="9896" spans="15:15" x14ac:dyDescent="0.25">
      <c r="O9896" s="21"/>
    </row>
    <row r="9897" spans="15:15" x14ac:dyDescent="0.25">
      <c r="O9897" s="21"/>
    </row>
    <row r="9898" spans="15:15" x14ac:dyDescent="0.25">
      <c r="O9898" s="21"/>
    </row>
    <row r="9899" spans="15:15" x14ac:dyDescent="0.25">
      <c r="O9899" s="21"/>
    </row>
    <row r="9900" spans="15:15" x14ac:dyDescent="0.25">
      <c r="O9900" s="21"/>
    </row>
    <row r="9901" spans="15:15" x14ac:dyDescent="0.25">
      <c r="O9901" s="21"/>
    </row>
    <row r="9902" spans="15:15" x14ac:dyDescent="0.25">
      <c r="O9902" s="21"/>
    </row>
    <row r="9903" spans="15:15" x14ac:dyDescent="0.25">
      <c r="O9903" s="21"/>
    </row>
    <row r="9904" spans="15:15" x14ac:dyDescent="0.25">
      <c r="O9904" s="21"/>
    </row>
    <row r="9905" spans="15:15" x14ac:dyDescent="0.25">
      <c r="O9905" s="21"/>
    </row>
    <row r="9906" spans="15:15" x14ac:dyDescent="0.25">
      <c r="O9906" s="21"/>
    </row>
    <row r="9907" spans="15:15" x14ac:dyDescent="0.25">
      <c r="O9907" s="21"/>
    </row>
    <row r="9908" spans="15:15" x14ac:dyDescent="0.25">
      <c r="O9908" s="21"/>
    </row>
    <row r="9909" spans="15:15" x14ac:dyDescent="0.25">
      <c r="O9909" s="21"/>
    </row>
    <row r="9910" spans="15:15" x14ac:dyDescent="0.25">
      <c r="O9910" s="21"/>
    </row>
    <row r="9911" spans="15:15" x14ac:dyDescent="0.25">
      <c r="O9911" s="21"/>
    </row>
    <row r="9912" spans="15:15" x14ac:dyDescent="0.25">
      <c r="O9912" s="21"/>
    </row>
    <row r="9913" spans="15:15" x14ac:dyDescent="0.25">
      <c r="O9913" s="21"/>
    </row>
    <row r="9914" spans="15:15" x14ac:dyDescent="0.25">
      <c r="O9914" s="21"/>
    </row>
    <row r="9915" spans="15:15" x14ac:dyDescent="0.25">
      <c r="O9915" s="21"/>
    </row>
    <row r="9916" spans="15:15" x14ac:dyDescent="0.25">
      <c r="O9916" s="21"/>
    </row>
    <row r="9917" spans="15:15" x14ac:dyDescent="0.25">
      <c r="O9917" s="21"/>
    </row>
    <row r="9918" spans="15:15" x14ac:dyDescent="0.25">
      <c r="O9918" s="21"/>
    </row>
    <row r="9919" spans="15:15" x14ac:dyDescent="0.25">
      <c r="O9919" s="21"/>
    </row>
    <row r="9920" spans="15:15" x14ac:dyDescent="0.25">
      <c r="O9920" s="21"/>
    </row>
    <row r="9921" spans="15:15" x14ac:dyDescent="0.25">
      <c r="O9921" s="21"/>
    </row>
    <row r="9922" spans="15:15" x14ac:dyDescent="0.25">
      <c r="O9922" s="21"/>
    </row>
    <row r="9923" spans="15:15" x14ac:dyDescent="0.25">
      <c r="O9923" s="21"/>
    </row>
    <row r="9924" spans="15:15" x14ac:dyDescent="0.25">
      <c r="O9924" s="21"/>
    </row>
    <row r="9925" spans="15:15" x14ac:dyDescent="0.25">
      <c r="O9925" s="21"/>
    </row>
    <row r="9926" spans="15:15" x14ac:dyDescent="0.25">
      <c r="O9926" s="21"/>
    </row>
    <row r="9927" spans="15:15" x14ac:dyDescent="0.25">
      <c r="O9927" s="21"/>
    </row>
    <row r="9928" spans="15:15" x14ac:dyDescent="0.25">
      <c r="O9928" s="21"/>
    </row>
    <row r="9929" spans="15:15" x14ac:dyDescent="0.25">
      <c r="O9929" s="21"/>
    </row>
    <row r="9930" spans="15:15" x14ac:dyDescent="0.25">
      <c r="O9930" s="21"/>
    </row>
    <row r="9931" spans="15:15" x14ac:dyDescent="0.25">
      <c r="O9931" s="21"/>
    </row>
    <row r="9932" spans="15:15" x14ac:dyDescent="0.25">
      <c r="O9932" s="21"/>
    </row>
    <row r="9933" spans="15:15" x14ac:dyDescent="0.25">
      <c r="O9933" s="21"/>
    </row>
    <row r="9934" spans="15:15" x14ac:dyDescent="0.25">
      <c r="O9934" s="21"/>
    </row>
    <row r="9935" spans="15:15" x14ac:dyDescent="0.25">
      <c r="O9935" s="21"/>
    </row>
    <row r="9936" spans="15:15" x14ac:dyDescent="0.25">
      <c r="O9936" s="21"/>
    </row>
    <row r="9937" spans="15:15" x14ac:dyDescent="0.25">
      <c r="O9937" s="21"/>
    </row>
    <row r="9938" spans="15:15" x14ac:dyDescent="0.25">
      <c r="O9938" s="21"/>
    </row>
    <row r="9939" spans="15:15" x14ac:dyDescent="0.25">
      <c r="O9939" s="21"/>
    </row>
    <row r="9940" spans="15:15" x14ac:dyDescent="0.25">
      <c r="O9940" s="21"/>
    </row>
    <row r="9941" spans="15:15" x14ac:dyDescent="0.25">
      <c r="O9941" s="21"/>
    </row>
    <row r="9942" spans="15:15" x14ac:dyDescent="0.25">
      <c r="O9942" s="21"/>
    </row>
    <row r="9943" spans="15:15" x14ac:dyDescent="0.25">
      <c r="O9943" s="21"/>
    </row>
    <row r="9944" spans="15:15" x14ac:dyDescent="0.25">
      <c r="O9944" s="21"/>
    </row>
    <row r="9945" spans="15:15" x14ac:dyDescent="0.25">
      <c r="O9945" s="21"/>
    </row>
    <row r="9946" spans="15:15" x14ac:dyDescent="0.25">
      <c r="O9946" s="21"/>
    </row>
    <row r="9947" spans="15:15" x14ac:dyDescent="0.25">
      <c r="O9947" s="21"/>
    </row>
    <row r="9948" spans="15:15" x14ac:dyDescent="0.25">
      <c r="O9948" s="21"/>
    </row>
    <row r="9949" spans="15:15" x14ac:dyDescent="0.25">
      <c r="O9949" s="21"/>
    </row>
    <row r="9950" spans="15:15" x14ac:dyDescent="0.25">
      <c r="O9950" s="21"/>
    </row>
    <row r="9951" spans="15:15" x14ac:dyDescent="0.25">
      <c r="O9951" s="21"/>
    </row>
    <row r="9952" spans="15:15" x14ac:dyDescent="0.25">
      <c r="O9952" s="21"/>
    </row>
    <row r="9953" spans="15:15" x14ac:dyDescent="0.25">
      <c r="O9953" s="21"/>
    </row>
    <row r="9954" spans="15:15" x14ac:dyDescent="0.25">
      <c r="O9954" s="21"/>
    </row>
    <row r="9955" spans="15:15" x14ac:dyDescent="0.25">
      <c r="O9955" s="21"/>
    </row>
    <row r="9956" spans="15:15" x14ac:dyDescent="0.25">
      <c r="O9956" s="21"/>
    </row>
    <row r="9957" spans="15:15" x14ac:dyDescent="0.25">
      <c r="O9957" s="21"/>
    </row>
    <row r="9958" spans="15:15" x14ac:dyDescent="0.25">
      <c r="O9958" s="21"/>
    </row>
    <row r="9959" spans="15:15" x14ac:dyDescent="0.25">
      <c r="O9959" s="21"/>
    </row>
    <row r="9960" spans="15:15" x14ac:dyDescent="0.25">
      <c r="O9960" s="21"/>
    </row>
    <row r="9961" spans="15:15" x14ac:dyDescent="0.25">
      <c r="O9961" s="21"/>
    </row>
    <row r="9962" spans="15:15" x14ac:dyDescent="0.25">
      <c r="O9962" s="21"/>
    </row>
    <row r="9963" spans="15:15" x14ac:dyDescent="0.25">
      <c r="O9963" s="21"/>
    </row>
    <row r="9964" spans="15:15" x14ac:dyDescent="0.25">
      <c r="O9964" s="21"/>
    </row>
    <row r="9965" spans="15:15" x14ac:dyDescent="0.25">
      <c r="O9965" s="21"/>
    </row>
    <row r="9966" spans="15:15" x14ac:dyDescent="0.25">
      <c r="O9966" s="21"/>
    </row>
    <row r="9967" spans="15:15" x14ac:dyDescent="0.25">
      <c r="O9967" s="21"/>
    </row>
    <row r="9968" spans="15:15" x14ac:dyDescent="0.25">
      <c r="O9968" s="21"/>
    </row>
    <row r="9969" spans="15:15" x14ac:dyDescent="0.25">
      <c r="O9969" s="21"/>
    </row>
    <row r="9970" spans="15:15" x14ac:dyDescent="0.25">
      <c r="O9970" s="21"/>
    </row>
    <row r="9971" spans="15:15" x14ac:dyDescent="0.25">
      <c r="O9971" s="21"/>
    </row>
    <row r="9972" spans="15:15" x14ac:dyDescent="0.25">
      <c r="O9972" s="21"/>
    </row>
    <row r="9973" spans="15:15" x14ac:dyDescent="0.25">
      <c r="O9973" s="21"/>
    </row>
    <row r="9974" spans="15:15" x14ac:dyDescent="0.25">
      <c r="O9974" s="21"/>
    </row>
    <row r="9975" spans="15:15" x14ac:dyDescent="0.25">
      <c r="O9975" s="21"/>
    </row>
    <row r="9976" spans="15:15" x14ac:dyDescent="0.25">
      <c r="O9976" s="21"/>
    </row>
    <row r="9977" spans="15:15" x14ac:dyDescent="0.25">
      <c r="O9977" s="21"/>
    </row>
    <row r="9978" spans="15:15" x14ac:dyDescent="0.25">
      <c r="O9978" s="21"/>
    </row>
    <row r="9979" spans="15:15" x14ac:dyDescent="0.25">
      <c r="O9979" s="21"/>
    </row>
    <row r="9980" spans="15:15" x14ac:dyDescent="0.25">
      <c r="O9980" s="21"/>
    </row>
    <row r="9981" spans="15:15" x14ac:dyDescent="0.25">
      <c r="O9981" s="21"/>
    </row>
    <row r="9982" spans="15:15" x14ac:dyDescent="0.25">
      <c r="O9982" s="21"/>
    </row>
    <row r="9983" spans="15:15" x14ac:dyDescent="0.25">
      <c r="O9983" s="21"/>
    </row>
    <row r="9984" spans="15:15" x14ac:dyDescent="0.25">
      <c r="O9984" s="21"/>
    </row>
    <row r="9985" spans="15:15" x14ac:dyDescent="0.25">
      <c r="O9985" s="21"/>
    </row>
    <row r="9986" spans="15:15" x14ac:dyDescent="0.25">
      <c r="O9986" s="21"/>
    </row>
    <row r="9987" spans="15:15" x14ac:dyDescent="0.25">
      <c r="O9987" s="21"/>
    </row>
    <row r="9988" spans="15:15" x14ac:dyDescent="0.25">
      <c r="O9988" s="21"/>
    </row>
    <row r="9989" spans="15:15" x14ac:dyDescent="0.25">
      <c r="O9989" s="21"/>
    </row>
    <row r="9990" spans="15:15" x14ac:dyDescent="0.25">
      <c r="O9990" s="21"/>
    </row>
    <row r="9991" spans="15:15" x14ac:dyDescent="0.25">
      <c r="O9991" s="21"/>
    </row>
    <row r="9992" spans="15:15" x14ac:dyDescent="0.25">
      <c r="O9992" s="21"/>
    </row>
    <row r="9993" spans="15:15" x14ac:dyDescent="0.25">
      <c r="O9993" s="21"/>
    </row>
    <row r="9994" spans="15:15" x14ac:dyDescent="0.25">
      <c r="O9994" s="21"/>
    </row>
    <row r="9995" spans="15:15" x14ac:dyDescent="0.25">
      <c r="O9995" s="21"/>
    </row>
    <row r="9996" spans="15:15" x14ac:dyDescent="0.25">
      <c r="O9996" s="21"/>
    </row>
    <row r="9997" spans="15:15" x14ac:dyDescent="0.25">
      <c r="O9997" s="21"/>
    </row>
    <row r="9998" spans="15:15" x14ac:dyDescent="0.25">
      <c r="O9998" s="21"/>
    </row>
    <row r="9999" spans="15:15" x14ac:dyDescent="0.25">
      <c r="O9999" s="21"/>
    </row>
    <row r="10000" spans="15:15" x14ac:dyDescent="0.25">
      <c r="O10000" s="21"/>
    </row>
    <row r="10001" spans="15:15" x14ac:dyDescent="0.25">
      <c r="O10001" s="21"/>
    </row>
    <row r="10002" spans="15:15" x14ac:dyDescent="0.25">
      <c r="O10002" s="21"/>
    </row>
    <row r="10003" spans="15:15" x14ac:dyDescent="0.25">
      <c r="O10003" s="21"/>
    </row>
    <row r="10004" spans="15:15" x14ac:dyDescent="0.25">
      <c r="O10004" s="21"/>
    </row>
  </sheetData>
  <phoneticPr fontId="15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E614D-FF3C-44E0-887B-DAA5A1CF0510}">
  <sheetPr codeName="Sheet11"/>
  <dimension ref="B1:K35"/>
  <sheetViews>
    <sheetView topLeftCell="A28" zoomScale="72" workbookViewId="0">
      <selection activeCell="D30" sqref="D30"/>
    </sheetView>
  </sheetViews>
  <sheetFormatPr defaultRowHeight="12.5" x14ac:dyDescent="0.25"/>
  <cols>
    <col min="1" max="1" width="20.08984375" customWidth="1"/>
    <col min="6" max="11" width="8.7265625" style="65"/>
  </cols>
  <sheetData>
    <row r="1" spans="6:11" x14ac:dyDescent="0.25">
      <c r="F1"/>
      <c r="G1"/>
      <c r="H1"/>
      <c r="I1"/>
      <c r="J1"/>
      <c r="K1"/>
    </row>
    <row r="2" spans="6:11" x14ac:dyDescent="0.25">
      <c r="F2"/>
      <c r="G2"/>
      <c r="H2"/>
      <c r="I2"/>
      <c r="J2"/>
      <c r="K2"/>
    </row>
    <row r="3" spans="6:11" x14ac:dyDescent="0.25">
      <c r="F3"/>
      <c r="G3"/>
      <c r="H3"/>
      <c r="I3"/>
      <c r="J3"/>
      <c r="K3"/>
    </row>
    <row r="4" spans="6:11" x14ac:dyDescent="0.25">
      <c r="F4"/>
      <c r="G4"/>
      <c r="H4"/>
      <c r="I4"/>
      <c r="J4"/>
      <c r="K4"/>
    </row>
    <row r="5" spans="6:11" x14ac:dyDescent="0.25">
      <c r="F5"/>
      <c r="G5"/>
      <c r="H5"/>
      <c r="I5"/>
      <c r="J5"/>
      <c r="K5"/>
    </row>
    <row r="6" spans="6:11" x14ac:dyDescent="0.25">
      <c r="F6"/>
      <c r="G6"/>
      <c r="H6"/>
      <c r="I6"/>
      <c r="J6"/>
      <c r="K6"/>
    </row>
    <row r="7" spans="6:11" x14ac:dyDescent="0.25">
      <c r="F7"/>
      <c r="G7"/>
      <c r="H7"/>
      <c r="I7"/>
      <c r="J7"/>
      <c r="K7"/>
    </row>
    <row r="8" spans="6:11" x14ac:dyDescent="0.25">
      <c r="F8"/>
      <c r="G8"/>
      <c r="H8"/>
      <c r="I8"/>
      <c r="J8"/>
      <c r="K8"/>
    </row>
    <row r="9" spans="6:11" x14ac:dyDescent="0.25">
      <c r="F9"/>
      <c r="G9"/>
      <c r="H9"/>
      <c r="I9"/>
      <c r="J9"/>
      <c r="K9"/>
    </row>
    <row r="10" spans="6:11" x14ac:dyDescent="0.25">
      <c r="F10"/>
      <c r="G10"/>
      <c r="H10"/>
      <c r="I10"/>
      <c r="J10"/>
      <c r="K10"/>
    </row>
    <row r="11" spans="6:11" x14ac:dyDescent="0.25">
      <c r="F11"/>
      <c r="G11"/>
      <c r="H11"/>
      <c r="I11"/>
      <c r="J11"/>
      <c r="K11"/>
    </row>
    <row r="12" spans="6:11" x14ac:dyDescent="0.25">
      <c r="F12"/>
      <c r="G12"/>
      <c r="H12"/>
      <c r="I12"/>
      <c r="J12"/>
      <c r="K12"/>
    </row>
    <row r="13" spans="6:11" x14ac:dyDescent="0.25">
      <c r="F13"/>
      <c r="G13"/>
      <c r="H13"/>
      <c r="I13"/>
      <c r="J13"/>
      <c r="K13"/>
    </row>
    <row r="15" spans="6:11" ht="16" customHeight="1" x14ac:dyDescent="0.25"/>
    <row r="28" spans="2:4" ht="13" thickBot="1" x14ac:dyDescent="0.3"/>
    <row r="29" spans="2:4" ht="14.5" x14ac:dyDescent="0.35">
      <c r="B29" s="48" t="s">
        <v>129</v>
      </c>
      <c r="C29" s="49"/>
      <c r="D29" s="76" t="s">
        <v>232</v>
      </c>
    </row>
    <row r="30" spans="2:4" ht="14.5" x14ac:dyDescent="0.35">
      <c r="B30" s="51" t="s">
        <v>130</v>
      </c>
      <c r="C30" s="52" t="s">
        <v>131</v>
      </c>
      <c r="D30" s="53"/>
    </row>
    <row r="31" spans="2:4" ht="14.5" x14ac:dyDescent="0.35">
      <c r="B31" s="54">
        <v>12</v>
      </c>
      <c r="C31" s="52">
        <v>8</v>
      </c>
      <c r="D31" s="53"/>
    </row>
    <row r="32" spans="2:4" ht="14.5" x14ac:dyDescent="0.35">
      <c r="B32" s="54">
        <v>8</v>
      </c>
      <c r="C32" s="52">
        <v>8</v>
      </c>
      <c r="D32" s="53"/>
    </row>
    <row r="33" spans="2:4" ht="14.5" x14ac:dyDescent="0.35">
      <c r="B33" s="54">
        <v>10</v>
      </c>
      <c r="C33" s="52">
        <v>8</v>
      </c>
      <c r="D33" s="53"/>
    </row>
    <row r="34" spans="2:4" ht="14.5" x14ac:dyDescent="0.35">
      <c r="B34" s="54">
        <v>8</v>
      </c>
      <c r="C34" s="52">
        <v>8</v>
      </c>
      <c r="D34" s="53"/>
    </row>
    <row r="35" spans="2:4" ht="15" thickBot="1" x14ac:dyDescent="0.4">
      <c r="B35" s="55">
        <v>2</v>
      </c>
      <c r="C35" s="52">
        <v>8</v>
      </c>
      <c r="D35" s="57">
        <f>CHITEST(B31:B35,C31:C35)</f>
        <v>0.13588822540043324</v>
      </c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O10004"/>
  <sheetViews>
    <sheetView topLeftCell="A8" workbookViewId="0">
      <selection activeCell="F4" sqref="F4"/>
    </sheetView>
  </sheetViews>
  <sheetFormatPr defaultRowHeight="12.5" x14ac:dyDescent="0.25"/>
  <cols>
    <col min="3" max="3" width="9.81640625" customWidth="1"/>
    <col min="5" max="5" width="11.36328125" customWidth="1"/>
    <col min="13" max="13" width="29.453125" customWidth="1"/>
  </cols>
  <sheetData>
    <row r="2" spans="2:15" x14ac:dyDescent="0.25">
      <c r="B2" s="17" t="s">
        <v>28</v>
      </c>
      <c r="C2" s="17" t="s">
        <v>38</v>
      </c>
      <c r="D2" t="s">
        <v>0</v>
      </c>
      <c r="E2" t="s">
        <v>0</v>
      </c>
      <c r="F2" t="s">
        <v>1</v>
      </c>
      <c r="G2" t="s">
        <v>1</v>
      </c>
      <c r="H2" t="s">
        <v>2</v>
      </c>
      <c r="I2" t="s">
        <v>2</v>
      </c>
      <c r="J2" t="s">
        <v>3</v>
      </c>
      <c r="K2" t="s">
        <v>3</v>
      </c>
      <c r="M2" s="16" t="s">
        <v>32</v>
      </c>
    </row>
    <row r="3" spans="2:15" x14ac:dyDescent="0.25">
      <c r="M3" s="22">
        <f>AVERAGE(M5:M10004)</f>
        <v>1.8406798188547242</v>
      </c>
      <c r="N3" s="18" t="s">
        <v>34</v>
      </c>
      <c r="O3" s="19"/>
    </row>
    <row r="4" spans="2:15" x14ac:dyDescent="0.25">
      <c r="C4" t="s">
        <v>4</v>
      </c>
      <c r="D4">
        <f ca="1">RAND()</f>
        <v>9.3050889744733634E-2</v>
      </c>
      <c r="E4">
        <f t="shared" ref="E4:G19" ca="1" si="0">IF(D4&gt;0.5,1,0)</f>
        <v>0</v>
      </c>
      <c r="F4">
        <f t="shared" ref="F4:J4" ca="1" si="1">RAND()</f>
        <v>0.97000474755918487</v>
      </c>
      <c r="G4">
        <f t="shared" ca="1" si="0"/>
        <v>1</v>
      </c>
      <c r="H4">
        <f ca="1">RAND()</f>
        <v>0.33788642455869033</v>
      </c>
      <c r="I4">
        <f ca="1">IF(H4&gt;0.5,1,0)</f>
        <v>0</v>
      </c>
      <c r="J4">
        <f t="shared" ca="1" si="1"/>
        <v>0.70069631345867867</v>
      </c>
      <c r="K4">
        <f t="shared" ref="K4:K19" ca="1" si="2">IF(J4&gt;0.5,1,0)</f>
        <v>1</v>
      </c>
      <c r="M4" s="21">
        <v>1.2909944487358056</v>
      </c>
    </row>
    <row r="5" spans="2:15" x14ac:dyDescent="0.25">
      <c r="C5" t="s">
        <v>5</v>
      </c>
      <c r="D5">
        <f t="shared" ref="D5:J19" ca="1" si="3">RAND()</f>
        <v>0.64229347859797437</v>
      </c>
      <c r="E5">
        <f t="shared" ca="1" si="0"/>
        <v>1</v>
      </c>
      <c r="F5">
        <f t="shared" ca="1" si="3"/>
        <v>0.49961880075983678</v>
      </c>
      <c r="G5">
        <f t="shared" ca="1" si="0"/>
        <v>0</v>
      </c>
      <c r="H5">
        <f t="shared" ca="1" si="3"/>
        <v>0.36956377173318067</v>
      </c>
      <c r="I5">
        <f t="shared" ref="I5:I19" ca="1" si="4">IF(H5&gt;0.5,1,0)</f>
        <v>0</v>
      </c>
      <c r="J5">
        <f t="shared" ca="1" si="3"/>
        <v>0.86418761472709815</v>
      </c>
      <c r="K5">
        <f t="shared" ca="1" si="2"/>
        <v>1</v>
      </c>
      <c r="M5" s="21">
        <v>2.2173557826083452</v>
      </c>
    </row>
    <row r="6" spans="2:15" x14ac:dyDescent="0.25">
      <c r="C6" t="s">
        <v>6</v>
      </c>
      <c r="D6">
        <f t="shared" ca="1" si="3"/>
        <v>0.63337273623303736</v>
      </c>
      <c r="E6">
        <f t="shared" ca="1" si="0"/>
        <v>1</v>
      </c>
      <c r="F6">
        <f t="shared" ca="1" si="3"/>
        <v>4.2667876015035966E-2</v>
      </c>
      <c r="G6">
        <f t="shared" ca="1" si="0"/>
        <v>0</v>
      </c>
      <c r="H6">
        <f t="shared" ca="1" si="3"/>
        <v>0.5612731901985446</v>
      </c>
      <c r="I6">
        <f t="shared" ca="1" si="4"/>
        <v>1</v>
      </c>
      <c r="J6">
        <f t="shared" ca="1" si="3"/>
        <v>0.38543299626192074</v>
      </c>
      <c r="K6">
        <f t="shared" ca="1" si="2"/>
        <v>0</v>
      </c>
      <c r="M6" s="21">
        <v>0.9574271077563381</v>
      </c>
    </row>
    <row r="7" spans="2:15" x14ac:dyDescent="0.25">
      <c r="C7" t="s">
        <v>7</v>
      </c>
      <c r="D7">
        <f t="shared" ca="1" si="3"/>
        <v>0.41111560317786466</v>
      </c>
      <c r="E7">
        <f t="shared" ca="1" si="0"/>
        <v>0</v>
      </c>
      <c r="F7">
        <f t="shared" ca="1" si="3"/>
        <v>0.8076939020222047</v>
      </c>
      <c r="G7">
        <f t="shared" ca="1" si="0"/>
        <v>1</v>
      </c>
      <c r="H7">
        <f t="shared" ca="1" si="3"/>
        <v>0.56159810419548761</v>
      </c>
      <c r="I7">
        <f t="shared" ca="1" si="4"/>
        <v>1</v>
      </c>
      <c r="J7">
        <f t="shared" ca="1" si="3"/>
        <v>0.73420097688561481</v>
      </c>
      <c r="K7">
        <f t="shared" ca="1" si="2"/>
        <v>1</v>
      </c>
      <c r="M7" s="21">
        <v>1.707825127659933</v>
      </c>
    </row>
    <row r="8" spans="2:15" x14ac:dyDescent="0.25">
      <c r="C8" t="s">
        <v>8</v>
      </c>
      <c r="D8">
        <f t="shared" ca="1" si="3"/>
        <v>0.92338565496579916</v>
      </c>
      <c r="E8">
        <f t="shared" ca="1" si="0"/>
        <v>1</v>
      </c>
      <c r="F8">
        <f t="shared" ca="1" si="3"/>
        <v>0.90711323857912796</v>
      </c>
      <c r="G8">
        <f t="shared" ca="1" si="0"/>
        <v>1</v>
      </c>
      <c r="H8">
        <f t="shared" ca="1" si="3"/>
        <v>7.1750493737086085E-2</v>
      </c>
      <c r="I8">
        <f t="shared" ca="1" si="4"/>
        <v>0</v>
      </c>
      <c r="J8">
        <f t="shared" ca="1" si="3"/>
        <v>0.24717822057328975</v>
      </c>
      <c r="K8">
        <f t="shared" ca="1" si="2"/>
        <v>0</v>
      </c>
      <c r="M8" s="21">
        <v>0.5</v>
      </c>
    </row>
    <row r="9" spans="2:15" x14ac:dyDescent="0.25">
      <c r="C9" t="s">
        <v>9</v>
      </c>
      <c r="D9">
        <f t="shared" ca="1" si="3"/>
        <v>6.5308788001567808E-2</v>
      </c>
      <c r="E9">
        <f t="shared" ca="1" si="0"/>
        <v>0</v>
      </c>
      <c r="F9">
        <f t="shared" ca="1" si="3"/>
        <v>0.93181744408063238</v>
      </c>
      <c r="G9">
        <f t="shared" ca="1" si="0"/>
        <v>1</v>
      </c>
      <c r="H9">
        <f t="shared" ca="1" si="3"/>
        <v>0.96311963046113946</v>
      </c>
      <c r="I9">
        <f t="shared" ca="1" si="4"/>
        <v>1</v>
      </c>
      <c r="J9">
        <f t="shared" ca="1" si="3"/>
        <v>0.48701515637895487</v>
      </c>
      <c r="K9">
        <f t="shared" ca="1" si="2"/>
        <v>0</v>
      </c>
      <c r="M9" s="21">
        <v>0.57735026918962573</v>
      </c>
    </row>
    <row r="10" spans="2:15" x14ac:dyDescent="0.25">
      <c r="C10" t="s">
        <v>10</v>
      </c>
      <c r="D10">
        <f t="shared" ca="1" si="3"/>
        <v>0.46674727187998244</v>
      </c>
      <c r="E10">
        <f t="shared" ca="1" si="0"/>
        <v>0</v>
      </c>
      <c r="F10">
        <f t="shared" ca="1" si="3"/>
        <v>0.64997186048851097</v>
      </c>
      <c r="G10">
        <f t="shared" ca="1" si="0"/>
        <v>1</v>
      </c>
      <c r="H10">
        <f t="shared" ca="1" si="3"/>
        <v>0.95718881626003693</v>
      </c>
      <c r="I10">
        <f t="shared" ca="1" si="4"/>
        <v>1</v>
      </c>
      <c r="J10">
        <f t="shared" ca="1" si="3"/>
        <v>1.5951433394455261E-2</v>
      </c>
      <c r="K10">
        <f t="shared" ca="1" si="2"/>
        <v>0</v>
      </c>
      <c r="M10" s="21">
        <v>1.7320508075688772</v>
      </c>
    </row>
    <row r="11" spans="2:15" x14ac:dyDescent="0.25">
      <c r="C11" t="s">
        <v>11</v>
      </c>
      <c r="D11">
        <f t="shared" ca="1" si="3"/>
        <v>0.17272103156096197</v>
      </c>
      <c r="E11">
        <f t="shared" ca="1" si="0"/>
        <v>0</v>
      </c>
      <c r="F11">
        <f t="shared" ca="1" si="3"/>
        <v>0.56306012586185372</v>
      </c>
      <c r="G11">
        <f t="shared" ca="1" si="0"/>
        <v>1</v>
      </c>
      <c r="H11">
        <f t="shared" ca="1" si="3"/>
        <v>0.45051153900857077</v>
      </c>
      <c r="I11">
        <f t="shared" ca="1" si="4"/>
        <v>0</v>
      </c>
      <c r="J11">
        <f t="shared" ca="1" si="3"/>
        <v>0.52879276603633285</v>
      </c>
      <c r="K11">
        <f t="shared" ca="1" si="2"/>
        <v>1</v>
      </c>
      <c r="M11" s="21">
        <v>1.2583057392117916</v>
      </c>
    </row>
    <row r="12" spans="2:15" x14ac:dyDescent="0.25">
      <c r="C12" t="s">
        <v>12</v>
      </c>
      <c r="D12">
        <f t="shared" ca="1" si="3"/>
        <v>0.68692361165133464</v>
      </c>
      <c r="E12">
        <f t="shared" ca="1" si="0"/>
        <v>1</v>
      </c>
      <c r="F12">
        <f t="shared" ca="1" si="3"/>
        <v>0.43798678969879934</v>
      </c>
      <c r="G12">
        <f t="shared" ca="1" si="0"/>
        <v>0</v>
      </c>
      <c r="H12">
        <f t="shared" ca="1" si="3"/>
        <v>0.93475616955346275</v>
      </c>
      <c r="I12">
        <f t="shared" ca="1" si="4"/>
        <v>1</v>
      </c>
      <c r="J12">
        <f t="shared" ca="1" si="3"/>
        <v>1.4263907078070126E-2</v>
      </c>
      <c r="K12">
        <f t="shared" ca="1" si="2"/>
        <v>0</v>
      </c>
      <c r="M12" s="21">
        <v>1.8257418583505538</v>
      </c>
    </row>
    <row r="13" spans="2:15" x14ac:dyDescent="0.25">
      <c r="C13" t="s">
        <v>13</v>
      </c>
      <c r="D13">
        <f t="shared" ca="1" si="3"/>
        <v>0.96061127042950067</v>
      </c>
      <c r="E13">
        <f t="shared" ca="1" si="0"/>
        <v>1</v>
      </c>
      <c r="F13">
        <f t="shared" ca="1" si="3"/>
        <v>0.39641472229270858</v>
      </c>
      <c r="G13">
        <f t="shared" ca="1" si="0"/>
        <v>0</v>
      </c>
      <c r="H13">
        <f t="shared" ca="1" si="3"/>
        <v>0.70872136399358854</v>
      </c>
      <c r="I13">
        <f t="shared" ca="1" si="4"/>
        <v>1</v>
      </c>
      <c r="J13">
        <f t="shared" ca="1" si="3"/>
        <v>0.89707620989238324</v>
      </c>
      <c r="K13">
        <f t="shared" ca="1" si="2"/>
        <v>1</v>
      </c>
      <c r="M13" s="21">
        <v>1.8257418583505538</v>
      </c>
    </row>
    <row r="14" spans="2:15" x14ac:dyDescent="0.25">
      <c r="C14" t="s">
        <v>14</v>
      </c>
      <c r="D14">
        <f t="shared" ca="1" si="3"/>
        <v>0.70197821650381886</v>
      </c>
      <c r="E14">
        <f t="shared" ca="1" si="0"/>
        <v>1</v>
      </c>
      <c r="F14">
        <f t="shared" ca="1" si="3"/>
        <v>0.9814864094647493</v>
      </c>
      <c r="G14">
        <f t="shared" ca="1" si="0"/>
        <v>1</v>
      </c>
      <c r="H14">
        <f t="shared" ca="1" si="3"/>
        <v>0.98317983934098574</v>
      </c>
      <c r="I14">
        <f t="shared" ca="1" si="4"/>
        <v>1</v>
      </c>
      <c r="J14">
        <f t="shared" ca="1" si="3"/>
        <v>0.17413497870560468</v>
      </c>
      <c r="K14">
        <f t="shared" ca="1" si="2"/>
        <v>0</v>
      </c>
      <c r="M14" s="21">
        <v>0.9574271077563381</v>
      </c>
    </row>
    <row r="15" spans="2:15" x14ac:dyDescent="0.25">
      <c r="C15" t="s">
        <v>15</v>
      </c>
      <c r="D15">
        <f t="shared" ca="1" si="3"/>
        <v>0.26577099938760129</v>
      </c>
      <c r="E15">
        <f t="shared" ca="1" si="0"/>
        <v>0</v>
      </c>
      <c r="F15">
        <f t="shared" ca="1" si="3"/>
        <v>0.8501168900287932</v>
      </c>
      <c r="G15">
        <f t="shared" ca="1" si="0"/>
        <v>1</v>
      </c>
      <c r="H15">
        <f t="shared" ca="1" si="3"/>
        <v>0.60677357161986722</v>
      </c>
      <c r="I15">
        <f t="shared" ca="1" si="4"/>
        <v>1</v>
      </c>
      <c r="J15">
        <f t="shared" ca="1" si="3"/>
        <v>0.48739472770709324</v>
      </c>
      <c r="K15">
        <f t="shared" ca="1" si="2"/>
        <v>0</v>
      </c>
      <c r="M15" s="21">
        <v>1.2583057392117916</v>
      </c>
    </row>
    <row r="16" spans="2:15" x14ac:dyDescent="0.25">
      <c r="C16" t="s">
        <v>16</v>
      </c>
      <c r="D16">
        <f t="shared" ca="1" si="3"/>
        <v>0.27899455779561755</v>
      </c>
      <c r="E16">
        <f t="shared" ca="1" si="0"/>
        <v>0</v>
      </c>
      <c r="F16">
        <f t="shared" ca="1" si="3"/>
        <v>0.53031949061428751</v>
      </c>
      <c r="G16">
        <f t="shared" ca="1" si="0"/>
        <v>1</v>
      </c>
      <c r="H16">
        <f t="shared" ca="1" si="3"/>
        <v>0.51541329652397438</v>
      </c>
      <c r="I16">
        <f t="shared" ca="1" si="4"/>
        <v>1</v>
      </c>
      <c r="J16">
        <f t="shared" ca="1" si="3"/>
        <v>0.58592771314158321</v>
      </c>
      <c r="K16">
        <f t="shared" ca="1" si="2"/>
        <v>1</v>
      </c>
      <c r="M16" s="21">
        <v>1.1547005383792515</v>
      </c>
    </row>
    <row r="17" spans="2:13" x14ac:dyDescent="0.25">
      <c r="C17" t="s">
        <v>17</v>
      </c>
      <c r="D17">
        <f t="shared" ca="1" si="3"/>
        <v>0.23752214454012466</v>
      </c>
      <c r="E17">
        <f t="shared" ca="1" si="0"/>
        <v>0</v>
      </c>
      <c r="F17">
        <f t="shared" ca="1" si="3"/>
        <v>0.45202093645651209</v>
      </c>
      <c r="G17">
        <f t="shared" ca="1" si="0"/>
        <v>0</v>
      </c>
      <c r="H17">
        <f t="shared" ca="1" si="3"/>
        <v>0.31312388341355568</v>
      </c>
      <c r="I17">
        <f t="shared" ca="1" si="4"/>
        <v>0</v>
      </c>
      <c r="J17">
        <f t="shared" ca="1" si="3"/>
        <v>0.70291583257695989</v>
      </c>
      <c r="K17">
        <f t="shared" ca="1" si="2"/>
        <v>1</v>
      </c>
      <c r="M17" s="21">
        <v>2.5</v>
      </c>
    </row>
    <row r="18" spans="2:13" x14ac:dyDescent="0.25">
      <c r="C18" t="s">
        <v>18</v>
      </c>
      <c r="D18">
        <f t="shared" ca="1" si="3"/>
        <v>0.14322348420682063</v>
      </c>
      <c r="E18">
        <f t="shared" ca="1" si="0"/>
        <v>0</v>
      </c>
      <c r="F18">
        <f t="shared" ca="1" si="3"/>
        <v>0.73854959053975733</v>
      </c>
      <c r="G18">
        <f t="shared" ca="1" si="0"/>
        <v>1</v>
      </c>
      <c r="H18">
        <f t="shared" ca="1" si="3"/>
        <v>0.18193271159926983</v>
      </c>
      <c r="I18">
        <f t="shared" ca="1" si="4"/>
        <v>0</v>
      </c>
      <c r="J18">
        <f t="shared" ca="1" si="3"/>
        <v>0.15480134848468119</v>
      </c>
      <c r="K18">
        <f t="shared" ca="1" si="2"/>
        <v>0</v>
      </c>
      <c r="M18" s="21">
        <v>0.9574271077563381</v>
      </c>
    </row>
    <row r="19" spans="2:13" x14ac:dyDescent="0.25">
      <c r="C19" t="s">
        <v>19</v>
      </c>
      <c r="D19">
        <f t="shared" ca="1" si="3"/>
        <v>0.26281513413902458</v>
      </c>
      <c r="E19">
        <f t="shared" ca="1" si="0"/>
        <v>0</v>
      </c>
      <c r="F19">
        <f t="shared" ca="1" si="3"/>
        <v>0.94906103575287126</v>
      </c>
      <c r="G19">
        <f t="shared" ca="1" si="0"/>
        <v>1</v>
      </c>
      <c r="H19">
        <f t="shared" ca="1" si="3"/>
        <v>0.35886994202818268</v>
      </c>
      <c r="I19">
        <f t="shared" ca="1" si="4"/>
        <v>0</v>
      </c>
      <c r="J19">
        <f t="shared" ca="1" si="3"/>
        <v>0.44172029891999487</v>
      </c>
      <c r="K19">
        <f t="shared" ca="1" si="2"/>
        <v>0</v>
      </c>
      <c r="M19" s="21">
        <v>1.707825127659933</v>
      </c>
    </row>
    <row r="20" spans="2:13" x14ac:dyDescent="0.25">
      <c r="L20" s="18" t="s">
        <v>33</v>
      </c>
      <c r="M20" s="21">
        <v>3.1622776601683795</v>
      </c>
    </row>
    <row r="21" spans="2:13" x14ac:dyDescent="0.25">
      <c r="D21" s="1"/>
      <c r="E21" s="1">
        <f ca="1">SUM(E4:E19)</f>
        <v>6</v>
      </c>
      <c r="F21" s="1"/>
      <c r="G21" s="1">
        <f ca="1">SUM(G4:G19)</f>
        <v>11</v>
      </c>
      <c r="H21" s="1"/>
      <c r="I21" s="1">
        <f ca="1">SUM(I4:I19)</f>
        <v>9</v>
      </c>
      <c r="J21" s="1"/>
      <c r="K21" s="1">
        <f ca="1">SUM(K4:K19)</f>
        <v>7</v>
      </c>
      <c r="L21" s="23">
        <f ca="1">STDEV(E21:K21)</f>
        <v>2.2173557826083452</v>
      </c>
      <c r="M21" s="21">
        <v>1.9148542155126762</v>
      </c>
    </row>
    <row r="22" spans="2:13" x14ac:dyDescent="0.25">
      <c r="K22" s="16" t="s">
        <v>37</v>
      </c>
      <c r="M22" s="21">
        <v>1.4142135623730951</v>
      </c>
    </row>
    <row r="23" spans="2:13" ht="13" thickBot="1" x14ac:dyDescent="0.3">
      <c r="K23" s="16" t="s">
        <v>36</v>
      </c>
      <c r="M23" s="21">
        <v>1.707825127659933</v>
      </c>
    </row>
    <row r="24" spans="2:13" x14ac:dyDescent="0.25">
      <c r="B24" s="17" t="s">
        <v>27</v>
      </c>
      <c r="C24" s="24" t="s">
        <v>20</v>
      </c>
      <c r="D24" s="2"/>
      <c r="E24" s="3"/>
      <c r="K24" s="16" t="s">
        <v>110</v>
      </c>
      <c r="M24" s="21">
        <v>2.1602468994692869</v>
      </c>
    </row>
    <row r="25" spans="2:13" x14ac:dyDescent="0.25">
      <c r="C25" s="4"/>
      <c r="D25" s="5" t="s">
        <v>21</v>
      </c>
      <c r="E25" s="6" t="s">
        <v>22</v>
      </c>
      <c r="F25" s="16" t="s">
        <v>35</v>
      </c>
      <c r="M25" s="21">
        <v>0.5</v>
      </c>
    </row>
    <row r="26" spans="2:13" ht="13" thickBot="1" x14ac:dyDescent="0.3">
      <c r="C26" s="4" t="s">
        <v>23</v>
      </c>
      <c r="D26" s="14">
        <v>12</v>
      </c>
      <c r="E26" s="15">
        <v>8</v>
      </c>
      <c r="F26">
        <f>(D26-E26)^2</f>
        <v>16</v>
      </c>
      <c r="I26" s="16"/>
      <c r="M26" s="21">
        <v>2.0615528128088303</v>
      </c>
    </row>
    <row r="27" spans="2:13" ht="13" thickBot="1" x14ac:dyDescent="0.3">
      <c r="C27" s="4" t="s">
        <v>24</v>
      </c>
      <c r="D27" s="14">
        <v>10</v>
      </c>
      <c r="E27" s="15">
        <v>8</v>
      </c>
      <c r="F27">
        <f t="shared" ref="F27:F29" si="5">(D27-E27)^2</f>
        <v>4</v>
      </c>
      <c r="M27" s="21">
        <v>3.2015621187164243</v>
      </c>
    </row>
    <row r="28" spans="2:13" ht="13" thickBot="1" x14ac:dyDescent="0.3">
      <c r="C28" s="4" t="s">
        <v>25</v>
      </c>
      <c r="D28" s="14">
        <v>7</v>
      </c>
      <c r="E28" s="15">
        <v>8</v>
      </c>
      <c r="F28">
        <f t="shared" si="5"/>
        <v>1</v>
      </c>
      <c r="M28" s="21">
        <v>1.8929694486000912</v>
      </c>
    </row>
    <row r="29" spans="2:13" ht="13" thickBot="1" x14ac:dyDescent="0.3">
      <c r="C29" s="4" t="s">
        <v>26</v>
      </c>
      <c r="D29" s="14">
        <v>5</v>
      </c>
      <c r="E29" s="15">
        <v>8</v>
      </c>
      <c r="F29">
        <f t="shared" si="5"/>
        <v>9</v>
      </c>
      <c r="I29" s="25"/>
      <c r="M29" s="21">
        <v>0.9574271077563381</v>
      </c>
    </row>
    <row r="30" spans="2:13" x14ac:dyDescent="0.25">
      <c r="C30" s="4"/>
      <c r="D30" s="5"/>
      <c r="E30" s="6"/>
      <c r="M30" s="21">
        <v>1.7320508075688772</v>
      </c>
    </row>
    <row r="31" spans="2:13" ht="13" thickBot="1" x14ac:dyDescent="0.3">
      <c r="C31" s="7"/>
      <c r="D31" s="8"/>
      <c r="E31" s="9"/>
      <c r="F31">
        <f>SUM(F26:F29)/8</f>
        <v>3.75</v>
      </c>
      <c r="M31" s="21">
        <v>1.8929694486000912</v>
      </c>
    </row>
    <row r="32" spans="2:13" x14ac:dyDescent="0.25">
      <c r="E32" s="18" t="s">
        <v>30</v>
      </c>
      <c r="F32" s="19">
        <f>CHIDIST(F31,3)</f>
        <v>0.2897557811933833</v>
      </c>
      <c r="G32" s="16" t="s">
        <v>31</v>
      </c>
      <c r="M32" s="21">
        <v>1.2583057392117916</v>
      </c>
    </row>
    <row r="33" spans="5:13" x14ac:dyDescent="0.25">
      <c r="M33" s="21">
        <v>1.5</v>
      </c>
    </row>
    <row r="34" spans="5:13" x14ac:dyDescent="0.25">
      <c r="E34" s="18" t="s">
        <v>29</v>
      </c>
      <c r="F34" s="19">
        <f>CHITEST(D26:D29,E26:E29)</f>
        <v>0.2897557811933833</v>
      </c>
      <c r="M34" s="21">
        <v>1.7320508075688772</v>
      </c>
    </row>
    <row r="35" spans="5:13" x14ac:dyDescent="0.25">
      <c r="M35" s="21">
        <v>2.6299556396765835</v>
      </c>
    </row>
    <row r="36" spans="5:13" x14ac:dyDescent="0.25">
      <c r="M36" s="21">
        <v>1.6329931618554521</v>
      </c>
    </row>
    <row r="37" spans="5:13" x14ac:dyDescent="0.25">
      <c r="M37" s="21">
        <v>1</v>
      </c>
    </row>
    <row r="38" spans="5:13" x14ac:dyDescent="0.25">
      <c r="M38" s="21">
        <v>2.3804761428476167</v>
      </c>
    </row>
    <row r="39" spans="5:13" x14ac:dyDescent="0.25">
      <c r="M39" s="21">
        <v>2.5</v>
      </c>
    </row>
    <row r="40" spans="5:13" x14ac:dyDescent="0.25">
      <c r="M40" s="21">
        <v>1.2583057392117916</v>
      </c>
    </row>
    <row r="41" spans="5:13" x14ac:dyDescent="0.25">
      <c r="M41" s="21">
        <v>2.5819888974716112</v>
      </c>
    </row>
    <row r="42" spans="5:13" x14ac:dyDescent="0.25">
      <c r="M42" s="21">
        <v>2.753785273643051</v>
      </c>
    </row>
    <row r="43" spans="5:13" x14ac:dyDescent="0.25">
      <c r="M43" s="21">
        <v>1.707825127659933</v>
      </c>
    </row>
    <row r="44" spans="5:13" x14ac:dyDescent="0.25">
      <c r="M44" s="21">
        <v>0.9574271077563381</v>
      </c>
    </row>
    <row r="45" spans="5:13" x14ac:dyDescent="0.25">
      <c r="M45" s="21">
        <v>0.9574271077563381</v>
      </c>
    </row>
    <row r="46" spans="5:13" x14ac:dyDescent="0.25">
      <c r="M46" s="21">
        <v>3.4641016151377544</v>
      </c>
    </row>
    <row r="47" spans="5:13" x14ac:dyDescent="0.25">
      <c r="M47" s="21">
        <v>1.2909944487358056</v>
      </c>
    </row>
    <row r="48" spans="5:13" x14ac:dyDescent="0.25">
      <c r="M48" s="21">
        <v>0.9574271077563381</v>
      </c>
    </row>
    <row r="49" spans="13:13" x14ac:dyDescent="0.25">
      <c r="M49" s="21">
        <v>2.1602468994692869</v>
      </c>
    </row>
    <row r="50" spans="13:13" x14ac:dyDescent="0.25">
      <c r="M50" s="21">
        <v>1.8257418583505538</v>
      </c>
    </row>
    <row r="51" spans="13:13" x14ac:dyDescent="0.25">
      <c r="M51" s="21">
        <v>1.707825127659933</v>
      </c>
    </row>
    <row r="52" spans="13:13" x14ac:dyDescent="0.25">
      <c r="M52" s="21">
        <v>1.707825127659933</v>
      </c>
    </row>
    <row r="53" spans="13:13" x14ac:dyDescent="0.25">
      <c r="M53" s="21">
        <v>1.8257418583505538</v>
      </c>
    </row>
    <row r="54" spans="13:13" x14ac:dyDescent="0.25">
      <c r="M54" s="21">
        <v>3</v>
      </c>
    </row>
    <row r="55" spans="13:13" x14ac:dyDescent="0.25">
      <c r="M55" s="21">
        <v>1.8929694486000912</v>
      </c>
    </row>
    <row r="56" spans="13:13" x14ac:dyDescent="0.25">
      <c r="M56" s="21">
        <v>2.0615528128088303</v>
      </c>
    </row>
    <row r="57" spans="13:13" x14ac:dyDescent="0.25">
      <c r="M57" s="21">
        <v>1.707825127659933</v>
      </c>
    </row>
    <row r="58" spans="13:13" x14ac:dyDescent="0.25">
      <c r="M58" s="21">
        <v>1.2909944487358056</v>
      </c>
    </row>
    <row r="59" spans="13:13" x14ac:dyDescent="0.25">
      <c r="M59" s="21">
        <v>1.9148542155126762</v>
      </c>
    </row>
    <row r="60" spans="13:13" x14ac:dyDescent="0.25">
      <c r="M60" s="21">
        <v>0.57735026918962573</v>
      </c>
    </row>
    <row r="61" spans="13:13" x14ac:dyDescent="0.25">
      <c r="M61" s="21">
        <v>1.5</v>
      </c>
    </row>
    <row r="62" spans="13:13" x14ac:dyDescent="0.25">
      <c r="M62" s="21">
        <v>2.0615528128088303</v>
      </c>
    </row>
    <row r="63" spans="13:13" x14ac:dyDescent="0.25">
      <c r="M63" s="21">
        <v>1.5</v>
      </c>
    </row>
    <row r="64" spans="13:13" x14ac:dyDescent="0.25">
      <c r="M64" s="21">
        <v>1.7320508075688772</v>
      </c>
    </row>
    <row r="65" spans="13:13" x14ac:dyDescent="0.25">
      <c r="M65" s="21">
        <v>2.70801280154532</v>
      </c>
    </row>
    <row r="66" spans="13:13" x14ac:dyDescent="0.25">
      <c r="M66" s="21">
        <v>3.7416573867739413</v>
      </c>
    </row>
    <row r="67" spans="13:13" x14ac:dyDescent="0.25">
      <c r="M67" s="21">
        <v>2.1602468994692869</v>
      </c>
    </row>
    <row r="68" spans="13:13" x14ac:dyDescent="0.25">
      <c r="M68" s="21">
        <v>1.5</v>
      </c>
    </row>
    <row r="69" spans="13:13" x14ac:dyDescent="0.25">
      <c r="M69" s="21">
        <v>1.707825127659933</v>
      </c>
    </row>
    <row r="70" spans="13:13" x14ac:dyDescent="0.25">
      <c r="M70" s="21">
        <v>1.1547005383792515</v>
      </c>
    </row>
    <row r="71" spans="13:13" x14ac:dyDescent="0.25">
      <c r="M71" s="21">
        <v>2.4494897427831779</v>
      </c>
    </row>
    <row r="72" spans="13:13" x14ac:dyDescent="0.25">
      <c r="M72" s="21">
        <v>1.1547005383792515</v>
      </c>
    </row>
    <row r="73" spans="13:13" x14ac:dyDescent="0.25">
      <c r="M73" s="21">
        <v>1.9148542155126762</v>
      </c>
    </row>
    <row r="74" spans="13:13" x14ac:dyDescent="0.25">
      <c r="M74" s="21">
        <v>1.707825127659933</v>
      </c>
    </row>
    <row r="75" spans="13:13" x14ac:dyDescent="0.25">
      <c r="M75" s="21">
        <v>2.1602468994692869</v>
      </c>
    </row>
    <row r="76" spans="13:13" x14ac:dyDescent="0.25">
      <c r="M76" s="21">
        <v>2.0615528128088303</v>
      </c>
    </row>
    <row r="77" spans="13:13" x14ac:dyDescent="0.25">
      <c r="M77" s="21">
        <v>0</v>
      </c>
    </row>
    <row r="78" spans="13:13" x14ac:dyDescent="0.25">
      <c r="M78" s="21">
        <v>1.2909944487358056</v>
      </c>
    </row>
    <row r="79" spans="13:13" x14ac:dyDescent="0.25">
      <c r="M79" s="21">
        <v>1.4142135623730951</v>
      </c>
    </row>
    <row r="80" spans="13:13" x14ac:dyDescent="0.25">
      <c r="M80" s="21">
        <v>1.8929694486000912</v>
      </c>
    </row>
    <row r="81" spans="13:13" x14ac:dyDescent="0.25">
      <c r="M81" s="21">
        <v>2.5</v>
      </c>
    </row>
    <row r="82" spans="13:13" x14ac:dyDescent="0.25">
      <c r="M82" s="21">
        <v>1.707825127659933</v>
      </c>
    </row>
    <row r="83" spans="13:13" x14ac:dyDescent="0.25">
      <c r="M83" s="21">
        <v>1.8929694486000912</v>
      </c>
    </row>
    <row r="84" spans="13:13" x14ac:dyDescent="0.25">
      <c r="M84" s="21">
        <v>2.3094010767585029</v>
      </c>
    </row>
    <row r="85" spans="13:13" x14ac:dyDescent="0.25">
      <c r="M85" s="21">
        <v>1.2909944487358056</v>
      </c>
    </row>
    <row r="86" spans="13:13" x14ac:dyDescent="0.25">
      <c r="M86" s="21">
        <v>0.5</v>
      </c>
    </row>
    <row r="87" spans="13:13" x14ac:dyDescent="0.25">
      <c r="M87" s="21">
        <v>0.9574271077563381</v>
      </c>
    </row>
    <row r="88" spans="13:13" x14ac:dyDescent="0.25">
      <c r="M88" s="21">
        <v>1.8257418583505538</v>
      </c>
    </row>
    <row r="89" spans="13:13" x14ac:dyDescent="0.25">
      <c r="M89" s="21">
        <v>2.0615528128088303</v>
      </c>
    </row>
    <row r="90" spans="13:13" x14ac:dyDescent="0.25">
      <c r="M90" s="21">
        <v>1.8929694486000912</v>
      </c>
    </row>
    <row r="91" spans="13:13" x14ac:dyDescent="0.25">
      <c r="M91" s="21">
        <v>2.3804761428476167</v>
      </c>
    </row>
    <row r="92" spans="13:13" x14ac:dyDescent="0.25">
      <c r="M92" s="21">
        <v>1.2909944487358056</v>
      </c>
    </row>
    <row r="93" spans="13:13" x14ac:dyDescent="0.25">
      <c r="M93" s="21">
        <v>2.0816659994661326</v>
      </c>
    </row>
    <row r="94" spans="13:13" x14ac:dyDescent="0.25">
      <c r="M94" s="21">
        <v>1.2583057392117916</v>
      </c>
    </row>
    <row r="95" spans="13:13" x14ac:dyDescent="0.25">
      <c r="M95" s="21">
        <v>2.0615528128088303</v>
      </c>
    </row>
    <row r="96" spans="13:13" x14ac:dyDescent="0.25">
      <c r="M96" s="21">
        <v>1.707825127659933</v>
      </c>
    </row>
    <row r="97" spans="13:13" x14ac:dyDescent="0.25">
      <c r="M97" s="21">
        <v>2.3804761428476167</v>
      </c>
    </row>
    <row r="98" spans="13:13" x14ac:dyDescent="0.25">
      <c r="M98" s="21">
        <v>2.6299556396765835</v>
      </c>
    </row>
    <row r="99" spans="13:13" x14ac:dyDescent="0.25">
      <c r="M99" s="21">
        <v>2.6299556396765835</v>
      </c>
    </row>
    <row r="100" spans="13:13" x14ac:dyDescent="0.25">
      <c r="M100" s="21">
        <v>1.2909944487358056</v>
      </c>
    </row>
    <row r="101" spans="13:13" x14ac:dyDescent="0.25">
      <c r="M101" s="21">
        <v>1.707825127659933</v>
      </c>
    </row>
    <row r="102" spans="13:13" x14ac:dyDescent="0.25">
      <c r="M102" s="21">
        <v>2.3094010767585029</v>
      </c>
    </row>
    <row r="103" spans="13:13" x14ac:dyDescent="0.25">
      <c r="M103" s="21">
        <v>1.9148542155126762</v>
      </c>
    </row>
    <row r="104" spans="13:13" x14ac:dyDescent="0.25">
      <c r="M104" s="21">
        <v>0.9574271077563381</v>
      </c>
    </row>
    <row r="105" spans="13:13" x14ac:dyDescent="0.25">
      <c r="M105" s="21">
        <v>2.0615528128088303</v>
      </c>
    </row>
    <row r="106" spans="13:13" x14ac:dyDescent="0.25">
      <c r="M106" s="21">
        <v>3</v>
      </c>
    </row>
    <row r="107" spans="13:13" x14ac:dyDescent="0.25">
      <c r="M107" s="21">
        <v>2.5</v>
      </c>
    </row>
    <row r="108" spans="13:13" x14ac:dyDescent="0.25">
      <c r="M108" s="21">
        <v>0.9574271077563381</v>
      </c>
    </row>
    <row r="109" spans="13:13" x14ac:dyDescent="0.25">
      <c r="M109" s="21">
        <v>2.2173557826083452</v>
      </c>
    </row>
    <row r="110" spans="13:13" x14ac:dyDescent="0.25">
      <c r="M110" s="21">
        <v>0</v>
      </c>
    </row>
    <row r="111" spans="13:13" x14ac:dyDescent="0.25">
      <c r="M111" s="21">
        <v>1.2909944487358056</v>
      </c>
    </row>
    <row r="112" spans="13:13" x14ac:dyDescent="0.25">
      <c r="M112" s="21">
        <v>1</v>
      </c>
    </row>
    <row r="113" spans="13:13" x14ac:dyDescent="0.25">
      <c r="M113" s="21">
        <v>1.5</v>
      </c>
    </row>
    <row r="114" spans="13:13" x14ac:dyDescent="0.25">
      <c r="M114" s="21">
        <v>2.6299556396765835</v>
      </c>
    </row>
    <row r="115" spans="13:13" x14ac:dyDescent="0.25">
      <c r="M115" s="21">
        <v>1.5</v>
      </c>
    </row>
    <row r="116" spans="13:13" x14ac:dyDescent="0.25">
      <c r="M116" s="21">
        <v>2.6299556396765835</v>
      </c>
    </row>
    <row r="117" spans="13:13" x14ac:dyDescent="0.25">
      <c r="M117" s="21">
        <v>2.0615528128088303</v>
      </c>
    </row>
    <row r="118" spans="13:13" x14ac:dyDescent="0.25">
      <c r="M118" s="21">
        <v>1</v>
      </c>
    </row>
    <row r="119" spans="13:13" x14ac:dyDescent="0.25">
      <c r="M119" s="21">
        <v>2.8722813232690143</v>
      </c>
    </row>
    <row r="120" spans="13:13" x14ac:dyDescent="0.25">
      <c r="M120" s="21">
        <v>1.9148542155126762</v>
      </c>
    </row>
    <row r="121" spans="13:13" x14ac:dyDescent="0.25">
      <c r="M121" s="21">
        <v>3.3166247903553998</v>
      </c>
    </row>
    <row r="122" spans="13:13" x14ac:dyDescent="0.25">
      <c r="M122" s="21">
        <v>1.2583057392117916</v>
      </c>
    </row>
    <row r="123" spans="13:13" x14ac:dyDescent="0.25">
      <c r="M123" s="21">
        <v>4.0824829046386304</v>
      </c>
    </row>
    <row r="124" spans="13:13" x14ac:dyDescent="0.25">
      <c r="M124" s="21">
        <v>2.2173557826083452</v>
      </c>
    </row>
    <row r="125" spans="13:13" x14ac:dyDescent="0.25">
      <c r="M125" s="21">
        <v>2.9439202887759488</v>
      </c>
    </row>
    <row r="126" spans="13:13" x14ac:dyDescent="0.25">
      <c r="M126" s="21">
        <v>0.81649658092772603</v>
      </c>
    </row>
    <row r="127" spans="13:13" x14ac:dyDescent="0.25">
      <c r="M127" s="21">
        <v>1.6329931618554521</v>
      </c>
    </row>
    <row r="128" spans="13:13" x14ac:dyDescent="0.25">
      <c r="M128" s="21">
        <v>1.4142135623730951</v>
      </c>
    </row>
    <row r="129" spans="13:13" x14ac:dyDescent="0.25">
      <c r="M129" s="21">
        <v>2.6457513110645907</v>
      </c>
    </row>
    <row r="130" spans="13:13" x14ac:dyDescent="0.25">
      <c r="M130" s="21">
        <v>1.9148542155126762</v>
      </c>
    </row>
    <row r="131" spans="13:13" x14ac:dyDescent="0.25">
      <c r="M131" s="21">
        <v>2.70801280154532</v>
      </c>
    </row>
    <row r="132" spans="13:13" x14ac:dyDescent="0.25">
      <c r="M132" s="21">
        <v>1.4142135623730951</v>
      </c>
    </row>
    <row r="133" spans="13:13" x14ac:dyDescent="0.25">
      <c r="M133" s="21">
        <v>1.707825127659933</v>
      </c>
    </row>
    <row r="134" spans="13:13" x14ac:dyDescent="0.25">
      <c r="M134" s="21">
        <v>1.4142135623730951</v>
      </c>
    </row>
    <row r="135" spans="13:13" x14ac:dyDescent="0.25">
      <c r="M135" s="21">
        <v>1.2583057392117916</v>
      </c>
    </row>
    <row r="136" spans="13:13" x14ac:dyDescent="0.25">
      <c r="M136" s="21">
        <v>1.8929694486000912</v>
      </c>
    </row>
    <row r="137" spans="13:13" x14ac:dyDescent="0.25">
      <c r="M137" s="21">
        <v>2.1602468994692869</v>
      </c>
    </row>
    <row r="138" spans="13:13" x14ac:dyDescent="0.25">
      <c r="M138" s="21">
        <v>3.3040379335998349</v>
      </c>
    </row>
    <row r="139" spans="13:13" x14ac:dyDescent="0.25">
      <c r="M139" s="21">
        <v>2.3804761428476167</v>
      </c>
    </row>
    <row r="140" spans="13:13" x14ac:dyDescent="0.25">
      <c r="M140" s="21">
        <v>3.3040379335998349</v>
      </c>
    </row>
    <row r="141" spans="13:13" x14ac:dyDescent="0.25">
      <c r="M141" s="21">
        <v>1.5</v>
      </c>
    </row>
    <row r="142" spans="13:13" x14ac:dyDescent="0.25">
      <c r="M142" s="21">
        <v>1.8257418583505538</v>
      </c>
    </row>
    <row r="143" spans="13:13" x14ac:dyDescent="0.25">
      <c r="M143" s="21">
        <v>0.81649658092772603</v>
      </c>
    </row>
    <row r="144" spans="13:13" x14ac:dyDescent="0.25">
      <c r="M144" s="21">
        <v>1.5</v>
      </c>
    </row>
    <row r="145" spans="13:13" x14ac:dyDescent="0.25">
      <c r="M145" s="21">
        <v>1.8929694486000912</v>
      </c>
    </row>
    <row r="146" spans="13:13" x14ac:dyDescent="0.25">
      <c r="M146" s="21">
        <v>2.0615528128088303</v>
      </c>
    </row>
    <row r="147" spans="13:13" x14ac:dyDescent="0.25">
      <c r="M147" s="21">
        <v>1.2909944487358056</v>
      </c>
    </row>
    <row r="148" spans="13:13" x14ac:dyDescent="0.25">
      <c r="M148" s="21">
        <v>2.6457513110645907</v>
      </c>
    </row>
    <row r="149" spans="13:13" x14ac:dyDescent="0.25">
      <c r="M149" s="21">
        <v>3.7749172176353749</v>
      </c>
    </row>
    <row r="150" spans="13:13" x14ac:dyDescent="0.25">
      <c r="M150" s="21">
        <v>3.1622776601683795</v>
      </c>
    </row>
    <row r="151" spans="13:13" x14ac:dyDescent="0.25">
      <c r="M151" s="21">
        <v>1</v>
      </c>
    </row>
    <row r="152" spans="13:13" x14ac:dyDescent="0.25">
      <c r="M152" s="21">
        <v>2.4494897427831779</v>
      </c>
    </row>
    <row r="153" spans="13:13" x14ac:dyDescent="0.25">
      <c r="M153" s="21">
        <v>0.81649658092772603</v>
      </c>
    </row>
    <row r="154" spans="13:13" x14ac:dyDescent="0.25">
      <c r="M154" s="21">
        <v>3.9475730941090039</v>
      </c>
    </row>
    <row r="155" spans="13:13" x14ac:dyDescent="0.25">
      <c r="M155" s="21">
        <v>0.57735026918962573</v>
      </c>
    </row>
    <row r="156" spans="13:13" x14ac:dyDescent="0.25">
      <c r="M156" s="21">
        <v>2.2173557826083452</v>
      </c>
    </row>
    <row r="157" spans="13:13" x14ac:dyDescent="0.25">
      <c r="M157" s="21">
        <v>1.8929694486000912</v>
      </c>
    </row>
    <row r="158" spans="13:13" x14ac:dyDescent="0.25">
      <c r="M158" s="21">
        <v>2.9439202887759488</v>
      </c>
    </row>
    <row r="159" spans="13:13" x14ac:dyDescent="0.25">
      <c r="M159" s="21">
        <v>1.707825127659933</v>
      </c>
    </row>
    <row r="160" spans="13:13" x14ac:dyDescent="0.25">
      <c r="M160" s="21">
        <v>2.9860788111948193</v>
      </c>
    </row>
    <row r="161" spans="13:13" x14ac:dyDescent="0.25">
      <c r="M161" s="21">
        <v>2.0615528128088303</v>
      </c>
    </row>
    <row r="162" spans="13:13" x14ac:dyDescent="0.25">
      <c r="M162" s="21">
        <v>2.9439202887759488</v>
      </c>
    </row>
    <row r="163" spans="13:13" x14ac:dyDescent="0.25">
      <c r="M163" s="21">
        <v>2.1602468994692869</v>
      </c>
    </row>
    <row r="164" spans="13:13" x14ac:dyDescent="0.25">
      <c r="M164" s="21">
        <v>1.2909944487358056</v>
      </c>
    </row>
    <row r="165" spans="13:13" x14ac:dyDescent="0.25">
      <c r="M165" s="21">
        <v>2.8722813232690143</v>
      </c>
    </row>
    <row r="166" spans="13:13" x14ac:dyDescent="0.25">
      <c r="M166" s="21">
        <v>1.2583057392117916</v>
      </c>
    </row>
    <row r="167" spans="13:13" x14ac:dyDescent="0.25">
      <c r="M167" s="21">
        <v>0.81649658092772603</v>
      </c>
    </row>
    <row r="168" spans="13:13" x14ac:dyDescent="0.25">
      <c r="M168" s="21">
        <v>1.2909944487358056</v>
      </c>
    </row>
    <row r="169" spans="13:13" x14ac:dyDescent="0.25">
      <c r="M169" s="21">
        <v>1.8929694486000912</v>
      </c>
    </row>
    <row r="170" spans="13:13" x14ac:dyDescent="0.25">
      <c r="M170" s="21">
        <v>1.6329931618554521</v>
      </c>
    </row>
    <row r="171" spans="13:13" x14ac:dyDescent="0.25">
      <c r="M171" s="21">
        <v>2.1602468994692869</v>
      </c>
    </row>
    <row r="172" spans="13:13" x14ac:dyDescent="0.25">
      <c r="M172" s="21">
        <v>2.70801280154532</v>
      </c>
    </row>
    <row r="173" spans="13:13" x14ac:dyDescent="0.25">
      <c r="M173" s="21">
        <v>0.5</v>
      </c>
    </row>
    <row r="174" spans="13:13" x14ac:dyDescent="0.25">
      <c r="M174" s="21">
        <v>1.7320508075688772</v>
      </c>
    </row>
    <row r="175" spans="13:13" x14ac:dyDescent="0.25">
      <c r="M175" s="21">
        <v>1.7320508075688772</v>
      </c>
    </row>
    <row r="176" spans="13:13" x14ac:dyDescent="0.25">
      <c r="M176" s="21">
        <v>2.4494897427831779</v>
      </c>
    </row>
    <row r="177" spans="13:13" x14ac:dyDescent="0.25">
      <c r="M177" s="21">
        <v>1</v>
      </c>
    </row>
    <row r="178" spans="13:13" x14ac:dyDescent="0.25">
      <c r="M178" s="21">
        <v>2.6299556396765835</v>
      </c>
    </row>
    <row r="179" spans="13:13" x14ac:dyDescent="0.25">
      <c r="M179" s="21">
        <v>1.9148542155126762</v>
      </c>
    </row>
    <row r="180" spans="13:13" x14ac:dyDescent="0.25">
      <c r="M180" s="21">
        <v>1.2909944487358056</v>
      </c>
    </row>
    <row r="181" spans="13:13" x14ac:dyDescent="0.25">
      <c r="M181" s="21">
        <v>2.5166114784235831</v>
      </c>
    </row>
    <row r="182" spans="13:13" x14ac:dyDescent="0.25">
      <c r="M182" s="21">
        <v>0.5</v>
      </c>
    </row>
    <row r="183" spans="13:13" x14ac:dyDescent="0.25">
      <c r="M183" s="21">
        <v>2.1602468994692869</v>
      </c>
    </row>
    <row r="184" spans="13:13" x14ac:dyDescent="0.25">
      <c r="M184" s="21">
        <v>1.707825127659933</v>
      </c>
    </row>
    <row r="185" spans="13:13" x14ac:dyDescent="0.25">
      <c r="M185" s="21">
        <v>0.57735026918962573</v>
      </c>
    </row>
    <row r="186" spans="13:13" x14ac:dyDescent="0.25">
      <c r="M186" s="21">
        <v>0.57735026918962573</v>
      </c>
    </row>
    <row r="187" spans="13:13" x14ac:dyDescent="0.25">
      <c r="M187" s="21">
        <v>0.5</v>
      </c>
    </row>
    <row r="188" spans="13:13" x14ac:dyDescent="0.25">
      <c r="M188" s="21">
        <v>0.9574271077563381</v>
      </c>
    </row>
    <row r="189" spans="13:13" x14ac:dyDescent="0.25">
      <c r="M189" s="21">
        <v>2</v>
      </c>
    </row>
    <row r="190" spans="13:13" x14ac:dyDescent="0.25">
      <c r="M190" s="21">
        <v>1.4142135623730951</v>
      </c>
    </row>
    <row r="191" spans="13:13" x14ac:dyDescent="0.25">
      <c r="M191" s="21">
        <v>2.3629078131263039</v>
      </c>
    </row>
    <row r="192" spans="13:13" x14ac:dyDescent="0.25">
      <c r="M192" s="21">
        <v>1.4142135623730951</v>
      </c>
    </row>
    <row r="193" spans="13:13" x14ac:dyDescent="0.25">
      <c r="M193" s="21">
        <v>2.2173557826083452</v>
      </c>
    </row>
    <row r="194" spans="13:13" x14ac:dyDescent="0.25">
      <c r="M194" s="21">
        <v>1.1547005383792515</v>
      </c>
    </row>
    <row r="195" spans="13:13" x14ac:dyDescent="0.25">
      <c r="M195" s="21">
        <v>2.0615528128088303</v>
      </c>
    </row>
    <row r="196" spans="13:13" x14ac:dyDescent="0.25">
      <c r="M196" s="21">
        <v>2.9860788111948193</v>
      </c>
    </row>
    <row r="197" spans="13:13" x14ac:dyDescent="0.25">
      <c r="M197" s="21">
        <v>1.707825127659933</v>
      </c>
    </row>
    <row r="198" spans="13:13" x14ac:dyDescent="0.25">
      <c r="M198" s="21">
        <v>2.6299556396765835</v>
      </c>
    </row>
    <row r="199" spans="13:13" x14ac:dyDescent="0.25">
      <c r="M199" s="21">
        <v>4.1231056256176606</v>
      </c>
    </row>
    <row r="200" spans="13:13" x14ac:dyDescent="0.25">
      <c r="M200" s="21">
        <v>0.9574271077563381</v>
      </c>
    </row>
    <row r="201" spans="13:13" x14ac:dyDescent="0.25">
      <c r="M201" s="21">
        <v>2.3804761428476167</v>
      </c>
    </row>
    <row r="202" spans="13:13" x14ac:dyDescent="0.25">
      <c r="M202" s="21">
        <v>1.6329931618554521</v>
      </c>
    </row>
    <row r="203" spans="13:13" x14ac:dyDescent="0.25">
      <c r="M203" s="21">
        <v>2.5</v>
      </c>
    </row>
    <row r="204" spans="13:13" x14ac:dyDescent="0.25">
      <c r="M204" s="21">
        <v>1.5</v>
      </c>
    </row>
    <row r="205" spans="13:13" x14ac:dyDescent="0.25">
      <c r="M205" s="21"/>
    </row>
    <row r="206" spans="13:13" x14ac:dyDescent="0.25">
      <c r="M206" s="21"/>
    </row>
    <row r="207" spans="13:13" x14ac:dyDescent="0.25">
      <c r="M207" s="21"/>
    </row>
    <row r="208" spans="13:13" x14ac:dyDescent="0.25">
      <c r="M208" s="21"/>
    </row>
    <row r="209" spans="13:13" x14ac:dyDescent="0.25">
      <c r="M209" s="21"/>
    </row>
    <row r="210" spans="13:13" x14ac:dyDescent="0.25">
      <c r="M210" s="21"/>
    </row>
    <row r="211" spans="13:13" x14ac:dyDescent="0.25">
      <c r="M211" s="21"/>
    </row>
    <row r="212" spans="13:13" x14ac:dyDescent="0.25">
      <c r="M212" s="21"/>
    </row>
    <row r="213" spans="13:13" x14ac:dyDescent="0.25">
      <c r="M213" s="21"/>
    </row>
    <row r="214" spans="13:13" x14ac:dyDescent="0.25">
      <c r="M214" s="21"/>
    </row>
    <row r="215" spans="13:13" x14ac:dyDescent="0.25">
      <c r="M215" s="21"/>
    </row>
    <row r="216" spans="13:13" x14ac:dyDescent="0.25">
      <c r="M216" s="21"/>
    </row>
    <row r="217" spans="13:13" x14ac:dyDescent="0.25">
      <c r="M217" s="21"/>
    </row>
    <row r="218" spans="13:13" x14ac:dyDescent="0.25">
      <c r="M218" s="21"/>
    </row>
    <row r="219" spans="13:13" x14ac:dyDescent="0.25">
      <c r="M219" s="21"/>
    </row>
    <row r="220" spans="13:13" x14ac:dyDescent="0.25">
      <c r="M220" s="21"/>
    </row>
    <row r="221" spans="13:13" x14ac:dyDescent="0.25">
      <c r="M221" s="21"/>
    </row>
    <row r="222" spans="13:13" x14ac:dyDescent="0.25">
      <c r="M222" s="21"/>
    </row>
    <row r="223" spans="13:13" x14ac:dyDescent="0.25">
      <c r="M223" s="21"/>
    </row>
    <row r="224" spans="13:13" x14ac:dyDescent="0.25">
      <c r="M224" s="21"/>
    </row>
    <row r="225" spans="13:13" x14ac:dyDescent="0.25">
      <c r="M225" s="21"/>
    </row>
    <row r="226" spans="13:13" x14ac:dyDescent="0.25">
      <c r="M226" s="21"/>
    </row>
    <row r="227" spans="13:13" x14ac:dyDescent="0.25">
      <c r="M227" s="21"/>
    </row>
    <row r="228" spans="13:13" x14ac:dyDescent="0.25">
      <c r="M228" s="21"/>
    </row>
    <row r="229" spans="13:13" x14ac:dyDescent="0.25">
      <c r="M229" s="21"/>
    </row>
    <row r="230" spans="13:13" x14ac:dyDescent="0.25">
      <c r="M230" s="21"/>
    </row>
    <row r="231" spans="13:13" x14ac:dyDescent="0.25">
      <c r="M231" s="21"/>
    </row>
    <row r="232" spans="13:13" x14ac:dyDescent="0.25">
      <c r="M232" s="21"/>
    </row>
    <row r="233" spans="13:13" x14ac:dyDescent="0.25">
      <c r="M233" s="21"/>
    </row>
    <row r="234" spans="13:13" x14ac:dyDescent="0.25">
      <c r="M234" s="21"/>
    </row>
    <row r="235" spans="13:13" x14ac:dyDescent="0.25">
      <c r="M235" s="21"/>
    </row>
    <row r="236" spans="13:13" x14ac:dyDescent="0.25">
      <c r="M236" s="21"/>
    </row>
    <row r="237" spans="13:13" x14ac:dyDescent="0.25">
      <c r="M237" s="21"/>
    </row>
    <row r="238" spans="13:13" x14ac:dyDescent="0.25">
      <c r="M238" s="21"/>
    </row>
    <row r="239" spans="13:13" x14ac:dyDescent="0.25">
      <c r="M239" s="21"/>
    </row>
    <row r="240" spans="13:13" x14ac:dyDescent="0.25">
      <c r="M240" s="21"/>
    </row>
    <row r="241" spans="13:13" x14ac:dyDescent="0.25">
      <c r="M241" s="21"/>
    </row>
    <row r="242" spans="13:13" x14ac:dyDescent="0.25">
      <c r="M242" s="21"/>
    </row>
    <row r="243" spans="13:13" x14ac:dyDescent="0.25">
      <c r="M243" s="21"/>
    </row>
    <row r="244" spans="13:13" x14ac:dyDescent="0.25">
      <c r="M244" s="21"/>
    </row>
    <row r="245" spans="13:13" x14ac:dyDescent="0.25">
      <c r="M245" s="21"/>
    </row>
    <row r="246" spans="13:13" x14ac:dyDescent="0.25">
      <c r="M246" s="21"/>
    </row>
    <row r="247" spans="13:13" x14ac:dyDescent="0.25">
      <c r="M247" s="21"/>
    </row>
    <row r="248" spans="13:13" x14ac:dyDescent="0.25">
      <c r="M248" s="21"/>
    </row>
    <row r="249" spans="13:13" x14ac:dyDescent="0.25">
      <c r="M249" s="21"/>
    </row>
    <row r="250" spans="13:13" x14ac:dyDescent="0.25">
      <c r="M250" s="21"/>
    </row>
    <row r="251" spans="13:13" x14ac:dyDescent="0.25">
      <c r="M251" s="21"/>
    </row>
    <row r="252" spans="13:13" x14ac:dyDescent="0.25">
      <c r="M252" s="21"/>
    </row>
    <row r="253" spans="13:13" x14ac:dyDescent="0.25">
      <c r="M253" s="21"/>
    </row>
    <row r="254" spans="13:13" x14ac:dyDescent="0.25">
      <c r="M254" s="21"/>
    </row>
    <row r="255" spans="13:13" x14ac:dyDescent="0.25">
      <c r="M255" s="21"/>
    </row>
    <row r="256" spans="13:13" x14ac:dyDescent="0.25">
      <c r="M256" s="21"/>
    </row>
    <row r="257" spans="13:13" x14ac:dyDescent="0.25">
      <c r="M257" s="21"/>
    </row>
    <row r="258" spans="13:13" x14ac:dyDescent="0.25">
      <c r="M258" s="21"/>
    </row>
    <row r="259" spans="13:13" x14ac:dyDescent="0.25">
      <c r="M259" s="21"/>
    </row>
    <row r="260" spans="13:13" x14ac:dyDescent="0.25">
      <c r="M260" s="21"/>
    </row>
    <row r="261" spans="13:13" x14ac:dyDescent="0.25">
      <c r="M261" s="21"/>
    </row>
    <row r="262" spans="13:13" x14ac:dyDescent="0.25">
      <c r="M262" s="21"/>
    </row>
    <row r="263" spans="13:13" x14ac:dyDescent="0.25">
      <c r="M263" s="21"/>
    </row>
    <row r="264" spans="13:13" x14ac:dyDescent="0.25">
      <c r="M264" s="21"/>
    </row>
    <row r="265" spans="13:13" x14ac:dyDescent="0.25">
      <c r="M265" s="21"/>
    </row>
    <row r="266" spans="13:13" x14ac:dyDescent="0.25">
      <c r="M266" s="21"/>
    </row>
    <row r="267" spans="13:13" x14ac:dyDescent="0.25">
      <c r="M267" s="21"/>
    </row>
    <row r="268" spans="13:13" x14ac:dyDescent="0.25">
      <c r="M268" s="21"/>
    </row>
    <row r="269" spans="13:13" x14ac:dyDescent="0.25">
      <c r="M269" s="21"/>
    </row>
    <row r="270" spans="13:13" x14ac:dyDescent="0.25">
      <c r="M270" s="21"/>
    </row>
    <row r="271" spans="13:13" x14ac:dyDescent="0.25">
      <c r="M271" s="21"/>
    </row>
    <row r="272" spans="13:13" x14ac:dyDescent="0.25">
      <c r="M272" s="21"/>
    </row>
    <row r="273" spans="13:13" x14ac:dyDescent="0.25">
      <c r="M273" s="21"/>
    </row>
    <row r="274" spans="13:13" x14ac:dyDescent="0.25">
      <c r="M274" s="21"/>
    </row>
    <row r="275" spans="13:13" x14ac:dyDescent="0.25">
      <c r="M275" s="21"/>
    </row>
    <row r="276" spans="13:13" x14ac:dyDescent="0.25">
      <c r="M276" s="21"/>
    </row>
    <row r="277" spans="13:13" x14ac:dyDescent="0.25">
      <c r="M277" s="21"/>
    </row>
    <row r="278" spans="13:13" x14ac:dyDescent="0.25">
      <c r="M278" s="21"/>
    </row>
    <row r="279" spans="13:13" x14ac:dyDescent="0.25">
      <c r="M279" s="21"/>
    </row>
    <row r="280" spans="13:13" x14ac:dyDescent="0.25">
      <c r="M280" s="21"/>
    </row>
    <row r="281" spans="13:13" x14ac:dyDescent="0.25">
      <c r="M281" s="21"/>
    </row>
    <row r="282" spans="13:13" x14ac:dyDescent="0.25">
      <c r="M282" s="21"/>
    </row>
    <row r="283" spans="13:13" x14ac:dyDescent="0.25">
      <c r="M283" s="21"/>
    </row>
    <row r="284" spans="13:13" x14ac:dyDescent="0.25">
      <c r="M284" s="21"/>
    </row>
    <row r="285" spans="13:13" x14ac:dyDescent="0.25">
      <c r="M285" s="21"/>
    </row>
    <row r="286" spans="13:13" x14ac:dyDescent="0.25">
      <c r="M286" s="21"/>
    </row>
    <row r="287" spans="13:13" x14ac:dyDescent="0.25">
      <c r="M287" s="21"/>
    </row>
    <row r="288" spans="13:13" x14ac:dyDescent="0.25">
      <c r="M288" s="21"/>
    </row>
    <row r="289" spans="13:13" x14ac:dyDescent="0.25">
      <c r="M289" s="21"/>
    </row>
    <row r="290" spans="13:13" x14ac:dyDescent="0.25">
      <c r="M290" s="21"/>
    </row>
    <row r="291" spans="13:13" x14ac:dyDescent="0.25">
      <c r="M291" s="21"/>
    </row>
    <row r="292" spans="13:13" x14ac:dyDescent="0.25">
      <c r="M292" s="21"/>
    </row>
    <row r="293" spans="13:13" x14ac:dyDescent="0.25">
      <c r="M293" s="21"/>
    </row>
    <row r="294" spans="13:13" x14ac:dyDescent="0.25">
      <c r="M294" s="21"/>
    </row>
    <row r="295" spans="13:13" x14ac:dyDescent="0.25">
      <c r="M295" s="21"/>
    </row>
    <row r="296" spans="13:13" x14ac:dyDescent="0.25">
      <c r="M296" s="21"/>
    </row>
    <row r="297" spans="13:13" x14ac:dyDescent="0.25">
      <c r="M297" s="21"/>
    </row>
    <row r="298" spans="13:13" x14ac:dyDescent="0.25">
      <c r="M298" s="21"/>
    </row>
    <row r="299" spans="13:13" x14ac:dyDescent="0.25">
      <c r="M299" s="21"/>
    </row>
    <row r="300" spans="13:13" x14ac:dyDescent="0.25">
      <c r="M300" s="21"/>
    </row>
    <row r="301" spans="13:13" x14ac:dyDescent="0.25">
      <c r="M301" s="21"/>
    </row>
    <row r="302" spans="13:13" x14ac:dyDescent="0.25">
      <c r="M302" s="21"/>
    </row>
    <row r="303" spans="13:13" x14ac:dyDescent="0.25">
      <c r="M303" s="21"/>
    </row>
    <row r="304" spans="13:13" x14ac:dyDescent="0.25">
      <c r="M304" s="21"/>
    </row>
    <row r="305" spans="13:13" x14ac:dyDescent="0.25">
      <c r="M305" s="21"/>
    </row>
    <row r="306" spans="13:13" x14ac:dyDescent="0.25">
      <c r="M306" s="21"/>
    </row>
    <row r="307" spans="13:13" x14ac:dyDescent="0.25">
      <c r="M307" s="21"/>
    </row>
    <row r="308" spans="13:13" x14ac:dyDescent="0.25">
      <c r="M308" s="21"/>
    </row>
    <row r="309" spans="13:13" x14ac:dyDescent="0.25">
      <c r="M309" s="21"/>
    </row>
    <row r="310" spans="13:13" x14ac:dyDescent="0.25">
      <c r="M310" s="21"/>
    </row>
    <row r="311" spans="13:13" x14ac:dyDescent="0.25">
      <c r="M311" s="21"/>
    </row>
    <row r="312" spans="13:13" x14ac:dyDescent="0.25">
      <c r="M312" s="21"/>
    </row>
    <row r="313" spans="13:13" x14ac:dyDescent="0.25">
      <c r="M313" s="21"/>
    </row>
    <row r="314" spans="13:13" x14ac:dyDescent="0.25">
      <c r="M314" s="21"/>
    </row>
    <row r="315" spans="13:13" x14ac:dyDescent="0.25">
      <c r="M315" s="21"/>
    </row>
    <row r="316" spans="13:13" x14ac:dyDescent="0.25">
      <c r="M316" s="21"/>
    </row>
    <row r="317" spans="13:13" x14ac:dyDescent="0.25">
      <c r="M317" s="21"/>
    </row>
    <row r="318" spans="13:13" x14ac:dyDescent="0.25">
      <c r="M318" s="21"/>
    </row>
    <row r="319" spans="13:13" x14ac:dyDescent="0.25">
      <c r="M319" s="21"/>
    </row>
    <row r="320" spans="13:13" x14ac:dyDescent="0.25">
      <c r="M320" s="21"/>
    </row>
    <row r="321" spans="13:13" x14ac:dyDescent="0.25">
      <c r="M321" s="21"/>
    </row>
    <row r="322" spans="13:13" x14ac:dyDescent="0.25">
      <c r="M322" s="21"/>
    </row>
    <row r="323" spans="13:13" x14ac:dyDescent="0.25">
      <c r="M323" s="21"/>
    </row>
    <row r="324" spans="13:13" x14ac:dyDescent="0.25">
      <c r="M324" s="21"/>
    </row>
    <row r="325" spans="13:13" x14ac:dyDescent="0.25">
      <c r="M325" s="21"/>
    </row>
    <row r="326" spans="13:13" x14ac:dyDescent="0.25">
      <c r="M326" s="21"/>
    </row>
    <row r="327" spans="13:13" x14ac:dyDescent="0.25">
      <c r="M327" s="21"/>
    </row>
    <row r="328" spans="13:13" x14ac:dyDescent="0.25">
      <c r="M328" s="21"/>
    </row>
    <row r="329" spans="13:13" x14ac:dyDescent="0.25">
      <c r="M329" s="21"/>
    </row>
    <row r="330" spans="13:13" x14ac:dyDescent="0.25">
      <c r="M330" s="21"/>
    </row>
    <row r="331" spans="13:13" x14ac:dyDescent="0.25">
      <c r="M331" s="21"/>
    </row>
    <row r="332" spans="13:13" x14ac:dyDescent="0.25">
      <c r="M332" s="21"/>
    </row>
    <row r="333" spans="13:13" x14ac:dyDescent="0.25">
      <c r="M333" s="21"/>
    </row>
    <row r="334" spans="13:13" x14ac:dyDescent="0.25">
      <c r="M334" s="21"/>
    </row>
    <row r="335" spans="13:13" x14ac:dyDescent="0.25">
      <c r="M335" s="21"/>
    </row>
    <row r="336" spans="13:13" x14ac:dyDescent="0.25">
      <c r="M336" s="21"/>
    </row>
    <row r="337" spans="13:13" x14ac:dyDescent="0.25">
      <c r="M337" s="21"/>
    </row>
    <row r="338" spans="13:13" x14ac:dyDescent="0.25">
      <c r="M338" s="21"/>
    </row>
    <row r="339" spans="13:13" x14ac:dyDescent="0.25">
      <c r="M339" s="21"/>
    </row>
    <row r="340" spans="13:13" x14ac:dyDescent="0.25">
      <c r="M340" s="21"/>
    </row>
    <row r="341" spans="13:13" x14ac:dyDescent="0.25">
      <c r="M341" s="21"/>
    </row>
    <row r="342" spans="13:13" x14ac:dyDescent="0.25">
      <c r="M342" s="21"/>
    </row>
    <row r="343" spans="13:13" x14ac:dyDescent="0.25">
      <c r="M343" s="21"/>
    </row>
    <row r="344" spans="13:13" x14ac:dyDescent="0.25">
      <c r="M344" s="21"/>
    </row>
    <row r="345" spans="13:13" x14ac:dyDescent="0.25">
      <c r="M345" s="21"/>
    </row>
    <row r="346" spans="13:13" x14ac:dyDescent="0.25">
      <c r="M346" s="21"/>
    </row>
    <row r="347" spans="13:13" x14ac:dyDescent="0.25">
      <c r="M347" s="21"/>
    </row>
    <row r="348" spans="13:13" x14ac:dyDescent="0.25">
      <c r="M348" s="21"/>
    </row>
    <row r="349" spans="13:13" x14ac:dyDescent="0.25">
      <c r="M349" s="21"/>
    </row>
    <row r="350" spans="13:13" x14ac:dyDescent="0.25">
      <c r="M350" s="21"/>
    </row>
    <row r="351" spans="13:13" x14ac:dyDescent="0.25">
      <c r="M351" s="21"/>
    </row>
    <row r="352" spans="13:13" x14ac:dyDescent="0.25">
      <c r="M352" s="21"/>
    </row>
    <row r="353" spans="13:13" x14ac:dyDescent="0.25">
      <c r="M353" s="21"/>
    </row>
    <row r="354" spans="13:13" x14ac:dyDescent="0.25">
      <c r="M354" s="21"/>
    </row>
    <row r="355" spans="13:13" x14ac:dyDescent="0.25">
      <c r="M355" s="21"/>
    </row>
    <row r="356" spans="13:13" x14ac:dyDescent="0.25">
      <c r="M356" s="21"/>
    </row>
    <row r="357" spans="13:13" x14ac:dyDescent="0.25">
      <c r="M357" s="21"/>
    </row>
    <row r="358" spans="13:13" x14ac:dyDescent="0.25">
      <c r="M358" s="21"/>
    </row>
    <row r="359" spans="13:13" x14ac:dyDescent="0.25">
      <c r="M359" s="21"/>
    </row>
    <row r="360" spans="13:13" x14ac:dyDescent="0.25">
      <c r="M360" s="21"/>
    </row>
    <row r="361" spans="13:13" x14ac:dyDescent="0.25">
      <c r="M361" s="21"/>
    </row>
    <row r="362" spans="13:13" x14ac:dyDescent="0.25">
      <c r="M362" s="21"/>
    </row>
    <row r="363" spans="13:13" x14ac:dyDescent="0.25">
      <c r="M363" s="21"/>
    </row>
    <row r="364" spans="13:13" x14ac:dyDescent="0.25">
      <c r="M364" s="21"/>
    </row>
    <row r="365" spans="13:13" x14ac:dyDescent="0.25">
      <c r="M365" s="21"/>
    </row>
    <row r="366" spans="13:13" x14ac:dyDescent="0.25">
      <c r="M366" s="21"/>
    </row>
    <row r="367" spans="13:13" x14ac:dyDescent="0.25">
      <c r="M367" s="21"/>
    </row>
    <row r="368" spans="13:13" x14ac:dyDescent="0.25">
      <c r="M368" s="21"/>
    </row>
    <row r="369" spans="13:13" x14ac:dyDescent="0.25">
      <c r="M369" s="21"/>
    </row>
    <row r="370" spans="13:13" x14ac:dyDescent="0.25">
      <c r="M370" s="21"/>
    </row>
    <row r="371" spans="13:13" x14ac:dyDescent="0.25">
      <c r="M371" s="21"/>
    </row>
    <row r="372" spans="13:13" x14ac:dyDescent="0.25">
      <c r="M372" s="21"/>
    </row>
    <row r="373" spans="13:13" x14ac:dyDescent="0.25">
      <c r="M373" s="21"/>
    </row>
    <row r="374" spans="13:13" x14ac:dyDescent="0.25">
      <c r="M374" s="21"/>
    </row>
    <row r="375" spans="13:13" x14ac:dyDescent="0.25">
      <c r="M375" s="21"/>
    </row>
    <row r="376" spans="13:13" x14ac:dyDescent="0.25">
      <c r="M376" s="21"/>
    </row>
    <row r="377" spans="13:13" x14ac:dyDescent="0.25">
      <c r="M377" s="21"/>
    </row>
    <row r="378" spans="13:13" x14ac:dyDescent="0.25">
      <c r="M378" s="21"/>
    </row>
    <row r="379" spans="13:13" x14ac:dyDescent="0.25">
      <c r="M379" s="21"/>
    </row>
    <row r="380" spans="13:13" x14ac:dyDescent="0.25">
      <c r="M380" s="21"/>
    </row>
    <row r="381" spans="13:13" x14ac:dyDescent="0.25">
      <c r="M381" s="21"/>
    </row>
    <row r="382" spans="13:13" x14ac:dyDescent="0.25">
      <c r="M382" s="21"/>
    </row>
    <row r="383" spans="13:13" x14ac:dyDescent="0.25">
      <c r="M383" s="21"/>
    </row>
    <row r="384" spans="13:13" x14ac:dyDescent="0.25">
      <c r="M384" s="21"/>
    </row>
    <row r="385" spans="13:13" x14ac:dyDescent="0.25">
      <c r="M385" s="21"/>
    </row>
    <row r="386" spans="13:13" x14ac:dyDescent="0.25">
      <c r="M386" s="21"/>
    </row>
    <row r="387" spans="13:13" x14ac:dyDescent="0.25">
      <c r="M387" s="21"/>
    </row>
    <row r="388" spans="13:13" x14ac:dyDescent="0.25">
      <c r="M388" s="21"/>
    </row>
    <row r="389" spans="13:13" x14ac:dyDescent="0.25">
      <c r="M389" s="21"/>
    </row>
    <row r="390" spans="13:13" x14ac:dyDescent="0.25">
      <c r="M390" s="21"/>
    </row>
    <row r="391" spans="13:13" x14ac:dyDescent="0.25">
      <c r="M391" s="21"/>
    </row>
    <row r="392" spans="13:13" x14ac:dyDescent="0.25">
      <c r="M392" s="21"/>
    </row>
    <row r="393" spans="13:13" x14ac:dyDescent="0.25">
      <c r="M393" s="21"/>
    </row>
    <row r="394" spans="13:13" x14ac:dyDescent="0.25">
      <c r="M394" s="21"/>
    </row>
    <row r="395" spans="13:13" x14ac:dyDescent="0.25">
      <c r="M395" s="21"/>
    </row>
    <row r="396" spans="13:13" x14ac:dyDescent="0.25">
      <c r="M396" s="21"/>
    </row>
    <row r="397" spans="13:13" x14ac:dyDescent="0.25">
      <c r="M397" s="21"/>
    </row>
    <row r="398" spans="13:13" x14ac:dyDescent="0.25">
      <c r="M398" s="21"/>
    </row>
    <row r="399" spans="13:13" x14ac:dyDescent="0.25">
      <c r="M399" s="21"/>
    </row>
    <row r="400" spans="13:13" x14ac:dyDescent="0.25">
      <c r="M400" s="21"/>
    </row>
    <row r="401" spans="13:13" x14ac:dyDescent="0.25">
      <c r="M401" s="21"/>
    </row>
    <row r="402" spans="13:13" x14ac:dyDescent="0.25">
      <c r="M402" s="21"/>
    </row>
    <row r="403" spans="13:13" x14ac:dyDescent="0.25">
      <c r="M403" s="21"/>
    </row>
    <row r="404" spans="13:13" x14ac:dyDescent="0.25">
      <c r="M404" s="21"/>
    </row>
    <row r="405" spans="13:13" x14ac:dyDescent="0.25">
      <c r="M405" s="21"/>
    </row>
    <row r="406" spans="13:13" x14ac:dyDescent="0.25">
      <c r="M406" s="21"/>
    </row>
    <row r="407" spans="13:13" x14ac:dyDescent="0.25">
      <c r="M407" s="21"/>
    </row>
    <row r="408" spans="13:13" x14ac:dyDescent="0.25">
      <c r="M408" s="21"/>
    </row>
    <row r="409" spans="13:13" x14ac:dyDescent="0.25">
      <c r="M409" s="21"/>
    </row>
    <row r="410" spans="13:13" x14ac:dyDescent="0.25">
      <c r="M410" s="21"/>
    </row>
    <row r="411" spans="13:13" x14ac:dyDescent="0.25">
      <c r="M411" s="21"/>
    </row>
    <row r="412" spans="13:13" x14ac:dyDescent="0.25">
      <c r="M412" s="21"/>
    </row>
    <row r="413" spans="13:13" x14ac:dyDescent="0.25">
      <c r="M413" s="21"/>
    </row>
    <row r="414" spans="13:13" x14ac:dyDescent="0.25">
      <c r="M414" s="21"/>
    </row>
    <row r="415" spans="13:13" x14ac:dyDescent="0.25">
      <c r="M415" s="21"/>
    </row>
    <row r="416" spans="13:13" x14ac:dyDescent="0.25">
      <c r="M416" s="21"/>
    </row>
    <row r="417" spans="13:13" x14ac:dyDescent="0.25">
      <c r="M417" s="21"/>
    </row>
    <row r="418" spans="13:13" x14ac:dyDescent="0.25">
      <c r="M418" s="21"/>
    </row>
    <row r="419" spans="13:13" x14ac:dyDescent="0.25">
      <c r="M419" s="21"/>
    </row>
    <row r="420" spans="13:13" x14ac:dyDescent="0.25">
      <c r="M420" s="21"/>
    </row>
    <row r="421" spans="13:13" x14ac:dyDescent="0.25">
      <c r="M421" s="21"/>
    </row>
    <row r="422" spans="13:13" x14ac:dyDescent="0.25">
      <c r="M422" s="21"/>
    </row>
    <row r="423" spans="13:13" x14ac:dyDescent="0.25">
      <c r="M423" s="21"/>
    </row>
    <row r="424" spans="13:13" x14ac:dyDescent="0.25">
      <c r="M424" s="21"/>
    </row>
    <row r="425" spans="13:13" x14ac:dyDescent="0.25">
      <c r="M425" s="21"/>
    </row>
    <row r="426" spans="13:13" x14ac:dyDescent="0.25">
      <c r="M426" s="21"/>
    </row>
    <row r="427" spans="13:13" x14ac:dyDescent="0.25">
      <c r="M427" s="21"/>
    </row>
    <row r="428" spans="13:13" x14ac:dyDescent="0.25">
      <c r="M428" s="21"/>
    </row>
    <row r="429" spans="13:13" x14ac:dyDescent="0.25">
      <c r="M429" s="21"/>
    </row>
    <row r="430" spans="13:13" x14ac:dyDescent="0.25">
      <c r="M430" s="21"/>
    </row>
    <row r="431" spans="13:13" x14ac:dyDescent="0.25">
      <c r="M431" s="21"/>
    </row>
    <row r="432" spans="13:13" x14ac:dyDescent="0.25">
      <c r="M432" s="21"/>
    </row>
    <row r="433" spans="13:13" x14ac:dyDescent="0.25">
      <c r="M433" s="21"/>
    </row>
    <row r="434" spans="13:13" x14ac:dyDescent="0.25">
      <c r="M434" s="21"/>
    </row>
    <row r="435" spans="13:13" x14ac:dyDescent="0.25">
      <c r="M435" s="21"/>
    </row>
    <row r="436" spans="13:13" x14ac:dyDescent="0.25">
      <c r="M436" s="21"/>
    </row>
    <row r="437" spans="13:13" x14ac:dyDescent="0.25">
      <c r="M437" s="21"/>
    </row>
    <row r="438" spans="13:13" x14ac:dyDescent="0.25">
      <c r="M438" s="21"/>
    </row>
    <row r="439" spans="13:13" x14ac:dyDescent="0.25">
      <c r="M439" s="21"/>
    </row>
    <row r="440" spans="13:13" x14ac:dyDescent="0.25">
      <c r="M440" s="21"/>
    </row>
    <row r="441" spans="13:13" x14ac:dyDescent="0.25">
      <c r="M441" s="21"/>
    </row>
    <row r="442" spans="13:13" x14ac:dyDescent="0.25">
      <c r="M442" s="21"/>
    </row>
    <row r="443" spans="13:13" x14ac:dyDescent="0.25">
      <c r="M443" s="21"/>
    </row>
    <row r="444" spans="13:13" x14ac:dyDescent="0.25">
      <c r="M444" s="21"/>
    </row>
    <row r="445" spans="13:13" x14ac:dyDescent="0.25">
      <c r="M445" s="21"/>
    </row>
    <row r="446" spans="13:13" x14ac:dyDescent="0.25">
      <c r="M446" s="21"/>
    </row>
    <row r="447" spans="13:13" x14ac:dyDescent="0.25">
      <c r="M447" s="21"/>
    </row>
    <row r="448" spans="13:13" x14ac:dyDescent="0.25">
      <c r="M448" s="21"/>
    </row>
    <row r="449" spans="13:13" x14ac:dyDescent="0.25">
      <c r="M449" s="21"/>
    </row>
    <row r="450" spans="13:13" x14ac:dyDescent="0.25">
      <c r="M450" s="21"/>
    </row>
    <row r="451" spans="13:13" x14ac:dyDescent="0.25">
      <c r="M451" s="21"/>
    </row>
    <row r="452" spans="13:13" x14ac:dyDescent="0.25">
      <c r="M452" s="21"/>
    </row>
    <row r="453" spans="13:13" x14ac:dyDescent="0.25">
      <c r="M453" s="21"/>
    </row>
    <row r="454" spans="13:13" x14ac:dyDescent="0.25">
      <c r="M454" s="21"/>
    </row>
    <row r="455" spans="13:13" x14ac:dyDescent="0.25">
      <c r="M455" s="21"/>
    </row>
    <row r="456" spans="13:13" x14ac:dyDescent="0.25">
      <c r="M456" s="21"/>
    </row>
    <row r="457" spans="13:13" x14ac:dyDescent="0.25">
      <c r="M457" s="21"/>
    </row>
    <row r="458" spans="13:13" x14ac:dyDescent="0.25">
      <c r="M458" s="21"/>
    </row>
    <row r="459" spans="13:13" x14ac:dyDescent="0.25">
      <c r="M459" s="21"/>
    </row>
    <row r="460" spans="13:13" x14ac:dyDescent="0.25">
      <c r="M460" s="21"/>
    </row>
    <row r="461" spans="13:13" x14ac:dyDescent="0.25">
      <c r="M461" s="21"/>
    </row>
    <row r="462" spans="13:13" x14ac:dyDescent="0.25">
      <c r="M462" s="21"/>
    </row>
    <row r="463" spans="13:13" x14ac:dyDescent="0.25">
      <c r="M463" s="21"/>
    </row>
    <row r="464" spans="13:13" x14ac:dyDescent="0.25">
      <c r="M464" s="21"/>
    </row>
    <row r="465" spans="13:13" x14ac:dyDescent="0.25">
      <c r="M465" s="21"/>
    </row>
    <row r="466" spans="13:13" x14ac:dyDescent="0.25">
      <c r="M466" s="21"/>
    </row>
    <row r="467" spans="13:13" x14ac:dyDescent="0.25">
      <c r="M467" s="21"/>
    </row>
    <row r="468" spans="13:13" x14ac:dyDescent="0.25">
      <c r="M468" s="21"/>
    </row>
    <row r="469" spans="13:13" x14ac:dyDescent="0.25">
      <c r="M469" s="21"/>
    </row>
    <row r="470" spans="13:13" x14ac:dyDescent="0.25">
      <c r="M470" s="21"/>
    </row>
    <row r="471" spans="13:13" x14ac:dyDescent="0.25">
      <c r="M471" s="21"/>
    </row>
    <row r="472" spans="13:13" x14ac:dyDescent="0.25">
      <c r="M472" s="21"/>
    </row>
    <row r="473" spans="13:13" x14ac:dyDescent="0.25">
      <c r="M473" s="21"/>
    </row>
    <row r="474" spans="13:13" x14ac:dyDescent="0.25">
      <c r="M474" s="21"/>
    </row>
    <row r="475" spans="13:13" x14ac:dyDescent="0.25">
      <c r="M475" s="21"/>
    </row>
    <row r="476" spans="13:13" x14ac:dyDescent="0.25">
      <c r="M476" s="21"/>
    </row>
    <row r="477" spans="13:13" x14ac:dyDescent="0.25">
      <c r="M477" s="21"/>
    </row>
    <row r="478" spans="13:13" x14ac:dyDescent="0.25">
      <c r="M478" s="21"/>
    </row>
    <row r="479" spans="13:13" x14ac:dyDescent="0.25">
      <c r="M479" s="21"/>
    </row>
    <row r="480" spans="13:13" x14ac:dyDescent="0.25">
      <c r="M480" s="21"/>
    </row>
    <row r="481" spans="13:13" x14ac:dyDescent="0.25">
      <c r="M481" s="21"/>
    </row>
    <row r="482" spans="13:13" x14ac:dyDescent="0.25">
      <c r="M482" s="21"/>
    </row>
    <row r="483" spans="13:13" x14ac:dyDescent="0.25">
      <c r="M483" s="21"/>
    </row>
    <row r="484" spans="13:13" x14ac:dyDescent="0.25">
      <c r="M484" s="21"/>
    </row>
    <row r="485" spans="13:13" x14ac:dyDescent="0.25">
      <c r="M485" s="21"/>
    </row>
    <row r="486" spans="13:13" x14ac:dyDescent="0.25">
      <c r="M486" s="21"/>
    </row>
    <row r="487" spans="13:13" x14ac:dyDescent="0.25">
      <c r="M487" s="21"/>
    </row>
    <row r="488" spans="13:13" x14ac:dyDescent="0.25">
      <c r="M488" s="21"/>
    </row>
    <row r="489" spans="13:13" x14ac:dyDescent="0.25">
      <c r="M489" s="21"/>
    </row>
    <row r="490" spans="13:13" x14ac:dyDescent="0.25">
      <c r="M490" s="21"/>
    </row>
    <row r="491" spans="13:13" x14ac:dyDescent="0.25">
      <c r="M491" s="21"/>
    </row>
    <row r="492" spans="13:13" x14ac:dyDescent="0.25">
      <c r="M492" s="21"/>
    </row>
    <row r="493" spans="13:13" x14ac:dyDescent="0.25">
      <c r="M493" s="21"/>
    </row>
    <row r="494" spans="13:13" x14ac:dyDescent="0.25">
      <c r="M494" s="21"/>
    </row>
    <row r="495" spans="13:13" x14ac:dyDescent="0.25">
      <c r="M495" s="21"/>
    </row>
    <row r="496" spans="13:13" x14ac:dyDescent="0.25">
      <c r="M496" s="21"/>
    </row>
    <row r="497" spans="13:13" x14ac:dyDescent="0.25">
      <c r="M497" s="21"/>
    </row>
    <row r="498" spans="13:13" x14ac:dyDescent="0.25">
      <c r="M498" s="21"/>
    </row>
    <row r="499" spans="13:13" x14ac:dyDescent="0.25">
      <c r="M499" s="21"/>
    </row>
    <row r="500" spans="13:13" x14ac:dyDescent="0.25">
      <c r="M500" s="21"/>
    </row>
    <row r="501" spans="13:13" x14ac:dyDescent="0.25">
      <c r="M501" s="21"/>
    </row>
    <row r="502" spans="13:13" x14ac:dyDescent="0.25">
      <c r="M502" s="21"/>
    </row>
    <row r="503" spans="13:13" x14ac:dyDescent="0.25">
      <c r="M503" s="21"/>
    </row>
    <row r="504" spans="13:13" x14ac:dyDescent="0.25">
      <c r="M504" s="21"/>
    </row>
    <row r="505" spans="13:13" x14ac:dyDescent="0.25">
      <c r="M505" s="21"/>
    </row>
    <row r="506" spans="13:13" x14ac:dyDescent="0.25">
      <c r="M506" s="21"/>
    </row>
    <row r="507" spans="13:13" x14ac:dyDescent="0.25">
      <c r="M507" s="21"/>
    </row>
    <row r="508" spans="13:13" x14ac:dyDescent="0.25">
      <c r="M508" s="21"/>
    </row>
    <row r="509" spans="13:13" x14ac:dyDescent="0.25">
      <c r="M509" s="21"/>
    </row>
    <row r="510" spans="13:13" x14ac:dyDescent="0.25">
      <c r="M510" s="21"/>
    </row>
    <row r="511" spans="13:13" x14ac:dyDescent="0.25">
      <c r="M511" s="21"/>
    </row>
    <row r="512" spans="13:13" x14ac:dyDescent="0.25">
      <c r="M512" s="21"/>
    </row>
    <row r="513" spans="13:13" x14ac:dyDescent="0.25">
      <c r="M513" s="21"/>
    </row>
    <row r="514" spans="13:13" x14ac:dyDescent="0.25">
      <c r="M514" s="21"/>
    </row>
    <row r="515" spans="13:13" x14ac:dyDescent="0.25">
      <c r="M515" s="21"/>
    </row>
    <row r="516" spans="13:13" x14ac:dyDescent="0.25">
      <c r="M516" s="21"/>
    </row>
    <row r="517" spans="13:13" x14ac:dyDescent="0.25">
      <c r="M517" s="21"/>
    </row>
    <row r="518" spans="13:13" x14ac:dyDescent="0.25">
      <c r="M518" s="21"/>
    </row>
    <row r="519" spans="13:13" x14ac:dyDescent="0.25">
      <c r="M519" s="21"/>
    </row>
    <row r="520" spans="13:13" x14ac:dyDescent="0.25">
      <c r="M520" s="21"/>
    </row>
    <row r="521" spans="13:13" x14ac:dyDescent="0.25">
      <c r="M521" s="21"/>
    </row>
    <row r="522" spans="13:13" x14ac:dyDescent="0.25">
      <c r="M522" s="21"/>
    </row>
    <row r="523" spans="13:13" x14ac:dyDescent="0.25">
      <c r="M523" s="21"/>
    </row>
    <row r="524" spans="13:13" x14ac:dyDescent="0.25">
      <c r="M524" s="21"/>
    </row>
    <row r="525" spans="13:13" x14ac:dyDescent="0.25">
      <c r="M525" s="21"/>
    </row>
    <row r="526" spans="13:13" x14ac:dyDescent="0.25">
      <c r="M526" s="21"/>
    </row>
    <row r="527" spans="13:13" x14ac:dyDescent="0.25">
      <c r="M527" s="21"/>
    </row>
    <row r="528" spans="13:13" x14ac:dyDescent="0.25">
      <c r="M528" s="21"/>
    </row>
    <row r="529" spans="13:13" x14ac:dyDescent="0.25">
      <c r="M529" s="21"/>
    </row>
    <row r="530" spans="13:13" x14ac:dyDescent="0.25">
      <c r="M530" s="21"/>
    </row>
    <row r="531" spans="13:13" x14ac:dyDescent="0.25">
      <c r="M531" s="21"/>
    </row>
    <row r="532" spans="13:13" x14ac:dyDescent="0.25">
      <c r="M532" s="21"/>
    </row>
    <row r="533" spans="13:13" x14ac:dyDescent="0.25">
      <c r="M533" s="21"/>
    </row>
    <row r="534" spans="13:13" x14ac:dyDescent="0.25">
      <c r="M534" s="21"/>
    </row>
    <row r="535" spans="13:13" x14ac:dyDescent="0.25">
      <c r="M535" s="21"/>
    </row>
    <row r="536" spans="13:13" x14ac:dyDescent="0.25">
      <c r="M536" s="21"/>
    </row>
    <row r="537" spans="13:13" x14ac:dyDescent="0.25">
      <c r="M537" s="21"/>
    </row>
    <row r="538" spans="13:13" x14ac:dyDescent="0.25">
      <c r="M538" s="21"/>
    </row>
    <row r="539" spans="13:13" x14ac:dyDescent="0.25">
      <c r="M539" s="21"/>
    </row>
    <row r="540" spans="13:13" x14ac:dyDescent="0.25">
      <c r="M540" s="21"/>
    </row>
    <row r="541" spans="13:13" x14ac:dyDescent="0.25">
      <c r="M541" s="21"/>
    </row>
    <row r="542" spans="13:13" x14ac:dyDescent="0.25">
      <c r="M542" s="21"/>
    </row>
    <row r="543" spans="13:13" x14ac:dyDescent="0.25">
      <c r="M543" s="21"/>
    </row>
    <row r="544" spans="13:13" x14ac:dyDescent="0.25">
      <c r="M544" s="21"/>
    </row>
    <row r="545" spans="13:13" x14ac:dyDescent="0.25">
      <c r="M545" s="21"/>
    </row>
    <row r="546" spans="13:13" x14ac:dyDescent="0.25">
      <c r="M546" s="21"/>
    </row>
    <row r="547" spans="13:13" x14ac:dyDescent="0.25">
      <c r="M547" s="21"/>
    </row>
    <row r="548" spans="13:13" x14ac:dyDescent="0.25">
      <c r="M548" s="21"/>
    </row>
    <row r="549" spans="13:13" x14ac:dyDescent="0.25">
      <c r="M549" s="21"/>
    </row>
    <row r="550" spans="13:13" x14ac:dyDescent="0.25">
      <c r="M550" s="21"/>
    </row>
    <row r="551" spans="13:13" x14ac:dyDescent="0.25">
      <c r="M551" s="21"/>
    </row>
    <row r="552" spans="13:13" x14ac:dyDescent="0.25">
      <c r="M552" s="21"/>
    </row>
    <row r="553" spans="13:13" x14ac:dyDescent="0.25">
      <c r="M553" s="21"/>
    </row>
    <row r="554" spans="13:13" x14ac:dyDescent="0.25">
      <c r="M554" s="21"/>
    </row>
    <row r="555" spans="13:13" x14ac:dyDescent="0.25">
      <c r="M555" s="21"/>
    </row>
    <row r="556" spans="13:13" x14ac:dyDescent="0.25">
      <c r="M556" s="21"/>
    </row>
    <row r="557" spans="13:13" x14ac:dyDescent="0.25">
      <c r="M557" s="21"/>
    </row>
    <row r="558" spans="13:13" x14ac:dyDescent="0.25">
      <c r="M558" s="21"/>
    </row>
    <row r="559" spans="13:13" x14ac:dyDescent="0.25">
      <c r="M559" s="21"/>
    </row>
    <row r="560" spans="13:13" x14ac:dyDescent="0.25">
      <c r="M560" s="21"/>
    </row>
    <row r="561" spans="13:13" x14ac:dyDescent="0.25">
      <c r="M561" s="21"/>
    </row>
    <row r="562" spans="13:13" x14ac:dyDescent="0.25">
      <c r="M562" s="21"/>
    </row>
    <row r="563" spans="13:13" x14ac:dyDescent="0.25">
      <c r="M563" s="21"/>
    </row>
    <row r="564" spans="13:13" x14ac:dyDescent="0.25">
      <c r="M564" s="21"/>
    </row>
    <row r="565" spans="13:13" x14ac:dyDescent="0.25">
      <c r="M565" s="21"/>
    </row>
    <row r="566" spans="13:13" x14ac:dyDescent="0.25">
      <c r="M566" s="21"/>
    </row>
    <row r="567" spans="13:13" x14ac:dyDescent="0.25">
      <c r="M567" s="21"/>
    </row>
    <row r="568" spans="13:13" x14ac:dyDescent="0.25">
      <c r="M568" s="21"/>
    </row>
    <row r="569" spans="13:13" x14ac:dyDescent="0.25">
      <c r="M569" s="21"/>
    </row>
    <row r="570" spans="13:13" x14ac:dyDescent="0.25">
      <c r="M570" s="21"/>
    </row>
    <row r="571" spans="13:13" x14ac:dyDescent="0.25">
      <c r="M571" s="21"/>
    </row>
    <row r="572" spans="13:13" x14ac:dyDescent="0.25">
      <c r="M572" s="21"/>
    </row>
    <row r="573" spans="13:13" x14ac:dyDescent="0.25">
      <c r="M573" s="21"/>
    </row>
    <row r="574" spans="13:13" x14ac:dyDescent="0.25">
      <c r="M574" s="21"/>
    </row>
    <row r="575" spans="13:13" x14ac:dyDescent="0.25">
      <c r="M575" s="21"/>
    </row>
    <row r="576" spans="13:13" x14ac:dyDescent="0.25">
      <c r="M576" s="21"/>
    </row>
    <row r="577" spans="13:13" x14ac:dyDescent="0.25">
      <c r="M577" s="21"/>
    </row>
    <row r="578" spans="13:13" x14ac:dyDescent="0.25">
      <c r="M578" s="21"/>
    </row>
    <row r="579" spans="13:13" x14ac:dyDescent="0.25">
      <c r="M579" s="21"/>
    </row>
    <row r="580" spans="13:13" x14ac:dyDescent="0.25">
      <c r="M580" s="21"/>
    </row>
    <row r="581" spans="13:13" x14ac:dyDescent="0.25">
      <c r="M581" s="21"/>
    </row>
    <row r="582" spans="13:13" x14ac:dyDescent="0.25">
      <c r="M582" s="21"/>
    </row>
    <row r="583" spans="13:13" x14ac:dyDescent="0.25">
      <c r="M583" s="21"/>
    </row>
    <row r="584" spans="13:13" x14ac:dyDescent="0.25">
      <c r="M584" s="21"/>
    </row>
    <row r="585" spans="13:13" x14ac:dyDescent="0.25">
      <c r="M585" s="21"/>
    </row>
    <row r="586" spans="13:13" x14ac:dyDescent="0.25">
      <c r="M586" s="21"/>
    </row>
    <row r="587" spans="13:13" x14ac:dyDescent="0.25">
      <c r="M587" s="21"/>
    </row>
    <row r="588" spans="13:13" x14ac:dyDescent="0.25">
      <c r="M588" s="21"/>
    </row>
    <row r="589" spans="13:13" x14ac:dyDescent="0.25">
      <c r="M589" s="21"/>
    </row>
    <row r="590" spans="13:13" x14ac:dyDescent="0.25">
      <c r="M590" s="21"/>
    </row>
    <row r="591" spans="13:13" x14ac:dyDescent="0.25">
      <c r="M591" s="21"/>
    </row>
    <row r="592" spans="13:13" x14ac:dyDescent="0.25">
      <c r="M592" s="21"/>
    </row>
    <row r="593" spans="13:13" x14ac:dyDescent="0.25">
      <c r="M593" s="21"/>
    </row>
    <row r="594" spans="13:13" x14ac:dyDescent="0.25">
      <c r="M594" s="21"/>
    </row>
    <row r="595" spans="13:13" x14ac:dyDescent="0.25">
      <c r="M595" s="21"/>
    </row>
    <row r="596" spans="13:13" x14ac:dyDescent="0.25">
      <c r="M596" s="21"/>
    </row>
    <row r="597" spans="13:13" x14ac:dyDescent="0.25">
      <c r="M597" s="21"/>
    </row>
    <row r="598" spans="13:13" x14ac:dyDescent="0.25">
      <c r="M598" s="21"/>
    </row>
    <row r="599" spans="13:13" x14ac:dyDescent="0.25">
      <c r="M599" s="21"/>
    </row>
    <row r="600" spans="13:13" x14ac:dyDescent="0.25">
      <c r="M600" s="21"/>
    </row>
    <row r="601" spans="13:13" x14ac:dyDescent="0.25">
      <c r="M601" s="21"/>
    </row>
    <row r="602" spans="13:13" x14ac:dyDescent="0.25">
      <c r="M602" s="21"/>
    </row>
    <row r="603" spans="13:13" x14ac:dyDescent="0.25">
      <c r="M603" s="21"/>
    </row>
    <row r="604" spans="13:13" x14ac:dyDescent="0.25">
      <c r="M604" s="21"/>
    </row>
    <row r="605" spans="13:13" x14ac:dyDescent="0.25">
      <c r="M605" s="21"/>
    </row>
    <row r="606" spans="13:13" x14ac:dyDescent="0.25">
      <c r="M606" s="21"/>
    </row>
    <row r="607" spans="13:13" x14ac:dyDescent="0.25">
      <c r="M607" s="21"/>
    </row>
    <row r="608" spans="13:13" x14ac:dyDescent="0.25">
      <c r="M608" s="21"/>
    </row>
    <row r="609" spans="13:13" x14ac:dyDescent="0.25">
      <c r="M609" s="21"/>
    </row>
    <row r="610" spans="13:13" x14ac:dyDescent="0.25">
      <c r="M610" s="21"/>
    </row>
    <row r="611" spans="13:13" x14ac:dyDescent="0.25">
      <c r="M611" s="21"/>
    </row>
    <row r="612" spans="13:13" x14ac:dyDescent="0.25">
      <c r="M612" s="21"/>
    </row>
    <row r="613" spans="13:13" x14ac:dyDescent="0.25">
      <c r="M613" s="21"/>
    </row>
    <row r="614" spans="13:13" x14ac:dyDescent="0.25">
      <c r="M614" s="21"/>
    </row>
    <row r="615" spans="13:13" x14ac:dyDescent="0.25">
      <c r="M615" s="21"/>
    </row>
    <row r="616" spans="13:13" x14ac:dyDescent="0.25">
      <c r="M616" s="21"/>
    </row>
    <row r="617" spans="13:13" x14ac:dyDescent="0.25">
      <c r="M617" s="21"/>
    </row>
    <row r="618" spans="13:13" x14ac:dyDescent="0.25">
      <c r="M618" s="21"/>
    </row>
    <row r="619" spans="13:13" x14ac:dyDescent="0.25">
      <c r="M619" s="21"/>
    </row>
    <row r="620" spans="13:13" x14ac:dyDescent="0.25">
      <c r="M620" s="21"/>
    </row>
    <row r="621" spans="13:13" x14ac:dyDescent="0.25">
      <c r="M621" s="21"/>
    </row>
    <row r="622" spans="13:13" x14ac:dyDescent="0.25">
      <c r="M622" s="21"/>
    </row>
    <row r="623" spans="13:13" x14ac:dyDescent="0.25">
      <c r="M623" s="21"/>
    </row>
    <row r="624" spans="13:13" x14ac:dyDescent="0.25">
      <c r="M624" s="21"/>
    </row>
    <row r="625" spans="13:13" x14ac:dyDescent="0.25">
      <c r="M625" s="21"/>
    </row>
    <row r="626" spans="13:13" x14ac:dyDescent="0.25">
      <c r="M626" s="21"/>
    </row>
    <row r="627" spans="13:13" x14ac:dyDescent="0.25">
      <c r="M627" s="21"/>
    </row>
    <row r="628" spans="13:13" x14ac:dyDescent="0.25">
      <c r="M628" s="21"/>
    </row>
    <row r="629" spans="13:13" x14ac:dyDescent="0.25">
      <c r="M629" s="21"/>
    </row>
    <row r="630" spans="13:13" x14ac:dyDescent="0.25">
      <c r="M630" s="21"/>
    </row>
    <row r="631" spans="13:13" x14ac:dyDescent="0.25">
      <c r="M631" s="21"/>
    </row>
    <row r="632" spans="13:13" x14ac:dyDescent="0.25">
      <c r="M632" s="21"/>
    </row>
    <row r="633" spans="13:13" x14ac:dyDescent="0.25">
      <c r="M633" s="21"/>
    </row>
    <row r="634" spans="13:13" x14ac:dyDescent="0.25">
      <c r="M634" s="21"/>
    </row>
    <row r="635" spans="13:13" x14ac:dyDescent="0.25">
      <c r="M635" s="21"/>
    </row>
    <row r="636" spans="13:13" x14ac:dyDescent="0.25">
      <c r="M636" s="21"/>
    </row>
    <row r="637" spans="13:13" x14ac:dyDescent="0.25">
      <c r="M637" s="21"/>
    </row>
    <row r="638" spans="13:13" x14ac:dyDescent="0.25">
      <c r="M638" s="21"/>
    </row>
    <row r="639" spans="13:13" x14ac:dyDescent="0.25">
      <c r="M639" s="21"/>
    </row>
    <row r="640" spans="13:13" x14ac:dyDescent="0.25">
      <c r="M640" s="21"/>
    </row>
    <row r="641" spans="13:13" x14ac:dyDescent="0.25">
      <c r="M641" s="21"/>
    </row>
    <row r="642" spans="13:13" x14ac:dyDescent="0.25">
      <c r="M642" s="21"/>
    </row>
    <row r="643" spans="13:13" x14ac:dyDescent="0.25">
      <c r="M643" s="21"/>
    </row>
    <row r="644" spans="13:13" x14ac:dyDescent="0.25">
      <c r="M644" s="21"/>
    </row>
    <row r="645" spans="13:13" x14ac:dyDescent="0.25">
      <c r="M645" s="21"/>
    </row>
    <row r="646" spans="13:13" x14ac:dyDescent="0.25">
      <c r="M646" s="21"/>
    </row>
    <row r="647" spans="13:13" x14ac:dyDescent="0.25">
      <c r="M647" s="21"/>
    </row>
    <row r="648" spans="13:13" x14ac:dyDescent="0.25">
      <c r="M648" s="21"/>
    </row>
    <row r="649" spans="13:13" x14ac:dyDescent="0.25">
      <c r="M649" s="21"/>
    </row>
    <row r="650" spans="13:13" x14ac:dyDescent="0.25">
      <c r="M650" s="21"/>
    </row>
    <row r="651" spans="13:13" x14ac:dyDescent="0.25">
      <c r="M651" s="21"/>
    </row>
    <row r="652" spans="13:13" x14ac:dyDescent="0.25">
      <c r="M652" s="21"/>
    </row>
    <row r="653" spans="13:13" x14ac:dyDescent="0.25">
      <c r="M653" s="21"/>
    </row>
    <row r="654" spans="13:13" x14ac:dyDescent="0.25">
      <c r="M654" s="21"/>
    </row>
    <row r="655" spans="13:13" x14ac:dyDescent="0.25">
      <c r="M655" s="21"/>
    </row>
    <row r="656" spans="13:13" x14ac:dyDescent="0.25">
      <c r="M656" s="21"/>
    </row>
    <row r="657" spans="13:13" x14ac:dyDescent="0.25">
      <c r="M657" s="21"/>
    </row>
    <row r="658" spans="13:13" x14ac:dyDescent="0.25">
      <c r="M658" s="21"/>
    </row>
    <row r="659" spans="13:13" x14ac:dyDescent="0.25">
      <c r="M659" s="21"/>
    </row>
    <row r="660" spans="13:13" x14ac:dyDescent="0.25">
      <c r="M660" s="21"/>
    </row>
    <row r="661" spans="13:13" x14ac:dyDescent="0.25">
      <c r="M661" s="21"/>
    </row>
    <row r="662" spans="13:13" x14ac:dyDescent="0.25">
      <c r="M662" s="21"/>
    </row>
    <row r="663" spans="13:13" x14ac:dyDescent="0.25">
      <c r="M663" s="21"/>
    </row>
    <row r="664" spans="13:13" x14ac:dyDescent="0.25">
      <c r="M664" s="21"/>
    </row>
    <row r="665" spans="13:13" x14ac:dyDescent="0.25">
      <c r="M665" s="21"/>
    </row>
    <row r="666" spans="13:13" x14ac:dyDescent="0.25">
      <c r="M666" s="21"/>
    </row>
    <row r="667" spans="13:13" x14ac:dyDescent="0.25">
      <c r="M667" s="21"/>
    </row>
    <row r="668" spans="13:13" x14ac:dyDescent="0.25">
      <c r="M668" s="21"/>
    </row>
    <row r="669" spans="13:13" x14ac:dyDescent="0.25">
      <c r="M669" s="21"/>
    </row>
    <row r="670" spans="13:13" x14ac:dyDescent="0.25">
      <c r="M670" s="21"/>
    </row>
    <row r="671" spans="13:13" x14ac:dyDescent="0.25">
      <c r="M671" s="21"/>
    </row>
    <row r="672" spans="13:13" x14ac:dyDescent="0.25">
      <c r="M672" s="21"/>
    </row>
    <row r="673" spans="13:13" x14ac:dyDescent="0.25">
      <c r="M673" s="21"/>
    </row>
    <row r="674" spans="13:13" x14ac:dyDescent="0.25">
      <c r="M674" s="21"/>
    </row>
    <row r="675" spans="13:13" x14ac:dyDescent="0.25">
      <c r="M675" s="21"/>
    </row>
    <row r="676" spans="13:13" x14ac:dyDescent="0.25">
      <c r="M676" s="21"/>
    </row>
    <row r="677" spans="13:13" x14ac:dyDescent="0.25">
      <c r="M677" s="21"/>
    </row>
    <row r="678" spans="13:13" x14ac:dyDescent="0.25">
      <c r="M678" s="21"/>
    </row>
    <row r="679" spans="13:13" x14ac:dyDescent="0.25">
      <c r="M679" s="21"/>
    </row>
    <row r="680" spans="13:13" x14ac:dyDescent="0.25">
      <c r="M680" s="21"/>
    </row>
    <row r="681" spans="13:13" x14ac:dyDescent="0.25">
      <c r="M681" s="21"/>
    </row>
    <row r="682" spans="13:13" x14ac:dyDescent="0.25">
      <c r="M682" s="21"/>
    </row>
    <row r="683" spans="13:13" x14ac:dyDescent="0.25">
      <c r="M683" s="21"/>
    </row>
    <row r="684" spans="13:13" x14ac:dyDescent="0.25">
      <c r="M684" s="21"/>
    </row>
    <row r="685" spans="13:13" x14ac:dyDescent="0.25">
      <c r="M685" s="21"/>
    </row>
    <row r="686" spans="13:13" x14ac:dyDescent="0.25">
      <c r="M686" s="21"/>
    </row>
    <row r="687" spans="13:13" x14ac:dyDescent="0.25">
      <c r="M687" s="21"/>
    </row>
    <row r="688" spans="13:13" x14ac:dyDescent="0.25">
      <c r="M688" s="21"/>
    </row>
    <row r="689" spans="13:13" x14ac:dyDescent="0.25">
      <c r="M689" s="21"/>
    </row>
    <row r="690" spans="13:13" x14ac:dyDescent="0.25">
      <c r="M690" s="21"/>
    </row>
    <row r="691" spans="13:13" x14ac:dyDescent="0.25">
      <c r="M691" s="21"/>
    </row>
    <row r="692" spans="13:13" x14ac:dyDescent="0.25">
      <c r="M692" s="21"/>
    </row>
    <row r="693" spans="13:13" x14ac:dyDescent="0.25">
      <c r="M693" s="21"/>
    </row>
    <row r="694" spans="13:13" x14ac:dyDescent="0.25">
      <c r="M694" s="21"/>
    </row>
    <row r="695" spans="13:13" x14ac:dyDescent="0.25">
      <c r="M695" s="21"/>
    </row>
    <row r="696" spans="13:13" x14ac:dyDescent="0.25">
      <c r="M696" s="21"/>
    </row>
    <row r="697" spans="13:13" x14ac:dyDescent="0.25">
      <c r="M697" s="21"/>
    </row>
    <row r="698" spans="13:13" x14ac:dyDescent="0.25">
      <c r="M698" s="21"/>
    </row>
    <row r="699" spans="13:13" x14ac:dyDescent="0.25">
      <c r="M699" s="21"/>
    </row>
    <row r="700" spans="13:13" x14ac:dyDescent="0.25">
      <c r="M700" s="21"/>
    </row>
    <row r="701" spans="13:13" x14ac:dyDescent="0.25">
      <c r="M701" s="21"/>
    </row>
    <row r="702" spans="13:13" x14ac:dyDescent="0.25">
      <c r="M702" s="21"/>
    </row>
    <row r="703" spans="13:13" x14ac:dyDescent="0.25">
      <c r="M703" s="21"/>
    </row>
    <row r="704" spans="13:13" x14ac:dyDescent="0.25">
      <c r="M704" s="21"/>
    </row>
    <row r="705" spans="13:13" x14ac:dyDescent="0.25">
      <c r="M705" s="21"/>
    </row>
    <row r="706" spans="13:13" x14ac:dyDescent="0.25">
      <c r="M706" s="21"/>
    </row>
    <row r="707" spans="13:13" x14ac:dyDescent="0.25">
      <c r="M707" s="21"/>
    </row>
    <row r="708" spans="13:13" x14ac:dyDescent="0.25">
      <c r="M708" s="21"/>
    </row>
    <row r="709" spans="13:13" x14ac:dyDescent="0.25">
      <c r="M709" s="21"/>
    </row>
    <row r="710" spans="13:13" x14ac:dyDescent="0.25">
      <c r="M710" s="21"/>
    </row>
    <row r="711" spans="13:13" x14ac:dyDescent="0.25">
      <c r="M711" s="21"/>
    </row>
    <row r="712" spans="13:13" x14ac:dyDescent="0.25">
      <c r="M712" s="21"/>
    </row>
    <row r="713" spans="13:13" x14ac:dyDescent="0.25">
      <c r="M713" s="21"/>
    </row>
    <row r="714" spans="13:13" x14ac:dyDescent="0.25">
      <c r="M714" s="21"/>
    </row>
    <row r="715" spans="13:13" x14ac:dyDescent="0.25">
      <c r="M715" s="21"/>
    </row>
    <row r="716" spans="13:13" x14ac:dyDescent="0.25">
      <c r="M716" s="21"/>
    </row>
    <row r="717" spans="13:13" x14ac:dyDescent="0.25">
      <c r="M717" s="21"/>
    </row>
    <row r="718" spans="13:13" x14ac:dyDescent="0.25">
      <c r="M718" s="21"/>
    </row>
    <row r="719" spans="13:13" x14ac:dyDescent="0.25">
      <c r="M719" s="21"/>
    </row>
    <row r="720" spans="13:13" x14ac:dyDescent="0.25">
      <c r="M720" s="21"/>
    </row>
    <row r="721" spans="13:13" x14ac:dyDescent="0.25">
      <c r="M721" s="21"/>
    </row>
    <row r="722" spans="13:13" x14ac:dyDescent="0.25">
      <c r="M722" s="21"/>
    </row>
    <row r="723" spans="13:13" x14ac:dyDescent="0.25">
      <c r="M723" s="21"/>
    </row>
    <row r="724" spans="13:13" x14ac:dyDescent="0.25">
      <c r="M724" s="21"/>
    </row>
    <row r="725" spans="13:13" x14ac:dyDescent="0.25">
      <c r="M725" s="21"/>
    </row>
    <row r="726" spans="13:13" x14ac:dyDescent="0.25">
      <c r="M726" s="21"/>
    </row>
    <row r="727" spans="13:13" x14ac:dyDescent="0.25">
      <c r="M727" s="21"/>
    </row>
    <row r="728" spans="13:13" x14ac:dyDescent="0.25">
      <c r="M728" s="21"/>
    </row>
    <row r="729" spans="13:13" x14ac:dyDescent="0.25">
      <c r="M729" s="21"/>
    </row>
    <row r="730" spans="13:13" x14ac:dyDescent="0.25">
      <c r="M730" s="21"/>
    </row>
    <row r="731" spans="13:13" x14ac:dyDescent="0.25">
      <c r="M731" s="21"/>
    </row>
    <row r="732" spans="13:13" x14ac:dyDescent="0.25">
      <c r="M732" s="21"/>
    </row>
    <row r="733" spans="13:13" x14ac:dyDescent="0.25">
      <c r="M733" s="21"/>
    </row>
    <row r="734" spans="13:13" x14ac:dyDescent="0.25">
      <c r="M734" s="21"/>
    </row>
    <row r="735" spans="13:13" x14ac:dyDescent="0.25">
      <c r="M735" s="21"/>
    </row>
    <row r="736" spans="13:13" x14ac:dyDescent="0.25">
      <c r="M736" s="21"/>
    </row>
    <row r="737" spans="13:13" x14ac:dyDescent="0.25">
      <c r="M737" s="21"/>
    </row>
    <row r="738" spans="13:13" x14ac:dyDescent="0.25">
      <c r="M738" s="21"/>
    </row>
    <row r="739" spans="13:13" x14ac:dyDescent="0.25">
      <c r="M739" s="21"/>
    </row>
    <row r="740" spans="13:13" x14ac:dyDescent="0.25">
      <c r="M740" s="21"/>
    </row>
    <row r="741" spans="13:13" x14ac:dyDescent="0.25">
      <c r="M741" s="21"/>
    </row>
    <row r="742" spans="13:13" x14ac:dyDescent="0.25">
      <c r="M742" s="21"/>
    </row>
    <row r="743" spans="13:13" x14ac:dyDescent="0.25">
      <c r="M743" s="21"/>
    </row>
    <row r="744" spans="13:13" x14ac:dyDescent="0.25">
      <c r="M744" s="21"/>
    </row>
    <row r="745" spans="13:13" x14ac:dyDescent="0.25">
      <c r="M745" s="21"/>
    </row>
    <row r="746" spans="13:13" x14ac:dyDescent="0.25">
      <c r="M746" s="21"/>
    </row>
    <row r="747" spans="13:13" x14ac:dyDescent="0.25">
      <c r="M747" s="21"/>
    </row>
    <row r="748" spans="13:13" x14ac:dyDescent="0.25">
      <c r="M748" s="21"/>
    </row>
    <row r="749" spans="13:13" x14ac:dyDescent="0.25">
      <c r="M749" s="21"/>
    </row>
    <row r="750" spans="13:13" x14ac:dyDescent="0.25">
      <c r="M750" s="21"/>
    </row>
    <row r="751" spans="13:13" x14ac:dyDescent="0.25">
      <c r="M751" s="21"/>
    </row>
    <row r="752" spans="13:13" x14ac:dyDescent="0.25">
      <c r="M752" s="21"/>
    </row>
    <row r="753" spans="13:13" x14ac:dyDescent="0.25">
      <c r="M753" s="21"/>
    </row>
    <row r="754" spans="13:13" x14ac:dyDescent="0.25">
      <c r="M754" s="21"/>
    </row>
    <row r="755" spans="13:13" x14ac:dyDescent="0.25">
      <c r="M755" s="21"/>
    </row>
    <row r="756" spans="13:13" x14ac:dyDescent="0.25">
      <c r="M756" s="21"/>
    </row>
    <row r="757" spans="13:13" x14ac:dyDescent="0.25">
      <c r="M757" s="21"/>
    </row>
    <row r="758" spans="13:13" x14ac:dyDescent="0.25">
      <c r="M758" s="21"/>
    </row>
    <row r="759" spans="13:13" x14ac:dyDescent="0.25">
      <c r="M759" s="21"/>
    </row>
    <row r="760" spans="13:13" x14ac:dyDescent="0.25">
      <c r="M760" s="21"/>
    </row>
    <row r="761" spans="13:13" x14ac:dyDescent="0.25">
      <c r="M761" s="21"/>
    </row>
    <row r="762" spans="13:13" x14ac:dyDescent="0.25">
      <c r="M762" s="21"/>
    </row>
    <row r="763" spans="13:13" x14ac:dyDescent="0.25">
      <c r="M763" s="21"/>
    </row>
    <row r="764" spans="13:13" x14ac:dyDescent="0.25">
      <c r="M764" s="21"/>
    </row>
    <row r="765" spans="13:13" x14ac:dyDescent="0.25">
      <c r="M765" s="21"/>
    </row>
    <row r="766" spans="13:13" x14ac:dyDescent="0.25">
      <c r="M766" s="21"/>
    </row>
    <row r="767" spans="13:13" x14ac:dyDescent="0.25">
      <c r="M767" s="21"/>
    </row>
    <row r="768" spans="13:13" x14ac:dyDescent="0.25">
      <c r="M768" s="21"/>
    </row>
    <row r="769" spans="13:13" x14ac:dyDescent="0.25">
      <c r="M769" s="21"/>
    </row>
    <row r="770" spans="13:13" x14ac:dyDescent="0.25">
      <c r="M770" s="21"/>
    </row>
    <row r="771" spans="13:13" x14ac:dyDescent="0.25">
      <c r="M771" s="21"/>
    </row>
    <row r="772" spans="13:13" x14ac:dyDescent="0.25">
      <c r="M772" s="21"/>
    </row>
    <row r="773" spans="13:13" x14ac:dyDescent="0.25">
      <c r="M773" s="21"/>
    </row>
    <row r="774" spans="13:13" x14ac:dyDescent="0.25">
      <c r="M774" s="21"/>
    </row>
    <row r="775" spans="13:13" x14ac:dyDescent="0.25">
      <c r="M775" s="21"/>
    </row>
    <row r="776" spans="13:13" x14ac:dyDescent="0.25">
      <c r="M776" s="21"/>
    </row>
    <row r="777" spans="13:13" x14ac:dyDescent="0.25">
      <c r="M777" s="21"/>
    </row>
    <row r="778" spans="13:13" x14ac:dyDescent="0.25">
      <c r="M778" s="21"/>
    </row>
    <row r="779" spans="13:13" x14ac:dyDescent="0.25">
      <c r="M779" s="21"/>
    </row>
    <row r="780" spans="13:13" x14ac:dyDescent="0.25">
      <c r="M780" s="21"/>
    </row>
    <row r="781" spans="13:13" x14ac:dyDescent="0.25">
      <c r="M781" s="21"/>
    </row>
    <row r="782" spans="13:13" x14ac:dyDescent="0.25">
      <c r="M782" s="21"/>
    </row>
    <row r="783" spans="13:13" x14ac:dyDescent="0.25">
      <c r="M783" s="21"/>
    </row>
    <row r="784" spans="13:13" x14ac:dyDescent="0.25">
      <c r="M784" s="21"/>
    </row>
    <row r="785" spans="13:13" x14ac:dyDescent="0.25">
      <c r="M785" s="21"/>
    </row>
    <row r="786" spans="13:13" x14ac:dyDescent="0.25">
      <c r="M786" s="21"/>
    </row>
    <row r="787" spans="13:13" x14ac:dyDescent="0.25">
      <c r="M787" s="21"/>
    </row>
    <row r="788" spans="13:13" x14ac:dyDescent="0.25">
      <c r="M788" s="21"/>
    </row>
    <row r="789" spans="13:13" x14ac:dyDescent="0.25">
      <c r="M789" s="21"/>
    </row>
    <row r="790" spans="13:13" x14ac:dyDescent="0.25">
      <c r="M790" s="21"/>
    </row>
    <row r="791" spans="13:13" x14ac:dyDescent="0.25">
      <c r="M791" s="21"/>
    </row>
    <row r="792" spans="13:13" x14ac:dyDescent="0.25">
      <c r="M792" s="21"/>
    </row>
    <row r="793" spans="13:13" x14ac:dyDescent="0.25">
      <c r="M793" s="21"/>
    </row>
    <row r="794" spans="13:13" x14ac:dyDescent="0.25">
      <c r="M794" s="21"/>
    </row>
    <row r="795" spans="13:13" x14ac:dyDescent="0.25">
      <c r="M795" s="21"/>
    </row>
    <row r="796" spans="13:13" x14ac:dyDescent="0.25">
      <c r="M796" s="21"/>
    </row>
    <row r="797" spans="13:13" x14ac:dyDescent="0.25">
      <c r="M797" s="21"/>
    </row>
    <row r="798" spans="13:13" x14ac:dyDescent="0.25">
      <c r="M798" s="21"/>
    </row>
    <row r="799" spans="13:13" x14ac:dyDescent="0.25">
      <c r="M799" s="21"/>
    </row>
    <row r="800" spans="13:13" x14ac:dyDescent="0.25">
      <c r="M800" s="21"/>
    </row>
    <row r="801" spans="13:13" x14ac:dyDescent="0.25">
      <c r="M801" s="21"/>
    </row>
    <row r="802" spans="13:13" x14ac:dyDescent="0.25">
      <c r="M802" s="21"/>
    </row>
    <row r="803" spans="13:13" x14ac:dyDescent="0.25">
      <c r="M803" s="21"/>
    </row>
    <row r="804" spans="13:13" x14ac:dyDescent="0.25">
      <c r="M804" s="21"/>
    </row>
    <row r="805" spans="13:13" x14ac:dyDescent="0.25">
      <c r="M805" s="21"/>
    </row>
    <row r="806" spans="13:13" x14ac:dyDescent="0.25">
      <c r="M806" s="21"/>
    </row>
    <row r="807" spans="13:13" x14ac:dyDescent="0.25">
      <c r="M807" s="21"/>
    </row>
    <row r="808" spans="13:13" x14ac:dyDescent="0.25">
      <c r="M808" s="21"/>
    </row>
    <row r="809" spans="13:13" x14ac:dyDescent="0.25">
      <c r="M809" s="21"/>
    </row>
    <row r="810" spans="13:13" x14ac:dyDescent="0.25">
      <c r="M810" s="21"/>
    </row>
    <row r="811" spans="13:13" x14ac:dyDescent="0.25">
      <c r="M811" s="21"/>
    </row>
    <row r="812" spans="13:13" x14ac:dyDescent="0.25">
      <c r="M812" s="21"/>
    </row>
    <row r="813" spans="13:13" x14ac:dyDescent="0.25">
      <c r="M813" s="21"/>
    </row>
    <row r="814" spans="13:13" x14ac:dyDescent="0.25">
      <c r="M814" s="21"/>
    </row>
    <row r="815" spans="13:13" x14ac:dyDescent="0.25">
      <c r="M815" s="21"/>
    </row>
    <row r="816" spans="13:13" x14ac:dyDescent="0.25">
      <c r="M816" s="21"/>
    </row>
    <row r="817" spans="13:13" x14ac:dyDescent="0.25">
      <c r="M817" s="21"/>
    </row>
    <row r="818" spans="13:13" x14ac:dyDescent="0.25">
      <c r="M818" s="21"/>
    </row>
    <row r="819" spans="13:13" x14ac:dyDescent="0.25">
      <c r="M819" s="21"/>
    </row>
    <row r="820" spans="13:13" x14ac:dyDescent="0.25">
      <c r="M820" s="21"/>
    </row>
    <row r="821" spans="13:13" x14ac:dyDescent="0.25">
      <c r="M821" s="21"/>
    </row>
    <row r="822" spans="13:13" x14ac:dyDescent="0.25">
      <c r="M822" s="21"/>
    </row>
    <row r="823" spans="13:13" x14ac:dyDescent="0.25">
      <c r="M823" s="21"/>
    </row>
    <row r="824" spans="13:13" x14ac:dyDescent="0.25">
      <c r="M824" s="21"/>
    </row>
    <row r="825" spans="13:13" x14ac:dyDescent="0.25">
      <c r="M825" s="21"/>
    </row>
    <row r="826" spans="13:13" x14ac:dyDescent="0.25">
      <c r="M826" s="21"/>
    </row>
    <row r="827" spans="13:13" x14ac:dyDescent="0.25">
      <c r="M827" s="21"/>
    </row>
    <row r="828" spans="13:13" x14ac:dyDescent="0.25">
      <c r="M828" s="21"/>
    </row>
    <row r="829" spans="13:13" x14ac:dyDescent="0.25">
      <c r="M829" s="21"/>
    </row>
    <row r="830" spans="13:13" x14ac:dyDescent="0.25">
      <c r="M830" s="21"/>
    </row>
    <row r="831" spans="13:13" x14ac:dyDescent="0.25">
      <c r="M831" s="21"/>
    </row>
    <row r="832" spans="13:13" x14ac:dyDescent="0.25">
      <c r="M832" s="21"/>
    </row>
    <row r="833" spans="13:13" x14ac:dyDescent="0.25">
      <c r="M833" s="21"/>
    </row>
    <row r="834" spans="13:13" x14ac:dyDescent="0.25">
      <c r="M834" s="21"/>
    </row>
    <row r="835" spans="13:13" x14ac:dyDescent="0.25">
      <c r="M835" s="21"/>
    </row>
    <row r="836" spans="13:13" x14ac:dyDescent="0.25">
      <c r="M836" s="21"/>
    </row>
    <row r="837" spans="13:13" x14ac:dyDescent="0.25">
      <c r="M837" s="21"/>
    </row>
    <row r="838" spans="13:13" x14ac:dyDescent="0.25">
      <c r="M838" s="21"/>
    </row>
    <row r="839" spans="13:13" x14ac:dyDescent="0.25">
      <c r="M839" s="21"/>
    </row>
    <row r="840" spans="13:13" x14ac:dyDescent="0.25">
      <c r="M840" s="21"/>
    </row>
    <row r="841" spans="13:13" x14ac:dyDescent="0.25">
      <c r="M841" s="21"/>
    </row>
    <row r="842" spans="13:13" x14ac:dyDescent="0.25">
      <c r="M842" s="21"/>
    </row>
    <row r="843" spans="13:13" x14ac:dyDescent="0.25">
      <c r="M843" s="21"/>
    </row>
    <row r="844" spans="13:13" x14ac:dyDescent="0.25">
      <c r="M844" s="21"/>
    </row>
    <row r="845" spans="13:13" x14ac:dyDescent="0.25">
      <c r="M845" s="21"/>
    </row>
    <row r="846" spans="13:13" x14ac:dyDescent="0.25">
      <c r="M846" s="21"/>
    </row>
    <row r="847" spans="13:13" x14ac:dyDescent="0.25">
      <c r="M847" s="21"/>
    </row>
    <row r="848" spans="13:13" x14ac:dyDescent="0.25">
      <c r="M848" s="21"/>
    </row>
    <row r="849" spans="13:13" x14ac:dyDescent="0.25">
      <c r="M849" s="21"/>
    </row>
    <row r="850" spans="13:13" x14ac:dyDescent="0.25">
      <c r="M850" s="21"/>
    </row>
    <row r="851" spans="13:13" x14ac:dyDescent="0.25">
      <c r="M851" s="21"/>
    </row>
    <row r="852" spans="13:13" x14ac:dyDescent="0.25">
      <c r="M852" s="21"/>
    </row>
    <row r="853" spans="13:13" x14ac:dyDescent="0.25">
      <c r="M853" s="21"/>
    </row>
    <row r="854" spans="13:13" x14ac:dyDescent="0.25">
      <c r="M854" s="21"/>
    </row>
    <row r="855" spans="13:13" x14ac:dyDescent="0.25">
      <c r="M855" s="21"/>
    </row>
    <row r="856" spans="13:13" x14ac:dyDescent="0.25">
      <c r="M856" s="21"/>
    </row>
    <row r="857" spans="13:13" x14ac:dyDescent="0.25">
      <c r="M857" s="21"/>
    </row>
    <row r="858" spans="13:13" x14ac:dyDescent="0.25">
      <c r="M858" s="21"/>
    </row>
    <row r="859" spans="13:13" x14ac:dyDescent="0.25">
      <c r="M859" s="21"/>
    </row>
    <row r="860" spans="13:13" x14ac:dyDescent="0.25">
      <c r="M860" s="21"/>
    </row>
    <row r="861" spans="13:13" x14ac:dyDescent="0.25">
      <c r="M861" s="21"/>
    </row>
    <row r="862" spans="13:13" x14ac:dyDescent="0.25">
      <c r="M862" s="21"/>
    </row>
    <row r="863" spans="13:13" x14ac:dyDescent="0.25">
      <c r="M863" s="21"/>
    </row>
    <row r="864" spans="13:13" x14ac:dyDescent="0.25">
      <c r="M864" s="21"/>
    </row>
    <row r="865" spans="13:13" x14ac:dyDescent="0.25">
      <c r="M865" s="21"/>
    </row>
    <row r="866" spans="13:13" x14ac:dyDescent="0.25">
      <c r="M866" s="21"/>
    </row>
    <row r="867" spans="13:13" x14ac:dyDescent="0.25">
      <c r="M867" s="21"/>
    </row>
    <row r="868" spans="13:13" x14ac:dyDescent="0.25">
      <c r="M868" s="21"/>
    </row>
    <row r="869" spans="13:13" x14ac:dyDescent="0.25">
      <c r="M869" s="21"/>
    </row>
    <row r="870" spans="13:13" x14ac:dyDescent="0.25">
      <c r="M870" s="21"/>
    </row>
    <row r="871" spans="13:13" x14ac:dyDescent="0.25">
      <c r="M871" s="21"/>
    </row>
    <row r="872" spans="13:13" x14ac:dyDescent="0.25">
      <c r="M872" s="21"/>
    </row>
    <row r="873" spans="13:13" x14ac:dyDescent="0.25">
      <c r="M873" s="21"/>
    </row>
    <row r="874" spans="13:13" x14ac:dyDescent="0.25">
      <c r="M874" s="21"/>
    </row>
    <row r="875" spans="13:13" x14ac:dyDescent="0.25">
      <c r="M875" s="21"/>
    </row>
    <row r="876" spans="13:13" x14ac:dyDescent="0.25">
      <c r="M876" s="21"/>
    </row>
    <row r="877" spans="13:13" x14ac:dyDescent="0.25">
      <c r="M877" s="21"/>
    </row>
    <row r="878" spans="13:13" x14ac:dyDescent="0.25">
      <c r="M878" s="21"/>
    </row>
    <row r="879" spans="13:13" x14ac:dyDescent="0.25">
      <c r="M879" s="21"/>
    </row>
    <row r="880" spans="13:13" x14ac:dyDescent="0.25">
      <c r="M880" s="21"/>
    </row>
    <row r="881" spans="13:13" x14ac:dyDescent="0.25">
      <c r="M881" s="21"/>
    </row>
    <row r="882" spans="13:13" x14ac:dyDescent="0.25">
      <c r="M882" s="21"/>
    </row>
    <row r="883" spans="13:13" x14ac:dyDescent="0.25">
      <c r="M883" s="21"/>
    </row>
    <row r="884" spans="13:13" x14ac:dyDescent="0.25">
      <c r="M884" s="21"/>
    </row>
    <row r="885" spans="13:13" x14ac:dyDescent="0.25">
      <c r="M885" s="21"/>
    </row>
    <row r="886" spans="13:13" x14ac:dyDescent="0.25">
      <c r="M886" s="21"/>
    </row>
    <row r="887" spans="13:13" x14ac:dyDescent="0.25">
      <c r="M887" s="21"/>
    </row>
    <row r="888" spans="13:13" x14ac:dyDescent="0.25">
      <c r="M888" s="21"/>
    </row>
    <row r="889" spans="13:13" x14ac:dyDescent="0.25">
      <c r="M889" s="21"/>
    </row>
    <row r="890" spans="13:13" x14ac:dyDescent="0.25">
      <c r="M890" s="21"/>
    </row>
    <row r="891" spans="13:13" x14ac:dyDescent="0.25">
      <c r="M891" s="21"/>
    </row>
    <row r="892" spans="13:13" x14ac:dyDescent="0.25">
      <c r="M892" s="21"/>
    </row>
    <row r="893" spans="13:13" x14ac:dyDescent="0.25">
      <c r="M893" s="21"/>
    </row>
    <row r="894" spans="13:13" x14ac:dyDescent="0.25">
      <c r="M894" s="21"/>
    </row>
    <row r="895" spans="13:13" x14ac:dyDescent="0.25">
      <c r="M895" s="21"/>
    </row>
    <row r="896" spans="13:13" x14ac:dyDescent="0.25">
      <c r="M896" s="21"/>
    </row>
    <row r="897" spans="13:13" x14ac:dyDescent="0.25">
      <c r="M897" s="21"/>
    </row>
    <row r="898" spans="13:13" x14ac:dyDescent="0.25">
      <c r="M898" s="21"/>
    </row>
    <row r="899" spans="13:13" x14ac:dyDescent="0.25">
      <c r="M899" s="21"/>
    </row>
    <row r="900" spans="13:13" x14ac:dyDescent="0.25">
      <c r="M900" s="21"/>
    </row>
    <row r="901" spans="13:13" x14ac:dyDescent="0.25">
      <c r="M901" s="21"/>
    </row>
    <row r="902" spans="13:13" x14ac:dyDescent="0.25">
      <c r="M902" s="21"/>
    </row>
    <row r="903" spans="13:13" x14ac:dyDescent="0.25">
      <c r="M903" s="21"/>
    </row>
    <row r="904" spans="13:13" x14ac:dyDescent="0.25">
      <c r="M904" s="21"/>
    </row>
    <row r="905" spans="13:13" x14ac:dyDescent="0.25">
      <c r="M905" s="21"/>
    </row>
    <row r="906" spans="13:13" x14ac:dyDescent="0.25">
      <c r="M906" s="21"/>
    </row>
    <row r="907" spans="13:13" x14ac:dyDescent="0.25">
      <c r="M907" s="21"/>
    </row>
    <row r="908" spans="13:13" x14ac:dyDescent="0.25">
      <c r="M908" s="21"/>
    </row>
    <row r="909" spans="13:13" x14ac:dyDescent="0.25">
      <c r="M909" s="21"/>
    </row>
    <row r="910" spans="13:13" x14ac:dyDescent="0.25">
      <c r="M910" s="21"/>
    </row>
    <row r="911" spans="13:13" x14ac:dyDescent="0.25">
      <c r="M911" s="21"/>
    </row>
    <row r="912" spans="13:13" x14ac:dyDescent="0.25">
      <c r="M912" s="21"/>
    </row>
    <row r="913" spans="13:13" x14ac:dyDescent="0.25">
      <c r="M913" s="21"/>
    </row>
    <row r="914" spans="13:13" x14ac:dyDescent="0.25">
      <c r="M914" s="21"/>
    </row>
    <row r="915" spans="13:13" x14ac:dyDescent="0.25">
      <c r="M915" s="21"/>
    </row>
    <row r="916" spans="13:13" x14ac:dyDescent="0.25">
      <c r="M916" s="21"/>
    </row>
    <row r="917" spans="13:13" x14ac:dyDescent="0.25">
      <c r="M917" s="21"/>
    </row>
    <row r="918" spans="13:13" x14ac:dyDescent="0.25">
      <c r="M918" s="21"/>
    </row>
    <row r="919" spans="13:13" x14ac:dyDescent="0.25">
      <c r="M919" s="21"/>
    </row>
    <row r="920" spans="13:13" x14ac:dyDescent="0.25">
      <c r="M920" s="21"/>
    </row>
    <row r="921" spans="13:13" x14ac:dyDescent="0.25">
      <c r="M921" s="21"/>
    </row>
    <row r="922" spans="13:13" x14ac:dyDescent="0.25">
      <c r="M922" s="21"/>
    </row>
    <row r="923" spans="13:13" x14ac:dyDescent="0.25">
      <c r="M923" s="21"/>
    </row>
    <row r="924" spans="13:13" x14ac:dyDescent="0.25">
      <c r="M924" s="21"/>
    </row>
    <row r="925" spans="13:13" x14ac:dyDescent="0.25">
      <c r="M925" s="21"/>
    </row>
    <row r="926" spans="13:13" x14ac:dyDescent="0.25">
      <c r="M926" s="21"/>
    </row>
    <row r="927" spans="13:13" x14ac:dyDescent="0.25">
      <c r="M927" s="21"/>
    </row>
    <row r="928" spans="13:13" x14ac:dyDescent="0.25">
      <c r="M928" s="21"/>
    </row>
    <row r="929" spans="13:13" x14ac:dyDescent="0.25">
      <c r="M929" s="21"/>
    </row>
    <row r="930" spans="13:13" x14ac:dyDescent="0.25">
      <c r="M930" s="21"/>
    </row>
    <row r="931" spans="13:13" x14ac:dyDescent="0.25">
      <c r="M931" s="21"/>
    </row>
    <row r="932" spans="13:13" x14ac:dyDescent="0.25">
      <c r="M932" s="21"/>
    </row>
    <row r="933" spans="13:13" x14ac:dyDescent="0.25">
      <c r="M933" s="21"/>
    </row>
    <row r="934" spans="13:13" x14ac:dyDescent="0.25">
      <c r="M934" s="21"/>
    </row>
    <row r="935" spans="13:13" x14ac:dyDescent="0.25">
      <c r="M935" s="21"/>
    </row>
    <row r="936" spans="13:13" x14ac:dyDescent="0.25">
      <c r="M936" s="21"/>
    </row>
    <row r="937" spans="13:13" x14ac:dyDescent="0.25">
      <c r="M937" s="21"/>
    </row>
    <row r="938" spans="13:13" x14ac:dyDescent="0.25">
      <c r="M938" s="21"/>
    </row>
    <row r="939" spans="13:13" x14ac:dyDescent="0.25">
      <c r="M939" s="21"/>
    </row>
    <row r="940" spans="13:13" x14ac:dyDescent="0.25">
      <c r="M940" s="21"/>
    </row>
    <row r="941" spans="13:13" x14ac:dyDescent="0.25">
      <c r="M941" s="21"/>
    </row>
    <row r="942" spans="13:13" x14ac:dyDescent="0.25">
      <c r="M942" s="21"/>
    </row>
    <row r="943" spans="13:13" x14ac:dyDescent="0.25">
      <c r="M943" s="21"/>
    </row>
    <row r="944" spans="13:13" x14ac:dyDescent="0.25">
      <c r="M944" s="21"/>
    </row>
    <row r="945" spans="13:13" x14ac:dyDescent="0.25">
      <c r="M945" s="21"/>
    </row>
    <row r="946" spans="13:13" x14ac:dyDescent="0.25">
      <c r="M946" s="21"/>
    </row>
    <row r="947" spans="13:13" x14ac:dyDescent="0.25">
      <c r="M947" s="21"/>
    </row>
    <row r="948" spans="13:13" x14ac:dyDescent="0.25">
      <c r="M948" s="21"/>
    </row>
    <row r="949" spans="13:13" x14ac:dyDescent="0.25">
      <c r="M949" s="21"/>
    </row>
    <row r="950" spans="13:13" x14ac:dyDescent="0.25">
      <c r="M950" s="21"/>
    </row>
    <row r="951" spans="13:13" x14ac:dyDescent="0.25">
      <c r="M951" s="21"/>
    </row>
    <row r="952" spans="13:13" x14ac:dyDescent="0.25">
      <c r="M952" s="21"/>
    </row>
    <row r="953" spans="13:13" x14ac:dyDescent="0.25">
      <c r="M953" s="21"/>
    </row>
    <row r="954" spans="13:13" x14ac:dyDescent="0.25">
      <c r="M954" s="21"/>
    </row>
    <row r="955" spans="13:13" x14ac:dyDescent="0.25">
      <c r="M955" s="21"/>
    </row>
    <row r="956" spans="13:13" x14ac:dyDescent="0.25">
      <c r="M956" s="21"/>
    </row>
    <row r="957" spans="13:13" x14ac:dyDescent="0.25">
      <c r="M957" s="21"/>
    </row>
    <row r="958" spans="13:13" x14ac:dyDescent="0.25">
      <c r="M958" s="21"/>
    </row>
    <row r="959" spans="13:13" x14ac:dyDescent="0.25">
      <c r="M959" s="21"/>
    </row>
    <row r="960" spans="13:13" x14ac:dyDescent="0.25">
      <c r="M960" s="21"/>
    </row>
    <row r="961" spans="13:13" x14ac:dyDescent="0.25">
      <c r="M961" s="21"/>
    </row>
    <row r="962" spans="13:13" x14ac:dyDescent="0.25">
      <c r="M962" s="21"/>
    </row>
    <row r="963" spans="13:13" x14ac:dyDescent="0.25">
      <c r="M963" s="21"/>
    </row>
    <row r="964" spans="13:13" x14ac:dyDescent="0.25">
      <c r="M964" s="21"/>
    </row>
    <row r="965" spans="13:13" x14ac:dyDescent="0.25">
      <c r="M965" s="21"/>
    </row>
    <row r="966" spans="13:13" x14ac:dyDescent="0.25">
      <c r="M966" s="21"/>
    </row>
    <row r="967" spans="13:13" x14ac:dyDescent="0.25">
      <c r="M967" s="21"/>
    </row>
    <row r="968" spans="13:13" x14ac:dyDescent="0.25">
      <c r="M968" s="21"/>
    </row>
    <row r="969" spans="13:13" x14ac:dyDescent="0.25">
      <c r="M969" s="21"/>
    </row>
    <row r="970" spans="13:13" x14ac:dyDescent="0.25">
      <c r="M970" s="21"/>
    </row>
    <row r="971" spans="13:13" x14ac:dyDescent="0.25">
      <c r="M971" s="21"/>
    </row>
    <row r="972" spans="13:13" x14ac:dyDescent="0.25">
      <c r="M972" s="21"/>
    </row>
    <row r="973" spans="13:13" x14ac:dyDescent="0.25">
      <c r="M973" s="21"/>
    </row>
    <row r="974" spans="13:13" x14ac:dyDescent="0.25">
      <c r="M974" s="21"/>
    </row>
    <row r="975" spans="13:13" x14ac:dyDescent="0.25">
      <c r="M975" s="21"/>
    </row>
    <row r="976" spans="13:13" x14ac:dyDescent="0.25">
      <c r="M976" s="21"/>
    </row>
    <row r="977" spans="13:13" x14ac:dyDescent="0.25">
      <c r="M977" s="21"/>
    </row>
    <row r="978" spans="13:13" x14ac:dyDescent="0.25">
      <c r="M978" s="21"/>
    </row>
    <row r="979" spans="13:13" x14ac:dyDescent="0.25">
      <c r="M979" s="21"/>
    </row>
    <row r="980" spans="13:13" x14ac:dyDescent="0.25">
      <c r="M980" s="21"/>
    </row>
    <row r="981" spans="13:13" x14ac:dyDescent="0.25">
      <c r="M981" s="21"/>
    </row>
    <row r="982" spans="13:13" x14ac:dyDescent="0.25">
      <c r="M982" s="21"/>
    </row>
    <row r="983" spans="13:13" x14ac:dyDescent="0.25">
      <c r="M983" s="21"/>
    </row>
    <row r="984" spans="13:13" x14ac:dyDescent="0.25">
      <c r="M984" s="21"/>
    </row>
    <row r="985" spans="13:13" x14ac:dyDescent="0.25">
      <c r="M985" s="21"/>
    </row>
    <row r="986" spans="13:13" x14ac:dyDescent="0.25">
      <c r="M986" s="21"/>
    </row>
    <row r="987" spans="13:13" x14ac:dyDescent="0.25">
      <c r="M987" s="21"/>
    </row>
    <row r="988" spans="13:13" x14ac:dyDescent="0.25">
      <c r="M988" s="21"/>
    </row>
    <row r="989" spans="13:13" x14ac:dyDescent="0.25">
      <c r="M989" s="21"/>
    </row>
    <row r="990" spans="13:13" x14ac:dyDescent="0.25">
      <c r="M990" s="21"/>
    </row>
    <row r="991" spans="13:13" x14ac:dyDescent="0.25">
      <c r="M991" s="21"/>
    </row>
    <row r="992" spans="13:13" x14ac:dyDescent="0.25">
      <c r="M992" s="21"/>
    </row>
    <row r="993" spans="13:13" x14ac:dyDescent="0.25">
      <c r="M993" s="21"/>
    </row>
    <row r="994" spans="13:13" x14ac:dyDescent="0.25">
      <c r="M994" s="21"/>
    </row>
    <row r="995" spans="13:13" x14ac:dyDescent="0.25">
      <c r="M995" s="21"/>
    </row>
    <row r="996" spans="13:13" x14ac:dyDescent="0.25">
      <c r="M996" s="21"/>
    </row>
    <row r="997" spans="13:13" x14ac:dyDescent="0.25">
      <c r="M997" s="21"/>
    </row>
    <row r="998" spans="13:13" x14ac:dyDescent="0.25">
      <c r="M998" s="21"/>
    </row>
    <row r="999" spans="13:13" x14ac:dyDescent="0.25">
      <c r="M999" s="21"/>
    </row>
    <row r="1000" spans="13:13" x14ac:dyDescent="0.25">
      <c r="M1000" s="21"/>
    </row>
    <row r="1001" spans="13:13" x14ac:dyDescent="0.25">
      <c r="M1001" s="21"/>
    </row>
    <row r="1002" spans="13:13" x14ac:dyDescent="0.25">
      <c r="M1002" s="21"/>
    </row>
    <row r="1003" spans="13:13" x14ac:dyDescent="0.25">
      <c r="M1003" s="21"/>
    </row>
    <row r="1004" spans="13:13" x14ac:dyDescent="0.25">
      <c r="M1004" s="21"/>
    </row>
    <row r="1005" spans="13:13" x14ac:dyDescent="0.25">
      <c r="M1005" s="21"/>
    </row>
    <row r="1006" spans="13:13" x14ac:dyDescent="0.25">
      <c r="M1006" s="21"/>
    </row>
    <row r="1007" spans="13:13" x14ac:dyDescent="0.25">
      <c r="M1007" s="21"/>
    </row>
    <row r="1008" spans="13:13" x14ac:dyDescent="0.25">
      <c r="M1008" s="21"/>
    </row>
    <row r="1009" spans="13:13" x14ac:dyDescent="0.25">
      <c r="M1009" s="21"/>
    </row>
    <row r="1010" spans="13:13" x14ac:dyDescent="0.25">
      <c r="M1010" s="21"/>
    </row>
    <row r="1011" spans="13:13" x14ac:dyDescent="0.25">
      <c r="M1011" s="21"/>
    </row>
    <row r="1012" spans="13:13" x14ac:dyDescent="0.25">
      <c r="M1012" s="21"/>
    </row>
    <row r="1013" spans="13:13" x14ac:dyDescent="0.25">
      <c r="M1013" s="21"/>
    </row>
    <row r="1014" spans="13:13" x14ac:dyDescent="0.25">
      <c r="M1014" s="21"/>
    </row>
    <row r="1015" spans="13:13" x14ac:dyDescent="0.25">
      <c r="M1015" s="21"/>
    </row>
    <row r="1016" spans="13:13" x14ac:dyDescent="0.25">
      <c r="M1016" s="21"/>
    </row>
    <row r="1017" spans="13:13" x14ac:dyDescent="0.25">
      <c r="M1017" s="21"/>
    </row>
    <row r="1018" spans="13:13" x14ac:dyDescent="0.25">
      <c r="M1018" s="21"/>
    </row>
    <row r="1019" spans="13:13" x14ac:dyDescent="0.25">
      <c r="M1019" s="21"/>
    </row>
    <row r="1020" spans="13:13" x14ac:dyDescent="0.25">
      <c r="M1020" s="21"/>
    </row>
    <row r="1021" spans="13:13" x14ac:dyDescent="0.25">
      <c r="M1021" s="21"/>
    </row>
    <row r="1022" spans="13:13" x14ac:dyDescent="0.25">
      <c r="M1022" s="21"/>
    </row>
    <row r="1023" spans="13:13" x14ac:dyDescent="0.25">
      <c r="M1023" s="21"/>
    </row>
    <row r="1024" spans="13:13" x14ac:dyDescent="0.25">
      <c r="M1024" s="21"/>
    </row>
    <row r="1025" spans="13:13" x14ac:dyDescent="0.25">
      <c r="M1025" s="21"/>
    </row>
    <row r="1026" spans="13:13" x14ac:dyDescent="0.25">
      <c r="M1026" s="21"/>
    </row>
    <row r="1027" spans="13:13" x14ac:dyDescent="0.25">
      <c r="M1027" s="21"/>
    </row>
    <row r="1028" spans="13:13" x14ac:dyDescent="0.25">
      <c r="M1028" s="21"/>
    </row>
    <row r="1029" spans="13:13" x14ac:dyDescent="0.25">
      <c r="M1029" s="21"/>
    </row>
    <row r="1030" spans="13:13" x14ac:dyDescent="0.25">
      <c r="M1030" s="21"/>
    </row>
    <row r="1031" spans="13:13" x14ac:dyDescent="0.25">
      <c r="M1031" s="21"/>
    </row>
    <row r="1032" spans="13:13" x14ac:dyDescent="0.25">
      <c r="M1032" s="21"/>
    </row>
    <row r="1033" spans="13:13" x14ac:dyDescent="0.25">
      <c r="M1033" s="21"/>
    </row>
    <row r="1034" spans="13:13" x14ac:dyDescent="0.25">
      <c r="M1034" s="21"/>
    </row>
    <row r="1035" spans="13:13" x14ac:dyDescent="0.25">
      <c r="M1035" s="21"/>
    </row>
    <row r="1036" spans="13:13" x14ac:dyDescent="0.25">
      <c r="M1036" s="21"/>
    </row>
    <row r="1037" spans="13:13" x14ac:dyDescent="0.25">
      <c r="M1037" s="21"/>
    </row>
    <row r="1038" spans="13:13" x14ac:dyDescent="0.25">
      <c r="M1038" s="21"/>
    </row>
    <row r="1039" spans="13:13" x14ac:dyDescent="0.25">
      <c r="M1039" s="21"/>
    </row>
    <row r="1040" spans="13:13" x14ac:dyDescent="0.25">
      <c r="M1040" s="21"/>
    </row>
    <row r="1041" spans="13:13" x14ac:dyDescent="0.25">
      <c r="M1041" s="21"/>
    </row>
    <row r="1042" spans="13:13" x14ac:dyDescent="0.25">
      <c r="M1042" s="21"/>
    </row>
    <row r="1043" spans="13:13" x14ac:dyDescent="0.25">
      <c r="M1043" s="21"/>
    </row>
    <row r="1044" spans="13:13" x14ac:dyDescent="0.25">
      <c r="M1044" s="21"/>
    </row>
    <row r="1045" spans="13:13" x14ac:dyDescent="0.25">
      <c r="M1045" s="21"/>
    </row>
    <row r="1046" spans="13:13" x14ac:dyDescent="0.25">
      <c r="M1046" s="21"/>
    </row>
    <row r="1047" spans="13:13" x14ac:dyDescent="0.25">
      <c r="M1047" s="21"/>
    </row>
    <row r="1048" spans="13:13" x14ac:dyDescent="0.25">
      <c r="M1048" s="21"/>
    </row>
    <row r="1049" spans="13:13" x14ac:dyDescent="0.25">
      <c r="M1049" s="21"/>
    </row>
    <row r="1050" spans="13:13" x14ac:dyDescent="0.25">
      <c r="M1050" s="21"/>
    </row>
    <row r="1051" spans="13:13" x14ac:dyDescent="0.25">
      <c r="M1051" s="21"/>
    </row>
    <row r="1052" spans="13:13" x14ac:dyDescent="0.25">
      <c r="M1052" s="21"/>
    </row>
    <row r="1053" spans="13:13" x14ac:dyDescent="0.25">
      <c r="M1053" s="21"/>
    </row>
    <row r="1054" spans="13:13" x14ac:dyDescent="0.25">
      <c r="M1054" s="21"/>
    </row>
    <row r="1055" spans="13:13" x14ac:dyDescent="0.25">
      <c r="M1055" s="21"/>
    </row>
    <row r="1056" spans="13:13" x14ac:dyDescent="0.25">
      <c r="M1056" s="21"/>
    </row>
    <row r="1057" spans="13:13" x14ac:dyDescent="0.25">
      <c r="M1057" s="21"/>
    </row>
    <row r="1058" spans="13:13" x14ac:dyDescent="0.25">
      <c r="M1058" s="21"/>
    </row>
    <row r="1059" spans="13:13" x14ac:dyDescent="0.25">
      <c r="M1059" s="21"/>
    </row>
    <row r="1060" spans="13:13" x14ac:dyDescent="0.25">
      <c r="M1060" s="21"/>
    </row>
    <row r="1061" spans="13:13" x14ac:dyDescent="0.25">
      <c r="M1061" s="21"/>
    </row>
    <row r="1062" spans="13:13" x14ac:dyDescent="0.25">
      <c r="M1062" s="21"/>
    </row>
    <row r="1063" spans="13:13" x14ac:dyDescent="0.25">
      <c r="M1063" s="21"/>
    </row>
    <row r="1064" spans="13:13" x14ac:dyDescent="0.25">
      <c r="M1064" s="21"/>
    </row>
    <row r="1065" spans="13:13" x14ac:dyDescent="0.25">
      <c r="M1065" s="21"/>
    </row>
    <row r="1066" spans="13:13" x14ac:dyDescent="0.25">
      <c r="M1066" s="21"/>
    </row>
    <row r="1067" spans="13:13" x14ac:dyDescent="0.25">
      <c r="M1067" s="21"/>
    </row>
    <row r="1068" spans="13:13" x14ac:dyDescent="0.25">
      <c r="M1068" s="21"/>
    </row>
    <row r="1069" spans="13:13" x14ac:dyDescent="0.25">
      <c r="M1069" s="21"/>
    </row>
    <row r="1070" spans="13:13" x14ac:dyDescent="0.25">
      <c r="M1070" s="21"/>
    </row>
    <row r="1071" spans="13:13" x14ac:dyDescent="0.25">
      <c r="M1071" s="21"/>
    </row>
    <row r="1072" spans="13:13" x14ac:dyDescent="0.25">
      <c r="M1072" s="21"/>
    </row>
    <row r="1073" spans="13:13" x14ac:dyDescent="0.25">
      <c r="M1073" s="21"/>
    </row>
    <row r="1074" spans="13:13" x14ac:dyDescent="0.25">
      <c r="M1074" s="21"/>
    </row>
    <row r="1075" spans="13:13" x14ac:dyDescent="0.25">
      <c r="M1075" s="21"/>
    </row>
    <row r="1076" spans="13:13" x14ac:dyDescent="0.25">
      <c r="M1076" s="21"/>
    </row>
    <row r="1077" spans="13:13" x14ac:dyDescent="0.25">
      <c r="M1077" s="21"/>
    </row>
    <row r="1078" spans="13:13" x14ac:dyDescent="0.25">
      <c r="M1078" s="21"/>
    </row>
    <row r="1079" spans="13:13" x14ac:dyDescent="0.25">
      <c r="M1079" s="21"/>
    </row>
    <row r="1080" spans="13:13" x14ac:dyDescent="0.25">
      <c r="M1080" s="21"/>
    </row>
    <row r="1081" spans="13:13" x14ac:dyDescent="0.25">
      <c r="M1081" s="21"/>
    </row>
    <row r="1082" spans="13:13" x14ac:dyDescent="0.25">
      <c r="M1082" s="21"/>
    </row>
    <row r="1083" spans="13:13" x14ac:dyDescent="0.25">
      <c r="M1083" s="21"/>
    </row>
    <row r="1084" spans="13:13" x14ac:dyDescent="0.25">
      <c r="M1084" s="21"/>
    </row>
    <row r="1085" spans="13:13" x14ac:dyDescent="0.25">
      <c r="M1085" s="21"/>
    </row>
    <row r="1086" spans="13:13" x14ac:dyDescent="0.25">
      <c r="M1086" s="21"/>
    </row>
    <row r="1087" spans="13:13" x14ac:dyDescent="0.25">
      <c r="M1087" s="21"/>
    </row>
    <row r="1088" spans="13:13" x14ac:dyDescent="0.25">
      <c r="M1088" s="21"/>
    </row>
    <row r="1089" spans="13:13" x14ac:dyDescent="0.25">
      <c r="M1089" s="21"/>
    </row>
    <row r="1090" spans="13:13" x14ac:dyDescent="0.25">
      <c r="M1090" s="21"/>
    </row>
    <row r="1091" spans="13:13" x14ac:dyDescent="0.25">
      <c r="M1091" s="21"/>
    </row>
    <row r="1092" spans="13:13" x14ac:dyDescent="0.25">
      <c r="M1092" s="21"/>
    </row>
    <row r="1093" spans="13:13" x14ac:dyDescent="0.25">
      <c r="M1093" s="21"/>
    </row>
    <row r="1094" spans="13:13" x14ac:dyDescent="0.25">
      <c r="M1094" s="21"/>
    </row>
    <row r="1095" spans="13:13" x14ac:dyDescent="0.25">
      <c r="M1095" s="21"/>
    </row>
    <row r="1096" spans="13:13" x14ac:dyDescent="0.25">
      <c r="M1096" s="21"/>
    </row>
    <row r="1097" spans="13:13" x14ac:dyDescent="0.25">
      <c r="M1097" s="21"/>
    </row>
    <row r="1098" spans="13:13" x14ac:dyDescent="0.25">
      <c r="M1098" s="21"/>
    </row>
    <row r="1099" spans="13:13" x14ac:dyDescent="0.25">
      <c r="M1099" s="21"/>
    </row>
    <row r="1100" spans="13:13" x14ac:dyDescent="0.25">
      <c r="M1100" s="21"/>
    </row>
    <row r="1101" spans="13:13" x14ac:dyDescent="0.25">
      <c r="M1101" s="21"/>
    </row>
    <row r="1102" spans="13:13" x14ac:dyDescent="0.25">
      <c r="M1102" s="21"/>
    </row>
    <row r="1103" spans="13:13" x14ac:dyDescent="0.25">
      <c r="M1103" s="21"/>
    </row>
    <row r="1104" spans="13:13" x14ac:dyDescent="0.25">
      <c r="M1104" s="21"/>
    </row>
    <row r="1105" spans="13:13" x14ac:dyDescent="0.25">
      <c r="M1105" s="21"/>
    </row>
    <row r="1106" spans="13:13" x14ac:dyDescent="0.25">
      <c r="M1106" s="21"/>
    </row>
    <row r="1107" spans="13:13" x14ac:dyDescent="0.25">
      <c r="M1107" s="21"/>
    </row>
    <row r="1108" spans="13:13" x14ac:dyDescent="0.25">
      <c r="M1108" s="21"/>
    </row>
    <row r="1109" spans="13:13" x14ac:dyDescent="0.25">
      <c r="M1109" s="21"/>
    </row>
    <row r="1110" spans="13:13" x14ac:dyDescent="0.25">
      <c r="M1110" s="21"/>
    </row>
    <row r="1111" spans="13:13" x14ac:dyDescent="0.25">
      <c r="M1111" s="21"/>
    </row>
    <row r="1112" spans="13:13" x14ac:dyDescent="0.25">
      <c r="M1112" s="21"/>
    </row>
    <row r="1113" spans="13:13" x14ac:dyDescent="0.25">
      <c r="M1113" s="21"/>
    </row>
    <row r="1114" spans="13:13" x14ac:dyDescent="0.25">
      <c r="M1114" s="21"/>
    </row>
    <row r="1115" spans="13:13" x14ac:dyDescent="0.25">
      <c r="M1115" s="21"/>
    </row>
    <row r="1116" spans="13:13" x14ac:dyDescent="0.25">
      <c r="M1116" s="21"/>
    </row>
    <row r="1117" spans="13:13" x14ac:dyDescent="0.25">
      <c r="M1117" s="21"/>
    </row>
    <row r="1118" spans="13:13" x14ac:dyDescent="0.25">
      <c r="M1118" s="21"/>
    </row>
    <row r="1119" spans="13:13" x14ac:dyDescent="0.25">
      <c r="M1119" s="21"/>
    </row>
    <row r="1120" spans="13:13" x14ac:dyDescent="0.25">
      <c r="M1120" s="21"/>
    </row>
    <row r="1121" spans="13:13" x14ac:dyDescent="0.25">
      <c r="M1121" s="21"/>
    </row>
    <row r="1122" spans="13:13" x14ac:dyDescent="0.25">
      <c r="M1122" s="21"/>
    </row>
    <row r="1123" spans="13:13" x14ac:dyDescent="0.25">
      <c r="M1123" s="21"/>
    </row>
    <row r="1124" spans="13:13" x14ac:dyDescent="0.25">
      <c r="M1124" s="21"/>
    </row>
    <row r="1125" spans="13:13" x14ac:dyDescent="0.25">
      <c r="M1125" s="21"/>
    </row>
    <row r="1126" spans="13:13" x14ac:dyDescent="0.25">
      <c r="M1126" s="21"/>
    </row>
    <row r="1127" spans="13:13" x14ac:dyDescent="0.25">
      <c r="M1127" s="21"/>
    </row>
    <row r="1128" spans="13:13" x14ac:dyDescent="0.25">
      <c r="M1128" s="21"/>
    </row>
    <row r="1129" spans="13:13" x14ac:dyDescent="0.25">
      <c r="M1129" s="21"/>
    </row>
    <row r="1130" spans="13:13" x14ac:dyDescent="0.25">
      <c r="M1130" s="21"/>
    </row>
    <row r="1131" spans="13:13" x14ac:dyDescent="0.25">
      <c r="M1131" s="21"/>
    </row>
    <row r="1132" spans="13:13" x14ac:dyDescent="0.25">
      <c r="M1132" s="21"/>
    </row>
    <row r="1133" spans="13:13" x14ac:dyDescent="0.25">
      <c r="M1133" s="21"/>
    </row>
    <row r="1134" spans="13:13" x14ac:dyDescent="0.25">
      <c r="M1134" s="21"/>
    </row>
    <row r="1135" spans="13:13" x14ac:dyDescent="0.25">
      <c r="M1135" s="21"/>
    </row>
    <row r="1136" spans="13:13" x14ac:dyDescent="0.25">
      <c r="M1136" s="21"/>
    </row>
    <row r="1137" spans="13:13" x14ac:dyDescent="0.25">
      <c r="M1137" s="21"/>
    </row>
    <row r="1138" spans="13:13" x14ac:dyDescent="0.25">
      <c r="M1138" s="21"/>
    </row>
    <row r="1139" spans="13:13" x14ac:dyDescent="0.25">
      <c r="M1139" s="21"/>
    </row>
    <row r="1140" spans="13:13" x14ac:dyDescent="0.25">
      <c r="M1140" s="21"/>
    </row>
    <row r="1141" spans="13:13" x14ac:dyDescent="0.25">
      <c r="M1141" s="21"/>
    </row>
    <row r="1142" spans="13:13" x14ac:dyDescent="0.25">
      <c r="M1142" s="21"/>
    </row>
    <row r="1143" spans="13:13" x14ac:dyDescent="0.25">
      <c r="M1143" s="21"/>
    </row>
    <row r="1144" spans="13:13" x14ac:dyDescent="0.25">
      <c r="M1144" s="21"/>
    </row>
    <row r="1145" spans="13:13" x14ac:dyDescent="0.25">
      <c r="M1145" s="21"/>
    </row>
    <row r="1146" spans="13:13" x14ac:dyDescent="0.25">
      <c r="M1146" s="21"/>
    </row>
    <row r="1147" spans="13:13" x14ac:dyDescent="0.25">
      <c r="M1147" s="21"/>
    </row>
    <row r="1148" spans="13:13" x14ac:dyDescent="0.25">
      <c r="M1148" s="21"/>
    </row>
    <row r="1149" spans="13:13" x14ac:dyDescent="0.25">
      <c r="M1149" s="21"/>
    </row>
    <row r="1150" spans="13:13" x14ac:dyDescent="0.25">
      <c r="M1150" s="21"/>
    </row>
    <row r="1151" spans="13:13" x14ac:dyDescent="0.25">
      <c r="M1151" s="21"/>
    </row>
    <row r="1152" spans="13:13" x14ac:dyDescent="0.25">
      <c r="M1152" s="21"/>
    </row>
    <row r="1153" spans="13:13" x14ac:dyDescent="0.25">
      <c r="M1153" s="21"/>
    </row>
    <row r="1154" spans="13:13" x14ac:dyDescent="0.25">
      <c r="M1154" s="21"/>
    </row>
    <row r="1155" spans="13:13" x14ac:dyDescent="0.25">
      <c r="M1155" s="21"/>
    </row>
    <row r="1156" spans="13:13" x14ac:dyDescent="0.25">
      <c r="M1156" s="21"/>
    </row>
    <row r="1157" spans="13:13" x14ac:dyDescent="0.25">
      <c r="M1157" s="21"/>
    </row>
    <row r="1158" spans="13:13" x14ac:dyDescent="0.25">
      <c r="M1158" s="21"/>
    </row>
    <row r="1159" spans="13:13" x14ac:dyDescent="0.25">
      <c r="M1159" s="21"/>
    </row>
    <row r="1160" spans="13:13" x14ac:dyDescent="0.25">
      <c r="M1160" s="21"/>
    </row>
    <row r="1161" spans="13:13" x14ac:dyDescent="0.25">
      <c r="M1161" s="21"/>
    </row>
    <row r="1162" spans="13:13" x14ac:dyDescent="0.25">
      <c r="M1162" s="21"/>
    </row>
    <row r="1163" spans="13:13" x14ac:dyDescent="0.25">
      <c r="M1163" s="21"/>
    </row>
    <row r="1164" spans="13:13" x14ac:dyDescent="0.25">
      <c r="M1164" s="21"/>
    </row>
    <row r="1165" spans="13:13" x14ac:dyDescent="0.25">
      <c r="M1165" s="21"/>
    </row>
    <row r="1166" spans="13:13" x14ac:dyDescent="0.25">
      <c r="M1166" s="21"/>
    </row>
    <row r="1167" spans="13:13" x14ac:dyDescent="0.25">
      <c r="M1167" s="21"/>
    </row>
    <row r="1168" spans="13:13" x14ac:dyDescent="0.25">
      <c r="M1168" s="21"/>
    </row>
    <row r="1169" spans="13:13" x14ac:dyDescent="0.25">
      <c r="M1169" s="21"/>
    </row>
    <row r="1170" spans="13:13" x14ac:dyDescent="0.25">
      <c r="M1170" s="21"/>
    </row>
    <row r="1171" spans="13:13" x14ac:dyDescent="0.25">
      <c r="M1171" s="21"/>
    </row>
    <row r="1172" spans="13:13" x14ac:dyDescent="0.25">
      <c r="M1172" s="21"/>
    </row>
    <row r="1173" spans="13:13" x14ac:dyDescent="0.25">
      <c r="M1173" s="21"/>
    </row>
    <row r="1174" spans="13:13" x14ac:dyDescent="0.25">
      <c r="M1174" s="21"/>
    </row>
    <row r="1175" spans="13:13" x14ac:dyDescent="0.25">
      <c r="M1175" s="21"/>
    </row>
    <row r="1176" spans="13:13" x14ac:dyDescent="0.25">
      <c r="M1176" s="21"/>
    </row>
    <row r="1177" spans="13:13" x14ac:dyDescent="0.25">
      <c r="M1177" s="21"/>
    </row>
    <row r="1178" spans="13:13" x14ac:dyDescent="0.25">
      <c r="M1178" s="21"/>
    </row>
    <row r="1179" spans="13:13" x14ac:dyDescent="0.25">
      <c r="M1179" s="21"/>
    </row>
    <row r="1180" spans="13:13" x14ac:dyDescent="0.25">
      <c r="M1180" s="21"/>
    </row>
    <row r="1181" spans="13:13" x14ac:dyDescent="0.25">
      <c r="M1181" s="21"/>
    </row>
    <row r="1182" spans="13:13" x14ac:dyDescent="0.25">
      <c r="M1182" s="21"/>
    </row>
    <row r="1183" spans="13:13" x14ac:dyDescent="0.25">
      <c r="M1183" s="21"/>
    </row>
    <row r="1184" spans="13:13" x14ac:dyDescent="0.25">
      <c r="M1184" s="21"/>
    </row>
    <row r="1185" spans="13:13" x14ac:dyDescent="0.25">
      <c r="M1185" s="21"/>
    </row>
    <row r="1186" spans="13:13" x14ac:dyDescent="0.25">
      <c r="M1186" s="21"/>
    </row>
    <row r="1187" spans="13:13" x14ac:dyDescent="0.25">
      <c r="M1187" s="21"/>
    </row>
    <row r="1188" spans="13:13" x14ac:dyDescent="0.25">
      <c r="M1188" s="21"/>
    </row>
    <row r="1189" spans="13:13" x14ac:dyDescent="0.25">
      <c r="M1189" s="21"/>
    </row>
    <row r="1190" spans="13:13" x14ac:dyDescent="0.25">
      <c r="M1190" s="21"/>
    </row>
    <row r="1191" spans="13:13" x14ac:dyDescent="0.25">
      <c r="M1191" s="21"/>
    </row>
    <row r="1192" spans="13:13" x14ac:dyDescent="0.25">
      <c r="M1192" s="21"/>
    </row>
    <row r="1193" spans="13:13" x14ac:dyDescent="0.25">
      <c r="M1193" s="21"/>
    </row>
    <row r="1194" spans="13:13" x14ac:dyDescent="0.25">
      <c r="M1194" s="21"/>
    </row>
    <row r="1195" spans="13:13" x14ac:dyDescent="0.25">
      <c r="M1195" s="21"/>
    </row>
    <row r="1196" spans="13:13" x14ac:dyDescent="0.25">
      <c r="M1196" s="21"/>
    </row>
    <row r="1197" spans="13:13" x14ac:dyDescent="0.25">
      <c r="M1197" s="21"/>
    </row>
    <row r="1198" spans="13:13" x14ac:dyDescent="0.25">
      <c r="M1198" s="21"/>
    </row>
    <row r="1199" spans="13:13" x14ac:dyDescent="0.25">
      <c r="M1199" s="21"/>
    </row>
    <row r="1200" spans="13:13" x14ac:dyDescent="0.25">
      <c r="M1200" s="21"/>
    </row>
    <row r="1201" spans="13:13" x14ac:dyDescent="0.25">
      <c r="M1201" s="21"/>
    </row>
    <row r="1202" spans="13:13" x14ac:dyDescent="0.25">
      <c r="M1202" s="21"/>
    </row>
    <row r="1203" spans="13:13" x14ac:dyDescent="0.25">
      <c r="M1203" s="21"/>
    </row>
    <row r="1204" spans="13:13" x14ac:dyDescent="0.25">
      <c r="M1204" s="21"/>
    </row>
    <row r="1205" spans="13:13" x14ac:dyDescent="0.25">
      <c r="M1205" s="21"/>
    </row>
    <row r="1206" spans="13:13" x14ac:dyDescent="0.25">
      <c r="M1206" s="21"/>
    </row>
    <row r="1207" spans="13:13" x14ac:dyDescent="0.25">
      <c r="M1207" s="21"/>
    </row>
    <row r="1208" spans="13:13" x14ac:dyDescent="0.25">
      <c r="M1208" s="21"/>
    </row>
    <row r="1209" spans="13:13" x14ac:dyDescent="0.25">
      <c r="M1209" s="21"/>
    </row>
    <row r="1210" spans="13:13" x14ac:dyDescent="0.25">
      <c r="M1210" s="21"/>
    </row>
    <row r="1211" spans="13:13" x14ac:dyDescent="0.25">
      <c r="M1211" s="21"/>
    </row>
    <row r="1212" spans="13:13" x14ac:dyDescent="0.25">
      <c r="M1212" s="21"/>
    </row>
    <row r="1213" spans="13:13" x14ac:dyDescent="0.25">
      <c r="M1213" s="21"/>
    </row>
    <row r="1214" spans="13:13" x14ac:dyDescent="0.25">
      <c r="M1214" s="21"/>
    </row>
    <row r="1215" spans="13:13" x14ac:dyDescent="0.25">
      <c r="M1215" s="21"/>
    </row>
    <row r="1216" spans="13:13" x14ac:dyDescent="0.25">
      <c r="M1216" s="21"/>
    </row>
    <row r="1217" spans="13:13" x14ac:dyDescent="0.25">
      <c r="M1217" s="21"/>
    </row>
    <row r="1218" spans="13:13" x14ac:dyDescent="0.25">
      <c r="M1218" s="21"/>
    </row>
    <row r="1219" spans="13:13" x14ac:dyDescent="0.25">
      <c r="M1219" s="21"/>
    </row>
    <row r="1220" spans="13:13" x14ac:dyDescent="0.25">
      <c r="M1220" s="21"/>
    </row>
    <row r="1221" spans="13:13" x14ac:dyDescent="0.25">
      <c r="M1221" s="21"/>
    </row>
    <row r="1222" spans="13:13" x14ac:dyDescent="0.25">
      <c r="M1222" s="21"/>
    </row>
    <row r="1223" spans="13:13" x14ac:dyDescent="0.25">
      <c r="M1223" s="21"/>
    </row>
    <row r="1224" spans="13:13" x14ac:dyDescent="0.25">
      <c r="M1224" s="21"/>
    </row>
    <row r="1225" spans="13:13" x14ac:dyDescent="0.25">
      <c r="M1225" s="21"/>
    </row>
    <row r="1226" spans="13:13" x14ac:dyDescent="0.25">
      <c r="M1226" s="21"/>
    </row>
    <row r="1227" spans="13:13" x14ac:dyDescent="0.25">
      <c r="M1227" s="21"/>
    </row>
    <row r="1228" spans="13:13" x14ac:dyDescent="0.25">
      <c r="M1228" s="21"/>
    </row>
    <row r="1229" spans="13:13" x14ac:dyDescent="0.25">
      <c r="M1229" s="21"/>
    </row>
    <row r="1230" spans="13:13" x14ac:dyDescent="0.25">
      <c r="M1230" s="21"/>
    </row>
    <row r="1231" spans="13:13" x14ac:dyDescent="0.25">
      <c r="M1231" s="21"/>
    </row>
    <row r="1232" spans="13:13" x14ac:dyDescent="0.25">
      <c r="M1232" s="21"/>
    </row>
    <row r="1233" spans="13:13" x14ac:dyDescent="0.25">
      <c r="M1233" s="21"/>
    </row>
    <row r="1234" spans="13:13" x14ac:dyDescent="0.25">
      <c r="M1234" s="21"/>
    </row>
    <row r="1235" spans="13:13" x14ac:dyDescent="0.25">
      <c r="M1235" s="21"/>
    </row>
    <row r="1236" spans="13:13" x14ac:dyDescent="0.25">
      <c r="M1236" s="21"/>
    </row>
    <row r="1237" spans="13:13" x14ac:dyDescent="0.25">
      <c r="M1237" s="21"/>
    </row>
    <row r="1238" spans="13:13" x14ac:dyDescent="0.25">
      <c r="M1238" s="21"/>
    </row>
    <row r="1239" spans="13:13" x14ac:dyDescent="0.25">
      <c r="M1239" s="21"/>
    </row>
    <row r="1240" spans="13:13" x14ac:dyDescent="0.25">
      <c r="M1240" s="21"/>
    </row>
    <row r="1241" spans="13:13" x14ac:dyDescent="0.25">
      <c r="M1241" s="21"/>
    </row>
    <row r="1242" spans="13:13" x14ac:dyDescent="0.25">
      <c r="M1242" s="21"/>
    </row>
    <row r="1243" spans="13:13" x14ac:dyDescent="0.25">
      <c r="M1243" s="21"/>
    </row>
    <row r="1244" spans="13:13" x14ac:dyDescent="0.25">
      <c r="M1244" s="21"/>
    </row>
    <row r="1245" spans="13:13" x14ac:dyDescent="0.25">
      <c r="M1245" s="21"/>
    </row>
    <row r="1246" spans="13:13" x14ac:dyDescent="0.25">
      <c r="M1246" s="21"/>
    </row>
    <row r="1247" spans="13:13" x14ac:dyDescent="0.25">
      <c r="M1247" s="21"/>
    </row>
    <row r="1248" spans="13:13" x14ac:dyDescent="0.25">
      <c r="M1248" s="21"/>
    </row>
    <row r="1249" spans="13:13" x14ac:dyDescent="0.25">
      <c r="M1249" s="21"/>
    </row>
    <row r="1250" spans="13:13" x14ac:dyDescent="0.25">
      <c r="M1250" s="21"/>
    </row>
    <row r="1251" spans="13:13" x14ac:dyDescent="0.25">
      <c r="M1251" s="21"/>
    </row>
    <row r="1252" spans="13:13" x14ac:dyDescent="0.25">
      <c r="M1252" s="21"/>
    </row>
    <row r="1253" spans="13:13" x14ac:dyDescent="0.25">
      <c r="M1253" s="21"/>
    </row>
    <row r="1254" spans="13:13" x14ac:dyDescent="0.25">
      <c r="M1254" s="21"/>
    </row>
    <row r="1255" spans="13:13" x14ac:dyDescent="0.25">
      <c r="M1255" s="21"/>
    </row>
    <row r="1256" spans="13:13" x14ac:dyDescent="0.25">
      <c r="M1256" s="21"/>
    </row>
    <row r="1257" spans="13:13" x14ac:dyDescent="0.25">
      <c r="M1257" s="21"/>
    </row>
    <row r="1258" spans="13:13" x14ac:dyDescent="0.25">
      <c r="M1258" s="21"/>
    </row>
    <row r="1259" spans="13:13" x14ac:dyDescent="0.25">
      <c r="M1259" s="21"/>
    </row>
    <row r="1260" spans="13:13" x14ac:dyDescent="0.25">
      <c r="M1260" s="21"/>
    </row>
    <row r="1261" spans="13:13" x14ac:dyDescent="0.25">
      <c r="M1261" s="21"/>
    </row>
    <row r="1262" spans="13:13" x14ac:dyDescent="0.25">
      <c r="M1262" s="21"/>
    </row>
    <row r="1263" spans="13:13" x14ac:dyDescent="0.25">
      <c r="M1263" s="21"/>
    </row>
    <row r="1264" spans="13:13" x14ac:dyDescent="0.25">
      <c r="M1264" s="21"/>
    </row>
    <row r="1265" spans="13:13" x14ac:dyDescent="0.25">
      <c r="M1265" s="21"/>
    </row>
    <row r="1266" spans="13:13" x14ac:dyDescent="0.25">
      <c r="M1266" s="21"/>
    </row>
    <row r="1267" spans="13:13" x14ac:dyDescent="0.25">
      <c r="M1267" s="21"/>
    </row>
    <row r="1268" spans="13:13" x14ac:dyDescent="0.25">
      <c r="M1268" s="21"/>
    </row>
    <row r="1269" spans="13:13" x14ac:dyDescent="0.25">
      <c r="M1269" s="21"/>
    </row>
    <row r="1270" spans="13:13" x14ac:dyDescent="0.25">
      <c r="M1270" s="21"/>
    </row>
    <row r="1271" spans="13:13" x14ac:dyDescent="0.25">
      <c r="M1271" s="21"/>
    </row>
    <row r="1272" spans="13:13" x14ac:dyDescent="0.25">
      <c r="M1272" s="21"/>
    </row>
    <row r="1273" spans="13:13" x14ac:dyDescent="0.25">
      <c r="M1273" s="21"/>
    </row>
    <row r="1274" spans="13:13" x14ac:dyDescent="0.25">
      <c r="M1274" s="21"/>
    </row>
    <row r="1275" spans="13:13" x14ac:dyDescent="0.25">
      <c r="M1275" s="21"/>
    </row>
    <row r="1276" spans="13:13" x14ac:dyDescent="0.25">
      <c r="M1276" s="21"/>
    </row>
    <row r="1277" spans="13:13" x14ac:dyDescent="0.25">
      <c r="M1277" s="21"/>
    </row>
    <row r="1278" spans="13:13" x14ac:dyDescent="0.25">
      <c r="M1278" s="21"/>
    </row>
    <row r="1279" spans="13:13" x14ac:dyDescent="0.25">
      <c r="M1279" s="21"/>
    </row>
    <row r="1280" spans="13:13" x14ac:dyDescent="0.25">
      <c r="M1280" s="21"/>
    </row>
    <row r="1281" spans="13:13" x14ac:dyDescent="0.25">
      <c r="M1281" s="21"/>
    </row>
    <row r="1282" spans="13:13" x14ac:dyDescent="0.25">
      <c r="M1282" s="21"/>
    </row>
    <row r="1283" spans="13:13" x14ac:dyDescent="0.25">
      <c r="M1283" s="21"/>
    </row>
    <row r="1284" spans="13:13" x14ac:dyDescent="0.25">
      <c r="M1284" s="21"/>
    </row>
    <row r="1285" spans="13:13" x14ac:dyDescent="0.25">
      <c r="M1285" s="21"/>
    </row>
    <row r="1286" spans="13:13" x14ac:dyDescent="0.25">
      <c r="M1286" s="21"/>
    </row>
    <row r="1287" spans="13:13" x14ac:dyDescent="0.25">
      <c r="M1287" s="21"/>
    </row>
    <row r="1288" spans="13:13" x14ac:dyDescent="0.25">
      <c r="M1288" s="21"/>
    </row>
    <row r="1289" spans="13:13" x14ac:dyDescent="0.25">
      <c r="M1289" s="21"/>
    </row>
    <row r="1290" spans="13:13" x14ac:dyDescent="0.25">
      <c r="M1290" s="21"/>
    </row>
    <row r="1291" spans="13:13" x14ac:dyDescent="0.25">
      <c r="M1291" s="21"/>
    </row>
    <row r="1292" spans="13:13" x14ac:dyDescent="0.25">
      <c r="M1292" s="21"/>
    </row>
    <row r="1293" spans="13:13" x14ac:dyDescent="0.25">
      <c r="M1293" s="21"/>
    </row>
    <row r="1294" spans="13:13" x14ac:dyDescent="0.25">
      <c r="M1294" s="21"/>
    </row>
    <row r="1295" spans="13:13" x14ac:dyDescent="0.25">
      <c r="M1295" s="21"/>
    </row>
    <row r="1296" spans="13:13" x14ac:dyDescent="0.25">
      <c r="M1296" s="21"/>
    </row>
    <row r="1297" spans="13:13" x14ac:dyDescent="0.25">
      <c r="M1297" s="21"/>
    </row>
    <row r="1298" spans="13:13" x14ac:dyDescent="0.25">
      <c r="M1298" s="21"/>
    </row>
    <row r="1299" spans="13:13" x14ac:dyDescent="0.25">
      <c r="M1299" s="21"/>
    </row>
    <row r="1300" spans="13:13" x14ac:dyDescent="0.25">
      <c r="M1300" s="21"/>
    </row>
    <row r="1301" spans="13:13" x14ac:dyDescent="0.25">
      <c r="M1301" s="21"/>
    </row>
    <row r="1302" spans="13:13" x14ac:dyDescent="0.25">
      <c r="M1302" s="21"/>
    </row>
    <row r="1303" spans="13:13" x14ac:dyDescent="0.25">
      <c r="M1303" s="21"/>
    </row>
    <row r="1304" spans="13:13" x14ac:dyDescent="0.25">
      <c r="M1304" s="21"/>
    </row>
    <row r="1305" spans="13:13" x14ac:dyDescent="0.25">
      <c r="M1305" s="21"/>
    </row>
    <row r="1306" spans="13:13" x14ac:dyDescent="0.25">
      <c r="M1306" s="21"/>
    </row>
    <row r="1307" spans="13:13" x14ac:dyDescent="0.25">
      <c r="M1307" s="21"/>
    </row>
    <row r="1308" spans="13:13" x14ac:dyDescent="0.25">
      <c r="M1308" s="21"/>
    </row>
    <row r="1309" spans="13:13" x14ac:dyDescent="0.25">
      <c r="M1309" s="21"/>
    </row>
    <row r="1310" spans="13:13" x14ac:dyDescent="0.25">
      <c r="M1310" s="21"/>
    </row>
    <row r="1311" spans="13:13" x14ac:dyDescent="0.25">
      <c r="M1311" s="21"/>
    </row>
    <row r="1312" spans="13:13" x14ac:dyDescent="0.25">
      <c r="M1312" s="21"/>
    </row>
    <row r="1313" spans="13:13" x14ac:dyDescent="0.25">
      <c r="M1313" s="21"/>
    </row>
    <row r="1314" spans="13:13" x14ac:dyDescent="0.25">
      <c r="M1314" s="21"/>
    </row>
    <row r="1315" spans="13:13" x14ac:dyDescent="0.25">
      <c r="M1315" s="21"/>
    </row>
    <row r="1316" spans="13:13" x14ac:dyDescent="0.25">
      <c r="M1316" s="21"/>
    </row>
    <row r="1317" spans="13:13" x14ac:dyDescent="0.25">
      <c r="M1317" s="21"/>
    </row>
    <row r="1318" spans="13:13" x14ac:dyDescent="0.25">
      <c r="M1318" s="21"/>
    </row>
    <row r="1319" spans="13:13" x14ac:dyDescent="0.25">
      <c r="M1319" s="21"/>
    </row>
    <row r="1320" spans="13:13" x14ac:dyDescent="0.25">
      <c r="M1320" s="21"/>
    </row>
    <row r="1321" spans="13:13" x14ac:dyDescent="0.25">
      <c r="M1321" s="21"/>
    </row>
    <row r="1322" spans="13:13" x14ac:dyDescent="0.25">
      <c r="M1322" s="21"/>
    </row>
    <row r="1323" spans="13:13" x14ac:dyDescent="0.25">
      <c r="M1323" s="21"/>
    </row>
    <row r="1324" spans="13:13" x14ac:dyDescent="0.25">
      <c r="M1324" s="21"/>
    </row>
    <row r="1325" spans="13:13" x14ac:dyDescent="0.25">
      <c r="M1325" s="21"/>
    </row>
    <row r="1326" spans="13:13" x14ac:dyDescent="0.25">
      <c r="M1326" s="21"/>
    </row>
    <row r="1327" spans="13:13" x14ac:dyDescent="0.25">
      <c r="M1327" s="21"/>
    </row>
    <row r="1328" spans="13:13" x14ac:dyDescent="0.25">
      <c r="M1328" s="21"/>
    </row>
    <row r="1329" spans="13:13" x14ac:dyDescent="0.25">
      <c r="M1329" s="21"/>
    </row>
    <row r="1330" spans="13:13" x14ac:dyDescent="0.25">
      <c r="M1330" s="21"/>
    </row>
    <row r="1331" spans="13:13" x14ac:dyDescent="0.25">
      <c r="M1331" s="21"/>
    </row>
    <row r="1332" spans="13:13" x14ac:dyDescent="0.25">
      <c r="M1332" s="21"/>
    </row>
    <row r="1333" spans="13:13" x14ac:dyDescent="0.25">
      <c r="M1333" s="21"/>
    </row>
    <row r="1334" spans="13:13" x14ac:dyDescent="0.25">
      <c r="M1334" s="21"/>
    </row>
    <row r="1335" spans="13:13" x14ac:dyDescent="0.25">
      <c r="M1335" s="21"/>
    </row>
    <row r="1336" spans="13:13" x14ac:dyDescent="0.25">
      <c r="M1336" s="21"/>
    </row>
    <row r="1337" spans="13:13" x14ac:dyDescent="0.25">
      <c r="M1337" s="21"/>
    </row>
    <row r="1338" spans="13:13" x14ac:dyDescent="0.25">
      <c r="M1338" s="21"/>
    </row>
    <row r="1339" spans="13:13" x14ac:dyDescent="0.25">
      <c r="M1339" s="21"/>
    </row>
    <row r="1340" spans="13:13" x14ac:dyDescent="0.25">
      <c r="M1340" s="21"/>
    </row>
    <row r="1341" spans="13:13" x14ac:dyDescent="0.25">
      <c r="M1341" s="21"/>
    </row>
    <row r="1342" spans="13:13" x14ac:dyDescent="0.25">
      <c r="M1342" s="21"/>
    </row>
    <row r="1343" spans="13:13" x14ac:dyDescent="0.25">
      <c r="M1343" s="21"/>
    </row>
    <row r="1344" spans="13:13" x14ac:dyDescent="0.25">
      <c r="M1344" s="21"/>
    </row>
    <row r="1345" spans="13:13" x14ac:dyDescent="0.25">
      <c r="M1345" s="21"/>
    </row>
    <row r="1346" spans="13:13" x14ac:dyDescent="0.25">
      <c r="M1346" s="21"/>
    </row>
    <row r="1347" spans="13:13" x14ac:dyDescent="0.25">
      <c r="M1347" s="21"/>
    </row>
    <row r="1348" spans="13:13" x14ac:dyDescent="0.25">
      <c r="M1348" s="21"/>
    </row>
    <row r="1349" spans="13:13" x14ac:dyDescent="0.25">
      <c r="M1349" s="21"/>
    </row>
    <row r="1350" spans="13:13" x14ac:dyDescent="0.25">
      <c r="M1350" s="21"/>
    </row>
    <row r="1351" spans="13:13" x14ac:dyDescent="0.25">
      <c r="M1351" s="21"/>
    </row>
    <row r="1352" spans="13:13" x14ac:dyDescent="0.25">
      <c r="M1352" s="21"/>
    </row>
    <row r="1353" spans="13:13" x14ac:dyDescent="0.25">
      <c r="M1353" s="21"/>
    </row>
    <row r="1354" spans="13:13" x14ac:dyDescent="0.25">
      <c r="M1354" s="21"/>
    </row>
    <row r="1355" spans="13:13" x14ac:dyDescent="0.25">
      <c r="M1355" s="21"/>
    </row>
    <row r="1356" spans="13:13" x14ac:dyDescent="0.25">
      <c r="M1356" s="21"/>
    </row>
    <row r="1357" spans="13:13" x14ac:dyDescent="0.25">
      <c r="M1357" s="21"/>
    </row>
    <row r="1358" spans="13:13" x14ac:dyDescent="0.25">
      <c r="M1358" s="21"/>
    </row>
    <row r="1359" spans="13:13" x14ac:dyDescent="0.25">
      <c r="M1359" s="21"/>
    </row>
    <row r="1360" spans="13:13" x14ac:dyDescent="0.25">
      <c r="M1360" s="21"/>
    </row>
    <row r="1361" spans="13:13" x14ac:dyDescent="0.25">
      <c r="M1361" s="21"/>
    </row>
    <row r="1362" spans="13:13" x14ac:dyDescent="0.25">
      <c r="M1362" s="21"/>
    </row>
    <row r="1363" spans="13:13" x14ac:dyDescent="0.25">
      <c r="M1363" s="21"/>
    </row>
    <row r="1364" spans="13:13" x14ac:dyDescent="0.25">
      <c r="M1364" s="21"/>
    </row>
    <row r="1365" spans="13:13" x14ac:dyDescent="0.25">
      <c r="M1365" s="21"/>
    </row>
    <row r="1366" spans="13:13" x14ac:dyDescent="0.25">
      <c r="M1366" s="21"/>
    </row>
    <row r="1367" spans="13:13" x14ac:dyDescent="0.25">
      <c r="M1367" s="21"/>
    </row>
    <row r="1368" spans="13:13" x14ac:dyDescent="0.25">
      <c r="M1368" s="21"/>
    </row>
    <row r="1369" spans="13:13" x14ac:dyDescent="0.25">
      <c r="M1369" s="21"/>
    </row>
    <row r="1370" spans="13:13" x14ac:dyDescent="0.25">
      <c r="M1370" s="21"/>
    </row>
    <row r="1371" spans="13:13" x14ac:dyDescent="0.25">
      <c r="M1371" s="21"/>
    </row>
    <row r="1372" spans="13:13" x14ac:dyDescent="0.25">
      <c r="M1372" s="21"/>
    </row>
    <row r="1373" spans="13:13" x14ac:dyDescent="0.25">
      <c r="M1373" s="21"/>
    </row>
    <row r="1374" spans="13:13" x14ac:dyDescent="0.25">
      <c r="M1374" s="21"/>
    </row>
    <row r="1375" spans="13:13" x14ac:dyDescent="0.25">
      <c r="M1375" s="21"/>
    </row>
    <row r="1376" spans="13:13" x14ac:dyDescent="0.25">
      <c r="M1376" s="21"/>
    </row>
    <row r="1377" spans="13:13" x14ac:dyDescent="0.25">
      <c r="M1377" s="21"/>
    </row>
    <row r="1378" spans="13:13" x14ac:dyDescent="0.25">
      <c r="M1378" s="21"/>
    </row>
    <row r="1379" spans="13:13" x14ac:dyDescent="0.25">
      <c r="M1379" s="21"/>
    </row>
    <row r="1380" spans="13:13" x14ac:dyDescent="0.25">
      <c r="M1380" s="21"/>
    </row>
    <row r="1381" spans="13:13" x14ac:dyDescent="0.25">
      <c r="M1381" s="21"/>
    </row>
    <row r="1382" spans="13:13" x14ac:dyDescent="0.25">
      <c r="M1382" s="21"/>
    </row>
    <row r="1383" spans="13:13" x14ac:dyDescent="0.25">
      <c r="M1383" s="21"/>
    </row>
    <row r="1384" spans="13:13" x14ac:dyDescent="0.25">
      <c r="M1384" s="21"/>
    </row>
    <row r="1385" spans="13:13" x14ac:dyDescent="0.25">
      <c r="M1385" s="21"/>
    </row>
    <row r="1386" spans="13:13" x14ac:dyDescent="0.25">
      <c r="M1386" s="21"/>
    </row>
    <row r="1387" spans="13:13" x14ac:dyDescent="0.25">
      <c r="M1387" s="21"/>
    </row>
    <row r="1388" spans="13:13" x14ac:dyDescent="0.25">
      <c r="M1388" s="21"/>
    </row>
    <row r="1389" spans="13:13" x14ac:dyDescent="0.25">
      <c r="M1389" s="21"/>
    </row>
    <row r="1390" spans="13:13" x14ac:dyDescent="0.25">
      <c r="M1390" s="21"/>
    </row>
    <row r="1391" spans="13:13" x14ac:dyDescent="0.25">
      <c r="M1391" s="21"/>
    </row>
    <row r="1392" spans="13:13" x14ac:dyDescent="0.25">
      <c r="M1392" s="21"/>
    </row>
    <row r="1393" spans="13:13" x14ac:dyDescent="0.25">
      <c r="M1393" s="21"/>
    </row>
    <row r="1394" spans="13:13" x14ac:dyDescent="0.25">
      <c r="M1394" s="21"/>
    </row>
    <row r="1395" spans="13:13" x14ac:dyDescent="0.25">
      <c r="M1395" s="21"/>
    </row>
    <row r="1396" spans="13:13" x14ac:dyDescent="0.25">
      <c r="M1396" s="21"/>
    </row>
    <row r="1397" spans="13:13" x14ac:dyDescent="0.25">
      <c r="M1397" s="21"/>
    </row>
    <row r="1398" spans="13:13" x14ac:dyDescent="0.25">
      <c r="M1398" s="21"/>
    </row>
    <row r="1399" spans="13:13" x14ac:dyDescent="0.25">
      <c r="M1399" s="21"/>
    </row>
    <row r="1400" spans="13:13" x14ac:dyDescent="0.25">
      <c r="M1400" s="21"/>
    </row>
    <row r="1401" spans="13:13" x14ac:dyDescent="0.25">
      <c r="M1401" s="21"/>
    </row>
    <row r="1402" spans="13:13" x14ac:dyDescent="0.25">
      <c r="M1402" s="21"/>
    </row>
    <row r="1403" spans="13:13" x14ac:dyDescent="0.25">
      <c r="M1403" s="21"/>
    </row>
    <row r="1404" spans="13:13" x14ac:dyDescent="0.25">
      <c r="M1404" s="21"/>
    </row>
    <row r="1405" spans="13:13" x14ac:dyDescent="0.25">
      <c r="M1405" s="21"/>
    </row>
    <row r="1406" spans="13:13" x14ac:dyDescent="0.25">
      <c r="M1406" s="21"/>
    </row>
    <row r="1407" spans="13:13" x14ac:dyDescent="0.25">
      <c r="M1407" s="21"/>
    </row>
    <row r="1408" spans="13:13" x14ac:dyDescent="0.25">
      <c r="M1408" s="21"/>
    </row>
    <row r="1409" spans="13:13" x14ac:dyDescent="0.25">
      <c r="M1409" s="21"/>
    </row>
    <row r="1410" spans="13:13" x14ac:dyDescent="0.25">
      <c r="M1410" s="21"/>
    </row>
    <row r="1411" spans="13:13" x14ac:dyDescent="0.25">
      <c r="M1411" s="21"/>
    </row>
    <row r="1412" spans="13:13" x14ac:dyDescent="0.25">
      <c r="M1412" s="21"/>
    </row>
    <row r="1413" spans="13:13" x14ac:dyDescent="0.25">
      <c r="M1413" s="21"/>
    </row>
    <row r="1414" spans="13:13" x14ac:dyDescent="0.25">
      <c r="M1414" s="21"/>
    </row>
    <row r="1415" spans="13:13" x14ac:dyDescent="0.25">
      <c r="M1415" s="21"/>
    </row>
    <row r="1416" spans="13:13" x14ac:dyDescent="0.25">
      <c r="M1416" s="21"/>
    </row>
    <row r="1417" spans="13:13" x14ac:dyDescent="0.25">
      <c r="M1417" s="21"/>
    </row>
    <row r="1418" spans="13:13" x14ac:dyDescent="0.25">
      <c r="M1418" s="21"/>
    </row>
    <row r="1419" spans="13:13" x14ac:dyDescent="0.25">
      <c r="M1419" s="21"/>
    </row>
    <row r="1420" spans="13:13" x14ac:dyDescent="0.25">
      <c r="M1420" s="21"/>
    </row>
    <row r="1421" spans="13:13" x14ac:dyDescent="0.25">
      <c r="M1421" s="21"/>
    </row>
    <row r="1422" spans="13:13" x14ac:dyDescent="0.25">
      <c r="M1422" s="21"/>
    </row>
    <row r="1423" spans="13:13" x14ac:dyDescent="0.25">
      <c r="M1423" s="21"/>
    </row>
    <row r="1424" spans="13:13" x14ac:dyDescent="0.25">
      <c r="M1424" s="21"/>
    </row>
    <row r="1425" spans="13:13" x14ac:dyDescent="0.25">
      <c r="M1425" s="21"/>
    </row>
    <row r="1426" spans="13:13" x14ac:dyDescent="0.25">
      <c r="M1426" s="21"/>
    </row>
    <row r="1427" spans="13:13" x14ac:dyDescent="0.25">
      <c r="M1427" s="21"/>
    </row>
    <row r="1428" spans="13:13" x14ac:dyDescent="0.25">
      <c r="M1428" s="21"/>
    </row>
    <row r="1429" spans="13:13" x14ac:dyDescent="0.25">
      <c r="M1429" s="21"/>
    </row>
    <row r="1430" spans="13:13" x14ac:dyDescent="0.25">
      <c r="M1430" s="21"/>
    </row>
    <row r="1431" spans="13:13" x14ac:dyDescent="0.25">
      <c r="M1431" s="21"/>
    </row>
    <row r="1432" spans="13:13" x14ac:dyDescent="0.25">
      <c r="M1432" s="21"/>
    </row>
    <row r="1433" spans="13:13" x14ac:dyDescent="0.25">
      <c r="M1433" s="21"/>
    </row>
    <row r="1434" spans="13:13" x14ac:dyDescent="0.25">
      <c r="M1434" s="21"/>
    </row>
    <row r="1435" spans="13:13" x14ac:dyDescent="0.25">
      <c r="M1435" s="21"/>
    </row>
    <row r="1436" spans="13:13" x14ac:dyDescent="0.25">
      <c r="M1436" s="21"/>
    </row>
    <row r="1437" spans="13:13" x14ac:dyDescent="0.25">
      <c r="M1437" s="21"/>
    </row>
    <row r="1438" spans="13:13" x14ac:dyDescent="0.25">
      <c r="M1438" s="21"/>
    </row>
    <row r="1439" spans="13:13" x14ac:dyDescent="0.25">
      <c r="M1439" s="21"/>
    </row>
    <row r="1440" spans="13:13" x14ac:dyDescent="0.25">
      <c r="M1440" s="21"/>
    </row>
    <row r="1441" spans="13:13" x14ac:dyDescent="0.25">
      <c r="M1441" s="21"/>
    </row>
    <row r="1442" spans="13:13" x14ac:dyDescent="0.25">
      <c r="M1442" s="21"/>
    </row>
    <row r="1443" spans="13:13" x14ac:dyDescent="0.25">
      <c r="M1443" s="21"/>
    </row>
    <row r="1444" spans="13:13" x14ac:dyDescent="0.25">
      <c r="M1444" s="21"/>
    </row>
    <row r="1445" spans="13:13" x14ac:dyDescent="0.25">
      <c r="M1445" s="21"/>
    </row>
    <row r="1446" spans="13:13" x14ac:dyDescent="0.25">
      <c r="M1446" s="21"/>
    </row>
    <row r="1447" spans="13:13" x14ac:dyDescent="0.25">
      <c r="M1447" s="21"/>
    </row>
    <row r="1448" spans="13:13" x14ac:dyDescent="0.25">
      <c r="M1448" s="21"/>
    </row>
    <row r="1449" spans="13:13" x14ac:dyDescent="0.25">
      <c r="M1449" s="21"/>
    </row>
    <row r="1450" spans="13:13" x14ac:dyDescent="0.25">
      <c r="M1450" s="21"/>
    </row>
    <row r="1451" spans="13:13" x14ac:dyDescent="0.25">
      <c r="M1451" s="21"/>
    </row>
    <row r="1452" spans="13:13" x14ac:dyDescent="0.25">
      <c r="M1452" s="21"/>
    </row>
    <row r="1453" spans="13:13" x14ac:dyDescent="0.25">
      <c r="M1453" s="21"/>
    </row>
    <row r="1454" spans="13:13" x14ac:dyDescent="0.25">
      <c r="M1454" s="21"/>
    </row>
    <row r="1455" spans="13:13" x14ac:dyDescent="0.25">
      <c r="M1455" s="21"/>
    </row>
    <row r="1456" spans="13:13" x14ac:dyDescent="0.25">
      <c r="M1456" s="21"/>
    </row>
    <row r="1457" spans="13:13" x14ac:dyDescent="0.25">
      <c r="M1457" s="21"/>
    </row>
    <row r="1458" spans="13:13" x14ac:dyDescent="0.25">
      <c r="M1458" s="21"/>
    </row>
    <row r="1459" spans="13:13" x14ac:dyDescent="0.25">
      <c r="M1459" s="21"/>
    </row>
    <row r="1460" spans="13:13" x14ac:dyDescent="0.25">
      <c r="M1460" s="21"/>
    </row>
    <row r="1461" spans="13:13" x14ac:dyDescent="0.25">
      <c r="M1461" s="21"/>
    </row>
    <row r="1462" spans="13:13" x14ac:dyDescent="0.25">
      <c r="M1462" s="21"/>
    </row>
    <row r="1463" spans="13:13" x14ac:dyDescent="0.25">
      <c r="M1463" s="21"/>
    </row>
    <row r="1464" spans="13:13" x14ac:dyDescent="0.25">
      <c r="M1464" s="21"/>
    </row>
    <row r="1465" spans="13:13" x14ac:dyDescent="0.25">
      <c r="M1465" s="21"/>
    </row>
    <row r="1466" spans="13:13" x14ac:dyDescent="0.25">
      <c r="M1466" s="21"/>
    </row>
    <row r="1467" spans="13:13" x14ac:dyDescent="0.25">
      <c r="M1467" s="21"/>
    </row>
    <row r="1468" spans="13:13" x14ac:dyDescent="0.25">
      <c r="M1468" s="21"/>
    </row>
    <row r="1469" spans="13:13" x14ac:dyDescent="0.25">
      <c r="M1469" s="21"/>
    </row>
    <row r="1470" spans="13:13" x14ac:dyDescent="0.25">
      <c r="M1470" s="21"/>
    </row>
    <row r="1471" spans="13:13" x14ac:dyDescent="0.25">
      <c r="M1471" s="21"/>
    </row>
    <row r="1472" spans="13:13" x14ac:dyDescent="0.25">
      <c r="M1472" s="21"/>
    </row>
    <row r="1473" spans="13:13" x14ac:dyDescent="0.25">
      <c r="M1473" s="21"/>
    </row>
    <row r="1474" spans="13:13" x14ac:dyDescent="0.25">
      <c r="M1474" s="21"/>
    </row>
    <row r="1475" spans="13:13" x14ac:dyDescent="0.25">
      <c r="M1475" s="21"/>
    </row>
    <row r="1476" spans="13:13" x14ac:dyDescent="0.25">
      <c r="M1476" s="21"/>
    </row>
    <row r="1477" spans="13:13" x14ac:dyDescent="0.25">
      <c r="M1477" s="21"/>
    </row>
    <row r="1478" spans="13:13" x14ac:dyDescent="0.25">
      <c r="M1478" s="21"/>
    </row>
    <row r="1479" spans="13:13" x14ac:dyDescent="0.25">
      <c r="M1479" s="21"/>
    </row>
    <row r="1480" spans="13:13" x14ac:dyDescent="0.25">
      <c r="M1480" s="21"/>
    </row>
    <row r="1481" spans="13:13" x14ac:dyDescent="0.25">
      <c r="M1481" s="21"/>
    </row>
    <row r="1482" spans="13:13" x14ac:dyDescent="0.25">
      <c r="M1482" s="21"/>
    </row>
    <row r="1483" spans="13:13" x14ac:dyDescent="0.25">
      <c r="M1483" s="21"/>
    </row>
    <row r="1484" spans="13:13" x14ac:dyDescent="0.25">
      <c r="M1484" s="21"/>
    </row>
    <row r="1485" spans="13:13" x14ac:dyDescent="0.25">
      <c r="M1485" s="21"/>
    </row>
    <row r="1486" spans="13:13" x14ac:dyDescent="0.25">
      <c r="M1486" s="21"/>
    </row>
    <row r="1487" spans="13:13" x14ac:dyDescent="0.25">
      <c r="M1487" s="21"/>
    </row>
    <row r="1488" spans="13:13" x14ac:dyDescent="0.25">
      <c r="M1488" s="21"/>
    </row>
    <row r="1489" spans="13:13" x14ac:dyDescent="0.25">
      <c r="M1489" s="21"/>
    </row>
    <row r="1490" spans="13:13" x14ac:dyDescent="0.25">
      <c r="M1490" s="21"/>
    </row>
    <row r="1491" spans="13:13" x14ac:dyDescent="0.25">
      <c r="M1491" s="21"/>
    </row>
    <row r="1492" spans="13:13" x14ac:dyDescent="0.25">
      <c r="M1492" s="21"/>
    </row>
    <row r="1493" spans="13:13" x14ac:dyDescent="0.25">
      <c r="M1493" s="21"/>
    </row>
    <row r="1494" spans="13:13" x14ac:dyDescent="0.25">
      <c r="M1494" s="21"/>
    </row>
    <row r="1495" spans="13:13" x14ac:dyDescent="0.25">
      <c r="M1495" s="21"/>
    </row>
    <row r="1496" spans="13:13" x14ac:dyDescent="0.25">
      <c r="M1496" s="21"/>
    </row>
    <row r="1497" spans="13:13" x14ac:dyDescent="0.25">
      <c r="M1497" s="21"/>
    </row>
    <row r="1498" spans="13:13" x14ac:dyDescent="0.25">
      <c r="M1498" s="21"/>
    </row>
    <row r="1499" spans="13:13" x14ac:dyDescent="0.25">
      <c r="M1499" s="21"/>
    </row>
    <row r="1500" spans="13:13" x14ac:dyDescent="0.25">
      <c r="M1500" s="21"/>
    </row>
    <row r="1501" spans="13:13" x14ac:dyDescent="0.25">
      <c r="M1501" s="21"/>
    </row>
    <row r="1502" spans="13:13" x14ac:dyDescent="0.25">
      <c r="M1502" s="21"/>
    </row>
    <row r="1503" spans="13:13" x14ac:dyDescent="0.25">
      <c r="M1503" s="21"/>
    </row>
    <row r="1504" spans="13:13" x14ac:dyDescent="0.25">
      <c r="M1504" s="21"/>
    </row>
    <row r="1505" spans="13:13" x14ac:dyDescent="0.25">
      <c r="M1505" s="21"/>
    </row>
    <row r="1506" spans="13:13" x14ac:dyDescent="0.25">
      <c r="M1506" s="21"/>
    </row>
    <row r="1507" spans="13:13" x14ac:dyDescent="0.25">
      <c r="M1507" s="21"/>
    </row>
    <row r="1508" spans="13:13" x14ac:dyDescent="0.25">
      <c r="M1508" s="21"/>
    </row>
    <row r="1509" spans="13:13" x14ac:dyDescent="0.25">
      <c r="M1509" s="21"/>
    </row>
    <row r="1510" spans="13:13" x14ac:dyDescent="0.25">
      <c r="M1510" s="21"/>
    </row>
    <row r="1511" spans="13:13" x14ac:dyDescent="0.25">
      <c r="M1511" s="21"/>
    </row>
    <row r="1512" spans="13:13" x14ac:dyDescent="0.25">
      <c r="M1512" s="21"/>
    </row>
    <row r="1513" spans="13:13" x14ac:dyDescent="0.25">
      <c r="M1513" s="21"/>
    </row>
    <row r="1514" spans="13:13" x14ac:dyDescent="0.25">
      <c r="M1514" s="21"/>
    </row>
    <row r="1515" spans="13:13" x14ac:dyDescent="0.25">
      <c r="M1515" s="21"/>
    </row>
    <row r="1516" spans="13:13" x14ac:dyDescent="0.25">
      <c r="M1516" s="21"/>
    </row>
    <row r="1517" spans="13:13" x14ac:dyDescent="0.25">
      <c r="M1517" s="21"/>
    </row>
    <row r="1518" spans="13:13" x14ac:dyDescent="0.25">
      <c r="M1518" s="21"/>
    </row>
    <row r="1519" spans="13:13" x14ac:dyDescent="0.25">
      <c r="M1519" s="21"/>
    </row>
    <row r="1520" spans="13:13" x14ac:dyDescent="0.25">
      <c r="M1520" s="21"/>
    </row>
    <row r="1521" spans="13:13" x14ac:dyDescent="0.25">
      <c r="M1521" s="21"/>
    </row>
    <row r="1522" spans="13:13" x14ac:dyDescent="0.25">
      <c r="M1522" s="21"/>
    </row>
    <row r="1523" spans="13:13" x14ac:dyDescent="0.25">
      <c r="M1523" s="21"/>
    </row>
    <row r="1524" spans="13:13" x14ac:dyDescent="0.25">
      <c r="M1524" s="21"/>
    </row>
    <row r="1525" spans="13:13" x14ac:dyDescent="0.25">
      <c r="M1525" s="21"/>
    </row>
    <row r="1526" spans="13:13" x14ac:dyDescent="0.25">
      <c r="M1526" s="21"/>
    </row>
    <row r="1527" spans="13:13" x14ac:dyDescent="0.25">
      <c r="M1527" s="21"/>
    </row>
    <row r="1528" spans="13:13" x14ac:dyDescent="0.25">
      <c r="M1528" s="21"/>
    </row>
    <row r="1529" spans="13:13" x14ac:dyDescent="0.25">
      <c r="M1529" s="21"/>
    </row>
    <row r="1530" spans="13:13" x14ac:dyDescent="0.25">
      <c r="M1530" s="21"/>
    </row>
    <row r="1531" spans="13:13" x14ac:dyDescent="0.25">
      <c r="M1531" s="21"/>
    </row>
    <row r="1532" spans="13:13" x14ac:dyDescent="0.25">
      <c r="M1532" s="21"/>
    </row>
    <row r="1533" spans="13:13" x14ac:dyDescent="0.25">
      <c r="M1533" s="21"/>
    </row>
    <row r="1534" spans="13:13" x14ac:dyDescent="0.25">
      <c r="M1534" s="21"/>
    </row>
    <row r="1535" spans="13:13" x14ac:dyDescent="0.25">
      <c r="M1535" s="21"/>
    </row>
    <row r="1536" spans="13:13" x14ac:dyDescent="0.25">
      <c r="M1536" s="21"/>
    </row>
    <row r="1537" spans="13:13" x14ac:dyDescent="0.25">
      <c r="M1537" s="21"/>
    </row>
    <row r="1538" spans="13:13" x14ac:dyDescent="0.25">
      <c r="M1538" s="21"/>
    </row>
    <row r="1539" spans="13:13" x14ac:dyDescent="0.25">
      <c r="M1539" s="21"/>
    </row>
    <row r="1540" spans="13:13" x14ac:dyDescent="0.25">
      <c r="M1540" s="21"/>
    </row>
    <row r="1541" spans="13:13" x14ac:dyDescent="0.25">
      <c r="M1541" s="21"/>
    </row>
    <row r="1542" spans="13:13" x14ac:dyDescent="0.25">
      <c r="M1542" s="21"/>
    </row>
    <row r="1543" spans="13:13" x14ac:dyDescent="0.25">
      <c r="M1543" s="21"/>
    </row>
    <row r="1544" spans="13:13" x14ac:dyDescent="0.25">
      <c r="M1544" s="21"/>
    </row>
    <row r="1545" spans="13:13" x14ac:dyDescent="0.25">
      <c r="M1545" s="21"/>
    </row>
    <row r="1546" spans="13:13" x14ac:dyDescent="0.25">
      <c r="M1546" s="21"/>
    </row>
    <row r="1547" spans="13:13" x14ac:dyDescent="0.25">
      <c r="M1547" s="21"/>
    </row>
    <row r="1548" spans="13:13" x14ac:dyDescent="0.25">
      <c r="M1548" s="21"/>
    </row>
    <row r="1549" spans="13:13" x14ac:dyDescent="0.25">
      <c r="M1549" s="21"/>
    </row>
    <row r="1550" spans="13:13" x14ac:dyDescent="0.25">
      <c r="M1550" s="21"/>
    </row>
    <row r="1551" spans="13:13" x14ac:dyDescent="0.25">
      <c r="M1551" s="21"/>
    </row>
    <row r="1552" spans="13:13" x14ac:dyDescent="0.25">
      <c r="M1552" s="21"/>
    </row>
    <row r="1553" spans="13:13" x14ac:dyDescent="0.25">
      <c r="M1553" s="21"/>
    </row>
    <row r="1554" spans="13:13" x14ac:dyDescent="0.25">
      <c r="M1554" s="21"/>
    </row>
    <row r="1555" spans="13:13" x14ac:dyDescent="0.25">
      <c r="M1555" s="21"/>
    </row>
    <row r="1556" spans="13:13" x14ac:dyDescent="0.25">
      <c r="M1556" s="21"/>
    </row>
    <row r="1557" spans="13:13" x14ac:dyDescent="0.25">
      <c r="M1557" s="21"/>
    </row>
    <row r="1558" spans="13:13" x14ac:dyDescent="0.25">
      <c r="M1558" s="21"/>
    </row>
    <row r="1559" spans="13:13" x14ac:dyDescent="0.25">
      <c r="M1559" s="21"/>
    </row>
    <row r="1560" spans="13:13" x14ac:dyDescent="0.25">
      <c r="M1560" s="21"/>
    </row>
    <row r="1561" spans="13:13" x14ac:dyDescent="0.25">
      <c r="M1561" s="21"/>
    </row>
    <row r="1562" spans="13:13" x14ac:dyDescent="0.25">
      <c r="M1562" s="21"/>
    </row>
    <row r="1563" spans="13:13" x14ac:dyDescent="0.25">
      <c r="M1563" s="21"/>
    </row>
    <row r="1564" spans="13:13" x14ac:dyDescent="0.25">
      <c r="M1564" s="21"/>
    </row>
    <row r="1565" spans="13:13" x14ac:dyDescent="0.25">
      <c r="M1565" s="21"/>
    </row>
    <row r="1566" spans="13:13" x14ac:dyDescent="0.25">
      <c r="M1566" s="21"/>
    </row>
    <row r="1567" spans="13:13" x14ac:dyDescent="0.25">
      <c r="M1567" s="21"/>
    </row>
    <row r="1568" spans="13:13" x14ac:dyDescent="0.25">
      <c r="M1568" s="21"/>
    </row>
    <row r="1569" spans="13:13" x14ac:dyDescent="0.25">
      <c r="M1569" s="21"/>
    </row>
    <row r="1570" spans="13:13" x14ac:dyDescent="0.25">
      <c r="M1570" s="21"/>
    </row>
    <row r="1571" spans="13:13" x14ac:dyDescent="0.25">
      <c r="M1571" s="21"/>
    </row>
    <row r="1572" spans="13:13" x14ac:dyDescent="0.25">
      <c r="M1572" s="21"/>
    </row>
    <row r="1573" spans="13:13" x14ac:dyDescent="0.25">
      <c r="M1573" s="21"/>
    </row>
    <row r="1574" spans="13:13" x14ac:dyDescent="0.25">
      <c r="M1574" s="21"/>
    </row>
    <row r="1575" spans="13:13" x14ac:dyDescent="0.25">
      <c r="M1575" s="21"/>
    </row>
    <row r="1576" spans="13:13" x14ac:dyDescent="0.25">
      <c r="M1576" s="21"/>
    </row>
    <row r="1577" spans="13:13" x14ac:dyDescent="0.25">
      <c r="M1577" s="21"/>
    </row>
    <row r="1578" spans="13:13" x14ac:dyDescent="0.25">
      <c r="M1578" s="21"/>
    </row>
    <row r="1579" spans="13:13" x14ac:dyDescent="0.25">
      <c r="M1579" s="21"/>
    </row>
    <row r="1580" spans="13:13" x14ac:dyDescent="0.25">
      <c r="M1580" s="21"/>
    </row>
    <row r="1581" spans="13:13" x14ac:dyDescent="0.25">
      <c r="M1581" s="21"/>
    </row>
    <row r="1582" spans="13:13" x14ac:dyDescent="0.25">
      <c r="M1582" s="21"/>
    </row>
    <row r="1583" spans="13:13" x14ac:dyDescent="0.25">
      <c r="M1583" s="21"/>
    </row>
    <row r="1584" spans="13:13" x14ac:dyDescent="0.25">
      <c r="M1584" s="21"/>
    </row>
    <row r="1585" spans="13:13" x14ac:dyDescent="0.25">
      <c r="M1585" s="21"/>
    </row>
    <row r="1586" spans="13:13" x14ac:dyDescent="0.25">
      <c r="M1586" s="21"/>
    </row>
    <row r="1587" spans="13:13" x14ac:dyDescent="0.25">
      <c r="M1587" s="21"/>
    </row>
    <row r="1588" spans="13:13" x14ac:dyDescent="0.25">
      <c r="M1588" s="21"/>
    </row>
    <row r="1589" spans="13:13" x14ac:dyDescent="0.25">
      <c r="M1589" s="21"/>
    </row>
    <row r="1590" spans="13:13" x14ac:dyDescent="0.25">
      <c r="M1590" s="21"/>
    </row>
    <row r="1591" spans="13:13" x14ac:dyDescent="0.25">
      <c r="M1591" s="21"/>
    </row>
    <row r="1592" spans="13:13" x14ac:dyDescent="0.25">
      <c r="M1592" s="21"/>
    </row>
    <row r="1593" spans="13:13" x14ac:dyDescent="0.25">
      <c r="M1593" s="21"/>
    </row>
    <row r="1594" spans="13:13" x14ac:dyDescent="0.25">
      <c r="M1594" s="21"/>
    </row>
    <row r="1595" spans="13:13" x14ac:dyDescent="0.25">
      <c r="M1595" s="21"/>
    </row>
    <row r="1596" spans="13:13" x14ac:dyDescent="0.25">
      <c r="M1596" s="21"/>
    </row>
    <row r="1597" spans="13:13" x14ac:dyDescent="0.25">
      <c r="M1597" s="21"/>
    </row>
    <row r="1598" spans="13:13" x14ac:dyDescent="0.25">
      <c r="M1598" s="21"/>
    </row>
    <row r="1599" spans="13:13" x14ac:dyDescent="0.25">
      <c r="M1599" s="21"/>
    </row>
    <row r="1600" spans="13:13" x14ac:dyDescent="0.25">
      <c r="M1600" s="21"/>
    </row>
    <row r="1601" spans="13:13" x14ac:dyDescent="0.25">
      <c r="M1601" s="21"/>
    </row>
    <row r="1602" spans="13:13" x14ac:dyDescent="0.25">
      <c r="M1602" s="21"/>
    </row>
    <row r="1603" spans="13:13" x14ac:dyDescent="0.25">
      <c r="M1603" s="21"/>
    </row>
    <row r="1604" spans="13:13" x14ac:dyDescent="0.25">
      <c r="M1604" s="21"/>
    </row>
    <row r="1605" spans="13:13" x14ac:dyDescent="0.25">
      <c r="M1605" s="21"/>
    </row>
    <row r="1606" spans="13:13" x14ac:dyDescent="0.25">
      <c r="M1606" s="21"/>
    </row>
    <row r="1607" spans="13:13" x14ac:dyDescent="0.25">
      <c r="M1607" s="21"/>
    </row>
    <row r="1608" spans="13:13" x14ac:dyDescent="0.25">
      <c r="M1608" s="21"/>
    </row>
    <row r="1609" spans="13:13" x14ac:dyDescent="0.25">
      <c r="M1609" s="21"/>
    </row>
    <row r="1610" spans="13:13" x14ac:dyDescent="0.25">
      <c r="M1610" s="21"/>
    </row>
    <row r="1611" spans="13:13" x14ac:dyDescent="0.25">
      <c r="M1611" s="21"/>
    </row>
    <row r="1612" spans="13:13" x14ac:dyDescent="0.25">
      <c r="M1612" s="21"/>
    </row>
    <row r="1613" spans="13:13" x14ac:dyDescent="0.25">
      <c r="M1613" s="21"/>
    </row>
    <row r="1614" spans="13:13" x14ac:dyDescent="0.25">
      <c r="M1614" s="21"/>
    </row>
    <row r="1615" spans="13:13" x14ac:dyDescent="0.25">
      <c r="M1615" s="21"/>
    </row>
    <row r="1616" spans="13:13" x14ac:dyDescent="0.25">
      <c r="M1616" s="21"/>
    </row>
    <row r="1617" spans="13:13" x14ac:dyDescent="0.25">
      <c r="M1617" s="21"/>
    </row>
    <row r="1618" spans="13:13" x14ac:dyDescent="0.25">
      <c r="M1618" s="21"/>
    </row>
    <row r="1619" spans="13:13" x14ac:dyDescent="0.25">
      <c r="M1619" s="21"/>
    </row>
    <row r="1620" spans="13:13" x14ac:dyDescent="0.25">
      <c r="M1620" s="21"/>
    </row>
    <row r="1621" spans="13:13" x14ac:dyDescent="0.25">
      <c r="M1621" s="21"/>
    </row>
    <row r="1622" spans="13:13" x14ac:dyDescent="0.25">
      <c r="M1622" s="21"/>
    </row>
    <row r="1623" spans="13:13" x14ac:dyDescent="0.25">
      <c r="M1623" s="21"/>
    </row>
    <row r="1624" spans="13:13" x14ac:dyDescent="0.25">
      <c r="M1624" s="21"/>
    </row>
    <row r="1625" spans="13:13" x14ac:dyDescent="0.25">
      <c r="M1625" s="21"/>
    </row>
    <row r="1626" spans="13:13" x14ac:dyDescent="0.25">
      <c r="M1626" s="21"/>
    </row>
    <row r="1627" spans="13:13" x14ac:dyDescent="0.25">
      <c r="M1627" s="21"/>
    </row>
    <row r="1628" spans="13:13" x14ac:dyDescent="0.25">
      <c r="M1628" s="21"/>
    </row>
    <row r="1629" spans="13:13" x14ac:dyDescent="0.25">
      <c r="M1629" s="21"/>
    </row>
    <row r="1630" spans="13:13" x14ac:dyDescent="0.25">
      <c r="M1630" s="21"/>
    </row>
    <row r="1631" spans="13:13" x14ac:dyDescent="0.25">
      <c r="M1631" s="21"/>
    </row>
    <row r="1632" spans="13:13" x14ac:dyDescent="0.25">
      <c r="M1632" s="21"/>
    </row>
    <row r="1633" spans="13:13" x14ac:dyDescent="0.25">
      <c r="M1633" s="21"/>
    </row>
    <row r="1634" spans="13:13" x14ac:dyDescent="0.25">
      <c r="M1634" s="21"/>
    </row>
    <row r="1635" spans="13:13" x14ac:dyDescent="0.25">
      <c r="M1635" s="21"/>
    </row>
    <row r="1636" spans="13:13" x14ac:dyDescent="0.25">
      <c r="M1636" s="21"/>
    </row>
    <row r="1637" spans="13:13" x14ac:dyDescent="0.25">
      <c r="M1637" s="21"/>
    </row>
    <row r="1638" spans="13:13" x14ac:dyDescent="0.25">
      <c r="M1638" s="21"/>
    </row>
    <row r="1639" spans="13:13" x14ac:dyDescent="0.25">
      <c r="M1639" s="21"/>
    </row>
    <row r="1640" spans="13:13" x14ac:dyDescent="0.25">
      <c r="M1640" s="21"/>
    </row>
    <row r="1641" spans="13:13" x14ac:dyDescent="0.25">
      <c r="M1641" s="21"/>
    </row>
    <row r="1642" spans="13:13" x14ac:dyDescent="0.25">
      <c r="M1642" s="21"/>
    </row>
    <row r="1643" spans="13:13" x14ac:dyDescent="0.25">
      <c r="M1643" s="21"/>
    </row>
    <row r="1644" spans="13:13" x14ac:dyDescent="0.25">
      <c r="M1644" s="21"/>
    </row>
    <row r="1645" spans="13:13" x14ac:dyDescent="0.25">
      <c r="M1645" s="21"/>
    </row>
    <row r="1646" spans="13:13" x14ac:dyDescent="0.25">
      <c r="M1646" s="21"/>
    </row>
    <row r="1647" spans="13:13" x14ac:dyDescent="0.25">
      <c r="M1647" s="21"/>
    </row>
    <row r="1648" spans="13:13" x14ac:dyDescent="0.25">
      <c r="M1648" s="21"/>
    </row>
    <row r="1649" spans="13:13" x14ac:dyDescent="0.25">
      <c r="M1649" s="21"/>
    </row>
    <row r="1650" spans="13:13" x14ac:dyDescent="0.25">
      <c r="M1650" s="21"/>
    </row>
    <row r="1651" spans="13:13" x14ac:dyDescent="0.25">
      <c r="M1651" s="21"/>
    </row>
    <row r="1652" spans="13:13" x14ac:dyDescent="0.25">
      <c r="M1652" s="21"/>
    </row>
    <row r="1653" spans="13:13" x14ac:dyDescent="0.25">
      <c r="M1653" s="21"/>
    </row>
    <row r="1654" spans="13:13" x14ac:dyDescent="0.25">
      <c r="M1654" s="21"/>
    </row>
    <row r="1655" spans="13:13" x14ac:dyDescent="0.25">
      <c r="M1655" s="21"/>
    </row>
    <row r="1656" spans="13:13" x14ac:dyDescent="0.25">
      <c r="M1656" s="21"/>
    </row>
    <row r="1657" spans="13:13" x14ac:dyDescent="0.25">
      <c r="M1657" s="21"/>
    </row>
    <row r="1658" spans="13:13" x14ac:dyDescent="0.25">
      <c r="M1658" s="21"/>
    </row>
    <row r="1659" spans="13:13" x14ac:dyDescent="0.25">
      <c r="M1659" s="21"/>
    </row>
    <row r="1660" spans="13:13" x14ac:dyDescent="0.25">
      <c r="M1660" s="21"/>
    </row>
    <row r="1661" spans="13:13" x14ac:dyDescent="0.25">
      <c r="M1661" s="21"/>
    </row>
    <row r="1662" spans="13:13" x14ac:dyDescent="0.25">
      <c r="M1662" s="21"/>
    </row>
    <row r="1663" spans="13:13" x14ac:dyDescent="0.25">
      <c r="M1663" s="21"/>
    </row>
    <row r="1664" spans="13:13" x14ac:dyDescent="0.25">
      <c r="M1664" s="21"/>
    </row>
    <row r="1665" spans="13:13" x14ac:dyDescent="0.25">
      <c r="M1665" s="21"/>
    </row>
    <row r="1666" spans="13:13" x14ac:dyDescent="0.25">
      <c r="M1666" s="21"/>
    </row>
    <row r="1667" spans="13:13" x14ac:dyDescent="0.25">
      <c r="M1667" s="21"/>
    </row>
    <row r="1668" spans="13:13" x14ac:dyDescent="0.25">
      <c r="M1668" s="21"/>
    </row>
    <row r="1669" spans="13:13" x14ac:dyDescent="0.25">
      <c r="M1669" s="21"/>
    </row>
    <row r="1670" spans="13:13" x14ac:dyDescent="0.25">
      <c r="M1670" s="21"/>
    </row>
    <row r="1671" spans="13:13" x14ac:dyDescent="0.25">
      <c r="M1671" s="21"/>
    </row>
    <row r="1672" spans="13:13" x14ac:dyDescent="0.25">
      <c r="M1672" s="21"/>
    </row>
    <row r="1673" spans="13:13" x14ac:dyDescent="0.25">
      <c r="M1673" s="21"/>
    </row>
    <row r="1674" spans="13:13" x14ac:dyDescent="0.25">
      <c r="M1674" s="21"/>
    </row>
    <row r="1675" spans="13:13" x14ac:dyDescent="0.25">
      <c r="M1675" s="21"/>
    </row>
    <row r="1676" spans="13:13" x14ac:dyDescent="0.25">
      <c r="M1676" s="21"/>
    </row>
    <row r="1677" spans="13:13" x14ac:dyDescent="0.25">
      <c r="M1677" s="21"/>
    </row>
    <row r="1678" spans="13:13" x14ac:dyDescent="0.25">
      <c r="M1678" s="21"/>
    </row>
    <row r="1679" spans="13:13" x14ac:dyDescent="0.25">
      <c r="M1679" s="21"/>
    </row>
    <row r="1680" spans="13:13" x14ac:dyDescent="0.25">
      <c r="M1680" s="21"/>
    </row>
    <row r="1681" spans="13:13" x14ac:dyDescent="0.25">
      <c r="M1681" s="21"/>
    </row>
    <row r="1682" spans="13:13" x14ac:dyDescent="0.25">
      <c r="M1682" s="21"/>
    </row>
    <row r="1683" spans="13:13" x14ac:dyDescent="0.25">
      <c r="M1683" s="21"/>
    </row>
    <row r="1684" spans="13:13" x14ac:dyDescent="0.25">
      <c r="M1684" s="21"/>
    </row>
    <row r="1685" spans="13:13" x14ac:dyDescent="0.25">
      <c r="M1685" s="21"/>
    </row>
    <row r="1686" spans="13:13" x14ac:dyDescent="0.25">
      <c r="M1686" s="21"/>
    </row>
    <row r="1687" spans="13:13" x14ac:dyDescent="0.25">
      <c r="M1687" s="21"/>
    </row>
    <row r="1688" spans="13:13" x14ac:dyDescent="0.25">
      <c r="M1688" s="21"/>
    </row>
    <row r="1689" spans="13:13" x14ac:dyDescent="0.25">
      <c r="M1689" s="21"/>
    </row>
    <row r="1690" spans="13:13" x14ac:dyDescent="0.25">
      <c r="M1690" s="21"/>
    </row>
    <row r="1691" spans="13:13" x14ac:dyDescent="0.25">
      <c r="M1691" s="21"/>
    </row>
    <row r="1692" spans="13:13" x14ac:dyDescent="0.25">
      <c r="M1692" s="21"/>
    </row>
    <row r="1693" spans="13:13" x14ac:dyDescent="0.25">
      <c r="M1693" s="21"/>
    </row>
    <row r="1694" spans="13:13" x14ac:dyDescent="0.25">
      <c r="M1694" s="21"/>
    </row>
    <row r="1695" spans="13:13" x14ac:dyDescent="0.25">
      <c r="M1695" s="21"/>
    </row>
    <row r="1696" spans="13:13" x14ac:dyDescent="0.25">
      <c r="M1696" s="21"/>
    </row>
    <row r="1697" spans="13:13" x14ac:dyDescent="0.25">
      <c r="M1697" s="21"/>
    </row>
    <row r="1698" spans="13:13" x14ac:dyDescent="0.25">
      <c r="M1698" s="21"/>
    </row>
    <row r="1699" spans="13:13" x14ac:dyDescent="0.25">
      <c r="M1699" s="21"/>
    </row>
    <row r="1700" spans="13:13" x14ac:dyDescent="0.25">
      <c r="M1700" s="21"/>
    </row>
    <row r="1701" spans="13:13" x14ac:dyDescent="0.25">
      <c r="M1701" s="21"/>
    </row>
    <row r="1702" spans="13:13" x14ac:dyDescent="0.25">
      <c r="M1702" s="21"/>
    </row>
    <row r="1703" spans="13:13" x14ac:dyDescent="0.25">
      <c r="M1703" s="21"/>
    </row>
    <row r="1704" spans="13:13" x14ac:dyDescent="0.25">
      <c r="M1704" s="21"/>
    </row>
    <row r="1705" spans="13:13" x14ac:dyDescent="0.25">
      <c r="M1705" s="21"/>
    </row>
    <row r="1706" spans="13:13" x14ac:dyDescent="0.25">
      <c r="M1706" s="21"/>
    </row>
    <row r="1707" spans="13:13" x14ac:dyDescent="0.25">
      <c r="M1707" s="21"/>
    </row>
    <row r="1708" spans="13:13" x14ac:dyDescent="0.25">
      <c r="M1708" s="21"/>
    </row>
    <row r="1709" spans="13:13" x14ac:dyDescent="0.25">
      <c r="M1709" s="21"/>
    </row>
    <row r="1710" spans="13:13" x14ac:dyDescent="0.25">
      <c r="M1710" s="21"/>
    </row>
    <row r="1711" spans="13:13" x14ac:dyDescent="0.25">
      <c r="M1711" s="21"/>
    </row>
    <row r="1712" spans="13:13" x14ac:dyDescent="0.25">
      <c r="M1712" s="21"/>
    </row>
    <row r="1713" spans="13:13" x14ac:dyDescent="0.25">
      <c r="M1713" s="21"/>
    </row>
    <row r="1714" spans="13:13" x14ac:dyDescent="0.25">
      <c r="M1714" s="21"/>
    </row>
    <row r="1715" spans="13:13" x14ac:dyDescent="0.25">
      <c r="M1715" s="21"/>
    </row>
    <row r="1716" spans="13:13" x14ac:dyDescent="0.25">
      <c r="M1716" s="21"/>
    </row>
    <row r="1717" spans="13:13" x14ac:dyDescent="0.25">
      <c r="M1717" s="21"/>
    </row>
    <row r="1718" spans="13:13" x14ac:dyDescent="0.25">
      <c r="M1718" s="21"/>
    </row>
    <row r="1719" spans="13:13" x14ac:dyDescent="0.25">
      <c r="M1719" s="21"/>
    </row>
    <row r="1720" spans="13:13" x14ac:dyDescent="0.25">
      <c r="M1720" s="21"/>
    </row>
    <row r="1721" spans="13:13" x14ac:dyDescent="0.25">
      <c r="M1721" s="21"/>
    </row>
    <row r="1722" spans="13:13" x14ac:dyDescent="0.25">
      <c r="M1722" s="21"/>
    </row>
    <row r="1723" spans="13:13" x14ac:dyDescent="0.25">
      <c r="M1723" s="21"/>
    </row>
    <row r="1724" spans="13:13" x14ac:dyDescent="0.25">
      <c r="M1724" s="21"/>
    </row>
    <row r="1725" spans="13:13" x14ac:dyDescent="0.25">
      <c r="M1725" s="21"/>
    </row>
    <row r="1726" spans="13:13" x14ac:dyDescent="0.25">
      <c r="M1726" s="21"/>
    </row>
    <row r="1727" spans="13:13" x14ac:dyDescent="0.25">
      <c r="M1727" s="21"/>
    </row>
    <row r="1728" spans="13:13" x14ac:dyDescent="0.25">
      <c r="M1728" s="21"/>
    </row>
    <row r="1729" spans="13:13" x14ac:dyDescent="0.25">
      <c r="M1729" s="21"/>
    </row>
    <row r="1730" spans="13:13" x14ac:dyDescent="0.25">
      <c r="M1730" s="21"/>
    </row>
    <row r="1731" spans="13:13" x14ac:dyDescent="0.25">
      <c r="M1731" s="21"/>
    </row>
    <row r="1732" spans="13:13" x14ac:dyDescent="0.25">
      <c r="M1732" s="21"/>
    </row>
    <row r="1733" spans="13:13" x14ac:dyDescent="0.25">
      <c r="M1733" s="21"/>
    </row>
    <row r="1734" spans="13:13" x14ac:dyDescent="0.25">
      <c r="M1734" s="21"/>
    </row>
    <row r="1735" spans="13:13" x14ac:dyDescent="0.25">
      <c r="M1735" s="21"/>
    </row>
    <row r="1736" spans="13:13" x14ac:dyDescent="0.25">
      <c r="M1736" s="21"/>
    </row>
    <row r="1737" spans="13:13" x14ac:dyDescent="0.25">
      <c r="M1737" s="21"/>
    </row>
    <row r="1738" spans="13:13" x14ac:dyDescent="0.25">
      <c r="M1738" s="21"/>
    </row>
    <row r="1739" spans="13:13" x14ac:dyDescent="0.25">
      <c r="M1739" s="21"/>
    </row>
    <row r="1740" spans="13:13" x14ac:dyDescent="0.25">
      <c r="M1740" s="21"/>
    </row>
    <row r="1741" spans="13:13" x14ac:dyDescent="0.25">
      <c r="M1741" s="21"/>
    </row>
    <row r="1742" spans="13:13" x14ac:dyDescent="0.25">
      <c r="M1742" s="21"/>
    </row>
    <row r="1743" spans="13:13" x14ac:dyDescent="0.25">
      <c r="M1743" s="21"/>
    </row>
    <row r="1744" spans="13:13" x14ac:dyDescent="0.25">
      <c r="M1744" s="21"/>
    </row>
    <row r="1745" spans="13:13" x14ac:dyDescent="0.25">
      <c r="M1745" s="21"/>
    </row>
    <row r="1746" spans="13:13" x14ac:dyDescent="0.25">
      <c r="M1746" s="21"/>
    </row>
    <row r="1747" spans="13:13" x14ac:dyDescent="0.25">
      <c r="M1747" s="21"/>
    </row>
    <row r="1748" spans="13:13" x14ac:dyDescent="0.25">
      <c r="M1748" s="21"/>
    </row>
    <row r="1749" spans="13:13" x14ac:dyDescent="0.25">
      <c r="M1749" s="21"/>
    </row>
    <row r="1750" spans="13:13" x14ac:dyDescent="0.25">
      <c r="M1750" s="21"/>
    </row>
    <row r="1751" spans="13:13" x14ac:dyDescent="0.25">
      <c r="M1751" s="21"/>
    </row>
    <row r="1752" spans="13:13" x14ac:dyDescent="0.25">
      <c r="M1752" s="21"/>
    </row>
    <row r="1753" spans="13:13" x14ac:dyDescent="0.25">
      <c r="M1753" s="21"/>
    </row>
    <row r="1754" spans="13:13" x14ac:dyDescent="0.25">
      <c r="M1754" s="21"/>
    </row>
    <row r="1755" spans="13:13" x14ac:dyDescent="0.25">
      <c r="M1755" s="21"/>
    </row>
    <row r="1756" spans="13:13" x14ac:dyDescent="0.25">
      <c r="M1756" s="21"/>
    </row>
    <row r="1757" spans="13:13" x14ac:dyDescent="0.25">
      <c r="M1757" s="21"/>
    </row>
    <row r="1758" spans="13:13" x14ac:dyDescent="0.25">
      <c r="M1758" s="21"/>
    </row>
    <row r="1759" spans="13:13" x14ac:dyDescent="0.25">
      <c r="M1759" s="21"/>
    </row>
    <row r="1760" spans="13:13" x14ac:dyDescent="0.25">
      <c r="M1760" s="21"/>
    </row>
    <row r="1761" spans="13:13" x14ac:dyDescent="0.25">
      <c r="M1761" s="21"/>
    </row>
    <row r="1762" spans="13:13" x14ac:dyDescent="0.25">
      <c r="M1762" s="21"/>
    </row>
    <row r="1763" spans="13:13" x14ac:dyDescent="0.25">
      <c r="M1763" s="21"/>
    </row>
    <row r="1764" spans="13:13" x14ac:dyDescent="0.25">
      <c r="M1764" s="21"/>
    </row>
    <row r="1765" spans="13:13" x14ac:dyDescent="0.25">
      <c r="M1765" s="21"/>
    </row>
    <row r="1766" spans="13:13" x14ac:dyDescent="0.25">
      <c r="M1766" s="21"/>
    </row>
    <row r="1767" spans="13:13" x14ac:dyDescent="0.25">
      <c r="M1767" s="21"/>
    </row>
    <row r="1768" spans="13:13" x14ac:dyDescent="0.25">
      <c r="M1768" s="21"/>
    </row>
    <row r="1769" spans="13:13" x14ac:dyDescent="0.25">
      <c r="M1769" s="21"/>
    </row>
    <row r="1770" spans="13:13" x14ac:dyDescent="0.25">
      <c r="M1770" s="21"/>
    </row>
    <row r="1771" spans="13:13" x14ac:dyDescent="0.25">
      <c r="M1771" s="21"/>
    </row>
    <row r="1772" spans="13:13" x14ac:dyDescent="0.25">
      <c r="M1772" s="21"/>
    </row>
    <row r="1773" spans="13:13" x14ac:dyDescent="0.25">
      <c r="M1773" s="21"/>
    </row>
    <row r="1774" spans="13:13" x14ac:dyDescent="0.25">
      <c r="M1774" s="21"/>
    </row>
    <row r="1775" spans="13:13" x14ac:dyDescent="0.25">
      <c r="M1775" s="21"/>
    </row>
    <row r="1776" spans="13:13" x14ac:dyDescent="0.25">
      <c r="M1776" s="21"/>
    </row>
    <row r="1777" spans="13:13" x14ac:dyDescent="0.25">
      <c r="M1777" s="21"/>
    </row>
    <row r="1778" spans="13:13" x14ac:dyDescent="0.25">
      <c r="M1778" s="21"/>
    </row>
    <row r="1779" spans="13:13" x14ac:dyDescent="0.25">
      <c r="M1779" s="21"/>
    </row>
    <row r="1780" spans="13:13" x14ac:dyDescent="0.25">
      <c r="M1780" s="21"/>
    </row>
    <row r="1781" spans="13:13" x14ac:dyDescent="0.25">
      <c r="M1781" s="21"/>
    </row>
    <row r="1782" spans="13:13" x14ac:dyDescent="0.25">
      <c r="M1782" s="21"/>
    </row>
    <row r="1783" spans="13:13" x14ac:dyDescent="0.25">
      <c r="M1783" s="21"/>
    </row>
    <row r="1784" spans="13:13" x14ac:dyDescent="0.25">
      <c r="M1784" s="21"/>
    </row>
    <row r="1785" spans="13:13" x14ac:dyDescent="0.25">
      <c r="M1785" s="21"/>
    </row>
    <row r="1786" spans="13:13" x14ac:dyDescent="0.25">
      <c r="M1786" s="21"/>
    </row>
    <row r="1787" spans="13:13" x14ac:dyDescent="0.25">
      <c r="M1787" s="21"/>
    </row>
    <row r="1788" spans="13:13" x14ac:dyDescent="0.25">
      <c r="M1788" s="21"/>
    </row>
    <row r="1789" spans="13:13" x14ac:dyDescent="0.25">
      <c r="M1789" s="21"/>
    </row>
    <row r="1790" spans="13:13" x14ac:dyDescent="0.25">
      <c r="M1790" s="21"/>
    </row>
    <row r="1791" spans="13:13" x14ac:dyDescent="0.25">
      <c r="M1791" s="21"/>
    </row>
    <row r="1792" spans="13:13" x14ac:dyDescent="0.25">
      <c r="M1792" s="21"/>
    </row>
    <row r="1793" spans="13:13" x14ac:dyDescent="0.25">
      <c r="M1793" s="21"/>
    </row>
    <row r="1794" spans="13:13" x14ac:dyDescent="0.25">
      <c r="M1794" s="21"/>
    </row>
    <row r="1795" spans="13:13" x14ac:dyDescent="0.25">
      <c r="M1795" s="21"/>
    </row>
    <row r="1796" spans="13:13" x14ac:dyDescent="0.25">
      <c r="M1796" s="21"/>
    </row>
    <row r="1797" spans="13:13" x14ac:dyDescent="0.25">
      <c r="M1797" s="21"/>
    </row>
    <row r="1798" spans="13:13" x14ac:dyDescent="0.25">
      <c r="M1798" s="21"/>
    </row>
    <row r="1799" spans="13:13" x14ac:dyDescent="0.25">
      <c r="M1799" s="21"/>
    </row>
    <row r="1800" spans="13:13" x14ac:dyDescent="0.25">
      <c r="M1800" s="21"/>
    </row>
    <row r="1801" spans="13:13" x14ac:dyDescent="0.25">
      <c r="M1801" s="21"/>
    </row>
    <row r="1802" spans="13:13" x14ac:dyDescent="0.25">
      <c r="M1802" s="21"/>
    </row>
    <row r="1803" spans="13:13" x14ac:dyDescent="0.25">
      <c r="M1803" s="21"/>
    </row>
    <row r="1804" spans="13:13" x14ac:dyDescent="0.25">
      <c r="M1804" s="21"/>
    </row>
    <row r="1805" spans="13:13" x14ac:dyDescent="0.25">
      <c r="M1805" s="21"/>
    </row>
    <row r="1806" spans="13:13" x14ac:dyDescent="0.25">
      <c r="M1806" s="21"/>
    </row>
    <row r="1807" spans="13:13" x14ac:dyDescent="0.25">
      <c r="M1807" s="21"/>
    </row>
    <row r="1808" spans="13:13" x14ac:dyDescent="0.25">
      <c r="M1808" s="21"/>
    </row>
    <row r="1809" spans="13:13" x14ac:dyDescent="0.25">
      <c r="M1809" s="21"/>
    </row>
    <row r="1810" spans="13:13" x14ac:dyDescent="0.25">
      <c r="M1810" s="21"/>
    </row>
    <row r="1811" spans="13:13" x14ac:dyDescent="0.25">
      <c r="M1811" s="21"/>
    </row>
    <row r="1812" spans="13:13" x14ac:dyDescent="0.25">
      <c r="M1812" s="21"/>
    </row>
    <row r="1813" spans="13:13" x14ac:dyDescent="0.25">
      <c r="M1813" s="21"/>
    </row>
    <row r="1814" spans="13:13" x14ac:dyDescent="0.25">
      <c r="M1814" s="21"/>
    </row>
    <row r="1815" spans="13:13" x14ac:dyDescent="0.25">
      <c r="M1815" s="21"/>
    </row>
    <row r="1816" spans="13:13" x14ac:dyDescent="0.25">
      <c r="M1816" s="21"/>
    </row>
    <row r="1817" spans="13:13" x14ac:dyDescent="0.25">
      <c r="M1817" s="21"/>
    </row>
    <row r="1818" spans="13:13" x14ac:dyDescent="0.25">
      <c r="M1818" s="21"/>
    </row>
    <row r="1819" spans="13:13" x14ac:dyDescent="0.25">
      <c r="M1819" s="21"/>
    </row>
    <row r="1820" spans="13:13" x14ac:dyDescent="0.25">
      <c r="M1820" s="21"/>
    </row>
    <row r="1821" spans="13:13" x14ac:dyDescent="0.25">
      <c r="M1821" s="21"/>
    </row>
    <row r="1822" spans="13:13" x14ac:dyDescent="0.25">
      <c r="M1822" s="21"/>
    </row>
    <row r="1823" spans="13:13" x14ac:dyDescent="0.25">
      <c r="M1823" s="21"/>
    </row>
    <row r="1824" spans="13:13" x14ac:dyDescent="0.25">
      <c r="M1824" s="21"/>
    </row>
    <row r="1825" spans="13:13" x14ac:dyDescent="0.25">
      <c r="M1825" s="21"/>
    </row>
    <row r="1826" spans="13:13" x14ac:dyDescent="0.25">
      <c r="M1826" s="21"/>
    </row>
    <row r="1827" spans="13:13" x14ac:dyDescent="0.25">
      <c r="M1827" s="21"/>
    </row>
    <row r="1828" spans="13:13" x14ac:dyDescent="0.25">
      <c r="M1828" s="21"/>
    </row>
    <row r="1829" spans="13:13" x14ac:dyDescent="0.25">
      <c r="M1829" s="21"/>
    </row>
    <row r="1830" spans="13:13" x14ac:dyDescent="0.25">
      <c r="M1830" s="21"/>
    </row>
    <row r="1831" spans="13:13" x14ac:dyDescent="0.25">
      <c r="M1831" s="21"/>
    </row>
    <row r="1832" spans="13:13" x14ac:dyDescent="0.25">
      <c r="M1832" s="21"/>
    </row>
    <row r="1833" spans="13:13" x14ac:dyDescent="0.25">
      <c r="M1833" s="21"/>
    </row>
    <row r="1834" spans="13:13" x14ac:dyDescent="0.25">
      <c r="M1834" s="21"/>
    </row>
    <row r="1835" spans="13:13" x14ac:dyDescent="0.25">
      <c r="M1835" s="21"/>
    </row>
    <row r="1836" spans="13:13" x14ac:dyDescent="0.25">
      <c r="M1836" s="21"/>
    </row>
    <row r="1837" spans="13:13" x14ac:dyDescent="0.25">
      <c r="M1837" s="21"/>
    </row>
    <row r="1838" spans="13:13" x14ac:dyDescent="0.25">
      <c r="M1838" s="21"/>
    </row>
    <row r="1839" spans="13:13" x14ac:dyDescent="0.25">
      <c r="M1839" s="21"/>
    </row>
    <row r="1840" spans="13:13" x14ac:dyDescent="0.25">
      <c r="M1840" s="21"/>
    </row>
    <row r="1841" spans="13:13" x14ac:dyDescent="0.25">
      <c r="M1841" s="21"/>
    </row>
    <row r="1842" spans="13:13" x14ac:dyDescent="0.25">
      <c r="M1842" s="21"/>
    </row>
    <row r="1843" spans="13:13" x14ac:dyDescent="0.25">
      <c r="M1843" s="21"/>
    </row>
    <row r="1844" spans="13:13" x14ac:dyDescent="0.25">
      <c r="M1844" s="21"/>
    </row>
    <row r="1845" spans="13:13" x14ac:dyDescent="0.25">
      <c r="M1845" s="21"/>
    </row>
    <row r="1846" spans="13:13" x14ac:dyDescent="0.25">
      <c r="M1846" s="21"/>
    </row>
    <row r="1847" spans="13:13" x14ac:dyDescent="0.25">
      <c r="M1847" s="21"/>
    </row>
    <row r="1848" spans="13:13" x14ac:dyDescent="0.25">
      <c r="M1848" s="21"/>
    </row>
    <row r="1849" spans="13:13" x14ac:dyDescent="0.25">
      <c r="M1849" s="21"/>
    </row>
    <row r="1850" spans="13:13" x14ac:dyDescent="0.25">
      <c r="M1850" s="21"/>
    </row>
    <row r="1851" spans="13:13" x14ac:dyDescent="0.25">
      <c r="M1851" s="21"/>
    </row>
    <row r="1852" spans="13:13" x14ac:dyDescent="0.25">
      <c r="M1852" s="21"/>
    </row>
    <row r="1853" spans="13:13" x14ac:dyDescent="0.25">
      <c r="M1853" s="21"/>
    </row>
    <row r="1854" spans="13:13" x14ac:dyDescent="0.25">
      <c r="M1854" s="21"/>
    </row>
    <row r="1855" spans="13:13" x14ac:dyDescent="0.25">
      <c r="M1855" s="21"/>
    </row>
    <row r="1856" spans="13:13" x14ac:dyDescent="0.25">
      <c r="M1856" s="21"/>
    </row>
    <row r="1857" spans="13:13" x14ac:dyDescent="0.25">
      <c r="M1857" s="21"/>
    </row>
    <row r="1858" spans="13:13" x14ac:dyDescent="0.25">
      <c r="M1858" s="21"/>
    </row>
    <row r="1859" spans="13:13" x14ac:dyDescent="0.25">
      <c r="M1859" s="21"/>
    </row>
    <row r="1860" spans="13:13" x14ac:dyDescent="0.25">
      <c r="M1860" s="21"/>
    </row>
    <row r="1861" spans="13:13" x14ac:dyDescent="0.25">
      <c r="M1861" s="21"/>
    </row>
    <row r="1862" spans="13:13" x14ac:dyDescent="0.25">
      <c r="M1862" s="21"/>
    </row>
    <row r="1863" spans="13:13" x14ac:dyDescent="0.25">
      <c r="M1863" s="21"/>
    </row>
    <row r="1864" spans="13:13" x14ac:dyDescent="0.25">
      <c r="M1864" s="21"/>
    </row>
    <row r="1865" spans="13:13" x14ac:dyDescent="0.25">
      <c r="M1865" s="21"/>
    </row>
    <row r="1866" spans="13:13" x14ac:dyDescent="0.25">
      <c r="M1866" s="21"/>
    </row>
    <row r="1867" spans="13:13" x14ac:dyDescent="0.25">
      <c r="M1867" s="21"/>
    </row>
    <row r="1868" spans="13:13" x14ac:dyDescent="0.25">
      <c r="M1868" s="21"/>
    </row>
    <row r="1869" spans="13:13" x14ac:dyDescent="0.25">
      <c r="M1869" s="21"/>
    </row>
    <row r="1870" spans="13:13" x14ac:dyDescent="0.25">
      <c r="M1870" s="21"/>
    </row>
    <row r="1871" spans="13:13" x14ac:dyDescent="0.25">
      <c r="M1871" s="21"/>
    </row>
    <row r="1872" spans="13:13" x14ac:dyDescent="0.25">
      <c r="M1872" s="21"/>
    </row>
    <row r="1873" spans="13:13" x14ac:dyDescent="0.25">
      <c r="M1873" s="21"/>
    </row>
    <row r="1874" spans="13:13" x14ac:dyDescent="0.25">
      <c r="M1874" s="21"/>
    </row>
    <row r="1875" spans="13:13" x14ac:dyDescent="0.25">
      <c r="M1875" s="21"/>
    </row>
    <row r="1876" spans="13:13" x14ac:dyDescent="0.25">
      <c r="M1876" s="21"/>
    </row>
    <row r="1877" spans="13:13" x14ac:dyDescent="0.25">
      <c r="M1877" s="21"/>
    </row>
    <row r="1878" spans="13:13" x14ac:dyDescent="0.25">
      <c r="M1878" s="21"/>
    </row>
    <row r="1879" spans="13:13" x14ac:dyDescent="0.25">
      <c r="M1879" s="21"/>
    </row>
    <row r="1880" spans="13:13" x14ac:dyDescent="0.25">
      <c r="M1880" s="21"/>
    </row>
    <row r="1881" spans="13:13" x14ac:dyDescent="0.25">
      <c r="M1881" s="21"/>
    </row>
    <row r="1882" spans="13:13" x14ac:dyDescent="0.25">
      <c r="M1882" s="21"/>
    </row>
    <row r="1883" spans="13:13" x14ac:dyDescent="0.25">
      <c r="M1883" s="21"/>
    </row>
    <row r="1884" spans="13:13" x14ac:dyDescent="0.25">
      <c r="M1884" s="21"/>
    </row>
    <row r="1885" spans="13:13" x14ac:dyDescent="0.25">
      <c r="M1885" s="21"/>
    </row>
    <row r="1886" spans="13:13" x14ac:dyDescent="0.25">
      <c r="M1886" s="21"/>
    </row>
    <row r="1887" spans="13:13" x14ac:dyDescent="0.25">
      <c r="M1887" s="21"/>
    </row>
    <row r="1888" spans="13:13" x14ac:dyDescent="0.25">
      <c r="M1888" s="21"/>
    </row>
    <row r="1889" spans="13:13" x14ac:dyDescent="0.25">
      <c r="M1889" s="21"/>
    </row>
    <row r="1890" spans="13:13" x14ac:dyDescent="0.25">
      <c r="M1890" s="21"/>
    </row>
    <row r="1891" spans="13:13" x14ac:dyDescent="0.25">
      <c r="M1891" s="21"/>
    </row>
    <row r="1892" spans="13:13" x14ac:dyDescent="0.25">
      <c r="M1892" s="21"/>
    </row>
    <row r="1893" spans="13:13" x14ac:dyDescent="0.25">
      <c r="M1893" s="21"/>
    </row>
    <row r="1894" spans="13:13" x14ac:dyDescent="0.25">
      <c r="M1894" s="21"/>
    </row>
    <row r="1895" spans="13:13" x14ac:dyDescent="0.25">
      <c r="M1895" s="21"/>
    </row>
    <row r="1896" spans="13:13" x14ac:dyDescent="0.25">
      <c r="M1896" s="21"/>
    </row>
    <row r="1897" spans="13:13" x14ac:dyDescent="0.25">
      <c r="M1897" s="21"/>
    </row>
    <row r="1898" spans="13:13" x14ac:dyDescent="0.25">
      <c r="M1898" s="21"/>
    </row>
    <row r="1899" spans="13:13" x14ac:dyDescent="0.25">
      <c r="M1899" s="21"/>
    </row>
    <row r="1900" spans="13:13" x14ac:dyDescent="0.25">
      <c r="M1900" s="21"/>
    </row>
    <row r="1901" spans="13:13" x14ac:dyDescent="0.25">
      <c r="M1901" s="21"/>
    </row>
    <row r="1902" spans="13:13" x14ac:dyDescent="0.25">
      <c r="M1902" s="21"/>
    </row>
    <row r="1903" spans="13:13" x14ac:dyDescent="0.25">
      <c r="M1903" s="21"/>
    </row>
    <row r="1904" spans="13:13" x14ac:dyDescent="0.25">
      <c r="M1904" s="21"/>
    </row>
    <row r="1905" spans="13:13" x14ac:dyDescent="0.25">
      <c r="M1905" s="21"/>
    </row>
    <row r="1906" spans="13:13" x14ac:dyDescent="0.25">
      <c r="M1906" s="21"/>
    </row>
    <row r="1907" spans="13:13" x14ac:dyDescent="0.25">
      <c r="M1907" s="21"/>
    </row>
    <row r="1908" spans="13:13" x14ac:dyDescent="0.25">
      <c r="M1908" s="21"/>
    </row>
    <row r="1909" spans="13:13" x14ac:dyDescent="0.25">
      <c r="M1909" s="21"/>
    </row>
    <row r="1910" spans="13:13" x14ac:dyDescent="0.25">
      <c r="M1910" s="21"/>
    </row>
    <row r="1911" spans="13:13" x14ac:dyDescent="0.25">
      <c r="M1911" s="21"/>
    </row>
    <row r="1912" spans="13:13" x14ac:dyDescent="0.25">
      <c r="M1912" s="21"/>
    </row>
    <row r="1913" spans="13:13" x14ac:dyDescent="0.25">
      <c r="M1913" s="21"/>
    </row>
    <row r="1914" spans="13:13" x14ac:dyDescent="0.25">
      <c r="M1914" s="21"/>
    </row>
    <row r="1915" spans="13:13" x14ac:dyDescent="0.25">
      <c r="M1915" s="21"/>
    </row>
    <row r="1916" spans="13:13" x14ac:dyDescent="0.25">
      <c r="M1916" s="21"/>
    </row>
    <row r="1917" spans="13:13" x14ac:dyDescent="0.25">
      <c r="M1917" s="21"/>
    </row>
    <row r="1918" spans="13:13" x14ac:dyDescent="0.25">
      <c r="M1918" s="21"/>
    </row>
    <row r="1919" spans="13:13" x14ac:dyDescent="0.25">
      <c r="M1919" s="21"/>
    </row>
    <row r="1920" spans="13:13" x14ac:dyDescent="0.25">
      <c r="M1920" s="21"/>
    </row>
    <row r="1921" spans="13:13" x14ac:dyDescent="0.25">
      <c r="M1921" s="21"/>
    </row>
    <row r="1922" spans="13:13" x14ac:dyDescent="0.25">
      <c r="M1922" s="21"/>
    </row>
    <row r="1923" spans="13:13" x14ac:dyDescent="0.25">
      <c r="M1923" s="21"/>
    </row>
    <row r="1924" spans="13:13" x14ac:dyDescent="0.25">
      <c r="M1924" s="21"/>
    </row>
    <row r="1925" spans="13:13" x14ac:dyDescent="0.25">
      <c r="M1925" s="21"/>
    </row>
    <row r="1926" spans="13:13" x14ac:dyDescent="0.25">
      <c r="M1926" s="21"/>
    </row>
    <row r="1927" spans="13:13" x14ac:dyDescent="0.25">
      <c r="M1927" s="21"/>
    </row>
    <row r="1928" spans="13:13" x14ac:dyDescent="0.25">
      <c r="M1928" s="21"/>
    </row>
    <row r="1929" spans="13:13" x14ac:dyDescent="0.25">
      <c r="M1929" s="21"/>
    </row>
    <row r="1930" spans="13:13" x14ac:dyDescent="0.25">
      <c r="M1930" s="21"/>
    </row>
    <row r="1931" spans="13:13" x14ac:dyDescent="0.25">
      <c r="M1931" s="21"/>
    </row>
    <row r="1932" spans="13:13" x14ac:dyDescent="0.25">
      <c r="M1932" s="21"/>
    </row>
    <row r="1933" spans="13:13" x14ac:dyDescent="0.25">
      <c r="M1933" s="21"/>
    </row>
    <row r="1934" spans="13:13" x14ac:dyDescent="0.25">
      <c r="M1934" s="21"/>
    </row>
    <row r="1935" spans="13:13" x14ac:dyDescent="0.25">
      <c r="M1935" s="21"/>
    </row>
    <row r="1936" spans="13:13" x14ac:dyDescent="0.25">
      <c r="M1936" s="21"/>
    </row>
    <row r="1937" spans="13:13" x14ac:dyDescent="0.25">
      <c r="M1937" s="21"/>
    </row>
    <row r="1938" spans="13:13" x14ac:dyDescent="0.25">
      <c r="M1938" s="21"/>
    </row>
    <row r="1939" spans="13:13" x14ac:dyDescent="0.25">
      <c r="M1939" s="21"/>
    </row>
    <row r="1940" spans="13:13" x14ac:dyDescent="0.25">
      <c r="M1940" s="21"/>
    </row>
    <row r="1941" spans="13:13" x14ac:dyDescent="0.25">
      <c r="M1941" s="21"/>
    </row>
    <row r="1942" spans="13:13" x14ac:dyDescent="0.25">
      <c r="M1942" s="21"/>
    </row>
    <row r="1943" spans="13:13" x14ac:dyDescent="0.25">
      <c r="M1943" s="21"/>
    </row>
    <row r="1944" spans="13:13" x14ac:dyDescent="0.25">
      <c r="M1944" s="21"/>
    </row>
    <row r="1945" spans="13:13" x14ac:dyDescent="0.25">
      <c r="M1945" s="21"/>
    </row>
    <row r="1946" spans="13:13" x14ac:dyDescent="0.25">
      <c r="M1946" s="21"/>
    </row>
    <row r="1947" spans="13:13" x14ac:dyDescent="0.25">
      <c r="M1947" s="21"/>
    </row>
    <row r="1948" spans="13:13" x14ac:dyDescent="0.25">
      <c r="M1948" s="21"/>
    </row>
    <row r="1949" spans="13:13" x14ac:dyDescent="0.25">
      <c r="M1949" s="21"/>
    </row>
    <row r="1950" spans="13:13" x14ac:dyDescent="0.25">
      <c r="M1950" s="21"/>
    </row>
    <row r="1951" spans="13:13" x14ac:dyDescent="0.25">
      <c r="M1951" s="21"/>
    </row>
    <row r="1952" spans="13:13" x14ac:dyDescent="0.25">
      <c r="M1952" s="21"/>
    </row>
    <row r="1953" spans="13:13" x14ac:dyDescent="0.25">
      <c r="M1953" s="21"/>
    </row>
    <row r="1954" spans="13:13" x14ac:dyDescent="0.25">
      <c r="M1954" s="21"/>
    </row>
    <row r="1955" spans="13:13" x14ac:dyDescent="0.25">
      <c r="M1955" s="21"/>
    </row>
    <row r="1956" spans="13:13" x14ac:dyDescent="0.25">
      <c r="M1956" s="21"/>
    </row>
    <row r="1957" spans="13:13" x14ac:dyDescent="0.25">
      <c r="M1957" s="21"/>
    </row>
    <row r="1958" spans="13:13" x14ac:dyDescent="0.25">
      <c r="M1958" s="21"/>
    </row>
    <row r="1959" spans="13:13" x14ac:dyDescent="0.25">
      <c r="M1959" s="21"/>
    </row>
    <row r="1960" spans="13:13" x14ac:dyDescent="0.25">
      <c r="M1960" s="21"/>
    </row>
    <row r="1961" spans="13:13" x14ac:dyDescent="0.25">
      <c r="M1961" s="21"/>
    </row>
    <row r="1962" spans="13:13" x14ac:dyDescent="0.25">
      <c r="M1962" s="21"/>
    </row>
    <row r="1963" spans="13:13" x14ac:dyDescent="0.25">
      <c r="M1963" s="21"/>
    </row>
    <row r="1964" spans="13:13" x14ac:dyDescent="0.25">
      <c r="M1964" s="21"/>
    </row>
    <row r="1965" spans="13:13" x14ac:dyDescent="0.25">
      <c r="M1965" s="21"/>
    </row>
    <row r="1966" spans="13:13" x14ac:dyDescent="0.25">
      <c r="M1966" s="21"/>
    </row>
    <row r="1967" spans="13:13" x14ac:dyDescent="0.25">
      <c r="M1967" s="21"/>
    </row>
    <row r="1968" spans="13:13" x14ac:dyDescent="0.25">
      <c r="M1968" s="21"/>
    </row>
    <row r="1969" spans="13:13" x14ac:dyDescent="0.25">
      <c r="M1969" s="21"/>
    </row>
    <row r="1970" spans="13:13" x14ac:dyDescent="0.25">
      <c r="M1970" s="21"/>
    </row>
    <row r="1971" spans="13:13" x14ac:dyDescent="0.25">
      <c r="M1971" s="21"/>
    </row>
    <row r="1972" spans="13:13" x14ac:dyDescent="0.25">
      <c r="M1972" s="21"/>
    </row>
    <row r="1973" spans="13:13" x14ac:dyDescent="0.25">
      <c r="M1973" s="21"/>
    </row>
    <row r="1974" spans="13:13" x14ac:dyDescent="0.25">
      <c r="M1974" s="21"/>
    </row>
    <row r="1975" spans="13:13" x14ac:dyDescent="0.25">
      <c r="M1975" s="21"/>
    </row>
    <row r="1976" spans="13:13" x14ac:dyDescent="0.25">
      <c r="M1976" s="21"/>
    </row>
    <row r="1977" spans="13:13" x14ac:dyDescent="0.25">
      <c r="M1977" s="21"/>
    </row>
    <row r="1978" spans="13:13" x14ac:dyDescent="0.25">
      <c r="M1978" s="21"/>
    </row>
    <row r="1979" spans="13:13" x14ac:dyDescent="0.25">
      <c r="M1979" s="21"/>
    </row>
    <row r="1980" spans="13:13" x14ac:dyDescent="0.25">
      <c r="M1980" s="21"/>
    </row>
    <row r="1981" spans="13:13" x14ac:dyDescent="0.25">
      <c r="M1981" s="21"/>
    </row>
    <row r="1982" spans="13:13" x14ac:dyDescent="0.25">
      <c r="M1982" s="21"/>
    </row>
    <row r="1983" spans="13:13" x14ac:dyDescent="0.25">
      <c r="M1983" s="21"/>
    </row>
    <row r="1984" spans="13:13" x14ac:dyDescent="0.25">
      <c r="M1984" s="21"/>
    </row>
    <row r="1985" spans="13:13" x14ac:dyDescent="0.25">
      <c r="M1985" s="21"/>
    </row>
    <row r="1986" spans="13:13" x14ac:dyDescent="0.25">
      <c r="M1986" s="21"/>
    </row>
    <row r="1987" spans="13:13" x14ac:dyDescent="0.25">
      <c r="M1987" s="21"/>
    </row>
    <row r="1988" spans="13:13" x14ac:dyDescent="0.25">
      <c r="M1988" s="21"/>
    </row>
    <row r="1989" spans="13:13" x14ac:dyDescent="0.25">
      <c r="M1989" s="21"/>
    </row>
    <row r="1990" spans="13:13" x14ac:dyDescent="0.25">
      <c r="M1990" s="21"/>
    </row>
    <row r="1991" spans="13:13" x14ac:dyDescent="0.25">
      <c r="M1991" s="21"/>
    </row>
    <row r="1992" spans="13:13" x14ac:dyDescent="0.25">
      <c r="M1992" s="21"/>
    </row>
    <row r="1993" spans="13:13" x14ac:dyDescent="0.25">
      <c r="M1993" s="21"/>
    </row>
    <row r="1994" spans="13:13" x14ac:dyDescent="0.25">
      <c r="M1994" s="21"/>
    </row>
    <row r="1995" spans="13:13" x14ac:dyDescent="0.25">
      <c r="M1995" s="21"/>
    </row>
    <row r="1996" spans="13:13" x14ac:dyDescent="0.25">
      <c r="M1996" s="21"/>
    </row>
    <row r="1997" spans="13:13" x14ac:dyDescent="0.25">
      <c r="M1997" s="21"/>
    </row>
    <row r="1998" spans="13:13" x14ac:dyDescent="0.25">
      <c r="M1998" s="21"/>
    </row>
    <row r="1999" spans="13:13" x14ac:dyDescent="0.25">
      <c r="M1999" s="21"/>
    </row>
    <row r="2000" spans="13:13" x14ac:dyDescent="0.25">
      <c r="M2000" s="21"/>
    </row>
    <row r="2001" spans="13:13" x14ac:dyDescent="0.25">
      <c r="M2001" s="21"/>
    </row>
    <row r="2002" spans="13:13" x14ac:dyDescent="0.25">
      <c r="M2002" s="21"/>
    </row>
    <row r="2003" spans="13:13" x14ac:dyDescent="0.25">
      <c r="M2003" s="21"/>
    </row>
    <row r="2004" spans="13:13" x14ac:dyDescent="0.25">
      <c r="M2004" s="21"/>
    </row>
    <row r="2005" spans="13:13" x14ac:dyDescent="0.25">
      <c r="M2005" s="21"/>
    </row>
    <row r="2006" spans="13:13" x14ac:dyDescent="0.25">
      <c r="M2006" s="21"/>
    </row>
    <row r="2007" spans="13:13" x14ac:dyDescent="0.25">
      <c r="M2007" s="21"/>
    </row>
    <row r="2008" spans="13:13" x14ac:dyDescent="0.25">
      <c r="M2008" s="21"/>
    </row>
    <row r="2009" spans="13:13" x14ac:dyDescent="0.25">
      <c r="M2009" s="21"/>
    </row>
    <row r="2010" spans="13:13" x14ac:dyDescent="0.25">
      <c r="M2010" s="21"/>
    </row>
    <row r="2011" spans="13:13" x14ac:dyDescent="0.25">
      <c r="M2011" s="21"/>
    </row>
    <row r="2012" spans="13:13" x14ac:dyDescent="0.25">
      <c r="M2012" s="21"/>
    </row>
    <row r="2013" spans="13:13" x14ac:dyDescent="0.25">
      <c r="M2013" s="21"/>
    </row>
    <row r="2014" spans="13:13" x14ac:dyDescent="0.25">
      <c r="M2014" s="21"/>
    </row>
    <row r="2015" spans="13:13" x14ac:dyDescent="0.25">
      <c r="M2015" s="21"/>
    </row>
    <row r="2016" spans="13:13" x14ac:dyDescent="0.25">
      <c r="M2016" s="21"/>
    </row>
    <row r="2017" spans="13:13" x14ac:dyDescent="0.25">
      <c r="M2017" s="21"/>
    </row>
    <row r="2018" spans="13:13" x14ac:dyDescent="0.25">
      <c r="M2018" s="21"/>
    </row>
    <row r="2019" spans="13:13" x14ac:dyDescent="0.25">
      <c r="M2019" s="21"/>
    </row>
    <row r="2020" spans="13:13" x14ac:dyDescent="0.25">
      <c r="M2020" s="21"/>
    </row>
    <row r="2021" spans="13:13" x14ac:dyDescent="0.25">
      <c r="M2021" s="21"/>
    </row>
    <row r="2022" spans="13:13" x14ac:dyDescent="0.25">
      <c r="M2022" s="21"/>
    </row>
    <row r="2023" spans="13:13" x14ac:dyDescent="0.25">
      <c r="M2023" s="21"/>
    </row>
    <row r="2024" spans="13:13" x14ac:dyDescent="0.25">
      <c r="M2024" s="21"/>
    </row>
    <row r="2025" spans="13:13" x14ac:dyDescent="0.25">
      <c r="M2025" s="21"/>
    </row>
    <row r="2026" spans="13:13" x14ac:dyDescent="0.25">
      <c r="M2026" s="21"/>
    </row>
    <row r="2027" spans="13:13" x14ac:dyDescent="0.25">
      <c r="M2027" s="21"/>
    </row>
    <row r="2028" spans="13:13" x14ac:dyDescent="0.25">
      <c r="M2028" s="21"/>
    </row>
    <row r="2029" spans="13:13" x14ac:dyDescent="0.25">
      <c r="M2029" s="21"/>
    </row>
    <row r="2030" spans="13:13" x14ac:dyDescent="0.25">
      <c r="M2030" s="21"/>
    </row>
    <row r="2031" spans="13:13" x14ac:dyDescent="0.25">
      <c r="M2031" s="21"/>
    </row>
    <row r="2032" spans="13:13" x14ac:dyDescent="0.25">
      <c r="M2032" s="21"/>
    </row>
    <row r="2033" spans="13:13" x14ac:dyDescent="0.25">
      <c r="M2033" s="21"/>
    </row>
    <row r="2034" spans="13:13" x14ac:dyDescent="0.25">
      <c r="M2034" s="21"/>
    </row>
    <row r="2035" spans="13:13" x14ac:dyDescent="0.25">
      <c r="M2035" s="21"/>
    </row>
    <row r="2036" spans="13:13" x14ac:dyDescent="0.25">
      <c r="M2036" s="21"/>
    </row>
    <row r="2037" spans="13:13" x14ac:dyDescent="0.25">
      <c r="M2037" s="21"/>
    </row>
    <row r="2038" spans="13:13" x14ac:dyDescent="0.25">
      <c r="M2038" s="21"/>
    </row>
    <row r="2039" spans="13:13" x14ac:dyDescent="0.25">
      <c r="M2039" s="21"/>
    </row>
    <row r="2040" spans="13:13" x14ac:dyDescent="0.25">
      <c r="M2040" s="21"/>
    </row>
    <row r="2041" spans="13:13" x14ac:dyDescent="0.25">
      <c r="M2041" s="21"/>
    </row>
    <row r="2042" spans="13:13" x14ac:dyDescent="0.25">
      <c r="M2042" s="21"/>
    </row>
    <row r="2043" spans="13:13" x14ac:dyDescent="0.25">
      <c r="M2043" s="21"/>
    </row>
    <row r="2044" spans="13:13" x14ac:dyDescent="0.25">
      <c r="M2044" s="21"/>
    </row>
    <row r="2045" spans="13:13" x14ac:dyDescent="0.25">
      <c r="M2045" s="21"/>
    </row>
    <row r="2046" spans="13:13" x14ac:dyDescent="0.25">
      <c r="M2046" s="21"/>
    </row>
    <row r="2047" spans="13:13" x14ac:dyDescent="0.25">
      <c r="M2047" s="21"/>
    </row>
    <row r="2048" spans="13:13" x14ac:dyDescent="0.25">
      <c r="M2048" s="21"/>
    </row>
    <row r="2049" spans="13:13" x14ac:dyDescent="0.25">
      <c r="M2049" s="21"/>
    </row>
    <row r="2050" spans="13:13" x14ac:dyDescent="0.25">
      <c r="M2050" s="21"/>
    </row>
    <row r="2051" spans="13:13" x14ac:dyDescent="0.25">
      <c r="M2051" s="21"/>
    </row>
    <row r="2052" spans="13:13" x14ac:dyDescent="0.25">
      <c r="M2052" s="21"/>
    </row>
    <row r="2053" spans="13:13" x14ac:dyDescent="0.25">
      <c r="M2053" s="21"/>
    </row>
    <row r="2054" spans="13:13" x14ac:dyDescent="0.25">
      <c r="M2054" s="21"/>
    </row>
    <row r="2055" spans="13:13" x14ac:dyDescent="0.25">
      <c r="M2055" s="21"/>
    </row>
    <row r="2056" spans="13:13" x14ac:dyDescent="0.25">
      <c r="M2056" s="21"/>
    </row>
    <row r="2057" spans="13:13" x14ac:dyDescent="0.25">
      <c r="M2057" s="21"/>
    </row>
    <row r="2058" spans="13:13" x14ac:dyDescent="0.25">
      <c r="M2058" s="21"/>
    </row>
    <row r="2059" spans="13:13" x14ac:dyDescent="0.25">
      <c r="M2059" s="21"/>
    </row>
    <row r="2060" spans="13:13" x14ac:dyDescent="0.25">
      <c r="M2060" s="21"/>
    </row>
    <row r="2061" spans="13:13" x14ac:dyDescent="0.25">
      <c r="M2061" s="21"/>
    </row>
    <row r="2062" spans="13:13" x14ac:dyDescent="0.25">
      <c r="M2062" s="21"/>
    </row>
    <row r="2063" spans="13:13" x14ac:dyDescent="0.25">
      <c r="M2063" s="21"/>
    </row>
    <row r="2064" spans="13:13" x14ac:dyDescent="0.25">
      <c r="M2064" s="21"/>
    </row>
    <row r="2065" spans="13:13" x14ac:dyDescent="0.25">
      <c r="M2065" s="21"/>
    </row>
    <row r="2066" spans="13:13" x14ac:dyDescent="0.25">
      <c r="M2066" s="21"/>
    </row>
    <row r="2067" spans="13:13" x14ac:dyDescent="0.25">
      <c r="M2067" s="21"/>
    </row>
    <row r="2068" spans="13:13" x14ac:dyDescent="0.25">
      <c r="M2068" s="21"/>
    </row>
    <row r="2069" spans="13:13" x14ac:dyDescent="0.25">
      <c r="M2069" s="21"/>
    </row>
    <row r="2070" spans="13:13" x14ac:dyDescent="0.25">
      <c r="M2070" s="21"/>
    </row>
    <row r="2071" spans="13:13" x14ac:dyDescent="0.25">
      <c r="M2071" s="21"/>
    </row>
    <row r="2072" spans="13:13" x14ac:dyDescent="0.25">
      <c r="M2072" s="21"/>
    </row>
    <row r="2073" spans="13:13" x14ac:dyDescent="0.25">
      <c r="M2073" s="21"/>
    </row>
    <row r="2074" spans="13:13" x14ac:dyDescent="0.25">
      <c r="M2074" s="21"/>
    </row>
    <row r="2075" spans="13:13" x14ac:dyDescent="0.25">
      <c r="M2075" s="21"/>
    </row>
    <row r="2076" spans="13:13" x14ac:dyDescent="0.25">
      <c r="M2076" s="21"/>
    </row>
    <row r="2077" spans="13:13" x14ac:dyDescent="0.25">
      <c r="M2077" s="21"/>
    </row>
    <row r="2078" spans="13:13" x14ac:dyDescent="0.25">
      <c r="M2078" s="21"/>
    </row>
    <row r="2079" spans="13:13" x14ac:dyDescent="0.25">
      <c r="M2079" s="21"/>
    </row>
    <row r="2080" spans="13:13" x14ac:dyDescent="0.25">
      <c r="M2080" s="21"/>
    </row>
    <row r="2081" spans="13:13" x14ac:dyDescent="0.25">
      <c r="M2081" s="21"/>
    </row>
    <row r="2082" spans="13:13" x14ac:dyDescent="0.25">
      <c r="M2082" s="21"/>
    </row>
    <row r="2083" spans="13:13" x14ac:dyDescent="0.25">
      <c r="M2083" s="21"/>
    </row>
    <row r="2084" spans="13:13" x14ac:dyDescent="0.25">
      <c r="M2084" s="21"/>
    </row>
    <row r="2085" spans="13:13" x14ac:dyDescent="0.25">
      <c r="M2085" s="21"/>
    </row>
    <row r="2086" spans="13:13" x14ac:dyDescent="0.25">
      <c r="M2086" s="21"/>
    </row>
    <row r="2087" spans="13:13" x14ac:dyDescent="0.25">
      <c r="M2087" s="21"/>
    </row>
    <row r="2088" spans="13:13" x14ac:dyDescent="0.25">
      <c r="M2088" s="21"/>
    </row>
    <row r="2089" spans="13:13" x14ac:dyDescent="0.25">
      <c r="M2089" s="21"/>
    </row>
    <row r="2090" spans="13:13" x14ac:dyDescent="0.25">
      <c r="M2090" s="21"/>
    </row>
    <row r="2091" spans="13:13" x14ac:dyDescent="0.25">
      <c r="M2091" s="21"/>
    </row>
    <row r="2092" spans="13:13" x14ac:dyDescent="0.25">
      <c r="M2092" s="21"/>
    </row>
    <row r="2093" spans="13:13" x14ac:dyDescent="0.25">
      <c r="M2093" s="21"/>
    </row>
    <row r="2094" spans="13:13" x14ac:dyDescent="0.25">
      <c r="M2094" s="21"/>
    </row>
    <row r="2095" spans="13:13" x14ac:dyDescent="0.25">
      <c r="M2095" s="21"/>
    </row>
    <row r="2096" spans="13:13" x14ac:dyDescent="0.25">
      <c r="M2096" s="21"/>
    </row>
    <row r="2097" spans="13:13" x14ac:dyDescent="0.25">
      <c r="M2097" s="21"/>
    </row>
    <row r="2098" spans="13:13" x14ac:dyDescent="0.25">
      <c r="M2098" s="21"/>
    </row>
    <row r="2099" spans="13:13" x14ac:dyDescent="0.25">
      <c r="M2099" s="21"/>
    </row>
    <row r="2100" spans="13:13" x14ac:dyDescent="0.25">
      <c r="M2100" s="21"/>
    </row>
    <row r="2101" spans="13:13" x14ac:dyDescent="0.25">
      <c r="M2101" s="21"/>
    </row>
    <row r="2102" spans="13:13" x14ac:dyDescent="0.25">
      <c r="M2102" s="21"/>
    </row>
    <row r="2103" spans="13:13" x14ac:dyDescent="0.25">
      <c r="M2103" s="21"/>
    </row>
    <row r="2104" spans="13:13" x14ac:dyDescent="0.25">
      <c r="M2104" s="21"/>
    </row>
    <row r="2105" spans="13:13" x14ac:dyDescent="0.25">
      <c r="M2105" s="21"/>
    </row>
    <row r="2106" spans="13:13" x14ac:dyDescent="0.25">
      <c r="M2106" s="21"/>
    </row>
    <row r="2107" spans="13:13" x14ac:dyDescent="0.25">
      <c r="M2107" s="21"/>
    </row>
    <row r="2108" spans="13:13" x14ac:dyDescent="0.25">
      <c r="M2108" s="21"/>
    </row>
    <row r="2109" spans="13:13" x14ac:dyDescent="0.25">
      <c r="M2109" s="21"/>
    </row>
    <row r="2110" spans="13:13" x14ac:dyDescent="0.25">
      <c r="M2110" s="21"/>
    </row>
    <row r="2111" spans="13:13" x14ac:dyDescent="0.25">
      <c r="M2111" s="21"/>
    </row>
    <row r="2112" spans="13:13" x14ac:dyDescent="0.25">
      <c r="M2112" s="21"/>
    </row>
    <row r="2113" spans="13:13" x14ac:dyDescent="0.25">
      <c r="M2113" s="21"/>
    </row>
    <row r="2114" spans="13:13" x14ac:dyDescent="0.25">
      <c r="M2114" s="21"/>
    </row>
    <row r="2115" spans="13:13" x14ac:dyDescent="0.25">
      <c r="M2115" s="21"/>
    </row>
    <row r="2116" spans="13:13" x14ac:dyDescent="0.25">
      <c r="M2116" s="21"/>
    </row>
    <row r="2117" spans="13:13" x14ac:dyDescent="0.25">
      <c r="M2117" s="21"/>
    </row>
    <row r="2118" spans="13:13" x14ac:dyDescent="0.25">
      <c r="M2118" s="21"/>
    </row>
    <row r="2119" spans="13:13" x14ac:dyDescent="0.25">
      <c r="M2119" s="21"/>
    </row>
    <row r="2120" spans="13:13" x14ac:dyDescent="0.25">
      <c r="M2120" s="21"/>
    </row>
    <row r="2121" spans="13:13" x14ac:dyDescent="0.25">
      <c r="M2121" s="21"/>
    </row>
    <row r="2122" spans="13:13" x14ac:dyDescent="0.25">
      <c r="M2122" s="21"/>
    </row>
    <row r="2123" spans="13:13" x14ac:dyDescent="0.25">
      <c r="M2123" s="21"/>
    </row>
    <row r="2124" spans="13:13" x14ac:dyDescent="0.25">
      <c r="M2124" s="21"/>
    </row>
    <row r="2125" spans="13:13" x14ac:dyDescent="0.25">
      <c r="M2125" s="21"/>
    </row>
    <row r="2126" spans="13:13" x14ac:dyDescent="0.25">
      <c r="M2126" s="21"/>
    </row>
    <row r="2127" spans="13:13" x14ac:dyDescent="0.25">
      <c r="M2127" s="21"/>
    </row>
    <row r="2128" spans="13:13" x14ac:dyDescent="0.25">
      <c r="M2128" s="21"/>
    </row>
    <row r="2129" spans="13:13" x14ac:dyDescent="0.25">
      <c r="M2129" s="21"/>
    </row>
    <row r="2130" spans="13:13" x14ac:dyDescent="0.25">
      <c r="M2130" s="21"/>
    </row>
    <row r="2131" spans="13:13" x14ac:dyDescent="0.25">
      <c r="M2131" s="21"/>
    </row>
    <row r="2132" spans="13:13" x14ac:dyDescent="0.25">
      <c r="M2132" s="21"/>
    </row>
    <row r="2133" spans="13:13" x14ac:dyDescent="0.25">
      <c r="M2133" s="21"/>
    </row>
    <row r="2134" spans="13:13" x14ac:dyDescent="0.25">
      <c r="M2134" s="21"/>
    </row>
    <row r="2135" spans="13:13" x14ac:dyDescent="0.25">
      <c r="M2135" s="21"/>
    </row>
    <row r="2136" spans="13:13" x14ac:dyDescent="0.25">
      <c r="M2136" s="21"/>
    </row>
    <row r="2137" spans="13:13" x14ac:dyDescent="0.25">
      <c r="M2137" s="21"/>
    </row>
    <row r="2138" spans="13:13" x14ac:dyDescent="0.25">
      <c r="M2138" s="21"/>
    </row>
    <row r="2139" spans="13:13" x14ac:dyDescent="0.25">
      <c r="M2139" s="21"/>
    </row>
    <row r="2140" spans="13:13" x14ac:dyDescent="0.25">
      <c r="M2140" s="21"/>
    </row>
    <row r="2141" spans="13:13" x14ac:dyDescent="0.25">
      <c r="M2141" s="21"/>
    </row>
    <row r="2142" spans="13:13" x14ac:dyDescent="0.25">
      <c r="M2142" s="21"/>
    </row>
    <row r="2143" spans="13:13" x14ac:dyDescent="0.25">
      <c r="M2143" s="21"/>
    </row>
    <row r="2144" spans="13:13" x14ac:dyDescent="0.25">
      <c r="M2144" s="21"/>
    </row>
    <row r="2145" spans="13:13" x14ac:dyDescent="0.25">
      <c r="M2145" s="21"/>
    </row>
    <row r="2146" spans="13:13" x14ac:dyDescent="0.25">
      <c r="M2146" s="21"/>
    </row>
    <row r="2147" spans="13:13" x14ac:dyDescent="0.25">
      <c r="M2147" s="21"/>
    </row>
    <row r="2148" spans="13:13" x14ac:dyDescent="0.25">
      <c r="M2148" s="21"/>
    </row>
    <row r="2149" spans="13:13" x14ac:dyDescent="0.25">
      <c r="M2149" s="21"/>
    </row>
    <row r="2150" spans="13:13" x14ac:dyDescent="0.25">
      <c r="M2150" s="21"/>
    </row>
    <row r="2151" spans="13:13" x14ac:dyDescent="0.25">
      <c r="M2151" s="21"/>
    </row>
    <row r="2152" spans="13:13" x14ac:dyDescent="0.25">
      <c r="M2152" s="21"/>
    </row>
    <row r="2153" spans="13:13" x14ac:dyDescent="0.25">
      <c r="M2153" s="21"/>
    </row>
    <row r="2154" spans="13:13" x14ac:dyDescent="0.25">
      <c r="M2154" s="21"/>
    </row>
    <row r="2155" spans="13:13" x14ac:dyDescent="0.25">
      <c r="M2155" s="21"/>
    </row>
    <row r="2156" spans="13:13" x14ac:dyDescent="0.25">
      <c r="M2156" s="21"/>
    </row>
    <row r="2157" spans="13:13" x14ac:dyDescent="0.25">
      <c r="M2157" s="21"/>
    </row>
    <row r="2158" spans="13:13" x14ac:dyDescent="0.25">
      <c r="M2158" s="21"/>
    </row>
    <row r="2159" spans="13:13" x14ac:dyDescent="0.25">
      <c r="M2159" s="21"/>
    </row>
    <row r="2160" spans="13:13" x14ac:dyDescent="0.25">
      <c r="M2160" s="21"/>
    </row>
    <row r="2161" spans="13:13" x14ac:dyDescent="0.25">
      <c r="M2161" s="21"/>
    </row>
    <row r="2162" spans="13:13" x14ac:dyDescent="0.25">
      <c r="M2162" s="21"/>
    </row>
    <row r="2163" spans="13:13" x14ac:dyDescent="0.25">
      <c r="M2163" s="21"/>
    </row>
    <row r="2164" spans="13:13" x14ac:dyDescent="0.25">
      <c r="M2164" s="21"/>
    </row>
    <row r="2165" spans="13:13" x14ac:dyDescent="0.25">
      <c r="M2165" s="21"/>
    </row>
    <row r="2166" spans="13:13" x14ac:dyDescent="0.25">
      <c r="M2166" s="21"/>
    </row>
    <row r="2167" spans="13:13" x14ac:dyDescent="0.25">
      <c r="M2167" s="21"/>
    </row>
    <row r="2168" spans="13:13" x14ac:dyDescent="0.25">
      <c r="M2168" s="21"/>
    </row>
    <row r="2169" spans="13:13" x14ac:dyDescent="0.25">
      <c r="M2169" s="21"/>
    </row>
    <row r="2170" spans="13:13" x14ac:dyDescent="0.25">
      <c r="M2170" s="21"/>
    </row>
    <row r="2171" spans="13:13" x14ac:dyDescent="0.25">
      <c r="M2171" s="21"/>
    </row>
    <row r="2172" spans="13:13" x14ac:dyDescent="0.25">
      <c r="M2172" s="21"/>
    </row>
    <row r="2173" spans="13:13" x14ac:dyDescent="0.25">
      <c r="M2173" s="21"/>
    </row>
    <row r="2174" spans="13:13" x14ac:dyDescent="0.25">
      <c r="M2174" s="21"/>
    </row>
    <row r="2175" spans="13:13" x14ac:dyDescent="0.25">
      <c r="M2175" s="21"/>
    </row>
    <row r="2176" spans="13:13" x14ac:dyDescent="0.25">
      <c r="M2176" s="21"/>
    </row>
    <row r="2177" spans="13:13" x14ac:dyDescent="0.25">
      <c r="M2177" s="21"/>
    </row>
    <row r="2178" spans="13:13" x14ac:dyDescent="0.25">
      <c r="M2178" s="21"/>
    </row>
    <row r="2179" spans="13:13" x14ac:dyDescent="0.25">
      <c r="M2179" s="21"/>
    </row>
    <row r="2180" spans="13:13" x14ac:dyDescent="0.25">
      <c r="M2180" s="21"/>
    </row>
    <row r="2181" spans="13:13" x14ac:dyDescent="0.25">
      <c r="M2181" s="21"/>
    </row>
    <row r="2182" spans="13:13" x14ac:dyDescent="0.25">
      <c r="M2182" s="21"/>
    </row>
    <row r="2183" spans="13:13" x14ac:dyDescent="0.25">
      <c r="M2183" s="21"/>
    </row>
    <row r="2184" spans="13:13" x14ac:dyDescent="0.25">
      <c r="M2184" s="21"/>
    </row>
    <row r="2185" spans="13:13" x14ac:dyDescent="0.25">
      <c r="M2185" s="21"/>
    </row>
    <row r="2186" spans="13:13" x14ac:dyDescent="0.25">
      <c r="M2186" s="21"/>
    </row>
    <row r="2187" spans="13:13" x14ac:dyDescent="0.25">
      <c r="M2187" s="21"/>
    </row>
    <row r="2188" spans="13:13" x14ac:dyDescent="0.25">
      <c r="M2188" s="21"/>
    </row>
    <row r="2189" spans="13:13" x14ac:dyDescent="0.25">
      <c r="M2189" s="21"/>
    </row>
    <row r="2190" spans="13:13" x14ac:dyDescent="0.25">
      <c r="M2190" s="21"/>
    </row>
    <row r="2191" spans="13:13" x14ac:dyDescent="0.25">
      <c r="M2191" s="21"/>
    </row>
    <row r="2192" spans="13:13" x14ac:dyDescent="0.25">
      <c r="M2192" s="21"/>
    </row>
    <row r="2193" spans="13:13" x14ac:dyDescent="0.25">
      <c r="M2193" s="21"/>
    </row>
    <row r="2194" spans="13:13" x14ac:dyDescent="0.25">
      <c r="M2194" s="21"/>
    </row>
    <row r="2195" spans="13:13" x14ac:dyDescent="0.25">
      <c r="M2195" s="21"/>
    </row>
    <row r="2196" spans="13:13" x14ac:dyDescent="0.25">
      <c r="M2196" s="21"/>
    </row>
    <row r="2197" spans="13:13" x14ac:dyDescent="0.25">
      <c r="M2197" s="21"/>
    </row>
    <row r="2198" spans="13:13" x14ac:dyDescent="0.25">
      <c r="M2198" s="21"/>
    </row>
    <row r="2199" spans="13:13" x14ac:dyDescent="0.25">
      <c r="M2199" s="21"/>
    </row>
    <row r="2200" spans="13:13" x14ac:dyDescent="0.25">
      <c r="M2200" s="21"/>
    </row>
    <row r="2201" spans="13:13" x14ac:dyDescent="0.25">
      <c r="M2201" s="21"/>
    </row>
    <row r="2202" spans="13:13" x14ac:dyDescent="0.25">
      <c r="M2202" s="21"/>
    </row>
    <row r="2203" spans="13:13" x14ac:dyDescent="0.25">
      <c r="M2203" s="21"/>
    </row>
    <row r="2204" spans="13:13" x14ac:dyDescent="0.25">
      <c r="M2204" s="21"/>
    </row>
    <row r="2205" spans="13:13" x14ac:dyDescent="0.25">
      <c r="M2205" s="21"/>
    </row>
    <row r="2206" spans="13:13" x14ac:dyDescent="0.25">
      <c r="M2206" s="21"/>
    </row>
    <row r="2207" spans="13:13" x14ac:dyDescent="0.25">
      <c r="M2207" s="21"/>
    </row>
    <row r="2208" spans="13:13" x14ac:dyDescent="0.25">
      <c r="M2208" s="21"/>
    </row>
    <row r="2209" spans="13:13" x14ac:dyDescent="0.25">
      <c r="M2209" s="21"/>
    </row>
    <row r="2210" spans="13:13" x14ac:dyDescent="0.25">
      <c r="M2210" s="21"/>
    </row>
    <row r="2211" spans="13:13" x14ac:dyDescent="0.25">
      <c r="M2211" s="21"/>
    </row>
    <row r="2212" spans="13:13" x14ac:dyDescent="0.25">
      <c r="M2212" s="21"/>
    </row>
    <row r="2213" spans="13:13" x14ac:dyDescent="0.25">
      <c r="M2213" s="21"/>
    </row>
    <row r="2214" spans="13:13" x14ac:dyDescent="0.25">
      <c r="M2214" s="21"/>
    </row>
    <row r="2215" spans="13:13" x14ac:dyDescent="0.25">
      <c r="M2215" s="21"/>
    </row>
    <row r="2216" spans="13:13" x14ac:dyDescent="0.25">
      <c r="M2216" s="21"/>
    </row>
    <row r="2217" spans="13:13" x14ac:dyDescent="0.25">
      <c r="M2217" s="21"/>
    </row>
    <row r="2218" spans="13:13" x14ac:dyDescent="0.25">
      <c r="M2218" s="21"/>
    </row>
    <row r="2219" spans="13:13" x14ac:dyDescent="0.25">
      <c r="M2219" s="21"/>
    </row>
    <row r="2220" spans="13:13" x14ac:dyDescent="0.25">
      <c r="M2220" s="21"/>
    </row>
    <row r="2221" spans="13:13" x14ac:dyDescent="0.25">
      <c r="M2221" s="21"/>
    </row>
    <row r="2222" spans="13:13" x14ac:dyDescent="0.25">
      <c r="M2222" s="21"/>
    </row>
    <row r="2223" spans="13:13" x14ac:dyDescent="0.25">
      <c r="M2223" s="21"/>
    </row>
    <row r="2224" spans="13:13" x14ac:dyDescent="0.25">
      <c r="M2224" s="21"/>
    </row>
    <row r="2225" spans="13:13" x14ac:dyDescent="0.25">
      <c r="M2225" s="21"/>
    </row>
    <row r="2226" spans="13:13" x14ac:dyDescent="0.25">
      <c r="M2226" s="21"/>
    </row>
    <row r="2227" spans="13:13" x14ac:dyDescent="0.25">
      <c r="M2227" s="21"/>
    </row>
    <row r="2228" spans="13:13" x14ac:dyDescent="0.25">
      <c r="M2228" s="21"/>
    </row>
    <row r="2229" spans="13:13" x14ac:dyDescent="0.25">
      <c r="M2229" s="21"/>
    </row>
    <row r="2230" spans="13:13" x14ac:dyDescent="0.25">
      <c r="M2230" s="21"/>
    </row>
    <row r="2231" spans="13:13" x14ac:dyDescent="0.25">
      <c r="M2231" s="21"/>
    </row>
    <row r="2232" spans="13:13" x14ac:dyDescent="0.25">
      <c r="M2232" s="21"/>
    </row>
    <row r="2233" spans="13:13" x14ac:dyDescent="0.25">
      <c r="M2233" s="21"/>
    </row>
    <row r="2234" spans="13:13" x14ac:dyDescent="0.25">
      <c r="M2234" s="21"/>
    </row>
    <row r="2235" spans="13:13" x14ac:dyDescent="0.25">
      <c r="M2235" s="21"/>
    </row>
    <row r="2236" spans="13:13" x14ac:dyDescent="0.25">
      <c r="M2236" s="21"/>
    </row>
    <row r="2237" spans="13:13" x14ac:dyDescent="0.25">
      <c r="M2237" s="21"/>
    </row>
    <row r="2238" spans="13:13" x14ac:dyDescent="0.25">
      <c r="M2238" s="21"/>
    </row>
    <row r="2239" spans="13:13" x14ac:dyDescent="0.25">
      <c r="M2239" s="21"/>
    </row>
    <row r="2240" spans="13:13" x14ac:dyDescent="0.25">
      <c r="M2240" s="21"/>
    </row>
    <row r="2241" spans="13:13" x14ac:dyDescent="0.25">
      <c r="M2241" s="21"/>
    </row>
    <row r="2242" spans="13:13" x14ac:dyDescent="0.25">
      <c r="M2242" s="21"/>
    </row>
    <row r="2243" spans="13:13" x14ac:dyDescent="0.25">
      <c r="M2243" s="21"/>
    </row>
    <row r="2244" spans="13:13" x14ac:dyDescent="0.25">
      <c r="M2244" s="21"/>
    </row>
    <row r="2245" spans="13:13" x14ac:dyDescent="0.25">
      <c r="M2245" s="21"/>
    </row>
    <row r="2246" spans="13:13" x14ac:dyDescent="0.25">
      <c r="M2246" s="21"/>
    </row>
    <row r="2247" spans="13:13" x14ac:dyDescent="0.25">
      <c r="M2247" s="21"/>
    </row>
    <row r="2248" spans="13:13" x14ac:dyDescent="0.25">
      <c r="M2248" s="21"/>
    </row>
    <row r="2249" spans="13:13" x14ac:dyDescent="0.25">
      <c r="M2249" s="21"/>
    </row>
    <row r="2250" spans="13:13" x14ac:dyDescent="0.25">
      <c r="M2250" s="21"/>
    </row>
    <row r="2251" spans="13:13" x14ac:dyDescent="0.25">
      <c r="M2251" s="21"/>
    </row>
    <row r="2252" spans="13:13" x14ac:dyDescent="0.25">
      <c r="M2252" s="21"/>
    </row>
    <row r="2253" spans="13:13" x14ac:dyDescent="0.25">
      <c r="M2253" s="21"/>
    </row>
    <row r="2254" spans="13:13" x14ac:dyDescent="0.25">
      <c r="M2254" s="21"/>
    </row>
    <row r="2255" spans="13:13" x14ac:dyDescent="0.25">
      <c r="M2255" s="21"/>
    </row>
    <row r="2256" spans="13:13" x14ac:dyDescent="0.25">
      <c r="M2256" s="21"/>
    </row>
    <row r="2257" spans="13:13" x14ac:dyDescent="0.25">
      <c r="M2257" s="21"/>
    </row>
    <row r="2258" spans="13:13" x14ac:dyDescent="0.25">
      <c r="M2258" s="21"/>
    </row>
    <row r="2259" spans="13:13" x14ac:dyDescent="0.25">
      <c r="M2259" s="21"/>
    </row>
    <row r="2260" spans="13:13" x14ac:dyDescent="0.25">
      <c r="M2260" s="21"/>
    </row>
    <row r="2261" spans="13:13" x14ac:dyDescent="0.25">
      <c r="M2261" s="21"/>
    </row>
    <row r="2262" spans="13:13" x14ac:dyDescent="0.25">
      <c r="M2262" s="21"/>
    </row>
    <row r="2263" spans="13:13" x14ac:dyDescent="0.25">
      <c r="M2263" s="21"/>
    </row>
    <row r="2264" spans="13:13" x14ac:dyDescent="0.25">
      <c r="M2264" s="21"/>
    </row>
    <row r="2265" spans="13:13" x14ac:dyDescent="0.25">
      <c r="M2265" s="21"/>
    </row>
    <row r="2266" spans="13:13" x14ac:dyDescent="0.25">
      <c r="M2266" s="21"/>
    </row>
    <row r="2267" spans="13:13" x14ac:dyDescent="0.25">
      <c r="M2267" s="21"/>
    </row>
    <row r="2268" spans="13:13" x14ac:dyDescent="0.25">
      <c r="M2268" s="21"/>
    </row>
    <row r="2269" spans="13:13" x14ac:dyDescent="0.25">
      <c r="M2269" s="21"/>
    </row>
    <row r="2270" spans="13:13" x14ac:dyDescent="0.25">
      <c r="M2270" s="21"/>
    </row>
    <row r="2271" spans="13:13" x14ac:dyDescent="0.25">
      <c r="M2271" s="21"/>
    </row>
    <row r="2272" spans="13:13" x14ac:dyDescent="0.25">
      <c r="M2272" s="21"/>
    </row>
    <row r="2273" spans="13:13" x14ac:dyDescent="0.25">
      <c r="M2273" s="21"/>
    </row>
    <row r="2274" spans="13:13" x14ac:dyDescent="0.25">
      <c r="M2274" s="21"/>
    </row>
    <row r="2275" spans="13:13" x14ac:dyDescent="0.25">
      <c r="M2275" s="21"/>
    </row>
    <row r="2276" spans="13:13" x14ac:dyDescent="0.25">
      <c r="M2276" s="21"/>
    </row>
    <row r="2277" spans="13:13" x14ac:dyDescent="0.25">
      <c r="M2277" s="21"/>
    </row>
    <row r="2278" spans="13:13" x14ac:dyDescent="0.25">
      <c r="M2278" s="21"/>
    </row>
    <row r="2279" spans="13:13" x14ac:dyDescent="0.25">
      <c r="M2279" s="21"/>
    </row>
    <row r="2280" spans="13:13" x14ac:dyDescent="0.25">
      <c r="M2280" s="21"/>
    </row>
    <row r="2281" spans="13:13" x14ac:dyDescent="0.25">
      <c r="M2281" s="21"/>
    </row>
    <row r="2282" spans="13:13" x14ac:dyDescent="0.25">
      <c r="M2282" s="21"/>
    </row>
    <row r="2283" spans="13:13" x14ac:dyDescent="0.25">
      <c r="M2283" s="21"/>
    </row>
    <row r="2284" spans="13:13" x14ac:dyDescent="0.25">
      <c r="M2284" s="21"/>
    </row>
    <row r="2285" spans="13:13" x14ac:dyDescent="0.25">
      <c r="M2285" s="21"/>
    </row>
    <row r="2286" spans="13:13" x14ac:dyDescent="0.25">
      <c r="M2286" s="21"/>
    </row>
    <row r="2287" spans="13:13" x14ac:dyDescent="0.25">
      <c r="M2287" s="21"/>
    </row>
    <row r="2288" spans="13:13" x14ac:dyDescent="0.25">
      <c r="M2288" s="21"/>
    </row>
    <row r="2289" spans="13:13" x14ac:dyDescent="0.25">
      <c r="M2289" s="21"/>
    </row>
    <row r="2290" spans="13:13" x14ac:dyDescent="0.25">
      <c r="M2290" s="21"/>
    </row>
    <row r="2291" spans="13:13" x14ac:dyDescent="0.25">
      <c r="M2291" s="21"/>
    </row>
    <row r="2292" spans="13:13" x14ac:dyDescent="0.25">
      <c r="M2292" s="21"/>
    </row>
    <row r="2293" spans="13:13" x14ac:dyDescent="0.25">
      <c r="M2293" s="21"/>
    </row>
    <row r="2294" spans="13:13" x14ac:dyDescent="0.25">
      <c r="M2294" s="21"/>
    </row>
    <row r="2295" spans="13:13" x14ac:dyDescent="0.25">
      <c r="M2295" s="21"/>
    </row>
    <row r="2296" spans="13:13" x14ac:dyDescent="0.25">
      <c r="M2296" s="21"/>
    </row>
    <row r="2297" spans="13:13" x14ac:dyDescent="0.25">
      <c r="M2297" s="21"/>
    </row>
    <row r="2298" spans="13:13" x14ac:dyDescent="0.25">
      <c r="M2298" s="21"/>
    </row>
    <row r="2299" spans="13:13" x14ac:dyDescent="0.25">
      <c r="M2299" s="21"/>
    </row>
    <row r="2300" spans="13:13" x14ac:dyDescent="0.25">
      <c r="M2300" s="21"/>
    </row>
    <row r="2301" spans="13:13" x14ac:dyDescent="0.25">
      <c r="M2301" s="21"/>
    </row>
    <row r="2302" spans="13:13" x14ac:dyDescent="0.25">
      <c r="M2302" s="21"/>
    </row>
    <row r="2303" spans="13:13" x14ac:dyDescent="0.25">
      <c r="M2303" s="21"/>
    </row>
    <row r="2304" spans="13:13" x14ac:dyDescent="0.25">
      <c r="M2304" s="21"/>
    </row>
    <row r="2305" spans="13:13" x14ac:dyDescent="0.25">
      <c r="M2305" s="21"/>
    </row>
    <row r="2306" spans="13:13" x14ac:dyDescent="0.25">
      <c r="M2306" s="21"/>
    </row>
    <row r="2307" spans="13:13" x14ac:dyDescent="0.25">
      <c r="M2307" s="21"/>
    </row>
    <row r="2308" spans="13:13" x14ac:dyDescent="0.25">
      <c r="M2308" s="21"/>
    </row>
    <row r="2309" spans="13:13" x14ac:dyDescent="0.25">
      <c r="M2309" s="21"/>
    </row>
    <row r="2310" spans="13:13" x14ac:dyDescent="0.25">
      <c r="M2310" s="21"/>
    </row>
    <row r="2311" spans="13:13" x14ac:dyDescent="0.25">
      <c r="M2311" s="21"/>
    </row>
    <row r="2312" spans="13:13" x14ac:dyDescent="0.25">
      <c r="M2312" s="21"/>
    </row>
    <row r="2313" spans="13:13" x14ac:dyDescent="0.25">
      <c r="M2313" s="21"/>
    </row>
    <row r="2314" spans="13:13" x14ac:dyDescent="0.25">
      <c r="M2314" s="21"/>
    </row>
    <row r="2315" spans="13:13" x14ac:dyDescent="0.25">
      <c r="M2315" s="21"/>
    </row>
    <row r="2316" spans="13:13" x14ac:dyDescent="0.25">
      <c r="M2316" s="21"/>
    </row>
    <row r="2317" spans="13:13" x14ac:dyDescent="0.25">
      <c r="M2317" s="21"/>
    </row>
    <row r="2318" spans="13:13" x14ac:dyDescent="0.25">
      <c r="M2318" s="21"/>
    </row>
    <row r="2319" spans="13:13" x14ac:dyDescent="0.25">
      <c r="M2319" s="21"/>
    </row>
    <row r="2320" spans="13:13" x14ac:dyDescent="0.25">
      <c r="M2320" s="21"/>
    </row>
    <row r="2321" spans="13:13" x14ac:dyDescent="0.25">
      <c r="M2321" s="21"/>
    </row>
    <row r="2322" spans="13:13" x14ac:dyDescent="0.25">
      <c r="M2322" s="21"/>
    </row>
    <row r="2323" spans="13:13" x14ac:dyDescent="0.25">
      <c r="M2323" s="21"/>
    </row>
    <row r="2324" spans="13:13" x14ac:dyDescent="0.25">
      <c r="M2324" s="21"/>
    </row>
    <row r="2325" spans="13:13" x14ac:dyDescent="0.25">
      <c r="M2325" s="21"/>
    </row>
    <row r="2326" spans="13:13" x14ac:dyDescent="0.25">
      <c r="M2326" s="21"/>
    </row>
    <row r="2327" spans="13:13" x14ac:dyDescent="0.25">
      <c r="M2327" s="21"/>
    </row>
    <row r="2328" spans="13:13" x14ac:dyDescent="0.25">
      <c r="M2328" s="21"/>
    </row>
    <row r="2329" spans="13:13" x14ac:dyDescent="0.25">
      <c r="M2329" s="21"/>
    </row>
    <row r="2330" spans="13:13" x14ac:dyDescent="0.25">
      <c r="M2330" s="21"/>
    </row>
    <row r="2331" spans="13:13" x14ac:dyDescent="0.25">
      <c r="M2331" s="21"/>
    </row>
    <row r="2332" spans="13:13" x14ac:dyDescent="0.25">
      <c r="M2332" s="21"/>
    </row>
    <row r="2333" spans="13:13" x14ac:dyDescent="0.25">
      <c r="M2333" s="21"/>
    </row>
    <row r="2334" spans="13:13" x14ac:dyDescent="0.25">
      <c r="M2334" s="21"/>
    </row>
    <row r="2335" spans="13:13" x14ac:dyDescent="0.25">
      <c r="M2335" s="21"/>
    </row>
    <row r="2336" spans="13:13" x14ac:dyDescent="0.25">
      <c r="M2336" s="21"/>
    </row>
    <row r="2337" spans="13:13" x14ac:dyDescent="0.25">
      <c r="M2337" s="21"/>
    </row>
    <row r="2338" spans="13:13" x14ac:dyDescent="0.25">
      <c r="M2338" s="21"/>
    </row>
    <row r="2339" spans="13:13" x14ac:dyDescent="0.25">
      <c r="M2339" s="21"/>
    </row>
    <row r="2340" spans="13:13" x14ac:dyDescent="0.25">
      <c r="M2340" s="21"/>
    </row>
    <row r="2341" spans="13:13" x14ac:dyDescent="0.25">
      <c r="M2341" s="21"/>
    </row>
    <row r="2342" spans="13:13" x14ac:dyDescent="0.25">
      <c r="M2342" s="21"/>
    </row>
    <row r="2343" spans="13:13" x14ac:dyDescent="0.25">
      <c r="M2343" s="21"/>
    </row>
    <row r="2344" spans="13:13" x14ac:dyDescent="0.25">
      <c r="M2344" s="21"/>
    </row>
    <row r="2345" spans="13:13" x14ac:dyDescent="0.25">
      <c r="M2345" s="21"/>
    </row>
    <row r="2346" spans="13:13" x14ac:dyDescent="0.25">
      <c r="M2346" s="21"/>
    </row>
    <row r="2347" spans="13:13" x14ac:dyDescent="0.25">
      <c r="M2347" s="21"/>
    </row>
    <row r="2348" spans="13:13" x14ac:dyDescent="0.25">
      <c r="M2348" s="21"/>
    </row>
    <row r="2349" spans="13:13" x14ac:dyDescent="0.25">
      <c r="M2349" s="21"/>
    </row>
    <row r="2350" spans="13:13" x14ac:dyDescent="0.25">
      <c r="M2350" s="21"/>
    </row>
    <row r="2351" spans="13:13" x14ac:dyDescent="0.25">
      <c r="M2351" s="21"/>
    </row>
    <row r="2352" spans="13:13" x14ac:dyDescent="0.25">
      <c r="M2352" s="21"/>
    </row>
    <row r="2353" spans="13:13" x14ac:dyDescent="0.25">
      <c r="M2353" s="21"/>
    </row>
    <row r="2354" spans="13:13" x14ac:dyDescent="0.25">
      <c r="M2354" s="21"/>
    </row>
    <row r="2355" spans="13:13" x14ac:dyDescent="0.25">
      <c r="M2355" s="21"/>
    </row>
    <row r="2356" spans="13:13" x14ac:dyDescent="0.25">
      <c r="M2356" s="21"/>
    </row>
    <row r="2357" spans="13:13" x14ac:dyDescent="0.25">
      <c r="M2357" s="21"/>
    </row>
    <row r="2358" spans="13:13" x14ac:dyDescent="0.25">
      <c r="M2358" s="21"/>
    </row>
    <row r="2359" spans="13:13" x14ac:dyDescent="0.25">
      <c r="M2359" s="21"/>
    </row>
    <row r="2360" spans="13:13" x14ac:dyDescent="0.25">
      <c r="M2360" s="21"/>
    </row>
    <row r="2361" spans="13:13" x14ac:dyDescent="0.25">
      <c r="M2361" s="21"/>
    </row>
    <row r="2362" spans="13:13" x14ac:dyDescent="0.25">
      <c r="M2362" s="21"/>
    </row>
    <row r="2363" spans="13:13" x14ac:dyDescent="0.25">
      <c r="M2363" s="21"/>
    </row>
    <row r="2364" spans="13:13" x14ac:dyDescent="0.25">
      <c r="M2364" s="21"/>
    </row>
    <row r="2365" spans="13:13" x14ac:dyDescent="0.25">
      <c r="M2365" s="21"/>
    </row>
    <row r="2366" spans="13:13" x14ac:dyDescent="0.25">
      <c r="M2366" s="21"/>
    </row>
    <row r="2367" spans="13:13" x14ac:dyDescent="0.25">
      <c r="M2367" s="21"/>
    </row>
    <row r="2368" spans="13:13" x14ac:dyDescent="0.25">
      <c r="M2368" s="21"/>
    </row>
    <row r="2369" spans="13:13" x14ac:dyDescent="0.25">
      <c r="M2369" s="21"/>
    </row>
    <row r="2370" spans="13:13" x14ac:dyDescent="0.25">
      <c r="M2370" s="21"/>
    </row>
    <row r="2371" spans="13:13" x14ac:dyDescent="0.25">
      <c r="M2371" s="21"/>
    </row>
    <row r="2372" spans="13:13" x14ac:dyDescent="0.25">
      <c r="M2372" s="21"/>
    </row>
    <row r="2373" spans="13:13" x14ac:dyDescent="0.25">
      <c r="M2373" s="21"/>
    </row>
    <row r="2374" spans="13:13" x14ac:dyDescent="0.25">
      <c r="M2374" s="21"/>
    </row>
    <row r="2375" spans="13:13" x14ac:dyDescent="0.25">
      <c r="M2375" s="21"/>
    </row>
    <row r="2376" spans="13:13" x14ac:dyDescent="0.25">
      <c r="M2376" s="21"/>
    </row>
    <row r="2377" spans="13:13" x14ac:dyDescent="0.25">
      <c r="M2377" s="21"/>
    </row>
    <row r="2378" spans="13:13" x14ac:dyDescent="0.25">
      <c r="M2378" s="21"/>
    </row>
    <row r="2379" spans="13:13" x14ac:dyDescent="0.25">
      <c r="M2379" s="21"/>
    </row>
    <row r="2380" spans="13:13" x14ac:dyDescent="0.25">
      <c r="M2380" s="21"/>
    </row>
    <row r="2381" spans="13:13" x14ac:dyDescent="0.25">
      <c r="M2381" s="21"/>
    </row>
    <row r="2382" spans="13:13" x14ac:dyDescent="0.25">
      <c r="M2382" s="21"/>
    </row>
    <row r="2383" spans="13:13" x14ac:dyDescent="0.25">
      <c r="M2383" s="21"/>
    </row>
    <row r="2384" spans="13:13" x14ac:dyDescent="0.25">
      <c r="M2384" s="21"/>
    </row>
    <row r="2385" spans="13:13" x14ac:dyDescent="0.25">
      <c r="M2385" s="21"/>
    </row>
    <row r="2386" spans="13:13" x14ac:dyDescent="0.25">
      <c r="M2386" s="21"/>
    </row>
    <row r="2387" spans="13:13" x14ac:dyDescent="0.25">
      <c r="M2387" s="21"/>
    </row>
    <row r="2388" spans="13:13" x14ac:dyDescent="0.25">
      <c r="M2388" s="21"/>
    </row>
    <row r="2389" spans="13:13" x14ac:dyDescent="0.25">
      <c r="M2389" s="21"/>
    </row>
    <row r="2390" spans="13:13" x14ac:dyDescent="0.25">
      <c r="M2390" s="21"/>
    </row>
    <row r="2391" spans="13:13" x14ac:dyDescent="0.25">
      <c r="M2391" s="21"/>
    </row>
    <row r="2392" spans="13:13" x14ac:dyDescent="0.25">
      <c r="M2392" s="21"/>
    </row>
    <row r="2393" spans="13:13" x14ac:dyDescent="0.25">
      <c r="M2393" s="21"/>
    </row>
    <row r="2394" spans="13:13" x14ac:dyDescent="0.25">
      <c r="M2394" s="21"/>
    </row>
    <row r="2395" spans="13:13" x14ac:dyDescent="0.25">
      <c r="M2395" s="21"/>
    </row>
    <row r="2396" spans="13:13" x14ac:dyDescent="0.25">
      <c r="M2396" s="21"/>
    </row>
    <row r="2397" spans="13:13" x14ac:dyDescent="0.25">
      <c r="M2397" s="21"/>
    </row>
    <row r="2398" spans="13:13" x14ac:dyDescent="0.25">
      <c r="M2398" s="21"/>
    </row>
    <row r="2399" spans="13:13" x14ac:dyDescent="0.25">
      <c r="M2399" s="21"/>
    </row>
    <row r="2400" spans="13:13" x14ac:dyDescent="0.25">
      <c r="M2400" s="21"/>
    </row>
    <row r="2401" spans="13:13" x14ac:dyDescent="0.25">
      <c r="M2401" s="21"/>
    </row>
    <row r="2402" spans="13:13" x14ac:dyDescent="0.25">
      <c r="M2402" s="21"/>
    </row>
    <row r="2403" spans="13:13" x14ac:dyDescent="0.25">
      <c r="M2403" s="21"/>
    </row>
    <row r="2404" spans="13:13" x14ac:dyDescent="0.25">
      <c r="M2404" s="21"/>
    </row>
    <row r="2405" spans="13:13" x14ac:dyDescent="0.25">
      <c r="M2405" s="21"/>
    </row>
    <row r="2406" spans="13:13" x14ac:dyDescent="0.25">
      <c r="M2406" s="21"/>
    </row>
    <row r="2407" spans="13:13" x14ac:dyDescent="0.25">
      <c r="M2407" s="21"/>
    </row>
    <row r="2408" spans="13:13" x14ac:dyDescent="0.25">
      <c r="M2408" s="21"/>
    </row>
    <row r="2409" spans="13:13" x14ac:dyDescent="0.25">
      <c r="M2409" s="21"/>
    </row>
    <row r="2410" spans="13:13" x14ac:dyDescent="0.25">
      <c r="M2410" s="21"/>
    </row>
    <row r="2411" spans="13:13" x14ac:dyDescent="0.25">
      <c r="M2411" s="21"/>
    </row>
    <row r="2412" spans="13:13" x14ac:dyDescent="0.25">
      <c r="M2412" s="21"/>
    </row>
    <row r="2413" spans="13:13" x14ac:dyDescent="0.25">
      <c r="M2413" s="21"/>
    </row>
    <row r="2414" spans="13:13" x14ac:dyDescent="0.25">
      <c r="M2414" s="21"/>
    </row>
    <row r="2415" spans="13:13" x14ac:dyDescent="0.25">
      <c r="M2415" s="21"/>
    </row>
    <row r="2416" spans="13:13" x14ac:dyDescent="0.25">
      <c r="M2416" s="21"/>
    </row>
    <row r="2417" spans="13:13" x14ac:dyDescent="0.25">
      <c r="M2417" s="21"/>
    </row>
    <row r="2418" spans="13:13" x14ac:dyDescent="0.25">
      <c r="M2418" s="21"/>
    </row>
    <row r="2419" spans="13:13" x14ac:dyDescent="0.25">
      <c r="M2419" s="21"/>
    </row>
    <row r="2420" spans="13:13" x14ac:dyDescent="0.25">
      <c r="M2420" s="21"/>
    </row>
    <row r="2421" spans="13:13" x14ac:dyDescent="0.25">
      <c r="M2421" s="21"/>
    </row>
    <row r="2422" spans="13:13" x14ac:dyDescent="0.25">
      <c r="M2422" s="21"/>
    </row>
    <row r="2423" spans="13:13" x14ac:dyDescent="0.25">
      <c r="M2423" s="21"/>
    </row>
    <row r="2424" spans="13:13" x14ac:dyDescent="0.25">
      <c r="M2424" s="21"/>
    </row>
    <row r="2425" spans="13:13" x14ac:dyDescent="0.25">
      <c r="M2425" s="21"/>
    </row>
    <row r="2426" spans="13:13" x14ac:dyDescent="0.25">
      <c r="M2426" s="21"/>
    </row>
    <row r="2427" spans="13:13" x14ac:dyDescent="0.25">
      <c r="M2427" s="21"/>
    </row>
    <row r="2428" spans="13:13" x14ac:dyDescent="0.25">
      <c r="M2428" s="21"/>
    </row>
    <row r="2429" spans="13:13" x14ac:dyDescent="0.25">
      <c r="M2429" s="21"/>
    </row>
    <row r="2430" spans="13:13" x14ac:dyDescent="0.25">
      <c r="M2430" s="21"/>
    </row>
    <row r="2431" spans="13:13" x14ac:dyDescent="0.25">
      <c r="M2431" s="21"/>
    </row>
    <row r="2432" spans="13:13" x14ac:dyDescent="0.25">
      <c r="M2432" s="21"/>
    </row>
    <row r="2433" spans="13:13" x14ac:dyDescent="0.25">
      <c r="M2433" s="21"/>
    </row>
    <row r="2434" spans="13:13" x14ac:dyDescent="0.25">
      <c r="M2434" s="21"/>
    </row>
    <row r="2435" spans="13:13" x14ac:dyDescent="0.25">
      <c r="M2435" s="21"/>
    </row>
    <row r="2436" spans="13:13" x14ac:dyDescent="0.25">
      <c r="M2436" s="21"/>
    </row>
    <row r="2437" spans="13:13" x14ac:dyDescent="0.25">
      <c r="M2437" s="21"/>
    </row>
    <row r="2438" spans="13:13" x14ac:dyDescent="0.25">
      <c r="M2438" s="21"/>
    </row>
    <row r="2439" spans="13:13" x14ac:dyDescent="0.25">
      <c r="M2439" s="21"/>
    </row>
    <row r="2440" spans="13:13" x14ac:dyDescent="0.25">
      <c r="M2440" s="21"/>
    </row>
    <row r="2441" spans="13:13" x14ac:dyDescent="0.25">
      <c r="M2441" s="21"/>
    </row>
    <row r="2442" spans="13:13" x14ac:dyDescent="0.25">
      <c r="M2442" s="21"/>
    </row>
    <row r="2443" spans="13:13" x14ac:dyDescent="0.25">
      <c r="M2443" s="21"/>
    </row>
    <row r="2444" spans="13:13" x14ac:dyDescent="0.25">
      <c r="M2444" s="21"/>
    </row>
    <row r="2445" spans="13:13" x14ac:dyDescent="0.25">
      <c r="M2445" s="21"/>
    </row>
    <row r="2446" spans="13:13" x14ac:dyDescent="0.25">
      <c r="M2446" s="21"/>
    </row>
    <row r="2447" spans="13:13" x14ac:dyDescent="0.25">
      <c r="M2447" s="21"/>
    </row>
    <row r="2448" spans="13:13" x14ac:dyDescent="0.25">
      <c r="M2448" s="21"/>
    </row>
    <row r="2449" spans="13:13" x14ac:dyDescent="0.25">
      <c r="M2449" s="21"/>
    </row>
    <row r="2450" spans="13:13" x14ac:dyDescent="0.25">
      <c r="M2450" s="21"/>
    </row>
    <row r="2451" spans="13:13" x14ac:dyDescent="0.25">
      <c r="M2451" s="21"/>
    </row>
    <row r="2452" spans="13:13" x14ac:dyDescent="0.25">
      <c r="M2452" s="21"/>
    </row>
    <row r="2453" spans="13:13" x14ac:dyDescent="0.25">
      <c r="M2453" s="21"/>
    </row>
    <row r="2454" spans="13:13" x14ac:dyDescent="0.25">
      <c r="M2454" s="21"/>
    </row>
    <row r="2455" spans="13:13" x14ac:dyDescent="0.25">
      <c r="M2455" s="21"/>
    </row>
    <row r="2456" spans="13:13" x14ac:dyDescent="0.25">
      <c r="M2456" s="21"/>
    </row>
    <row r="2457" spans="13:13" x14ac:dyDescent="0.25">
      <c r="M2457" s="21"/>
    </row>
    <row r="2458" spans="13:13" x14ac:dyDescent="0.25">
      <c r="M2458" s="21"/>
    </row>
    <row r="2459" spans="13:13" x14ac:dyDescent="0.25">
      <c r="M2459" s="21"/>
    </row>
    <row r="2460" spans="13:13" x14ac:dyDescent="0.25">
      <c r="M2460" s="21"/>
    </row>
    <row r="2461" spans="13:13" x14ac:dyDescent="0.25">
      <c r="M2461" s="21"/>
    </row>
    <row r="2462" spans="13:13" x14ac:dyDescent="0.25">
      <c r="M2462" s="21"/>
    </row>
    <row r="2463" spans="13:13" x14ac:dyDescent="0.25">
      <c r="M2463" s="21"/>
    </row>
    <row r="2464" spans="13:13" x14ac:dyDescent="0.25">
      <c r="M2464" s="21"/>
    </row>
    <row r="2465" spans="13:13" x14ac:dyDescent="0.25">
      <c r="M2465" s="21"/>
    </row>
    <row r="2466" spans="13:13" x14ac:dyDescent="0.25">
      <c r="M2466" s="21"/>
    </row>
    <row r="2467" spans="13:13" x14ac:dyDescent="0.25">
      <c r="M2467" s="21"/>
    </row>
    <row r="2468" spans="13:13" x14ac:dyDescent="0.25">
      <c r="M2468" s="21"/>
    </row>
    <row r="2469" spans="13:13" x14ac:dyDescent="0.25">
      <c r="M2469" s="21"/>
    </row>
    <row r="2470" spans="13:13" x14ac:dyDescent="0.25">
      <c r="M2470" s="21"/>
    </row>
    <row r="2471" spans="13:13" x14ac:dyDescent="0.25">
      <c r="M2471" s="21"/>
    </row>
    <row r="2472" spans="13:13" x14ac:dyDescent="0.25">
      <c r="M2472" s="21"/>
    </row>
    <row r="2473" spans="13:13" x14ac:dyDescent="0.25">
      <c r="M2473" s="21"/>
    </row>
    <row r="2474" spans="13:13" x14ac:dyDescent="0.25">
      <c r="M2474" s="21"/>
    </row>
    <row r="2475" spans="13:13" x14ac:dyDescent="0.25">
      <c r="M2475" s="21"/>
    </row>
    <row r="2476" spans="13:13" x14ac:dyDescent="0.25">
      <c r="M2476" s="21"/>
    </row>
    <row r="2477" spans="13:13" x14ac:dyDescent="0.25">
      <c r="M2477" s="21"/>
    </row>
    <row r="2478" spans="13:13" x14ac:dyDescent="0.25">
      <c r="M2478" s="21"/>
    </row>
    <row r="2479" spans="13:13" x14ac:dyDescent="0.25">
      <c r="M2479" s="21"/>
    </row>
    <row r="2480" spans="13:13" x14ac:dyDescent="0.25">
      <c r="M2480" s="21"/>
    </row>
    <row r="2481" spans="13:13" x14ac:dyDescent="0.25">
      <c r="M2481" s="21"/>
    </row>
    <row r="2482" spans="13:13" x14ac:dyDescent="0.25">
      <c r="M2482" s="21"/>
    </row>
    <row r="2483" spans="13:13" x14ac:dyDescent="0.25">
      <c r="M2483" s="21"/>
    </row>
    <row r="2484" spans="13:13" x14ac:dyDescent="0.25">
      <c r="M2484" s="21"/>
    </row>
    <row r="2485" spans="13:13" x14ac:dyDescent="0.25">
      <c r="M2485" s="21"/>
    </row>
    <row r="2486" spans="13:13" x14ac:dyDescent="0.25">
      <c r="M2486" s="21"/>
    </row>
    <row r="2487" spans="13:13" x14ac:dyDescent="0.25">
      <c r="M2487" s="21"/>
    </row>
    <row r="2488" spans="13:13" x14ac:dyDescent="0.25">
      <c r="M2488" s="21"/>
    </row>
    <row r="2489" spans="13:13" x14ac:dyDescent="0.25">
      <c r="M2489" s="21"/>
    </row>
    <row r="2490" spans="13:13" x14ac:dyDescent="0.25">
      <c r="M2490" s="21"/>
    </row>
    <row r="2491" spans="13:13" x14ac:dyDescent="0.25">
      <c r="M2491" s="21"/>
    </row>
    <row r="2492" spans="13:13" x14ac:dyDescent="0.25">
      <c r="M2492" s="21"/>
    </row>
    <row r="2493" spans="13:13" x14ac:dyDescent="0.25">
      <c r="M2493" s="21"/>
    </row>
    <row r="2494" spans="13:13" x14ac:dyDescent="0.25">
      <c r="M2494" s="21"/>
    </row>
    <row r="2495" spans="13:13" x14ac:dyDescent="0.25">
      <c r="M2495" s="21"/>
    </row>
    <row r="2496" spans="13:13" x14ac:dyDescent="0.25">
      <c r="M2496" s="21"/>
    </row>
    <row r="2497" spans="13:13" x14ac:dyDescent="0.25">
      <c r="M2497" s="21"/>
    </row>
    <row r="2498" spans="13:13" x14ac:dyDescent="0.25">
      <c r="M2498" s="21"/>
    </row>
    <row r="2499" spans="13:13" x14ac:dyDescent="0.25">
      <c r="M2499" s="21"/>
    </row>
    <row r="2500" spans="13:13" x14ac:dyDescent="0.25">
      <c r="M2500" s="21"/>
    </row>
    <row r="2501" spans="13:13" x14ac:dyDescent="0.25">
      <c r="M2501" s="21"/>
    </row>
    <row r="2502" spans="13:13" x14ac:dyDescent="0.25">
      <c r="M2502" s="21"/>
    </row>
    <row r="2503" spans="13:13" x14ac:dyDescent="0.25">
      <c r="M2503" s="21"/>
    </row>
    <row r="2504" spans="13:13" x14ac:dyDescent="0.25">
      <c r="M2504" s="21"/>
    </row>
    <row r="2505" spans="13:13" x14ac:dyDescent="0.25">
      <c r="M2505" s="21"/>
    </row>
    <row r="2506" spans="13:13" x14ac:dyDescent="0.25">
      <c r="M2506" s="21"/>
    </row>
    <row r="2507" spans="13:13" x14ac:dyDescent="0.25">
      <c r="M2507" s="21"/>
    </row>
    <row r="2508" spans="13:13" x14ac:dyDescent="0.25">
      <c r="M2508" s="21"/>
    </row>
    <row r="2509" spans="13:13" x14ac:dyDescent="0.25">
      <c r="M2509" s="21"/>
    </row>
    <row r="2510" spans="13:13" x14ac:dyDescent="0.25">
      <c r="M2510" s="21"/>
    </row>
    <row r="2511" spans="13:13" x14ac:dyDescent="0.25">
      <c r="M2511" s="21"/>
    </row>
    <row r="2512" spans="13:13" x14ac:dyDescent="0.25">
      <c r="M2512" s="21"/>
    </row>
    <row r="2513" spans="13:13" x14ac:dyDescent="0.25">
      <c r="M2513" s="21"/>
    </row>
    <row r="2514" spans="13:13" x14ac:dyDescent="0.25">
      <c r="M2514" s="21"/>
    </row>
    <row r="2515" spans="13:13" x14ac:dyDescent="0.25">
      <c r="M2515" s="21"/>
    </row>
    <row r="2516" spans="13:13" x14ac:dyDescent="0.25">
      <c r="M2516" s="21"/>
    </row>
    <row r="2517" spans="13:13" x14ac:dyDescent="0.25">
      <c r="M2517" s="21"/>
    </row>
    <row r="2518" spans="13:13" x14ac:dyDescent="0.25">
      <c r="M2518" s="21"/>
    </row>
    <row r="2519" spans="13:13" x14ac:dyDescent="0.25">
      <c r="M2519" s="21"/>
    </row>
    <row r="2520" spans="13:13" x14ac:dyDescent="0.25">
      <c r="M2520" s="21"/>
    </row>
    <row r="2521" spans="13:13" x14ac:dyDescent="0.25">
      <c r="M2521" s="21"/>
    </row>
    <row r="2522" spans="13:13" x14ac:dyDescent="0.25">
      <c r="M2522" s="21"/>
    </row>
    <row r="2523" spans="13:13" x14ac:dyDescent="0.25">
      <c r="M2523" s="21"/>
    </row>
    <row r="2524" spans="13:13" x14ac:dyDescent="0.25">
      <c r="M2524" s="21"/>
    </row>
    <row r="2525" spans="13:13" x14ac:dyDescent="0.25">
      <c r="M2525" s="21"/>
    </row>
    <row r="2526" spans="13:13" x14ac:dyDescent="0.25">
      <c r="M2526" s="21"/>
    </row>
    <row r="2527" spans="13:13" x14ac:dyDescent="0.25">
      <c r="M2527" s="21"/>
    </row>
    <row r="2528" spans="13:13" x14ac:dyDescent="0.25">
      <c r="M2528" s="21"/>
    </row>
    <row r="2529" spans="13:13" x14ac:dyDescent="0.25">
      <c r="M2529" s="21"/>
    </row>
    <row r="2530" spans="13:13" x14ac:dyDescent="0.25">
      <c r="M2530" s="21"/>
    </row>
    <row r="2531" spans="13:13" x14ac:dyDescent="0.25">
      <c r="M2531" s="21"/>
    </row>
    <row r="2532" spans="13:13" x14ac:dyDescent="0.25">
      <c r="M2532" s="21"/>
    </row>
    <row r="2533" spans="13:13" x14ac:dyDescent="0.25">
      <c r="M2533" s="21"/>
    </row>
    <row r="2534" spans="13:13" x14ac:dyDescent="0.25">
      <c r="M2534" s="21"/>
    </row>
    <row r="2535" spans="13:13" x14ac:dyDescent="0.25">
      <c r="M2535" s="21"/>
    </row>
    <row r="2536" spans="13:13" x14ac:dyDescent="0.25">
      <c r="M2536" s="21"/>
    </row>
    <row r="2537" spans="13:13" x14ac:dyDescent="0.25">
      <c r="M2537" s="21"/>
    </row>
    <row r="2538" spans="13:13" x14ac:dyDescent="0.25">
      <c r="M2538" s="21"/>
    </row>
    <row r="2539" spans="13:13" x14ac:dyDescent="0.25">
      <c r="M2539" s="21"/>
    </row>
    <row r="2540" spans="13:13" x14ac:dyDescent="0.25">
      <c r="M2540" s="21"/>
    </row>
    <row r="2541" spans="13:13" x14ac:dyDescent="0.25">
      <c r="M2541" s="21"/>
    </row>
    <row r="2542" spans="13:13" x14ac:dyDescent="0.25">
      <c r="M2542" s="21"/>
    </row>
    <row r="2543" spans="13:13" x14ac:dyDescent="0.25">
      <c r="M2543" s="21"/>
    </row>
    <row r="2544" spans="13:13" x14ac:dyDescent="0.25">
      <c r="M2544" s="21"/>
    </row>
    <row r="2545" spans="13:13" x14ac:dyDescent="0.25">
      <c r="M2545" s="21"/>
    </row>
    <row r="2546" spans="13:13" x14ac:dyDescent="0.25">
      <c r="M2546" s="21"/>
    </row>
    <row r="2547" spans="13:13" x14ac:dyDescent="0.25">
      <c r="M2547" s="21"/>
    </row>
    <row r="2548" spans="13:13" x14ac:dyDescent="0.25">
      <c r="M2548" s="21"/>
    </row>
    <row r="2549" spans="13:13" x14ac:dyDescent="0.25">
      <c r="M2549" s="21"/>
    </row>
    <row r="2550" spans="13:13" x14ac:dyDescent="0.25">
      <c r="M2550" s="21"/>
    </row>
    <row r="2551" spans="13:13" x14ac:dyDescent="0.25">
      <c r="M2551" s="21"/>
    </row>
    <row r="2552" spans="13:13" x14ac:dyDescent="0.25">
      <c r="M2552" s="21"/>
    </row>
    <row r="2553" spans="13:13" x14ac:dyDescent="0.25">
      <c r="M2553" s="21"/>
    </row>
    <row r="2554" spans="13:13" x14ac:dyDescent="0.25">
      <c r="M2554" s="21"/>
    </row>
    <row r="2555" spans="13:13" x14ac:dyDescent="0.25">
      <c r="M2555" s="21"/>
    </row>
    <row r="2556" spans="13:13" x14ac:dyDescent="0.25">
      <c r="M2556" s="21"/>
    </row>
    <row r="2557" spans="13:13" x14ac:dyDescent="0.25">
      <c r="M2557" s="21"/>
    </row>
    <row r="2558" spans="13:13" x14ac:dyDescent="0.25">
      <c r="M2558" s="21"/>
    </row>
    <row r="2559" spans="13:13" x14ac:dyDescent="0.25">
      <c r="M2559" s="21"/>
    </row>
    <row r="2560" spans="13:13" x14ac:dyDescent="0.25">
      <c r="M2560" s="21"/>
    </row>
    <row r="2561" spans="13:13" x14ac:dyDescent="0.25">
      <c r="M2561" s="21"/>
    </row>
    <row r="2562" spans="13:13" x14ac:dyDescent="0.25">
      <c r="M2562" s="21"/>
    </row>
    <row r="2563" spans="13:13" x14ac:dyDescent="0.25">
      <c r="M2563" s="21"/>
    </row>
    <row r="2564" spans="13:13" x14ac:dyDescent="0.25">
      <c r="M2564" s="21"/>
    </row>
    <row r="2565" spans="13:13" x14ac:dyDescent="0.25">
      <c r="M2565" s="21"/>
    </row>
    <row r="2566" spans="13:13" x14ac:dyDescent="0.25">
      <c r="M2566" s="21"/>
    </row>
    <row r="2567" spans="13:13" x14ac:dyDescent="0.25">
      <c r="M2567" s="21"/>
    </row>
    <row r="2568" spans="13:13" x14ac:dyDescent="0.25">
      <c r="M2568" s="21"/>
    </row>
    <row r="2569" spans="13:13" x14ac:dyDescent="0.25">
      <c r="M2569" s="21"/>
    </row>
    <row r="2570" spans="13:13" x14ac:dyDescent="0.25">
      <c r="M2570" s="21"/>
    </row>
    <row r="2571" spans="13:13" x14ac:dyDescent="0.25">
      <c r="M2571" s="21"/>
    </row>
    <row r="2572" spans="13:13" x14ac:dyDescent="0.25">
      <c r="M2572" s="21"/>
    </row>
    <row r="2573" spans="13:13" x14ac:dyDescent="0.25">
      <c r="M2573" s="21"/>
    </row>
    <row r="2574" spans="13:13" x14ac:dyDescent="0.25">
      <c r="M2574" s="21"/>
    </row>
    <row r="2575" spans="13:13" x14ac:dyDescent="0.25">
      <c r="M2575" s="21"/>
    </row>
    <row r="2576" spans="13:13" x14ac:dyDescent="0.25">
      <c r="M2576" s="21"/>
    </row>
    <row r="2577" spans="13:13" x14ac:dyDescent="0.25">
      <c r="M2577" s="21"/>
    </row>
    <row r="2578" spans="13:13" x14ac:dyDescent="0.25">
      <c r="M2578" s="21"/>
    </row>
    <row r="2579" spans="13:13" x14ac:dyDescent="0.25">
      <c r="M2579" s="21"/>
    </row>
    <row r="2580" spans="13:13" x14ac:dyDescent="0.25">
      <c r="M2580" s="21"/>
    </row>
    <row r="2581" spans="13:13" x14ac:dyDescent="0.25">
      <c r="M2581" s="21"/>
    </row>
    <row r="2582" spans="13:13" x14ac:dyDescent="0.25">
      <c r="M2582" s="21"/>
    </row>
    <row r="2583" spans="13:13" x14ac:dyDescent="0.25">
      <c r="M2583" s="21"/>
    </row>
    <row r="2584" spans="13:13" x14ac:dyDescent="0.25">
      <c r="M2584" s="21"/>
    </row>
    <row r="2585" spans="13:13" x14ac:dyDescent="0.25">
      <c r="M2585" s="21"/>
    </row>
    <row r="2586" spans="13:13" x14ac:dyDescent="0.25">
      <c r="M2586" s="21"/>
    </row>
    <row r="2587" spans="13:13" x14ac:dyDescent="0.25">
      <c r="M2587" s="21"/>
    </row>
    <row r="2588" spans="13:13" x14ac:dyDescent="0.25">
      <c r="M2588" s="21"/>
    </row>
    <row r="2589" spans="13:13" x14ac:dyDescent="0.25">
      <c r="M2589" s="21"/>
    </row>
    <row r="2590" spans="13:13" x14ac:dyDescent="0.25">
      <c r="M2590" s="21"/>
    </row>
    <row r="2591" spans="13:13" x14ac:dyDescent="0.25">
      <c r="M2591" s="21"/>
    </row>
    <row r="2592" spans="13:13" x14ac:dyDescent="0.25">
      <c r="M2592" s="21"/>
    </row>
    <row r="2593" spans="13:13" x14ac:dyDescent="0.25">
      <c r="M2593" s="21"/>
    </row>
    <row r="2594" spans="13:13" x14ac:dyDescent="0.25">
      <c r="M2594" s="21"/>
    </row>
    <row r="2595" spans="13:13" x14ac:dyDescent="0.25">
      <c r="M2595" s="21"/>
    </row>
    <row r="2596" spans="13:13" x14ac:dyDescent="0.25">
      <c r="M2596" s="21"/>
    </row>
    <row r="2597" spans="13:13" x14ac:dyDescent="0.25">
      <c r="M2597" s="21"/>
    </row>
    <row r="2598" spans="13:13" x14ac:dyDescent="0.25">
      <c r="M2598" s="21"/>
    </row>
    <row r="2599" spans="13:13" x14ac:dyDescent="0.25">
      <c r="M2599" s="21"/>
    </row>
    <row r="2600" spans="13:13" x14ac:dyDescent="0.25">
      <c r="M2600" s="21"/>
    </row>
    <row r="2601" spans="13:13" x14ac:dyDescent="0.25">
      <c r="M2601" s="21"/>
    </row>
    <row r="2602" spans="13:13" x14ac:dyDescent="0.25">
      <c r="M2602" s="21"/>
    </row>
    <row r="2603" spans="13:13" x14ac:dyDescent="0.25">
      <c r="M2603" s="21"/>
    </row>
    <row r="2604" spans="13:13" x14ac:dyDescent="0.25">
      <c r="M2604" s="21"/>
    </row>
    <row r="2605" spans="13:13" x14ac:dyDescent="0.25">
      <c r="M2605" s="21"/>
    </row>
    <row r="2606" spans="13:13" x14ac:dyDescent="0.25">
      <c r="M2606" s="21"/>
    </row>
    <row r="2607" spans="13:13" x14ac:dyDescent="0.25">
      <c r="M2607" s="21"/>
    </row>
    <row r="2608" spans="13:13" x14ac:dyDescent="0.25">
      <c r="M2608" s="21"/>
    </row>
    <row r="2609" spans="13:13" x14ac:dyDescent="0.25">
      <c r="M2609" s="21"/>
    </row>
    <row r="2610" spans="13:13" x14ac:dyDescent="0.25">
      <c r="M2610" s="21"/>
    </row>
    <row r="2611" spans="13:13" x14ac:dyDescent="0.25">
      <c r="M2611" s="21"/>
    </row>
    <row r="2612" spans="13:13" x14ac:dyDescent="0.25">
      <c r="M2612" s="21"/>
    </row>
    <row r="2613" spans="13:13" x14ac:dyDescent="0.25">
      <c r="M2613" s="21"/>
    </row>
    <row r="2614" spans="13:13" x14ac:dyDescent="0.25">
      <c r="M2614" s="21"/>
    </row>
    <row r="2615" spans="13:13" x14ac:dyDescent="0.25">
      <c r="M2615" s="21"/>
    </row>
    <row r="2616" spans="13:13" x14ac:dyDescent="0.25">
      <c r="M2616" s="21"/>
    </row>
    <row r="2617" spans="13:13" x14ac:dyDescent="0.25">
      <c r="M2617" s="21"/>
    </row>
    <row r="2618" spans="13:13" x14ac:dyDescent="0.25">
      <c r="M2618" s="21"/>
    </row>
    <row r="2619" spans="13:13" x14ac:dyDescent="0.25">
      <c r="M2619" s="21"/>
    </row>
    <row r="2620" spans="13:13" x14ac:dyDescent="0.25">
      <c r="M2620" s="21"/>
    </row>
    <row r="2621" spans="13:13" x14ac:dyDescent="0.25">
      <c r="M2621" s="21"/>
    </row>
    <row r="2622" spans="13:13" x14ac:dyDescent="0.25">
      <c r="M2622" s="21"/>
    </row>
    <row r="2623" spans="13:13" x14ac:dyDescent="0.25">
      <c r="M2623" s="21"/>
    </row>
    <row r="2624" spans="13:13" x14ac:dyDescent="0.25">
      <c r="M2624" s="21"/>
    </row>
    <row r="2625" spans="13:13" x14ac:dyDescent="0.25">
      <c r="M2625" s="21"/>
    </row>
    <row r="2626" spans="13:13" x14ac:dyDescent="0.25">
      <c r="M2626" s="21"/>
    </row>
    <row r="2627" spans="13:13" x14ac:dyDescent="0.25">
      <c r="M2627" s="21"/>
    </row>
    <row r="2628" spans="13:13" x14ac:dyDescent="0.25">
      <c r="M2628" s="21"/>
    </row>
    <row r="2629" spans="13:13" x14ac:dyDescent="0.25">
      <c r="M2629" s="21"/>
    </row>
    <row r="2630" spans="13:13" x14ac:dyDescent="0.25">
      <c r="M2630" s="21"/>
    </row>
    <row r="2631" spans="13:13" x14ac:dyDescent="0.25">
      <c r="M2631" s="21"/>
    </row>
    <row r="2632" spans="13:13" x14ac:dyDescent="0.25">
      <c r="M2632" s="21"/>
    </row>
    <row r="2633" spans="13:13" x14ac:dyDescent="0.25">
      <c r="M2633" s="21"/>
    </row>
    <row r="2634" spans="13:13" x14ac:dyDescent="0.25">
      <c r="M2634" s="21"/>
    </row>
    <row r="2635" spans="13:13" x14ac:dyDescent="0.25">
      <c r="M2635" s="21"/>
    </row>
    <row r="2636" spans="13:13" x14ac:dyDescent="0.25">
      <c r="M2636" s="21"/>
    </row>
    <row r="2637" spans="13:13" x14ac:dyDescent="0.25">
      <c r="M2637" s="21"/>
    </row>
    <row r="2638" spans="13:13" x14ac:dyDescent="0.25">
      <c r="M2638" s="21"/>
    </row>
    <row r="2639" spans="13:13" x14ac:dyDescent="0.25">
      <c r="M2639" s="21"/>
    </row>
    <row r="2640" spans="13:13" x14ac:dyDescent="0.25">
      <c r="M2640" s="21"/>
    </row>
    <row r="2641" spans="13:13" x14ac:dyDescent="0.25">
      <c r="M2641" s="21"/>
    </row>
    <row r="2642" spans="13:13" x14ac:dyDescent="0.25">
      <c r="M2642" s="21"/>
    </row>
    <row r="2643" spans="13:13" x14ac:dyDescent="0.25">
      <c r="M2643" s="21"/>
    </row>
    <row r="2644" spans="13:13" x14ac:dyDescent="0.25">
      <c r="M2644" s="21"/>
    </row>
    <row r="2645" spans="13:13" x14ac:dyDescent="0.25">
      <c r="M2645" s="21"/>
    </row>
    <row r="2646" spans="13:13" x14ac:dyDescent="0.25">
      <c r="M2646" s="21"/>
    </row>
    <row r="2647" spans="13:13" x14ac:dyDescent="0.25">
      <c r="M2647" s="21"/>
    </row>
    <row r="2648" spans="13:13" x14ac:dyDescent="0.25">
      <c r="M2648" s="21"/>
    </row>
    <row r="2649" spans="13:13" x14ac:dyDescent="0.25">
      <c r="M2649" s="21"/>
    </row>
    <row r="2650" spans="13:13" x14ac:dyDescent="0.25">
      <c r="M2650" s="21"/>
    </row>
    <row r="2651" spans="13:13" x14ac:dyDescent="0.25">
      <c r="M2651" s="21"/>
    </row>
    <row r="2652" spans="13:13" x14ac:dyDescent="0.25">
      <c r="M2652" s="21"/>
    </row>
    <row r="2653" spans="13:13" x14ac:dyDescent="0.25">
      <c r="M2653" s="21"/>
    </row>
    <row r="2654" spans="13:13" x14ac:dyDescent="0.25">
      <c r="M2654" s="21"/>
    </row>
    <row r="2655" spans="13:13" x14ac:dyDescent="0.25">
      <c r="M2655" s="21"/>
    </row>
    <row r="2656" spans="13:13" x14ac:dyDescent="0.25">
      <c r="M2656" s="21"/>
    </row>
    <row r="2657" spans="13:13" x14ac:dyDescent="0.25">
      <c r="M2657" s="21"/>
    </row>
    <row r="2658" spans="13:13" x14ac:dyDescent="0.25">
      <c r="M2658" s="21"/>
    </row>
    <row r="2659" spans="13:13" x14ac:dyDescent="0.25">
      <c r="M2659" s="21"/>
    </row>
    <row r="2660" spans="13:13" x14ac:dyDescent="0.25">
      <c r="M2660" s="21"/>
    </row>
    <row r="2661" spans="13:13" x14ac:dyDescent="0.25">
      <c r="M2661" s="21"/>
    </row>
    <row r="2662" spans="13:13" x14ac:dyDescent="0.25">
      <c r="M2662" s="21"/>
    </row>
    <row r="2663" spans="13:13" x14ac:dyDescent="0.25">
      <c r="M2663" s="21"/>
    </row>
    <row r="2664" spans="13:13" x14ac:dyDescent="0.25">
      <c r="M2664" s="21"/>
    </row>
    <row r="2665" spans="13:13" x14ac:dyDescent="0.25">
      <c r="M2665" s="21"/>
    </row>
    <row r="2666" spans="13:13" x14ac:dyDescent="0.25">
      <c r="M2666" s="21"/>
    </row>
    <row r="2667" spans="13:13" x14ac:dyDescent="0.25">
      <c r="M2667" s="21"/>
    </row>
    <row r="2668" spans="13:13" x14ac:dyDescent="0.25">
      <c r="M2668" s="21"/>
    </row>
    <row r="2669" spans="13:13" x14ac:dyDescent="0.25">
      <c r="M2669" s="21"/>
    </row>
    <row r="2670" spans="13:13" x14ac:dyDescent="0.25">
      <c r="M2670" s="21"/>
    </row>
    <row r="2671" spans="13:13" x14ac:dyDescent="0.25">
      <c r="M2671" s="21"/>
    </row>
    <row r="2672" spans="13:13" x14ac:dyDescent="0.25">
      <c r="M2672" s="21"/>
    </row>
    <row r="2673" spans="13:13" x14ac:dyDescent="0.25">
      <c r="M2673" s="21"/>
    </row>
    <row r="2674" spans="13:13" x14ac:dyDescent="0.25">
      <c r="M2674" s="21"/>
    </row>
    <row r="2675" spans="13:13" x14ac:dyDescent="0.25">
      <c r="M2675" s="21"/>
    </row>
    <row r="2676" spans="13:13" x14ac:dyDescent="0.25">
      <c r="M2676" s="21"/>
    </row>
    <row r="2677" spans="13:13" x14ac:dyDescent="0.25">
      <c r="M2677" s="21"/>
    </row>
    <row r="2678" spans="13:13" x14ac:dyDescent="0.25">
      <c r="M2678" s="21"/>
    </row>
    <row r="2679" spans="13:13" x14ac:dyDescent="0.25">
      <c r="M2679" s="21"/>
    </row>
    <row r="2680" spans="13:13" x14ac:dyDescent="0.25">
      <c r="M2680" s="21"/>
    </row>
    <row r="2681" spans="13:13" x14ac:dyDescent="0.25">
      <c r="M2681" s="21"/>
    </row>
    <row r="2682" spans="13:13" x14ac:dyDescent="0.25">
      <c r="M2682" s="21"/>
    </row>
    <row r="2683" spans="13:13" x14ac:dyDescent="0.25">
      <c r="M2683" s="21"/>
    </row>
    <row r="2684" spans="13:13" x14ac:dyDescent="0.25">
      <c r="M2684" s="21"/>
    </row>
    <row r="2685" spans="13:13" x14ac:dyDescent="0.25">
      <c r="M2685" s="21"/>
    </row>
    <row r="2686" spans="13:13" x14ac:dyDescent="0.25">
      <c r="M2686" s="21"/>
    </row>
    <row r="2687" spans="13:13" x14ac:dyDescent="0.25">
      <c r="M2687" s="21"/>
    </row>
    <row r="2688" spans="13:13" x14ac:dyDescent="0.25">
      <c r="M2688" s="21"/>
    </row>
    <row r="2689" spans="13:13" x14ac:dyDescent="0.25">
      <c r="M2689" s="21"/>
    </row>
    <row r="2690" spans="13:13" x14ac:dyDescent="0.25">
      <c r="M2690" s="21"/>
    </row>
    <row r="2691" spans="13:13" x14ac:dyDescent="0.25">
      <c r="M2691" s="21"/>
    </row>
    <row r="2692" spans="13:13" x14ac:dyDescent="0.25">
      <c r="M2692" s="21"/>
    </row>
    <row r="2693" spans="13:13" x14ac:dyDescent="0.25">
      <c r="M2693" s="21"/>
    </row>
    <row r="2694" spans="13:13" x14ac:dyDescent="0.25">
      <c r="M2694" s="21"/>
    </row>
    <row r="2695" spans="13:13" x14ac:dyDescent="0.25">
      <c r="M2695" s="21"/>
    </row>
    <row r="2696" spans="13:13" x14ac:dyDescent="0.25">
      <c r="M2696" s="21"/>
    </row>
    <row r="2697" spans="13:13" x14ac:dyDescent="0.25">
      <c r="M2697" s="21"/>
    </row>
    <row r="2698" spans="13:13" x14ac:dyDescent="0.25">
      <c r="M2698" s="21"/>
    </row>
    <row r="2699" spans="13:13" x14ac:dyDescent="0.25">
      <c r="M2699" s="21"/>
    </row>
    <row r="2700" spans="13:13" x14ac:dyDescent="0.25">
      <c r="M2700" s="21"/>
    </row>
    <row r="2701" spans="13:13" x14ac:dyDescent="0.25">
      <c r="M2701" s="21"/>
    </row>
    <row r="2702" spans="13:13" x14ac:dyDescent="0.25">
      <c r="M2702" s="21"/>
    </row>
    <row r="2703" spans="13:13" x14ac:dyDescent="0.25">
      <c r="M2703" s="21"/>
    </row>
    <row r="2704" spans="13:13" x14ac:dyDescent="0.25">
      <c r="M2704" s="21"/>
    </row>
    <row r="2705" spans="13:13" x14ac:dyDescent="0.25">
      <c r="M2705" s="21"/>
    </row>
    <row r="2706" spans="13:13" x14ac:dyDescent="0.25">
      <c r="M2706" s="21"/>
    </row>
    <row r="2707" spans="13:13" x14ac:dyDescent="0.25">
      <c r="M2707" s="21"/>
    </row>
    <row r="2708" spans="13:13" x14ac:dyDescent="0.25">
      <c r="M2708" s="21"/>
    </row>
    <row r="2709" spans="13:13" x14ac:dyDescent="0.25">
      <c r="M2709" s="21"/>
    </row>
    <row r="2710" spans="13:13" x14ac:dyDescent="0.25">
      <c r="M2710" s="21"/>
    </row>
    <row r="2711" spans="13:13" x14ac:dyDescent="0.25">
      <c r="M2711" s="21"/>
    </row>
    <row r="2712" spans="13:13" x14ac:dyDescent="0.25">
      <c r="M2712" s="21"/>
    </row>
    <row r="2713" spans="13:13" x14ac:dyDescent="0.25">
      <c r="M2713" s="21"/>
    </row>
    <row r="2714" spans="13:13" x14ac:dyDescent="0.25">
      <c r="M2714" s="21"/>
    </row>
    <row r="2715" spans="13:13" x14ac:dyDescent="0.25">
      <c r="M2715" s="21"/>
    </row>
    <row r="2716" spans="13:13" x14ac:dyDescent="0.25">
      <c r="M2716" s="21"/>
    </row>
    <row r="2717" spans="13:13" x14ac:dyDescent="0.25">
      <c r="M2717" s="21"/>
    </row>
    <row r="2718" spans="13:13" x14ac:dyDescent="0.25">
      <c r="M2718" s="21"/>
    </row>
    <row r="2719" spans="13:13" x14ac:dyDescent="0.25">
      <c r="M2719" s="21"/>
    </row>
    <row r="2720" spans="13:13" x14ac:dyDescent="0.25">
      <c r="M2720" s="21"/>
    </row>
    <row r="2721" spans="13:13" x14ac:dyDescent="0.25">
      <c r="M2721" s="21"/>
    </row>
    <row r="2722" spans="13:13" x14ac:dyDescent="0.25">
      <c r="M2722" s="21"/>
    </row>
    <row r="2723" spans="13:13" x14ac:dyDescent="0.25">
      <c r="M2723" s="21"/>
    </row>
    <row r="2724" spans="13:13" x14ac:dyDescent="0.25">
      <c r="M2724" s="21"/>
    </row>
    <row r="2725" spans="13:13" x14ac:dyDescent="0.25">
      <c r="M2725" s="21"/>
    </row>
    <row r="2726" spans="13:13" x14ac:dyDescent="0.25">
      <c r="M2726" s="21"/>
    </row>
    <row r="2727" spans="13:13" x14ac:dyDescent="0.25">
      <c r="M2727" s="21"/>
    </row>
    <row r="2728" spans="13:13" x14ac:dyDescent="0.25">
      <c r="M2728" s="21"/>
    </row>
    <row r="2729" spans="13:13" x14ac:dyDescent="0.25">
      <c r="M2729" s="21"/>
    </row>
    <row r="2730" spans="13:13" x14ac:dyDescent="0.25">
      <c r="M2730" s="21"/>
    </row>
    <row r="2731" spans="13:13" x14ac:dyDescent="0.25">
      <c r="M2731" s="21"/>
    </row>
    <row r="2732" spans="13:13" x14ac:dyDescent="0.25">
      <c r="M2732" s="21"/>
    </row>
    <row r="2733" spans="13:13" x14ac:dyDescent="0.25">
      <c r="M2733" s="21"/>
    </row>
    <row r="2734" spans="13:13" x14ac:dyDescent="0.25">
      <c r="M2734" s="21"/>
    </row>
    <row r="2735" spans="13:13" x14ac:dyDescent="0.25">
      <c r="M2735" s="21"/>
    </row>
    <row r="2736" spans="13:13" x14ac:dyDescent="0.25">
      <c r="M2736" s="21"/>
    </row>
    <row r="2737" spans="13:13" x14ac:dyDescent="0.25">
      <c r="M2737" s="21"/>
    </row>
    <row r="2738" spans="13:13" x14ac:dyDescent="0.25">
      <c r="M2738" s="21"/>
    </row>
    <row r="2739" spans="13:13" x14ac:dyDescent="0.25">
      <c r="M2739" s="21"/>
    </row>
    <row r="2740" spans="13:13" x14ac:dyDescent="0.25">
      <c r="M2740" s="21"/>
    </row>
    <row r="2741" spans="13:13" x14ac:dyDescent="0.25">
      <c r="M2741" s="21"/>
    </row>
    <row r="2742" spans="13:13" x14ac:dyDescent="0.25">
      <c r="M2742" s="21"/>
    </row>
    <row r="2743" spans="13:13" x14ac:dyDescent="0.25">
      <c r="M2743" s="21"/>
    </row>
    <row r="2744" spans="13:13" x14ac:dyDescent="0.25">
      <c r="M2744" s="21"/>
    </row>
    <row r="2745" spans="13:13" x14ac:dyDescent="0.25">
      <c r="M2745" s="21"/>
    </row>
    <row r="2746" spans="13:13" x14ac:dyDescent="0.25">
      <c r="M2746" s="21"/>
    </row>
    <row r="2747" spans="13:13" x14ac:dyDescent="0.25">
      <c r="M2747" s="21"/>
    </row>
    <row r="2748" spans="13:13" x14ac:dyDescent="0.25">
      <c r="M2748" s="21"/>
    </row>
    <row r="2749" spans="13:13" x14ac:dyDescent="0.25">
      <c r="M2749" s="21"/>
    </row>
    <row r="2750" spans="13:13" x14ac:dyDescent="0.25">
      <c r="M2750" s="21"/>
    </row>
    <row r="2751" spans="13:13" x14ac:dyDescent="0.25">
      <c r="M2751" s="21"/>
    </row>
    <row r="2752" spans="13:13" x14ac:dyDescent="0.25">
      <c r="M2752" s="21"/>
    </row>
    <row r="2753" spans="13:13" x14ac:dyDescent="0.25">
      <c r="M2753" s="21"/>
    </row>
    <row r="2754" spans="13:13" x14ac:dyDescent="0.25">
      <c r="M2754" s="21"/>
    </row>
    <row r="2755" spans="13:13" x14ac:dyDescent="0.25">
      <c r="M2755" s="21"/>
    </row>
    <row r="2756" spans="13:13" x14ac:dyDescent="0.25">
      <c r="M2756" s="21"/>
    </row>
    <row r="2757" spans="13:13" x14ac:dyDescent="0.25">
      <c r="M2757" s="21"/>
    </row>
    <row r="2758" spans="13:13" x14ac:dyDescent="0.25">
      <c r="M2758" s="21"/>
    </row>
    <row r="2759" spans="13:13" x14ac:dyDescent="0.25">
      <c r="M2759" s="21"/>
    </row>
    <row r="2760" spans="13:13" x14ac:dyDescent="0.25">
      <c r="M2760" s="21"/>
    </row>
    <row r="2761" spans="13:13" x14ac:dyDescent="0.25">
      <c r="M2761" s="21"/>
    </row>
    <row r="2762" spans="13:13" x14ac:dyDescent="0.25">
      <c r="M2762" s="21"/>
    </row>
    <row r="2763" spans="13:13" x14ac:dyDescent="0.25">
      <c r="M2763" s="21"/>
    </row>
    <row r="2764" spans="13:13" x14ac:dyDescent="0.25">
      <c r="M2764" s="21"/>
    </row>
    <row r="2765" spans="13:13" x14ac:dyDescent="0.25">
      <c r="M2765" s="21"/>
    </row>
    <row r="2766" spans="13:13" x14ac:dyDescent="0.25">
      <c r="M2766" s="21"/>
    </row>
    <row r="2767" spans="13:13" x14ac:dyDescent="0.25">
      <c r="M2767" s="21"/>
    </row>
    <row r="2768" spans="13:13" x14ac:dyDescent="0.25">
      <c r="M2768" s="21"/>
    </row>
    <row r="2769" spans="13:13" x14ac:dyDescent="0.25">
      <c r="M2769" s="21"/>
    </row>
    <row r="2770" spans="13:13" x14ac:dyDescent="0.25">
      <c r="M2770" s="21"/>
    </row>
    <row r="2771" spans="13:13" x14ac:dyDescent="0.25">
      <c r="M2771" s="21"/>
    </row>
    <row r="2772" spans="13:13" x14ac:dyDescent="0.25">
      <c r="M2772" s="21"/>
    </row>
    <row r="2773" spans="13:13" x14ac:dyDescent="0.25">
      <c r="M2773" s="21"/>
    </row>
    <row r="2774" spans="13:13" x14ac:dyDescent="0.25">
      <c r="M2774" s="21"/>
    </row>
    <row r="2775" spans="13:13" x14ac:dyDescent="0.25">
      <c r="M2775" s="21"/>
    </row>
    <row r="2776" spans="13:13" x14ac:dyDescent="0.25">
      <c r="M2776" s="21"/>
    </row>
    <row r="2777" spans="13:13" x14ac:dyDescent="0.25">
      <c r="M2777" s="21"/>
    </row>
    <row r="2778" spans="13:13" x14ac:dyDescent="0.25">
      <c r="M2778" s="21"/>
    </row>
    <row r="2779" spans="13:13" x14ac:dyDescent="0.25">
      <c r="M2779" s="21"/>
    </row>
    <row r="2780" spans="13:13" x14ac:dyDescent="0.25">
      <c r="M2780" s="21"/>
    </row>
    <row r="2781" spans="13:13" x14ac:dyDescent="0.25">
      <c r="M2781" s="21"/>
    </row>
    <row r="2782" spans="13:13" x14ac:dyDescent="0.25">
      <c r="M2782" s="21"/>
    </row>
    <row r="2783" spans="13:13" x14ac:dyDescent="0.25">
      <c r="M2783" s="21"/>
    </row>
    <row r="2784" spans="13:13" x14ac:dyDescent="0.25">
      <c r="M2784" s="21"/>
    </row>
    <row r="2785" spans="13:13" x14ac:dyDescent="0.25">
      <c r="M2785" s="21"/>
    </row>
    <row r="2786" spans="13:13" x14ac:dyDescent="0.25">
      <c r="M2786" s="21"/>
    </row>
    <row r="2787" spans="13:13" x14ac:dyDescent="0.25">
      <c r="M2787" s="21"/>
    </row>
    <row r="2788" spans="13:13" x14ac:dyDescent="0.25">
      <c r="M2788" s="21"/>
    </row>
    <row r="2789" spans="13:13" x14ac:dyDescent="0.25">
      <c r="M2789" s="21"/>
    </row>
    <row r="2790" spans="13:13" x14ac:dyDescent="0.25">
      <c r="M2790" s="21"/>
    </row>
    <row r="2791" spans="13:13" x14ac:dyDescent="0.25">
      <c r="M2791" s="21"/>
    </row>
    <row r="2792" spans="13:13" x14ac:dyDescent="0.25">
      <c r="M2792" s="21"/>
    </row>
    <row r="2793" spans="13:13" x14ac:dyDescent="0.25">
      <c r="M2793" s="21"/>
    </row>
    <row r="2794" spans="13:13" x14ac:dyDescent="0.25">
      <c r="M2794" s="21"/>
    </row>
    <row r="2795" spans="13:13" x14ac:dyDescent="0.25">
      <c r="M2795" s="21"/>
    </row>
    <row r="2796" spans="13:13" x14ac:dyDescent="0.25">
      <c r="M2796" s="21"/>
    </row>
    <row r="2797" spans="13:13" x14ac:dyDescent="0.25">
      <c r="M2797" s="21"/>
    </row>
    <row r="2798" spans="13:13" x14ac:dyDescent="0.25">
      <c r="M2798" s="21"/>
    </row>
    <row r="2799" spans="13:13" x14ac:dyDescent="0.25">
      <c r="M2799" s="21"/>
    </row>
    <row r="2800" spans="13:13" x14ac:dyDescent="0.25">
      <c r="M2800" s="21"/>
    </row>
    <row r="2801" spans="13:13" x14ac:dyDescent="0.25">
      <c r="M2801" s="21"/>
    </row>
    <row r="2802" spans="13:13" x14ac:dyDescent="0.25">
      <c r="M2802" s="21"/>
    </row>
    <row r="2803" spans="13:13" x14ac:dyDescent="0.25">
      <c r="M2803" s="21"/>
    </row>
    <row r="2804" spans="13:13" x14ac:dyDescent="0.25">
      <c r="M2804" s="21"/>
    </row>
    <row r="2805" spans="13:13" x14ac:dyDescent="0.25">
      <c r="M2805" s="21"/>
    </row>
    <row r="2806" spans="13:13" x14ac:dyDescent="0.25">
      <c r="M2806" s="21"/>
    </row>
    <row r="2807" spans="13:13" x14ac:dyDescent="0.25">
      <c r="M2807" s="21"/>
    </row>
    <row r="2808" spans="13:13" x14ac:dyDescent="0.25">
      <c r="M2808" s="21"/>
    </row>
    <row r="2809" spans="13:13" x14ac:dyDescent="0.25">
      <c r="M2809" s="21"/>
    </row>
    <row r="2810" spans="13:13" x14ac:dyDescent="0.25">
      <c r="M2810" s="21"/>
    </row>
    <row r="2811" spans="13:13" x14ac:dyDescent="0.25">
      <c r="M2811" s="21"/>
    </row>
    <row r="2812" spans="13:13" x14ac:dyDescent="0.25">
      <c r="M2812" s="21"/>
    </row>
    <row r="2813" spans="13:13" x14ac:dyDescent="0.25">
      <c r="M2813" s="21"/>
    </row>
    <row r="2814" spans="13:13" x14ac:dyDescent="0.25">
      <c r="M2814" s="21"/>
    </row>
    <row r="2815" spans="13:13" x14ac:dyDescent="0.25">
      <c r="M2815" s="21"/>
    </row>
    <row r="2816" spans="13:13" x14ac:dyDescent="0.25">
      <c r="M2816" s="21"/>
    </row>
    <row r="2817" spans="13:13" x14ac:dyDescent="0.25">
      <c r="M2817" s="21"/>
    </row>
    <row r="2818" spans="13:13" x14ac:dyDescent="0.25">
      <c r="M2818" s="21"/>
    </row>
    <row r="2819" spans="13:13" x14ac:dyDescent="0.25">
      <c r="M2819" s="21"/>
    </row>
    <row r="2820" spans="13:13" x14ac:dyDescent="0.25">
      <c r="M2820" s="21"/>
    </row>
    <row r="2821" spans="13:13" x14ac:dyDescent="0.25">
      <c r="M2821" s="21"/>
    </row>
    <row r="2822" spans="13:13" x14ac:dyDescent="0.25">
      <c r="M2822" s="21"/>
    </row>
    <row r="2823" spans="13:13" x14ac:dyDescent="0.25">
      <c r="M2823" s="21"/>
    </row>
    <row r="2824" spans="13:13" x14ac:dyDescent="0.25">
      <c r="M2824" s="21"/>
    </row>
    <row r="2825" spans="13:13" x14ac:dyDescent="0.25">
      <c r="M2825" s="21"/>
    </row>
    <row r="2826" spans="13:13" x14ac:dyDescent="0.25">
      <c r="M2826" s="21"/>
    </row>
    <row r="2827" spans="13:13" x14ac:dyDescent="0.25">
      <c r="M2827" s="21"/>
    </row>
    <row r="2828" spans="13:13" x14ac:dyDescent="0.25">
      <c r="M2828" s="21"/>
    </row>
    <row r="2829" spans="13:13" x14ac:dyDescent="0.25">
      <c r="M2829" s="21"/>
    </row>
    <row r="2830" spans="13:13" x14ac:dyDescent="0.25">
      <c r="M2830" s="21"/>
    </row>
    <row r="2831" spans="13:13" x14ac:dyDescent="0.25">
      <c r="M2831" s="21"/>
    </row>
    <row r="2832" spans="13:13" x14ac:dyDescent="0.25">
      <c r="M2832" s="21"/>
    </row>
    <row r="2833" spans="13:13" x14ac:dyDescent="0.25">
      <c r="M2833" s="21"/>
    </row>
    <row r="2834" spans="13:13" x14ac:dyDescent="0.25">
      <c r="M2834" s="21"/>
    </row>
    <row r="2835" spans="13:13" x14ac:dyDescent="0.25">
      <c r="M2835" s="21"/>
    </row>
    <row r="2836" spans="13:13" x14ac:dyDescent="0.25">
      <c r="M2836" s="21"/>
    </row>
    <row r="2837" spans="13:13" x14ac:dyDescent="0.25">
      <c r="M2837" s="21"/>
    </row>
    <row r="2838" spans="13:13" x14ac:dyDescent="0.25">
      <c r="M2838" s="21"/>
    </row>
    <row r="2839" spans="13:13" x14ac:dyDescent="0.25">
      <c r="M2839" s="21"/>
    </row>
    <row r="2840" spans="13:13" x14ac:dyDescent="0.25">
      <c r="M2840" s="21"/>
    </row>
    <row r="2841" spans="13:13" x14ac:dyDescent="0.25">
      <c r="M2841" s="21"/>
    </row>
    <row r="2842" spans="13:13" x14ac:dyDescent="0.25">
      <c r="M2842" s="21"/>
    </row>
    <row r="2843" spans="13:13" x14ac:dyDescent="0.25">
      <c r="M2843" s="21"/>
    </row>
    <row r="2844" spans="13:13" x14ac:dyDescent="0.25">
      <c r="M2844" s="21"/>
    </row>
    <row r="2845" spans="13:13" x14ac:dyDescent="0.25">
      <c r="M2845" s="21"/>
    </row>
    <row r="2846" spans="13:13" x14ac:dyDescent="0.25">
      <c r="M2846" s="21"/>
    </row>
    <row r="2847" spans="13:13" x14ac:dyDescent="0.25">
      <c r="M2847" s="21"/>
    </row>
    <row r="2848" spans="13:13" x14ac:dyDescent="0.25">
      <c r="M2848" s="21"/>
    </row>
    <row r="2849" spans="13:13" x14ac:dyDescent="0.25">
      <c r="M2849" s="21"/>
    </row>
    <row r="2850" spans="13:13" x14ac:dyDescent="0.25">
      <c r="M2850" s="21"/>
    </row>
    <row r="2851" spans="13:13" x14ac:dyDescent="0.25">
      <c r="M2851" s="21"/>
    </row>
    <row r="2852" spans="13:13" x14ac:dyDescent="0.25">
      <c r="M2852" s="21"/>
    </row>
    <row r="2853" spans="13:13" x14ac:dyDescent="0.25">
      <c r="M2853" s="21"/>
    </row>
    <row r="2854" spans="13:13" x14ac:dyDescent="0.25">
      <c r="M2854" s="21"/>
    </row>
    <row r="2855" spans="13:13" x14ac:dyDescent="0.25">
      <c r="M2855" s="21"/>
    </row>
    <row r="2856" spans="13:13" x14ac:dyDescent="0.25">
      <c r="M2856" s="21"/>
    </row>
    <row r="2857" spans="13:13" x14ac:dyDescent="0.25">
      <c r="M2857" s="21"/>
    </row>
    <row r="2858" spans="13:13" x14ac:dyDescent="0.25">
      <c r="M2858" s="21"/>
    </row>
    <row r="2859" spans="13:13" x14ac:dyDescent="0.25">
      <c r="M2859" s="21"/>
    </row>
    <row r="2860" spans="13:13" x14ac:dyDescent="0.25">
      <c r="M2860" s="21"/>
    </row>
    <row r="2861" spans="13:13" x14ac:dyDescent="0.25">
      <c r="M2861" s="21"/>
    </row>
    <row r="2862" spans="13:13" x14ac:dyDescent="0.25">
      <c r="M2862" s="21"/>
    </row>
    <row r="2863" spans="13:13" x14ac:dyDescent="0.25">
      <c r="M2863" s="21"/>
    </row>
    <row r="2864" spans="13:13" x14ac:dyDescent="0.25">
      <c r="M2864" s="21"/>
    </row>
    <row r="2865" spans="13:13" x14ac:dyDescent="0.25">
      <c r="M2865" s="21"/>
    </row>
    <row r="2866" spans="13:13" x14ac:dyDescent="0.25">
      <c r="M2866" s="21"/>
    </row>
    <row r="2867" spans="13:13" x14ac:dyDescent="0.25">
      <c r="M2867" s="21"/>
    </row>
    <row r="2868" spans="13:13" x14ac:dyDescent="0.25">
      <c r="M2868" s="21"/>
    </row>
    <row r="2869" spans="13:13" x14ac:dyDescent="0.25">
      <c r="M2869" s="21"/>
    </row>
    <row r="2870" spans="13:13" x14ac:dyDescent="0.25">
      <c r="M2870" s="21"/>
    </row>
    <row r="2871" spans="13:13" x14ac:dyDescent="0.25">
      <c r="M2871" s="21"/>
    </row>
    <row r="2872" spans="13:13" x14ac:dyDescent="0.25">
      <c r="M2872" s="21"/>
    </row>
    <row r="2873" spans="13:13" x14ac:dyDescent="0.25">
      <c r="M2873" s="21"/>
    </row>
    <row r="2874" spans="13:13" x14ac:dyDescent="0.25">
      <c r="M2874" s="21"/>
    </row>
    <row r="2875" spans="13:13" x14ac:dyDescent="0.25">
      <c r="M2875" s="21"/>
    </row>
    <row r="2876" spans="13:13" x14ac:dyDescent="0.25">
      <c r="M2876" s="21"/>
    </row>
    <row r="2877" spans="13:13" x14ac:dyDescent="0.25">
      <c r="M2877" s="21"/>
    </row>
    <row r="2878" spans="13:13" x14ac:dyDescent="0.25">
      <c r="M2878" s="21"/>
    </row>
    <row r="2879" spans="13:13" x14ac:dyDescent="0.25">
      <c r="M2879" s="21"/>
    </row>
    <row r="2880" spans="13:13" x14ac:dyDescent="0.25">
      <c r="M2880" s="21"/>
    </row>
    <row r="2881" spans="13:13" x14ac:dyDescent="0.25">
      <c r="M2881" s="21"/>
    </row>
    <row r="2882" spans="13:13" x14ac:dyDescent="0.25">
      <c r="M2882" s="21"/>
    </row>
    <row r="2883" spans="13:13" x14ac:dyDescent="0.25">
      <c r="M2883" s="21"/>
    </row>
    <row r="2884" spans="13:13" x14ac:dyDescent="0.25">
      <c r="M2884" s="21"/>
    </row>
    <row r="2885" spans="13:13" x14ac:dyDescent="0.25">
      <c r="M2885" s="21"/>
    </row>
    <row r="2886" spans="13:13" x14ac:dyDescent="0.25">
      <c r="M2886" s="21"/>
    </row>
    <row r="2887" spans="13:13" x14ac:dyDescent="0.25">
      <c r="M2887" s="21"/>
    </row>
    <row r="2888" spans="13:13" x14ac:dyDescent="0.25">
      <c r="M2888" s="21"/>
    </row>
    <row r="2889" spans="13:13" x14ac:dyDescent="0.25">
      <c r="M2889" s="21"/>
    </row>
    <row r="2890" spans="13:13" x14ac:dyDescent="0.25">
      <c r="M2890" s="21"/>
    </row>
    <row r="2891" spans="13:13" x14ac:dyDescent="0.25">
      <c r="M2891" s="21"/>
    </row>
    <row r="2892" spans="13:13" x14ac:dyDescent="0.25">
      <c r="M2892" s="21"/>
    </row>
    <row r="2893" spans="13:13" x14ac:dyDescent="0.25">
      <c r="M2893" s="21"/>
    </row>
    <row r="2894" spans="13:13" x14ac:dyDescent="0.25">
      <c r="M2894" s="21"/>
    </row>
    <row r="2895" spans="13:13" x14ac:dyDescent="0.25">
      <c r="M2895" s="21"/>
    </row>
    <row r="2896" spans="13:13" x14ac:dyDescent="0.25">
      <c r="M2896" s="21"/>
    </row>
    <row r="2897" spans="13:13" x14ac:dyDescent="0.25">
      <c r="M2897" s="21"/>
    </row>
    <row r="2898" spans="13:13" x14ac:dyDescent="0.25">
      <c r="M2898" s="21"/>
    </row>
    <row r="2899" spans="13:13" x14ac:dyDescent="0.25">
      <c r="M2899" s="21"/>
    </row>
    <row r="2900" spans="13:13" x14ac:dyDescent="0.25">
      <c r="M2900" s="21"/>
    </row>
    <row r="2901" spans="13:13" x14ac:dyDescent="0.25">
      <c r="M2901" s="21"/>
    </row>
    <row r="2902" spans="13:13" x14ac:dyDescent="0.25">
      <c r="M2902" s="21"/>
    </row>
    <row r="2903" spans="13:13" x14ac:dyDescent="0.25">
      <c r="M2903" s="21"/>
    </row>
    <row r="2904" spans="13:13" x14ac:dyDescent="0.25">
      <c r="M2904" s="21"/>
    </row>
    <row r="2905" spans="13:13" x14ac:dyDescent="0.25">
      <c r="M2905" s="21"/>
    </row>
    <row r="2906" spans="13:13" x14ac:dyDescent="0.25">
      <c r="M2906" s="21"/>
    </row>
    <row r="2907" spans="13:13" x14ac:dyDescent="0.25">
      <c r="M2907" s="21"/>
    </row>
    <row r="2908" spans="13:13" x14ac:dyDescent="0.25">
      <c r="M2908" s="21"/>
    </row>
    <row r="2909" spans="13:13" x14ac:dyDescent="0.25">
      <c r="M2909" s="21"/>
    </row>
    <row r="2910" spans="13:13" x14ac:dyDescent="0.25">
      <c r="M2910" s="21"/>
    </row>
    <row r="2911" spans="13:13" x14ac:dyDescent="0.25">
      <c r="M2911" s="21"/>
    </row>
    <row r="2912" spans="13:13" x14ac:dyDescent="0.25">
      <c r="M2912" s="21"/>
    </row>
    <row r="2913" spans="13:13" x14ac:dyDescent="0.25">
      <c r="M2913" s="21"/>
    </row>
    <row r="2914" spans="13:13" x14ac:dyDescent="0.25">
      <c r="M2914" s="21"/>
    </row>
    <row r="2915" spans="13:13" x14ac:dyDescent="0.25">
      <c r="M2915" s="21"/>
    </row>
    <row r="2916" spans="13:13" x14ac:dyDescent="0.25">
      <c r="M2916" s="21"/>
    </row>
    <row r="2917" spans="13:13" x14ac:dyDescent="0.25">
      <c r="M2917" s="21"/>
    </row>
    <row r="2918" spans="13:13" x14ac:dyDescent="0.25">
      <c r="M2918" s="21"/>
    </row>
    <row r="2919" spans="13:13" x14ac:dyDescent="0.25">
      <c r="M2919" s="21"/>
    </row>
    <row r="2920" spans="13:13" x14ac:dyDescent="0.25">
      <c r="M2920" s="21"/>
    </row>
    <row r="2921" spans="13:13" x14ac:dyDescent="0.25">
      <c r="M2921" s="21"/>
    </row>
    <row r="2922" spans="13:13" x14ac:dyDescent="0.25">
      <c r="M2922" s="21"/>
    </row>
    <row r="2923" spans="13:13" x14ac:dyDescent="0.25">
      <c r="M2923" s="21"/>
    </row>
    <row r="2924" spans="13:13" x14ac:dyDescent="0.25">
      <c r="M2924" s="21"/>
    </row>
    <row r="2925" spans="13:13" x14ac:dyDescent="0.25">
      <c r="M2925" s="21"/>
    </row>
    <row r="2926" spans="13:13" x14ac:dyDescent="0.25">
      <c r="M2926" s="21"/>
    </row>
    <row r="2927" spans="13:13" x14ac:dyDescent="0.25">
      <c r="M2927" s="21"/>
    </row>
    <row r="2928" spans="13:13" x14ac:dyDescent="0.25">
      <c r="M2928" s="21"/>
    </row>
    <row r="2929" spans="13:13" x14ac:dyDescent="0.25">
      <c r="M2929" s="21"/>
    </row>
    <row r="2930" spans="13:13" x14ac:dyDescent="0.25">
      <c r="M2930" s="21"/>
    </row>
    <row r="2931" spans="13:13" x14ac:dyDescent="0.25">
      <c r="M2931" s="21"/>
    </row>
    <row r="2932" spans="13:13" x14ac:dyDescent="0.25">
      <c r="M2932" s="21"/>
    </row>
    <row r="2933" spans="13:13" x14ac:dyDescent="0.25">
      <c r="M2933" s="21"/>
    </row>
    <row r="2934" spans="13:13" x14ac:dyDescent="0.25">
      <c r="M2934" s="21"/>
    </row>
    <row r="2935" spans="13:13" x14ac:dyDescent="0.25">
      <c r="M2935" s="21"/>
    </row>
    <row r="2936" spans="13:13" x14ac:dyDescent="0.25">
      <c r="M2936" s="21"/>
    </row>
    <row r="2937" spans="13:13" x14ac:dyDescent="0.25">
      <c r="M2937" s="21"/>
    </row>
    <row r="2938" spans="13:13" x14ac:dyDescent="0.25">
      <c r="M2938" s="21"/>
    </row>
    <row r="2939" spans="13:13" x14ac:dyDescent="0.25">
      <c r="M2939" s="21"/>
    </row>
    <row r="2940" spans="13:13" x14ac:dyDescent="0.25">
      <c r="M2940" s="21"/>
    </row>
    <row r="2941" spans="13:13" x14ac:dyDescent="0.25">
      <c r="M2941" s="21"/>
    </row>
    <row r="2942" spans="13:13" x14ac:dyDescent="0.25">
      <c r="M2942" s="21"/>
    </row>
    <row r="2943" spans="13:13" x14ac:dyDescent="0.25">
      <c r="M2943" s="21"/>
    </row>
    <row r="2944" spans="13:13" x14ac:dyDescent="0.25">
      <c r="M2944" s="21"/>
    </row>
    <row r="2945" spans="13:13" x14ac:dyDescent="0.25">
      <c r="M2945" s="21"/>
    </row>
    <row r="2946" spans="13:13" x14ac:dyDescent="0.25">
      <c r="M2946" s="21"/>
    </row>
    <row r="2947" spans="13:13" x14ac:dyDescent="0.25">
      <c r="M2947" s="21"/>
    </row>
    <row r="2948" spans="13:13" x14ac:dyDescent="0.25">
      <c r="M2948" s="21"/>
    </row>
    <row r="2949" spans="13:13" x14ac:dyDescent="0.25">
      <c r="M2949" s="21"/>
    </row>
    <row r="2950" spans="13:13" x14ac:dyDescent="0.25">
      <c r="M2950" s="21"/>
    </row>
    <row r="2951" spans="13:13" x14ac:dyDescent="0.25">
      <c r="M2951" s="21"/>
    </row>
    <row r="2952" spans="13:13" x14ac:dyDescent="0.25">
      <c r="M2952" s="21"/>
    </row>
    <row r="2953" spans="13:13" x14ac:dyDescent="0.25">
      <c r="M2953" s="21"/>
    </row>
    <row r="2954" spans="13:13" x14ac:dyDescent="0.25">
      <c r="M2954" s="21"/>
    </row>
    <row r="2955" spans="13:13" x14ac:dyDescent="0.25">
      <c r="M2955" s="21"/>
    </row>
    <row r="2956" spans="13:13" x14ac:dyDescent="0.25">
      <c r="M2956" s="21"/>
    </row>
    <row r="2957" spans="13:13" x14ac:dyDescent="0.25">
      <c r="M2957" s="21"/>
    </row>
    <row r="2958" spans="13:13" x14ac:dyDescent="0.25">
      <c r="M2958" s="21"/>
    </row>
    <row r="2959" spans="13:13" x14ac:dyDescent="0.25">
      <c r="M2959" s="21"/>
    </row>
    <row r="2960" spans="13:13" x14ac:dyDescent="0.25">
      <c r="M2960" s="21"/>
    </row>
    <row r="2961" spans="13:13" x14ac:dyDescent="0.25">
      <c r="M2961" s="21"/>
    </row>
    <row r="2962" spans="13:13" x14ac:dyDescent="0.25">
      <c r="M2962" s="21"/>
    </row>
    <row r="2963" spans="13:13" x14ac:dyDescent="0.25">
      <c r="M2963" s="21"/>
    </row>
    <row r="2964" spans="13:13" x14ac:dyDescent="0.25">
      <c r="M2964" s="21"/>
    </row>
    <row r="2965" spans="13:13" x14ac:dyDescent="0.25">
      <c r="M2965" s="21"/>
    </row>
    <row r="2966" spans="13:13" x14ac:dyDescent="0.25">
      <c r="M2966" s="21"/>
    </row>
    <row r="2967" spans="13:13" x14ac:dyDescent="0.25">
      <c r="M2967" s="21"/>
    </row>
    <row r="2968" spans="13:13" x14ac:dyDescent="0.25">
      <c r="M2968" s="21"/>
    </row>
    <row r="2969" spans="13:13" x14ac:dyDescent="0.25">
      <c r="M2969" s="21"/>
    </row>
    <row r="2970" spans="13:13" x14ac:dyDescent="0.25">
      <c r="M2970" s="21"/>
    </row>
    <row r="2971" spans="13:13" x14ac:dyDescent="0.25">
      <c r="M2971" s="21"/>
    </row>
    <row r="2972" spans="13:13" x14ac:dyDescent="0.25">
      <c r="M2972" s="21"/>
    </row>
    <row r="2973" spans="13:13" x14ac:dyDescent="0.25">
      <c r="M2973" s="21"/>
    </row>
    <row r="2974" spans="13:13" x14ac:dyDescent="0.25">
      <c r="M2974" s="21"/>
    </row>
    <row r="2975" spans="13:13" x14ac:dyDescent="0.25">
      <c r="M2975" s="21"/>
    </row>
    <row r="2976" spans="13:13" x14ac:dyDescent="0.25">
      <c r="M2976" s="21"/>
    </row>
    <row r="2977" spans="13:13" x14ac:dyDescent="0.25">
      <c r="M2977" s="21"/>
    </row>
    <row r="2978" spans="13:13" x14ac:dyDescent="0.25">
      <c r="M2978" s="21"/>
    </row>
    <row r="2979" spans="13:13" x14ac:dyDescent="0.25">
      <c r="M2979" s="21"/>
    </row>
    <row r="2980" spans="13:13" x14ac:dyDescent="0.25">
      <c r="M2980" s="21"/>
    </row>
    <row r="2981" spans="13:13" x14ac:dyDescent="0.25">
      <c r="M2981" s="21"/>
    </row>
    <row r="2982" spans="13:13" x14ac:dyDescent="0.25">
      <c r="M2982" s="21"/>
    </row>
    <row r="2983" spans="13:13" x14ac:dyDescent="0.25">
      <c r="M2983" s="21"/>
    </row>
    <row r="2984" spans="13:13" x14ac:dyDescent="0.25">
      <c r="M2984" s="21"/>
    </row>
    <row r="2985" spans="13:13" x14ac:dyDescent="0.25">
      <c r="M2985" s="21"/>
    </row>
    <row r="2986" spans="13:13" x14ac:dyDescent="0.25">
      <c r="M2986" s="21"/>
    </row>
    <row r="2987" spans="13:13" x14ac:dyDescent="0.25">
      <c r="M2987" s="21"/>
    </row>
    <row r="2988" spans="13:13" x14ac:dyDescent="0.25">
      <c r="M2988" s="21"/>
    </row>
    <row r="2989" spans="13:13" x14ac:dyDescent="0.25">
      <c r="M2989" s="21"/>
    </row>
    <row r="2990" spans="13:13" x14ac:dyDescent="0.25">
      <c r="M2990" s="21"/>
    </row>
    <row r="2991" spans="13:13" x14ac:dyDescent="0.25">
      <c r="M2991" s="21"/>
    </row>
    <row r="2992" spans="13:13" x14ac:dyDescent="0.25">
      <c r="M2992" s="21"/>
    </row>
    <row r="2993" spans="13:13" x14ac:dyDescent="0.25">
      <c r="M2993" s="21"/>
    </row>
    <row r="2994" spans="13:13" x14ac:dyDescent="0.25">
      <c r="M2994" s="21"/>
    </row>
    <row r="2995" spans="13:13" x14ac:dyDescent="0.25">
      <c r="M2995" s="21"/>
    </row>
    <row r="2996" spans="13:13" x14ac:dyDescent="0.25">
      <c r="M2996" s="21"/>
    </row>
    <row r="2997" spans="13:13" x14ac:dyDescent="0.25">
      <c r="M2997" s="21"/>
    </row>
    <row r="2998" spans="13:13" x14ac:dyDescent="0.25">
      <c r="M2998" s="21"/>
    </row>
    <row r="2999" spans="13:13" x14ac:dyDescent="0.25">
      <c r="M2999" s="21"/>
    </row>
    <row r="3000" spans="13:13" x14ac:dyDescent="0.25">
      <c r="M3000" s="21"/>
    </row>
    <row r="3001" spans="13:13" x14ac:dyDescent="0.25">
      <c r="M3001" s="21"/>
    </row>
    <row r="3002" spans="13:13" x14ac:dyDescent="0.25">
      <c r="M3002" s="21"/>
    </row>
    <row r="3003" spans="13:13" x14ac:dyDescent="0.25">
      <c r="M3003" s="21"/>
    </row>
    <row r="3004" spans="13:13" x14ac:dyDescent="0.25">
      <c r="M3004" s="21"/>
    </row>
    <row r="3005" spans="13:13" x14ac:dyDescent="0.25">
      <c r="M3005" s="21"/>
    </row>
    <row r="3006" spans="13:13" x14ac:dyDescent="0.25">
      <c r="M3006" s="21"/>
    </row>
    <row r="3007" spans="13:13" x14ac:dyDescent="0.25">
      <c r="M3007" s="21"/>
    </row>
    <row r="3008" spans="13:13" x14ac:dyDescent="0.25">
      <c r="M3008" s="21"/>
    </row>
    <row r="3009" spans="13:13" x14ac:dyDescent="0.25">
      <c r="M3009" s="21"/>
    </row>
    <row r="3010" spans="13:13" x14ac:dyDescent="0.25">
      <c r="M3010" s="21"/>
    </row>
    <row r="3011" spans="13:13" x14ac:dyDescent="0.25">
      <c r="M3011" s="21"/>
    </row>
    <row r="3012" spans="13:13" x14ac:dyDescent="0.25">
      <c r="M3012" s="21"/>
    </row>
    <row r="3013" spans="13:13" x14ac:dyDescent="0.25">
      <c r="M3013" s="21"/>
    </row>
    <row r="3014" spans="13:13" x14ac:dyDescent="0.25">
      <c r="M3014" s="21"/>
    </row>
    <row r="3015" spans="13:13" x14ac:dyDescent="0.25">
      <c r="M3015" s="21"/>
    </row>
    <row r="3016" spans="13:13" x14ac:dyDescent="0.25">
      <c r="M3016" s="21"/>
    </row>
    <row r="3017" spans="13:13" x14ac:dyDescent="0.25">
      <c r="M3017" s="21"/>
    </row>
    <row r="3018" spans="13:13" x14ac:dyDescent="0.25">
      <c r="M3018" s="21"/>
    </row>
    <row r="3019" spans="13:13" x14ac:dyDescent="0.25">
      <c r="M3019" s="21"/>
    </row>
    <row r="3020" spans="13:13" x14ac:dyDescent="0.25">
      <c r="M3020" s="21"/>
    </row>
    <row r="3021" spans="13:13" x14ac:dyDescent="0.25">
      <c r="M3021" s="21"/>
    </row>
    <row r="3022" spans="13:13" x14ac:dyDescent="0.25">
      <c r="M3022" s="21"/>
    </row>
    <row r="3023" spans="13:13" x14ac:dyDescent="0.25">
      <c r="M3023" s="21"/>
    </row>
    <row r="3024" spans="13:13" x14ac:dyDescent="0.25">
      <c r="M3024" s="21"/>
    </row>
    <row r="3025" spans="13:13" x14ac:dyDescent="0.25">
      <c r="M3025" s="21"/>
    </row>
    <row r="3026" spans="13:13" x14ac:dyDescent="0.25">
      <c r="M3026" s="21"/>
    </row>
    <row r="3027" spans="13:13" x14ac:dyDescent="0.25">
      <c r="M3027" s="21"/>
    </row>
    <row r="3028" spans="13:13" x14ac:dyDescent="0.25">
      <c r="M3028" s="21"/>
    </row>
    <row r="3029" spans="13:13" x14ac:dyDescent="0.25">
      <c r="M3029" s="21"/>
    </row>
    <row r="3030" spans="13:13" x14ac:dyDescent="0.25">
      <c r="M3030" s="21"/>
    </row>
    <row r="3031" spans="13:13" x14ac:dyDescent="0.25">
      <c r="M3031" s="21"/>
    </row>
    <row r="3032" spans="13:13" x14ac:dyDescent="0.25">
      <c r="M3032" s="21"/>
    </row>
    <row r="3033" spans="13:13" x14ac:dyDescent="0.25">
      <c r="M3033" s="21"/>
    </row>
    <row r="3034" spans="13:13" x14ac:dyDescent="0.25">
      <c r="M3034" s="21"/>
    </row>
    <row r="3035" spans="13:13" x14ac:dyDescent="0.25">
      <c r="M3035" s="21"/>
    </row>
    <row r="3036" spans="13:13" x14ac:dyDescent="0.25">
      <c r="M3036" s="21"/>
    </row>
    <row r="3037" spans="13:13" x14ac:dyDescent="0.25">
      <c r="M3037" s="21"/>
    </row>
    <row r="3038" spans="13:13" x14ac:dyDescent="0.25">
      <c r="M3038" s="21"/>
    </row>
    <row r="3039" spans="13:13" x14ac:dyDescent="0.25">
      <c r="M3039" s="21"/>
    </row>
    <row r="3040" spans="13:13" x14ac:dyDescent="0.25">
      <c r="M3040" s="21"/>
    </row>
    <row r="3041" spans="13:13" x14ac:dyDescent="0.25">
      <c r="M3041" s="21"/>
    </row>
    <row r="3042" spans="13:13" x14ac:dyDescent="0.25">
      <c r="M3042" s="21"/>
    </row>
    <row r="3043" spans="13:13" x14ac:dyDescent="0.25">
      <c r="M3043" s="21"/>
    </row>
    <row r="3044" spans="13:13" x14ac:dyDescent="0.25">
      <c r="M3044" s="21"/>
    </row>
    <row r="3045" spans="13:13" x14ac:dyDescent="0.25">
      <c r="M3045" s="21"/>
    </row>
    <row r="3046" spans="13:13" x14ac:dyDescent="0.25">
      <c r="M3046" s="21"/>
    </row>
    <row r="3047" spans="13:13" x14ac:dyDescent="0.25">
      <c r="M3047" s="21"/>
    </row>
    <row r="3048" spans="13:13" x14ac:dyDescent="0.25">
      <c r="M3048" s="21"/>
    </row>
    <row r="3049" spans="13:13" x14ac:dyDescent="0.25">
      <c r="M3049" s="21"/>
    </row>
    <row r="3050" spans="13:13" x14ac:dyDescent="0.25">
      <c r="M3050" s="21"/>
    </row>
    <row r="3051" spans="13:13" x14ac:dyDescent="0.25">
      <c r="M3051" s="21"/>
    </row>
    <row r="3052" spans="13:13" x14ac:dyDescent="0.25">
      <c r="M3052" s="21"/>
    </row>
    <row r="3053" spans="13:13" x14ac:dyDescent="0.25">
      <c r="M3053" s="21"/>
    </row>
    <row r="3054" spans="13:13" x14ac:dyDescent="0.25">
      <c r="M3054" s="21"/>
    </row>
    <row r="3055" spans="13:13" x14ac:dyDescent="0.25">
      <c r="M3055" s="21"/>
    </row>
    <row r="3056" spans="13:13" x14ac:dyDescent="0.25">
      <c r="M3056" s="21"/>
    </row>
    <row r="3057" spans="13:13" x14ac:dyDescent="0.25">
      <c r="M3057" s="21"/>
    </row>
    <row r="3058" spans="13:13" x14ac:dyDescent="0.25">
      <c r="M3058" s="21"/>
    </row>
    <row r="3059" spans="13:13" x14ac:dyDescent="0.25">
      <c r="M3059" s="21"/>
    </row>
    <row r="3060" spans="13:13" x14ac:dyDescent="0.25">
      <c r="M3060" s="21"/>
    </row>
    <row r="3061" spans="13:13" x14ac:dyDescent="0.25">
      <c r="M3061" s="21"/>
    </row>
    <row r="3062" spans="13:13" x14ac:dyDescent="0.25">
      <c r="M3062" s="21"/>
    </row>
    <row r="3063" spans="13:13" x14ac:dyDescent="0.25">
      <c r="M3063" s="21"/>
    </row>
    <row r="3064" spans="13:13" x14ac:dyDescent="0.25">
      <c r="M3064" s="21"/>
    </row>
    <row r="3065" spans="13:13" x14ac:dyDescent="0.25">
      <c r="M3065" s="21"/>
    </row>
    <row r="3066" spans="13:13" x14ac:dyDescent="0.25">
      <c r="M3066" s="21"/>
    </row>
    <row r="3067" spans="13:13" x14ac:dyDescent="0.25">
      <c r="M3067" s="21"/>
    </row>
    <row r="3068" spans="13:13" x14ac:dyDescent="0.25">
      <c r="M3068" s="21"/>
    </row>
    <row r="3069" spans="13:13" x14ac:dyDescent="0.25">
      <c r="M3069" s="21"/>
    </row>
    <row r="3070" spans="13:13" x14ac:dyDescent="0.25">
      <c r="M3070" s="21"/>
    </row>
    <row r="3071" spans="13:13" x14ac:dyDescent="0.25">
      <c r="M3071" s="21"/>
    </row>
    <row r="3072" spans="13:13" x14ac:dyDescent="0.25">
      <c r="M3072" s="21"/>
    </row>
    <row r="3073" spans="13:13" x14ac:dyDescent="0.25">
      <c r="M3073" s="21"/>
    </row>
    <row r="3074" spans="13:13" x14ac:dyDescent="0.25">
      <c r="M3074" s="21"/>
    </row>
    <row r="3075" spans="13:13" x14ac:dyDescent="0.25">
      <c r="M3075" s="21"/>
    </row>
    <row r="3076" spans="13:13" x14ac:dyDescent="0.25">
      <c r="M3076" s="21"/>
    </row>
    <row r="3077" spans="13:13" x14ac:dyDescent="0.25">
      <c r="M3077" s="21"/>
    </row>
    <row r="3078" spans="13:13" x14ac:dyDescent="0.25">
      <c r="M3078" s="21"/>
    </row>
    <row r="3079" spans="13:13" x14ac:dyDescent="0.25">
      <c r="M3079" s="21"/>
    </row>
    <row r="3080" spans="13:13" x14ac:dyDescent="0.25">
      <c r="M3080" s="21"/>
    </row>
    <row r="3081" spans="13:13" x14ac:dyDescent="0.25">
      <c r="M3081" s="21"/>
    </row>
    <row r="3082" spans="13:13" x14ac:dyDescent="0.25">
      <c r="M3082" s="21"/>
    </row>
    <row r="3083" spans="13:13" x14ac:dyDescent="0.25">
      <c r="M3083" s="21"/>
    </row>
    <row r="3084" spans="13:13" x14ac:dyDescent="0.25">
      <c r="M3084" s="21"/>
    </row>
    <row r="3085" spans="13:13" x14ac:dyDescent="0.25">
      <c r="M3085" s="21"/>
    </row>
    <row r="3086" spans="13:13" x14ac:dyDescent="0.25">
      <c r="M3086" s="21"/>
    </row>
    <row r="3087" spans="13:13" x14ac:dyDescent="0.25">
      <c r="M3087" s="21"/>
    </row>
    <row r="3088" spans="13:13" x14ac:dyDescent="0.25">
      <c r="M3088" s="21"/>
    </row>
    <row r="3089" spans="13:13" x14ac:dyDescent="0.25">
      <c r="M3089" s="21"/>
    </row>
    <row r="3090" spans="13:13" x14ac:dyDescent="0.25">
      <c r="M3090" s="21"/>
    </row>
    <row r="3091" spans="13:13" x14ac:dyDescent="0.25">
      <c r="M3091" s="21"/>
    </row>
    <row r="3092" spans="13:13" x14ac:dyDescent="0.25">
      <c r="M3092" s="21"/>
    </row>
    <row r="3093" spans="13:13" x14ac:dyDescent="0.25">
      <c r="M3093" s="21"/>
    </row>
    <row r="3094" spans="13:13" x14ac:dyDescent="0.25">
      <c r="M3094" s="21"/>
    </row>
    <row r="3095" spans="13:13" x14ac:dyDescent="0.25">
      <c r="M3095" s="21"/>
    </row>
    <row r="3096" spans="13:13" x14ac:dyDescent="0.25">
      <c r="M3096" s="21"/>
    </row>
    <row r="3097" spans="13:13" x14ac:dyDescent="0.25">
      <c r="M3097" s="21"/>
    </row>
    <row r="3098" spans="13:13" x14ac:dyDescent="0.25">
      <c r="M3098" s="21"/>
    </row>
    <row r="3099" spans="13:13" x14ac:dyDescent="0.25">
      <c r="M3099" s="21"/>
    </row>
    <row r="3100" spans="13:13" x14ac:dyDescent="0.25">
      <c r="M3100" s="21"/>
    </row>
    <row r="3101" spans="13:13" x14ac:dyDescent="0.25">
      <c r="M3101" s="21"/>
    </row>
    <row r="3102" spans="13:13" x14ac:dyDescent="0.25">
      <c r="M3102" s="21"/>
    </row>
    <row r="3103" spans="13:13" x14ac:dyDescent="0.25">
      <c r="M3103" s="21"/>
    </row>
    <row r="3104" spans="13:13" x14ac:dyDescent="0.25">
      <c r="M3104" s="21"/>
    </row>
    <row r="3105" spans="13:13" x14ac:dyDescent="0.25">
      <c r="M3105" s="21"/>
    </row>
    <row r="3106" spans="13:13" x14ac:dyDescent="0.25">
      <c r="M3106" s="21"/>
    </row>
    <row r="3107" spans="13:13" x14ac:dyDescent="0.25">
      <c r="M3107" s="21"/>
    </row>
    <row r="3108" spans="13:13" x14ac:dyDescent="0.25">
      <c r="M3108" s="21"/>
    </row>
    <row r="3109" spans="13:13" x14ac:dyDescent="0.25">
      <c r="M3109" s="21"/>
    </row>
    <row r="3110" spans="13:13" x14ac:dyDescent="0.25">
      <c r="M3110" s="21"/>
    </row>
    <row r="3111" spans="13:13" x14ac:dyDescent="0.25">
      <c r="M3111" s="21"/>
    </row>
    <row r="3112" spans="13:13" x14ac:dyDescent="0.25">
      <c r="M3112" s="21"/>
    </row>
    <row r="3113" spans="13:13" x14ac:dyDescent="0.25">
      <c r="M3113" s="21"/>
    </row>
    <row r="3114" spans="13:13" x14ac:dyDescent="0.25">
      <c r="M3114" s="21"/>
    </row>
    <row r="3115" spans="13:13" x14ac:dyDescent="0.25">
      <c r="M3115" s="21"/>
    </row>
    <row r="3116" spans="13:13" x14ac:dyDescent="0.25">
      <c r="M3116" s="21"/>
    </row>
    <row r="3117" spans="13:13" x14ac:dyDescent="0.25">
      <c r="M3117" s="21"/>
    </row>
    <row r="3118" spans="13:13" x14ac:dyDescent="0.25">
      <c r="M3118" s="21"/>
    </row>
    <row r="3119" spans="13:13" x14ac:dyDescent="0.25">
      <c r="M3119" s="21"/>
    </row>
    <row r="3120" spans="13:13" x14ac:dyDescent="0.25">
      <c r="M3120" s="21"/>
    </row>
    <row r="3121" spans="13:13" x14ac:dyDescent="0.25">
      <c r="M3121" s="21"/>
    </row>
    <row r="3122" spans="13:13" x14ac:dyDescent="0.25">
      <c r="M3122" s="21"/>
    </row>
    <row r="3123" spans="13:13" x14ac:dyDescent="0.25">
      <c r="M3123" s="21"/>
    </row>
    <row r="3124" spans="13:13" x14ac:dyDescent="0.25">
      <c r="M3124" s="21"/>
    </row>
    <row r="3125" spans="13:13" x14ac:dyDescent="0.25">
      <c r="M3125" s="21"/>
    </row>
    <row r="3126" spans="13:13" x14ac:dyDescent="0.25">
      <c r="M3126" s="21"/>
    </row>
    <row r="3127" spans="13:13" x14ac:dyDescent="0.25">
      <c r="M3127" s="21"/>
    </row>
    <row r="3128" spans="13:13" x14ac:dyDescent="0.25">
      <c r="M3128" s="21"/>
    </row>
    <row r="3129" spans="13:13" x14ac:dyDescent="0.25">
      <c r="M3129" s="21"/>
    </row>
    <row r="3130" spans="13:13" x14ac:dyDescent="0.25">
      <c r="M3130" s="21"/>
    </row>
    <row r="3131" spans="13:13" x14ac:dyDescent="0.25">
      <c r="M3131" s="21"/>
    </row>
    <row r="3132" spans="13:13" x14ac:dyDescent="0.25">
      <c r="M3132" s="21"/>
    </row>
    <row r="3133" spans="13:13" x14ac:dyDescent="0.25">
      <c r="M3133" s="21"/>
    </row>
    <row r="3134" spans="13:13" x14ac:dyDescent="0.25">
      <c r="M3134" s="21"/>
    </row>
    <row r="3135" spans="13:13" x14ac:dyDescent="0.25">
      <c r="M3135" s="21"/>
    </row>
    <row r="3136" spans="13:13" x14ac:dyDescent="0.25">
      <c r="M3136" s="21"/>
    </row>
    <row r="3137" spans="13:13" x14ac:dyDescent="0.25">
      <c r="M3137" s="21"/>
    </row>
    <row r="3138" spans="13:13" x14ac:dyDescent="0.25">
      <c r="M3138" s="21"/>
    </row>
    <row r="3139" spans="13:13" x14ac:dyDescent="0.25">
      <c r="M3139" s="21"/>
    </row>
    <row r="3140" spans="13:13" x14ac:dyDescent="0.25">
      <c r="M3140" s="21"/>
    </row>
    <row r="3141" spans="13:13" x14ac:dyDescent="0.25">
      <c r="M3141" s="21"/>
    </row>
    <row r="3142" spans="13:13" x14ac:dyDescent="0.25">
      <c r="M3142" s="21"/>
    </row>
    <row r="3143" spans="13:13" x14ac:dyDescent="0.25">
      <c r="M3143" s="21"/>
    </row>
    <row r="3144" spans="13:13" x14ac:dyDescent="0.25">
      <c r="M3144" s="21"/>
    </row>
    <row r="3145" spans="13:13" x14ac:dyDescent="0.25">
      <c r="M3145" s="21"/>
    </row>
    <row r="3146" spans="13:13" x14ac:dyDescent="0.25">
      <c r="M3146" s="21"/>
    </row>
    <row r="3147" spans="13:13" x14ac:dyDescent="0.25">
      <c r="M3147" s="21"/>
    </row>
    <row r="3148" spans="13:13" x14ac:dyDescent="0.25">
      <c r="M3148" s="21"/>
    </row>
    <row r="3149" spans="13:13" x14ac:dyDescent="0.25">
      <c r="M3149" s="21"/>
    </row>
    <row r="3150" spans="13:13" x14ac:dyDescent="0.25">
      <c r="M3150" s="21"/>
    </row>
    <row r="3151" spans="13:13" x14ac:dyDescent="0.25">
      <c r="M3151" s="21"/>
    </row>
    <row r="3152" spans="13:13" x14ac:dyDescent="0.25">
      <c r="M3152" s="21"/>
    </row>
    <row r="3153" spans="13:13" x14ac:dyDescent="0.25">
      <c r="M3153" s="21"/>
    </row>
    <row r="3154" spans="13:13" x14ac:dyDescent="0.25">
      <c r="M3154" s="21"/>
    </row>
    <row r="3155" spans="13:13" x14ac:dyDescent="0.25">
      <c r="M3155" s="21"/>
    </row>
    <row r="3156" spans="13:13" x14ac:dyDescent="0.25">
      <c r="M3156" s="21"/>
    </row>
    <row r="3157" spans="13:13" x14ac:dyDescent="0.25">
      <c r="M3157" s="21"/>
    </row>
    <row r="3158" spans="13:13" x14ac:dyDescent="0.25">
      <c r="M3158" s="21"/>
    </row>
    <row r="3159" spans="13:13" x14ac:dyDescent="0.25">
      <c r="M3159" s="21"/>
    </row>
    <row r="3160" spans="13:13" x14ac:dyDescent="0.25">
      <c r="M3160" s="21"/>
    </row>
    <row r="3161" spans="13:13" x14ac:dyDescent="0.25">
      <c r="M3161" s="21"/>
    </row>
    <row r="3162" spans="13:13" x14ac:dyDescent="0.25">
      <c r="M3162" s="21"/>
    </row>
    <row r="3163" spans="13:13" x14ac:dyDescent="0.25">
      <c r="M3163" s="21"/>
    </row>
    <row r="3164" spans="13:13" x14ac:dyDescent="0.25">
      <c r="M3164" s="21"/>
    </row>
    <row r="3165" spans="13:13" x14ac:dyDescent="0.25">
      <c r="M3165" s="21"/>
    </row>
    <row r="3166" spans="13:13" x14ac:dyDescent="0.25">
      <c r="M3166" s="21"/>
    </row>
    <row r="3167" spans="13:13" x14ac:dyDescent="0.25">
      <c r="M3167" s="21"/>
    </row>
    <row r="3168" spans="13:13" x14ac:dyDescent="0.25">
      <c r="M3168" s="21"/>
    </row>
    <row r="3169" spans="13:13" x14ac:dyDescent="0.25">
      <c r="M3169" s="21"/>
    </row>
    <row r="3170" spans="13:13" x14ac:dyDescent="0.25">
      <c r="M3170" s="21"/>
    </row>
    <row r="3171" spans="13:13" x14ac:dyDescent="0.25">
      <c r="M3171" s="21"/>
    </row>
    <row r="3172" spans="13:13" x14ac:dyDescent="0.25">
      <c r="M3172" s="21"/>
    </row>
    <row r="3173" spans="13:13" x14ac:dyDescent="0.25">
      <c r="M3173" s="21"/>
    </row>
    <row r="3174" spans="13:13" x14ac:dyDescent="0.25">
      <c r="M3174" s="21"/>
    </row>
    <row r="3175" spans="13:13" x14ac:dyDescent="0.25">
      <c r="M3175" s="21"/>
    </row>
    <row r="3176" spans="13:13" x14ac:dyDescent="0.25">
      <c r="M3176" s="21"/>
    </row>
    <row r="3177" spans="13:13" x14ac:dyDescent="0.25">
      <c r="M3177" s="21"/>
    </row>
    <row r="3178" spans="13:13" x14ac:dyDescent="0.25">
      <c r="M3178" s="21"/>
    </row>
    <row r="3179" spans="13:13" x14ac:dyDescent="0.25">
      <c r="M3179" s="21"/>
    </row>
    <row r="3180" spans="13:13" x14ac:dyDescent="0.25">
      <c r="M3180" s="21"/>
    </row>
    <row r="3181" spans="13:13" x14ac:dyDescent="0.25">
      <c r="M3181" s="21"/>
    </row>
    <row r="3182" spans="13:13" x14ac:dyDescent="0.25">
      <c r="M3182" s="21"/>
    </row>
    <row r="3183" spans="13:13" x14ac:dyDescent="0.25">
      <c r="M3183" s="21"/>
    </row>
    <row r="3184" spans="13:13" x14ac:dyDescent="0.25">
      <c r="M3184" s="21"/>
    </row>
    <row r="3185" spans="13:13" x14ac:dyDescent="0.25">
      <c r="M3185" s="21"/>
    </row>
    <row r="3186" spans="13:13" x14ac:dyDescent="0.25">
      <c r="M3186" s="21"/>
    </row>
    <row r="3187" spans="13:13" x14ac:dyDescent="0.25">
      <c r="M3187" s="21"/>
    </row>
    <row r="3188" spans="13:13" x14ac:dyDescent="0.25">
      <c r="M3188" s="21"/>
    </row>
    <row r="3189" spans="13:13" x14ac:dyDescent="0.25">
      <c r="M3189" s="21"/>
    </row>
    <row r="3190" spans="13:13" x14ac:dyDescent="0.25">
      <c r="M3190" s="21"/>
    </row>
    <row r="3191" spans="13:13" x14ac:dyDescent="0.25">
      <c r="M3191" s="21"/>
    </row>
    <row r="3192" spans="13:13" x14ac:dyDescent="0.25">
      <c r="M3192" s="21"/>
    </row>
    <row r="3193" spans="13:13" x14ac:dyDescent="0.25">
      <c r="M3193" s="21"/>
    </row>
    <row r="3194" spans="13:13" x14ac:dyDescent="0.25">
      <c r="M3194" s="21"/>
    </row>
    <row r="3195" spans="13:13" x14ac:dyDescent="0.25">
      <c r="M3195" s="21"/>
    </row>
    <row r="3196" spans="13:13" x14ac:dyDescent="0.25">
      <c r="M3196" s="21"/>
    </row>
    <row r="3197" spans="13:13" x14ac:dyDescent="0.25">
      <c r="M3197" s="21"/>
    </row>
    <row r="3198" spans="13:13" x14ac:dyDescent="0.25">
      <c r="M3198" s="21"/>
    </row>
    <row r="3199" spans="13:13" x14ac:dyDescent="0.25">
      <c r="M3199" s="21"/>
    </row>
    <row r="3200" spans="13:13" x14ac:dyDescent="0.25">
      <c r="M3200" s="21"/>
    </row>
    <row r="3201" spans="13:13" x14ac:dyDescent="0.25">
      <c r="M3201" s="21"/>
    </row>
    <row r="3202" spans="13:13" x14ac:dyDescent="0.25">
      <c r="M3202" s="21"/>
    </row>
    <row r="3203" spans="13:13" x14ac:dyDescent="0.25">
      <c r="M3203" s="21"/>
    </row>
    <row r="3204" spans="13:13" x14ac:dyDescent="0.25">
      <c r="M3204" s="21"/>
    </row>
    <row r="3205" spans="13:13" x14ac:dyDescent="0.25">
      <c r="M3205" s="21"/>
    </row>
    <row r="3206" spans="13:13" x14ac:dyDescent="0.25">
      <c r="M3206" s="21"/>
    </row>
    <row r="3207" spans="13:13" x14ac:dyDescent="0.25">
      <c r="M3207" s="21"/>
    </row>
    <row r="3208" spans="13:13" x14ac:dyDescent="0.25">
      <c r="M3208" s="21"/>
    </row>
    <row r="3209" spans="13:13" x14ac:dyDescent="0.25">
      <c r="M3209" s="21"/>
    </row>
    <row r="3210" spans="13:13" x14ac:dyDescent="0.25">
      <c r="M3210" s="21"/>
    </row>
    <row r="3211" spans="13:13" x14ac:dyDescent="0.25">
      <c r="M3211" s="21"/>
    </row>
    <row r="3212" spans="13:13" x14ac:dyDescent="0.25">
      <c r="M3212" s="21"/>
    </row>
    <row r="3213" spans="13:13" x14ac:dyDescent="0.25">
      <c r="M3213" s="21"/>
    </row>
    <row r="3214" spans="13:13" x14ac:dyDescent="0.25">
      <c r="M3214" s="21"/>
    </row>
    <row r="3215" spans="13:13" x14ac:dyDescent="0.25">
      <c r="M3215" s="21"/>
    </row>
    <row r="3216" spans="13:13" x14ac:dyDescent="0.25">
      <c r="M3216" s="21"/>
    </row>
    <row r="3217" spans="13:13" x14ac:dyDescent="0.25">
      <c r="M3217" s="21"/>
    </row>
    <row r="3218" spans="13:13" x14ac:dyDescent="0.25">
      <c r="M3218" s="21"/>
    </row>
    <row r="3219" spans="13:13" x14ac:dyDescent="0.25">
      <c r="M3219" s="21"/>
    </row>
    <row r="3220" spans="13:13" x14ac:dyDescent="0.25">
      <c r="M3220" s="21"/>
    </row>
    <row r="3221" spans="13:13" x14ac:dyDescent="0.25">
      <c r="M3221" s="21"/>
    </row>
    <row r="3222" spans="13:13" x14ac:dyDescent="0.25">
      <c r="M3222" s="21"/>
    </row>
    <row r="3223" spans="13:13" x14ac:dyDescent="0.25">
      <c r="M3223" s="21"/>
    </row>
    <row r="3224" spans="13:13" x14ac:dyDescent="0.25">
      <c r="M3224" s="21"/>
    </row>
    <row r="3225" spans="13:13" x14ac:dyDescent="0.25">
      <c r="M3225" s="21"/>
    </row>
    <row r="3226" spans="13:13" x14ac:dyDescent="0.25">
      <c r="M3226" s="21"/>
    </row>
    <row r="3227" spans="13:13" x14ac:dyDescent="0.25">
      <c r="M3227" s="21"/>
    </row>
    <row r="3228" spans="13:13" x14ac:dyDescent="0.25">
      <c r="M3228" s="21"/>
    </row>
    <row r="3229" spans="13:13" x14ac:dyDescent="0.25">
      <c r="M3229" s="21"/>
    </row>
    <row r="3230" spans="13:13" x14ac:dyDescent="0.25">
      <c r="M3230" s="21"/>
    </row>
    <row r="3231" spans="13:13" x14ac:dyDescent="0.25">
      <c r="M3231" s="21"/>
    </row>
    <row r="3232" spans="13:13" x14ac:dyDescent="0.25">
      <c r="M3232" s="21"/>
    </row>
    <row r="3233" spans="13:13" x14ac:dyDescent="0.25">
      <c r="M3233" s="21"/>
    </row>
    <row r="3234" spans="13:13" x14ac:dyDescent="0.25">
      <c r="M3234" s="21"/>
    </row>
    <row r="3235" spans="13:13" x14ac:dyDescent="0.25">
      <c r="M3235" s="21"/>
    </row>
    <row r="3236" spans="13:13" x14ac:dyDescent="0.25">
      <c r="M3236" s="21"/>
    </row>
    <row r="3237" spans="13:13" x14ac:dyDescent="0.25">
      <c r="M3237" s="21"/>
    </row>
    <row r="3238" spans="13:13" x14ac:dyDescent="0.25">
      <c r="M3238" s="21"/>
    </row>
    <row r="3239" spans="13:13" x14ac:dyDescent="0.25">
      <c r="M3239" s="21"/>
    </row>
    <row r="3240" spans="13:13" x14ac:dyDescent="0.25">
      <c r="M3240" s="21"/>
    </row>
    <row r="3241" spans="13:13" x14ac:dyDescent="0.25">
      <c r="M3241" s="21"/>
    </row>
    <row r="3242" spans="13:13" x14ac:dyDescent="0.25">
      <c r="M3242" s="21"/>
    </row>
    <row r="3243" spans="13:13" x14ac:dyDescent="0.25">
      <c r="M3243" s="21"/>
    </row>
    <row r="3244" spans="13:13" x14ac:dyDescent="0.25">
      <c r="M3244" s="21"/>
    </row>
    <row r="3245" spans="13:13" x14ac:dyDescent="0.25">
      <c r="M3245" s="21"/>
    </row>
    <row r="3246" spans="13:13" x14ac:dyDescent="0.25">
      <c r="M3246" s="21"/>
    </row>
    <row r="3247" spans="13:13" x14ac:dyDescent="0.25">
      <c r="M3247" s="21"/>
    </row>
    <row r="3248" spans="13:13" x14ac:dyDescent="0.25">
      <c r="M3248" s="21"/>
    </row>
    <row r="3249" spans="13:13" x14ac:dyDescent="0.25">
      <c r="M3249" s="21"/>
    </row>
    <row r="3250" spans="13:13" x14ac:dyDescent="0.25">
      <c r="M3250" s="21"/>
    </row>
    <row r="3251" spans="13:13" x14ac:dyDescent="0.25">
      <c r="M3251" s="21"/>
    </row>
    <row r="3252" spans="13:13" x14ac:dyDescent="0.25">
      <c r="M3252" s="21"/>
    </row>
    <row r="3253" spans="13:13" x14ac:dyDescent="0.25">
      <c r="M3253" s="21"/>
    </row>
    <row r="3254" spans="13:13" x14ac:dyDescent="0.25">
      <c r="M3254" s="21"/>
    </row>
    <row r="3255" spans="13:13" x14ac:dyDescent="0.25">
      <c r="M3255" s="21"/>
    </row>
    <row r="3256" spans="13:13" x14ac:dyDescent="0.25">
      <c r="M3256" s="21"/>
    </row>
    <row r="3257" spans="13:13" x14ac:dyDescent="0.25">
      <c r="M3257" s="21"/>
    </row>
    <row r="3258" spans="13:13" x14ac:dyDescent="0.25">
      <c r="M3258" s="21"/>
    </row>
    <row r="3259" spans="13:13" x14ac:dyDescent="0.25">
      <c r="M3259" s="21"/>
    </row>
    <row r="3260" spans="13:13" x14ac:dyDescent="0.25">
      <c r="M3260" s="21"/>
    </row>
    <row r="3261" spans="13:13" x14ac:dyDescent="0.25">
      <c r="M3261" s="21"/>
    </row>
    <row r="3262" spans="13:13" x14ac:dyDescent="0.25">
      <c r="M3262" s="21"/>
    </row>
    <row r="3263" spans="13:13" x14ac:dyDescent="0.25">
      <c r="M3263" s="21"/>
    </row>
    <row r="3264" spans="13:13" x14ac:dyDescent="0.25">
      <c r="M3264" s="21"/>
    </row>
    <row r="3265" spans="13:13" x14ac:dyDescent="0.25">
      <c r="M3265" s="21"/>
    </row>
    <row r="3266" spans="13:13" x14ac:dyDescent="0.25">
      <c r="M3266" s="21"/>
    </row>
    <row r="3267" spans="13:13" x14ac:dyDescent="0.25">
      <c r="M3267" s="21"/>
    </row>
    <row r="3268" spans="13:13" x14ac:dyDescent="0.25">
      <c r="M3268" s="21"/>
    </row>
    <row r="3269" spans="13:13" x14ac:dyDescent="0.25">
      <c r="M3269" s="21"/>
    </row>
    <row r="3270" spans="13:13" x14ac:dyDescent="0.25">
      <c r="M3270" s="21"/>
    </row>
    <row r="3271" spans="13:13" x14ac:dyDescent="0.25">
      <c r="M3271" s="21"/>
    </row>
    <row r="3272" spans="13:13" x14ac:dyDescent="0.25">
      <c r="M3272" s="21"/>
    </row>
    <row r="3273" spans="13:13" x14ac:dyDescent="0.25">
      <c r="M3273" s="21"/>
    </row>
    <row r="3274" spans="13:13" x14ac:dyDescent="0.25">
      <c r="M3274" s="21"/>
    </row>
    <row r="3275" spans="13:13" x14ac:dyDescent="0.25">
      <c r="M3275" s="21"/>
    </row>
    <row r="3276" spans="13:13" x14ac:dyDescent="0.25">
      <c r="M3276" s="21"/>
    </row>
    <row r="3277" spans="13:13" x14ac:dyDescent="0.25">
      <c r="M3277" s="21"/>
    </row>
    <row r="3278" spans="13:13" x14ac:dyDescent="0.25">
      <c r="M3278" s="21"/>
    </row>
    <row r="3279" spans="13:13" x14ac:dyDescent="0.25">
      <c r="M3279" s="21"/>
    </row>
    <row r="3280" spans="13:13" x14ac:dyDescent="0.25">
      <c r="M3280" s="21"/>
    </row>
    <row r="3281" spans="13:13" x14ac:dyDescent="0.25">
      <c r="M3281" s="21"/>
    </row>
    <row r="3282" spans="13:13" x14ac:dyDescent="0.25">
      <c r="M3282" s="21"/>
    </row>
    <row r="3283" spans="13:13" x14ac:dyDescent="0.25">
      <c r="M3283" s="21"/>
    </row>
    <row r="3284" spans="13:13" x14ac:dyDescent="0.25">
      <c r="M3284" s="21"/>
    </row>
    <row r="3285" spans="13:13" x14ac:dyDescent="0.25">
      <c r="M3285" s="21"/>
    </row>
    <row r="3286" spans="13:13" x14ac:dyDescent="0.25">
      <c r="M3286" s="21"/>
    </row>
    <row r="3287" spans="13:13" x14ac:dyDescent="0.25">
      <c r="M3287" s="21"/>
    </row>
    <row r="3288" spans="13:13" x14ac:dyDescent="0.25">
      <c r="M3288" s="21"/>
    </row>
    <row r="3289" spans="13:13" x14ac:dyDescent="0.25">
      <c r="M3289" s="21"/>
    </row>
    <row r="3290" spans="13:13" x14ac:dyDescent="0.25">
      <c r="M3290" s="21"/>
    </row>
    <row r="3291" spans="13:13" x14ac:dyDescent="0.25">
      <c r="M3291" s="21"/>
    </row>
    <row r="3292" spans="13:13" x14ac:dyDescent="0.25">
      <c r="M3292" s="21"/>
    </row>
    <row r="3293" spans="13:13" x14ac:dyDescent="0.25">
      <c r="M3293" s="21"/>
    </row>
    <row r="3294" spans="13:13" x14ac:dyDescent="0.25">
      <c r="M3294" s="21"/>
    </row>
    <row r="3295" spans="13:13" x14ac:dyDescent="0.25">
      <c r="M3295" s="21"/>
    </row>
    <row r="3296" spans="13:13" x14ac:dyDescent="0.25">
      <c r="M3296" s="21"/>
    </row>
    <row r="3297" spans="13:13" x14ac:dyDescent="0.25">
      <c r="M3297" s="21"/>
    </row>
    <row r="3298" spans="13:13" x14ac:dyDescent="0.25">
      <c r="M3298" s="21"/>
    </row>
    <row r="3299" spans="13:13" x14ac:dyDescent="0.25">
      <c r="M3299" s="21"/>
    </row>
    <row r="3300" spans="13:13" x14ac:dyDescent="0.25">
      <c r="M3300" s="21"/>
    </row>
    <row r="3301" spans="13:13" x14ac:dyDescent="0.25">
      <c r="M3301" s="21"/>
    </row>
    <row r="3302" spans="13:13" x14ac:dyDescent="0.25">
      <c r="M3302" s="21"/>
    </row>
    <row r="3303" spans="13:13" x14ac:dyDescent="0.25">
      <c r="M3303" s="21"/>
    </row>
    <row r="3304" spans="13:13" x14ac:dyDescent="0.25">
      <c r="M3304" s="21"/>
    </row>
    <row r="3305" spans="13:13" x14ac:dyDescent="0.25">
      <c r="M3305" s="21"/>
    </row>
    <row r="3306" spans="13:13" x14ac:dyDescent="0.25">
      <c r="M3306" s="21"/>
    </row>
    <row r="3307" spans="13:13" x14ac:dyDescent="0.25">
      <c r="M3307" s="21"/>
    </row>
    <row r="3308" spans="13:13" x14ac:dyDescent="0.25">
      <c r="M3308" s="21"/>
    </row>
    <row r="3309" spans="13:13" x14ac:dyDescent="0.25">
      <c r="M3309" s="21"/>
    </row>
    <row r="3310" spans="13:13" x14ac:dyDescent="0.25">
      <c r="M3310" s="21"/>
    </row>
    <row r="3311" spans="13:13" x14ac:dyDescent="0.25">
      <c r="M3311" s="21"/>
    </row>
    <row r="3312" spans="13:13" x14ac:dyDescent="0.25">
      <c r="M3312" s="21"/>
    </row>
    <row r="3313" spans="13:13" x14ac:dyDescent="0.25">
      <c r="M3313" s="21"/>
    </row>
    <row r="3314" spans="13:13" x14ac:dyDescent="0.25">
      <c r="M3314" s="21"/>
    </row>
    <row r="3315" spans="13:13" x14ac:dyDescent="0.25">
      <c r="M3315" s="21"/>
    </row>
    <row r="3316" spans="13:13" x14ac:dyDescent="0.25">
      <c r="M3316" s="21"/>
    </row>
    <row r="3317" spans="13:13" x14ac:dyDescent="0.25">
      <c r="M3317" s="21"/>
    </row>
    <row r="3318" spans="13:13" x14ac:dyDescent="0.25">
      <c r="M3318" s="21"/>
    </row>
    <row r="3319" spans="13:13" x14ac:dyDescent="0.25">
      <c r="M3319" s="21"/>
    </row>
    <row r="3320" spans="13:13" x14ac:dyDescent="0.25">
      <c r="M3320" s="21"/>
    </row>
    <row r="3321" spans="13:13" x14ac:dyDescent="0.25">
      <c r="M3321" s="21"/>
    </row>
    <row r="3322" spans="13:13" x14ac:dyDescent="0.25">
      <c r="M3322" s="21"/>
    </row>
    <row r="3323" spans="13:13" x14ac:dyDescent="0.25">
      <c r="M3323" s="21"/>
    </row>
    <row r="3324" spans="13:13" x14ac:dyDescent="0.25">
      <c r="M3324" s="21"/>
    </row>
    <row r="3325" spans="13:13" x14ac:dyDescent="0.25">
      <c r="M3325" s="21"/>
    </row>
    <row r="3326" spans="13:13" x14ac:dyDescent="0.25">
      <c r="M3326" s="21"/>
    </row>
    <row r="3327" spans="13:13" x14ac:dyDescent="0.25">
      <c r="M3327" s="21"/>
    </row>
    <row r="3328" spans="13:13" x14ac:dyDescent="0.25">
      <c r="M3328" s="21"/>
    </row>
    <row r="3329" spans="13:13" x14ac:dyDescent="0.25">
      <c r="M3329" s="21"/>
    </row>
    <row r="3330" spans="13:13" x14ac:dyDescent="0.25">
      <c r="M3330" s="21"/>
    </row>
    <row r="3331" spans="13:13" x14ac:dyDescent="0.25">
      <c r="M3331" s="21"/>
    </row>
    <row r="3332" spans="13:13" x14ac:dyDescent="0.25">
      <c r="M3332" s="21"/>
    </row>
    <row r="3333" spans="13:13" x14ac:dyDescent="0.25">
      <c r="M3333" s="21"/>
    </row>
    <row r="3334" spans="13:13" x14ac:dyDescent="0.25">
      <c r="M3334" s="21"/>
    </row>
    <row r="3335" spans="13:13" x14ac:dyDescent="0.25">
      <c r="M3335" s="21"/>
    </row>
    <row r="3336" spans="13:13" x14ac:dyDescent="0.25">
      <c r="M3336" s="21"/>
    </row>
    <row r="3337" spans="13:13" x14ac:dyDescent="0.25">
      <c r="M3337" s="21"/>
    </row>
    <row r="3338" spans="13:13" x14ac:dyDescent="0.25">
      <c r="M3338" s="21"/>
    </row>
    <row r="3339" spans="13:13" x14ac:dyDescent="0.25">
      <c r="M3339" s="21"/>
    </row>
    <row r="3340" spans="13:13" x14ac:dyDescent="0.25">
      <c r="M3340" s="21"/>
    </row>
    <row r="3341" spans="13:13" x14ac:dyDescent="0.25">
      <c r="M3341" s="21"/>
    </row>
    <row r="3342" spans="13:13" x14ac:dyDescent="0.25">
      <c r="M3342" s="21"/>
    </row>
    <row r="3343" spans="13:13" x14ac:dyDescent="0.25">
      <c r="M3343" s="21"/>
    </row>
    <row r="3344" spans="13:13" x14ac:dyDescent="0.25">
      <c r="M3344" s="21"/>
    </row>
    <row r="3345" spans="13:13" x14ac:dyDescent="0.25">
      <c r="M3345" s="21"/>
    </row>
    <row r="3346" spans="13:13" x14ac:dyDescent="0.25">
      <c r="M3346" s="21"/>
    </row>
    <row r="3347" spans="13:13" x14ac:dyDescent="0.25">
      <c r="M3347" s="21"/>
    </row>
    <row r="3348" spans="13:13" x14ac:dyDescent="0.25">
      <c r="M3348" s="21"/>
    </row>
    <row r="3349" spans="13:13" x14ac:dyDescent="0.25">
      <c r="M3349" s="21"/>
    </row>
    <row r="3350" spans="13:13" x14ac:dyDescent="0.25">
      <c r="M3350" s="21"/>
    </row>
    <row r="3351" spans="13:13" x14ac:dyDescent="0.25">
      <c r="M3351" s="21"/>
    </row>
    <row r="3352" spans="13:13" x14ac:dyDescent="0.25">
      <c r="M3352" s="21"/>
    </row>
    <row r="3353" spans="13:13" x14ac:dyDescent="0.25">
      <c r="M3353" s="21"/>
    </row>
    <row r="3354" spans="13:13" x14ac:dyDescent="0.25">
      <c r="M3354" s="21"/>
    </row>
    <row r="3355" spans="13:13" x14ac:dyDescent="0.25">
      <c r="M3355" s="21"/>
    </row>
    <row r="3356" spans="13:13" x14ac:dyDescent="0.25">
      <c r="M3356" s="21"/>
    </row>
    <row r="3357" spans="13:13" x14ac:dyDescent="0.25">
      <c r="M3357" s="21"/>
    </row>
    <row r="3358" spans="13:13" x14ac:dyDescent="0.25">
      <c r="M3358" s="21"/>
    </row>
    <row r="3359" spans="13:13" x14ac:dyDescent="0.25">
      <c r="M3359" s="21"/>
    </row>
    <row r="3360" spans="13:13" x14ac:dyDescent="0.25">
      <c r="M3360" s="21"/>
    </row>
    <row r="3361" spans="13:13" x14ac:dyDescent="0.25">
      <c r="M3361" s="21"/>
    </row>
    <row r="3362" spans="13:13" x14ac:dyDescent="0.25">
      <c r="M3362" s="21"/>
    </row>
    <row r="3363" spans="13:13" x14ac:dyDescent="0.25">
      <c r="M3363" s="21"/>
    </row>
    <row r="3364" spans="13:13" x14ac:dyDescent="0.25">
      <c r="M3364" s="21"/>
    </row>
    <row r="3365" spans="13:13" x14ac:dyDescent="0.25">
      <c r="M3365" s="21"/>
    </row>
    <row r="3366" spans="13:13" x14ac:dyDescent="0.25">
      <c r="M3366" s="21"/>
    </row>
    <row r="3367" spans="13:13" x14ac:dyDescent="0.25">
      <c r="M3367" s="21"/>
    </row>
    <row r="3368" spans="13:13" x14ac:dyDescent="0.25">
      <c r="M3368" s="21"/>
    </row>
    <row r="3369" spans="13:13" x14ac:dyDescent="0.25">
      <c r="M3369" s="21"/>
    </row>
    <row r="3370" spans="13:13" x14ac:dyDescent="0.25">
      <c r="M3370" s="21"/>
    </row>
    <row r="3371" spans="13:13" x14ac:dyDescent="0.25">
      <c r="M3371" s="21"/>
    </row>
    <row r="3372" spans="13:13" x14ac:dyDescent="0.25">
      <c r="M3372" s="21"/>
    </row>
    <row r="3373" spans="13:13" x14ac:dyDescent="0.25">
      <c r="M3373" s="21"/>
    </row>
    <row r="3374" spans="13:13" x14ac:dyDescent="0.25">
      <c r="M3374" s="21"/>
    </row>
    <row r="3375" spans="13:13" x14ac:dyDescent="0.25">
      <c r="M3375" s="21"/>
    </row>
    <row r="3376" spans="13:13" x14ac:dyDescent="0.25">
      <c r="M3376" s="21"/>
    </row>
    <row r="3377" spans="13:13" x14ac:dyDescent="0.25">
      <c r="M3377" s="21"/>
    </row>
    <row r="3378" spans="13:13" x14ac:dyDescent="0.25">
      <c r="M3378" s="21"/>
    </row>
    <row r="3379" spans="13:13" x14ac:dyDescent="0.25">
      <c r="M3379" s="21"/>
    </row>
    <row r="3380" spans="13:13" x14ac:dyDescent="0.25">
      <c r="M3380" s="21"/>
    </row>
    <row r="3381" spans="13:13" x14ac:dyDescent="0.25">
      <c r="M3381" s="21"/>
    </row>
    <row r="3382" spans="13:13" x14ac:dyDescent="0.25">
      <c r="M3382" s="21"/>
    </row>
    <row r="3383" spans="13:13" x14ac:dyDescent="0.25">
      <c r="M3383" s="21"/>
    </row>
    <row r="3384" spans="13:13" x14ac:dyDescent="0.25">
      <c r="M3384" s="21"/>
    </row>
    <row r="3385" spans="13:13" x14ac:dyDescent="0.25">
      <c r="M3385" s="21"/>
    </row>
    <row r="3386" spans="13:13" x14ac:dyDescent="0.25">
      <c r="M3386" s="21"/>
    </row>
    <row r="3387" spans="13:13" x14ac:dyDescent="0.25">
      <c r="M3387" s="21"/>
    </row>
    <row r="3388" spans="13:13" x14ac:dyDescent="0.25">
      <c r="M3388" s="21"/>
    </row>
    <row r="3389" spans="13:13" x14ac:dyDescent="0.25">
      <c r="M3389" s="21"/>
    </row>
    <row r="3390" spans="13:13" x14ac:dyDescent="0.25">
      <c r="M3390" s="21"/>
    </row>
    <row r="3391" spans="13:13" x14ac:dyDescent="0.25">
      <c r="M3391" s="21"/>
    </row>
    <row r="3392" spans="13:13" x14ac:dyDescent="0.25">
      <c r="M3392" s="21"/>
    </row>
    <row r="3393" spans="13:13" x14ac:dyDescent="0.25">
      <c r="M3393" s="21"/>
    </row>
    <row r="3394" spans="13:13" x14ac:dyDescent="0.25">
      <c r="M3394" s="21"/>
    </row>
    <row r="3395" spans="13:13" x14ac:dyDescent="0.25">
      <c r="M3395" s="21"/>
    </row>
    <row r="3396" spans="13:13" x14ac:dyDescent="0.25">
      <c r="M3396" s="21"/>
    </row>
    <row r="3397" spans="13:13" x14ac:dyDescent="0.25">
      <c r="M3397" s="21"/>
    </row>
    <row r="3398" spans="13:13" x14ac:dyDescent="0.25">
      <c r="M3398" s="21"/>
    </row>
    <row r="3399" spans="13:13" x14ac:dyDescent="0.25">
      <c r="M3399" s="21"/>
    </row>
    <row r="3400" spans="13:13" x14ac:dyDescent="0.25">
      <c r="M3400" s="21"/>
    </row>
    <row r="3401" spans="13:13" x14ac:dyDescent="0.25">
      <c r="M3401" s="21"/>
    </row>
    <row r="3402" spans="13:13" x14ac:dyDescent="0.25">
      <c r="M3402" s="21"/>
    </row>
    <row r="3403" spans="13:13" x14ac:dyDescent="0.25">
      <c r="M3403" s="21"/>
    </row>
    <row r="3404" spans="13:13" x14ac:dyDescent="0.25">
      <c r="M3404" s="21"/>
    </row>
    <row r="3405" spans="13:13" x14ac:dyDescent="0.25">
      <c r="M3405" s="21"/>
    </row>
    <row r="3406" spans="13:13" x14ac:dyDescent="0.25">
      <c r="M3406" s="21"/>
    </row>
    <row r="3407" spans="13:13" x14ac:dyDescent="0.25">
      <c r="M3407" s="21"/>
    </row>
    <row r="3408" spans="13:13" x14ac:dyDescent="0.25">
      <c r="M3408" s="21"/>
    </row>
    <row r="3409" spans="13:13" x14ac:dyDescent="0.25">
      <c r="M3409" s="21"/>
    </row>
    <row r="3410" spans="13:13" x14ac:dyDescent="0.25">
      <c r="M3410" s="21"/>
    </row>
    <row r="3411" spans="13:13" x14ac:dyDescent="0.25">
      <c r="M3411" s="21"/>
    </row>
    <row r="3412" spans="13:13" x14ac:dyDescent="0.25">
      <c r="M3412" s="21"/>
    </row>
    <row r="3413" spans="13:13" x14ac:dyDescent="0.25">
      <c r="M3413" s="21"/>
    </row>
    <row r="3414" spans="13:13" x14ac:dyDescent="0.25">
      <c r="M3414" s="21"/>
    </row>
    <row r="3415" spans="13:13" x14ac:dyDescent="0.25">
      <c r="M3415" s="21"/>
    </row>
    <row r="3416" spans="13:13" x14ac:dyDescent="0.25">
      <c r="M3416" s="21"/>
    </row>
    <row r="3417" spans="13:13" x14ac:dyDescent="0.25">
      <c r="M3417" s="21"/>
    </row>
    <row r="3418" spans="13:13" x14ac:dyDescent="0.25">
      <c r="M3418" s="21"/>
    </row>
    <row r="3419" spans="13:13" x14ac:dyDescent="0.25">
      <c r="M3419" s="21"/>
    </row>
    <row r="3420" spans="13:13" x14ac:dyDescent="0.25">
      <c r="M3420" s="21"/>
    </row>
    <row r="3421" spans="13:13" x14ac:dyDescent="0.25">
      <c r="M3421" s="21"/>
    </row>
    <row r="3422" spans="13:13" x14ac:dyDescent="0.25">
      <c r="M3422" s="21"/>
    </row>
    <row r="3423" spans="13:13" x14ac:dyDescent="0.25">
      <c r="M3423" s="21"/>
    </row>
    <row r="3424" spans="13:13" x14ac:dyDescent="0.25">
      <c r="M3424" s="21"/>
    </row>
    <row r="3425" spans="13:13" x14ac:dyDescent="0.25">
      <c r="M3425" s="21"/>
    </row>
    <row r="3426" spans="13:13" x14ac:dyDescent="0.25">
      <c r="M3426" s="21"/>
    </row>
    <row r="3427" spans="13:13" x14ac:dyDescent="0.25">
      <c r="M3427" s="21"/>
    </row>
    <row r="3428" spans="13:13" x14ac:dyDescent="0.25">
      <c r="M3428" s="21"/>
    </row>
    <row r="3429" spans="13:13" x14ac:dyDescent="0.25">
      <c r="M3429" s="21"/>
    </row>
    <row r="3430" spans="13:13" x14ac:dyDescent="0.25">
      <c r="M3430" s="21"/>
    </row>
    <row r="3431" spans="13:13" x14ac:dyDescent="0.25">
      <c r="M3431" s="21"/>
    </row>
    <row r="3432" spans="13:13" x14ac:dyDescent="0.25">
      <c r="M3432" s="21"/>
    </row>
    <row r="3433" spans="13:13" x14ac:dyDescent="0.25">
      <c r="M3433" s="21"/>
    </row>
    <row r="3434" spans="13:13" x14ac:dyDescent="0.25">
      <c r="M3434" s="21"/>
    </row>
    <row r="3435" spans="13:13" x14ac:dyDescent="0.25">
      <c r="M3435" s="21"/>
    </row>
    <row r="3436" spans="13:13" x14ac:dyDescent="0.25">
      <c r="M3436" s="21"/>
    </row>
    <row r="3437" spans="13:13" x14ac:dyDescent="0.25">
      <c r="M3437" s="21"/>
    </row>
    <row r="3438" spans="13:13" x14ac:dyDescent="0.25">
      <c r="M3438" s="21"/>
    </row>
    <row r="3439" spans="13:13" x14ac:dyDescent="0.25">
      <c r="M3439" s="21"/>
    </row>
    <row r="3440" spans="13:13" x14ac:dyDescent="0.25">
      <c r="M3440" s="21"/>
    </row>
    <row r="3441" spans="13:13" x14ac:dyDescent="0.25">
      <c r="M3441" s="21"/>
    </row>
    <row r="3442" spans="13:13" x14ac:dyDescent="0.25">
      <c r="M3442" s="21"/>
    </row>
    <row r="3443" spans="13:13" x14ac:dyDescent="0.25">
      <c r="M3443" s="21"/>
    </row>
    <row r="3444" spans="13:13" x14ac:dyDescent="0.25">
      <c r="M3444" s="21"/>
    </row>
    <row r="3445" spans="13:13" x14ac:dyDescent="0.25">
      <c r="M3445" s="21"/>
    </row>
    <row r="3446" spans="13:13" x14ac:dyDescent="0.25">
      <c r="M3446" s="21"/>
    </row>
    <row r="3447" spans="13:13" x14ac:dyDescent="0.25">
      <c r="M3447" s="21"/>
    </row>
    <row r="3448" spans="13:13" x14ac:dyDescent="0.25">
      <c r="M3448" s="21"/>
    </row>
    <row r="3449" spans="13:13" x14ac:dyDescent="0.25">
      <c r="M3449" s="21"/>
    </row>
    <row r="3450" spans="13:13" x14ac:dyDescent="0.25">
      <c r="M3450" s="21"/>
    </row>
    <row r="3451" spans="13:13" x14ac:dyDescent="0.25">
      <c r="M3451" s="21"/>
    </row>
    <row r="3452" spans="13:13" x14ac:dyDescent="0.25">
      <c r="M3452" s="21"/>
    </row>
    <row r="3453" spans="13:13" x14ac:dyDescent="0.25">
      <c r="M3453" s="21"/>
    </row>
    <row r="3454" spans="13:13" x14ac:dyDescent="0.25">
      <c r="M3454" s="21"/>
    </row>
    <row r="3455" spans="13:13" x14ac:dyDescent="0.25">
      <c r="M3455" s="21"/>
    </row>
    <row r="3456" spans="13:13" x14ac:dyDescent="0.25">
      <c r="M3456" s="21"/>
    </row>
    <row r="3457" spans="13:13" x14ac:dyDescent="0.25">
      <c r="M3457" s="21"/>
    </row>
    <row r="3458" spans="13:13" x14ac:dyDescent="0.25">
      <c r="M3458" s="21"/>
    </row>
    <row r="3459" spans="13:13" x14ac:dyDescent="0.25">
      <c r="M3459" s="21"/>
    </row>
    <row r="3460" spans="13:13" x14ac:dyDescent="0.25">
      <c r="M3460" s="21"/>
    </row>
    <row r="3461" spans="13:13" x14ac:dyDescent="0.25">
      <c r="M3461" s="21"/>
    </row>
    <row r="3462" spans="13:13" x14ac:dyDescent="0.25">
      <c r="M3462" s="21"/>
    </row>
    <row r="3463" spans="13:13" x14ac:dyDescent="0.25">
      <c r="M3463" s="21"/>
    </row>
    <row r="3464" spans="13:13" x14ac:dyDescent="0.25">
      <c r="M3464" s="21"/>
    </row>
    <row r="3465" spans="13:13" x14ac:dyDescent="0.25">
      <c r="M3465" s="21"/>
    </row>
    <row r="3466" spans="13:13" x14ac:dyDescent="0.25">
      <c r="M3466" s="21"/>
    </row>
    <row r="3467" spans="13:13" x14ac:dyDescent="0.25">
      <c r="M3467" s="21"/>
    </row>
    <row r="3468" spans="13:13" x14ac:dyDescent="0.25">
      <c r="M3468" s="21"/>
    </row>
    <row r="3469" spans="13:13" x14ac:dyDescent="0.25">
      <c r="M3469" s="21"/>
    </row>
    <row r="3470" spans="13:13" x14ac:dyDescent="0.25">
      <c r="M3470" s="21"/>
    </row>
    <row r="3471" spans="13:13" x14ac:dyDescent="0.25">
      <c r="M3471" s="21"/>
    </row>
    <row r="3472" spans="13:13" x14ac:dyDescent="0.25">
      <c r="M3472" s="21"/>
    </row>
    <row r="3473" spans="13:13" x14ac:dyDescent="0.25">
      <c r="M3473" s="21"/>
    </row>
    <row r="3474" spans="13:13" x14ac:dyDescent="0.25">
      <c r="M3474" s="21"/>
    </row>
    <row r="3475" spans="13:13" x14ac:dyDescent="0.25">
      <c r="M3475" s="21"/>
    </row>
    <row r="3476" spans="13:13" x14ac:dyDescent="0.25">
      <c r="M3476" s="21"/>
    </row>
    <row r="3477" spans="13:13" x14ac:dyDescent="0.25">
      <c r="M3477" s="21"/>
    </row>
    <row r="3478" spans="13:13" x14ac:dyDescent="0.25">
      <c r="M3478" s="21"/>
    </row>
    <row r="3479" spans="13:13" x14ac:dyDescent="0.25">
      <c r="M3479" s="21"/>
    </row>
    <row r="3480" spans="13:13" x14ac:dyDescent="0.25">
      <c r="M3480" s="21"/>
    </row>
    <row r="3481" spans="13:13" x14ac:dyDescent="0.25">
      <c r="M3481" s="21"/>
    </row>
    <row r="3482" spans="13:13" x14ac:dyDescent="0.25">
      <c r="M3482" s="21"/>
    </row>
    <row r="3483" spans="13:13" x14ac:dyDescent="0.25">
      <c r="M3483" s="21"/>
    </row>
    <row r="3484" spans="13:13" x14ac:dyDescent="0.25">
      <c r="M3484" s="21"/>
    </row>
    <row r="3485" spans="13:13" x14ac:dyDescent="0.25">
      <c r="M3485" s="21"/>
    </row>
    <row r="3486" spans="13:13" x14ac:dyDescent="0.25">
      <c r="M3486" s="21"/>
    </row>
    <row r="3487" spans="13:13" x14ac:dyDescent="0.25">
      <c r="M3487" s="21"/>
    </row>
    <row r="3488" spans="13:13" x14ac:dyDescent="0.25">
      <c r="M3488" s="21"/>
    </row>
    <row r="3489" spans="13:13" x14ac:dyDescent="0.25">
      <c r="M3489" s="21"/>
    </row>
    <row r="3490" spans="13:13" x14ac:dyDescent="0.25">
      <c r="M3490" s="21"/>
    </row>
    <row r="3491" spans="13:13" x14ac:dyDescent="0.25">
      <c r="M3491" s="21"/>
    </row>
    <row r="3492" spans="13:13" x14ac:dyDescent="0.25">
      <c r="M3492" s="21"/>
    </row>
    <row r="3493" spans="13:13" x14ac:dyDescent="0.25">
      <c r="M3493" s="21"/>
    </row>
    <row r="3494" spans="13:13" x14ac:dyDescent="0.25">
      <c r="M3494" s="21"/>
    </row>
    <row r="3495" spans="13:13" x14ac:dyDescent="0.25">
      <c r="M3495" s="21"/>
    </row>
    <row r="3496" spans="13:13" x14ac:dyDescent="0.25">
      <c r="M3496" s="21"/>
    </row>
    <row r="3497" spans="13:13" x14ac:dyDescent="0.25">
      <c r="M3497" s="21"/>
    </row>
    <row r="3498" spans="13:13" x14ac:dyDescent="0.25">
      <c r="M3498" s="21"/>
    </row>
    <row r="3499" spans="13:13" x14ac:dyDescent="0.25">
      <c r="M3499" s="21"/>
    </row>
    <row r="3500" spans="13:13" x14ac:dyDescent="0.25">
      <c r="M3500" s="21"/>
    </row>
    <row r="3501" spans="13:13" x14ac:dyDescent="0.25">
      <c r="M3501" s="21"/>
    </row>
    <row r="3502" spans="13:13" x14ac:dyDescent="0.25">
      <c r="M3502" s="21"/>
    </row>
    <row r="3503" spans="13:13" x14ac:dyDescent="0.25">
      <c r="M3503" s="21"/>
    </row>
    <row r="3504" spans="13:13" x14ac:dyDescent="0.25">
      <c r="M3504" s="21"/>
    </row>
    <row r="3505" spans="13:13" x14ac:dyDescent="0.25">
      <c r="M3505" s="21"/>
    </row>
    <row r="3506" spans="13:13" x14ac:dyDescent="0.25">
      <c r="M3506" s="21"/>
    </row>
    <row r="3507" spans="13:13" x14ac:dyDescent="0.25">
      <c r="M3507" s="21"/>
    </row>
    <row r="3508" spans="13:13" x14ac:dyDescent="0.25">
      <c r="M3508" s="21"/>
    </row>
    <row r="3509" spans="13:13" x14ac:dyDescent="0.25">
      <c r="M3509" s="21"/>
    </row>
    <row r="3510" spans="13:13" x14ac:dyDescent="0.25">
      <c r="M3510" s="21"/>
    </row>
    <row r="3511" spans="13:13" x14ac:dyDescent="0.25">
      <c r="M3511" s="21"/>
    </row>
    <row r="3512" spans="13:13" x14ac:dyDescent="0.25">
      <c r="M3512" s="21"/>
    </row>
    <row r="3513" spans="13:13" x14ac:dyDescent="0.25">
      <c r="M3513" s="21"/>
    </row>
    <row r="3514" spans="13:13" x14ac:dyDescent="0.25">
      <c r="M3514" s="21"/>
    </row>
    <row r="3515" spans="13:13" x14ac:dyDescent="0.25">
      <c r="M3515" s="21"/>
    </row>
    <row r="3516" spans="13:13" x14ac:dyDescent="0.25">
      <c r="M3516" s="21"/>
    </row>
    <row r="3517" spans="13:13" x14ac:dyDescent="0.25">
      <c r="M3517" s="21"/>
    </row>
    <row r="3518" spans="13:13" x14ac:dyDescent="0.25">
      <c r="M3518" s="21"/>
    </row>
    <row r="3519" spans="13:13" x14ac:dyDescent="0.25">
      <c r="M3519" s="21"/>
    </row>
    <row r="3520" spans="13:13" x14ac:dyDescent="0.25">
      <c r="M3520" s="21"/>
    </row>
    <row r="3521" spans="13:13" x14ac:dyDescent="0.25">
      <c r="M3521" s="21"/>
    </row>
    <row r="3522" spans="13:13" x14ac:dyDescent="0.25">
      <c r="M3522" s="21"/>
    </row>
    <row r="3523" spans="13:13" x14ac:dyDescent="0.25">
      <c r="M3523" s="21"/>
    </row>
    <row r="3524" spans="13:13" x14ac:dyDescent="0.25">
      <c r="M3524" s="21"/>
    </row>
    <row r="3525" spans="13:13" x14ac:dyDescent="0.25">
      <c r="M3525" s="21"/>
    </row>
    <row r="3526" spans="13:13" x14ac:dyDescent="0.25">
      <c r="M3526" s="21"/>
    </row>
    <row r="3527" spans="13:13" x14ac:dyDescent="0.25">
      <c r="M3527" s="21"/>
    </row>
    <row r="3528" spans="13:13" x14ac:dyDescent="0.25">
      <c r="M3528" s="21"/>
    </row>
    <row r="3529" spans="13:13" x14ac:dyDescent="0.25">
      <c r="M3529" s="21"/>
    </row>
    <row r="3530" spans="13:13" x14ac:dyDescent="0.25">
      <c r="M3530" s="21"/>
    </row>
    <row r="3531" spans="13:13" x14ac:dyDescent="0.25">
      <c r="M3531" s="21"/>
    </row>
    <row r="3532" spans="13:13" x14ac:dyDescent="0.25">
      <c r="M3532" s="21"/>
    </row>
    <row r="3533" spans="13:13" x14ac:dyDescent="0.25">
      <c r="M3533" s="21"/>
    </row>
    <row r="3534" spans="13:13" x14ac:dyDescent="0.25">
      <c r="M3534" s="21"/>
    </row>
    <row r="3535" spans="13:13" x14ac:dyDescent="0.25">
      <c r="M3535" s="21"/>
    </row>
    <row r="3536" spans="13:13" x14ac:dyDescent="0.25">
      <c r="M3536" s="21"/>
    </row>
    <row r="3537" spans="13:13" x14ac:dyDescent="0.25">
      <c r="M3537" s="21"/>
    </row>
    <row r="3538" spans="13:13" x14ac:dyDescent="0.25">
      <c r="M3538" s="21"/>
    </row>
    <row r="3539" spans="13:13" x14ac:dyDescent="0.25">
      <c r="M3539" s="21"/>
    </row>
    <row r="3540" spans="13:13" x14ac:dyDescent="0.25">
      <c r="M3540" s="21"/>
    </row>
    <row r="3541" spans="13:13" x14ac:dyDescent="0.25">
      <c r="M3541" s="21"/>
    </row>
    <row r="3542" spans="13:13" x14ac:dyDescent="0.25">
      <c r="M3542" s="21"/>
    </row>
    <row r="3543" spans="13:13" x14ac:dyDescent="0.25">
      <c r="M3543" s="21"/>
    </row>
    <row r="3544" spans="13:13" x14ac:dyDescent="0.25">
      <c r="M3544" s="21"/>
    </row>
    <row r="3545" spans="13:13" x14ac:dyDescent="0.25">
      <c r="M3545" s="21"/>
    </row>
    <row r="3546" spans="13:13" x14ac:dyDescent="0.25">
      <c r="M3546" s="21"/>
    </row>
    <row r="3547" spans="13:13" x14ac:dyDescent="0.25">
      <c r="M3547" s="21"/>
    </row>
    <row r="3548" spans="13:13" x14ac:dyDescent="0.25">
      <c r="M3548" s="21"/>
    </row>
    <row r="3549" spans="13:13" x14ac:dyDescent="0.25">
      <c r="M3549" s="21"/>
    </row>
    <row r="3550" spans="13:13" x14ac:dyDescent="0.25">
      <c r="M3550" s="21"/>
    </row>
    <row r="3551" spans="13:13" x14ac:dyDescent="0.25">
      <c r="M3551" s="21"/>
    </row>
    <row r="3552" spans="13:13" x14ac:dyDescent="0.25">
      <c r="M3552" s="21"/>
    </row>
    <row r="3553" spans="13:13" x14ac:dyDescent="0.25">
      <c r="M3553" s="21"/>
    </row>
    <row r="3554" spans="13:13" x14ac:dyDescent="0.25">
      <c r="M3554" s="21"/>
    </row>
    <row r="3555" spans="13:13" x14ac:dyDescent="0.25">
      <c r="M3555" s="21"/>
    </row>
    <row r="3556" spans="13:13" x14ac:dyDescent="0.25">
      <c r="M3556" s="21"/>
    </row>
    <row r="3557" spans="13:13" x14ac:dyDescent="0.25">
      <c r="M3557" s="21"/>
    </row>
    <row r="3558" spans="13:13" x14ac:dyDescent="0.25">
      <c r="M3558" s="21"/>
    </row>
    <row r="3559" spans="13:13" x14ac:dyDescent="0.25">
      <c r="M3559" s="21"/>
    </row>
    <row r="3560" spans="13:13" x14ac:dyDescent="0.25">
      <c r="M3560" s="21"/>
    </row>
    <row r="3561" spans="13:13" x14ac:dyDescent="0.25">
      <c r="M3561" s="21"/>
    </row>
    <row r="3562" spans="13:13" x14ac:dyDescent="0.25">
      <c r="M3562" s="21"/>
    </row>
    <row r="3563" spans="13:13" x14ac:dyDescent="0.25">
      <c r="M3563" s="21"/>
    </row>
    <row r="3564" spans="13:13" x14ac:dyDescent="0.25">
      <c r="M3564" s="21"/>
    </row>
    <row r="3565" spans="13:13" x14ac:dyDescent="0.25">
      <c r="M3565" s="21"/>
    </row>
    <row r="3566" spans="13:13" x14ac:dyDescent="0.25">
      <c r="M3566" s="21"/>
    </row>
    <row r="3567" spans="13:13" x14ac:dyDescent="0.25">
      <c r="M3567" s="21"/>
    </row>
    <row r="3568" spans="13:13" x14ac:dyDescent="0.25">
      <c r="M3568" s="21"/>
    </row>
    <row r="3569" spans="13:13" x14ac:dyDescent="0.25">
      <c r="M3569" s="21"/>
    </row>
    <row r="3570" spans="13:13" x14ac:dyDescent="0.25">
      <c r="M3570" s="21"/>
    </row>
    <row r="3571" spans="13:13" x14ac:dyDescent="0.25">
      <c r="M3571" s="21"/>
    </row>
    <row r="3572" spans="13:13" x14ac:dyDescent="0.25">
      <c r="M3572" s="21"/>
    </row>
    <row r="3573" spans="13:13" x14ac:dyDescent="0.25">
      <c r="M3573" s="21"/>
    </row>
    <row r="3574" spans="13:13" x14ac:dyDescent="0.25">
      <c r="M3574" s="21"/>
    </row>
    <row r="3575" spans="13:13" x14ac:dyDescent="0.25">
      <c r="M3575" s="21"/>
    </row>
    <row r="3576" spans="13:13" x14ac:dyDescent="0.25">
      <c r="M3576" s="21"/>
    </row>
    <row r="3577" spans="13:13" x14ac:dyDescent="0.25">
      <c r="M3577" s="21"/>
    </row>
    <row r="3578" spans="13:13" x14ac:dyDescent="0.25">
      <c r="M3578" s="21"/>
    </row>
    <row r="3579" spans="13:13" x14ac:dyDescent="0.25">
      <c r="M3579" s="21"/>
    </row>
    <row r="3580" spans="13:13" x14ac:dyDescent="0.25">
      <c r="M3580" s="21"/>
    </row>
    <row r="3581" spans="13:13" x14ac:dyDescent="0.25">
      <c r="M3581" s="21"/>
    </row>
    <row r="3582" spans="13:13" x14ac:dyDescent="0.25">
      <c r="M3582" s="21"/>
    </row>
    <row r="3583" spans="13:13" x14ac:dyDescent="0.25">
      <c r="M3583" s="21"/>
    </row>
    <row r="3584" spans="13:13" x14ac:dyDescent="0.25">
      <c r="M3584" s="21"/>
    </row>
    <row r="3585" spans="13:13" x14ac:dyDescent="0.25">
      <c r="M3585" s="21"/>
    </row>
    <row r="3586" spans="13:13" x14ac:dyDescent="0.25">
      <c r="M3586" s="21"/>
    </row>
    <row r="3587" spans="13:13" x14ac:dyDescent="0.25">
      <c r="M3587" s="21"/>
    </row>
    <row r="3588" spans="13:13" x14ac:dyDescent="0.25">
      <c r="M3588" s="21"/>
    </row>
    <row r="3589" spans="13:13" x14ac:dyDescent="0.25">
      <c r="M3589" s="21"/>
    </row>
    <row r="3590" spans="13:13" x14ac:dyDescent="0.25">
      <c r="M3590" s="21"/>
    </row>
    <row r="3591" spans="13:13" x14ac:dyDescent="0.25">
      <c r="M3591" s="21"/>
    </row>
    <row r="3592" spans="13:13" x14ac:dyDescent="0.25">
      <c r="M3592" s="21"/>
    </row>
    <row r="3593" spans="13:13" x14ac:dyDescent="0.25">
      <c r="M3593" s="21"/>
    </row>
    <row r="3594" spans="13:13" x14ac:dyDescent="0.25">
      <c r="M3594" s="21"/>
    </row>
    <row r="3595" spans="13:13" x14ac:dyDescent="0.25">
      <c r="M3595" s="21"/>
    </row>
    <row r="3596" spans="13:13" x14ac:dyDescent="0.25">
      <c r="M3596" s="21"/>
    </row>
    <row r="3597" spans="13:13" x14ac:dyDescent="0.25">
      <c r="M3597" s="21"/>
    </row>
    <row r="3598" spans="13:13" x14ac:dyDescent="0.25">
      <c r="M3598" s="21"/>
    </row>
    <row r="3599" spans="13:13" x14ac:dyDescent="0.25">
      <c r="M3599" s="21"/>
    </row>
    <row r="3600" spans="13:13" x14ac:dyDescent="0.25">
      <c r="M3600" s="21"/>
    </row>
    <row r="3601" spans="13:13" x14ac:dyDescent="0.25">
      <c r="M3601" s="21"/>
    </row>
    <row r="3602" spans="13:13" x14ac:dyDescent="0.25">
      <c r="M3602" s="21"/>
    </row>
    <row r="3603" spans="13:13" x14ac:dyDescent="0.25">
      <c r="M3603" s="21"/>
    </row>
    <row r="3604" spans="13:13" x14ac:dyDescent="0.25">
      <c r="M3604" s="21"/>
    </row>
    <row r="3605" spans="13:13" x14ac:dyDescent="0.25">
      <c r="M3605" s="21"/>
    </row>
    <row r="3606" spans="13:13" x14ac:dyDescent="0.25">
      <c r="M3606" s="21"/>
    </row>
    <row r="3607" spans="13:13" x14ac:dyDescent="0.25">
      <c r="M3607" s="21"/>
    </row>
    <row r="3608" spans="13:13" x14ac:dyDescent="0.25">
      <c r="M3608" s="21"/>
    </row>
    <row r="3609" spans="13:13" x14ac:dyDescent="0.25">
      <c r="M3609" s="21"/>
    </row>
    <row r="3610" spans="13:13" x14ac:dyDescent="0.25">
      <c r="M3610" s="21"/>
    </row>
    <row r="3611" spans="13:13" x14ac:dyDescent="0.25">
      <c r="M3611" s="21"/>
    </row>
    <row r="3612" spans="13:13" x14ac:dyDescent="0.25">
      <c r="M3612" s="21"/>
    </row>
    <row r="3613" spans="13:13" x14ac:dyDescent="0.25">
      <c r="M3613" s="21"/>
    </row>
    <row r="3614" spans="13:13" x14ac:dyDescent="0.25">
      <c r="M3614" s="21"/>
    </row>
    <row r="3615" spans="13:13" x14ac:dyDescent="0.25">
      <c r="M3615" s="21"/>
    </row>
    <row r="3616" spans="13:13" x14ac:dyDescent="0.25">
      <c r="M3616" s="21"/>
    </row>
    <row r="3617" spans="13:13" x14ac:dyDescent="0.25">
      <c r="M3617" s="21"/>
    </row>
    <row r="3618" spans="13:13" x14ac:dyDescent="0.25">
      <c r="M3618" s="21"/>
    </row>
    <row r="3619" spans="13:13" x14ac:dyDescent="0.25">
      <c r="M3619" s="21"/>
    </row>
    <row r="3620" spans="13:13" x14ac:dyDescent="0.25">
      <c r="M3620" s="21"/>
    </row>
    <row r="3621" spans="13:13" x14ac:dyDescent="0.25">
      <c r="M3621" s="21"/>
    </row>
    <row r="3622" spans="13:13" x14ac:dyDescent="0.25">
      <c r="M3622" s="21"/>
    </row>
    <row r="3623" spans="13:13" x14ac:dyDescent="0.25">
      <c r="M3623" s="21"/>
    </row>
    <row r="3624" spans="13:13" x14ac:dyDescent="0.25">
      <c r="M3624" s="21"/>
    </row>
    <row r="3625" spans="13:13" x14ac:dyDescent="0.25">
      <c r="M3625" s="21"/>
    </row>
    <row r="3626" spans="13:13" x14ac:dyDescent="0.25">
      <c r="M3626" s="21"/>
    </row>
    <row r="3627" spans="13:13" x14ac:dyDescent="0.25">
      <c r="M3627" s="21"/>
    </row>
    <row r="3628" spans="13:13" x14ac:dyDescent="0.25">
      <c r="M3628" s="21"/>
    </row>
    <row r="3629" spans="13:13" x14ac:dyDescent="0.25">
      <c r="M3629" s="21"/>
    </row>
    <row r="3630" spans="13:13" x14ac:dyDescent="0.25">
      <c r="M3630" s="21"/>
    </row>
    <row r="3631" spans="13:13" x14ac:dyDescent="0.25">
      <c r="M3631" s="21"/>
    </row>
    <row r="3632" spans="13:13" x14ac:dyDescent="0.25">
      <c r="M3632" s="21"/>
    </row>
    <row r="3633" spans="13:13" x14ac:dyDescent="0.25">
      <c r="M3633" s="21"/>
    </row>
    <row r="3634" spans="13:13" x14ac:dyDescent="0.25">
      <c r="M3634" s="21"/>
    </row>
    <row r="3635" spans="13:13" x14ac:dyDescent="0.25">
      <c r="M3635" s="21"/>
    </row>
    <row r="3636" spans="13:13" x14ac:dyDescent="0.25">
      <c r="M3636" s="21"/>
    </row>
    <row r="3637" spans="13:13" x14ac:dyDescent="0.25">
      <c r="M3637" s="21"/>
    </row>
    <row r="3638" spans="13:13" x14ac:dyDescent="0.25">
      <c r="M3638" s="21"/>
    </row>
    <row r="3639" spans="13:13" x14ac:dyDescent="0.25">
      <c r="M3639" s="21"/>
    </row>
    <row r="3640" spans="13:13" x14ac:dyDescent="0.25">
      <c r="M3640" s="21"/>
    </row>
    <row r="3641" spans="13:13" x14ac:dyDescent="0.25">
      <c r="M3641" s="21"/>
    </row>
    <row r="3642" spans="13:13" x14ac:dyDescent="0.25">
      <c r="M3642" s="21"/>
    </row>
    <row r="3643" spans="13:13" x14ac:dyDescent="0.25">
      <c r="M3643" s="21"/>
    </row>
    <row r="3644" spans="13:13" x14ac:dyDescent="0.25">
      <c r="M3644" s="21"/>
    </row>
    <row r="3645" spans="13:13" x14ac:dyDescent="0.25">
      <c r="M3645" s="21"/>
    </row>
    <row r="3646" spans="13:13" x14ac:dyDescent="0.25">
      <c r="M3646" s="21"/>
    </row>
    <row r="3647" spans="13:13" x14ac:dyDescent="0.25">
      <c r="M3647" s="21"/>
    </row>
    <row r="3648" spans="13:13" x14ac:dyDescent="0.25">
      <c r="M3648" s="21"/>
    </row>
    <row r="3649" spans="13:13" x14ac:dyDescent="0.25">
      <c r="M3649" s="21"/>
    </row>
    <row r="3650" spans="13:13" x14ac:dyDescent="0.25">
      <c r="M3650" s="21"/>
    </row>
    <row r="3651" spans="13:13" x14ac:dyDescent="0.25">
      <c r="M3651" s="21"/>
    </row>
    <row r="3652" spans="13:13" x14ac:dyDescent="0.25">
      <c r="M3652" s="21"/>
    </row>
    <row r="3653" spans="13:13" x14ac:dyDescent="0.25">
      <c r="M3653" s="21"/>
    </row>
    <row r="3654" spans="13:13" x14ac:dyDescent="0.25">
      <c r="M3654" s="21"/>
    </row>
    <row r="3655" spans="13:13" x14ac:dyDescent="0.25">
      <c r="M3655" s="21"/>
    </row>
    <row r="3656" spans="13:13" x14ac:dyDescent="0.25">
      <c r="M3656" s="21"/>
    </row>
    <row r="3657" spans="13:13" x14ac:dyDescent="0.25">
      <c r="M3657" s="21"/>
    </row>
    <row r="3658" spans="13:13" x14ac:dyDescent="0.25">
      <c r="M3658" s="21"/>
    </row>
    <row r="3659" spans="13:13" x14ac:dyDescent="0.25">
      <c r="M3659" s="21"/>
    </row>
    <row r="3660" spans="13:13" x14ac:dyDescent="0.25">
      <c r="M3660" s="21"/>
    </row>
    <row r="3661" spans="13:13" x14ac:dyDescent="0.25">
      <c r="M3661" s="21"/>
    </row>
    <row r="3662" spans="13:13" x14ac:dyDescent="0.25">
      <c r="M3662" s="21"/>
    </row>
    <row r="3663" spans="13:13" x14ac:dyDescent="0.25">
      <c r="M3663" s="21"/>
    </row>
    <row r="3664" spans="13:13" x14ac:dyDescent="0.25">
      <c r="M3664" s="21"/>
    </row>
    <row r="3665" spans="13:13" x14ac:dyDescent="0.25">
      <c r="M3665" s="21"/>
    </row>
    <row r="3666" spans="13:13" x14ac:dyDescent="0.25">
      <c r="M3666" s="21"/>
    </row>
    <row r="3667" spans="13:13" x14ac:dyDescent="0.25">
      <c r="M3667" s="21"/>
    </row>
    <row r="3668" spans="13:13" x14ac:dyDescent="0.25">
      <c r="M3668" s="21"/>
    </row>
    <row r="3669" spans="13:13" x14ac:dyDescent="0.25">
      <c r="M3669" s="21"/>
    </row>
    <row r="3670" spans="13:13" x14ac:dyDescent="0.25">
      <c r="M3670" s="21"/>
    </row>
    <row r="3671" spans="13:13" x14ac:dyDescent="0.25">
      <c r="M3671" s="21"/>
    </row>
    <row r="3672" spans="13:13" x14ac:dyDescent="0.25">
      <c r="M3672" s="21"/>
    </row>
    <row r="3673" spans="13:13" x14ac:dyDescent="0.25">
      <c r="M3673" s="21"/>
    </row>
    <row r="3674" spans="13:13" x14ac:dyDescent="0.25">
      <c r="M3674" s="21"/>
    </row>
    <row r="3675" spans="13:13" x14ac:dyDescent="0.25">
      <c r="M3675" s="21"/>
    </row>
    <row r="3676" spans="13:13" x14ac:dyDescent="0.25">
      <c r="M3676" s="21"/>
    </row>
    <row r="3677" spans="13:13" x14ac:dyDescent="0.25">
      <c r="M3677" s="21"/>
    </row>
    <row r="3678" spans="13:13" x14ac:dyDescent="0.25">
      <c r="M3678" s="21"/>
    </row>
    <row r="3679" spans="13:13" x14ac:dyDescent="0.25">
      <c r="M3679" s="21"/>
    </row>
    <row r="3680" spans="13:13" x14ac:dyDescent="0.25">
      <c r="M3680" s="21"/>
    </row>
    <row r="3681" spans="13:13" x14ac:dyDescent="0.25">
      <c r="M3681" s="21"/>
    </row>
    <row r="3682" spans="13:13" x14ac:dyDescent="0.25">
      <c r="M3682" s="21"/>
    </row>
    <row r="3683" spans="13:13" x14ac:dyDescent="0.25">
      <c r="M3683" s="21"/>
    </row>
    <row r="3684" spans="13:13" x14ac:dyDescent="0.25">
      <c r="M3684" s="21"/>
    </row>
    <row r="3685" spans="13:13" x14ac:dyDescent="0.25">
      <c r="M3685" s="21"/>
    </row>
    <row r="3686" spans="13:13" x14ac:dyDescent="0.25">
      <c r="M3686" s="21"/>
    </row>
    <row r="3687" spans="13:13" x14ac:dyDescent="0.25">
      <c r="M3687" s="21"/>
    </row>
    <row r="3688" spans="13:13" x14ac:dyDescent="0.25">
      <c r="M3688" s="21"/>
    </row>
    <row r="3689" spans="13:13" x14ac:dyDescent="0.25">
      <c r="M3689" s="21"/>
    </row>
    <row r="3690" spans="13:13" x14ac:dyDescent="0.25">
      <c r="M3690" s="21"/>
    </row>
    <row r="3691" spans="13:13" x14ac:dyDescent="0.25">
      <c r="M3691" s="21"/>
    </row>
    <row r="3692" spans="13:13" x14ac:dyDescent="0.25">
      <c r="M3692" s="21"/>
    </row>
    <row r="3693" spans="13:13" x14ac:dyDescent="0.25">
      <c r="M3693" s="21"/>
    </row>
    <row r="3694" spans="13:13" x14ac:dyDescent="0.25">
      <c r="M3694" s="21"/>
    </row>
    <row r="3695" spans="13:13" x14ac:dyDescent="0.25">
      <c r="M3695" s="21"/>
    </row>
    <row r="3696" spans="13:13" x14ac:dyDescent="0.25">
      <c r="M3696" s="21"/>
    </row>
    <row r="3697" spans="13:13" x14ac:dyDescent="0.25">
      <c r="M3697" s="21"/>
    </row>
    <row r="3698" spans="13:13" x14ac:dyDescent="0.25">
      <c r="M3698" s="21"/>
    </row>
    <row r="3699" spans="13:13" x14ac:dyDescent="0.25">
      <c r="M3699" s="21"/>
    </row>
    <row r="3700" spans="13:13" x14ac:dyDescent="0.25">
      <c r="M3700" s="21"/>
    </row>
    <row r="3701" spans="13:13" x14ac:dyDescent="0.25">
      <c r="M3701" s="21"/>
    </row>
    <row r="3702" spans="13:13" x14ac:dyDescent="0.25">
      <c r="M3702" s="21"/>
    </row>
    <row r="3703" spans="13:13" x14ac:dyDescent="0.25">
      <c r="M3703" s="21"/>
    </row>
    <row r="3704" spans="13:13" x14ac:dyDescent="0.25">
      <c r="M3704" s="21"/>
    </row>
    <row r="3705" spans="13:13" x14ac:dyDescent="0.25">
      <c r="M3705" s="21"/>
    </row>
    <row r="3706" spans="13:13" x14ac:dyDescent="0.25">
      <c r="M3706" s="21"/>
    </row>
    <row r="3707" spans="13:13" x14ac:dyDescent="0.25">
      <c r="M3707" s="21"/>
    </row>
    <row r="3708" spans="13:13" x14ac:dyDescent="0.25">
      <c r="M3708" s="21"/>
    </row>
    <row r="3709" spans="13:13" x14ac:dyDescent="0.25">
      <c r="M3709" s="21"/>
    </row>
    <row r="3710" spans="13:13" x14ac:dyDescent="0.25">
      <c r="M3710" s="21"/>
    </row>
    <row r="3711" spans="13:13" x14ac:dyDescent="0.25">
      <c r="M3711" s="21"/>
    </row>
    <row r="3712" spans="13:13" x14ac:dyDescent="0.25">
      <c r="M3712" s="21"/>
    </row>
    <row r="3713" spans="13:13" x14ac:dyDescent="0.25">
      <c r="M3713" s="21"/>
    </row>
    <row r="3714" spans="13:13" x14ac:dyDescent="0.25">
      <c r="M3714" s="21"/>
    </row>
    <row r="3715" spans="13:13" x14ac:dyDescent="0.25">
      <c r="M3715" s="21"/>
    </row>
    <row r="3716" spans="13:13" x14ac:dyDescent="0.25">
      <c r="M3716" s="21"/>
    </row>
    <row r="3717" spans="13:13" x14ac:dyDescent="0.25">
      <c r="M3717" s="21"/>
    </row>
    <row r="3718" spans="13:13" x14ac:dyDescent="0.25">
      <c r="M3718" s="21"/>
    </row>
    <row r="3719" spans="13:13" x14ac:dyDescent="0.25">
      <c r="M3719" s="21"/>
    </row>
    <row r="3720" spans="13:13" x14ac:dyDescent="0.25">
      <c r="M3720" s="21"/>
    </row>
    <row r="3721" spans="13:13" x14ac:dyDescent="0.25">
      <c r="M3721" s="21"/>
    </row>
    <row r="3722" spans="13:13" x14ac:dyDescent="0.25">
      <c r="M3722" s="21"/>
    </row>
    <row r="3723" spans="13:13" x14ac:dyDescent="0.25">
      <c r="M3723" s="21"/>
    </row>
    <row r="3724" spans="13:13" x14ac:dyDescent="0.25">
      <c r="M3724" s="21"/>
    </row>
    <row r="3725" spans="13:13" x14ac:dyDescent="0.25">
      <c r="M3725" s="21"/>
    </row>
    <row r="3726" spans="13:13" x14ac:dyDescent="0.25">
      <c r="M3726" s="21"/>
    </row>
    <row r="3727" spans="13:13" x14ac:dyDescent="0.25">
      <c r="M3727" s="21"/>
    </row>
    <row r="3728" spans="13:13" x14ac:dyDescent="0.25">
      <c r="M3728" s="21"/>
    </row>
    <row r="3729" spans="13:13" x14ac:dyDescent="0.25">
      <c r="M3729" s="21"/>
    </row>
    <row r="3730" spans="13:13" x14ac:dyDescent="0.25">
      <c r="M3730" s="21"/>
    </row>
    <row r="3731" spans="13:13" x14ac:dyDescent="0.25">
      <c r="M3731" s="21"/>
    </row>
    <row r="3732" spans="13:13" x14ac:dyDescent="0.25">
      <c r="M3732" s="21"/>
    </row>
    <row r="3733" spans="13:13" x14ac:dyDescent="0.25">
      <c r="M3733" s="21"/>
    </row>
    <row r="3734" spans="13:13" x14ac:dyDescent="0.25">
      <c r="M3734" s="21"/>
    </row>
    <row r="3735" spans="13:13" x14ac:dyDescent="0.25">
      <c r="M3735" s="21"/>
    </row>
    <row r="3736" spans="13:13" x14ac:dyDescent="0.25">
      <c r="M3736" s="21"/>
    </row>
    <row r="3737" spans="13:13" x14ac:dyDescent="0.25">
      <c r="M3737" s="21"/>
    </row>
    <row r="3738" spans="13:13" x14ac:dyDescent="0.25">
      <c r="M3738" s="21"/>
    </row>
    <row r="3739" spans="13:13" x14ac:dyDescent="0.25">
      <c r="M3739" s="21"/>
    </row>
    <row r="3740" spans="13:13" x14ac:dyDescent="0.25">
      <c r="M3740" s="21"/>
    </row>
    <row r="3741" spans="13:13" x14ac:dyDescent="0.25">
      <c r="M3741" s="21"/>
    </row>
    <row r="3742" spans="13:13" x14ac:dyDescent="0.25">
      <c r="M3742" s="21"/>
    </row>
    <row r="3743" spans="13:13" x14ac:dyDescent="0.25">
      <c r="M3743" s="21"/>
    </row>
    <row r="3744" spans="13:13" x14ac:dyDescent="0.25">
      <c r="M3744" s="21"/>
    </row>
    <row r="3745" spans="13:13" x14ac:dyDescent="0.25">
      <c r="M3745" s="21"/>
    </row>
    <row r="3746" spans="13:13" x14ac:dyDescent="0.25">
      <c r="M3746" s="21"/>
    </row>
    <row r="3747" spans="13:13" x14ac:dyDescent="0.25">
      <c r="M3747" s="21"/>
    </row>
    <row r="3748" spans="13:13" x14ac:dyDescent="0.25">
      <c r="M3748" s="21"/>
    </row>
    <row r="3749" spans="13:13" x14ac:dyDescent="0.25">
      <c r="M3749" s="21"/>
    </row>
    <row r="3750" spans="13:13" x14ac:dyDescent="0.25">
      <c r="M3750" s="21"/>
    </row>
    <row r="3751" spans="13:13" x14ac:dyDescent="0.25">
      <c r="M3751" s="21"/>
    </row>
    <row r="3752" spans="13:13" x14ac:dyDescent="0.25">
      <c r="M3752" s="21"/>
    </row>
    <row r="3753" spans="13:13" x14ac:dyDescent="0.25">
      <c r="M3753" s="21"/>
    </row>
    <row r="3754" spans="13:13" x14ac:dyDescent="0.25">
      <c r="M3754" s="21"/>
    </row>
    <row r="3755" spans="13:13" x14ac:dyDescent="0.25">
      <c r="M3755" s="21"/>
    </row>
    <row r="3756" spans="13:13" x14ac:dyDescent="0.25">
      <c r="M3756" s="21"/>
    </row>
    <row r="3757" spans="13:13" x14ac:dyDescent="0.25">
      <c r="M3757" s="21"/>
    </row>
    <row r="3758" spans="13:13" x14ac:dyDescent="0.25">
      <c r="M3758" s="21"/>
    </row>
    <row r="3759" spans="13:13" x14ac:dyDescent="0.25">
      <c r="M3759" s="21"/>
    </row>
    <row r="3760" spans="13:13" x14ac:dyDescent="0.25">
      <c r="M3760" s="21"/>
    </row>
    <row r="3761" spans="13:13" x14ac:dyDescent="0.25">
      <c r="M3761" s="21"/>
    </row>
    <row r="3762" spans="13:13" x14ac:dyDescent="0.25">
      <c r="M3762" s="21"/>
    </row>
    <row r="3763" spans="13:13" x14ac:dyDescent="0.25">
      <c r="M3763" s="21"/>
    </row>
    <row r="3764" spans="13:13" x14ac:dyDescent="0.25">
      <c r="M3764" s="21"/>
    </row>
    <row r="3765" spans="13:13" x14ac:dyDescent="0.25">
      <c r="M3765" s="21"/>
    </row>
    <row r="3766" spans="13:13" x14ac:dyDescent="0.25">
      <c r="M3766" s="21"/>
    </row>
    <row r="3767" spans="13:13" x14ac:dyDescent="0.25">
      <c r="M3767" s="21"/>
    </row>
    <row r="3768" spans="13:13" x14ac:dyDescent="0.25">
      <c r="M3768" s="21"/>
    </row>
    <row r="3769" spans="13:13" x14ac:dyDescent="0.25">
      <c r="M3769" s="21"/>
    </row>
    <row r="3770" spans="13:13" x14ac:dyDescent="0.25">
      <c r="M3770" s="21"/>
    </row>
    <row r="3771" spans="13:13" x14ac:dyDescent="0.25">
      <c r="M3771" s="21"/>
    </row>
    <row r="3772" spans="13:13" x14ac:dyDescent="0.25">
      <c r="M3772" s="21"/>
    </row>
    <row r="3773" spans="13:13" x14ac:dyDescent="0.25">
      <c r="M3773" s="21"/>
    </row>
    <row r="3774" spans="13:13" x14ac:dyDescent="0.25">
      <c r="M3774" s="21"/>
    </row>
    <row r="3775" spans="13:13" x14ac:dyDescent="0.25">
      <c r="M3775" s="21"/>
    </row>
    <row r="3776" spans="13:13" x14ac:dyDescent="0.25">
      <c r="M3776" s="21"/>
    </row>
    <row r="3777" spans="13:13" x14ac:dyDescent="0.25">
      <c r="M3777" s="21"/>
    </row>
    <row r="3778" spans="13:13" x14ac:dyDescent="0.25">
      <c r="M3778" s="21"/>
    </row>
    <row r="3779" spans="13:13" x14ac:dyDescent="0.25">
      <c r="M3779" s="21"/>
    </row>
    <row r="3780" spans="13:13" x14ac:dyDescent="0.25">
      <c r="M3780" s="21"/>
    </row>
    <row r="3781" spans="13:13" x14ac:dyDescent="0.25">
      <c r="M3781" s="21"/>
    </row>
    <row r="3782" spans="13:13" x14ac:dyDescent="0.25">
      <c r="M3782" s="21"/>
    </row>
    <row r="3783" spans="13:13" x14ac:dyDescent="0.25">
      <c r="M3783" s="21"/>
    </row>
    <row r="3784" spans="13:13" x14ac:dyDescent="0.25">
      <c r="M3784" s="21"/>
    </row>
    <row r="3785" spans="13:13" x14ac:dyDescent="0.25">
      <c r="M3785" s="21"/>
    </row>
    <row r="3786" spans="13:13" x14ac:dyDescent="0.25">
      <c r="M3786" s="21"/>
    </row>
    <row r="3787" spans="13:13" x14ac:dyDescent="0.25">
      <c r="M3787" s="21"/>
    </row>
    <row r="3788" spans="13:13" x14ac:dyDescent="0.25">
      <c r="M3788" s="21"/>
    </row>
    <row r="3789" spans="13:13" x14ac:dyDescent="0.25">
      <c r="M3789" s="21"/>
    </row>
    <row r="3790" spans="13:13" x14ac:dyDescent="0.25">
      <c r="M3790" s="21"/>
    </row>
    <row r="3791" spans="13:13" x14ac:dyDescent="0.25">
      <c r="M3791" s="21"/>
    </row>
    <row r="3792" spans="13:13" x14ac:dyDescent="0.25">
      <c r="M3792" s="21"/>
    </row>
    <row r="3793" spans="13:13" x14ac:dyDescent="0.25">
      <c r="M3793" s="21"/>
    </row>
    <row r="3794" spans="13:13" x14ac:dyDescent="0.25">
      <c r="M3794" s="21"/>
    </row>
    <row r="3795" spans="13:13" x14ac:dyDescent="0.25">
      <c r="M3795" s="21"/>
    </row>
    <row r="3796" spans="13:13" x14ac:dyDescent="0.25">
      <c r="M3796" s="21"/>
    </row>
    <row r="3797" spans="13:13" x14ac:dyDescent="0.25">
      <c r="M3797" s="21"/>
    </row>
    <row r="3798" spans="13:13" x14ac:dyDescent="0.25">
      <c r="M3798" s="21"/>
    </row>
    <row r="3799" spans="13:13" x14ac:dyDescent="0.25">
      <c r="M3799" s="21"/>
    </row>
    <row r="3800" spans="13:13" x14ac:dyDescent="0.25">
      <c r="M3800" s="21"/>
    </row>
    <row r="3801" spans="13:13" x14ac:dyDescent="0.25">
      <c r="M3801" s="21"/>
    </row>
    <row r="3802" spans="13:13" x14ac:dyDescent="0.25">
      <c r="M3802" s="21"/>
    </row>
    <row r="3803" spans="13:13" x14ac:dyDescent="0.25">
      <c r="M3803" s="21"/>
    </row>
    <row r="3804" spans="13:13" x14ac:dyDescent="0.25">
      <c r="M3804" s="21"/>
    </row>
    <row r="3805" spans="13:13" x14ac:dyDescent="0.25">
      <c r="M3805" s="21"/>
    </row>
    <row r="3806" spans="13:13" x14ac:dyDescent="0.25">
      <c r="M3806" s="21"/>
    </row>
    <row r="3807" spans="13:13" x14ac:dyDescent="0.25">
      <c r="M3807" s="21"/>
    </row>
    <row r="3808" spans="13:13" x14ac:dyDescent="0.25">
      <c r="M3808" s="21"/>
    </row>
    <row r="3809" spans="13:13" x14ac:dyDescent="0.25">
      <c r="M3809" s="21"/>
    </row>
    <row r="3810" spans="13:13" x14ac:dyDescent="0.25">
      <c r="M3810" s="21"/>
    </row>
    <row r="3811" spans="13:13" x14ac:dyDescent="0.25">
      <c r="M3811" s="21"/>
    </row>
    <row r="3812" spans="13:13" x14ac:dyDescent="0.25">
      <c r="M3812" s="21"/>
    </row>
    <row r="3813" spans="13:13" x14ac:dyDescent="0.25">
      <c r="M3813" s="21"/>
    </row>
    <row r="3814" spans="13:13" x14ac:dyDescent="0.25">
      <c r="M3814" s="21"/>
    </row>
    <row r="3815" spans="13:13" x14ac:dyDescent="0.25">
      <c r="M3815" s="21"/>
    </row>
    <row r="3816" spans="13:13" x14ac:dyDescent="0.25">
      <c r="M3816" s="21"/>
    </row>
    <row r="3817" spans="13:13" x14ac:dyDescent="0.25">
      <c r="M3817" s="21"/>
    </row>
    <row r="3818" spans="13:13" x14ac:dyDescent="0.25">
      <c r="M3818" s="21"/>
    </row>
    <row r="3819" spans="13:13" x14ac:dyDescent="0.25">
      <c r="M3819" s="21"/>
    </row>
    <row r="3820" spans="13:13" x14ac:dyDescent="0.25">
      <c r="M3820" s="21"/>
    </row>
    <row r="3821" spans="13:13" x14ac:dyDescent="0.25">
      <c r="M3821" s="21"/>
    </row>
    <row r="3822" spans="13:13" x14ac:dyDescent="0.25">
      <c r="M3822" s="21"/>
    </row>
    <row r="3823" spans="13:13" x14ac:dyDescent="0.25">
      <c r="M3823" s="21"/>
    </row>
    <row r="3824" spans="13:13" x14ac:dyDescent="0.25">
      <c r="M3824" s="21"/>
    </row>
    <row r="3825" spans="13:13" x14ac:dyDescent="0.25">
      <c r="M3825" s="21"/>
    </row>
    <row r="3826" spans="13:13" x14ac:dyDescent="0.25">
      <c r="M3826" s="21"/>
    </row>
    <row r="3827" spans="13:13" x14ac:dyDescent="0.25">
      <c r="M3827" s="21"/>
    </row>
    <row r="3828" spans="13:13" x14ac:dyDescent="0.25">
      <c r="M3828" s="21"/>
    </row>
    <row r="3829" spans="13:13" x14ac:dyDescent="0.25">
      <c r="M3829" s="21"/>
    </row>
    <row r="3830" spans="13:13" x14ac:dyDescent="0.25">
      <c r="M3830" s="21"/>
    </row>
    <row r="3831" spans="13:13" x14ac:dyDescent="0.25">
      <c r="M3831" s="21"/>
    </row>
    <row r="3832" spans="13:13" x14ac:dyDescent="0.25">
      <c r="M3832" s="21"/>
    </row>
    <row r="3833" spans="13:13" x14ac:dyDescent="0.25">
      <c r="M3833" s="21"/>
    </row>
    <row r="3834" spans="13:13" x14ac:dyDescent="0.25">
      <c r="M3834" s="21"/>
    </row>
    <row r="3835" spans="13:13" x14ac:dyDescent="0.25">
      <c r="M3835" s="21"/>
    </row>
    <row r="3836" spans="13:13" x14ac:dyDescent="0.25">
      <c r="M3836" s="21"/>
    </row>
    <row r="3837" spans="13:13" x14ac:dyDescent="0.25">
      <c r="M3837" s="21"/>
    </row>
    <row r="3838" spans="13:13" x14ac:dyDescent="0.25">
      <c r="M3838" s="21"/>
    </row>
    <row r="3839" spans="13:13" x14ac:dyDescent="0.25">
      <c r="M3839" s="21"/>
    </row>
    <row r="3840" spans="13:13" x14ac:dyDescent="0.25">
      <c r="M3840" s="21"/>
    </row>
    <row r="3841" spans="13:13" x14ac:dyDescent="0.25">
      <c r="M3841" s="21"/>
    </row>
    <row r="3842" spans="13:13" x14ac:dyDescent="0.25">
      <c r="M3842" s="21"/>
    </row>
    <row r="3843" spans="13:13" x14ac:dyDescent="0.25">
      <c r="M3843" s="21"/>
    </row>
    <row r="3844" spans="13:13" x14ac:dyDescent="0.25">
      <c r="M3844" s="21"/>
    </row>
    <row r="3845" spans="13:13" x14ac:dyDescent="0.25">
      <c r="M3845" s="21"/>
    </row>
    <row r="3846" spans="13:13" x14ac:dyDescent="0.25">
      <c r="M3846" s="21"/>
    </row>
    <row r="3847" spans="13:13" x14ac:dyDescent="0.25">
      <c r="M3847" s="21"/>
    </row>
    <row r="3848" spans="13:13" x14ac:dyDescent="0.25">
      <c r="M3848" s="21"/>
    </row>
    <row r="3849" spans="13:13" x14ac:dyDescent="0.25">
      <c r="M3849" s="21"/>
    </row>
    <row r="3850" spans="13:13" x14ac:dyDescent="0.25">
      <c r="M3850" s="21"/>
    </row>
    <row r="3851" spans="13:13" x14ac:dyDescent="0.25">
      <c r="M3851" s="21"/>
    </row>
    <row r="3852" spans="13:13" x14ac:dyDescent="0.25">
      <c r="M3852" s="21"/>
    </row>
    <row r="3853" spans="13:13" x14ac:dyDescent="0.25">
      <c r="M3853" s="21"/>
    </row>
    <row r="3854" spans="13:13" x14ac:dyDescent="0.25">
      <c r="M3854" s="21"/>
    </row>
    <row r="3855" spans="13:13" x14ac:dyDescent="0.25">
      <c r="M3855" s="21"/>
    </row>
    <row r="3856" spans="13:13" x14ac:dyDescent="0.25">
      <c r="M3856" s="21"/>
    </row>
    <row r="3857" spans="13:13" x14ac:dyDescent="0.25">
      <c r="M3857" s="21"/>
    </row>
    <row r="3858" spans="13:13" x14ac:dyDescent="0.25">
      <c r="M3858" s="21"/>
    </row>
    <row r="3859" spans="13:13" x14ac:dyDescent="0.25">
      <c r="M3859" s="21"/>
    </row>
    <row r="3860" spans="13:13" x14ac:dyDescent="0.25">
      <c r="M3860" s="21"/>
    </row>
    <row r="3861" spans="13:13" x14ac:dyDescent="0.25">
      <c r="M3861" s="21"/>
    </row>
    <row r="3862" spans="13:13" x14ac:dyDescent="0.25">
      <c r="M3862" s="21"/>
    </row>
    <row r="3863" spans="13:13" x14ac:dyDescent="0.25">
      <c r="M3863" s="21"/>
    </row>
    <row r="3864" spans="13:13" x14ac:dyDescent="0.25">
      <c r="M3864" s="21"/>
    </row>
    <row r="3865" spans="13:13" x14ac:dyDescent="0.25">
      <c r="M3865" s="21"/>
    </row>
    <row r="3866" spans="13:13" x14ac:dyDescent="0.25">
      <c r="M3866" s="21"/>
    </row>
    <row r="3867" spans="13:13" x14ac:dyDescent="0.25">
      <c r="M3867" s="21"/>
    </row>
    <row r="3868" spans="13:13" x14ac:dyDescent="0.25">
      <c r="M3868" s="21"/>
    </row>
    <row r="3869" spans="13:13" x14ac:dyDescent="0.25">
      <c r="M3869" s="21"/>
    </row>
    <row r="3870" spans="13:13" x14ac:dyDescent="0.25">
      <c r="M3870" s="21"/>
    </row>
    <row r="3871" spans="13:13" x14ac:dyDescent="0.25">
      <c r="M3871" s="21"/>
    </row>
    <row r="3872" spans="13:13" x14ac:dyDescent="0.25">
      <c r="M3872" s="21"/>
    </row>
    <row r="3873" spans="13:13" x14ac:dyDescent="0.25">
      <c r="M3873" s="21"/>
    </row>
    <row r="3874" spans="13:13" x14ac:dyDescent="0.25">
      <c r="M3874" s="21"/>
    </row>
    <row r="3875" spans="13:13" x14ac:dyDescent="0.25">
      <c r="M3875" s="21"/>
    </row>
    <row r="3876" spans="13:13" x14ac:dyDescent="0.25">
      <c r="M3876" s="21"/>
    </row>
    <row r="3877" spans="13:13" x14ac:dyDescent="0.25">
      <c r="M3877" s="21"/>
    </row>
    <row r="3878" spans="13:13" x14ac:dyDescent="0.25">
      <c r="M3878" s="21"/>
    </row>
    <row r="3879" spans="13:13" x14ac:dyDescent="0.25">
      <c r="M3879" s="21"/>
    </row>
    <row r="3880" spans="13:13" x14ac:dyDescent="0.25">
      <c r="M3880" s="21"/>
    </row>
    <row r="3881" spans="13:13" x14ac:dyDescent="0.25">
      <c r="M3881" s="21"/>
    </row>
    <row r="3882" spans="13:13" x14ac:dyDescent="0.25">
      <c r="M3882" s="21"/>
    </row>
    <row r="3883" spans="13:13" x14ac:dyDescent="0.25">
      <c r="M3883" s="21"/>
    </row>
    <row r="3884" spans="13:13" x14ac:dyDescent="0.25">
      <c r="M3884" s="21"/>
    </row>
    <row r="3885" spans="13:13" x14ac:dyDescent="0.25">
      <c r="M3885" s="21"/>
    </row>
    <row r="3886" spans="13:13" x14ac:dyDescent="0.25">
      <c r="M3886" s="21"/>
    </row>
    <row r="3887" spans="13:13" x14ac:dyDescent="0.25">
      <c r="M3887" s="21"/>
    </row>
    <row r="3888" spans="13:13" x14ac:dyDescent="0.25">
      <c r="M3888" s="21"/>
    </row>
    <row r="3889" spans="13:13" x14ac:dyDescent="0.25">
      <c r="M3889" s="21"/>
    </row>
    <row r="3890" spans="13:13" x14ac:dyDescent="0.25">
      <c r="M3890" s="21"/>
    </row>
    <row r="3891" spans="13:13" x14ac:dyDescent="0.25">
      <c r="M3891" s="21"/>
    </row>
    <row r="3892" spans="13:13" x14ac:dyDescent="0.25">
      <c r="M3892" s="21"/>
    </row>
    <row r="3893" spans="13:13" x14ac:dyDescent="0.25">
      <c r="M3893" s="21"/>
    </row>
    <row r="3894" spans="13:13" x14ac:dyDescent="0.25">
      <c r="M3894" s="21"/>
    </row>
    <row r="3895" spans="13:13" x14ac:dyDescent="0.25">
      <c r="M3895" s="21"/>
    </row>
    <row r="3896" spans="13:13" x14ac:dyDescent="0.25">
      <c r="M3896" s="21"/>
    </row>
    <row r="3897" spans="13:13" x14ac:dyDescent="0.25">
      <c r="M3897" s="21"/>
    </row>
    <row r="3898" spans="13:13" x14ac:dyDescent="0.25">
      <c r="M3898" s="21"/>
    </row>
    <row r="3899" spans="13:13" x14ac:dyDescent="0.25">
      <c r="M3899" s="21"/>
    </row>
    <row r="3900" spans="13:13" x14ac:dyDescent="0.25">
      <c r="M3900" s="21"/>
    </row>
    <row r="3901" spans="13:13" x14ac:dyDescent="0.25">
      <c r="M3901" s="21"/>
    </row>
    <row r="3902" spans="13:13" x14ac:dyDescent="0.25">
      <c r="M3902" s="21"/>
    </row>
    <row r="3903" spans="13:13" x14ac:dyDescent="0.25">
      <c r="M3903" s="21"/>
    </row>
    <row r="3904" spans="13:13" x14ac:dyDescent="0.25">
      <c r="M3904" s="21"/>
    </row>
    <row r="3905" spans="13:13" x14ac:dyDescent="0.25">
      <c r="M3905" s="21"/>
    </row>
    <row r="3906" spans="13:13" x14ac:dyDescent="0.25">
      <c r="M3906" s="21"/>
    </row>
    <row r="3907" spans="13:13" x14ac:dyDescent="0.25">
      <c r="M3907" s="21"/>
    </row>
    <row r="3908" spans="13:13" x14ac:dyDescent="0.25">
      <c r="M3908" s="21"/>
    </row>
    <row r="3909" spans="13:13" x14ac:dyDescent="0.25">
      <c r="M3909" s="21"/>
    </row>
    <row r="3910" spans="13:13" x14ac:dyDescent="0.25">
      <c r="M3910" s="21"/>
    </row>
    <row r="3911" spans="13:13" x14ac:dyDescent="0.25">
      <c r="M3911" s="21"/>
    </row>
    <row r="3912" spans="13:13" x14ac:dyDescent="0.25">
      <c r="M3912" s="21"/>
    </row>
    <row r="3913" spans="13:13" x14ac:dyDescent="0.25">
      <c r="M3913" s="21"/>
    </row>
    <row r="3914" spans="13:13" x14ac:dyDescent="0.25">
      <c r="M3914" s="21"/>
    </row>
    <row r="3915" spans="13:13" x14ac:dyDescent="0.25">
      <c r="M3915" s="21"/>
    </row>
    <row r="3916" spans="13:13" x14ac:dyDescent="0.25">
      <c r="M3916" s="21"/>
    </row>
    <row r="3917" spans="13:13" x14ac:dyDescent="0.25">
      <c r="M3917" s="21"/>
    </row>
    <row r="3918" spans="13:13" x14ac:dyDescent="0.25">
      <c r="M3918" s="21"/>
    </row>
    <row r="3919" spans="13:13" x14ac:dyDescent="0.25">
      <c r="M3919" s="21"/>
    </row>
    <row r="3920" spans="13:13" x14ac:dyDescent="0.25">
      <c r="M3920" s="21"/>
    </row>
    <row r="3921" spans="13:13" x14ac:dyDescent="0.25">
      <c r="M3921" s="21"/>
    </row>
    <row r="3922" spans="13:13" x14ac:dyDescent="0.25">
      <c r="M3922" s="21"/>
    </row>
    <row r="3923" spans="13:13" x14ac:dyDescent="0.25">
      <c r="M3923" s="21"/>
    </row>
    <row r="3924" spans="13:13" x14ac:dyDescent="0.25">
      <c r="M3924" s="21"/>
    </row>
    <row r="3925" spans="13:13" x14ac:dyDescent="0.25">
      <c r="M3925" s="21"/>
    </row>
    <row r="3926" spans="13:13" x14ac:dyDescent="0.25">
      <c r="M3926" s="21"/>
    </row>
    <row r="3927" spans="13:13" x14ac:dyDescent="0.25">
      <c r="M3927" s="21"/>
    </row>
    <row r="3928" spans="13:13" x14ac:dyDescent="0.25">
      <c r="M3928" s="21"/>
    </row>
    <row r="3929" spans="13:13" x14ac:dyDescent="0.25">
      <c r="M3929" s="21"/>
    </row>
    <row r="3930" spans="13:13" x14ac:dyDescent="0.25">
      <c r="M3930" s="21"/>
    </row>
    <row r="3931" spans="13:13" x14ac:dyDescent="0.25">
      <c r="M3931" s="21"/>
    </row>
    <row r="3932" spans="13:13" x14ac:dyDescent="0.25">
      <c r="M3932" s="21"/>
    </row>
    <row r="3933" spans="13:13" x14ac:dyDescent="0.25">
      <c r="M3933" s="21"/>
    </row>
    <row r="3934" spans="13:13" x14ac:dyDescent="0.25">
      <c r="M3934" s="21"/>
    </row>
    <row r="3935" spans="13:13" x14ac:dyDescent="0.25">
      <c r="M3935" s="21"/>
    </row>
    <row r="3936" spans="13:13" x14ac:dyDescent="0.25">
      <c r="M3936" s="21"/>
    </row>
    <row r="3937" spans="13:13" x14ac:dyDescent="0.25">
      <c r="M3937" s="21"/>
    </row>
    <row r="3938" spans="13:13" x14ac:dyDescent="0.25">
      <c r="M3938" s="21"/>
    </row>
    <row r="3939" spans="13:13" x14ac:dyDescent="0.25">
      <c r="M3939" s="21"/>
    </row>
    <row r="3940" spans="13:13" x14ac:dyDescent="0.25">
      <c r="M3940" s="21"/>
    </row>
    <row r="3941" spans="13:13" x14ac:dyDescent="0.25">
      <c r="M3941" s="21"/>
    </row>
    <row r="3942" spans="13:13" x14ac:dyDescent="0.25">
      <c r="M3942" s="21"/>
    </row>
    <row r="3943" spans="13:13" x14ac:dyDescent="0.25">
      <c r="M3943" s="21"/>
    </row>
    <row r="3944" spans="13:13" x14ac:dyDescent="0.25">
      <c r="M3944" s="21"/>
    </row>
    <row r="3945" spans="13:13" x14ac:dyDescent="0.25">
      <c r="M3945" s="21"/>
    </row>
    <row r="3946" spans="13:13" x14ac:dyDescent="0.25">
      <c r="M3946" s="21"/>
    </row>
    <row r="3947" spans="13:13" x14ac:dyDescent="0.25">
      <c r="M3947" s="21"/>
    </row>
    <row r="3948" spans="13:13" x14ac:dyDescent="0.25">
      <c r="M3948" s="21"/>
    </row>
    <row r="3949" spans="13:13" x14ac:dyDescent="0.25">
      <c r="M3949" s="21"/>
    </row>
    <row r="3950" spans="13:13" x14ac:dyDescent="0.25">
      <c r="M3950" s="21"/>
    </row>
    <row r="3951" spans="13:13" x14ac:dyDescent="0.25">
      <c r="M3951" s="21"/>
    </row>
    <row r="3952" spans="13:13" x14ac:dyDescent="0.25">
      <c r="M3952" s="21"/>
    </row>
    <row r="3953" spans="13:13" x14ac:dyDescent="0.25">
      <c r="M3953" s="21"/>
    </row>
    <row r="3954" spans="13:13" x14ac:dyDescent="0.25">
      <c r="M3954" s="21"/>
    </row>
    <row r="3955" spans="13:13" x14ac:dyDescent="0.25">
      <c r="M3955" s="21"/>
    </row>
    <row r="3956" spans="13:13" x14ac:dyDescent="0.25">
      <c r="M3956" s="21"/>
    </row>
    <row r="3957" spans="13:13" x14ac:dyDescent="0.25">
      <c r="M3957" s="21"/>
    </row>
    <row r="3958" spans="13:13" x14ac:dyDescent="0.25">
      <c r="M3958" s="21"/>
    </row>
    <row r="3959" spans="13:13" x14ac:dyDescent="0.25">
      <c r="M3959" s="21"/>
    </row>
    <row r="3960" spans="13:13" x14ac:dyDescent="0.25">
      <c r="M3960" s="21"/>
    </row>
    <row r="3961" spans="13:13" x14ac:dyDescent="0.25">
      <c r="M3961" s="21"/>
    </row>
    <row r="3962" spans="13:13" x14ac:dyDescent="0.25">
      <c r="M3962" s="21"/>
    </row>
    <row r="3963" spans="13:13" x14ac:dyDescent="0.25">
      <c r="M3963" s="21"/>
    </row>
    <row r="3964" spans="13:13" x14ac:dyDescent="0.25">
      <c r="M3964" s="21"/>
    </row>
    <row r="3965" spans="13:13" x14ac:dyDescent="0.25">
      <c r="M3965" s="21"/>
    </row>
    <row r="3966" spans="13:13" x14ac:dyDescent="0.25">
      <c r="M3966" s="21"/>
    </row>
    <row r="3967" spans="13:13" x14ac:dyDescent="0.25">
      <c r="M3967" s="21"/>
    </row>
    <row r="3968" spans="13:13" x14ac:dyDescent="0.25">
      <c r="M3968" s="21"/>
    </row>
    <row r="3969" spans="13:13" x14ac:dyDescent="0.25">
      <c r="M3969" s="21"/>
    </row>
    <row r="3970" spans="13:13" x14ac:dyDescent="0.25">
      <c r="M3970" s="21"/>
    </row>
    <row r="3971" spans="13:13" x14ac:dyDescent="0.25">
      <c r="M3971" s="21"/>
    </row>
    <row r="3972" spans="13:13" x14ac:dyDescent="0.25">
      <c r="M3972" s="21"/>
    </row>
    <row r="3973" spans="13:13" x14ac:dyDescent="0.25">
      <c r="M3973" s="21"/>
    </row>
    <row r="3974" spans="13:13" x14ac:dyDescent="0.25">
      <c r="M3974" s="21"/>
    </row>
    <row r="3975" spans="13:13" x14ac:dyDescent="0.25">
      <c r="M3975" s="21"/>
    </row>
    <row r="3976" spans="13:13" x14ac:dyDescent="0.25">
      <c r="M3976" s="21"/>
    </row>
    <row r="3977" spans="13:13" x14ac:dyDescent="0.25">
      <c r="M3977" s="21"/>
    </row>
    <row r="3978" spans="13:13" x14ac:dyDescent="0.25">
      <c r="M3978" s="21"/>
    </row>
    <row r="3979" spans="13:13" x14ac:dyDescent="0.25">
      <c r="M3979" s="21"/>
    </row>
    <row r="3980" spans="13:13" x14ac:dyDescent="0.25">
      <c r="M3980" s="21"/>
    </row>
    <row r="3981" spans="13:13" x14ac:dyDescent="0.25">
      <c r="M3981" s="21"/>
    </row>
    <row r="3982" spans="13:13" x14ac:dyDescent="0.25">
      <c r="M3982" s="21"/>
    </row>
    <row r="3983" spans="13:13" x14ac:dyDescent="0.25">
      <c r="M3983" s="21"/>
    </row>
    <row r="3984" spans="13:13" x14ac:dyDescent="0.25">
      <c r="M3984" s="21"/>
    </row>
    <row r="3985" spans="13:13" x14ac:dyDescent="0.25">
      <c r="M3985" s="21"/>
    </row>
    <row r="3986" spans="13:13" x14ac:dyDescent="0.25">
      <c r="M3986" s="21"/>
    </row>
    <row r="3987" spans="13:13" x14ac:dyDescent="0.25">
      <c r="M3987" s="21"/>
    </row>
    <row r="3988" spans="13:13" x14ac:dyDescent="0.25">
      <c r="M3988" s="21"/>
    </row>
    <row r="3989" spans="13:13" x14ac:dyDescent="0.25">
      <c r="M3989" s="21"/>
    </row>
    <row r="3990" spans="13:13" x14ac:dyDescent="0.25">
      <c r="M3990" s="21"/>
    </row>
    <row r="3991" spans="13:13" x14ac:dyDescent="0.25">
      <c r="M3991" s="21"/>
    </row>
    <row r="3992" spans="13:13" x14ac:dyDescent="0.25">
      <c r="M3992" s="21"/>
    </row>
    <row r="3993" spans="13:13" x14ac:dyDescent="0.25">
      <c r="M3993" s="21"/>
    </row>
    <row r="3994" spans="13:13" x14ac:dyDescent="0.25">
      <c r="M3994" s="21"/>
    </row>
    <row r="3995" spans="13:13" x14ac:dyDescent="0.25">
      <c r="M3995" s="21"/>
    </row>
    <row r="3996" spans="13:13" x14ac:dyDescent="0.25">
      <c r="M3996" s="21"/>
    </row>
    <row r="3997" spans="13:13" x14ac:dyDescent="0.25">
      <c r="M3997" s="21"/>
    </row>
    <row r="3998" spans="13:13" x14ac:dyDescent="0.25">
      <c r="M3998" s="21"/>
    </row>
    <row r="3999" spans="13:13" x14ac:dyDescent="0.25">
      <c r="M3999" s="21"/>
    </row>
    <row r="4000" spans="13:13" x14ac:dyDescent="0.25">
      <c r="M4000" s="21"/>
    </row>
    <row r="4001" spans="13:13" x14ac:dyDescent="0.25">
      <c r="M4001" s="21"/>
    </row>
    <row r="4002" spans="13:13" x14ac:dyDescent="0.25">
      <c r="M4002" s="21"/>
    </row>
    <row r="4003" spans="13:13" x14ac:dyDescent="0.25">
      <c r="M4003" s="21"/>
    </row>
    <row r="4004" spans="13:13" x14ac:dyDescent="0.25">
      <c r="M4004" s="21"/>
    </row>
    <row r="4005" spans="13:13" x14ac:dyDescent="0.25">
      <c r="M4005" s="21"/>
    </row>
    <row r="4006" spans="13:13" x14ac:dyDescent="0.25">
      <c r="M4006" s="21"/>
    </row>
    <row r="4007" spans="13:13" x14ac:dyDescent="0.25">
      <c r="M4007" s="21"/>
    </row>
    <row r="4008" spans="13:13" x14ac:dyDescent="0.25">
      <c r="M4008" s="21"/>
    </row>
    <row r="4009" spans="13:13" x14ac:dyDescent="0.25">
      <c r="M4009" s="21"/>
    </row>
    <row r="4010" spans="13:13" x14ac:dyDescent="0.25">
      <c r="M4010" s="21"/>
    </row>
    <row r="4011" spans="13:13" x14ac:dyDescent="0.25">
      <c r="M4011" s="21"/>
    </row>
    <row r="4012" spans="13:13" x14ac:dyDescent="0.25">
      <c r="M4012" s="21"/>
    </row>
    <row r="4013" spans="13:13" x14ac:dyDescent="0.25">
      <c r="M4013" s="21"/>
    </row>
    <row r="4014" spans="13:13" x14ac:dyDescent="0.25">
      <c r="M4014" s="21"/>
    </row>
    <row r="4015" spans="13:13" x14ac:dyDescent="0.25">
      <c r="M4015" s="21"/>
    </row>
    <row r="4016" spans="13:13" x14ac:dyDescent="0.25">
      <c r="M4016" s="21"/>
    </row>
    <row r="4017" spans="13:13" x14ac:dyDescent="0.25">
      <c r="M4017" s="21"/>
    </row>
    <row r="4018" spans="13:13" x14ac:dyDescent="0.25">
      <c r="M4018" s="21"/>
    </row>
    <row r="4019" spans="13:13" x14ac:dyDescent="0.25">
      <c r="M4019" s="21"/>
    </row>
    <row r="4020" spans="13:13" x14ac:dyDescent="0.25">
      <c r="M4020" s="21"/>
    </row>
    <row r="4021" spans="13:13" x14ac:dyDescent="0.25">
      <c r="M4021" s="21"/>
    </row>
    <row r="4022" spans="13:13" x14ac:dyDescent="0.25">
      <c r="M4022" s="21"/>
    </row>
    <row r="4023" spans="13:13" x14ac:dyDescent="0.25">
      <c r="M4023" s="21"/>
    </row>
    <row r="4024" spans="13:13" x14ac:dyDescent="0.25">
      <c r="M4024" s="21"/>
    </row>
    <row r="4025" spans="13:13" x14ac:dyDescent="0.25">
      <c r="M4025" s="21"/>
    </row>
    <row r="4026" spans="13:13" x14ac:dyDescent="0.25">
      <c r="M4026" s="21"/>
    </row>
    <row r="4027" spans="13:13" x14ac:dyDescent="0.25">
      <c r="M4027" s="21"/>
    </row>
    <row r="4028" spans="13:13" x14ac:dyDescent="0.25">
      <c r="M4028" s="21"/>
    </row>
    <row r="4029" spans="13:13" x14ac:dyDescent="0.25">
      <c r="M4029" s="21"/>
    </row>
    <row r="4030" spans="13:13" x14ac:dyDescent="0.25">
      <c r="M4030" s="21"/>
    </row>
    <row r="4031" spans="13:13" x14ac:dyDescent="0.25">
      <c r="M4031" s="21"/>
    </row>
    <row r="4032" spans="13:13" x14ac:dyDescent="0.25">
      <c r="M4032" s="21"/>
    </row>
    <row r="4033" spans="13:13" x14ac:dyDescent="0.25">
      <c r="M4033" s="21"/>
    </row>
    <row r="4034" spans="13:13" x14ac:dyDescent="0.25">
      <c r="M4034" s="21"/>
    </row>
    <row r="4035" spans="13:13" x14ac:dyDescent="0.25">
      <c r="M4035" s="21"/>
    </row>
    <row r="4036" spans="13:13" x14ac:dyDescent="0.25">
      <c r="M4036" s="21"/>
    </row>
    <row r="4037" spans="13:13" x14ac:dyDescent="0.25">
      <c r="M4037" s="21"/>
    </row>
    <row r="4038" spans="13:13" x14ac:dyDescent="0.25">
      <c r="M4038" s="21"/>
    </row>
    <row r="4039" spans="13:13" x14ac:dyDescent="0.25">
      <c r="M4039" s="21"/>
    </row>
    <row r="4040" spans="13:13" x14ac:dyDescent="0.25">
      <c r="M4040" s="21"/>
    </row>
    <row r="4041" spans="13:13" x14ac:dyDescent="0.25">
      <c r="M4041" s="21"/>
    </row>
    <row r="4042" spans="13:13" x14ac:dyDescent="0.25">
      <c r="M4042" s="21"/>
    </row>
    <row r="4043" spans="13:13" x14ac:dyDescent="0.25">
      <c r="M4043" s="21"/>
    </row>
    <row r="4044" spans="13:13" x14ac:dyDescent="0.25">
      <c r="M4044" s="21"/>
    </row>
    <row r="4045" spans="13:13" x14ac:dyDescent="0.25">
      <c r="M4045" s="21"/>
    </row>
    <row r="4046" spans="13:13" x14ac:dyDescent="0.25">
      <c r="M4046" s="21"/>
    </row>
    <row r="4047" spans="13:13" x14ac:dyDescent="0.25">
      <c r="M4047" s="21"/>
    </row>
    <row r="4048" spans="13:13" x14ac:dyDescent="0.25">
      <c r="M4048" s="21"/>
    </row>
    <row r="4049" spans="13:13" x14ac:dyDescent="0.25">
      <c r="M4049" s="21"/>
    </row>
    <row r="4050" spans="13:13" x14ac:dyDescent="0.25">
      <c r="M4050" s="21"/>
    </row>
    <row r="4051" spans="13:13" x14ac:dyDescent="0.25">
      <c r="M4051" s="21"/>
    </row>
    <row r="4052" spans="13:13" x14ac:dyDescent="0.25">
      <c r="M4052" s="21"/>
    </row>
    <row r="4053" spans="13:13" x14ac:dyDescent="0.25">
      <c r="M4053" s="21"/>
    </row>
    <row r="4054" spans="13:13" x14ac:dyDescent="0.25">
      <c r="M4054" s="21"/>
    </row>
    <row r="4055" spans="13:13" x14ac:dyDescent="0.25">
      <c r="M4055" s="21"/>
    </row>
    <row r="4056" spans="13:13" x14ac:dyDescent="0.25">
      <c r="M4056" s="21"/>
    </row>
    <row r="4057" spans="13:13" x14ac:dyDescent="0.25">
      <c r="M4057" s="21"/>
    </row>
    <row r="4058" spans="13:13" x14ac:dyDescent="0.25">
      <c r="M4058" s="21"/>
    </row>
    <row r="4059" spans="13:13" x14ac:dyDescent="0.25">
      <c r="M4059" s="21"/>
    </row>
    <row r="4060" spans="13:13" x14ac:dyDescent="0.25">
      <c r="M4060" s="21"/>
    </row>
    <row r="4061" spans="13:13" x14ac:dyDescent="0.25">
      <c r="M4061" s="21"/>
    </row>
    <row r="4062" spans="13:13" x14ac:dyDescent="0.25">
      <c r="M4062" s="21"/>
    </row>
    <row r="4063" spans="13:13" x14ac:dyDescent="0.25">
      <c r="M4063" s="21"/>
    </row>
    <row r="4064" spans="13:13" x14ac:dyDescent="0.25">
      <c r="M4064" s="21"/>
    </row>
    <row r="4065" spans="13:13" x14ac:dyDescent="0.25">
      <c r="M4065" s="21"/>
    </row>
    <row r="4066" spans="13:13" x14ac:dyDescent="0.25">
      <c r="M4066" s="21"/>
    </row>
    <row r="4067" spans="13:13" x14ac:dyDescent="0.25">
      <c r="M4067" s="21"/>
    </row>
    <row r="4068" spans="13:13" x14ac:dyDescent="0.25">
      <c r="M4068" s="21"/>
    </row>
    <row r="4069" spans="13:13" x14ac:dyDescent="0.25">
      <c r="M4069" s="21"/>
    </row>
    <row r="4070" spans="13:13" x14ac:dyDescent="0.25">
      <c r="M4070" s="21"/>
    </row>
    <row r="4071" spans="13:13" x14ac:dyDescent="0.25">
      <c r="M4071" s="21"/>
    </row>
    <row r="4072" spans="13:13" x14ac:dyDescent="0.25">
      <c r="M4072" s="21"/>
    </row>
    <row r="4073" spans="13:13" x14ac:dyDescent="0.25">
      <c r="M4073" s="21"/>
    </row>
    <row r="4074" spans="13:13" x14ac:dyDescent="0.25">
      <c r="M4074" s="21"/>
    </row>
    <row r="4075" spans="13:13" x14ac:dyDescent="0.25">
      <c r="M4075" s="21"/>
    </row>
    <row r="4076" spans="13:13" x14ac:dyDescent="0.25">
      <c r="M4076" s="21"/>
    </row>
    <row r="4077" spans="13:13" x14ac:dyDescent="0.25">
      <c r="M4077" s="21"/>
    </row>
    <row r="4078" spans="13:13" x14ac:dyDescent="0.25">
      <c r="M4078" s="21"/>
    </row>
    <row r="4079" spans="13:13" x14ac:dyDescent="0.25">
      <c r="M4079" s="21"/>
    </row>
    <row r="4080" spans="13:13" x14ac:dyDescent="0.25">
      <c r="M4080" s="21"/>
    </row>
    <row r="4081" spans="13:13" x14ac:dyDescent="0.25">
      <c r="M4081" s="21"/>
    </row>
    <row r="4082" spans="13:13" x14ac:dyDescent="0.25">
      <c r="M4082" s="21"/>
    </row>
    <row r="4083" spans="13:13" x14ac:dyDescent="0.25">
      <c r="M4083" s="21"/>
    </row>
    <row r="4084" spans="13:13" x14ac:dyDescent="0.25">
      <c r="M4084" s="21"/>
    </row>
    <row r="4085" spans="13:13" x14ac:dyDescent="0.25">
      <c r="M4085" s="21"/>
    </row>
    <row r="4086" spans="13:13" x14ac:dyDescent="0.25">
      <c r="M4086" s="21"/>
    </row>
    <row r="4087" spans="13:13" x14ac:dyDescent="0.25">
      <c r="M4087" s="21"/>
    </row>
    <row r="4088" spans="13:13" x14ac:dyDescent="0.25">
      <c r="M4088" s="21"/>
    </row>
    <row r="4089" spans="13:13" x14ac:dyDescent="0.25">
      <c r="M4089" s="21"/>
    </row>
    <row r="4090" spans="13:13" x14ac:dyDescent="0.25">
      <c r="M4090" s="21"/>
    </row>
    <row r="4091" spans="13:13" x14ac:dyDescent="0.25">
      <c r="M4091" s="21"/>
    </row>
    <row r="4092" spans="13:13" x14ac:dyDescent="0.25">
      <c r="M4092" s="21"/>
    </row>
    <row r="4093" spans="13:13" x14ac:dyDescent="0.25">
      <c r="M4093" s="21"/>
    </row>
    <row r="4094" spans="13:13" x14ac:dyDescent="0.25">
      <c r="M4094" s="21"/>
    </row>
    <row r="4095" spans="13:13" x14ac:dyDescent="0.25">
      <c r="M4095" s="21"/>
    </row>
    <row r="4096" spans="13:13" x14ac:dyDescent="0.25">
      <c r="M4096" s="21"/>
    </row>
    <row r="4097" spans="13:13" x14ac:dyDescent="0.25">
      <c r="M4097" s="21"/>
    </row>
    <row r="4098" spans="13:13" x14ac:dyDescent="0.25">
      <c r="M4098" s="21"/>
    </row>
    <row r="4099" spans="13:13" x14ac:dyDescent="0.25">
      <c r="M4099" s="21"/>
    </row>
    <row r="4100" spans="13:13" x14ac:dyDescent="0.25">
      <c r="M4100" s="21"/>
    </row>
    <row r="4101" spans="13:13" x14ac:dyDescent="0.25">
      <c r="M4101" s="21"/>
    </row>
    <row r="4102" spans="13:13" x14ac:dyDescent="0.25">
      <c r="M4102" s="21"/>
    </row>
    <row r="4103" spans="13:13" x14ac:dyDescent="0.25">
      <c r="M4103" s="21"/>
    </row>
    <row r="4104" spans="13:13" x14ac:dyDescent="0.25">
      <c r="M4104" s="21"/>
    </row>
    <row r="4105" spans="13:13" x14ac:dyDescent="0.25">
      <c r="M4105" s="21"/>
    </row>
    <row r="4106" spans="13:13" x14ac:dyDescent="0.25">
      <c r="M4106" s="21"/>
    </row>
    <row r="4107" spans="13:13" x14ac:dyDescent="0.25">
      <c r="M4107" s="21"/>
    </row>
    <row r="4108" spans="13:13" x14ac:dyDescent="0.25">
      <c r="M4108" s="21"/>
    </row>
    <row r="4109" spans="13:13" x14ac:dyDescent="0.25">
      <c r="M4109" s="21"/>
    </row>
    <row r="4110" spans="13:13" x14ac:dyDescent="0.25">
      <c r="M4110" s="21"/>
    </row>
    <row r="4111" spans="13:13" x14ac:dyDescent="0.25">
      <c r="M4111" s="21"/>
    </row>
    <row r="4112" spans="13:13" x14ac:dyDescent="0.25">
      <c r="M4112" s="21"/>
    </row>
    <row r="4113" spans="13:13" x14ac:dyDescent="0.25">
      <c r="M4113" s="21"/>
    </row>
    <row r="4114" spans="13:13" x14ac:dyDescent="0.25">
      <c r="M4114" s="21"/>
    </row>
    <row r="4115" spans="13:13" x14ac:dyDescent="0.25">
      <c r="M4115" s="21"/>
    </row>
    <row r="4116" spans="13:13" x14ac:dyDescent="0.25">
      <c r="M4116" s="21"/>
    </row>
    <row r="4117" spans="13:13" x14ac:dyDescent="0.25">
      <c r="M4117" s="21"/>
    </row>
    <row r="4118" spans="13:13" x14ac:dyDescent="0.25">
      <c r="M4118" s="21"/>
    </row>
    <row r="4119" spans="13:13" x14ac:dyDescent="0.25">
      <c r="M4119" s="21"/>
    </row>
    <row r="4120" spans="13:13" x14ac:dyDescent="0.25">
      <c r="M4120" s="21"/>
    </row>
    <row r="4121" spans="13:13" x14ac:dyDescent="0.25">
      <c r="M4121" s="21"/>
    </row>
    <row r="4122" spans="13:13" x14ac:dyDescent="0.25">
      <c r="M4122" s="21"/>
    </row>
    <row r="4123" spans="13:13" x14ac:dyDescent="0.25">
      <c r="M4123" s="21"/>
    </row>
    <row r="4124" spans="13:13" x14ac:dyDescent="0.25">
      <c r="M4124" s="21"/>
    </row>
    <row r="4125" spans="13:13" x14ac:dyDescent="0.25">
      <c r="M4125" s="21"/>
    </row>
    <row r="4126" spans="13:13" x14ac:dyDescent="0.25">
      <c r="M4126" s="21"/>
    </row>
    <row r="4127" spans="13:13" x14ac:dyDescent="0.25">
      <c r="M4127" s="21"/>
    </row>
    <row r="4128" spans="13:13" x14ac:dyDescent="0.25">
      <c r="M4128" s="21"/>
    </row>
    <row r="4129" spans="13:13" x14ac:dyDescent="0.25">
      <c r="M4129" s="21"/>
    </row>
    <row r="4130" spans="13:13" x14ac:dyDescent="0.25">
      <c r="M4130" s="21"/>
    </row>
    <row r="4131" spans="13:13" x14ac:dyDescent="0.25">
      <c r="M4131" s="21"/>
    </row>
    <row r="4132" spans="13:13" x14ac:dyDescent="0.25">
      <c r="M4132" s="21"/>
    </row>
    <row r="4133" spans="13:13" x14ac:dyDescent="0.25">
      <c r="M4133" s="21"/>
    </row>
    <row r="4134" spans="13:13" x14ac:dyDescent="0.25">
      <c r="M4134" s="21"/>
    </row>
    <row r="4135" spans="13:13" x14ac:dyDescent="0.25">
      <c r="M4135" s="21"/>
    </row>
    <row r="4136" spans="13:13" x14ac:dyDescent="0.25">
      <c r="M4136" s="21"/>
    </row>
    <row r="4137" spans="13:13" x14ac:dyDescent="0.25">
      <c r="M4137" s="21"/>
    </row>
    <row r="4138" spans="13:13" x14ac:dyDescent="0.25">
      <c r="M4138" s="21"/>
    </row>
    <row r="4139" spans="13:13" x14ac:dyDescent="0.25">
      <c r="M4139" s="21"/>
    </row>
    <row r="4140" spans="13:13" x14ac:dyDescent="0.25">
      <c r="M4140" s="21"/>
    </row>
    <row r="4141" spans="13:13" x14ac:dyDescent="0.25">
      <c r="M4141" s="21"/>
    </row>
    <row r="4142" spans="13:13" x14ac:dyDescent="0.25">
      <c r="M4142" s="21"/>
    </row>
    <row r="4143" spans="13:13" x14ac:dyDescent="0.25">
      <c r="M4143" s="21"/>
    </row>
    <row r="4144" spans="13:13" x14ac:dyDescent="0.25">
      <c r="M4144" s="21"/>
    </row>
    <row r="4145" spans="13:13" x14ac:dyDescent="0.25">
      <c r="M4145" s="21"/>
    </row>
    <row r="4146" spans="13:13" x14ac:dyDescent="0.25">
      <c r="M4146" s="21"/>
    </row>
    <row r="4147" spans="13:13" x14ac:dyDescent="0.25">
      <c r="M4147" s="21"/>
    </row>
    <row r="4148" spans="13:13" x14ac:dyDescent="0.25">
      <c r="M4148" s="21"/>
    </row>
    <row r="4149" spans="13:13" x14ac:dyDescent="0.25">
      <c r="M4149" s="21"/>
    </row>
    <row r="4150" spans="13:13" x14ac:dyDescent="0.25">
      <c r="M4150" s="21"/>
    </row>
    <row r="4151" spans="13:13" x14ac:dyDescent="0.25">
      <c r="M4151" s="21"/>
    </row>
    <row r="4152" spans="13:13" x14ac:dyDescent="0.25">
      <c r="M4152" s="21"/>
    </row>
    <row r="4153" spans="13:13" x14ac:dyDescent="0.25">
      <c r="M4153" s="21"/>
    </row>
    <row r="4154" spans="13:13" x14ac:dyDescent="0.25">
      <c r="M4154" s="21"/>
    </row>
    <row r="4155" spans="13:13" x14ac:dyDescent="0.25">
      <c r="M4155" s="21"/>
    </row>
    <row r="4156" spans="13:13" x14ac:dyDescent="0.25">
      <c r="M4156" s="21"/>
    </row>
    <row r="4157" spans="13:13" x14ac:dyDescent="0.25">
      <c r="M4157" s="21"/>
    </row>
    <row r="4158" spans="13:13" x14ac:dyDescent="0.25">
      <c r="M4158" s="21"/>
    </row>
    <row r="4159" spans="13:13" x14ac:dyDescent="0.25">
      <c r="M4159" s="21"/>
    </row>
    <row r="4160" spans="13:13" x14ac:dyDescent="0.25">
      <c r="M4160" s="21"/>
    </row>
    <row r="4161" spans="13:13" x14ac:dyDescent="0.25">
      <c r="M4161" s="21"/>
    </row>
    <row r="4162" spans="13:13" x14ac:dyDescent="0.25">
      <c r="M4162" s="21"/>
    </row>
    <row r="4163" spans="13:13" x14ac:dyDescent="0.25">
      <c r="M4163" s="21"/>
    </row>
    <row r="4164" spans="13:13" x14ac:dyDescent="0.25">
      <c r="M4164" s="21"/>
    </row>
    <row r="4165" spans="13:13" x14ac:dyDescent="0.25">
      <c r="M4165" s="21"/>
    </row>
    <row r="4166" spans="13:13" x14ac:dyDescent="0.25">
      <c r="M4166" s="21"/>
    </row>
    <row r="4167" spans="13:13" x14ac:dyDescent="0.25">
      <c r="M4167" s="21"/>
    </row>
    <row r="4168" spans="13:13" x14ac:dyDescent="0.25">
      <c r="M4168" s="21"/>
    </row>
    <row r="4169" spans="13:13" x14ac:dyDescent="0.25">
      <c r="M4169" s="21"/>
    </row>
    <row r="4170" spans="13:13" x14ac:dyDescent="0.25">
      <c r="M4170" s="21"/>
    </row>
    <row r="4171" spans="13:13" x14ac:dyDescent="0.25">
      <c r="M4171" s="21"/>
    </row>
    <row r="4172" spans="13:13" x14ac:dyDescent="0.25">
      <c r="M4172" s="21"/>
    </row>
    <row r="4173" spans="13:13" x14ac:dyDescent="0.25">
      <c r="M4173" s="21"/>
    </row>
    <row r="4174" spans="13:13" x14ac:dyDescent="0.25">
      <c r="M4174" s="21"/>
    </row>
    <row r="4175" spans="13:13" x14ac:dyDescent="0.25">
      <c r="M4175" s="21"/>
    </row>
    <row r="4176" spans="13:13" x14ac:dyDescent="0.25">
      <c r="M4176" s="21"/>
    </row>
    <row r="4177" spans="13:13" x14ac:dyDescent="0.25">
      <c r="M4177" s="21"/>
    </row>
    <row r="4178" spans="13:13" x14ac:dyDescent="0.25">
      <c r="M4178" s="21"/>
    </row>
    <row r="4179" spans="13:13" x14ac:dyDescent="0.25">
      <c r="M4179" s="21"/>
    </row>
    <row r="4180" spans="13:13" x14ac:dyDescent="0.25">
      <c r="M4180" s="21"/>
    </row>
    <row r="4181" spans="13:13" x14ac:dyDescent="0.25">
      <c r="M4181" s="21"/>
    </row>
    <row r="4182" spans="13:13" x14ac:dyDescent="0.25">
      <c r="M4182" s="21"/>
    </row>
    <row r="4183" spans="13:13" x14ac:dyDescent="0.25">
      <c r="M4183" s="21"/>
    </row>
    <row r="4184" spans="13:13" x14ac:dyDescent="0.25">
      <c r="M4184" s="21"/>
    </row>
    <row r="4185" spans="13:13" x14ac:dyDescent="0.25">
      <c r="M4185" s="21"/>
    </row>
    <row r="4186" spans="13:13" x14ac:dyDescent="0.25">
      <c r="M4186" s="21"/>
    </row>
    <row r="4187" spans="13:13" x14ac:dyDescent="0.25">
      <c r="M4187" s="21"/>
    </row>
    <row r="4188" spans="13:13" x14ac:dyDescent="0.25">
      <c r="M4188" s="21"/>
    </row>
    <row r="4189" spans="13:13" x14ac:dyDescent="0.25">
      <c r="M4189" s="21"/>
    </row>
    <row r="4190" spans="13:13" x14ac:dyDescent="0.25">
      <c r="M4190" s="21"/>
    </row>
    <row r="4191" spans="13:13" x14ac:dyDescent="0.25">
      <c r="M4191" s="21"/>
    </row>
    <row r="4192" spans="13:13" x14ac:dyDescent="0.25">
      <c r="M4192" s="21"/>
    </row>
    <row r="4193" spans="13:13" x14ac:dyDescent="0.25">
      <c r="M4193" s="21"/>
    </row>
    <row r="4194" spans="13:13" x14ac:dyDescent="0.25">
      <c r="M4194" s="21"/>
    </row>
    <row r="4195" spans="13:13" x14ac:dyDescent="0.25">
      <c r="M4195" s="21"/>
    </row>
    <row r="4196" spans="13:13" x14ac:dyDescent="0.25">
      <c r="M4196" s="21"/>
    </row>
    <row r="4197" spans="13:13" x14ac:dyDescent="0.25">
      <c r="M4197" s="21"/>
    </row>
    <row r="4198" spans="13:13" x14ac:dyDescent="0.25">
      <c r="M4198" s="21"/>
    </row>
    <row r="4199" spans="13:13" x14ac:dyDescent="0.25">
      <c r="M4199" s="21"/>
    </row>
    <row r="4200" spans="13:13" x14ac:dyDescent="0.25">
      <c r="M4200" s="21"/>
    </row>
    <row r="4201" spans="13:13" x14ac:dyDescent="0.25">
      <c r="M4201" s="21"/>
    </row>
    <row r="4202" spans="13:13" x14ac:dyDescent="0.25">
      <c r="M4202" s="21"/>
    </row>
    <row r="4203" spans="13:13" x14ac:dyDescent="0.25">
      <c r="M4203" s="21"/>
    </row>
    <row r="4204" spans="13:13" x14ac:dyDescent="0.25">
      <c r="M4204" s="21"/>
    </row>
    <row r="4205" spans="13:13" x14ac:dyDescent="0.25">
      <c r="M4205" s="21"/>
    </row>
    <row r="4206" spans="13:13" x14ac:dyDescent="0.25">
      <c r="M4206" s="21"/>
    </row>
    <row r="4207" spans="13:13" x14ac:dyDescent="0.25">
      <c r="M4207" s="21"/>
    </row>
    <row r="4208" spans="13:13" x14ac:dyDescent="0.25">
      <c r="M4208" s="21"/>
    </row>
    <row r="4209" spans="13:13" x14ac:dyDescent="0.25">
      <c r="M4209" s="21"/>
    </row>
    <row r="4210" spans="13:13" x14ac:dyDescent="0.25">
      <c r="M4210" s="21"/>
    </row>
    <row r="4211" spans="13:13" x14ac:dyDescent="0.25">
      <c r="M4211" s="21"/>
    </row>
    <row r="4212" spans="13:13" x14ac:dyDescent="0.25">
      <c r="M4212" s="21"/>
    </row>
    <row r="4213" spans="13:13" x14ac:dyDescent="0.25">
      <c r="M4213" s="21"/>
    </row>
    <row r="4214" spans="13:13" x14ac:dyDescent="0.25">
      <c r="M4214" s="21"/>
    </row>
    <row r="4215" spans="13:13" x14ac:dyDescent="0.25">
      <c r="M4215" s="21"/>
    </row>
    <row r="4216" spans="13:13" x14ac:dyDescent="0.25">
      <c r="M4216" s="21"/>
    </row>
    <row r="4217" spans="13:13" x14ac:dyDescent="0.25">
      <c r="M4217" s="21"/>
    </row>
    <row r="4218" spans="13:13" x14ac:dyDescent="0.25">
      <c r="M4218" s="21"/>
    </row>
    <row r="4219" spans="13:13" x14ac:dyDescent="0.25">
      <c r="M4219" s="21"/>
    </row>
    <row r="4220" spans="13:13" x14ac:dyDescent="0.25">
      <c r="M4220" s="21"/>
    </row>
    <row r="4221" spans="13:13" x14ac:dyDescent="0.25">
      <c r="M4221" s="21"/>
    </row>
    <row r="4222" spans="13:13" x14ac:dyDescent="0.25">
      <c r="M4222" s="21"/>
    </row>
    <row r="4223" spans="13:13" x14ac:dyDescent="0.25">
      <c r="M4223" s="21"/>
    </row>
    <row r="4224" spans="13:13" x14ac:dyDescent="0.25">
      <c r="M4224" s="21"/>
    </row>
    <row r="4225" spans="13:13" x14ac:dyDescent="0.25">
      <c r="M4225" s="21"/>
    </row>
    <row r="4226" spans="13:13" x14ac:dyDescent="0.25">
      <c r="M4226" s="21"/>
    </row>
    <row r="4227" spans="13:13" x14ac:dyDescent="0.25">
      <c r="M4227" s="21"/>
    </row>
    <row r="4228" spans="13:13" x14ac:dyDescent="0.25">
      <c r="M4228" s="21"/>
    </row>
    <row r="4229" spans="13:13" x14ac:dyDescent="0.25">
      <c r="M4229" s="21"/>
    </row>
    <row r="4230" spans="13:13" x14ac:dyDescent="0.25">
      <c r="M4230" s="21"/>
    </row>
    <row r="4231" spans="13:13" x14ac:dyDescent="0.25">
      <c r="M4231" s="21"/>
    </row>
    <row r="4232" spans="13:13" x14ac:dyDescent="0.25">
      <c r="M4232" s="21"/>
    </row>
    <row r="4233" spans="13:13" x14ac:dyDescent="0.25">
      <c r="M4233" s="21"/>
    </row>
    <row r="4234" spans="13:13" x14ac:dyDescent="0.25">
      <c r="M4234" s="21"/>
    </row>
    <row r="4235" spans="13:13" x14ac:dyDescent="0.25">
      <c r="M4235" s="21"/>
    </row>
    <row r="4236" spans="13:13" x14ac:dyDescent="0.25">
      <c r="M4236" s="21"/>
    </row>
    <row r="4237" spans="13:13" x14ac:dyDescent="0.25">
      <c r="M4237" s="21"/>
    </row>
    <row r="4238" spans="13:13" x14ac:dyDescent="0.25">
      <c r="M4238" s="21"/>
    </row>
    <row r="4239" spans="13:13" x14ac:dyDescent="0.25">
      <c r="M4239" s="21"/>
    </row>
    <row r="4240" spans="13:13" x14ac:dyDescent="0.25">
      <c r="M4240" s="21"/>
    </row>
    <row r="4241" spans="13:13" x14ac:dyDescent="0.25">
      <c r="M4241" s="21"/>
    </row>
    <row r="4242" spans="13:13" x14ac:dyDescent="0.25">
      <c r="M4242" s="21"/>
    </row>
    <row r="4243" spans="13:13" x14ac:dyDescent="0.25">
      <c r="M4243" s="21"/>
    </row>
    <row r="4244" spans="13:13" x14ac:dyDescent="0.25">
      <c r="M4244" s="21"/>
    </row>
    <row r="4245" spans="13:13" x14ac:dyDescent="0.25">
      <c r="M4245" s="21"/>
    </row>
    <row r="4246" spans="13:13" x14ac:dyDescent="0.25">
      <c r="M4246" s="21"/>
    </row>
    <row r="4247" spans="13:13" x14ac:dyDescent="0.25">
      <c r="M4247" s="21"/>
    </row>
    <row r="4248" spans="13:13" x14ac:dyDescent="0.25">
      <c r="M4248" s="21"/>
    </row>
    <row r="4249" spans="13:13" x14ac:dyDescent="0.25">
      <c r="M4249" s="21"/>
    </row>
    <row r="4250" spans="13:13" x14ac:dyDescent="0.25">
      <c r="M4250" s="21"/>
    </row>
    <row r="4251" spans="13:13" x14ac:dyDescent="0.25">
      <c r="M4251" s="21"/>
    </row>
    <row r="4252" spans="13:13" x14ac:dyDescent="0.25">
      <c r="M4252" s="21"/>
    </row>
    <row r="4253" spans="13:13" x14ac:dyDescent="0.25">
      <c r="M4253" s="21"/>
    </row>
    <row r="4254" spans="13:13" x14ac:dyDescent="0.25">
      <c r="M4254" s="21"/>
    </row>
    <row r="4255" spans="13:13" x14ac:dyDescent="0.25">
      <c r="M4255" s="21"/>
    </row>
    <row r="4256" spans="13:13" x14ac:dyDescent="0.25">
      <c r="M4256" s="21"/>
    </row>
    <row r="4257" spans="13:13" x14ac:dyDescent="0.25">
      <c r="M4257" s="21"/>
    </row>
    <row r="4258" spans="13:13" x14ac:dyDescent="0.25">
      <c r="M4258" s="21"/>
    </row>
    <row r="4259" spans="13:13" x14ac:dyDescent="0.25">
      <c r="M4259" s="21"/>
    </row>
    <row r="4260" spans="13:13" x14ac:dyDescent="0.25">
      <c r="M4260" s="21"/>
    </row>
    <row r="4261" spans="13:13" x14ac:dyDescent="0.25">
      <c r="M4261" s="21"/>
    </row>
    <row r="4262" spans="13:13" x14ac:dyDescent="0.25">
      <c r="M4262" s="21"/>
    </row>
    <row r="4263" spans="13:13" x14ac:dyDescent="0.25">
      <c r="M4263" s="21"/>
    </row>
    <row r="4264" spans="13:13" x14ac:dyDescent="0.25">
      <c r="M4264" s="21"/>
    </row>
    <row r="4265" spans="13:13" x14ac:dyDescent="0.25">
      <c r="M4265" s="21"/>
    </row>
    <row r="4266" spans="13:13" x14ac:dyDescent="0.25">
      <c r="M4266" s="21"/>
    </row>
    <row r="4267" spans="13:13" x14ac:dyDescent="0.25">
      <c r="M4267" s="21"/>
    </row>
    <row r="4268" spans="13:13" x14ac:dyDescent="0.25">
      <c r="M4268" s="21"/>
    </row>
    <row r="4269" spans="13:13" x14ac:dyDescent="0.25">
      <c r="M4269" s="21"/>
    </row>
    <row r="4270" spans="13:13" x14ac:dyDescent="0.25">
      <c r="M4270" s="21"/>
    </row>
    <row r="4271" spans="13:13" x14ac:dyDescent="0.25">
      <c r="M4271" s="21"/>
    </row>
    <row r="4272" spans="13:13" x14ac:dyDescent="0.25">
      <c r="M4272" s="21"/>
    </row>
    <row r="4273" spans="13:13" x14ac:dyDescent="0.25">
      <c r="M4273" s="21"/>
    </row>
    <row r="4274" spans="13:13" x14ac:dyDescent="0.25">
      <c r="M4274" s="21"/>
    </row>
    <row r="4275" spans="13:13" x14ac:dyDescent="0.25">
      <c r="M4275" s="21"/>
    </row>
    <row r="4276" spans="13:13" x14ac:dyDescent="0.25">
      <c r="M4276" s="21"/>
    </row>
    <row r="4277" spans="13:13" x14ac:dyDescent="0.25">
      <c r="M4277" s="21"/>
    </row>
    <row r="4278" spans="13:13" x14ac:dyDescent="0.25">
      <c r="M4278" s="21"/>
    </row>
    <row r="4279" spans="13:13" x14ac:dyDescent="0.25">
      <c r="M4279" s="21"/>
    </row>
    <row r="4280" spans="13:13" x14ac:dyDescent="0.25">
      <c r="M4280" s="21"/>
    </row>
    <row r="4281" spans="13:13" x14ac:dyDescent="0.25">
      <c r="M4281" s="21"/>
    </row>
    <row r="4282" spans="13:13" x14ac:dyDescent="0.25">
      <c r="M4282" s="21"/>
    </row>
    <row r="4283" spans="13:13" x14ac:dyDescent="0.25">
      <c r="M4283" s="21"/>
    </row>
    <row r="4284" spans="13:13" x14ac:dyDescent="0.25">
      <c r="M4284" s="21"/>
    </row>
    <row r="4285" spans="13:13" x14ac:dyDescent="0.25">
      <c r="M4285" s="21"/>
    </row>
    <row r="4286" spans="13:13" x14ac:dyDescent="0.25">
      <c r="M4286" s="21"/>
    </row>
    <row r="4287" spans="13:13" x14ac:dyDescent="0.25">
      <c r="M4287" s="21"/>
    </row>
    <row r="4288" spans="13:13" x14ac:dyDescent="0.25">
      <c r="M4288" s="21"/>
    </row>
    <row r="4289" spans="13:13" x14ac:dyDescent="0.25">
      <c r="M4289" s="21"/>
    </row>
    <row r="4290" spans="13:13" x14ac:dyDescent="0.25">
      <c r="M4290" s="21"/>
    </row>
    <row r="4291" spans="13:13" x14ac:dyDescent="0.25">
      <c r="M4291" s="21"/>
    </row>
    <row r="4292" spans="13:13" x14ac:dyDescent="0.25">
      <c r="M4292" s="21"/>
    </row>
    <row r="4293" spans="13:13" x14ac:dyDescent="0.25">
      <c r="M4293" s="21"/>
    </row>
    <row r="4294" spans="13:13" x14ac:dyDescent="0.25">
      <c r="M4294" s="21"/>
    </row>
    <row r="4295" spans="13:13" x14ac:dyDescent="0.25">
      <c r="M4295" s="21"/>
    </row>
    <row r="4296" spans="13:13" x14ac:dyDescent="0.25">
      <c r="M4296" s="21"/>
    </row>
    <row r="4297" spans="13:13" x14ac:dyDescent="0.25">
      <c r="M4297" s="21"/>
    </row>
    <row r="4298" spans="13:13" x14ac:dyDescent="0.25">
      <c r="M4298" s="21"/>
    </row>
    <row r="4299" spans="13:13" x14ac:dyDescent="0.25">
      <c r="M4299" s="21"/>
    </row>
    <row r="4300" spans="13:13" x14ac:dyDescent="0.25">
      <c r="M4300" s="21"/>
    </row>
    <row r="4301" spans="13:13" x14ac:dyDescent="0.25">
      <c r="M4301" s="21"/>
    </row>
    <row r="4302" spans="13:13" x14ac:dyDescent="0.25">
      <c r="M4302" s="21"/>
    </row>
    <row r="4303" spans="13:13" x14ac:dyDescent="0.25">
      <c r="M4303" s="21"/>
    </row>
    <row r="4304" spans="13:13" x14ac:dyDescent="0.25">
      <c r="M4304" s="21"/>
    </row>
    <row r="4305" spans="13:13" x14ac:dyDescent="0.25">
      <c r="M4305" s="21"/>
    </row>
    <row r="4306" spans="13:13" x14ac:dyDescent="0.25">
      <c r="M4306" s="21"/>
    </row>
    <row r="4307" spans="13:13" x14ac:dyDescent="0.25">
      <c r="M4307" s="21"/>
    </row>
    <row r="4308" spans="13:13" x14ac:dyDescent="0.25">
      <c r="M4308" s="21"/>
    </row>
    <row r="4309" spans="13:13" x14ac:dyDescent="0.25">
      <c r="M4309" s="21"/>
    </row>
    <row r="4310" spans="13:13" x14ac:dyDescent="0.25">
      <c r="M4310" s="21"/>
    </row>
    <row r="4311" spans="13:13" x14ac:dyDescent="0.25">
      <c r="M4311" s="21"/>
    </row>
    <row r="4312" spans="13:13" x14ac:dyDescent="0.25">
      <c r="M4312" s="21"/>
    </row>
    <row r="4313" spans="13:13" x14ac:dyDescent="0.25">
      <c r="M4313" s="21"/>
    </row>
    <row r="4314" spans="13:13" x14ac:dyDescent="0.25">
      <c r="M4314" s="21"/>
    </row>
    <row r="4315" spans="13:13" x14ac:dyDescent="0.25">
      <c r="M4315" s="21"/>
    </row>
    <row r="4316" spans="13:13" x14ac:dyDescent="0.25">
      <c r="M4316" s="21"/>
    </row>
    <row r="4317" spans="13:13" x14ac:dyDescent="0.25">
      <c r="M4317" s="21"/>
    </row>
    <row r="4318" spans="13:13" x14ac:dyDescent="0.25">
      <c r="M4318" s="21"/>
    </row>
    <row r="4319" spans="13:13" x14ac:dyDescent="0.25">
      <c r="M4319" s="21"/>
    </row>
    <row r="4320" spans="13:13" x14ac:dyDescent="0.25">
      <c r="M4320" s="21"/>
    </row>
    <row r="4321" spans="13:13" x14ac:dyDescent="0.25">
      <c r="M4321" s="21"/>
    </row>
    <row r="4322" spans="13:13" x14ac:dyDescent="0.25">
      <c r="M4322" s="21"/>
    </row>
    <row r="4323" spans="13:13" x14ac:dyDescent="0.25">
      <c r="M4323" s="21"/>
    </row>
    <row r="4324" spans="13:13" x14ac:dyDescent="0.25">
      <c r="M4324" s="21"/>
    </row>
    <row r="4325" spans="13:13" x14ac:dyDescent="0.25">
      <c r="M4325" s="21"/>
    </row>
    <row r="4326" spans="13:13" x14ac:dyDescent="0.25">
      <c r="M4326" s="21"/>
    </row>
    <row r="4327" spans="13:13" x14ac:dyDescent="0.25">
      <c r="M4327" s="21"/>
    </row>
    <row r="4328" spans="13:13" x14ac:dyDescent="0.25">
      <c r="M4328" s="21"/>
    </row>
    <row r="4329" spans="13:13" x14ac:dyDescent="0.25">
      <c r="M4329" s="21"/>
    </row>
    <row r="4330" spans="13:13" x14ac:dyDescent="0.25">
      <c r="M4330" s="21"/>
    </row>
    <row r="4331" spans="13:13" x14ac:dyDescent="0.25">
      <c r="M4331" s="21"/>
    </row>
    <row r="4332" spans="13:13" x14ac:dyDescent="0.25">
      <c r="M4332" s="21"/>
    </row>
    <row r="4333" spans="13:13" x14ac:dyDescent="0.25">
      <c r="M4333" s="21"/>
    </row>
    <row r="4334" spans="13:13" x14ac:dyDescent="0.25">
      <c r="M4334" s="21"/>
    </row>
    <row r="4335" spans="13:13" x14ac:dyDescent="0.25">
      <c r="M4335" s="21"/>
    </row>
    <row r="4336" spans="13:13" x14ac:dyDescent="0.25">
      <c r="M4336" s="21"/>
    </row>
    <row r="4337" spans="13:13" x14ac:dyDescent="0.25">
      <c r="M4337" s="21"/>
    </row>
    <row r="4338" spans="13:13" x14ac:dyDescent="0.25">
      <c r="M4338" s="21"/>
    </row>
    <row r="4339" spans="13:13" x14ac:dyDescent="0.25">
      <c r="M4339" s="21"/>
    </row>
    <row r="4340" spans="13:13" x14ac:dyDescent="0.25">
      <c r="M4340" s="21"/>
    </row>
    <row r="4341" spans="13:13" x14ac:dyDescent="0.25">
      <c r="M4341" s="21"/>
    </row>
    <row r="4342" spans="13:13" x14ac:dyDescent="0.25">
      <c r="M4342" s="21"/>
    </row>
    <row r="4343" spans="13:13" x14ac:dyDescent="0.25">
      <c r="M4343" s="21"/>
    </row>
    <row r="4344" spans="13:13" x14ac:dyDescent="0.25">
      <c r="M4344" s="21"/>
    </row>
    <row r="4345" spans="13:13" x14ac:dyDescent="0.25">
      <c r="M4345" s="21"/>
    </row>
    <row r="4346" spans="13:13" x14ac:dyDescent="0.25">
      <c r="M4346" s="21"/>
    </row>
    <row r="4347" spans="13:13" x14ac:dyDescent="0.25">
      <c r="M4347" s="21"/>
    </row>
    <row r="4348" spans="13:13" x14ac:dyDescent="0.25">
      <c r="M4348" s="21"/>
    </row>
    <row r="4349" spans="13:13" x14ac:dyDescent="0.25">
      <c r="M4349" s="21"/>
    </row>
    <row r="4350" spans="13:13" x14ac:dyDescent="0.25">
      <c r="M4350" s="21"/>
    </row>
    <row r="4351" spans="13:13" x14ac:dyDescent="0.25">
      <c r="M4351" s="21"/>
    </row>
    <row r="4352" spans="13:13" x14ac:dyDescent="0.25">
      <c r="M4352" s="21"/>
    </row>
    <row r="4353" spans="13:13" x14ac:dyDescent="0.25">
      <c r="M4353" s="21"/>
    </row>
    <row r="4354" spans="13:13" x14ac:dyDescent="0.25">
      <c r="M4354" s="21"/>
    </row>
    <row r="4355" spans="13:13" x14ac:dyDescent="0.25">
      <c r="M4355" s="21"/>
    </row>
    <row r="4356" spans="13:13" x14ac:dyDescent="0.25">
      <c r="M4356" s="21"/>
    </row>
    <row r="4357" spans="13:13" x14ac:dyDescent="0.25">
      <c r="M4357" s="21"/>
    </row>
    <row r="4358" spans="13:13" x14ac:dyDescent="0.25">
      <c r="M4358" s="21"/>
    </row>
    <row r="4359" spans="13:13" x14ac:dyDescent="0.25">
      <c r="M4359" s="21"/>
    </row>
    <row r="4360" spans="13:13" x14ac:dyDescent="0.25">
      <c r="M4360" s="21"/>
    </row>
    <row r="4361" spans="13:13" x14ac:dyDescent="0.25">
      <c r="M4361" s="21"/>
    </row>
    <row r="4362" spans="13:13" x14ac:dyDescent="0.25">
      <c r="M4362" s="21"/>
    </row>
    <row r="4363" spans="13:13" x14ac:dyDescent="0.25">
      <c r="M4363" s="21"/>
    </row>
    <row r="4364" spans="13:13" x14ac:dyDescent="0.25">
      <c r="M4364" s="21"/>
    </row>
    <row r="4365" spans="13:13" x14ac:dyDescent="0.25">
      <c r="M4365" s="21"/>
    </row>
    <row r="4366" spans="13:13" x14ac:dyDescent="0.25">
      <c r="M4366" s="21"/>
    </row>
    <row r="4367" spans="13:13" x14ac:dyDescent="0.25">
      <c r="M4367" s="21"/>
    </row>
    <row r="4368" spans="13:13" x14ac:dyDescent="0.25">
      <c r="M4368" s="21"/>
    </row>
    <row r="4369" spans="13:13" x14ac:dyDescent="0.25">
      <c r="M4369" s="21"/>
    </row>
    <row r="4370" spans="13:13" x14ac:dyDescent="0.25">
      <c r="M4370" s="21"/>
    </row>
    <row r="4371" spans="13:13" x14ac:dyDescent="0.25">
      <c r="M4371" s="21"/>
    </row>
    <row r="4372" spans="13:13" x14ac:dyDescent="0.25">
      <c r="M4372" s="21"/>
    </row>
    <row r="4373" spans="13:13" x14ac:dyDescent="0.25">
      <c r="M4373" s="21"/>
    </row>
    <row r="4374" spans="13:13" x14ac:dyDescent="0.25">
      <c r="M4374" s="21"/>
    </row>
    <row r="4375" spans="13:13" x14ac:dyDescent="0.25">
      <c r="M4375" s="21"/>
    </row>
    <row r="4376" spans="13:13" x14ac:dyDescent="0.25">
      <c r="M4376" s="21"/>
    </row>
    <row r="4377" spans="13:13" x14ac:dyDescent="0.25">
      <c r="M4377" s="21"/>
    </row>
    <row r="4378" spans="13:13" x14ac:dyDescent="0.25">
      <c r="M4378" s="21"/>
    </row>
    <row r="4379" spans="13:13" x14ac:dyDescent="0.25">
      <c r="M4379" s="21"/>
    </row>
    <row r="4380" spans="13:13" x14ac:dyDescent="0.25">
      <c r="M4380" s="21"/>
    </row>
    <row r="4381" spans="13:13" x14ac:dyDescent="0.25">
      <c r="M4381" s="21"/>
    </row>
    <row r="4382" spans="13:13" x14ac:dyDescent="0.25">
      <c r="M4382" s="21"/>
    </row>
    <row r="4383" spans="13:13" x14ac:dyDescent="0.25">
      <c r="M4383" s="21"/>
    </row>
    <row r="4384" spans="13:13" x14ac:dyDescent="0.25">
      <c r="M4384" s="21"/>
    </row>
    <row r="4385" spans="13:13" x14ac:dyDescent="0.25">
      <c r="M4385" s="21"/>
    </row>
    <row r="4386" spans="13:13" x14ac:dyDescent="0.25">
      <c r="M4386" s="21"/>
    </row>
    <row r="4387" spans="13:13" x14ac:dyDescent="0.25">
      <c r="M4387" s="21"/>
    </row>
    <row r="4388" spans="13:13" x14ac:dyDescent="0.25">
      <c r="M4388" s="21"/>
    </row>
    <row r="4389" spans="13:13" x14ac:dyDescent="0.25">
      <c r="M4389" s="21"/>
    </row>
    <row r="4390" spans="13:13" x14ac:dyDescent="0.25">
      <c r="M4390" s="21"/>
    </row>
    <row r="4391" spans="13:13" x14ac:dyDescent="0.25">
      <c r="M4391" s="21"/>
    </row>
    <row r="4392" spans="13:13" x14ac:dyDescent="0.25">
      <c r="M4392" s="21"/>
    </row>
    <row r="4393" spans="13:13" x14ac:dyDescent="0.25">
      <c r="M4393" s="21"/>
    </row>
    <row r="4394" spans="13:13" x14ac:dyDescent="0.25">
      <c r="M4394" s="21"/>
    </row>
    <row r="4395" spans="13:13" x14ac:dyDescent="0.25">
      <c r="M4395" s="21"/>
    </row>
    <row r="4396" spans="13:13" x14ac:dyDescent="0.25">
      <c r="M4396" s="21"/>
    </row>
    <row r="4397" spans="13:13" x14ac:dyDescent="0.25">
      <c r="M4397" s="21"/>
    </row>
    <row r="4398" spans="13:13" x14ac:dyDescent="0.25">
      <c r="M4398" s="21"/>
    </row>
    <row r="4399" spans="13:13" x14ac:dyDescent="0.25">
      <c r="M4399" s="21"/>
    </row>
    <row r="4400" spans="13:13" x14ac:dyDescent="0.25">
      <c r="M4400" s="21"/>
    </row>
    <row r="4401" spans="13:13" x14ac:dyDescent="0.25">
      <c r="M4401" s="21"/>
    </row>
    <row r="4402" spans="13:13" x14ac:dyDescent="0.25">
      <c r="M4402" s="21"/>
    </row>
    <row r="4403" spans="13:13" x14ac:dyDescent="0.25">
      <c r="M4403" s="21"/>
    </row>
    <row r="4404" spans="13:13" x14ac:dyDescent="0.25">
      <c r="M4404" s="21"/>
    </row>
    <row r="4405" spans="13:13" x14ac:dyDescent="0.25">
      <c r="M4405" s="21"/>
    </row>
    <row r="4406" spans="13:13" x14ac:dyDescent="0.25">
      <c r="M4406" s="21"/>
    </row>
    <row r="4407" spans="13:13" x14ac:dyDescent="0.25">
      <c r="M4407" s="21"/>
    </row>
    <row r="4408" spans="13:13" x14ac:dyDescent="0.25">
      <c r="M4408" s="21"/>
    </row>
    <row r="4409" spans="13:13" x14ac:dyDescent="0.25">
      <c r="M4409" s="21"/>
    </row>
    <row r="4410" spans="13:13" x14ac:dyDescent="0.25">
      <c r="M4410" s="21"/>
    </row>
    <row r="4411" spans="13:13" x14ac:dyDescent="0.25">
      <c r="M4411" s="21"/>
    </row>
    <row r="4412" spans="13:13" x14ac:dyDescent="0.25">
      <c r="M4412" s="21"/>
    </row>
    <row r="4413" spans="13:13" x14ac:dyDescent="0.25">
      <c r="M4413" s="21"/>
    </row>
    <row r="4414" spans="13:13" x14ac:dyDescent="0.25">
      <c r="M4414" s="21"/>
    </row>
    <row r="4415" spans="13:13" x14ac:dyDescent="0.25">
      <c r="M4415" s="21"/>
    </row>
    <row r="4416" spans="13:13" x14ac:dyDescent="0.25">
      <c r="M4416" s="21"/>
    </row>
    <row r="4417" spans="13:13" x14ac:dyDescent="0.25">
      <c r="M4417" s="21"/>
    </row>
    <row r="4418" spans="13:13" x14ac:dyDescent="0.25">
      <c r="M4418" s="21"/>
    </row>
    <row r="4419" spans="13:13" x14ac:dyDescent="0.25">
      <c r="M4419" s="21"/>
    </row>
    <row r="4420" spans="13:13" x14ac:dyDescent="0.25">
      <c r="M4420" s="21"/>
    </row>
    <row r="4421" spans="13:13" x14ac:dyDescent="0.25">
      <c r="M4421" s="21"/>
    </row>
    <row r="4422" spans="13:13" x14ac:dyDescent="0.25">
      <c r="M4422" s="21"/>
    </row>
    <row r="4423" spans="13:13" x14ac:dyDescent="0.25">
      <c r="M4423" s="21"/>
    </row>
    <row r="4424" spans="13:13" x14ac:dyDescent="0.25">
      <c r="M4424" s="21"/>
    </row>
    <row r="4425" spans="13:13" x14ac:dyDescent="0.25">
      <c r="M4425" s="21"/>
    </row>
    <row r="4426" spans="13:13" x14ac:dyDescent="0.25">
      <c r="M4426" s="21"/>
    </row>
    <row r="4427" spans="13:13" x14ac:dyDescent="0.25">
      <c r="M4427" s="21"/>
    </row>
    <row r="4428" spans="13:13" x14ac:dyDescent="0.25">
      <c r="M4428" s="21"/>
    </row>
    <row r="4429" spans="13:13" x14ac:dyDescent="0.25">
      <c r="M4429" s="21"/>
    </row>
    <row r="4430" spans="13:13" x14ac:dyDescent="0.25">
      <c r="M4430" s="21"/>
    </row>
    <row r="4431" spans="13:13" x14ac:dyDescent="0.25">
      <c r="M4431" s="21"/>
    </row>
    <row r="4432" spans="13:13" x14ac:dyDescent="0.25">
      <c r="M4432" s="21"/>
    </row>
    <row r="4433" spans="13:13" x14ac:dyDescent="0.25">
      <c r="M4433" s="21"/>
    </row>
    <row r="4434" spans="13:13" x14ac:dyDescent="0.25">
      <c r="M4434" s="21"/>
    </row>
    <row r="4435" spans="13:13" x14ac:dyDescent="0.25">
      <c r="M4435" s="21"/>
    </row>
    <row r="4436" spans="13:13" x14ac:dyDescent="0.25">
      <c r="M4436" s="21"/>
    </row>
    <row r="4437" spans="13:13" x14ac:dyDescent="0.25">
      <c r="M4437" s="21"/>
    </row>
    <row r="4438" spans="13:13" x14ac:dyDescent="0.25">
      <c r="M4438" s="21"/>
    </row>
    <row r="4439" spans="13:13" x14ac:dyDescent="0.25">
      <c r="M4439" s="21"/>
    </row>
    <row r="4440" spans="13:13" x14ac:dyDescent="0.25">
      <c r="M4440" s="21"/>
    </row>
    <row r="4441" spans="13:13" x14ac:dyDescent="0.25">
      <c r="M4441" s="21"/>
    </row>
    <row r="4442" spans="13:13" x14ac:dyDescent="0.25">
      <c r="M4442" s="21"/>
    </row>
    <row r="4443" spans="13:13" x14ac:dyDescent="0.25">
      <c r="M4443" s="21"/>
    </row>
    <row r="4444" spans="13:13" x14ac:dyDescent="0.25">
      <c r="M4444" s="21"/>
    </row>
    <row r="4445" spans="13:13" x14ac:dyDescent="0.25">
      <c r="M4445" s="21"/>
    </row>
    <row r="4446" spans="13:13" x14ac:dyDescent="0.25">
      <c r="M4446" s="21"/>
    </row>
    <row r="4447" spans="13:13" x14ac:dyDescent="0.25">
      <c r="M4447" s="21"/>
    </row>
    <row r="4448" spans="13:13" x14ac:dyDescent="0.25">
      <c r="M4448" s="21"/>
    </row>
    <row r="4449" spans="13:13" x14ac:dyDescent="0.25">
      <c r="M4449" s="21"/>
    </row>
    <row r="4450" spans="13:13" x14ac:dyDescent="0.25">
      <c r="M4450" s="21"/>
    </row>
    <row r="4451" spans="13:13" x14ac:dyDescent="0.25">
      <c r="M4451" s="21"/>
    </row>
    <row r="4452" spans="13:13" x14ac:dyDescent="0.25">
      <c r="M4452" s="21"/>
    </row>
    <row r="4453" spans="13:13" x14ac:dyDescent="0.25">
      <c r="M4453" s="21"/>
    </row>
    <row r="4454" spans="13:13" x14ac:dyDescent="0.25">
      <c r="M4454" s="21"/>
    </row>
    <row r="4455" spans="13:13" x14ac:dyDescent="0.25">
      <c r="M4455" s="21"/>
    </row>
    <row r="4456" spans="13:13" x14ac:dyDescent="0.25">
      <c r="M4456" s="21"/>
    </row>
    <row r="4457" spans="13:13" x14ac:dyDescent="0.25">
      <c r="M4457" s="21"/>
    </row>
    <row r="4458" spans="13:13" x14ac:dyDescent="0.25">
      <c r="M4458" s="21"/>
    </row>
    <row r="4459" spans="13:13" x14ac:dyDescent="0.25">
      <c r="M4459" s="21"/>
    </row>
    <row r="4460" spans="13:13" x14ac:dyDescent="0.25">
      <c r="M4460" s="21"/>
    </row>
    <row r="4461" spans="13:13" x14ac:dyDescent="0.25">
      <c r="M4461" s="21"/>
    </row>
    <row r="4462" spans="13:13" x14ac:dyDescent="0.25">
      <c r="M4462" s="21"/>
    </row>
    <row r="4463" spans="13:13" x14ac:dyDescent="0.25">
      <c r="M4463" s="21"/>
    </row>
    <row r="4464" spans="13:13" x14ac:dyDescent="0.25">
      <c r="M4464" s="21"/>
    </row>
    <row r="4465" spans="13:13" x14ac:dyDescent="0.25">
      <c r="M4465" s="21"/>
    </row>
    <row r="4466" spans="13:13" x14ac:dyDescent="0.25">
      <c r="M4466" s="21"/>
    </row>
    <row r="4467" spans="13:13" x14ac:dyDescent="0.25">
      <c r="M4467" s="21"/>
    </row>
    <row r="4468" spans="13:13" x14ac:dyDescent="0.25">
      <c r="M4468" s="21"/>
    </row>
    <row r="4469" spans="13:13" x14ac:dyDescent="0.25">
      <c r="M4469" s="21"/>
    </row>
    <row r="4470" spans="13:13" x14ac:dyDescent="0.25">
      <c r="M4470" s="21"/>
    </row>
    <row r="4471" spans="13:13" x14ac:dyDescent="0.25">
      <c r="M4471" s="21"/>
    </row>
    <row r="4472" spans="13:13" x14ac:dyDescent="0.25">
      <c r="M4472" s="21"/>
    </row>
    <row r="4473" spans="13:13" x14ac:dyDescent="0.25">
      <c r="M4473" s="21"/>
    </row>
    <row r="4474" spans="13:13" x14ac:dyDescent="0.25">
      <c r="M4474" s="21"/>
    </row>
    <row r="4475" spans="13:13" x14ac:dyDescent="0.25">
      <c r="M4475" s="21"/>
    </row>
    <row r="4476" spans="13:13" x14ac:dyDescent="0.25">
      <c r="M4476" s="21"/>
    </row>
    <row r="4477" spans="13:13" x14ac:dyDescent="0.25">
      <c r="M4477" s="21"/>
    </row>
    <row r="4478" spans="13:13" x14ac:dyDescent="0.25">
      <c r="M4478" s="21"/>
    </row>
    <row r="4479" spans="13:13" x14ac:dyDescent="0.25">
      <c r="M4479" s="21"/>
    </row>
    <row r="4480" spans="13:13" x14ac:dyDescent="0.25">
      <c r="M4480" s="21"/>
    </row>
    <row r="4481" spans="13:13" x14ac:dyDescent="0.25">
      <c r="M4481" s="21"/>
    </row>
    <row r="4482" spans="13:13" x14ac:dyDescent="0.25">
      <c r="M4482" s="21"/>
    </row>
    <row r="4483" spans="13:13" x14ac:dyDescent="0.25">
      <c r="M4483" s="21"/>
    </row>
    <row r="4484" spans="13:13" x14ac:dyDescent="0.25">
      <c r="M4484" s="21"/>
    </row>
    <row r="4485" spans="13:13" x14ac:dyDescent="0.25">
      <c r="M4485" s="21"/>
    </row>
    <row r="4486" spans="13:13" x14ac:dyDescent="0.25">
      <c r="M4486" s="21"/>
    </row>
    <row r="4487" spans="13:13" x14ac:dyDescent="0.25">
      <c r="M4487" s="21"/>
    </row>
    <row r="4488" spans="13:13" x14ac:dyDescent="0.25">
      <c r="M4488" s="21"/>
    </row>
    <row r="4489" spans="13:13" x14ac:dyDescent="0.25">
      <c r="M4489" s="21"/>
    </row>
    <row r="4490" spans="13:13" x14ac:dyDescent="0.25">
      <c r="M4490" s="21"/>
    </row>
    <row r="4491" spans="13:13" x14ac:dyDescent="0.25">
      <c r="M4491" s="21"/>
    </row>
    <row r="4492" spans="13:13" x14ac:dyDescent="0.25">
      <c r="M4492" s="21"/>
    </row>
    <row r="4493" spans="13:13" x14ac:dyDescent="0.25">
      <c r="M4493" s="21"/>
    </row>
    <row r="4494" spans="13:13" x14ac:dyDescent="0.25">
      <c r="M4494" s="21"/>
    </row>
    <row r="4495" spans="13:13" x14ac:dyDescent="0.25">
      <c r="M4495" s="21"/>
    </row>
    <row r="4496" spans="13:13" x14ac:dyDescent="0.25">
      <c r="M4496" s="21"/>
    </row>
    <row r="4497" spans="13:13" x14ac:dyDescent="0.25">
      <c r="M4497" s="21"/>
    </row>
    <row r="4498" spans="13:13" x14ac:dyDescent="0.25">
      <c r="M4498" s="21"/>
    </row>
    <row r="4499" spans="13:13" x14ac:dyDescent="0.25">
      <c r="M4499" s="21"/>
    </row>
    <row r="4500" spans="13:13" x14ac:dyDescent="0.25">
      <c r="M4500" s="21"/>
    </row>
    <row r="4501" spans="13:13" x14ac:dyDescent="0.25">
      <c r="M4501" s="21"/>
    </row>
    <row r="4502" spans="13:13" x14ac:dyDescent="0.25">
      <c r="M4502" s="21"/>
    </row>
    <row r="4503" spans="13:13" x14ac:dyDescent="0.25">
      <c r="M4503" s="21"/>
    </row>
    <row r="4504" spans="13:13" x14ac:dyDescent="0.25">
      <c r="M4504" s="21"/>
    </row>
    <row r="4505" spans="13:13" x14ac:dyDescent="0.25">
      <c r="M4505" s="21"/>
    </row>
    <row r="4506" spans="13:13" x14ac:dyDescent="0.25">
      <c r="M4506" s="21"/>
    </row>
    <row r="4507" spans="13:13" x14ac:dyDescent="0.25">
      <c r="M4507" s="21"/>
    </row>
    <row r="4508" spans="13:13" x14ac:dyDescent="0.25">
      <c r="M4508" s="21"/>
    </row>
    <row r="4509" spans="13:13" x14ac:dyDescent="0.25">
      <c r="M4509" s="21"/>
    </row>
    <row r="4510" spans="13:13" x14ac:dyDescent="0.25">
      <c r="M4510" s="21"/>
    </row>
    <row r="4511" spans="13:13" x14ac:dyDescent="0.25">
      <c r="M4511" s="21"/>
    </row>
    <row r="4512" spans="13:13" x14ac:dyDescent="0.25">
      <c r="M4512" s="21"/>
    </row>
    <row r="4513" spans="13:13" x14ac:dyDescent="0.25">
      <c r="M4513" s="21"/>
    </row>
    <row r="4514" spans="13:13" x14ac:dyDescent="0.25">
      <c r="M4514" s="21"/>
    </row>
    <row r="4515" spans="13:13" x14ac:dyDescent="0.25">
      <c r="M4515" s="21"/>
    </row>
    <row r="4516" spans="13:13" x14ac:dyDescent="0.25">
      <c r="M4516" s="21"/>
    </row>
    <row r="4517" spans="13:13" x14ac:dyDescent="0.25">
      <c r="M4517" s="21"/>
    </row>
    <row r="4518" spans="13:13" x14ac:dyDescent="0.25">
      <c r="M4518" s="21"/>
    </row>
    <row r="4519" spans="13:13" x14ac:dyDescent="0.25">
      <c r="M4519" s="21"/>
    </row>
    <row r="4520" spans="13:13" x14ac:dyDescent="0.25">
      <c r="M4520" s="21"/>
    </row>
    <row r="4521" spans="13:13" x14ac:dyDescent="0.25">
      <c r="M4521" s="21"/>
    </row>
    <row r="4522" spans="13:13" x14ac:dyDescent="0.25">
      <c r="M4522" s="21"/>
    </row>
    <row r="4523" spans="13:13" x14ac:dyDescent="0.25">
      <c r="M4523" s="21"/>
    </row>
    <row r="4524" spans="13:13" x14ac:dyDescent="0.25">
      <c r="M4524" s="21"/>
    </row>
    <row r="4525" spans="13:13" x14ac:dyDescent="0.25">
      <c r="M4525" s="21"/>
    </row>
    <row r="4526" spans="13:13" x14ac:dyDescent="0.25">
      <c r="M4526" s="21"/>
    </row>
    <row r="4527" spans="13:13" x14ac:dyDescent="0.25">
      <c r="M4527" s="21"/>
    </row>
    <row r="4528" spans="13:13" x14ac:dyDescent="0.25">
      <c r="M4528" s="21"/>
    </row>
    <row r="4529" spans="13:13" x14ac:dyDescent="0.25">
      <c r="M4529" s="21"/>
    </row>
    <row r="4530" spans="13:13" x14ac:dyDescent="0.25">
      <c r="M4530" s="21"/>
    </row>
    <row r="4531" spans="13:13" x14ac:dyDescent="0.25">
      <c r="M4531" s="21"/>
    </row>
    <row r="4532" spans="13:13" x14ac:dyDescent="0.25">
      <c r="M4532" s="21"/>
    </row>
    <row r="4533" spans="13:13" x14ac:dyDescent="0.25">
      <c r="M4533" s="21"/>
    </row>
    <row r="4534" spans="13:13" x14ac:dyDescent="0.25">
      <c r="M4534" s="21"/>
    </row>
    <row r="4535" spans="13:13" x14ac:dyDescent="0.25">
      <c r="M4535" s="21"/>
    </row>
    <row r="4536" spans="13:13" x14ac:dyDescent="0.25">
      <c r="M4536" s="21"/>
    </row>
    <row r="4537" spans="13:13" x14ac:dyDescent="0.25">
      <c r="M4537" s="21"/>
    </row>
    <row r="4538" spans="13:13" x14ac:dyDescent="0.25">
      <c r="M4538" s="21"/>
    </row>
    <row r="4539" spans="13:13" x14ac:dyDescent="0.25">
      <c r="M4539" s="21"/>
    </row>
    <row r="4540" spans="13:13" x14ac:dyDescent="0.25">
      <c r="M4540" s="21"/>
    </row>
    <row r="4541" spans="13:13" x14ac:dyDescent="0.25">
      <c r="M4541" s="21"/>
    </row>
    <row r="4542" spans="13:13" x14ac:dyDescent="0.25">
      <c r="M4542" s="21"/>
    </row>
    <row r="4543" spans="13:13" x14ac:dyDescent="0.25">
      <c r="M4543" s="21"/>
    </row>
    <row r="4544" spans="13:13" x14ac:dyDescent="0.25">
      <c r="M4544" s="21"/>
    </row>
    <row r="4545" spans="13:13" x14ac:dyDescent="0.25">
      <c r="M4545" s="21"/>
    </row>
    <row r="4546" spans="13:13" x14ac:dyDescent="0.25">
      <c r="M4546" s="21"/>
    </row>
    <row r="4547" spans="13:13" x14ac:dyDescent="0.25">
      <c r="M4547" s="21"/>
    </row>
    <row r="4548" spans="13:13" x14ac:dyDescent="0.25">
      <c r="M4548" s="21"/>
    </row>
    <row r="4549" spans="13:13" x14ac:dyDescent="0.25">
      <c r="M4549" s="21"/>
    </row>
    <row r="4550" spans="13:13" x14ac:dyDescent="0.25">
      <c r="M4550" s="21"/>
    </row>
    <row r="4551" spans="13:13" x14ac:dyDescent="0.25">
      <c r="M4551" s="21"/>
    </row>
    <row r="4552" spans="13:13" x14ac:dyDescent="0.25">
      <c r="M4552" s="21"/>
    </row>
    <row r="4553" spans="13:13" x14ac:dyDescent="0.25">
      <c r="M4553" s="21"/>
    </row>
    <row r="4554" spans="13:13" x14ac:dyDescent="0.25">
      <c r="M4554" s="21"/>
    </row>
    <row r="4555" spans="13:13" x14ac:dyDescent="0.25">
      <c r="M4555" s="21"/>
    </row>
    <row r="4556" spans="13:13" x14ac:dyDescent="0.25">
      <c r="M4556" s="21"/>
    </row>
    <row r="4557" spans="13:13" x14ac:dyDescent="0.25">
      <c r="M4557" s="21"/>
    </row>
    <row r="4558" spans="13:13" x14ac:dyDescent="0.25">
      <c r="M4558" s="21"/>
    </row>
    <row r="4559" spans="13:13" x14ac:dyDescent="0.25">
      <c r="M4559" s="21"/>
    </row>
    <row r="4560" spans="13:13" x14ac:dyDescent="0.25">
      <c r="M4560" s="21"/>
    </row>
    <row r="4561" spans="13:13" x14ac:dyDescent="0.25">
      <c r="M4561" s="21"/>
    </row>
    <row r="4562" spans="13:13" x14ac:dyDescent="0.25">
      <c r="M4562" s="21"/>
    </row>
    <row r="4563" spans="13:13" x14ac:dyDescent="0.25">
      <c r="M4563" s="21"/>
    </row>
    <row r="4564" spans="13:13" x14ac:dyDescent="0.25">
      <c r="M4564" s="21"/>
    </row>
    <row r="4565" spans="13:13" x14ac:dyDescent="0.25">
      <c r="M4565" s="21"/>
    </row>
    <row r="4566" spans="13:13" x14ac:dyDescent="0.25">
      <c r="M4566" s="21"/>
    </row>
    <row r="4567" spans="13:13" x14ac:dyDescent="0.25">
      <c r="M4567" s="21"/>
    </row>
    <row r="4568" spans="13:13" x14ac:dyDescent="0.25">
      <c r="M4568" s="21"/>
    </row>
    <row r="4569" spans="13:13" x14ac:dyDescent="0.25">
      <c r="M4569" s="21"/>
    </row>
    <row r="4570" spans="13:13" x14ac:dyDescent="0.25">
      <c r="M4570" s="21"/>
    </row>
    <row r="4571" spans="13:13" x14ac:dyDescent="0.25">
      <c r="M4571" s="21"/>
    </row>
    <row r="4572" spans="13:13" x14ac:dyDescent="0.25">
      <c r="M4572" s="21"/>
    </row>
    <row r="4573" spans="13:13" x14ac:dyDescent="0.25">
      <c r="M4573" s="21"/>
    </row>
    <row r="4574" spans="13:13" x14ac:dyDescent="0.25">
      <c r="M4574" s="21"/>
    </row>
    <row r="4575" spans="13:13" x14ac:dyDescent="0.25">
      <c r="M4575" s="21"/>
    </row>
    <row r="4576" spans="13:13" x14ac:dyDescent="0.25">
      <c r="M4576" s="21"/>
    </row>
    <row r="4577" spans="13:13" x14ac:dyDescent="0.25">
      <c r="M4577" s="21"/>
    </row>
    <row r="4578" spans="13:13" x14ac:dyDescent="0.25">
      <c r="M4578" s="21"/>
    </row>
    <row r="4579" spans="13:13" x14ac:dyDescent="0.25">
      <c r="M4579" s="21"/>
    </row>
    <row r="4580" spans="13:13" x14ac:dyDescent="0.25">
      <c r="M4580" s="21"/>
    </row>
    <row r="4581" spans="13:13" x14ac:dyDescent="0.25">
      <c r="M4581" s="21"/>
    </row>
    <row r="4582" spans="13:13" x14ac:dyDescent="0.25">
      <c r="M4582" s="21"/>
    </row>
    <row r="4583" spans="13:13" x14ac:dyDescent="0.25">
      <c r="M4583" s="21"/>
    </row>
    <row r="4584" spans="13:13" x14ac:dyDescent="0.25">
      <c r="M4584" s="21"/>
    </row>
    <row r="4585" spans="13:13" x14ac:dyDescent="0.25">
      <c r="M4585" s="21"/>
    </row>
    <row r="4586" spans="13:13" x14ac:dyDescent="0.25">
      <c r="M4586" s="21"/>
    </row>
    <row r="4587" spans="13:13" x14ac:dyDescent="0.25">
      <c r="M4587" s="21"/>
    </row>
    <row r="4588" spans="13:13" x14ac:dyDescent="0.25">
      <c r="M4588" s="21"/>
    </row>
    <row r="4589" spans="13:13" x14ac:dyDescent="0.25">
      <c r="M4589" s="21"/>
    </row>
    <row r="4590" spans="13:13" x14ac:dyDescent="0.25">
      <c r="M4590" s="21"/>
    </row>
    <row r="4591" spans="13:13" x14ac:dyDescent="0.25">
      <c r="M4591" s="21"/>
    </row>
    <row r="4592" spans="13:13" x14ac:dyDescent="0.25">
      <c r="M4592" s="21"/>
    </row>
    <row r="4593" spans="13:13" x14ac:dyDescent="0.25">
      <c r="M4593" s="21"/>
    </row>
    <row r="4594" spans="13:13" x14ac:dyDescent="0.25">
      <c r="M4594" s="21"/>
    </row>
    <row r="4595" spans="13:13" x14ac:dyDescent="0.25">
      <c r="M4595" s="21"/>
    </row>
    <row r="4596" spans="13:13" x14ac:dyDescent="0.25">
      <c r="M4596" s="21"/>
    </row>
    <row r="4597" spans="13:13" x14ac:dyDescent="0.25">
      <c r="M4597" s="21"/>
    </row>
    <row r="4598" spans="13:13" x14ac:dyDescent="0.25">
      <c r="M4598" s="21"/>
    </row>
    <row r="4599" spans="13:13" x14ac:dyDescent="0.25">
      <c r="M4599" s="21"/>
    </row>
    <row r="4600" spans="13:13" x14ac:dyDescent="0.25">
      <c r="M4600" s="21"/>
    </row>
    <row r="4601" spans="13:13" x14ac:dyDescent="0.25">
      <c r="M4601" s="21"/>
    </row>
    <row r="4602" spans="13:13" x14ac:dyDescent="0.25">
      <c r="M4602" s="21"/>
    </row>
    <row r="4603" spans="13:13" x14ac:dyDescent="0.25">
      <c r="M4603" s="21"/>
    </row>
    <row r="4604" spans="13:13" x14ac:dyDescent="0.25">
      <c r="M4604" s="21"/>
    </row>
    <row r="4605" spans="13:13" x14ac:dyDescent="0.25">
      <c r="M4605" s="21"/>
    </row>
    <row r="4606" spans="13:13" x14ac:dyDescent="0.25">
      <c r="M4606" s="21"/>
    </row>
    <row r="4607" spans="13:13" x14ac:dyDescent="0.25">
      <c r="M4607" s="21"/>
    </row>
    <row r="4608" spans="13:13" x14ac:dyDescent="0.25">
      <c r="M4608" s="21"/>
    </row>
    <row r="4609" spans="13:13" x14ac:dyDescent="0.25">
      <c r="M4609" s="21"/>
    </row>
    <row r="4610" spans="13:13" x14ac:dyDescent="0.25">
      <c r="M4610" s="21"/>
    </row>
    <row r="4611" spans="13:13" x14ac:dyDescent="0.25">
      <c r="M4611" s="21"/>
    </row>
    <row r="4612" spans="13:13" x14ac:dyDescent="0.25">
      <c r="M4612" s="21"/>
    </row>
    <row r="4613" spans="13:13" x14ac:dyDescent="0.25">
      <c r="M4613" s="21"/>
    </row>
    <row r="4614" spans="13:13" x14ac:dyDescent="0.25">
      <c r="M4614" s="21"/>
    </row>
    <row r="4615" spans="13:13" x14ac:dyDescent="0.25">
      <c r="M4615" s="21"/>
    </row>
    <row r="4616" spans="13:13" x14ac:dyDescent="0.25">
      <c r="M4616" s="21"/>
    </row>
    <row r="4617" spans="13:13" x14ac:dyDescent="0.25">
      <c r="M4617" s="21"/>
    </row>
    <row r="4618" spans="13:13" x14ac:dyDescent="0.25">
      <c r="M4618" s="21"/>
    </row>
    <row r="4619" spans="13:13" x14ac:dyDescent="0.25">
      <c r="M4619" s="21"/>
    </row>
    <row r="4620" spans="13:13" x14ac:dyDescent="0.25">
      <c r="M4620" s="21"/>
    </row>
    <row r="4621" spans="13:13" x14ac:dyDescent="0.25">
      <c r="M4621" s="21"/>
    </row>
    <row r="4622" spans="13:13" x14ac:dyDescent="0.25">
      <c r="M4622" s="21"/>
    </row>
    <row r="4623" spans="13:13" x14ac:dyDescent="0.25">
      <c r="M4623" s="21"/>
    </row>
    <row r="4624" spans="13:13" x14ac:dyDescent="0.25">
      <c r="M4624" s="21"/>
    </row>
    <row r="4625" spans="13:13" x14ac:dyDescent="0.25">
      <c r="M4625" s="21"/>
    </row>
    <row r="4626" spans="13:13" x14ac:dyDescent="0.25">
      <c r="M4626" s="21"/>
    </row>
    <row r="4627" spans="13:13" x14ac:dyDescent="0.25">
      <c r="M4627" s="21"/>
    </row>
    <row r="4628" spans="13:13" x14ac:dyDescent="0.25">
      <c r="M4628" s="21"/>
    </row>
    <row r="4629" spans="13:13" x14ac:dyDescent="0.25">
      <c r="M4629" s="21"/>
    </row>
    <row r="4630" spans="13:13" x14ac:dyDescent="0.25">
      <c r="M4630" s="21"/>
    </row>
    <row r="4631" spans="13:13" x14ac:dyDescent="0.25">
      <c r="M4631" s="21"/>
    </row>
    <row r="4632" spans="13:13" x14ac:dyDescent="0.25">
      <c r="M4632" s="21"/>
    </row>
    <row r="4633" spans="13:13" x14ac:dyDescent="0.25">
      <c r="M4633" s="21"/>
    </row>
    <row r="4634" spans="13:13" x14ac:dyDescent="0.25">
      <c r="M4634" s="21"/>
    </row>
    <row r="4635" spans="13:13" x14ac:dyDescent="0.25">
      <c r="M4635" s="21"/>
    </row>
    <row r="4636" spans="13:13" x14ac:dyDescent="0.25">
      <c r="M4636" s="21"/>
    </row>
    <row r="4637" spans="13:13" x14ac:dyDescent="0.25">
      <c r="M4637" s="21"/>
    </row>
    <row r="4638" spans="13:13" x14ac:dyDescent="0.25">
      <c r="M4638" s="21"/>
    </row>
    <row r="4639" spans="13:13" x14ac:dyDescent="0.25">
      <c r="M4639" s="21"/>
    </row>
    <row r="4640" spans="13:13" x14ac:dyDescent="0.25">
      <c r="M4640" s="21"/>
    </row>
    <row r="4641" spans="13:13" x14ac:dyDescent="0.25">
      <c r="M4641" s="21"/>
    </row>
    <row r="4642" spans="13:13" x14ac:dyDescent="0.25">
      <c r="M4642" s="21"/>
    </row>
    <row r="4643" spans="13:13" x14ac:dyDescent="0.25">
      <c r="M4643" s="21"/>
    </row>
    <row r="4644" spans="13:13" x14ac:dyDescent="0.25">
      <c r="M4644" s="21"/>
    </row>
    <row r="4645" spans="13:13" x14ac:dyDescent="0.25">
      <c r="M4645" s="21"/>
    </row>
    <row r="4646" spans="13:13" x14ac:dyDescent="0.25">
      <c r="M4646" s="21"/>
    </row>
    <row r="4647" spans="13:13" x14ac:dyDescent="0.25">
      <c r="M4647" s="21"/>
    </row>
    <row r="4648" spans="13:13" x14ac:dyDescent="0.25">
      <c r="M4648" s="21"/>
    </row>
    <row r="4649" spans="13:13" x14ac:dyDescent="0.25">
      <c r="M4649" s="21"/>
    </row>
    <row r="4650" spans="13:13" x14ac:dyDescent="0.25">
      <c r="M4650" s="21"/>
    </row>
    <row r="4651" spans="13:13" x14ac:dyDescent="0.25">
      <c r="M4651" s="21"/>
    </row>
    <row r="4652" spans="13:13" x14ac:dyDescent="0.25">
      <c r="M4652" s="21"/>
    </row>
    <row r="4653" spans="13:13" x14ac:dyDescent="0.25">
      <c r="M4653" s="21"/>
    </row>
    <row r="4654" spans="13:13" x14ac:dyDescent="0.25">
      <c r="M4654" s="21"/>
    </row>
    <row r="4655" spans="13:13" x14ac:dyDescent="0.25">
      <c r="M4655" s="21"/>
    </row>
    <row r="4656" spans="13:13" x14ac:dyDescent="0.25">
      <c r="M4656" s="21"/>
    </row>
    <row r="4657" spans="13:13" x14ac:dyDescent="0.25">
      <c r="M4657" s="21"/>
    </row>
    <row r="4658" spans="13:13" x14ac:dyDescent="0.25">
      <c r="M4658" s="21"/>
    </row>
    <row r="4659" spans="13:13" x14ac:dyDescent="0.25">
      <c r="M4659" s="21"/>
    </row>
    <row r="4660" spans="13:13" x14ac:dyDescent="0.25">
      <c r="M4660" s="21"/>
    </row>
    <row r="4661" spans="13:13" x14ac:dyDescent="0.25">
      <c r="M4661" s="21"/>
    </row>
    <row r="4662" spans="13:13" x14ac:dyDescent="0.25">
      <c r="M4662" s="21"/>
    </row>
    <row r="4663" spans="13:13" x14ac:dyDescent="0.25">
      <c r="M4663" s="21"/>
    </row>
    <row r="4664" spans="13:13" x14ac:dyDescent="0.25">
      <c r="M4664" s="21"/>
    </row>
    <row r="4665" spans="13:13" x14ac:dyDescent="0.25">
      <c r="M4665" s="21"/>
    </row>
    <row r="4666" spans="13:13" x14ac:dyDescent="0.25">
      <c r="M4666" s="21"/>
    </row>
    <row r="4667" spans="13:13" x14ac:dyDescent="0.25">
      <c r="M4667" s="21"/>
    </row>
    <row r="4668" spans="13:13" x14ac:dyDescent="0.25">
      <c r="M4668" s="21"/>
    </row>
    <row r="4669" spans="13:13" x14ac:dyDescent="0.25">
      <c r="M4669" s="21"/>
    </row>
    <row r="4670" spans="13:13" x14ac:dyDescent="0.25">
      <c r="M4670" s="21"/>
    </row>
    <row r="4671" spans="13:13" x14ac:dyDescent="0.25">
      <c r="M4671" s="21"/>
    </row>
    <row r="4672" spans="13:13" x14ac:dyDescent="0.25">
      <c r="M4672" s="21"/>
    </row>
    <row r="4673" spans="13:13" x14ac:dyDescent="0.25">
      <c r="M4673" s="21"/>
    </row>
    <row r="4674" spans="13:13" x14ac:dyDescent="0.25">
      <c r="M4674" s="21"/>
    </row>
    <row r="4675" spans="13:13" x14ac:dyDescent="0.25">
      <c r="M4675" s="21"/>
    </row>
    <row r="4676" spans="13:13" x14ac:dyDescent="0.25">
      <c r="M4676" s="21"/>
    </row>
    <row r="4677" spans="13:13" x14ac:dyDescent="0.25">
      <c r="M4677" s="21"/>
    </row>
    <row r="4678" spans="13:13" x14ac:dyDescent="0.25">
      <c r="M4678" s="21"/>
    </row>
    <row r="4679" spans="13:13" x14ac:dyDescent="0.25">
      <c r="M4679" s="21"/>
    </row>
    <row r="4680" spans="13:13" x14ac:dyDescent="0.25">
      <c r="M4680" s="21"/>
    </row>
    <row r="4681" spans="13:13" x14ac:dyDescent="0.25">
      <c r="M4681" s="21"/>
    </row>
    <row r="4682" spans="13:13" x14ac:dyDescent="0.25">
      <c r="M4682" s="21"/>
    </row>
    <row r="4683" spans="13:13" x14ac:dyDescent="0.25">
      <c r="M4683" s="21"/>
    </row>
    <row r="4684" spans="13:13" x14ac:dyDescent="0.25">
      <c r="M4684" s="21"/>
    </row>
    <row r="4685" spans="13:13" x14ac:dyDescent="0.25">
      <c r="M4685" s="21"/>
    </row>
    <row r="4686" spans="13:13" x14ac:dyDescent="0.25">
      <c r="M4686" s="21"/>
    </row>
    <row r="4687" spans="13:13" x14ac:dyDescent="0.25">
      <c r="M4687" s="21"/>
    </row>
    <row r="4688" spans="13:13" x14ac:dyDescent="0.25">
      <c r="M4688" s="21"/>
    </row>
    <row r="4689" spans="13:13" x14ac:dyDescent="0.25">
      <c r="M4689" s="21"/>
    </row>
    <row r="4690" spans="13:13" x14ac:dyDescent="0.25">
      <c r="M4690" s="21"/>
    </row>
    <row r="4691" spans="13:13" x14ac:dyDescent="0.25">
      <c r="M4691" s="21"/>
    </row>
    <row r="4692" spans="13:13" x14ac:dyDescent="0.25">
      <c r="M4692" s="21"/>
    </row>
    <row r="4693" spans="13:13" x14ac:dyDescent="0.25">
      <c r="M4693" s="21"/>
    </row>
    <row r="4694" spans="13:13" x14ac:dyDescent="0.25">
      <c r="M4694" s="21"/>
    </row>
    <row r="4695" spans="13:13" x14ac:dyDescent="0.25">
      <c r="M4695" s="21"/>
    </row>
    <row r="4696" spans="13:13" x14ac:dyDescent="0.25">
      <c r="M4696" s="21"/>
    </row>
    <row r="4697" spans="13:13" x14ac:dyDescent="0.25">
      <c r="M4697" s="21"/>
    </row>
    <row r="4698" spans="13:13" x14ac:dyDescent="0.25">
      <c r="M4698" s="21"/>
    </row>
    <row r="4699" spans="13:13" x14ac:dyDescent="0.25">
      <c r="M4699" s="21"/>
    </row>
    <row r="4700" spans="13:13" x14ac:dyDescent="0.25">
      <c r="M4700" s="21"/>
    </row>
    <row r="4701" spans="13:13" x14ac:dyDescent="0.25">
      <c r="M4701" s="21"/>
    </row>
    <row r="4702" spans="13:13" x14ac:dyDescent="0.25">
      <c r="M4702" s="21"/>
    </row>
    <row r="4703" spans="13:13" x14ac:dyDescent="0.25">
      <c r="M4703" s="21"/>
    </row>
    <row r="4704" spans="13:13" x14ac:dyDescent="0.25">
      <c r="M4704" s="21"/>
    </row>
    <row r="4705" spans="13:13" x14ac:dyDescent="0.25">
      <c r="M4705" s="21"/>
    </row>
    <row r="4706" spans="13:13" x14ac:dyDescent="0.25">
      <c r="M4706" s="21"/>
    </row>
    <row r="4707" spans="13:13" x14ac:dyDescent="0.25">
      <c r="M4707" s="21"/>
    </row>
    <row r="4708" spans="13:13" x14ac:dyDescent="0.25">
      <c r="M4708" s="21"/>
    </row>
    <row r="4709" spans="13:13" x14ac:dyDescent="0.25">
      <c r="M4709" s="21"/>
    </row>
    <row r="4710" spans="13:13" x14ac:dyDescent="0.25">
      <c r="M4710" s="21"/>
    </row>
    <row r="4711" spans="13:13" x14ac:dyDescent="0.25">
      <c r="M4711" s="21"/>
    </row>
    <row r="4712" spans="13:13" x14ac:dyDescent="0.25">
      <c r="M4712" s="21"/>
    </row>
    <row r="4713" spans="13:13" x14ac:dyDescent="0.25">
      <c r="M4713" s="21"/>
    </row>
    <row r="4714" spans="13:13" x14ac:dyDescent="0.25">
      <c r="M4714" s="21"/>
    </row>
    <row r="4715" spans="13:13" x14ac:dyDescent="0.25">
      <c r="M4715" s="21"/>
    </row>
    <row r="4716" spans="13:13" x14ac:dyDescent="0.25">
      <c r="M4716" s="21"/>
    </row>
    <row r="4717" spans="13:13" x14ac:dyDescent="0.25">
      <c r="M4717" s="21"/>
    </row>
    <row r="4718" spans="13:13" x14ac:dyDescent="0.25">
      <c r="M4718" s="21"/>
    </row>
    <row r="4719" spans="13:13" x14ac:dyDescent="0.25">
      <c r="M4719" s="21"/>
    </row>
    <row r="4720" spans="13:13" x14ac:dyDescent="0.25">
      <c r="M4720" s="21"/>
    </row>
    <row r="4721" spans="13:13" x14ac:dyDescent="0.25">
      <c r="M4721" s="21"/>
    </row>
    <row r="4722" spans="13:13" x14ac:dyDescent="0.25">
      <c r="M4722" s="21"/>
    </row>
    <row r="4723" spans="13:13" x14ac:dyDescent="0.25">
      <c r="M4723" s="21"/>
    </row>
    <row r="4724" spans="13:13" x14ac:dyDescent="0.25">
      <c r="M4724" s="21"/>
    </row>
    <row r="4725" spans="13:13" x14ac:dyDescent="0.25">
      <c r="M4725" s="21"/>
    </row>
    <row r="4726" spans="13:13" x14ac:dyDescent="0.25">
      <c r="M4726" s="21"/>
    </row>
    <row r="4727" spans="13:13" x14ac:dyDescent="0.25">
      <c r="M4727" s="21"/>
    </row>
    <row r="4728" spans="13:13" x14ac:dyDescent="0.25">
      <c r="M4728" s="21"/>
    </row>
    <row r="4729" spans="13:13" x14ac:dyDescent="0.25">
      <c r="M4729" s="21"/>
    </row>
    <row r="4730" spans="13:13" x14ac:dyDescent="0.25">
      <c r="M4730" s="21"/>
    </row>
    <row r="4731" spans="13:13" x14ac:dyDescent="0.25">
      <c r="M4731" s="21"/>
    </row>
    <row r="4732" spans="13:13" x14ac:dyDescent="0.25">
      <c r="M4732" s="21"/>
    </row>
    <row r="4733" spans="13:13" x14ac:dyDescent="0.25">
      <c r="M4733" s="21"/>
    </row>
    <row r="4734" spans="13:13" x14ac:dyDescent="0.25">
      <c r="M4734" s="21"/>
    </row>
    <row r="4735" spans="13:13" x14ac:dyDescent="0.25">
      <c r="M4735" s="21"/>
    </row>
    <row r="4736" spans="13:13" x14ac:dyDescent="0.25">
      <c r="M4736" s="21"/>
    </row>
    <row r="4737" spans="13:13" x14ac:dyDescent="0.25">
      <c r="M4737" s="21"/>
    </row>
    <row r="4738" spans="13:13" x14ac:dyDescent="0.25">
      <c r="M4738" s="21"/>
    </row>
    <row r="4739" spans="13:13" x14ac:dyDescent="0.25">
      <c r="M4739" s="21"/>
    </row>
    <row r="4740" spans="13:13" x14ac:dyDescent="0.25">
      <c r="M4740" s="21"/>
    </row>
    <row r="4741" spans="13:13" x14ac:dyDescent="0.25">
      <c r="M4741" s="21"/>
    </row>
    <row r="4742" spans="13:13" x14ac:dyDescent="0.25">
      <c r="M4742" s="21"/>
    </row>
    <row r="4743" spans="13:13" x14ac:dyDescent="0.25">
      <c r="M4743" s="21"/>
    </row>
    <row r="4744" spans="13:13" x14ac:dyDescent="0.25">
      <c r="M4744" s="21"/>
    </row>
    <row r="4745" spans="13:13" x14ac:dyDescent="0.25">
      <c r="M4745" s="21"/>
    </row>
    <row r="4746" spans="13:13" x14ac:dyDescent="0.25">
      <c r="M4746" s="21"/>
    </row>
    <row r="4747" spans="13:13" x14ac:dyDescent="0.25">
      <c r="M4747" s="21"/>
    </row>
    <row r="4748" spans="13:13" x14ac:dyDescent="0.25">
      <c r="M4748" s="21"/>
    </row>
    <row r="4749" spans="13:13" x14ac:dyDescent="0.25">
      <c r="M4749" s="21"/>
    </row>
    <row r="4750" spans="13:13" x14ac:dyDescent="0.25">
      <c r="M4750" s="21"/>
    </row>
    <row r="4751" spans="13:13" x14ac:dyDescent="0.25">
      <c r="M4751" s="21"/>
    </row>
    <row r="4752" spans="13:13" x14ac:dyDescent="0.25">
      <c r="M4752" s="21"/>
    </row>
    <row r="4753" spans="13:13" x14ac:dyDescent="0.25">
      <c r="M4753" s="21"/>
    </row>
    <row r="4754" spans="13:13" x14ac:dyDescent="0.25">
      <c r="M4754" s="21"/>
    </row>
    <row r="4755" spans="13:13" x14ac:dyDescent="0.25">
      <c r="M4755" s="21"/>
    </row>
    <row r="4756" spans="13:13" x14ac:dyDescent="0.25">
      <c r="M4756" s="21"/>
    </row>
    <row r="4757" spans="13:13" x14ac:dyDescent="0.25">
      <c r="M4757" s="21"/>
    </row>
    <row r="4758" spans="13:13" x14ac:dyDescent="0.25">
      <c r="M4758" s="21"/>
    </row>
    <row r="4759" spans="13:13" x14ac:dyDescent="0.25">
      <c r="M4759" s="21"/>
    </row>
    <row r="4760" spans="13:13" x14ac:dyDescent="0.25">
      <c r="M4760" s="21"/>
    </row>
    <row r="4761" spans="13:13" x14ac:dyDescent="0.25">
      <c r="M4761" s="21"/>
    </row>
    <row r="4762" spans="13:13" x14ac:dyDescent="0.25">
      <c r="M4762" s="21"/>
    </row>
    <row r="4763" spans="13:13" x14ac:dyDescent="0.25">
      <c r="M4763" s="21"/>
    </row>
    <row r="4764" spans="13:13" x14ac:dyDescent="0.25">
      <c r="M4764" s="21"/>
    </row>
    <row r="4765" spans="13:13" x14ac:dyDescent="0.25">
      <c r="M4765" s="21"/>
    </row>
    <row r="4766" spans="13:13" x14ac:dyDescent="0.25">
      <c r="M4766" s="21"/>
    </row>
    <row r="4767" spans="13:13" x14ac:dyDescent="0.25">
      <c r="M4767" s="21"/>
    </row>
    <row r="4768" spans="13:13" x14ac:dyDescent="0.25">
      <c r="M4768" s="21"/>
    </row>
    <row r="4769" spans="13:13" x14ac:dyDescent="0.25">
      <c r="M4769" s="21"/>
    </row>
    <row r="4770" spans="13:13" x14ac:dyDescent="0.25">
      <c r="M4770" s="21"/>
    </row>
    <row r="4771" spans="13:13" x14ac:dyDescent="0.25">
      <c r="M4771" s="21"/>
    </row>
    <row r="4772" spans="13:13" x14ac:dyDescent="0.25">
      <c r="M4772" s="21"/>
    </row>
    <row r="4773" spans="13:13" x14ac:dyDescent="0.25">
      <c r="M4773" s="21"/>
    </row>
    <row r="4774" spans="13:13" x14ac:dyDescent="0.25">
      <c r="M4774" s="21"/>
    </row>
    <row r="4775" spans="13:13" x14ac:dyDescent="0.25">
      <c r="M4775" s="21"/>
    </row>
    <row r="4776" spans="13:13" x14ac:dyDescent="0.25">
      <c r="M4776" s="21"/>
    </row>
    <row r="4777" spans="13:13" x14ac:dyDescent="0.25">
      <c r="M4777" s="21"/>
    </row>
    <row r="4778" spans="13:13" x14ac:dyDescent="0.25">
      <c r="M4778" s="21"/>
    </row>
    <row r="4779" spans="13:13" x14ac:dyDescent="0.25">
      <c r="M4779" s="21"/>
    </row>
    <row r="4780" spans="13:13" x14ac:dyDescent="0.25">
      <c r="M4780" s="21"/>
    </row>
    <row r="4781" spans="13:13" x14ac:dyDescent="0.25">
      <c r="M4781" s="21"/>
    </row>
    <row r="4782" spans="13:13" x14ac:dyDescent="0.25">
      <c r="M4782" s="21"/>
    </row>
    <row r="4783" spans="13:13" x14ac:dyDescent="0.25">
      <c r="M4783" s="21"/>
    </row>
    <row r="4784" spans="13:13" x14ac:dyDescent="0.25">
      <c r="M4784" s="21"/>
    </row>
    <row r="4785" spans="13:13" x14ac:dyDescent="0.25">
      <c r="M4785" s="21"/>
    </row>
    <row r="4786" spans="13:13" x14ac:dyDescent="0.25">
      <c r="M4786" s="21"/>
    </row>
    <row r="4787" spans="13:13" x14ac:dyDescent="0.25">
      <c r="M4787" s="21"/>
    </row>
    <row r="4788" spans="13:13" x14ac:dyDescent="0.25">
      <c r="M4788" s="21"/>
    </row>
    <row r="4789" spans="13:13" x14ac:dyDescent="0.25">
      <c r="M4789" s="21"/>
    </row>
    <row r="4790" spans="13:13" x14ac:dyDescent="0.25">
      <c r="M4790" s="21"/>
    </row>
    <row r="4791" spans="13:13" x14ac:dyDescent="0.25">
      <c r="M4791" s="21"/>
    </row>
    <row r="4792" spans="13:13" x14ac:dyDescent="0.25">
      <c r="M4792" s="21"/>
    </row>
    <row r="4793" spans="13:13" x14ac:dyDescent="0.25">
      <c r="M4793" s="21"/>
    </row>
    <row r="4794" spans="13:13" x14ac:dyDescent="0.25">
      <c r="M4794" s="21"/>
    </row>
    <row r="4795" spans="13:13" x14ac:dyDescent="0.25">
      <c r="M4795" s="21"/>
    </row>
    <row r="4796" spans="13:13" x14ac:dyDescent="0.25">
      <c r="M4796" s="21"/>
    </row>
    <row r="4797" spans="13:13" x14ac:dyDescent="0.25">
      <c r="M4797" s="21"/>
    </row>
    <row r="4798" spans="13:13" x14ac:dyDescent="0.25">
      <c r="M4798" s="21"/>
    </row>
    <row r="4799" spans="13:13" x14ac:dyDescent="0.25">
      <c r="M4799" s="21"/>
    </row>
    <row r="4800" spans="13:13" x14ac:dyDescent="0.25">
      <c r="M4800" s="21"/>
    </row>
    <row r="4801" spans="13:13" x14ac:dyDescent="0.25">
      <c r="M4801" s="21"/>
    </row>
    <row r="4802" spans="13:13" x14ac:dyDescent="0.25">
      <c r="M4802" s="21"/>
    </row>
    <row r="4803" spans="13:13" x14ac:dyDescent="0.25">
      <c r="M4803" s="21"/>
    </row>
    <row r="4804" spans="13:13" x14ac:dyDescent="0.25">
      <c r="M4804" s="21"/>
    </row>
    <row r="4805" spans="13:13" x14ac:dyDescent="0.25">
      <c r="M4805" s="21"/>
    </row>
    <row r="4806" spans="13:13" x14ac:dyDescent="0.25">
      <c r="M4806" s="21"/>
    </row>
    <row r="4807" spans="13:13" x14ac:dyDescent="0.25">
      <c r="M4807" s="21"/>
    </row>
    <row r="4808" spans="13:13" x14ac:dyDescent="0.25">
      <c r="M4808" s="21"/>
    </row>
    <row r="4809" spans="13:13" x14ac:dyDescent="0.25">
      <c r="M4809" s="21"/>
    </row>
    <row r="4810" spans="13:13" x14ac:dyDescent="0.25">
      <c r="M4810" s="21"/>
    </row>
    <row r="4811" spans="13:13" x14ac:dyDescent="0.25">
      <c r="M4811" s="21"/>
    </row>
    <row r="4812" spans="13:13" x14ac:dyDescent="0.25">
      <c r="M4812" s="21"/>
    </row>
    <row r="4813" spans="13:13" x14ac:dyDescent="0.25">
      <c r="M4813" s="21"/>
    </row>
    <row r="4814" spans="13:13" x14ac:dyDescent="0.25">
      <c r="M4814" s="21"/>
    </row>
    <row r="4815" spans="13:13" x14ac:dyDescent="0.25">
      <c r="M4815" s="21"/>
    </row>
    <row r="4816" spans="13:13" x14ac:dyDescent="0.25">
      <c r="M4816" s="21"/>
    </row>
    <row r="4817" spans="13:13" x14ac:dyDescent="0.25">
      <c r="M4817" s="21"/>
    </row>
    <row r="4818" spans="13:13" x14ac:dyDescent="0.25">
      <c r="M4818" s="21"/>
    </row>
    <row r="4819" spans="13:13" x14ac:dyDescent="0.25">
      <c r="M4819" s="21"/>
    </row>
    <row r="4820" spans="13:13" x14ac:dyDescent="0.25">
      <c r="M4820" s="21"/>
    </row>
    <row r="4821" spans="13:13" x14ac:dyDescent="0.25">
      <c r="M4821" s="21"/>
    </row>
    <row r="4822" spans="13:13" x14ac:dyDescent="0.25">
      <c r="M4822" s="21"/>
    </row>
    <row r="4823" spans="13:13" x14ac:dyDescent="0.25">
      <c r="M4823" s="21"/>
    </row>
    <row r="4824" spans="13:13" x14ac:dyDescent="0.25">
      <c r="M4824" s="21"/>
    </row>
    <row r="4825" spans="13:13" x14ac:dyDescent="0.25">
      <c r="M4825" s="21"/>
    </row>
    <row r="4826" spans="13:13" x14ac:dyDescent="0.25">
      <c r="M4826" s="21"/>
    </row>
    <row r="4827" spans="13:13" x14ac:dyDescent="0.25">
      <c r="M4827" s="21"/>
    </row>
    <row r="4828" spans="13:13" x14ac:dyDescent="0.25">
      <c r="M4828" s="21"/>
    </row>
    <row r="4829" spans="13:13" x14ac:dyDescent="0.25">
      <c r="M4829" s="21"/>
    </row>
    <row r="4830" spans="13:13" x14ac:dyDescent="0.25">
      <c r="M4830" s="21"/>
    </row>
    <row r="4831" spans="13:13" x14ac:dyDescent="0.25">
      <c r="M4831" s="21"/>
    </row>
    <row r="4832" spans="13:13" x14ac:dyDescent="0.25">
      <c r="M4832" s="21"/>
    </row>
    <row r="4833" spans="13:13" x14ac:dyDescent="0.25">
      <c r="M4833" s="21"/>
    </row>
    <row r="4834" spans="13:13" x14ac:dyDescent="0.25">
      <c r="M4834" s="21"/>
    </row>
    <row r="4835" spans="13:13" x14ac:dyDescent="0.25">
      <c r="M4835" s="21"/>
    </row>
    <row r="4836" spans="13:13" x14ac:dyDescent="0.25">
      <c r="M4836" s="21"/>
    </row>
    <row r="4837" spans="13:13" x14ac:dyDescent="0.25">
      <c r="M4837" s="21"/>
    </row>
    <row r="4838" spans="13:13" x14ac:dyDescent="0.25">
      <c r="M4838" s="21"/>
    </row>
    <row r="4839" spans="13:13" x14ac:dyDescent="0.25">
      <c r="M4839" s="21"/>
    </row>
    <row r="4840" spans="13:13" x14ac:dyDescent="0.25">
      <c r="M4840" s="21"/>
    </row>
    <row r="4841" spans="13:13" x14ac:dyDescent="0.25">
      <c r="M4841" s="21"/>
    </row>
    <row r="4842" spans="13:13" x14ac:dyDescent="0.25">
      <c r="M4842" s="21"/>
    </row>
    <row r="4843" spans="13:13" x14ac:dyDescent="0.25">
      <c r="M4843" s="21"/>
    </row>
    <row r="4844" spans="13:13" x14ac:dyDescent="0.25">
      <c r="M4844" s="21"/>
    </row>
    <row r="4845" spans="13:13" x14ac:dyDescent="0.25">
      <c r="M4845" s="21"/>
    </row>
    <row r="4846" spans="13:13" x14ac:dyDescent="0.25">
      <c r="M4846" s="21"/>
    </row>
    <row r="4847" spans="13:13" x14ac:dyDescent="0.25">
      <c r="M4847" s="21"/>
    </row>
    <row r="4848" spans="13:13" x14ac:dyDescent="0.25">
      <c r="M4848" s="21"/>
    </row>
    <row r="4849" spans="13:13" x14ac:dyDescent="0.25">
      <c r="M4849" s="21"/>
    </row>
    <row r="4850" spans="13:13" x14ac:dyDescent="0.25">
      <c r="M4850" s="21"/>
    </row>
    <row r="4851" spans="13:13" x14ac:dyDescent="0.25">
      <c r="M4851" s="21"/>
    </row>
    <row r="4852" spans="13:13" x14ac:dyDescent="0.25">
      <c r="M4852" s="21"/>
    </row>
    <row r="4853" spans="13:13" x14ac:dyDescent="0.25">
      <c r="M4853" s="21"/>
    </row>
    <row r="4854" spans="13:13" x14ac:dyDescent="0.25">
      <c r="M4854" s="21"/>
    </row>
    <row r="4855" spans="13:13" x14ac:dyDescent="0.25">
      <c r="M4855" s="21"/>
    </row>
    <row r="4856" spans="13:13" x14ac:dyDescent="0.25">
      <c r="M4856" s="21"/>
    </row>
    <row r="4857" spans="13:13" x14ac:dyDescent="0.25">
      <c r="M4857" s="21"/>
    </row>
    <row r="4858" spans="13:13" x14ac:dyDescent="0.25">
      <c r="M4858" s="21"/>
    </row>
    <row r="4859" spans="13:13" x14ac:dyDescent="0.25">
      <c r="M4859" s="21"/>
    </row>
    <row r="4860" spans="13:13" x14ac:dyDescent="0.25">
      <c r="M4860" s="21"/>
    </row>
    <row r="4861" spans="13:13" x14ac:dyDescent="0.25">
      <c r="M4861" s="21"/>
    </row>
    <row r="4862" spans="13:13" x14ac:dyDescent="0.25">
      <c r="M4862" s="21"/>
    </row>
    <row r="4863" spans="13:13" x14ac:dyDescent="0.25">
      <c r="M4863" s="21"/>
    </row>
    <row r="4864" spans="13:13" x14ac:dyDescent="0.25">
      <c r="M4864" s="21"/>
    </row>
    <row r="4865" spans="13:13" x14ac:dyDescent="0.25">
      <c r="M4865" s="21"/>
    </row>
    <row r="4866" spans="13:13" x14ac:dyDescent="0.25">
      <c r="M4866" s="21"/>
    </row>
    <row r="4867" spans="13:13" x14ac:dyDescent="0.25">
      <c r="M4867" s="21"/>
    </row>
    <row r="4868" spans="13:13" x14ac:dyDescent="0.25">
      <c r="M4868" s="21"/>
    </row>
    <row r="4869" spans="13:13" x14ac:dyDescent="0.25">
      <c r="M4869" s="21"/>
    </row>
    <row r="4870" spans="13:13" x14ac:dyDescent="0.25">
      <c r="M4870" s="21"/>
    </row>
    <row r="4871" spans="13:13" x14ac:dyDescent="0.25">
      <c r="M4871" s="21"/>
    </row>
    <row r="4872" spans="13:13" x14ac:dyDescent="0.25">
      <c r="M4872" s="21"/>
    </row>
    <row r="4873" spans="13:13" x14ac:dyDescent="0.25">
      <c r="M4873" s="21"/>
    </row>
    <row r="4874" spans="13:13" x14ac:dyDescent="0.25">
      <c r="M4874" s="21"/>
    </row>
    <row r="4875" spans="13:13" x14ac:dyDescent="0.25">
      <c r="M4875" s="21"/>
    </row>
    <row r="4876" spans="13:13" x14ac:dyDescent="0.25">
      <c r="M4876" s="21"/>
    </row>
    <row r="4877" spans="13:13" x14ac:dyDescent="0.25">
      <c r="M4877" s="21"/>
    </row>
    <row r="4878" spans="13:13" x14ac:dyDescent="0.25">
      <c r="M4878" s="21"/>
    </row>
    <row r="4879" spans="13:13" x14ac:dyDescent="0.25">
      <c r="M4879" s="21"/>
    </row>
    <row r="4880" spans="13:13" x14ac:dyDescent="0.25">
      <c r="M4880" s="21"/>
    </row>
    <row r="4881" spans="13:13" x14ac:dyDescent="0.25">
      <c r="M4881" s="21"/>
    </row>
    <row r="4882" spans="13:13" x14ac:dyDescent="0.25">
      <c r="M4882" s="21"/>
    </row>
    <row r="4883" spans="13:13" x14ac:dyDescent="0.25">
      <c r="M4883" s="21"/>
    </row>
    <row r="4884" spans="13:13" x14ac:dyDescent="0.25">
      <c r="M4884" s="21"/>
    </row>
    <row r="4885" spans="13:13" x14ac:dyDescent="0.25">
      <c r="M4885" s="21"/>
    </row>
    <row r="4886" spans="13:13" x14ac:dyDescent="0.25">
      <c r="M4886" s="21"/>
    </row>
    <row r="4887" spans="13:13" x14ac:dyDescent="0.25">
      <c r="M4887" s="21"/>
    </row>
    <row r="4888" spans="13:13" x14ac:dyDescent="0.25">
      <c r="M4888" s="21"/>
    </row>
    <row r="4889" spans="13:13" x14ac:dyDescent="0.25">
      <c r="M4889" s="21"/>
    </row>
    <row r="4890" spans="13:13" x14ac:dyDescent="0.25">
      <c r="M4890" s="21"/>
    </row>
    <row r="4891" spans="13:13" x14ac:dyDescent="0.25">
      <c r="M4891" s="21"/>
    </row>
    <row r="4892" spans="13:13" x14ac:dyDescent="0.25">
      <c r="M4892" s="21"/>
    </row>
    <row r="4893" spans="13:13" x14ac:dyDescent="0.25">
      <c r="M4893" s="21"/>
    </row>
    <row r="4894" spans="13:13" x14ac:dyDescent="0.25">
      <c r="M4894" s="21"/>
    </row>
    <row r="4895" spans="13:13" x14ac:dyDescent="0.25">
      <c r="M4895" s="21"/>
    </row>
    <row r="4896" spans="13:13" x14ac:dyDescent="0.25">
      <c r="M4896" s="21"/>
    </row>
    <row r="4897" spans="13:13" x14ac:dyDescent="0.25">
      <c r="M4897" s="21"/>
    </row>
    <row r="4898" spans="13:13" x14ac:dyDescent="0.25">
      <c r="M4898" s="21"/>
    </row>
    <row r="4899" spans="13:13" x14ac:dyDescent="0.25">
      <c r="M4899" s="21"/>
    </row>
    <row r="4900" spans="13:13" x14ac:dyDescent="0.25">
      <c r="M4900" s="21"/>
    </row>
    <row r="4901" spans="13:13" x14ac:dyDescent="0.25">
      <c r="M4901" s="21"/>
    </row>
    <row r="4902" spans="13:13" x14ac:dyDescent="0.25">
      <c r="M4902" s="21"/>
    </row>
    <row r="4903" spans="13:13" x14ac:dyDescent="0.25">
      <c r="M4903" s="21"/>
    </row>
    <row r="4904" spans="13:13" x14ac:dyDescent="0.25">
      <c r="M4904" s="21"/>
    </row>
    <row r="4905" spans="13:13" x14ac:dyDescent="0.25">
      <c r="M4905" s="21"/>
    </row>
    <row r="4906" spans="13:13" x14ac:dyDescent="0.25">
      <c r="M4906" s="21"/>
    </row>
    <row r="4907" spans="13:13" x14ac:dyDescent="0.25">
      <c r="M4907" s="21"/>
    </row>
    <row r="4908" spans="13:13" x14ac:dyDescent="0.25">
      <c r="M4908" s="21"/>
    </row>
    <row r="4909" spans="13:13" x14ac:dyDescent="0.25">
      <c r="M4909" s="21"/>
    </row>
    <row r="4910" spans="13:13" x14ac:dyDescent="0.25">
      <c r="M4910" s="21"/>
    </row>
    <row r="4911" spans="13:13" x14ac:dyDescent="0.25">
      <c r="M4911" s="21"/>
    </row>
    <row r="4912" spans="13:13" x14ac:dyDescent="0.25">
      <c r="M4912" s="21"/>
    </row>
    <row r="4913" spans="13:13" x14ac:dyDescent="0.25">
      <c r="M4913" s="21"/>
    </row>
    <row r="4914" spans="13:13" x14ac:dyDescent="0.25">
      <c r="M4914" s="21"/>
    </row>
    <row r="4915" spans="13:13" x14ac:dyDescent="0.25">
      <c r="M4915" s="21"/>
    </row>
    <row r="4916" spans="13:13" x14ac:dyDescent="0.25">
      <c r="M4916" s="21"/>
    </row>
    <row r="4917" spans="13:13" x14ac:dyDescent="0.25">
      <c r="M4917" s="21"/>
    </row>
    <row r="4918" spans="13:13" x14ac:dyDescent="0.25">
      <c r="M4918" s="21"/>
    </row>
    <row r="4919" spans="13:13" x14ac:dyDescent="0.25">
      <c r="M4919" s="21"/>
    </row>
    <row r="4920" spans="13:13" x14ac:dyDescent="0.25">
      <c r="M4920" s="21"/>
    </row>
    <row r="4921" spans="13:13" x14ac:dyDescent="0.25">
      <c r="M4921" s="21"/>
    </row>
    <row r="4922" spans="13:13" x14ac:dyDescent="0.25">
      <c r="M4922" s="21"/>
    </row>
    <row r="4923" spans="13:13" x14ac:dyDescent="0.25">
      <c r="M4923" s="21"/>
    </row>
    <row r="4924" spans="13:13" x14ac:dyDescent="0.25">
      <c r="M4924" s="21"/>
    </row>
    <row r="4925" spans="13:13" x14ac:dyDescent="0.25">
      <c r="M4925" s="21"/>
    </row>
    <row r="4926" spans="13:13" x14ac:dyDescent="0.25">
      <c r="M4926" s="21"/>
    </row>
    <row r="4927" spans="13:13" x14ac:dyDescent="0.25">
      <c r="M4927" s="21"/>
    </row>
    <row r="4928" spans="13:13" x14ac:dyDescent="0.25">
      <c r="M4928" s="21"/>
    </row>
    <row r="4929" spans="13:13" x14ac:dyDescent="0.25">
      <c r="M4929" s="21"/>
    </row>
    <row r="4930" spans="13:13" x14ac:dyDescent="0.25">
      <c r="M4930" s="21"/>
    </row>
    <row r="4931" spans="13:13" x14ac:dyDescent="0.25">
      <c r="M4931" s="21"/>
    </row>
    <row r="4932" spans="13:13" x14ac:dyDescent="0.25">
      <c r="M4932" s="21"/>
    </row>
    <row r="4933" spans="13:13" x14ac:dyDescent="0.25">
      <c r="M4933" s="21"/>
    </row>
    <row r="4934" spans="13:13" x14ac:dyDescent="0.25">
      <c r="M4934" s="21"/>
    </row>
    <row r="4935" spans="13:13" x14ac:dyDescent="0.25">
      <c r="M4935" s="21"/>
    </row>
    <row r="4936" spans="13:13" x14ac:dyDescent="0.25">
      <c r="M4936" s="21"/>
    </row>
    <row r="4937" spans="13:13" x14ac:dyDescent="0.25">
      <c r="M4937" s="21"/>
    </row>
    <row r="4938" spans="13:13" x14ac:dyDescent="0.25">
      <c r="M4938" s="21"/>
    </row>
    <row r="4939" spans="13:13" x14ac:dyDescent="0.25">
      <c r="M4939" s="21"/>
    </row>
    <row r="4940" spans="13:13" x14ac:dyDescent="0.25">
      <c r="M4940" s="21"/>
    </row>
    <row r="4941" spans="13:13" x14ac:dyDescent="0.25">
      <c r="M4941" s="21"/>
    </row>
    <row r="4942" spans="13:13" x14ac:dyDescent="0.25">
      <c r="M4942" s="21"/>
    </row>
    <row r="4943" spans="13:13" x14ac:dyDescent="0.25">
      <c r="M4943" s="21"/>
    </row>
    <row r="4944" spans="13:13" x14ac:dyDescent="0.25">
      <c r="M4944" s="21"/>
    </row>
    <row r="4945" spans="13:13" x14ac:dyDescent="0.25">
      <c r="M4945" s="21"/>
    </row>
    <row r="4946" spans="13:13" x14ac:dyDescent="0.25">
      <c r="M4946" s="21"/>
    </row>
    <row r="4947" spans="13:13" x14ac:dyDescent="0.25">
      <c r="M4947" s="21"/>
    </row>
    <row r="4948" spans="13:13" x14ac:dyDescent="0.25">
      <c r="M4948" s="21"/>
    </row>
    <row r="4949" spans="13:13" x14ac:dyDescent="0.25">
      <c r="M4949" s="21"/>
    </row>
    <row r="4950" spans="13:13" x14ac:dyDescent="0.25">
      <c r="M4950" s="21"/>
    </row>
    <row r="4951" spans="13:13" x14ac:dyDescent="0.25">
      <c r="M4951" s="21"/>
    </row>
    <row r="4952" spans="13:13" x14ac:dyDescent="0.25">
      <c r="M4952" s="21"/>
    </row>
    <row r="4953" spans="13:13" x14ac:dyDescent="0.25">
      <c r="M4953" s="21"/>
    </row>
    <row r="4954" spans="13:13" x14ac:dyDescent="0.25">
      <c r="M4954" s="21"/>
    </row>
    <row r="4955" spans="13:13" x14ac:dyDescent="0.25">
      <c r="M4955" s="21"/>
    </row>
    <row r="4956" spans="13:13" x14ac:dyDescent="0.25">
      <c r="M4956" s="21"/>
    </row>
    <row r="4957" spans="13:13" x14ac:dyDescent="0.25">
      <c r="M4957" s="21"/>
    </row>
    <row r="4958" spans="13:13" x14ac:dyDescent="0.25">
      <c r="M4958" s="21"/>
    </row>
    <row r="4959" spans="13:13" x14ac:dyDescent="0.25">
      <c r="M4959" s="21"/>
    </row>
    <row r="4960" spans="13:13" x14ac:dyDescent="0.25">
      <c r="M4960" s="21"/>
    </row>
    <row r="4961" spans="13:13" x14ac:dyDescent="0.25">
      <c r="M4961" s="21"/>
    </row>
    <row r="4962" spans="13:13" x14ac:dyDescent="0.25">
      <c r="M4962" s="21"/>
    </row>
    <row r="4963" spans="13:13" x14ac:dyDescent="0.25">
      <c r="M4963" s="21"/>
    </row>
    <row r="4964" spans="13:13" x14ac:dyDescent="0.25">
      <c r="M4964" s="21"/>
    </row>
    <row r="4965" spans="13:13" x14ac:dyDescent="0.25">
      <c r="M4965" s="21"/>
    </row>
    <row r="4966" spans="13:13" x14ac:dyDescent="0.25">
      <c r="M4966" s="21"/>
    </row>
    <row r="4967" spans="13:13" x14ac:dyDescent="0.25">
      <c r="M4967" s="21"/>
    </row>
    <row r="4968" spans="13:13" x14ac:dyDescent="0.25">
      <c r="M4968" s="21"/>
    </row>
    <row r="4969" spans="13:13" x14ac:dyDescent="0.25">
      <c r="M4969" s="21"/>
    </row>
    <row r="4970" spans="13:13" x14ac:dyDescent="0.25">
      <c r="M4970" s="21"/>
    </row>
    <row r="4971" spans="13:13" x14ac:dyDescent="0.25">
      <c r="M4971" s="21"/>
    </row>
    <row r="4972" spans="13:13" x14ac:dyDescent="0.25">
      <c r="M4972" s="21"/>
    </row>
    <row r="4973" spans="13:13" x14ac:dyDescent="0.25">
      <c r="M4973" s="21"/>
    </row>
    <row r="4974" spans="13:13" x14ac:dyDescent="0.25">
      <c r="M4974" s="21"/>
    </row>
    <row r="4975" spans="13:13" x14ac:dyDescent="0.25">
      <c r="M4975" s="21"/>
    </row>
    <row r="4976" spans="13:13" x14ac:dyDescent="0.25">
      <c r="M4976" s="21"/>
    </row>
    <row r="4977" spans="13:13" x14ac:dyDescent="0.25">
      <c r="M4977" s="21"/>
    </row>
    <row r="4978" spans="13:13" x14ac:dyDescent="0.25">
      <c r="M4978" s="21"/>
    </row>
    <row r="4979" spans="13:13" x14ac:dyDescent="0.25">
      <c r="M4979" s="21"/>
    </row>
    <row r="4980" spans="13:13" x14ac:dyDescent="0.25">
      <c r="M4980" s="21"/>
    </row>
    <row r="4981" spans="13:13" x14ac:dyDescent="0.25">
      <c r="M4981" s="21"/>
    </row>
    <row r="4982" spans="13:13" x14ac:dyDescent="0.25">
      <c r="M4982" s="21"/>
    </row>
    <row r="4983" spans="13:13" x14ac:dyDescent="0.25">
      <c r="M4983" s="21"/>
    </row>
    <row r="4984" spans="13:13" x14ac:dyDescent="0.25">
      <c r="M4984" s="21"/>
    </row>
    <row r="4985" spans="13:13" x14ac:dyDescent="0.25">
      <c r="M4985" s="21"/>
    </row>
    <row r="4986" spans="13:13" x14ac:dyDescent="0.25">
      <c r="M4986" s="21"/>
    </row>
    <row r="4987" spans="13:13" x14ac:dyDescent="0.25">
      <c r="M4987" s="21"/>
    </row>
    <row r="4988" spans="13:13" x14ac:dyDescent="0.25">
      <c r="M4988" s="21"/>
    </row>
    <row r="4989" spans="13:13" x14ac:dyDescent="0.25">
      <c r="M4989" s="21"/>
    </row>
    <row r="4990" spans="13:13" x14ac:dyDescent="0.25">
      <c r="M4990" s="21"/>
    </row>
    <row r="4991" spans="13:13" x14ac:dyDescent="0.25">
      <c r="M4991" s="21"/>
    </row>
    <row r="4992" spans="13:13" x14ac:dyDescent="0.25">
      <c r="M4992" s="21"/>
    </row>
    <row r="4993" spans="13:13" x14ac:dyDescent="0.25">
      <c r="M4993" s="21"/>
    </row>
    <row r="4994" spans="13:13" x14ac:dyDescent="0.25">
      <c r="M4994" s="21"/>
    </row>
    <row r="4995" spans="13:13" x14ac:dyDescent="0.25">
      <c r="M4995" s="21"/>
    </row>
    <row r="4996" spans="13:13" x14ac:dyDescent="0.25">
      <c r="M4996" s="21"/>
    </row>
    <row r="4997" spans="13:13" x14ac:dyDescent="0.25">
      <c r="M4997" s="21"/>
    </row>
    <row r="4998" spans="13:13" x14ac:dyDescent="0.25">
      <c r="M4998" s="21"/>
    </row>
    <row r="4999" spans="13:13" x14ac:dyDescent="0.25">
      <c r="M4999" s="21"/>
    </row>
    <row r="5000" spans="13:13" x14ac:dyDescent="0.25">
      <c r="M5000" s="21"/>
    </row>
    <row r="5001" spans="13:13" x14ac:dyDescent="0.25">
      <c r="M5001" s="21"/>
    </row>
    <row r="5002" spans="13:13" x14ac:dyDescent="0.25">
      <c r="M5002" s="21"/>
    </row>
    <row r="5003" spans="13:13" x14ac:dyDescent="0.25">
      <c r="M5003" s="21"/>
    </row>
    <row r="5004" spans="13:13" x14ac:dyDescent="0.25">
      <c r="M5004" s="21"/>
    </row>
    <row r="5005" spans="13:13" x14ac:dyDescent="0.25">
      <c r="M5005" s="21"/>
    </row>
    <row r="5006" spans="13:13" x14ac:dyDescent="0.25">
      <c r="M5006" s="21"/>
    </row>
    <row r="5007" spans="13:13" x14ac:dyDescent="0.25">
      <c r="M5007" s="21"/>
    </row>
    <row r="5008" spans="13:13" x14ac:dyDescent="0.25">
      <c r="M5008" s="21"/>
    </row>
    <row r="5009" spans="13:13" x14ac:dyDescent="0.25">
      <c r="M5009" s="21"/>
    </row>
    <row r="5010" spans="13:13" x14ac:dyDescent="0.25">
      <c r="M5010" s="21"/>
    </row>
    <row r="5011" spans="13:13" x14ac:dyDescent="0.25">
      <c r="M5011" s="21"/>
    </row>
    <row r="5012" spans="13:13" x14ac:dyDescent="0.25">
      <c r="M5012" s="21"/>
    </row>
    <row r="5013" spans="13:13" x14ac:dyDescent="0.25">
      <c r="M5013" s="21"/>
    </row>
    <row r="5014" spans="13:13" x14ac:dyDescent="0.25">
      <c r="M5014" s="21"/>
    </row>
    <row r="5015" spans="13:13" x14ac:dyDescent="0.25">
      <c r="M5015" s="21"/>
    </row>
    <row r="5016" spans="13:13" x14ac:dyDescent="0.25">
      <c r="M5016" s="21"/>
    </row>
    <row r="5017" spans="13:13" x14ac:dyDescent="0.25">
      <c r="M5017" s="21"/>
    </row>
    <row r="5018" spans="13:13" x14ac:dyDescent="0.25">
      <c r="M5018" s="21"/>
    </row>
    <row r="5019" spans="13:13" x14ac:dyDescent="0.25">
      <c r="M5019" s="21"/>
    </row>
    <row r="5020" spans="13:13" x14ac:dyDescent="0.25">
      <c r="M5020" s="21"/>
    </row>
    <row r="5021" spans="13:13" x14ac:dyDescent="0.25">
      <c r="M5021" s="21"/>
    </row>
    <row r="5022" spans="13:13" x14ac:dyDescent="0.25">
      <c r="M5022" s="21"/>
    </row>
    <row r="5023" spans="13:13" x14ac:dyDescent="0.25">
      <c r="M5023" s="21"/>
    </row>
    <row r="5024" spans="13:13" x14ac:dyDescent="0.25">
      <c r="M5024" s="21"/>
    </row>
    <row r="5025" spans="13:13" x14ac:dyDescent="0.25">
      <c r="M5025" s="21"/>
    </row>
    <row r="5026" spans="13:13" x14ac:dyDescent="0.25">
      <c r="M5026" s="21"/>
    </row>
    <row r="5027" spans="13:13" x14ac:dyDescent="0.25">
      <c r="M5027" s="21"/>
    </row>
    <row r="5028" spans="13:13" x14ac:dyDescent="0.25">
      <c r="M5028" s="21"/>
    </row>
    <row r="5029" spans="13:13" x14ac:dyDescent="0.25">
      <c r="M5029" s="21"/>
    </row>
    <row r="5030" spans="13:13" x14ac:dyDescent="0.25">
      <c r="M5030" s="21"/>
    </row>
    <row r="5031" spans="13:13" x14ac:dyDescent="0.25">
      <c r="M5031" s="21"/>
    </row>
    <row r="5032" spans="13:13" x14ac:dyDescent="0.25">
      <c r="M5032" s="21"/>
    </row>
    <row r="5033" spans="13:13" x14ac:dyDescent="0.25">
      <c r="M5033" s="21"/>
    </row>
    <row r="5034" spans="13:13" x14ac:dyDescent="0.25">
      <c r="M5034" s="21"/>
    </row>
    <row r="5035" spans="13:13" x14ac:dyDescent="0.25">
      <c r="M5035" s="21"/>
    </row>
    <row r="5036" spans="13:13" x14ac:dyDescent="0.25">
      <c r="M5036" s="21"/>
    </row>
    <row r="5037" spans="13:13" x14ac:dyDescent="0.25">
      <c r="M5037" s="21"/>
    </row>
    <row r="5038" spans="13:13" x14ac:dyDescent="0.25">
      <c r="M5038" s="21"/>
    </row>
    <row r="5039" spans="13:13" x14ac:dyDescent="0.25">
      <c r="M5039" s="21"/>
    </row>
    <row r="5040" spans="13:13" x14ac:dyDescent="0.25">
      <c r="M5040" s="21"/>
    </row>
    <row r="5041" spans="13:13" x14ac:dyDescent="0.25">
      <c r="M5041" s="21"/>
    </row>
    <row r="5042" spans="13:13" x14ac:dyDescent="0.25">
      <c r="M5042" s="21"/>
    </row>
    <row r="5043" spans="13:13" x14ac:dyDescent="0.25">
      <c r="M5043" s="21"/>
    </row>
    <row r="5044" spans="13:13" x14ac:dyDescent="0.25">
      <c r="M5044" s="21"/>
    </row>
    <row r="5045" spans="13:13" x14ac:dyDescent="0.25">
      <c r="M5045" s="21"/>
    </row>
    <row r="5046" spans="13:13" x14ac:dyDescent="0.25">
      <c r="M5046" s="21"/>
    </row>
    <row r="5047" spans="13:13" x14ac:dyDescent="0.25">
      <c r="M5047" s="21"/>
    </row>
    <row r="5048" spans="13:13" x14ac:dyDescent="0.25">
      <c r="M5048" s="21"/>
    </row>
    <row r="5049" spans="13:13" x14ac:dyDescent="0.25">
      <c r="M5049" s="21"/>
    </row>
    <row r="5050" spans="13:13" x14ac:dyDescent="0.25">
      <c r="M5050" s="21"/>
    </row>
    <row r="5051" spans="13:13" x14ac:dyDescent="0.25">
      <c r="M5051" s="21"/>
    </row>
    <row r="5052" spans="13:13" x14ac:dyDescent="0.25">
      <c r="M5052" s="21"/>
    </row>
    <row r="5053" spans="13:13" x14ac:dyDescent="0.25">
      <c r="M5053" s="21"/>
    </row>
    <row r="5054" spans="13:13" x14ac:dyDescent="0.25">
      <c r="M5054" s="21"/>
    </row>
    <row r="5055" spans="13:13" x14ac:dyDescent="0.25">
      <c r="M5055" s="21"/>
    </row>
    <row r="5056" spans="13:13" x14ac:dyDescent="0.25">
      <c r="M5056" s="21"/>
    </row>
    <row r="5057" spans="13:13" x14ac:dyDescent="0.25">
      <c r="M5057" s="21"/>
    </row>
    <row r="5058" spans="13:13" x14ac:dyDescent="0.25">
      <c r="M5058" s="21"/>
    </row>
    <row r="5059" spans="13:13" x14ac:dyDescent="0.25">
      <c r="M5059" s="21"/>
    </row>
    <row r="5060" spans="13:13" x14ac:dyDescent="0.25">
      <c r="M5060" s="21"/>
    </row>
    <row r="5061" spans="13:13" x14ac:dyDescent="0.25">
      <c r="M5061" s="21"/>
    </row>
    <row r="5062" spans="13:13" x14ac:dyDescent="0.25">
      <c r="M5062" s="21"/>
    </row>
    <row r="5063" spans="13:13" x14ac:dyDescent="0.25">
      <c r="M5063" s="21"/>
    </row>
    <row r="5064" spans="13:13" x14ac:dyDescent="0.25">
      <c r="M5064" s="21"/>
    </row>
    <row r="5065" spans="13:13" x14ac:dyDescent="0.25">
      <c r="M5065" s="21"/>
    </row>
    <row r="5066" spans="13:13" x14ac:dyDescent="0.25">
      <c r="M5066" s="21"/>
    </row>
    <row r="5067" spans="13:13" x14ac:dyDescent="0.25">
      <c r="M5067" s="21"/>
    </row>
    <row r="5068" spans="13:13" x14ac:dyDescent="0.25">
      <c r="M5068" s="21"/>
    </row>
    <row r="5069" spans="13:13" x14ac:dyDescent="0.25">
      <c r="M5069" s="21"/>
    </row>
    <row r="5070" spans="13:13" x14ac:dyDescent="0.25">
      <c r="M5070" s="21"/>
    </row>
    <row r="5071" spans="13:13" x14ac:dyDescent="0.25">
      <c r="M5071" s="21"/>
    </row>
    <row r="5072" spans="13:13" x14ac:dyDescent="0.25">
      <c r="M5072" s="21"/>
    </row>
    <row r="5073" spans="13:13" x14ac:dyDescent="0.25">
      <c r="M5073" s="21"/>
    </row>
    <row r="5074" spans="13:13" x14ac:dyDescent="0.25">
      <c r="M5074" s="21"/>
    </row>
    <row r="5075" spans="13:13" x14ac:dyDescent="0.25">
      <c r="M5075" s="21"/>
    </row>
    <row r="5076" spans="13:13" x14ac:dyDescent="0.25">
      <c r="M5076" s="21"/>
    </row>
    <row r="5077" spans="13:13" x14ac:dyDescent="0.25">
      <c r="M5077" s="21"/>
    </row>
    <row r="5078" spans="13:13" x14ac:dyDescent="0.25">
      <c r="M5078" s="21"/>
    </row>
    <row r="5079" spans="13:13" x14ac:dyDescent="0.25">
      <c r="M5079" s="21"/>
    </row>
    <row r="5080" spans="13:13" x14ac:dyDescent="0.25">
      <c r="M5080" s="21"/>
    </row>
    <row r="5081" spans="13:13" x14ac:dyDescent="0.25">
      <c r="M5081" s="21"/>
    </row>
    <row r="5082" spans="13:13" x14ac:dyDescent="0.25">
      <c r="M5082" s="21"/>
    </row>
    <row r="5083" spans="13:13" x14ac:dyDescent="0.25">
      <c r="M5083" s="21"/>
    </row>
    <row r="5084" spans="13:13" x14ac:dyDescent="0.25">
      <c r="M5084" s="21"/>
    </row>
    <row r="5085" spans="13:13" x14ac:dyDescent="0.25">
      <c r="M5085" s="21"/>
    </row>
    <row r="5086" spans="13:13" x14ac:dyDescent="0.25">
      <c r="M5086" s="21"/>
    </row>
    <row r="5087" spans="13:13" x14ac:dyDescent="0.25">
      <c r="M5087" s="21"/>
    </row>
    <row r="5088" spans="13:13" x14ac:dyDescent="0.25">
      <c r="M5088" s="21"/>
    </row>
    <row r="5089" spans="13:13" x14ac:dyDescent="0.25">
      <c r="M5089" s="21"/>
    </row>
    <row r="5090" spans="13:13" x14ac:dyDescent="0.25">
      <c r="M5090" s="21"/>
    </row>
    <row r="5091" spans="13:13" x14ac:dyDescent="0.25">
      <c r="M5091" s="21"/>
    </row>
    <row r="5092" spans="13:13" x14ac:dyDescent="0.25">
      <c r="M5092" s="21"/>
    </row>
    <row r="5093" spans="13:13" x14ac:dyDescent="0.25">
      <c r="M5093" s="21"/>
    </row>
    <row r="5094" spans="13:13" x14ac:dyDescent="0.25">
      <c r="M5094" s="21"/>
    </row>
    <row r="5095" spans="13:13" x14ac:dyDescent="0.25">
      <c r="M5095" s="21"/>
    </row>
    <row r="5096" spans="13:13" x14ac:dyDescent="0.25">
      <c r="M5096" s="21"/>
    </row>
    <row r="5097" spans="13:13" x14ac:dyDescent="0.25">
      <c r="M5097" s="21"/>
    </row>
    <row r="5098" spans="13:13" x14ac:dyDescent="0.25">
      <c r="M5098" s="21"/>
    </row>
    <row r="5099" spans="13:13" x14ac:dyDescent="0.25">
      <c r="M5099" s="21"/>
    </row>
    <row r="5100" spans="13:13" x14ac:dyDescent="0.25">
      <c r="M5100" s="21"/>
    </row>
    <row r="5101" spans="13:13" x14ac:dyDescent="0.25">
      <c r="M5101" s="21"/>
    </row>
    <row r="5102" spans="13:13" x14ac:dyDescent="0.25">
      <c r="M5102" s="21"/>
    </row>
    <row r="5103" spans="13:13" x14ac:dyDescent="0.25">
      <c r="M5103" s="21"/>
    </row>
    <row r="5104" spans="13:13" x14ac:dyDescent="0.25">
      <c r="M5104" s="21"/>
    </row>
    <row r="5105" spans="13:13" x14ac:dyDescent="0.25">
      <c r="M5105" s="21"/>
    </row>
    <row r="5106" spans="13:13" x14ac:dyDescent="0.25">
      <c r="M5106" s="21"/>
    </row>
    <row r="5107" spans="13:13" x14ac:dyDescent="0.25">
      <c r="M5107" s="21"/>
    </row>
    <row r="5108" spans="13:13" x14ac:dyDescent="0.25">
      <c r="M5108" s="21"/>
    </row>
    <row r="5109" spans="13:13" x14ac:dyDescent="0.25">
      <c r="M5109" s="21"/>
    </row>
    <row r="5110" spans="13:13" x14ac:dyDescent="0.25">
      <c r="M5110" s="21"/>
    </row>
    <row r="5111" spans="13:13" x14ac:dyDescent="0.25">
      <c r="M5111" s="21"/>
    </row>
    <row r="5112" spans="13:13" x14ac:dyDescent="0.25">
      <c r="M5112" s="21"/>
    </row>
    <row r="5113" spans="13:13" x14ac:dyDescent="0.25">
      <c r="M5113" s="21"/>
    </row>
    <row r="5114" spans="13:13" x14ac:dyDescent="0.25">
      <c r="M5114" s="21"/>
    </row>
    <row r="5115" spans="13:13" x14ac:dyDescent="0.25">
      <c r="M5115" s="21"/>
    </row>
    <row r="5116" spans="13:13" x14ac:dyDescent="0.25">
      <c r="M5116" s="21"/>
    </row>
    <row r="5117" spans="13:13" x14ac:dyDescent="0.25">
      <c r="M5117" s="21"/>
    </row>
    <row r="5118" spans="13:13" x14ac:dyDescent="0.25">
      <c r="M5118" s="21"/>
    </row>
    <row r="5119" spans="13:13" x14ac:dyDescent="0.25">
      <c r="M5119" s="21"/>
    </row>
    <row r="5120" spans="13:13" x14ac:dyDescent="0.25">
      <c r="M5120" s="21"/>
    </row>
    <row r="5121" spans="13:13" x14ac:dyDescent="0.25">
      <c r="M5121" s="21"/>
    </row>
    <row r="5122" spans="13:13" x14ac:dyDescent="0.25">
      <c r="M5122" s="21"/>
    </row>
    <row r="5123" spans="13:13" x14ac:dyDescent="0.25">
      <c r="M5123" s="21"/>
    </row>
    <row r="5124" spans="13:13" x14ac:dyDescent="0.25">
      <c r="M5124" s="21"/>
    </row>
    <row r="5125" spans="13:13" x14ac:dyDescent="0.25">
      <c r="M5125" s="21"/>
    </row>
    <row r="5126" spans="13:13" x14ac:dyDescent="0.25">
      <c r="M5126" s="21"/>
    </row>
    <row r="5127" spans="13:13" x14ac:dyDescent="0.25">
      <c r="M5127" s="21"/>
    </row>
    <row r="5128" spans="13:13" x14ac:dyDescent="0.25">
      <c r="M5128" s="21"/>
    </row>
    <row r="5129" spans="13:13" x14ac:dyDescent="0.25">
      <c r="M5129" s="21"/>
    </row>
    <row r="5130" spans="13:13" x14ac:dyDescent="0.25">
      <c r="M5130" s="21"/>
    </row>
    <row r="5131" spans="13:13" x14ac:dyDescent="0.25">
      <c r="M5131" s="21"/>
    </row>
    <row r="5132" spans="13:13" x14ac:dyDescent="0.25">
      <c r="M5132" s="21"/>
    </row>
    <row r="5133" spans="13:13" x14ac:dyDescent="0.25">
      <c r="M5133" s="21"/>
    </row>
    <row r="5134" spans="13:13" x14ac:dyDescent="0.25">
      <c r="M5134" s="21"/>
    </row>
    <row r="5135" spans="13:13" x14ac:dyDescent="0.25">
      <c r="M5135" s="21"/>
    </row>
    <row r="5136" spans="13:13" x14ac:dyDescent="0.25">
      <c r="M5136" s="21"/>
    </row>
    <row r="5137" spans="13:13" x14ac:dyDescent="0.25">
      <c r="M5137" s="21"/>
    </row>
    <row r="5138" spans="13:13" x14ac:dyDescent="0.25">
      <c r="M5138" s="21"/>
    </row>
    <row r="5139" spans="13:13" x14ac:dyDescent="0.25">
      <c r="M5139" s="21"/>
    </row>
    <row r="5140" spans="13:13" x14ac:dyDescent="0.25">
      <c r="M5140" s="21"/>
    </row>
    <row r="5141" spans="13:13" x14ac:dyDescent="0.25">
      <c r="M5141" s="21"/>
    </row>
    <row r="5142" spans="13:13" x14ac:dyDescent="0.25">
      <c r="M5142" s="21"/>
    </row>
    <row r="5143" spans="13:13" x14ac:dyDescent="0.25">
      <c r="M5143" s="21"/>
    </row>
    <row r="5144" spans="13:13" x14ac:dyDescent="0.25">
      <c r="M5144" s="21"/>
    </row>
    <row r="5145" spans="13:13" x14ac:dyDescent="0.25">
      <c r="M5145" s="21"/>
    </row>
    <row r="5146" spans="13:13" x14ac:dyDescent="0.25">
      <c r="M5146" s="21"/>
    </row>
    <row r="5147" spans="13:13" x14ac:dyDescent="0.25">
      <c r="M5147" s="21"/>
    </row>
    <row r="5148" spans="13:13" x14ac:dyDescent="0.25">
      <c r="M5148" s="21"/>
    </row>
    <row r="5149" spans="13:13" x14ac:dyDescent="0.25">
      <c r="M5149" s="21"/>
    </row>
    <row r="5150" spans="13:13" x14ac:dyDescent="0.25">
      <c r="M5150" s="21"/>
    </row>
    <row r="5151" spans="13:13" x14ac:dyDescent="0.25">
      <c r="M5151" s="21"/>
    </row>
    <row r="5152" spans="13:13" x14ac:dyDescent="0.25">
      <c r="M5152" s="21"/>
    </row>
    <row r="5153" spans="13:13" x14ac:dyDescent="0.25">
      <c r="M5153" s="21"/>
    </row>
    <row r="5154" spans="13:13" x14ac:dyDescent="0.25">
      <c r="M5154" s="21"/>
    </row>
    <row r="5155" spans="13:13" x14ac:dyDescent="0.25">
      <c r="M5155" s="21"/>
    </row>
    <row r="5156" spans="13:13" x14ac:dyDescent="0.25">
      <c r="M5156" s="21"/>
    </row>
    <row r="5157" spans="13:13" x14ac:dyDescent="0.25">
      <c r="M5157" s="21"/>
    </row>
    <row r="5158" spans="13:13" x14ac:dyDescent="0.25">
      <c r="M5158" s="21"/>
    </row>
    <row r="5159" spans="13:13" x14ac:dyDescent="0.25">
      <c r="M5159" s="21"/>
    </row>
    <row r="5160" spans="13:13" x14ac:dyDescent="0.25">
      <c r="M5160" s="21"/>
    </row>
    <row r="5161" spans="13:13" x14ac:dyDescent="0.25">
      <c r="M5161" s="21"/>
    </row>
    <row r="5162" spans="13:13" x14ac:dyDescent="0.25">
      <c r="M5162" s="21"/>
    </row>
    <row r="5163" spans="13:13" x14ac:dyDescent="0.25">
      <c r="M5163" s="21"/>
    </row>
    <row r="5164" spans="13:13" x14ac:dyDescent="0.25">
      <c r="M5164" s="21"/>
    </row>
    <row r="5165" spans="13:13" x14ac:dyDescent="0.25">
      <c r="M5165" s="21"/>
    </row>
    <row r="5166" spans="13:13" x14ac:dyDescent="0.25">
      <c r="M5166" s="21"/>
    </row>
    <row r="5167" spans="13:13" x14ac:dyDescent="0.25">
      <c r="M5167" s="21"/>
    </row>
    <row r="5168" spans="13:13" x14ac:dyDescent="0.25">
      <c r="M5168" s="21"/>
    </row>
    <row r="5169" spans="13:13" x14ac:dyDescent="0.25">
      <c r="M5169" s="21"/>
    </row>
    <row r="5170" spans="13:13" x14ac:dyDescent="0.25">
      <c r="M5170" s="21"/>
    </row>
    <row r="5171" spans="13:13" x14ac:dyDescent="0.25">
      <c r="M5171" s="21"/>
    </row>
    <row r="5172" spans="13:13" x14ac:dyDescent="0.25">
      <c r="M5172" s="21"/>
    </row>
    <row r="5173" spans="13:13" x14ac:dyDescent="0.25">
      <c r="M5173" s="21"/>
    </row>
    <row r="5174" spans="13:13" x14ac:dyDescent="0.25">
      <c r="M5174" s="21"/>
    </row>
    <row r="5175" spans="13:13" x14ac:dyDescent="0.25">
      <c r="M5175" s="21"/>
    </row>
    <row r="5176" spans="13:13" x14ac:dyDescent="0.25">
      <c r="M5176" s="21"/>
    </row>
    <row r="5177" spans="13:13" x14ac:dyDescent="0.25">
      <c r="M5177" s="21"/>
    </row>
    <row r="5178" spans="13:13" x14ac:dyDescent="0.25">
      <c r="M5178" s="21"/>
    </row>
    <row r="5179" spans="13:13" x14ac:dyDescent="0.25">
      <c r="M5179" s="21"/>
    </row>
    <row r="5180" spans="13:13" x14ac:dyDescent="0.25">
      <c r="M5180" s="21"/>
    </row>
    <row r="5181" spans="13:13" x14ac:dyDescent="0.25">
      <c r="M5181" s="21"/>
    </row>
    <row r="5182" spans="13:13" x14ac:dyDescent="0.25">
      <c r="M5182" s="21"/>
    </row>
    <row r="5183" spans="13:13" x14ac:dyDescent="0.25">
      <c r="M5183" s="21"/>
    </row>
    <row r="5184" spans="13:13" x14ac:dyDescent="0.25">
      <c r="M5184" s="21"/>
    </row>
    <row r="5185" spans="13:13" x14ac:dyDescent="0.25">
      <c r="M5185" s="21"/>
    </row>
    <row r="5186" spans="13:13" x14ac:dyDescent="0.25">
      <c r="M5186" s="21"/>
    </row>
    <row r="5187" spans="13:13" x14ac:dyDescent="0.25">
      <c r="M5187" s="21"/>
    </row>
    <row r="5188" spans="13:13" x14ac:dyDescent="0.25">
      <c r="M5188" s="21"/>
    </row>
    <row r="5189" spans="13:13" x14ac:dyDescent="0.25">
      <c r="M5189" s="21"/>
    </row>
    <row r="5190" spans="13:13" x14ac:dyDescent="0.25">
      <c r="M5190" s="21"/>
    </row>
    <row r="5191" spans="13:13" x14ac:dyDescent="0.25">
      <c r="M5191" s="21"/>
    </row>
    <row r="5192" spans="13:13" x14ac:dyDescent="0.25">
      <c r="M5192" s="21"/>
    </row>
    <row r="5193" spans="13:13" x14ac:dyDescent="0.25">
      <c r="M5193" s="21"/>
    </row>
    <row r="5194" spans="13:13" x14ac:dyDescent="0.25">
      <c r="M5194" s="21"/>
    </row>
    <row r="5195" spans="13:13" x14ac:dyDescent="0.25">
      <c r="M5195" s="21"/>
    </row>
    <row r="5196" spans="13:13" x14ac:dyDescent="0.25">
      <c r="M5196" s="21"/>
    </row>
    <row r="5197" spans="13:13" x14ac:dyDescent="0.25">
      <c r="M5197" s="21"/>
    </row>
    <row r="5198" spans="13:13" x14ac:dyDescent="0.25">
      <c r="M5198" s="21"/>
    </row>
    <row r="5199" spans="13:13" x14ac:dyDescent="0.25">
      <c r="M5199" s="21"/>
    </row>
    <row r="5200" spans="13:13" x14ac:dyDescent="0.25">
      <c r="M5200" s="21"/>
    </row>
    <row r="5201" spans="13:13" x14ac:dyDescent="0.25">
      <c r="M5201" s="21"/>
    </row>
    <row r="5202" spans="13:13" x14ac:dyDescent="0.25">
      <c r="M5202" s="21"/>
    </row>
    <row r="5203" spans="13:13" x14ac:dyDescent="0.25">
      <c r="M5203" s="21"/>
    </row>
    <row r="5204" spans="13:13" x14ac:dyDescent="0.25">
      <c r="M5204" s="21"/>
    </row>
    <row r="5205" spans="13:13" x14ac:dyDescent="0.25">
      <c r="M5205" s="21"/>
    </row>
    <row r="5206" spans="13:13" x14ac:dyDescent="0.25">
      <c r="M5206" s="21"/>
    </row>
    <row r="5207" spans="13:13" x14ac:dyDescent="0.25">
      <c r="M5207" s="21"/>
    </row>
    <row r="5208" spans="13:13" x14ac:dyDescent="0.25">
      <c r="M5208" s="21"/>
    </row>
    <row r="5209" spans="13:13" x14ac:dyDescent="0.25">
      <c r="M5209" s="21"/>
    </row>
    <row r="5210" spans="13:13" x14ac:dyDescent="0.25">
      <c r="M5210" s="21"/>
    </row>
    <row r="5211" spans="13:13" x14ac:dyDescent="0.25">
      <c r="M5211" s="21"/>
    </row>
    <row r="5212" spans="13:13" x14ac:dyDescent="0.25">
      <c r="M5212" s="21"/>
    </row>
    <row r="5213" spans="13:13" x14ac:dyDescent="0.25">
      <c r="M5213" s="21"/>
    </row>
    <row r="5214" spans="13:13" x14ac:dyDescent="0.25">
      <c r="M5214" s="21"/>
    </row>
    <row r="5215" spans="13:13" x14ac:dyDescent="0.25">
      <c r="M5215" s="21"/>
    </row>
    <row r="5216" spans="13:13" x14ac:dyDescent="0.25">
      <c r="M5216" s="21"/>
    </row>
    <row r="5217" spans="13:13" x14ac:dyDescent="0.25">
      <c r="M5217" s="21"/>
    </row>
    <row r="5218" spans="13:13" x14ac:dyDescent="0.25">
      <c r="M5218" s="21"/>
    </row>
    <row r="5219" spans="13:13" x14ac:dyDescent="0.25">
      <c r="M5219" s="21"/>
    </row>
    <row r="5220" spans="13:13" x14ac:dyDescent="0.25">
      <c r="M5220" s="21"/>
    </row>
    <row r="5221" spans="13:13" x14ac:dyDescent="0.25">
      <c r="M5221" s="21"/>
    </row>
    <row r="5222" spans="13:13" x14ac:dyDescent="0.25">
      <c r="M5222" s="21"/>
    </row>
    <row r="5223" spans="13:13" x14ac:dyDescent="0.25">
      <c r="M5223" s="21"/>
    </row>
    <row r="5224" spans="13:13" x14ac:dyDescent="0.25">
      <c r="M5224" s="21"/>
    </row>
    <row r="5225" spans="13:13" x14ac:dyDescent="0.25">
      <c r="M5225" s="21"/>
    </row>
    <row r="5226" spans="13:13" x14ac:dyDescent="0.25">
      <c r="M5226" s="21"/>
    </row>
    <row r="5227" spans="13:13" x14ac:dyDescent="0.25">
      <c r="M5227" s="21"/>
    </row>
    <row r="5228" spans="13:13" x14ac:dyDescent="0.25">
      <c r="M5228" s="21"/>
    </row>
    <row r="5229" spans="13:13" x14ac:dyDescent="0.25">
      <c r="M5229" s="21"/>
    </row>
    <row r="5230" spans="13:13" x14ac:dyDescent="0.25">
      <c r="M5230" s="21"/>
    </row>
    <row r="5231" spans="13:13" x14ac:dyDescent="0.25">
      <c r="M5231" s="21"/>
    </row>
    <row r="5232" spans="13:13" x14ac:dyDescent="0.25">
      <c r="M5232" s="21"/>
    </row>
    <row r="5233" spans="13:13" x14ac:dyDescent="0.25">
      <c r="M5233" s="21"/>
    </row>
    <row r="5234" spans="13:13" x14ac:dyDescent="0.25">
      <c r="M5234" s="21"/>
    </row>
    <row r="5235" spans="13:13" x14ac:dyDescent="0.25">
      <c r="M5235" s="21"/>
    </row>
    <row r="5236" spans="13:13" x14ac:dyDescent="0.25">
      <c r="M5236" s="21"/>
    </row>
    <row r="5237" spans="13:13" x14ac:dyDescent="0.25">
      <c r="M5237" s="21"/>
    </row>
    <row r="5238" spans="13:13" x14ac:dyDescent="0.25">
      <c r="M5238" s="21"/>
    </row>
    <row r="5239" spans="13:13" x14ac:dyDescent="0.25">
      <c r="M5239" s="21"/>
    </row>
    <row r="5240" spans="13:13" x14ac:dyDescent="0.25">
      <c r="M5240" s="21"/>
    </row>
    <row r="5241" spans="13:13" x14ac:dyDescent="0.25">
      <c r="M5241" s="21"/>
    </row>
    <row r="5242" spans="13:13" x14ac:dyDescent="0.25">
      <c r="M5242" s="21"/>
    </row>
    <row r="5243" spans="13:13" x14ac:dyDescent="0.25">
      <c r="M5243" s="21"/>
    </row>
    <row r="5244" spans="13:13" x14ac:dyDescent="0.25">
      <c r="M5244" s="21"/>
    </row>
    <row r="5245" spans="13:13" x14ac:dyDescent="0.25">
      <c r="M5245" s="21"/>
    </row>
    <row r="5246" spans="13:13" x14ac:dyDescent="0.25">
      <c r="M5246" s="21"/>
    </row>
    <row r="5247" spans="13:13" x14ac:dyDescent="0.25">
      <c r="M5247" s="21"/>
    </row>
    <row r="5248" spans="13:13" x14ac:dyDescent="0.25">
      <c r="M5248" s="21"/>
    </row>
    <row r="5249" spans="13:13" x14ac:dyDescent="0.25">
      <c r="M5249" s="21"/>
    </row>
    <row r="5250" spans="13:13" x14ac:dyDescent="0.25">
      <c r="M5250" s="21"/>
    </row>
    <row r="5251" spans="13:13" x14ac:dyDescent="0.25">
      <c r="M5251" s="21"/>
    </row>
    <row r="5252" spans="13:13" x14ac:dyDescent="0.25">
      <c r="M5252" s="21"/>
    </row>
    <row r="5253" spans="13:13" x14ac:dyDescent="0.25">
      <c r="M5253" s="21"/>
    </row>
    <row r="5254" spans="13:13" x14ac:dyDescent="0.25">
      <c r="M5254" s="21"/>
    </row>
    <row r="5255" spans="13:13" x14ac:dyDescent="0.25">
      <c r="M5255" s="21"/>
    </row>
    <row r="5256" spans="13:13" x14ac:dyDescent="0.25">
      <c r="M5256" s="21"/>
    </row>
    <row r="5257" spans="13:13" x14ac:dyDescent="0.25">
      <c r="M5257" s="21"/>
    </row>
    <row r="5258" spans="13:13" x14ac:dyDescent="0.25">
      <c r="M5258" s="21"/>
    </row>
    <row r="5259" spans="13:13" x14ac:dyDescent="0.25">
      <c r="M5259" s="21"/>
    </row>
    <row r="5260" spans="13:13" x14ac:dyDescent="0.25">
      <c r="M5260" s="21"/>
    </row>
    <row r="5261" spans="13:13" x14ac:dyDescent="0.25">
      <c r="M5261" s="21"/>
    </row>
    <row r="5262" spans="13:13" x14ac:dyDescent="0.25">
      <c r="M5262" s="21"/>
    </row>
    <row r="5263" spans="13:13" x14ac:dyDescent="0.25">
      <c r="M5263" s="21"/>
    </row>
    <row r="5264" spans="13:13" x14ac:dyDescent="0.25">
      <c r="M5264" s="21"/>
    </row>
    <row r="5265" spans="13:13" x14ac:dyDescent="0.25">
      <c r="M5265" s="21"/>
    </row>
    <row r="5266" spans="13:13" x14ac:dyDescent="0.25">
      <c r="M5266" s="21"/>
    </row>
    <row r="5267" spans="13:13" x14ac:dyDescent="0.25">
      <c r="M5267" s="21"/>
    </row>
    <row r="5268" spans="13:13" x14ac:dyDescent="0.25">
      <c r="M5268" s="21"/>
    </row>
    <row r="5269" spans="13:13" x14ac:dyDescent="0.25">
      <c r="M5269" s="21"/>
    </row>
    <row r="5270" spans="13:13" x14ac:dyDescent="0.25">
      <c r="M5270" s="21"/>
    </row>
    <row r="5271" spans="13:13" x14ac:dyDescent="0.25">
      <c r="M5271" s="21"/>
    </row>
    <row r="5272" spans="13:13" x14ac:dyDescent="0.25">
      <c r="M5272" s="21"/>
    </row>
    <row r="5273" spans="13:13" x14ac:dyDescent="0.25">
      <c r="M5273" s="21"/>
    </row>
    <row r="5274" spans="13:13" x14ac:dyDescent="0.25">
      <c r="M5274" s="21"/>
    </row>
    <row r="5275" spans="13:13" x14ac:dyDescent="0.25">
      <c r="M5275" s="21"/>
    </row>
    <row r="5276" spans="13:13" x14ac:dyDescent="0.25">
      <c r="M5276" s="21"/>
    </row>
    <row r="5277" spans="13:13" x14ac:dyDescent="0.25">
      <c r="M5277" s="21"/>
    </row>
    <row r="5278" spans="13:13" x14ac:dyDescent="0.25">
      <c r="M5278" s="21"/>
    </row>
    <row r="5279" spans="13:13" x14ac:dyDescent="0.25">
      <c r="M5279" s="21"/>
    </row>
    <row r="5280" spans="13:13" x14ac:dyDescent="0.25">
      <c r="M5280" s="21"/>
    </row>
    <row r="5281" spans="13:13" x14ac:dyDescent="0.25">
      <c r="M5281" s="21"/>
    </row>
    <row r="5282" spans="13:13" x14ac:dyDescent="0.25">
      <c r="M5282" s="21"/>
    </row>
    <row r="5283" spans="13:13" x14ac:dyDescent="0.25">
      <c r="M5283" s="21"/>
    </row>
    <row r="5284" spans="13:13" x14ac:dyDescent="0.25">
      <c r="M5284" s="21"/>
    </row>
    <row r="5285" spans="13:13" x14ac:dyDescent="0.25">
      <c r="M5285" s="21"/>
    </row>
    <row r="5286" spans="13:13" x14ac:dyDescent="0.25">
      <c r="M5286" s="21"/>
    </row>
    <row r="5287" spans="13:13" x14ac:dyDescent="0.25">
      <c r="M5287" s="21"/>
    </row>
    <row r="5288" spans="13:13" x14ac:dyDescent="0.25">
      <c r="M5288" s="21"/>
    </row>
    <row r="5289" spans="13:13" x14ac:dyDescent="0.25">
      <c r="M5289" s="21"/>
    </row>
    <row r="5290" spans="13:13" x14ac:dyDescent="0.25">
      <c r="M5290" s="21"/>
    </row>
    <row r="5291" spans="13:13" x14ac:dyDescent="0.25">
      <c r="M5291" s="21"/>
    </row>
    <row r="5292" spans="13:13" x14ac:dyDescent="0.25">
      <c r="M5292" s="21"/>
    </row>
    <row r="5293" spans="13:13" x14ac:dyDescent="0.25">
      <c r="M5293" s="21"/>
    </row>
    <row r="5294" spans="13:13" x14ac:dyDescent="0.25">
      <c r="M5294" s="21"/>
    </row>
    <row r="5295" spans="13:13" x14ac:dyDescent="0.25">
      <c r="M5295" s="21"/>
    </row>
    <row r="5296" spans="13:13" x14ac:dyDescent="0.25">
      <c r="M5296" s="21"/>
    </row>
    <row r="5297" spans="13:13" x14ac:dyDescent="0.25">
      <c r="M5297" s="21"/>
    </row>
    <row r="5298" spans="13:13" x14ac:dyDescent="0.25">
      <c r="M5298" s="21"/>
    </row>
    <row r="5299" spans="13:13" x14ac:dyDescent="0.25">
      <c r="M5299" s="21"/>
    </row>
    <row r="5300" spans="13:13" x14ac:dyDescent="0.25">
      <c r="M5300" s="21"/>
    </row>
    <row r="5301" spans="13:13" x14ac:dyDescent="0.25">
      <c r="M5301" s="21"/>
    </row>
    <row r="5302" spans="13:13" x14ac:dyDescent="0.25">
      <c r="M5302" s="21"/>
    </row>
    <row r="5303" spans="13:13" x14ac:dyDescent="0.25">
      <c r="M5303" s="21"/>
    </row>
    <row r="5304" spans="13:13" x14ac:dyDescent="0.25">
      <c r="M5304" s="21"/>
    </row>
    <row r="5305" spans="13:13" x14ac:dyDescent="0.25">
      <c r="M5305" s="21"/>
    </row>
    <row r="5306" spans="13:13" x14ac:dyDescent="0.25">
      <c r="M5306" s="21"/>
    </row>
    <row r="5307" spans="13:13" x14ac:dyDescent="0.25">
      <c r="M5307" s="21"/>
    </row>
    <row r="5308" spans="13:13" x14ac:dyDescent="0.25">
      <c r="M5308" s="21"/>
    </row>
    <row r="5309" spans="13:13" x14ac:dyDescent="0.25">
      <c r="M5309" s="21"/>
    </row>
    <row r="5310" spans="13:13" x14ac:dyDescent="0.25">
      <c r="M5310" s="21"/>
    </row>
    <row r="5311" spans="13:13" x14ac:dyDescent="0.25">
      <c r="M5311" s="21"/>
    </row>
    <row r="5312" spans="13:13" x14ac:dyDescent="0.25">
      <c r="M5312" s="21"/>
    </row>
    <row r="5313" spans="13:13" x14ac:dyDescent="0.25">
      <c r="M5313" s="21"/>
    </row>
    <row r="5314" spans="13:13" x14ac:dyDescent="0.25">
      <c r="M5314" s="21"/>
    </row>
    <row r="5315" spans="13:13" x14ac:dyDescent="0.25">
      <c r="M5315" s="21"/>
    </row>
    <row r="5316" spans="13:13" x14ac:dyDescent="0.25">
      <c r="M5316" s="21"/>
    </row>
    <row r="5317" spans="13:13" x14ac:dyDescent="0.25">
      <c r="M5317" s="21"/>
    </row>
    <row r="5318" spans="13:13" x14ac:dyDescent="0.25">
      <c r="M5318" s="21"/>
    </row>
    <row r="5319" spans="13:13" x14ac:dyDescent="0.25">
      <c r="M5319" s="21"/>
    </row>
    <row r="5320" spans="13:13" x14ac:dyDescent="0.25">
      <c r="M5320" s="21"/>
    </row>
    <row r="5321" spans="13:13" x14ac:dyDescent="0.25">
      <c r="M5321" s="21"/>
    </row>
    <row r="5322" spans="13:13" x14ac:dyDescent="0.25">
      <c r="M5322" s="21"/>
    </row>
    <row r="5323" spans="13:13" x14ac:dyDescent="0.25">
      <c r="M5323" s="21"/>
    </row>
    <row r="5324" spans="13:13" x14ac:dyDescent="0.25">
      <c r="M5324" s="21"/>
    </row>
    <row r="5325" spans="13:13" x14ac:dyDescent="0.25">
      <c r="M5325" s="21"/>
    </row>
    <row r="5326" spans="13:13" x14ac:dyDescent="0.25">
      <c r="M5326" s="21"/>
    </row>
    <row r="5327" spans="13:13" x14ac:dyDescent="0.25">
      <c r="M5327" s="21"/>
    </row>
    <row r="5328" spans="13:13" x14ac:dyDescent="0.25">
      <c r="M5328" s="21"/>
    </row>
    <row r="5329" spans="13:13" x14ac:dyDescent="0.25">
      <c r="M5329" s="21"/>
    </row>
    <row r="5330" spans="13:13" x14ac:dyDescent="0.25">
      <c r="M5330" s="21"/>
    </row>
    <row r="5331" spans="13:13" x14ac:dyDescent="0.25">
      <c r="M5331" s="21"/>
    </row>
    <row r="5332" spans="13:13" x14ac:dyDescent="0.25">
      <c r="M5332" s="21"/>
    </row>
    <row r="5333" spans="13:13" x14ac:dyDescent="0.25">
      <c r="M5333" s="21"/>
    </row>
    <row r="5334" spans="13:13" x14ac:dyDescent="0.25">
      <c r="M5334" s="21"/>
    </row>
    <row r="5335" spans="13:13" x14ac:dyDescent="0.25">
      <c r="M5335" s="21"/>
    </row>
    <row r="5336" spans="13:13" x14ac:dyDescent="0.25">
      <c r="M5336" s="21"/>
    </row>
    <row r="5337" spans="13:13" x14ac:dyDescent="0.25">
      <c r="M5337" s="21"/>
    </row>
    <row r="5338" spans="13:13" x14ac:dyDescent="0.25">
      <c r="M5338" s="21"/>
    </row>
    <row r="5339" spans="13:13" x14ac:dyDescent="0.25">
      <c r="M5339" s="21"/>
    </row>
    <row r="5340" spans="13:13" x14ac:dyDescent="0.25">
      <c r="M5340" s="21"/>
    </row>
    <row r="5341" spans="13:13" x14ac:dyDescent="0.25">
      <c r="M5341" s="21"/>
    </row>
    <row r="5342" spans="13:13" x14ac:dyDescent="0.25">
      <c r="M5342" s="21"/>
    </row>
    <row r="5343" spans="13:13" x14ac:dyDescent="0.25">
      <c r="M5343" s="21"/>
    </row>
    <row r="5344" spans="13:13" x14ac:dyDescent="0.25">
      <c r="M5344" s="21"/>
    </row>
    <row r="5345" spans="13:13" x14ac:dyDescent="0.25">
      <c r="M5345" s="21"/>
    </row>
    <row r="5346" spans="13:13" x14ac:dyDescent="0.25">
      <c r="M5346" s="21"/>
    </row>
    <row r="5347" spans="13:13" x14ac:dyDescent="0.25">
      <c r="M5347" s="21"/>
    </row>
    <row r="5348" spans="13:13" x14ac:dyDescent="0.25">
      <c r="M5348" s="21"/>
    </row>
    <row r="5349" spans="13:13" x14ac:dyDescent="0.25">
      <c r="M5349" s="21"/>
    </row>
    <row r="5350" spans="13:13" x14ac:dyDescent="0.25">
      <c r="M5350" s="21"/>
    </row>
    <row r="5351" spans="13:13" x14ac:dyDescent="0.25">
      <c r="M5351" s="21"/>
    </row>
    <row r="5352" spans="13:13" x14ac:dyDescent="0.25">
      <c r="M5352" s="21"/>
    </row>
    <row r="5353" spans="13:13" x14ac:dyDescent="0.25">
      <c r="M5353" s="21"/>
    </row>
    <row r="5354" spans="13:13" x14ac:dyDescent="0.25">
      <c r="M5354" s="21"/>
    </row>
    <row r="5355" spans="13:13" x14ac:dyDescent="0.25">
      <c r="M5355" s="21"/>
    </row>
    <row r="5356" spans="13:13" x14ac:dyDescent="0.25">
      <c r="M5356" s="21"/>
    </row>
    <row r="5357" spans="13:13" x14ac:dyDescent="0.25">
      <c r="M5357" s="21"/>
    </row>
    <row r="5358" spans="13:13" x14ac:dyDescent="0.25">
      <c r="M5358" s="21"/>
    </row>
    <row r="5359" spans="13:13" x14ac:dyDescent="0.25">
      <c r="M5359" s="21"/>
    </row>
    <row r="5360" spans="13:13" x14ac:dyDescent="0.25">
      <c r="M5360" s="21"/>
    </row>
    <row r="5361" spans="13:13" x14ac:dyDescent="0.25">
      <c r="M5361" s="21"/>
    </row>
    <row r="5362" spans="13:13" x14ac:dyDescent="0.25">
      <c r="M5362" s="21"/>
    </row>
    <row r="5363" spans="13:13" x14ac:dyDescent="0.25">
      <c r="M5363" s="21"/>
    </row>
    <row r="5364" spans="13:13" x14ac:dyDescent="0.25">
      <c r="M5364" s="21"/>
    </row>
    <row r="5365" spans="13:13" x14ac:dyDescent="0.25">
      <c r="M5365" s="21"/>
    </row>
    <row r="5366" spans="13:13" x14ac:dyDescent="0.25">
      <c r="M5366" s="21"/>
    </row>
    <row r="5367" spans="13:13" x14ac:dyDescent="0.25">
      <c r="M5367" s="21"/>
    </row>
    <row r="5368" spans="13:13" x14ac:dyDescent="0.25">
      <c r="M5368" s="21"/>
    </row>
    <row r="5369" spans="13:13" x14ac:dyDescent="0.25">
      <c r="M5369" s="21"/>
    </row>
    <row r="5370" spans="13:13" x14ac:dyDescent="0.25">
      <c r="M5370" s="21"/>
    </row>
    <row r="5371" spans="13:13" x14ac:dyDescent="0.25">
      <c r="M5371" s="21"/>
    </row>
    <row r="5372" spans="13:13" x14ac:dyDescent="0.25">
      <c r="M5372" s="21"/>
    </row>
    <row r="5373" spans="13:13" x14ac:dyDescent="0.25">
      <c r="M5373" s="21"/>
    </row>
    <row r="5374" spans="13:13" x14ac:dyDescent="0.25">
      <c r="M5374" s="21"/>
    </row>
    <row r="5375" spans="13:13" x14ac:dyDescent="0.25">
      <c r="M5375" s="21"/>
    </row>
    <row r="5376" spans="13:13" x14ac:dyDescent="0.25">
      <c r="M5376" s="21"/>
    </row>
    <row r="5377" spans="13:13" x14ac:dyDescent="0.25">
      <c r="M5377" s="21"/>
    </row>
    <row r="5378" spans="13:13" x14ac:dyDescent="0.25">
      <c r="M5378" s="21"/>
    </row>
    <row r="5379" spans="13:13" x14ac:dyDescent="0.25">
      <c r="M5379" s="21"/>
    </row>
    <row r="5380" spans="13:13" x14ac:dyDescent="0.25">
      <c r="M5380" s="21"/>
    </row>
    <row r="5381" spans="13:13" x14ac:dyDescent="0.25">
      <c r="M5381" s="21"/>
    </row>
    <row r="5382" spans="13:13" x14ac:dyDescent="0.25">
      <c r="M5382" s="21"/>
    </row>
    <row r="5383" spans="13:13" x14ac:dyDescent="0.25">
      <c r="M5383" s="21"/>
    </row>
    <row r="5384" spans="13:13" x14ac:dyDescent="0.25">
      <c r="M5384" s="21"/>
    </row>
    <row r="5385" spans="13:13" x14ac:dyDescent="0.25">
      <c r="M5385" s="21"/>
    </row>
    <row r="5386" spans="13:13" x14ac:dyDescent="0.25">
      <c r="M5386" s="21"/>
    </row>
    <row r="5387" spans="13:13" x14ac:dyDescent="0.25">
      <c r="M5387" s="21"/>
    </row>
    <row r="5388" spans="13:13" x14ac:dyDescent="0.25">
      <c r="M5388" s="21"/>
    </row>
    <row r="5389" spans="13:13" x14ac:dyDescent="0.25">
      <c r="M5389" s="21"/>
    </row>
    <row r="5390" spans="13:13" x14ac:dyDescent="0.25">
      <c r="M5390" s="21"/>
    </row>
    <row r="5391" spans="13:13" x14ac:dyDescent="0.25">
      <c r="M5391" s="21"/>
    </row>
    <row r="5392" spans="13:13" x14ac:dyDescent="0.25">
      <c r="M5392" s="21"/>
    </row>
    <row r="5393" spans="13:13" x14ac:dyDescent="0.25">
      <c r="M5393" s="21"/>
    </row>
    <row r="5394" spans="13:13" x14ac:dyDescent="0.25">
      <c r="M5394" s="21"/>
    </row>
    <row r="5395" spans="13:13" x14ac:dyDescent="0.25">
      <c r="M5395" s="21"/>
    </row>
    <row r="5396" spans="13:13" x14ac:dyDescent="0.25">
      <c r="M5396" s="21"/>
    </row>
    <row r="5397" spans="13:13" x14ac:dyDescent="0.25">
      <c r="M5397" s="21"/>
    </row>
    <row r="5398" spans="13:13" x14ac:dyDescent="0.25">
      <c r="M5398" s="21"/>
    </row>
    <row r="5399" spans="13:13" x14ac:dyDescent="0.25">
      <c r="M5399" s="21"/>
    </row>
    <row r="5400" spans="13:13" x14ac:dyDescent="0.25">
      <c r="M5400" s="21"/>
    </row>
    <row r="5401" spans="13:13" x14ac:dyDescent="0.25">
      <c r="M5401" s="21"/>
    </row>
    <row r="5402" spans="13:13" x14ac:dyDescent="0.25">
      <c r="M5402" s="21"/>
    </row>
    <row r="5403" spans="13:13" x14ac:dyDescent="0.25">
      <c r="M5403" s="21"/>
    </row>
    <row r="5404" spans="13:13" x14ac:dyDescent="0.25">
      <c r="M5404" s="21"/>
    </row>
    <row r="5405" spans="13:13" x14ac:dyDescent="0.25">
      <c r="M5405" s="21"/>
    </row>
    <row r="5406" spans="13:13" x14ac:dyDescent="0.25">
      <c r="M5406" s="21"/>
    </row>
    <row r="5407" spans="13:13" x14ac:dyDescent="0.25">
      <c r="M5407" s="21"/>
    </row>
    <row r="5408" spans="13:13" x14ac:dyDescent="0.25">
      <c r="M5408" s="21"/>
    </row>
    <row r="5409" spans="13:13" x14ac:dyDescent="0.25">
      <c r="M5409" s="21"/>
    </row>
    <row r="5410" spans="13:13" x14ac:dyDescent="0.25">
      <c r="M5410" s="21"/>
    </row>
    <row r="5411" spans="13:13" x14ac:dyDescent="0.25">
      <c r="M5411" s="21"/>
    </row>
    <row r="5412" spans="13:13" x14ac:dyDescent="0.25">
      <c r="M5412" s="21"/>
    </row>
    <row r="5413" spans="13:13" x14ac:dyDescent="0.25">
      <c r="M5413" s="21"/>
    </row>
    <row r="5414" spans="13:13" x14ac:dyDescent="0.25">
      <c r="M5414" s="21"/>
    </row>
    <row r="5415" spans="13:13" x14ac:dyDescent="0.25">
      <c r="M5415" s="21"/>
    </row>
    <row r="5416" spans="13:13" x14ac:dyDescent="0.25">
      <c r="M5416" s="21"/>
    </row>
    <row r="5417" spans="13:13" x14ac:dyDescent="0.25">
      <c r="M5417" s="21"/>
    </row>
    <row r="5418" spans="13:13" x14ac:dyDescent="0.25">
      <c r="M5418" s="21"/>
    </row>
    <row r="5419" spans="13:13" x14ac:dyDescent="0.25">
      <c r="M5419" s="21"/>
    </row>
    <row r="5420" spans="13:13" x14ac:dyDescent="0.25">
      <c r="M5420" s="21"/>
    </row>
    <row r="5421" spans="13:13" x14ac:dyDescent="0.25">
      <c r="M5421" s="21"/>
    </row>
    <row r="5422" spans="13:13" x14ac:dyDescent="0.25">
      <c r="M5422" s="21"/>
    </row>
    <row r="5423" spans="13:13" x14ac:dyDescent="0.25">
      <c r="M5423" s="21"/>
    </row>
    <row r="5424" spans="13:13" x14ac:dyDescent="0.25">
      <c r="M5424" s="21"/>
    </row>
    <row r="5425" spans="13:13" x14ac:dyDescent="0.25">
      <c r="M5425" s="21"/>
    </row>
    <row r="5426" spans="13:13" x14ac:dyDescent="0.25">
      <c r="M5426" s="21"/>
    </row>
    <row r="5427" spans="13:13" x14ac:dyDescent="0.25">
      <c r="M5427" s="21"/>
    </row>
    <row r="5428" spans="13:13" x14ac:dyDescent="0.25">
      <c r="M5428" s="21"/>
    </row>
    <row r="5429" spans="13:13" x14ac:dyDescent="0.25">
      <c r="M5429" s="21"/>
    </row>
    <row r="5430" spans="13:13" x14ac:dyDescent="0.25">
      <c r="M5430" s="21"/>
    </row>
    <row r="5431" spans="13:13" x14ac:dyDescent="0.25">
      <c r="M5431" s="21"/>
    </row>
    <row r="5432" spans="13:13" x14ac:dyDescent="0.25">
      <c r="M5432" s="21"/>
    </row>
    <row r="5433" spans="13:13" x14ac:dyDescent="0.25">
      <c r="M5433" s="21"/>
    </row>
    <row r="5434" spans="13:13" x14ac:dyDescent="0.25">
      <c r="M5434" s="21"/>
    </row>
    <row r="5435" spans="13:13" x14ac:dyDescent="0.25">
      <c r="M5435" s="21"/>
    </row>
    <row r="5436" spans="13:13" x14ac:dyDescent="0.25">
      <c r="M5436" s="21"/>
    </row>
    <row r="5437" spans="13:13" x14ac:dyDescent="0.25">
      <c r="M5437" s="21"/>
    </row>
    <row r="5438" spans="13:13" x14ac:dyDescent="0.25">
      <c r="M5438" s="21"/>
    </row>
    <row r="5439" spans="13:13" x14ac:dyDescent="0.25">
      <c r="M5439" s="21"/>
    </row>
    <row r="5440" spans="13:13" x14ac:dyDescent="0.25">
      <c r="M5440" s="21"/>
    </row>
    <row r="5441" spans="13:13" x14ac:dyDescent="0.25">
      <c r="M5441" s="21"/>
    </row>
    <row r="5442" spans="13:13" x14ac:dyDescent="0.25">
      <c r="M5442" s="21"/>
    </row>
    <row r="5443" spans="13:13" x14ac:dyDescent="0.25">
      <c r="M5443" s="21"/>
    </row>
    <row r="5444" spans="13:13" x14ac:dyDescent="0.25">
      <c r="M5444" s="21"/>
    </row>
    <row r="5445" spans="13:13" x14ac:dyDescent="0.25">
      <c r="M5445" s="21"/>
    </row>
    <row r="5446" spans="13:13" x14ac:dyDescent="0.25">
      <c r="M5446" s="21"/>
    </row>
    <row r="5447" spans="13:13" x14ac:dyDescent="0.25">
      <c r="M5447" s="21"/>
    </row>
    <row r="5448" spans="13:13" x14ac:dyDescent="0.25">
      <c r="M5448" s="21"/>
    </row>
    <row r="5449" spans="13:13" x14ac:dyDescent="0.25">
      <c r="M5449" s="21"/>
    </row>
    <row r="5450" spans="13:13" x14ac:dyDescent="0.25">
      <c r="M5450" s="21"/>
    </row>
    <row r="5451" spans="13:13" x14ac:dyDescent="0.25">
      <c r="M5451" s="21"/>
    </row>
    <row r="5452" spans="13:13" x14ac:dyDescent="0.25">
      <c r="M5452" s="21"/>
    </row>
    <row r="5453" spans="13:13" x14ac:dyDescent="0.25">
      <c r="M5453" s="21"/>
    </row>
    <row r="5454" spans="13:13" x14ac:dyDescent="0.25">
      <c r="M5454" s="21"/>
    </row>
    <row r="5455" spans="13:13" x14ac:dyDescent="0.25">
      <c r="M5455" s="21"/>
    </row>
    <row r="5456" spans="13:13" x14ac:dyDescent="0.25">
      <c r="M5456" s="21"/>
    </row>
    <row r="5457" spans="13:13" x14ac:dyDescent="0.25">
      <c r="M5457" s="21"/>
    </row>
    <row r="5458" spans="13:13" x14ac:dyDescent="0.25">
      <c r="M5458" s="21"/>
    </row>
    <row r="5459" spans="13:13" x14ac:dyDescent="0.25">
      <c r="M5459" s="21"/>
    </row>
    <row r="5460" spans="13:13" x14ac:dyDescent="0.25">
      <c r="M5460" s="21"/>
    </row>
    <row r="5461" spans="13:13" x14ac:dyDescent="0.25">
      <c r="M5461" s="21"/>
    </row>
    <row r="5462" spans="13:13" x14ac:dyDescent="0.25">
      <c r="M5462" s="21"/>
    </row>
    <row r="5463" spans="13:13" x14ac:dyDescent="0.25">
      <c r="M5463" s="21"/>
    </row>
    <row r="5464" spans="13:13" x14ac:dyDescent="0.25">
      <c r="M5464" s="21"/>
    </row>
    <row r="5465" spans="13:13" x14ac:dyDescent="0.25">
      <c r="M5465" s="21"/>
    </row>
    <row r="5466" spans="13:13" x14ac:dyDescent="0.25">
      <c r="M5466" s="21"/>
    </row>
    <row r="5467" spans="13:13" x14ac:dyDescent="0.25">
      <c r="M5467" s="21"/>
    </row>
    <row r="5468" spans="13:13" x14ac:dyDescent="0.25">
      <c r="M5468" s="21"/>
    </row>
    <row r="5469" spans="13:13" x14ac:dyDescent="0.25">
      <c r="M5469" s="21"/>
    </row>
    <row r="5470" spans="13:13" x14ac:dyDescent="0.25">
      <c r="M5470" s="21"/>
    </row>
    <row r="5471" spans="13:13" x14ac:dyDescent="0.25">
      <c r="M5471" s="21"/>
    </row>
    <row r="5472" spans="13:13" x14ac:dyDescent="0.25">
      <c r="M5472" s="21"/>
    </row>
    <row r="5473" spans="13:13" x14ac:dyDescent="0.25">
      <c r="M5473" s="21"/>
    </row>
    <row r="5474" spans="13:13" x14ac:dyDescent="0.25">
      <c r="M5474" s="21"/>
    </row>
    <row r="5475" spans="13:13" x14ac:dyDescent="0.25">
      <c r="M5475" s="21"/>
    </row>
    <row r="5476" spans="13:13" x14ac:dyDescent="0.25">
      <c r="M5476" s="21"/>
    </row>
    <row r="5477" spans="13:13" x14ac:dyDescent="0.25">
      <c r="M5477" s="21"/>
    </row>
    <row r="5478" spans="13:13" x14ac:dyDescent="0.25">
      <c r="M5478" s="21"/>
    </row>
    <row r="5479" spans="13:13" x14ac:dyDescent="0.25">
      <c r="M5479" s="21"/>
    </row>
    <row r="5480" spans="13:13" x14ac:dyDescent="0.25">
      <c r="M5480" s="21"/>
    </row>
    <row r="5481" spans="13:13" x14ac:dyDescent="0.25">
      <c r="M5481" s="21"/>
    </row>
    <row r="5482" spans="13:13" x14ac:dyDescent="0.25">
      <c r="M5482" s="21"/>
    </row>
    <row r="5483" spans="13:13" x14ac:dyDescent="0.25">
      <c r="M5483" s="21"/>
    </row>
    <row r="5484" spans="13:13" x14ac:dyDescent="0.25">
      <c r="M5484" s="21"/>
    </row>
    <row r="5485" spans="13:13" x14ac:dyDescent="0.25">
      <c r="M5485" s="21"/>
    </row>
    <row r="5486" spans="13:13" x14ac:dyDescent="0.25">
      <c r="M5486" s="21"/>
    </row>
    <row r="5487" spans="13:13" x14ac:dyDescent="0.25">
      <c r="M5487" s="21"/>
    </row>
    <row r="5488" spans="13:13" x14ac:dyDescent="0.25">
      <c r="M5488" s="21"/>
    </row>
    <row r="5489" spans="13:13" x14ac:dyDescent="0.25">
      <c r="M5489" s="21"/>
    </row>
    <row r="5490" spans="13:13" x14ac:dyDescent="0.25">
      <c r="M5490" s="21"/>
    </row>
    <row r="5491" spans="13:13" x14ac:dyDescent="0.25">
      <c r="M5491" s="21"/>
    </row>
    <row r="5492" spans="13:13" x14ac:dyDescent="0.25">
      <c r="M5492" s="21"/>
    </row>
    <row r="5493" spans="13:13" x14ac:dyDescent="0.25">
      <c r="M5493" s="21"/>
    </row>
    <row r="5494" spans="13:13" x14ac:dyDescent="0.25">
      <c r="M5494" s="21"/>
    </row>
    <row r="5495" spans="13:13" x14ac:dyDescent="0.25">
      <c r="M5495" s="21"/>
    </row>
    <row r="5496" spans="13:13" x14ac:dyDescent="0.25">
      <c r="M5496" s="21"/>
    </row>
    <row r="5497" spans="13:13" x14ac:dyDescent="0.25">
      <c r="M5497" s="21"/>
    </row>
    <row r="5498" spans="13:13" x14ac:dyDescent="0.25">
      <c r="M5498" s="21"/>
    </row>
    <row r="5499" spans="13:13" x14ac:dyDescent="0.25">
      <c r="M5499" s="21"/>
    </row>
    <row r="5500" spans="13:13" x14ac:dyDescent="0.25">
      <c r="M5500" s="21"/>
    </row>
    <row r="5501" spans="13:13" x14ac:dyDescent="0.25">
      <c r="M5501" s="21"/>
    </row>
    <row r="5502" spans="13:13" x14ac:dyDescent="0.25">
      <c r="M5502" s="21"/>
    </row>
    <row r="5503" spans="13:13" x14ac:dyDescent="0.25">
      <c r="M5503" s="21"/>
    </row>
    <row r="5504" spans="13:13" x14ac:dyDescent="0.25">
      <c r="M5504" s="21"/>
    </row>
    <row r="5505" spans="13:13" x14ac:dyDescent="0.25">
      <c r="M5505" s="21"/>
    </row>
    <row r="5506" spans="13:13" x14ac:dyDescent="0.25">
      <c r="M5506" s="21"/>
    </row>
    <row r="5507" spans="13:13" x14ac:dyDescent="0.25">
      <c r="M5507" s="21"/>
    </row>
    <row r="5508" spans="13:13" x14ac:dyDescent="0.25">
      <c r="M5508" s="21"/>
    </row>
    <row r="5509" spans="13:13" x14ac:dyDescent="0.25">
      <c r="M5509" s="21"/>
    </row>
    <row r="5510" spans="13:13" x14ac:dyDescent="0.25">
      <c r="M5510" s="21"/>
    </row>
    <row r="5511" spans="13:13" x14ac:dyDescent="0.25">
      <c r="M5511" s="21"/>
    </row>
    <row r="5512" spans="13:13" x14ac:dyDescent="0.25">
      <c r="M5512" s="21"/>
    </row>
    <row r="5513" spans="13:13" x14ac:dyDescent="0.25">
      <c r="M5513" s="21"/>
    </row>
    <row r="5514" spans="13:13" x14ac:dyDescent="0.25">
      <c r="M5514" s="21"/>
    </row>
    <row r="5515" spans="13:13" x14ac:dyDescent="0.25">
      <c r="M5515" s="21"/>
    </row>
    <row r="5516" spans="13:13" x14ac:dyDescent="0.25">
      <c r="M5516" s="21"/>
    </row>
    <row r="5517" spans="13:13" x14ac:dyDescent="0.25">
      <c r="M5517" s="21"/>
    </row>
    <row r="5518" spans="13:13" x14ac:dyDescent="0.25">
      <c r="M5518" s="21"/>
    </row>
    <row r="5519" spans="13:13" x14ac:dyDescent="0.25">
      <c r="M5519" s="21"/>
    </row>
    <row r="5520" spans="13:13" x14ac:dyDescent="0.25">
      <c r="M5520" s="21"/>
    </row>
    <row r="5521" spans="13:13" x14ac:dyDescent="0.25">
      <c r="M5521" s="21"/>
    </row>
    <row r="5522" spans="13:13" x14ac:dyDescent="0.25">
      <c r="M5522" s="21"/>
    </row>
    <row r="5523" spans="13:13" x14ac:dyDescent="0.25">
      <c r="M5523" s="21"/>
    </row>
    <row r="5524" spans="13:13" x14ac:dyDescent="0.25">
      <c r="M5524" s="21"/>
    </row>
    <row r="5525" spans="13:13" x14ac:dyDescent="0.25">
      <c r="M5525" s="21"/>
    </row>
    <row r="5526" spans="13:13" x14ac:dyDescent="0.25">
      <c r="M5526" s="21"/>
    </row>
    <row r="5527" spans="13:13" x14ac:dyDescent="0.25">
      <c r="M5527" s="21"/>
    </row>
    <row r="5528" spans="13:13" x14ac:dyDescent="0.25">
      <c r="M5528" s="21"/>
    </row>
    <row r="5529" spans="13:13" x14ac:dyDescent="0.25">
      <c r="M5529" s="21"/>
    </row>
    <row r="5530" spans="13:13" x14ac:dyDescent="0.25">
      <c r="M5530" s="21"/>
    </row>
    <row r="5531" spans="13:13" x14ac:dyDescent="0.25">
      <c r="M5531" s="21"/>
    </row>
    <row r="5532" spans="13:13" x14ac:dyDescent="0.25">
      <c r="M5532" s="21"/>
    </row>
    <row r="5533" spans="13:13" x14ac:dyDescent="0.25">
      <c r="M5533" s="21"/>
    </row>
    <row r="5534" spans="13:13" x14ac:dyDescent="0.25">
      <c r="M5534" s="21"/>
    </row>
    <row r="5535" spans="13:13" x14ac:dyDescent="0.25">
      <c r="M5535" s="21"/>
    </row>
    <row r="5536" spans="13:13" x14ac:dyDescent="0.25">
      <c r="M5536" s="21"/>
    </row>
    <row r="5537" spans="13:13" x14ac:dyDescent="0.25">
      <c r="M5537" s="21"/>
    </row>
    <row r="5538" spans="13:13" x14ac:dyDescent="0.25">
      <c r="M5538" s="21"/>
    </row>
    <row r="5539" spans="13:13" x14ac:dyDescent="0.25">
      <c r="M5539" s="21"/>
    </row>
    <row r="5540" spans="13:13" x14ac:dyDescent="0.25">
      <c r="M5540" s="21"/>
    </row>
    <row r="5541" spans="13:13" x14ac:dyDescent="0.25">
      <c r="M5541" s="21"/>
    </row>
    <row r="5542" spans="13:13" x14ac:dyDescent="0.25">
      <c r="M5542" s="21"/>
    </row>
    <row r="5543" spans="13:13" x14ac:dyDescent="0.25">
      <c r="M5543" s="21"/>
    </row>
    <row r="5544" spans="13:13" x14ac:dyDescent="0.25">
      <c r="M5544" s="21"/>
    </row>
    <row r="5545" spans="13:13" x14ac:dyDescent="0.25">
      <c r="M5545" s="21"/>
    </row>
    <row r="5546" spans="13:13" x14ac:dyDescent="0.25">
      <c r="M5546" s="21"/>
    </row>
    <row r="5547" spans="13:13" x14ac:dyDescent="0.25">
      <c r="M5547" s="21"/>
    </row>
    <row r="5548" spans="13:13" x14ac:dyDescent="0.25">
      <c r="M5548" s="21"/>
    </row>
    <row r="5549" spans="13:13" x14ac:dyDescent="0.25">
      <c r="M5549" s="21"/>
    </row>
    <row r="5550" spans="13:13" x14ac:dyDescent="0.25">
      <c r="M5550" s="21"/>
    </row>
    <row r="5551" spans="13:13" x14ac:dyDescent="0.25">
      <c r="M5551" s="21"/>
    </row>
    <row r="5552" spans="13:13" x14ac:dyDescent="0.25">
      <c r="M5552" s="21"/>
    </row>
    <row r="5553" spans="13:13" x14ac:dyDescent="0.25">
      <c r="M5553" s="21"/>
    </row>
    <row r="5554" spans="13:13" x14ac:dyDescent="0.25">
      <c r="M5554" s="21"/>
    </row>
    <row r="5555" spans="13:13" x14ac:dyDescent="0.25">
      <c r="M5555" s="21"/>
    </row>
    <row r="5556" spans="13:13" x14ac:dyDescent="0.25">
      <c r="M5556" s="21"/>
    </row>
    <row r="5557" spans="13:13" x14ac:dyDescent="0.25">
      <c r="M5557" s="21"/>
    </row>
    <row r="5558" spans="13:13" x14ac:dyDescent="0.25">
      <c r="M5558" s="21"/>
    </row>
    <row r="5559" spans="13:13" x14ac:dyDescent="0.25">
      <c r="M5559" s="21"/>
    </row>
    <row r="5560" spans="13:13" x14ac:dyDescent="0.25">
      <c r="M5560" s="21"/>
    </row>
    <row r="5561" spans="13:13" x14ac:dyDescent="0.25">
      <c r="M5561" s="21"/>
    </row>
    <row r="5562" spans="13:13" x14ac:dyDescent="0.25">
      <c r="M5562" s="21"/>
    </row>
    <row r="5563" spans="13:13" x14ac:dyDescent="0.25">
      <c r="M5563" s="21"/>
    </row>
    <row r="5564" spans="13:13" x14ac:dyDescent="0.25">
      <c r="M5564" s="21"/>
    </row>
    <row r="5565" spans="13:13" x14ac:dyDescent="0.25">
      <c r="M5565" s="21"/>
    </row>
    <row r="5566" spans="13:13" x14ac:dyDescent="0.25">
      <c r="M5566" s="21"/>
    </row>
    <row r="5567" spans="13:13" x14ac:dyDescent="0.25">
      <c r="M5567" s="21"/>
    </row>
    <row r="5568" spans="13:13" x14ac:dyDescent="0.25">
      <c r="M5568" s="21"/>
    </row>
    <row r="5569" spans="13:13" x14ac:dyDescent="0.25">
      <c r="M5569" s="21"/>
    </row>
    <row r="5570" spans="13:13" x14ac:dyDescent="0.25">
      <c r="M5570" s="21"/>
    </row>
    <row r="5571" spans="13:13" x14ac:dyDescent="0.25">
      <c r="M5571" s="21"/>
    </row>
    <row r="5572" spans="13:13" x14ac:dyDescent="0.25">
      <c r="M5572" s="21"/>
    </row>
    <row r="5573" spans="13:13" x14ac:dyDescent="0.25">
      <c r="M5573" s="21"/>
    </row>
    <row r="5574" spans="13:13" x14ac:dyDescent="0.25">
      <c r="M5574" s="21"/>
    </row>
    <row r="5575" spans="13:13" x14ac:dyDescent="0.25">
      <c r="M5575" s="21"/>
    </row>
    <row r="5576" spans="13:13" x14ac:dyDescent="0.25">
      <c r="M5576" s="21"/>
    </row>
    <row r="5577" spans="13:13" x14ac:dyDescent="0.25">
      <c r="M5577" s="21"/>
    </row>
    <row r="5578" spans="13:13" x14ac:dyDescent="0.25">
      <c r="M5578" s="21"/>
    </row>
    <row r="5579" spans="13:13" x14ac:dyDescent="0.25">
      <c r="M5579" s="21"/>
    </row>
    <row r="5580" spans="13:13" x14ac:dyDescent="0.25">
      <c r="M5580" s="21"/>
    </row>
    <row r="5581" spans="13:13" x14ac:dyDescent="0.25">
      <c r="M5581" s="21"/>
    </row>
    <row r="5582" spans="13:13" x14ac:dyDescent="0.25">
      <c r="M5582" s="21"/>
    </row>
    <row r="5583" spans="13:13" x14ac:dyDescent="0.25">
      <c r="M5583" s="21"/>
    </row>
    <row r="5584" spans="13:13" x14ac:dyDescent="0.25">
      <c r="M5584" s="21"/>
    </row>
    <row r="5585" spans="13:13" x14ac:dyDescent="0.25">
      <c r="M5585" s="21"/>
    </row>
    <row r="5586" spans="13:13" x14ac:dyDescent="0.25">
      <c r="M5586" s="21"/>
    </row>
    <row r="5587" spans="13:13" x14ac:dyDescent="0.25">
      <c r="M5587" s="21"/>
    </row>
    <row r="5588" spans="13:13" x14ac:dyDescent="0.25">
      <c r="M5588" s="21"/>
    </row>
    <row r="5589" spans="13:13" x14ac:dyDescent="0.25">
      <c r="M5589" s="21"/>
    </row>
    <row r="5590" spans="13:13" x14ac:dyDescent="0.25">
      <c r="M5590" s="21"/>
    </row>
    <row r="5591" spans="13:13" x14ac:dyDescent="0.25">
      <c r="M5591" s="21"/>
    </row>
    <row r="5592" spans="13:13" x14ac:dyDescent="0.25">
      <c r="M5592" s="21"/>
    </row>
    <row r="5593" spans="13:13" x14ac:dyDescent="0.25">
      <c r="M5593" s="21"/>
    </row>
    <row r="5594" spans="13:13" x14ac:dyDescent="0.25">
      <c r="M5594" s="21"/>
    </row>
    <row r="5595" spans="13:13" x14ac:dyDescent="0.25">
      <c r="M5595" s="21"/>
    </row>
    <row r="5596" spans="13:13" x14ac:dyDescent="0.25">
      <c r="M5596" s="21"/>
    </row>
    <row r="5597" spans="13:13" x14ac:dyDescent="0.25">
      <c r="M5597" s="21"/>
    </row>
    <row r="5598" spans="13:13" x14ac:dyDescent="0.25">
      <c r="M5598" s="21"/>
    </row>
    <row r="5599" spans="13:13" x14ac:dyDescent="0.25">
      <c r="M5599" s="21"/>
    </row>
    <row r="5600" spans="13:13" x14ac:dyDescent="0.25">
      <c r="M5600" s="21"/>
    </row>
    <row r="5601" spans="13:13" x14ac:dyDescent="0.25">
      <c r="M5601" s="21"/>
    </row>
    <row r="5602" spans="13:13" x14ac:dyDescent="0.25">
      <c r="M5602" s="21"/>
    </row>
    <row r="5603" spans="13:13" x14ac:dyDescent="0.25">
      <c r="M5603" s="21"/>
    </row>
    <row r="5604" spans="13:13" x14ac:dyDescent="0.25">
      <c r="M5604" s="21"/>
    </row>
    <row r="5605" spans="13:13" x14ac:dyDescent="0.25">
      <c r="M5605" s="21"/>
    </row>
    <row r="5606" spans="13:13" x14ac:dyDescent="0.25">
      <c r="M5606" s="21"/>
    </row>
    <row r="5607" spans="13:13" x14ac:dyDescent="0.25">
      <c r="M5607" s="21"/>
    </row>
    <row r="5608" spans="13:13" x14ac:dyDescent="0.25">
      <c r="M5608" s="21"/>
    </row>
    <row r="5609" spans="13:13" x14ac:dyDescent="0.25">
      <c r="M5609" s="21"/>
    </row>
    <row r="5610" spans="13:13" x14ac:dyDescent="0.25">
      <c r="M5610" s="21"/>
    </row>
    <row r="5611" spans="13:13" x14ac:dyDescent="0.25">
      <c r="M5611" s="21"/>
    </row>
    <row r="5612" spans="13:13" x14ac:dyDescent="0.25">
      <c r="M5612" s="21"/>
    </row>
    <row r="5613" spans="13:13" x14ac:dyDescent="0.25">
      <c r="M5613" s="21"/>
    </row>
    <row r="5614" spans="13:13" x14ac:dyDescent="0.25">
      <c r="M5614" s="21"/>
    </row>
    <row r="5615" spans="13:13" x14ac:dyDescent="0.25">
      <c r="M5615" s="21"/>
    </row>
    <row r="5616" spans="13:13" x14ac:dyDescent="0.25">
      <c r="M5616" s="21"/>
    </row>
    <row r="5617" spans="13:13" x14ac:dyDescent="0.25">
      <c r="M5617" s="21"/>
    </row>
    <row r="5618" spans="13:13" x14ac:dyDescent="0.25">
      <c r="M5618" s="21"/>
    </row>
    <row r="5619" spans="13:13" x14ac:dyDescent="0.25">
      <c r="M5619" s="21"/>
    </row>
    <row r="5620" spans="13:13" x14ac:dyDescent="0.25">
      <c r="M5620" s="21"/>
    </row>
    <row r="5621" spans="13:13" x14ac:dyDescent="0.25">
      <c r="M5621" s="21"/>
    </row>
    <row r="5622" spans="13:13" x14ac:dyDescent="0.25">
      <c r="M5622" s="21"/>
    </row>
    <row r="5623" spans="13:13" x14ac:dyDescent="0.25">
      <c r="M5623" s="21"/>
    </row>
    <row r="5624" spans="13:13" x14ac:dyDescent="0.25">
      <c r="M5624" s="21"/>
    </row>
    <row r="5625" spans="13:13" x14ac:dyDescent="0.25">
      <c r="M5625" s="21"/>
    </row>
    <row r="5626" spans="13:13" x14ac:dyDescent="0.25">
      <c r="M5626" s="21"/>
    </row>
    <row r="5627" spans="13:13" x14ac:dyDescent="0.25">
      <c r="M5627" s="21"/>
    </row>
    <row r="5628" spans="13:13" x14ac:dyDescent="0.25">
      <c r="M5628" s="21"/>
    </row>
    <row r="5629" spans="13:13" x14ac:dyDescent="0.25">
      <c r="M5629" s="21"/>
    </row>
    <row r="5630" spans="13:13" x14ac:dyDescent="0.25">
      <c r="M5630" s="21"/>
    </row>
    <row r="5631" spans="13:13" x14ac:dyDescent="0.25">
      <c r="M5631" s="21"/>
    </row>
    <row r="5632" spans="13:13" x14ac:dyDescent="0.25">
      <c r="M5632" s="21"/>
    </row>
    <row r="5633" spans="13:13" x14ac:dyDescent="0.25">
      <c r="M5633" s="21"/>
    </row>
    <row r="5634" spans="13:13" x14ac:dyDescent="0.25">
      <c r="M5634" s="21"/>
    </row>
    <row r="5635" spans="13:13" x14ac:dyDescent="0.25">
      <c r="M5635" s="21"/>
    </row>
    <row r="5636" spans="13:13" x14ac:dyDescent="0.25">
      <c r="M5636" s="21"/>
    </row>
    <row r="5637" spans="13:13" x14ac:dyDescent="0.25">
      <c r="M5637" s="21"/>
    </row>
    <row r="5638" spans="13:13" x14ac:dyDescent="0.25">
      <c r="M5638" s="21"/>
    </row>
    <row r="5639" spans="13:13" x14ac:dyDescent="0.25">
      <c r="M5639" s="21"/>
    </row>
    <row r="5640" spans="13:13" x14ac:dyDescent="0.25">
      <c r="M5640" s="21"/>
    </row>
    <row r="5641" spans="13:13" x14ac:dyDescent="0.25">
      <c r="M5641" s="21"/>
    </row>
    <row r="5642" spans="13:13" x14ac:dyDescent="0.25">
      <c r="M5642" s="21"/>
    </row>
    <row r="5643" spans="13:13" x14ac:dyDescent="0.25">
      <c r="M5643" s="21"/>
    </row>
    <row r="5644" spans="13:13" x14ac:dyDescent="0.25">
      <c r="M5644" s="21"/>
    </row>
    <row r="5645" spans="13:13" x14ac:dyDescent="0.25">
      <c r="M5645" s="21"/>
    </row>
    <row r="5646" spans="13:13" x14ac:dyDescent="0.25">
      <c r="M5646" s="21"/>
    </row>
    <row r="5647" spans="13:13" x14ac:dyDescent="0.25">
      <c r="M5647" s="21"/>
    </row>
    <row r="5648" spans="13:13" x14ac:dyDescent="0.25">
      <c r="M5648" s="21"/>
    </row>
    <row r="5649" spans="13:13" x14ac:dyDescent="0.25">
      <c r="M5649" s="21"/>
    </row>
    <row r="5650" spans="13:13" x14ac:dyDescent="0.25">
      <c r="M5650" s="21"/>
    </row>
    <row r="5651" spans="13:13" x14ac:dyDescent="0.25">
      <c r="M5651" s="21"/>
    </row>
    <row r="5652" spans="13:13" x14ac:dyDescent="0.25">
      <c r="M5652" s="21"/>
    </row>
    <row r="5653" spans="13:13" x14ac:dyDescent="0.25">
      <c r="M5653" s="21"/>
    </row>
    <row r="5654" spans="13:13" x14ac:dyDescent="0.25">
      <c r="M5654" s="21"/>
    </row>
    <row r="5655" spans="13:13" x14ac:dyDescent="0.25">
      <c r="M5655" s="21"/>
    </row>
    <row r="5656" spans="13:13" x14ac:dyDescent="0.25">
      <c r="M5656" s="21"/>
    </row>
    <row r="5657" spans="13:13" x14ac:dyDescent="0.25">
      <c r="M5657" s="21"/>
    </row>
    <row r="5658" spans="13:13" x14ac:dyDescent="0.25">
      <c r="M5658" s="21"/>
    </row>
    <row r="5659" spans="13:13" x14ac:dyDescent="0.25">
      <c r="M5659" s="21"/>
    </row>
    <row r="5660" spans="13:13" x14ac:dyDescent="0.25">
      <c r="M5660" s="21"/>
    </row>
    <row r="5661" spans="13:13" x14ac:dyDescent="0.25">
      <c r="M5661" s="21"/>
    </row>
    <row r="5662" spans="13:13" x14ac:dyDescent="0.25">
      <c r="M5662" s="21"/>
    </row>
    <row r="5663" spans="13:13" x14ac:dyDescent="0.25">
      <c r="M5663" s="21"/>
    </row>
    <row r="5664" spans="13:13" x14ac:dyDescent="0.25">
      <c r="M5664" s="21"/>
    </row>
    <row r="5665" spans="13:13" x14ac:dyDescent="0.25">
      <c r="M5665" s="21"/>
    </row>
    <row r="5666" spans="13:13" x14ac:dyDescent="0.25">
      <c r="M5666" s="21"/>
    </row>
    <row r="5667" spans="13:13" x14ac:dyDescent="0.25">
      <c r="M5667" s="21"/>
    </row>
    <row r="5668" spans="13:13" x14ac:dyDescent="0.25">
      <c r="M5668" s="21"/>
    </row>
    <row r="5669" spans="13:13" x14ac:dyDescent="0.25">
      <c r="M5669" s="21"/>
    </row>
    <row r="5670" spans="13:13" x14ac:dyDescent="0.25">
      <c r="M5670" s="21"/>
    </row>
    <row r="5671" spans="13:13" x14ac:dyDescent="0.25">
      <c r="M5671" s="21"/>
    </row>
    <row r="5672" spans="13:13" x14ac:dyDescent="0.25">
      <c r="M5672" s="21"/>
    </row>
    <row r="5673" spans="13:13" x14ac:dyDescent="0.25">
      <c r="M5673" s="21"/>
    </row>
    <row r="5674" spans="13:13" x14ac:dyDescent="0.25">
      <c r="M5674" s="21"/>
    </row>
    <row r="5675" spans="13:13" x14ac:dyDescent="0.25">
      <c r="M5675" s="21"/>
    </row>
    <row r="5676" spans="13:13" x14ac:dyDescent="0.25">
      <c r="M5676" s="21"/>
    </row>
    <row r="5677" spans="13:13" x14ac:dyDescent="0.25">
      <c r="M5677" s="21"/>
    </row>
    <row r="5678" spans="13:13" x14ac:dyDescent="0.25">
      <c r="M5678" s="21"/>
    </row>
    <row r="5679" spans="13:13" x14ac:dyDescent="0.25">
      <c r="M5679" s="21"/>
    </row>
    <row r="5680" spans="13:13" x14ac:dyDescent="0.25">
      <c r="M5680" s="21"/>
    </row>
    <row r="5681" spans="13:13" x14ac:dyDescent="0.25">
      <c r="M5681" s="21"/>
    </row>
    <row r="5682" spans="13:13" x14ac:dyDescent="0.25">
      <c r="M5682" s="21"/>
    </row>
    <row r="5683" spans="13:13" x14ac:dyDescent="0.25">
      <c r="M5683" s="21"/>
    </row>
    <row r="5684" spans="13:13" x14ac:dyDescent="0.25">
      <c r="M5684" s="21"/>
    </row>
    <row r="5685" spans="13:13" x14ac:dyDescent="0.25">
      <c r="M5685" s="21"/>
    </row>
    <row r="5686" spans="13:13" x14ac:dyDescent="0.25">
      <c r="M5686" s="21"/>
    </row>
    <row r="5687" spans="13:13" x14ac:dyDescent="0.25">
      <c r="M5687" s="21"/>
    </row>
    <row r="5688" spans="13:13" x14ac:dyDescent="0.25">
      <c r="M5688" s="21"/>
    </row>
    <row r="5689" spans="13:13" x14ac:dyDescent="0.25">
      <c r="M5689" s="21"/>
    </row>
    <row r="5690" spans="13:13" x14ac:dyDescent="0.25">
      <c r="M5690" s="21"/>
    </row>
    <row r="5691" spans="13:13" x14ac:dyDescent="0.25">
      <c r="M5691" s="21"/>
    </row>
    <row r="5692" spans="13:13" x14ac:dyDescent="0.25">
      <c r="M5692" s="21"/>
    </row>
    <row r="5693" spans="13:13" x14ac:dyDescent="0.25">
      <c r="M5693" s="21"/>
    </row>
    <row r="5694" spans="13:13" x14ac:dyDescent="0.25">
      <c r="M5694" s="21"/>
    </row>
    <row r="5695" spans="13:13" x14ac:dyDescent="0.25">
      <c r="M5695" s="21"/>
    </row>
    <row r="5696" spans="13:13" x14ac:dyDescent="0.25">
      <c r="M5696" s="21"/>
    </row>
    <row r="5697" spans="13:13" x14ac:dyDescent="0.25">
      <c r="M5697" s="21"/>
    </row>
    <row r="5698" spans="13:13" x14ac:dyDescent="0.25">
      <c r="M5698" s="21"/>
    </row>
    <row r="5699" spans="13:13" x14ac:dyDescent="0.25">
      <c r="M5699" s="21"/>
    </row>
    <row r="5700" spans="13:13" x14ac:dyDescent="0.25">
      <c r="M5700" s="21"/>
    </row>
    <row r="5701" spans="13:13" x14ac:dyDescent="0.25">
      <c r="M5701" s="21"/>
    </row>
    <row r="5702" spans="13:13" x14ac:dyDescent="0.25">
      <c r="M5702" s="21"/>
    </row>
    <row r="5703" spans="13:13" x14ac:dyDescent="0.25">
      <c r="M5703" s="21"/>
    </row>
    <row r="5704" spans="13:13" x14ac:dyDescent="0.25">
      <c r="M5704" s="21"/>
    </row>
    <row r="5705" spans="13:13" x14ac:dyDescent="0.25">
      <c r="M5705" s="21"/>
    </row>
    <row r="5706" spans="13:13" x14ac:dyDescent="0.25">
      <c r="M5706" s="21"/>
    </row>
    <row r="5707" spans="13:13" x14ac:dyDescent="0.25">
      <c r="M5707" s="21"/>
    </row>
    <row r="5708" spans="13:13" x14ac:dyDescent="0.25">
      <c r="M5708" s="21"/>
    </row>
    <row r="5709" spans="13:13" x14ac:dyDescent="0.25">
      <c r="M5709" s="21"/>
    </row>
    <row r="5710" spans="13:13" x14ac:dyDescent="0.25">
      <c r="M5710" s="21"/>
    </row>
    <row r="5711" spans="13:13" x14ac:dyDescent="0.25">
      <c r="M5711" s="21"/>
    </row>
    <row r="5712" spans="13:13" x14ac:dyDescent="0.25">
      <c r="M5712" s="21"/>
    </row>
    <row r="5713" spans="13:13" x14ac:dyDescent="0.25">
      <c r="M5713" s="21"/>
    </row>
    <row r="5714" spans="13:13" x14ac:dyDescent="0.25">
      <c r="M5714" s="21"/>
    </row>
    <row r="5715" spans="13:13" x14ac:dyDescent="0.25">
      <c r="M5715" s="21"/>
    </row>
    <row r="5716" spans="13:13" x14ac:dyDescent="0.25">
      <c r="M5716" s="21"/>
    </row>
    <row r="5717" spans="13:13" x14ac:dyDescent="0.25">
      <c r="M5717" s="21"/>
    </row>
    <row r="5718" spans="13:13" x14ac:dyDescent="0.25">
      <c r="M5718" s="21"/>
    </row>
    <row r="5719" spans="13:13" x14ac:dyDescent="0.25">
      <c r="M5719" s="21"/>
    </row>
    <row r="5720" spans="13:13" x14ac:dyDescent="0.25">
      <c r="M5720" s="21"/>
    </row>
    <row r="5721" spans="13:13" x14ac:dyDescent="0.25">
      <c r="M5721" s="21"/>
    </row>
    <row r="5722" spans="13:13" x14ac:dyDescent="0.25">
      <c r="M5722" s="21"/>
    </row>
    <row r="5723" spans="13:13" x14ac:dyDescent="0.25">
      <c r="M5723" s="21"/>
    </row>
    <row r="5724" spans="13:13" x14ac:dyDescent="0.25">
      <c r="M5724" s="21"/>
    </row>
    <row r="5725" spans="13:13" x14ac:dyDescent="0.25">
      <c r="M5725" s="21"/>
    </row>
    <row r="5726" spans="13:13" x14ac:dyDescent="0.25">
      <c r="M5726" s="21"/>
    </row>
    <row r="5727" spans="13:13" x14ac:dyDescent="0.25">
      <c r="M5727" s="21"/>
    </row>
    <row r="5728" spans="13:13" x14ac:dyDescent="0.25">
      <c r="M5728" s="21"/>
    </row>
    <row r="5729" spans="13:13" x14ac:dyDescent="0.25">
      <c r="M5729" s="21"/>
    </row>
    <row r="5730" spans="13:13" x14ac:dyDescent="0.25">
      <c r="M5730" s="21"/>
    </row>
    <row r="5731" spans="13:13" x14ac:dyDescent="0.25">
      <c r="M5731" s="21"/>
    </row>
    <row r="5732" spans="13:13" x14ac:dyDescent="0.25">
      <c r="M5732" s="21"/>
    </row>
    <row r="5733" spans="13:13" x14ac:dyDescent="0.25">
      <c r="M5733" s="21"/>
    </row>
    <row r="5734" spans="13:13" x14ac:dyDescent="0.25">
      <c r="M5734" s="21"/>
    </row>
    <row r="5735" spans="13:13" x14ac:dyDescent="0.25">
      <c r="M5735" s="21"/>
    </row>
    <row r="5736" spans="13:13" x14ac:dyDescent="0.25">
      <c r="M5736" s="21"/>
    </row>
    <row r="5737" spans="13:13" x14ac:dyDescent="0.25">
      <c r="M5737" s="21"/>
    </row>
    <row r="5738" spans="13:13" x14ac:dyDescent="0.25">
      <c r="M5738" s="21"/>
    </row>
    <row r="5739" spans="13:13" x14ac:dyDescent="0.25">
      <c r="M5739" s="21"/>
    </row>
    <row r="5740" spans="13:13" x14ac:dyDescent="0.25">
      <c r="M5740" s="21"/>
    </row>
    <row r="5741" spans="13:13" x14ac:dyDescent="0.25">
      <c r="M5741" s="21"/>
    </row>
    <row r="5742" spans="13:13" x14ac:dyDescent="0.25">
      <c r="M5742" s="21"/>
    </row>
    <row r="5743" spans="13:13" x14ac:dyDescent="0.25">
      <c r="M5743" s="21"/>
    </row>
    <row r="5744" spans="13:13" x14ac:dyDescent="0.25">
      <c r="M5744" s="21"/>
    </row>
    <row r="5745" spans="13:13" x14ac:dyDescent="0.25">
      <c r="M5745" s="21"/>
    </row>
    <row r="5746" spans="13:13" x14ac:dyDescent="0.25">
      <c r="M5746" s="21"/>
    </row>
    <row r="5747" spans="13:13" x14ac:dyDescent="0.25">
      <c r="M5747" s="21"/>
    </row>
    <row r="5748" spans="13:13" x14ac:dyDescent="0.25">
      <c r="M5748" s="21"/>
    </row>
    <row r="5749" spans="13:13" x14ac:dyDescent="0.25">
      <c r="M5749" s="21"/>
    </row>
    <row r="5750" spans="13:13" x14ac:dyDescent="0.25">
      <c r="M5750" s="21"/>
    </row>
    <row r="5751" spans="13:13" x14ac:dyDescent="0.25">
      <c r="M5751" s="21"/>
    </row>
    <row r="5752" spans="13:13" x14ac:dyDescent="0.25">
      <c r="M5752" s="21"/>
    </row>
    <row r="5753" spans="13:13" x14ac:dyDescent="0.25">
      <c r="M5753" s="21"/>
    </row>
    <row r="5754" spans="13:13" x14ac:dyDescent="0.25">
      <c r="M5754" s="21"/>
    </row>
    <row r="5755" spans="13:13" x14ac:dyDescent="0.25">
      <c r="M5755" s="21"/>
    </row>
    <row r="5756" spans="13:13" x14ac:dyDescent="0.25">
      <c r="M5756" s="21"/>
    </row>
    <row r="5757" spans="13:13" x14ac:dyDescent="0.25">
      <c r="M5757" s="21"/>
    </row>
    <row r="5758" spans="13:13" x14ac:dyDescent="0.25">
      <c r="M5758" s="21"/>
    </row>
    <row r="5759" spans="13:13" x14ac:dyDescent="0.25">
      <c r="M5759" s="21"/>
    </row>
    <row r="5760" spans="13:13" x14ac:dyDescent="0.25">
      <c r="M5760" s="21"/>
    </row>
    <row r="5761" spans="13:13" x14ac:dyDescent="0.25">
      <c r="M5761" s="21"/>
    </row>
    <row r="5762" spans="13:13" x14ac:dyDescent="0.25">
      <c r="M5762" s="21"/>
    </row>
    <row r="5763" spans="13:13" x14ac:dyDescent="0.25">
      <c r="M5763" s="21"/>
    </row>
    <row r="5764" spans="13:13" x14ac:dyDescent="0.25">
      <c r="M5764" s="21"/>
    </row>
    <row r="5765" spans="13:13" x14ac:dyDescent="0.25">
      <c r="M5765" s="21"/>
    </row>
    <row r="5766" spans="13:13" x14ac:dyDescent="0.25">
      <c r="M5766" s="21"/>
    </row>
    <row r="5767" spans="13:13" x14ac:dyDescent="0.25">
      <c r="M5767" s="21"/>
    </row>
    <row r="5768" spans="13:13" x14ac:dyDescent="0.25">
      <c r="M5768" s="21"/>
    </row>
    <row r="5769" spans="13:13" x14ac:dyDescent="0.25">
      <c r="M5769" s="21"/>
    </row>
    <row r="5770" spans="13:13" x14ac:dyDescent="0.25">
      <c r="M5770" s="21"/>
    </row>
    <row r="5771" spans="13:13" x14ac:dyDescent="0.25">
      <c r="M5771" s="21"/>
    </row>
    <row r="5772" spans="13:13" x14ac:dyDescent="0.25">
      <c r="M5772" s="21"/>
    </row>
    <row r="5773" spans="13:13" x14ac:dyDescent="0.25">
      <c r="M5773" s="21"/>
    </row>
    <row r="5774" spans="13:13" x14ac:dyDescent="0.25">
      <c r="M5774" s="21"/>
    </row>
    <row r="5775" spans="13:13" x14ac:dyDescent="0.25">
      <c r="M5775" s="21"/>
    </row>
    <row r="5776" spans="13:13" x14ac:dyDescent="0.25">
      <c r="M5776" s="21"/>
    </row>
    <row r="5777" spans="13:13" x14ac:dyDescent="0.25">
      <c r="M5777" s="21"/>
    </row>
    <row r="5778" spans="13:13" x14ac:dyDescent="0.25">
      <c r="M5778" s="21"/>
    </row>
    <row r="5779" spans="13:13" x14ac:dyDescent="0.25">
      <c r="M5779" s="21"/>
    </row>
    <row r="5780" spans="13:13" x14ac:dyDescent="0.25">
      <c r="M5780" s="21"/>
    </row>
    <row r="5781" spans="13:13" x14ac:dyDescent="0.25">
      <c r="M5781" s="21"/>
    </row>
    <row r="5782" spans="13:13" x14ac:dyDescent="0.25">
      <c r="M5782" s="21"/>
    </row>
    <row r="5783" spans="13:13" x14ac:dyDescent="0.25">
      <c r="M5783" s="21"/>
    </row>
    <row r="5784" spans="13:13" x14ac:dyDescent="0.25">
      <c r="M5784" s="21"/>
    </row>
    <row r="5785" spans="13:13" x14ac:dyDescent="0.25">
      <c r="M5785" s="21"/>
    </row>
    <row r="5786" spans="13:13" x14ac:dyDescent="0.25">
      <c r="M5786" s="21"/>
    </row>
    <row r="5787" spans="13:13" x14ac:dyDescent="0.25">
      <c r="M5787" s="21"/>
    </row>
    <row r="5788" spans="13:13" x14ac:dyDescent="0.25">
      <c r="M5788" s="21"/>
    </row>
    <row r="5789" spans="13:13" x14ac:dyDescent="0.25">
      <c r="M5789" s="21"/>
    </row>
    <row r="5790" spans="13:13" x14ac:dyDescent="0.25">
      <c r="M5790" s="21"/>
    </row>
    <row r="5791" spans="13:13" x14ac:dyDescent="0.25">
      <c r="M5791" s="21"/>
    </row>
    <row r="5792" spans="13:13" x14ac:dyDescent="0.25">
      <c r="M5792" s="21"/>
    </row>
    <row r="5793" spans="13:13" x14ac:dyDescent="0.25">
      <c r="M5793" s="21"/>
    </row>
    <row r="5794" spans="13:13" x14ac:dyDescent="0.25">
      <c r="M5794" s="21"/>
    </row>
    <row r="5795" spans="13:13" x14ac:dyDescent="0.25">
      <c r="M5795" s="21"/>
    </row>
    <row r="5796" spans="13:13" x14ac:dyDescent="0.25">
      <c r="M5796" s="21"/>
    </row>
    <row r="5797" spans="13:13" x14ac:dyDescent="0.25">
      <c r="M5797" s="21"/>
    </row>
    <row r="5798" spans="13:13" x14ac:dyDescent="0.25">
      <c r="M5798" s="21"/>
    </row>
    <row r="5799" spans="13:13" x14ac:dyDescent="0.25">
      <c r="M5799" s="21"/>
    </row>
    <row r="5800" spans="13:13" x14ac:dyDescent="0.25">
      <c r="M5800" s="21"/>
    </row>
    <row r="5801" spans="13:13" x14ac:dyDescent="0.25">
      <c r="M5801" s="21"/>
    </row>
    <row r="5802" spans="13:13" x14ac:dyDescent="0.25">
      <c r="M5802" s="21"/>
    </row>
    <row r="5803" spans="13:13" x14ac:dyDescent="0.25">
      <c r="M5803" s="21"/>
    </row>
    <row r="5804" spans="13:13" x14ac:dyDescent="0.25">
      <c r="M5804" s="21"/>
    </row>
    <row r="5805" spans="13:13" x14ac:dyDescent="0.25">
      <c r="M5805" s="21"/>
    </row>
    <row r="5806" spans="13:13" x14ac:dyDescent="0.25">
      <c r="M5806" s="21"/>
    </row>
    <row r="5807" spans="13:13" x14ac:dyDescent="0.25">
      <c r="M5807" s="21"/>
    </row>
    <row r="5808" spans="13:13" x14ac:dyDescent="0.25">
      <c r="M5808" s="21"/>
    </row>
    <row r="5809" spans="13:13" x14ac:dyDescent="0.25">
      <c r="M5809" s="21"/>
    </row>
    <row r="5810" spans="13:13" x14ac:dyDescent="0.25">
      <c r="M5810" s="21"/>
    </row>
    <row r="5811" spans="13:13" x14ac:dyDescent="0.25">
      <c r="M5811" s="21"/>
    </row>
    <row r="5812" spans="13:13" x14ac:dyDescent="0.25">
      <c r="M5812" s="21"/>
    </row>
    <row r="5813" spans="13:13" x14ac:dyDescent="0.25">
      <c r="M5813" s="21"/>
    </row>
    <row r="5814" spans="13:13" x14ac:dyDescent="0.25">
      <c r="M5814" s="21"/>
    </row>
    <row r="5815" spans="13:13" x14ac:dyDescent="0.25">
      <c r="M5815" s="21"/>
    </row>
    <row r="5816" spans="13:13" x14ac:dyDescent="0.25">
      <c r="M5816" s="21"/>
    </row>
    <row r="5817" spans="13:13" x14ac:dyDescent="0.25">
      <c r="M5817" s="21"/>
    </row>
    <row r="5818" spans="13:13" x14ac:dyDescent="0.25">
      <c r="M5818" s="21"/>
    </row>
    <row r="5819" spans="13:13" x14ac:dyDescent="0.25">
      <c r="M5819" s="21"/>
    </row>
    <row r="5820" spans="13:13" x14ac:dyDescent="0.25">
      <c r="M5820" s="21"/>
    </row>
    <row r="5821" spans="13:13" x14ac:dyDescent="0.25">
      <c r="M5821" s="21"/>
    </row>
    <row r="5822" spans="13:13" x14ac:dyDescent="0.25">
      <c r="M5822" s="21"/>
    </row>
    <row r="5823" spans="13:13" x14ac:dyDescent="0.25">
      <c r="M5823" s="21"/>
    </row>
    <row r="5824" spans="13:13" x14ac:dyDescent="0.25">
      <c r="M5824" s="21"/>
    </row>
    <row r="5825" spans="13:13" x14ac:dyDescent="0.25">
      <c r="M5825" s="21"/>
    </row>
    <row r="5826" spans="13:13" x14ac:dyDescent="0.25">
      <c r="M5826" s="21"/>
    </row>
    <row r="5827" spans="13:13" x14ac:dyDescent="0.25">
      <c r="M5827" s="21"/>
    </row>
    <row r="5828" spans="13:13" x14ac:dyDescent="0.25">
      <c r="M5828" s="21"/>
    </row>
    <row r="5829" spans="13:13" x14ac:dyDescent="0.25">
      <c r="M5829" s="21"/>
    </row>
    <row r="5830" spans="13:13" x14ac:dyDescent="0.25">
      <c r="M5830" s="21"/>
    </row>
    <row r="5831" spans="13:13" x14ac:dyDescent="0.25">
      <c r="M5831" s="21"/>
    </row>
    <row r="5832" spans="13:13" x14ac:dyDescent="0.25">
      <c r="M5832" s="21"/>
    </row>
    <row r="5833" spans="13:13" x14ac:dyDescent="0.25">
      <c r="M5833" s="21"/>
    </row>
    <row r="5834" spans="13:13" x14ac:dyDescent="0.25">
      <c r="M5834" s="21"/>
    </row>
    <row r="5835" spans="13:13" x14ac:dyDescent="0.25">
      <c r="M5835" s="21"/>
    </row>
    <row r="5836" spans="13:13" x14ac:dyDescent="0.25">
      <c r="M5836" s="21"/>
    </row>
    <row r="5837" spans="13:13" x14ac:dyDescent="0.25">
      <c r="M5837" s="21"/>
    </row>
    <row r="5838" spans="13:13" x14ac:dyDescent="0.25">
      <c r="M5838" s="21"/>
    </row>
    <row r="5839" spans="13:13" x14ac:dyDescent="0.25">
      <c r="M5839" s="21"/>
    </row>
    <row r="5840" spans="13:13" x14ac:dyDescent="0.25">
      <c r="M5840" s="21"/>
    </row>
    <row r="5841" spans="13:13" x14ac:dyDescent="0.25">
      <c r="M5841" s="21"/>
    </row>
    <row r="5842" spans="13:13" x14ac:dyDescent="0.25">
      <c r="M5842" s="21"/>
    </row>
    <row r="5843" spans="13:13" x14ac:dyDescent="0.25">
      <c r="M5843" s="21"/>
    </row>
    <row r="5844" spans="13:13" x14ac:dyDescent="0.25">
      <c r="M5844" s="21"/>
    </row>
    <row r="5845" spans="13:13" x14ac:dyDescent="0.25">
      <c r="M5845" s="21"/>
    </row>
    <row r="5846" spans="13:13" x14ac:dyDescent="0.25">
      <c r="M5846" s="21"/>
    </row>
    <row r="5847" spans="13:13" x14ac:dyDescent="0.25">
      <c r="M5847" s="21"/>
    </row>
    <row r="5848" spans="13:13" x14ac:dyDescent="0.25">
      <c r="M5848" s="21"/>
    </row>
    <row r="5849" spans="13:13" x14ac:dyDescent="0.25">
      <c r="M5849" s="21"/>
    </row>
    <row r="5850" spans="13:13" x14ac:dyDescent="0.25">
      <c r="M5850" s="21"/>
    </row>
    <row r="5851" spans="13:13" x14ac:dyDescent="0.25">
      <c r="M5851" s="21"/>
    </row>
    <row r="5852" spans="13:13" x14ac:dyDescent="0.25">
      <c r="M5852" s="21"/>
    </row>
    <row r="5853" spans="13:13" x14ac:dyDescent="0.25">
      <c r="M5853" s="21"/>
    </row>
    <row r="5854" spans="13:13" x14ac:dyDescent="0.25">
      <c r="M5854" s="21"/>
    </row>
    <row r="5855" spans="13:13" x14ac:dyDescent="0.25">
      <c r="M5855" s="21"/>
    </row>
    <row r="5856" spans="13:13" x14ac:dyDescent="0.25">
      <c r="M5856" s="21"/>
    </row>
    <row r="5857" spans="13:13" x14ac:dyDescent="0.25">
      <c r="M5857" s="21"/>
    </row>
    <row r="5858" spans="13:13" x14ac:dyDescent="0.25">
      <c r="M5858" s="21"/>
    </row>
    <row r="5859" spans="13:13" x14ac:dyDescent="0.25">
      <c r="M5859" s="21"/>
    </row>
    <row r="5860" spans="13:13" x14ac:dyDescent="0.25">
      <c r="M5860" s="21"/>
    </row>
    <row r="5861" spans="13:13" x14ac:dyDescent="0.25">
      <c r="M5861" s="21"/>
    </row>
    <row r="5862" spans="13:13" x14ac:dyDescent="0.25">
      <c r="M5862" s="21"/>
    </row>
    <row r="5863" spans="13:13" x14ac:dyDescent="0.25">
      <c r="M5863" s="21"/>
    </row>
    <row r="5864" spans="13:13" x14ac:dyDescent="0.25">
      <c r="M5864" s="21"/>
    </row>
    <row r="5865" spans="13:13" x14ac:dyDescent="0.25">
      <c r="M5865" s="21"/>
    </row>
    <row r="5866" spans="13:13" x14ac:dyDescent="0.25">
      <c r="M5866" s="21"/>
    </row>
    <row r="5867" spans="13:13" x14ac:dyDescent="0.25">
      <c r="M5867" s="21"/>
    </row>
    <row r="5868" spans="13:13" x14ac:dyDescent="0.25">
      <c r="M5868" s="21"/>
    </row>
    <row r="5869" spans="13:13" x14ac:dyDescent="0.25">
      <c r="M5869" s="21"/>
    </row>
    <row r="5870" spans="13:13" x14ac:dyDescent="0.25">
      <c r="M5870" s="21"/>
    </row>
    <row r="5871" spans="13:13" x14ac:dyDescent="0.25">
      <c r="M5871" s="21"/>
    </row>
    <row r="5872" spans="13:13" x14ac:dyDescent="0.25">
      <c r="M5872" s="21"/>
    </row>
    <row r="5873" spans="13:13" x14ac:dyDescent="0.25">
      <c r="M5873" s="21"/>
    </row>
    <row r="5874" spans="13:13" x14ac:dyDescent="0.25">
      <c r="M5874" s="21"/>
    </row>
    <row r="5875" spans="13:13" x14ac:dyDescent="0.25">
      <c r="M5875" s="21"/>
    </row>
    <row r="5876" spans="13:13" x14ac:dyDescent="0.25">
      <c r="M5876" s="21"/>
    </row>
    <row r="5877" spans="13:13" x14ac:dyDescent="0.25">
      <c r="M5877" s="21"/>
    </row>
    <row r="5878" spans="13:13" x14ac:dyDescent="0.25">
      <c r="M5878" s="21"/>
    </row>
    <row r="5879" spans="13:13" x14ac:dyDescent="0.25">
      <c r="M5879" s="21"/>
    </row>
    <row r="5880" spans="13:13" x14ac:dyDescent="0.25">
      <c r="M5880" s="21"/>
    </row>
    <row r="5881" spans="13:13" x14ac:dyDescent="0.25">
      <c r="M5881" s="21"/>
    </row>
    <row r="5882" spans="13:13" x14ac:dyDescent="0.25">
      <c r="M5882" s="21"/>
    </row>
    <row r="5883" spans="13:13" x14ac:dyDescent="0.25">
      <c r="M5883" s="21"/>
    </row>
    <row r="5884" spans="13:13" x14ac:dyDescent="0.25">
      <c r="M5884" s="21"/>
    </row>
    <row r="5885" spans="13:13" x14ac:dyDescent="0.25">
      <c r="M5885" s="21"/>
    </row>
    <row r="5886" spans="13:13" x14ac:dyDescent="0.25">
      <c r="M5886" s="21"/>
    </row>
    <row r="5887" spans="13:13" x14ac:dyDescent="0.25">
      <c r="M5887" s="21"/>
    </row>
    <row r="5888" spans="13:13" x14ac:dyDescent="0.25">
      <c r="M5888" s="21"/>
    </row>
    <row r="5889" spans="13:13" x14ac:dyDescent="0.25">
      <c r="M5889" s="21"/>
    </row>
    <row r="5890" spans="13:13" x14ac:dyDescent="0.25">
      <c r="M5890" s="21"/>
    </row>
    <row r="5891" spans="13:13" x14ac:dyDescent="0.25">
      <c r="M5891" s="21"/>
    </row>
    <row r="5892" spans="13:13" x14ac:dyDescent="0.25">
      <c r="M5892" s="21"/>
    </row>
    <row r="5893" spans="13:13" x14ac:dyDescent="0.25">
      <c r="M5893" s="21"/>
    </row>
    <row r="5894" spans="13:13" x14ac:dyDescent="0.25">
      <c r="M5894" s="21"/>
    </row>
    <row r="5895" spans="13:13" x14ac:dyDescent="0.25">
      <c r="M5895" s="21"/>
    </row>
    <row r="5896" spans="13:13" x14ac:dyDescent="0.25">
      <c r="M5896" s="21"/>
    </row>
    <row r="5897" spans="13:13" x14ac:dyDescent="0.25">
      <c r="M5897" s="21"/>
    </row>
    <row r="5898" spans="13:13" x14ac:dyDescent="0.25">
      <c r="M5898" s="21"/>
    </row>
    <row r="5899" spans="13:13" x14ac:dyDescent="0.25">
      <c r="M5899" s="21"/>
    </row>
    <row r="5900" spans="13:13" x14ac:dyDescent="0.25">
      <c r="M5900" s="21"/>
    </row>
    <row r="5901" spans="13:13" x14ac:dyDescent="0.25">
      <c r="M5901" s="21"/>
    </row>
    <row r="5902" spans="13:13" x14ac:dyDescent="0.25">
      <c r="M5902" s="21"/>
    </row>
    <row r="5903" spans="13:13" x14ac:dyDescent="0.25">
      <c r="M5903" s="21"/>
    </row>
    <row r="5904" spans="13:13" x14ac:dyDescent="0.25">
      <c r="M5904" s="21"/>
    </row>
    <row r="5905" spans="13:13" x14ac:dyDescent="0.25">
      <c r="M5905" s="21"/>
    </row>
    <row r="5906" spans="13:13" x14ac:dyDescent="0.25">
      <c r="M5906" s="21"/>
    </row>
    <row r="5907" spans="13:13" x14ac:dyDescent="0.25">
      <c r="M5907" s="21"/>
    </row>
    <row r="5908" spans="13:13" x14ac:dyDescent="0.25">
      <c r="M5908" s="21"/>
    </row>
    <row r="5909" spans="13:13" x14ac:dyDescent="0.25">
      <c r="M5909" s="21"/>
    </row>
    <row r="5910" spans="13:13" x14ac:dyDescent="0.25">
      <c r="M5910" s="21"/>
    </row>
    <row r="5911" spans="13:13" x14ac:dyDescent="0.25">
      <c r="M5911" s="21"/>
    </row>
    <row r="5912" spans="13:13" x14ac:dyDescent="0.25">
      <c r="M5912" s="21"/>
    </row>
    <row r="5913" spans="13:13" x14ac:dyDescent="0.25">
      <c r="M5913" s="21"/>
    </row>
    <row r="5914" spans="13:13" x14ac:dyDescent="0.25">
      <c r="M5914" s="21"/>
    </row>
    <row r="5915" spans="13:13" x14ac:dyDescent="0.25">
      <c r="M5915" s="21"/>
    </row>
    <row r="5916" spans="13:13" x14ac:dyDescent="0.25">
      <c r="M5916" s="21"/>
    </row>
    <row r="5917" spans="13:13" x14ac:dyDescent="0.25">
      <c r="M5917" s="21"/>
    </row>
    <row r="5918" spans="13:13" x14ac:dyDescent="0.25">
      <c r="M5918" s="21"/>
    </row>
    <row r="5919" spans="13:13" x14ac:dyDescent="0.25">
      <c r="M5919" s="21"/>
    </row>
    <row r="5920" spans="13:13" x14ac:dyDescent="0.25">
      <c r="M5920" s="21"/>
    </row>
    <row r="5921" spans="13:13" x14ac:dyDescent="0.25">
      <c r="M5921" s="21"/>
    </row>
    <row r="5922" spans="13:13" x14ac:dyDescent="0.25">
      <c r="M5922" s="21"/>
    </row>
    <row r="5923" spans="13:13" x14ac:dyDescent="0.25">
      <c r="M5923" s="21"/>
    </row>
    <row r="5924" spans="13:13" x14ac:dyDescent="0.25">
      <c r="M5924" s="21"/>
    </row>
    <row r="5925" spans="13:13" x14ac:dyDescent="0.25">
      <c r="M5925" s="21"/>
    </row>
    <row r="5926" spans="13:13" x14ac:dyDescent="0.25">
      <c r="M5926" s="21"/>
    </row>
    <row r="5927" spans="13:13" x14ac:dyDescent="0.25">
      <c r="M5927" s="21"/>
    </row>
    <row r="5928" spans="13:13" x14ac:dyDescent="0.25">
      <c r="M5928" s="21"/>
    </row>
    <row r="5929" spans="13:13" x14ac:dyDescent="0.25">
      <c r="M5929" s="21"/>
    </row>
    <row r="5930" spans="13:13" x14ac:dyDescent="0.25">
      <c r="M5930" s="21"/>
    </row>
    <row r="5931" spans="13:13" x14ac:dyDescent="0.25">
      <c r="M5931" s="21"/>
    </row>
    <row r="5932" spans="13:13" x14ac:dyDescent="0.25">
      <c r="M5932" s="21"/>
    </row>
    <row r="5933" spans="13:13" x14ac:dyDescent="0.25">
      <c r="M5933" s="21"/>
    </row>
    <row r="5934" spans="13:13" x14ac:dyDescent="0.25">
      <c r="M5934" s="21"/>
    </row>
    <row r="5935" spans="13:13" x14ac:dyDescent="0.25">
      <c r="M5935" s="21"/>
    </row>
    <row r="5936" spans="13:13" x14ac:dyDescent="0.25">
      <c r="M5936" s="21"/>
    </row>
    <row r="5937" spans="13:13" x14ac:dyDescent="0.25">
      <c r="M5937" s="21"/>
    </row>
    <row r="5938" spans="13:13" x14ac:dyDescent="0.25">
      <c r="M5938" s="21"/>
    </row>
    <row r="5939" spans="13:13" x14ac:dyDescent="0.25">
      <c r="M5939" s="21"/>
    </row>
    <row r="5940" spans="13:13" x14ac:dyDescent="0.25">
      <c r="M5940" s="21"/>
    </row>
    <row r="5941" spans="13:13" x14ac:dyDescent="0.25">
      <c r="M5941" s="21"/>
    </row>
    <row r="5942" spans="13:13" x14ac:dyDescent="0.25">
      <c r="M5942" s="21"/>
    </row>
    <row r="5943" spans="13:13" x14ac:dyDescent="0.25">
      <c r="M5943" s="21"/>
    </row>
    <row r="5944" spans="13:13" x14ac:dyDescent="0.25">
      <c r="M5944" s="21"/>
    </row>
    <row r="5945" spans="13:13" x14ac:dyDescent="0.25">
      <c r="M5945" s="21"/>
    </row>
    <row r="5946" spans="13:13" x14ac:dyDescent="0.25">
      <c r="M5946" s="21"/>
    </row>
    <row r="5947" spans="13:13" x14ac:dyDescent="0.25">
      <c r="M5947" s="21"/>
    </row>
    <row r="5948" spans="13:13" x14ac:dyDescent="0.25">
      <c r="M5948" s="21"/>
    </row>
    <row r="5949" spans="13:13" x14ac:dyDescent="0.25">
      <c r="M5949" s="21"/>
    </row>
    <row r="5950" spans="13:13" x14ac:dyDescent="0.25">
      <c r="M5950" s="21"/>
    </row>
    <row r="5951" spans="13:13" x14ac:dyDescent="0.25">
      <c r="M5951" s="21"/>
    </row>
    <row r="5952" spans="13:13" x14ac:dyDescent="0.25">
      <c r="M5952" s="21"/>
    </row>
    <row r="5953" spans="13:13" x14ac:dyDescent="0.25">
      <c r="M5953" s="21"/>
    </row>
    <row r="5954" spans="13:13" x14ac:dyDescent="0.25">
      <c r="M5954" s="21"/>
    </row>
    <row r="5955" spans="13:13" x14ac:dyDescent="0.25">
      <c r="M5955" s="21"/>
    </row>
    <row r="5956" spans="13:13" x14ac:dyDescent="0.25">
      <c r="M5956" s="21"/>
    </row>
    <row r="5957" spans="13:13" x14ac:dyDescent="0.25">
      <c r="M5957" s="21"/>
    </row>
    <row r="5958" spans="13:13" x14ac:dyDescent="0.25">
      <c r="M5958" s="21"/>
    </row>
    <row r="5959" spans="13:13" x14ac:dyDescent="0.25">
      <c r="M5959" s="21"/>
    </row>
    <row r="5960" spans="13:13" x14ac:dyDescent="0.25">
      <c r="M5960" s="21"/>
    </row>
    <row r="5961" spans="13:13" x14ac:dyDescent="0.25">
      <c r="M5961" s="21"/>
    </row>
    <row r="5962" spans="13:13" x14ac:dyDescent="0.25">
      <c r="M5962" s="21"/>
    </row>
    <row r="5963" spans="13:13" x14ac:dyDescent="0.25">
      <c r="M5963" s="21"/>
    </row>
    <row r="5964" spans="13:13" x14ac:dyDescent="0.25">
      <c r="M5964" s="21"/>
    </row>
    <row r="5965" spans="13:13" x14ac:dyDescent="0.25">
      <c r="M5965" s="21"/>
    </row>
    <row r="5966" spans="13:13" x14ac:dyDescent="0.25">
      <c r="M5966" s="21"/>
    </row>
    <row r="5967" spans="13:13" x14ac:dyDescent="0.25">
      <c r="M5967" s="21"/>
    </row>
    <row r="5968" spans="13:13" x14ac:dyDescent="0.25">
      <c r="M5968" s="21"/>
    </row>
    <row r="5969" spans="13:13" x14ac:dyDescent="0.25">
      <c r="M5969" s="21"/>
    </row>
    <row r="5970" spans="13:13" x14ac:dyDescent="0.25">
      <c r="M5970" s="21"/>
    </row>
    <row r="5971" spans="13:13" x14ac:dyDescent="0.25">
      <c r="M5971" s="21"/>
    </row>
    <row r="5972" spans="13:13" x14ac:dyDescent="0.25">
      <c r="M5972" s="21"/>
    </row>
    <row r="5973" spans="13:13" x14ac:dyDescent="0.25">
      <c r="M5973" s="21"/>
    </row>
    <row r="5974" spans="13:13" x14ac:dyDescent="0.25">
      <c r="M5974" s="21"/>
    </row>
    <row r="5975" spans="13:13" x14ac:dyDescent="0.25">
      <c r="M5975" s="21"/>
    </row>
    <row r="5976" spans="13:13" x14ac:dyDescent="0.25">
      <c r="M5976" s="21"/>
    </row>
    <row r="5977" spans="13:13" x14ac:dyDescent="0.25">
      <c r="M5977" s="21"/>
    </row>
    <row r="5978" spans="13:13" x14ac:dyDescent="0.25">
      <c r="M5978" s="21"/>
    </row>
    <row r="5979" spans="13:13" x14ac:dyDescent="0.25">
      <c r="M5979" s="21"/>
    </row>
    <row r="5980" spans="13:13" x14ac:dyDescent="0.25">
      <c r="M5980" s="21"/>
    </row>
    <row r="5981" spans="13:13" x14ac:dyDescent="0.25">
      <c r="M5981" s="21"/>
    </row>
    <row r="5982" spans="13:13" x14ac:dyDescent="0.25">
      <c r="M5982" s="21"/>
    </row>
    <row r="5983" spans="13:13" x14ac:dyDescent="0.25">
      <c r="M5983" s="21"/>
    </row>
    <row r="5984" spans="13:13" x14ac:dyDescent="0.25">
      <c r="M5984" s="21"/>
    </row>
    <row r="5985" spans="13:13" x14ac:dyDescent="0.25">
      <c r="M5985" s="21"/>
    </row>
    <row r="5986" spans="13:13" x14ac:dyDescent="0.25">
      <c r="M5986" s="21"/>
    </row>
    <row r="5987" spans="13:13" x14ac:dyDescent="0.25">
      <c r="M5987" s="21"/>
    </row>
    <row r="5988" spans="13:13" x14ac:dyDescent="0.25">
      <c r="M5988" s="21"/>
    </row>
    <row r="5989" spans="13:13" x14ac:dyDescent="0.25">
      <c r="M5989" s="21"/>
    </row>
    <row r="5990" spans="13:13" x14ac:dyDescent="0.25">
      <c r="M5990" s="21"/>
    </row>
    <row r="5991" spans="13:13" x14ac:dyDescent="0.25">
      <c r="M5991" s="21"/>
    </row>
    <row r="5992" spans="13:13" x14ac:dyDescent="0.25">
      <c r="M5992" s="21"/>
    </row>
    <row r="5993" spans="13:13" x14ac:dyDescent="0.25">
      <c r="M5993" s="21"/>
    </row>
    <row r="5994" spans="13:13" x14ac:dyDescent="0.25">
      <c r="M5994" s="21"/>
    </row>
    <row r="5995" spans="13:13" x14ac:dyDescent="0.25">
      <c r="M5995" s="21"/>
    </row>
    <row r="5996" spans="13:13" x14ac:dyDescent="0.25">
      <c r="M5996" s="21"/>
    </row>
    <row r="5997" spans="13:13" x14ac:dyDescent="0.25">
      <c r="M5997" s="21"/>
    </row>
    <row r="5998" spans="13:13" x14ac:dyDescent="0.25">
      <c r="M5998" s="21"/>
    </row>
    <row r="5999" spans="13:13" x14ac:dyDescent="0.25">
      <c r="M5999" s="21"/>
    </row>
    <row r="6000" spans="13:13" x14ac:dyDescent="0.25">
      <c r="M6000" s="21"/>
    </row>
    <row r="6001" spans="13:13" x14ac:dyDescent="0.25">
      <c r="M6001" s="21"/>
    </row>
    <row r="6002" spans="13:13" x14ac:dyDescent="0.25">
      <c r="M6002" s="21"/>
    </row>
    <row r="6003" spans="13:13" x14ac:dyDescent="0.25">
      <c r="M6003" s="21"/>
    </row>
    <row r="6004" spans="13:13" x14ac:dyDescent="0.25">
      <c r="M6004" s="21"/>
    </row>
    <row r="6005" spans="13:13" x14ac:dyDescent="0.25">
      <c r="M6005" s="21"/>
    </row>
    <row r="6006" spans="13:13" x14ac:dyDescent="0.25">
      <c r="M6006" s="21"/>
    </row>
    <row r="6007" spans="13:13" x14ac:dyDescent="0.25">
      <c r="M6007" s="21"/>
    </row>
    <row r="6008" spans="13:13" x14ac:dyDescent="0.25">
      <c r="M6008" s="21"/>
    </row>
    <row r="6009" spans="13:13" x14ac:dyDescent="0.25">
      <c r="M6009" s="21"/>
    </row>
    <row r="6010" spans="13:13" x14ac:dyDescent="0.25">
      <c r="M6010" s="21"/>
    </row>
    <row r="6011" spans="13:13" x14ac:dyDescent="0.25">
      <c r="M6011" s="21"/>
    </row>
    <row r="6012" spans="13:13" x14ac:dyDescent="0.25">
      <c r="M6012" s="21"/>
    </row>
    <row r="6013" spans="13:13" x14ac:dyDescent="0.25">
      <c r="M6013" s="21"/>
    </row>
    <row r="6014" spans="13:13" x14ac:dyDescent="0.25">
      <c r="M6014" s="21"/>
    </row>
    <row r="6015" spans="13:13" x14ac:dyDescent="0.25">
      <c r="M6015" s="21"/>
    </row>
    <row r="6016" spans="13:13" x14ac:dyDescent="0.25">
      <c r="M6016" s="21"/>
    </row>
    <row r="6017" spans="13:13" x14ac:dyDescent="0.25">
      <c r="M6017" s="21"/>
    </row>
    <row r="6018" spans="13:13" x14ac:dyDescent="0.25">
      <c r="M6018" s="21"/>
    </row>
    <row r="6019" spans="13:13" x14ac:dyDescent="0.25">
      <c r="M6019" s="21"/>
    </row>
    <row r="6020" spans="13:13" x14ac:dyDescent="0.25">
      <c r="M6020" s="21"/>
    </row>
    <row r="6021" spans="13:13" x14ac:dyDescent="0.25">
      <c r="M6021" s="21"/>
    </row>
    <row r="6022" spans="13:13" x14ac:dyDescent="0.25">
      <c r="M6022" s="21"/>
    </row>
    <row r="6023" spans="13:13" x14ac:dyDescent="0.25">
      <c r="M6023" s="21"/>
    </row>
    <row r="6024" spans="13:13" x14ac:dyDescent="0.25">
      <c r="M6024" s="21"/>
    </row>
    <row r="6025" spans="13:13" x14ac:dyDescent="0.25">
      <c r="M6025" s="21"/>
    </row>
    <row r="6026" spans="13:13" x14ac:dyDescent="0.25">
      <c r="M6026" s="21"/>
    </row>
    <row r="6027" spans="13:13" x14ac:dyDescent="0.25">
      <c r="M6027" s="21"/>
    </row>
    <row r="6028" spans="13:13" x14ac:dyDescent="0.25">
      <c r="M6028" s="21"/>
    </row>
    <row r="6029" spans="13:13" x14ac:dyDescent="0.25">
      <c r="M6029" s="21"/>
    </row>
    <row r="6030" spans="13:13" x14ac:dyDescent="0.25">
      <c r="M6030" s="21"/>
    </row>
    <row r="6031" spans="13:13" x14ac:dyDescent="0.25">
      <c r="M6031" s="21"/>
    </row>
    <row r="6032" spans="13:13" x14ac:dyDescent="0.25">
      <c r="M6032" s="21"/>
    </row>
    <row r="6033" spans="13:13" x14ac:dyDescent="0.25">
      <c r="M6033" s="21"/>
    </row>
    <row r="6034" spans="13:13" x14ac:dyDescent="0.25">
      <c r="M6034" s="21"/>
    </row>
    <row r="6035" spans="13:13" x14ac:dyDescent="0.25">
      <c r="M6035" s="21"/>
    </row>
    <row r="6036" spans="13:13" x14ac:dyDescent="0.25">
      <c r="M6036" s="21"/>
    </row>
    <row r="6037" spans="13:13" x14ac:dyDescent="0.25">
      <c r="M6037" s="21"/>
    </row>
    <row r="6038" spans="13:13" x14ac:dyDescent="0.25">
      <c r="M6038" s="21"/>
    </row>
    <row r="6039" spans="13:13" x14ac:dyDescent="0.25">
      <c r="M6039" s="21"/>
    </row>
    <row r="6040" spans="13:13" x14ac:dyDescent="0.25">
      <c r="M6040" s="21"/>
    </row>
    <row r="6041" spans="13:13" x14ac:dyDescent="0.25">
      <c r="M6041" s="21"/>
    </row>
    <row r="6042" spans="13:13" x14ac:dyDescent="0.25">
      <c r="M6042" s="21"/>
    </row>
    <row r="6043" spans="13:13" x14ac:dyDescent="0.25">
      <c r="M6043" s="21"/>
    </row>
    <row r="6044" spans="13:13" x14ac:dyDescent="0.25">
      <c r="M6044" s="21"/>
    </row>
    <row r="6045" spans="13:13" x14ac:dyDescent="0.25">
      <c r="M6045" s="21"/>
    </row>
    <row r="6046" spans="13:13" x14ac:dyDescent="0.25">
      <c r="M6046" s="21"/>
    </row>
    <row r="6047" spans="13:13" x14ac:dyDescent="0.25">
      <c r="M6047" s="21"/>
    </row>
    <row r="6048" spans="13:13" x14ac:dyDescent="0.25">
      <c r="M6048" s="21"/>
    </row>
    <row r="6049" spans="13:13" x14ac:dyDescent="0.25">
      <c r="M6049" s="21"/>
    </row>
    <row r="6050" spans="13:13" x14ac:dyDescent="0.25">
      <c r="M6050" s="21"/>
    </row>
    <row r="6051" spans="13:13" x14ac:dyDescent="0.25">
      <c r="M6051" s="21"/>
    </row>
    <row r="6052" spans="13:13" x14ac:dyDescent="0.25">
      <c r="M6052" s="21"/>
    </row>
    <row r="6053" spans="13:13" x14ac:dyDescent="0.25">
      <c r="M6053" s="21"/>
    </row>
    <row r="6054" spans="13:13" x14ac:dyDescent="0.25">
      <c r="M6054" s="21"/>
    </row>
    <row r="6055" spans="13:13" x14ac:dyDescent="0.25">
      <c r="M6055" s="21"/>
    </row>
    <row r="6056" spans="13:13" x14ac:dyDescent="0.25">
      <c r="M6056" s="21"/>
    </row>
    <row r="6057" spans="13:13" x14ac:dyDescent="0.25">
      <c r="M6057" s="21"/>
    </row>
    <row r="6058" spans="13:13" x14ac:dyDescent="0.25">
      <c r="M6058" s="21"/>
    </row>
    <row r="6059" spans="13:13" x14ac:dyDescent="0.25">
      <c r="M6059" s="21"/>
    </row>
    <row r="6060" spans="13:13" x14ac:dyDescent="0.25">
      <c r="M6060" s="21"/>
    </row>
    <row r="6061" spans="13:13" x14ac:dyDescent="0.25">
      <c r="M6061" s="21"/>
    </row>
    <row r="6062" spans="13:13" x14ac:dyDescent="0.25">
      <c r="M6062" s="21"/>
    </row>
    <row r="6063" spans="13:13" x14ac:dyDescent="0.25">
      <c r="M6063" s="21"/>
    </row>
    <row r="6064" spans="13:13" x14ac:dyDescent="0.25">
      <c r="M6064" s="21"/>
    </row>
    <row r="6065" spans="13:13" x14ac:dyDescent="0.25">
      <c r="M6065" s="21"/>
    </row>
    <row r="6066" spans="13:13" x14ac:dyDescent="0.25">
      <c r="M6066" s="21"/>
    </row>
    <row r="6067" spans="13:13" x14ac:dyDescent="0.25">
      <c r="M6067" s="21"/>
    </row>
    <row r="6068" spans="13:13" x14ac:dyDescent="0.25">
      <c r="M6068" s="21"/>
    </row>
    <row r="6069" spans="13:13" x14ac:dyDescent="0.25">
      <c r="M6069" s="21"/>
    </row>
    <row r="6070" spans="13:13" x14ac:dyDescent="0.25">
      <c r="M6070" s="21"/>
    </row>
    <row r="6071" spans="13:13" x14ac:dyDescent="0.25">
      <c r="M6071" s="21"/>
    </row>
    <row r="6072" spans="13:13" x14ac:dyDescent="0.25">
      <c r="M6072" s="21"/>
    </row>
    <row r="6073" spans="13:13" x14ac:dyDescent="0.25">
      <c r="M6073" s="21"/>
    </row>
    <row r="6074" spans="13:13" x14ac:dyDescent="0.25">
      <c r="M6074" s="21"/>
    </row>
    <row r="6075" spans="13:13" x14ac:dyDescent="0.25">
      <c r="M6075" s="21"/>
    </row>
    <row r="6076" spans="13:13" x14ac:dyDescent="0.25">
      <c r="M6076" s="21"/>
    </row>
    <row r="6077" spans="13:13" x14ac:dyDescent="0.25">
      <c r="M6077" s="21"/>
    </row>
    <row r="6078" spans="13:13" x14ac:dyDescent="0.25">
      <c r="M6078" s="21"/>
    </row>
    <row r="6079" spans="13:13" x14ac:dyDescent="0.25">
      <c r="M6079" s="21"/>
    </row>
    <row r="6080" spans="13:13" x14ac:dyDescent="0.25">
      <c r="M6080" s="21"/>
    </row>
    <row r="6081" spans="13:13" x14ac:dyDescent="0.25">
      <c r="M6081" s="21"/>
    </row>
    <row r="6082" spans="13:13" x14ac:dyDescent="0.25">
      <c r="M6082" s="21"/>
    </row>
    <row r="6083" spans="13:13" x14ac:dyDescent="0.25">
      <c r="M6083" s="21"/>
    </row>
    <row r="6084" spans="13:13" x14ac:dyDescent="0.25">
      <c r="M6084" s="21"/>
    </row>
    <row r="6085" spans="13:13" x14ac:dyDescent="0.25">
      <c r="M6085" s="21"/>
    </row>
    <row r="6086" spans="13:13" x14ac:dyDescent="0.25">
      <c r="M6086" s="21"/>
    </row>
    <row r="6087" spans="13:13" x14ac:dyDescent="0.25">
      <c r="M6087" s="21"/>
    </row>
    <row r="6088" spans="13:13" x14ac:dyDescent="0.25">
      <c r="M6088" s="21"/>
    </row>
    <row r="6089" spans="13:13" x14ac:dyDescent="0.25">
      <c r="M6089" s="21"/>
    </row>
    <row r="6090" spans="13:13" x14ac:dyDescent="0.25">
      <c r="M6090" s="21"/>
    </row>
    <row r="6091" spans="13:13" x14ac:dyDescent="0.25">
      <c r="M6091" s="21"/>
    </row>
    <row r="6092" spans="13:13" x14ac:dyDescent="0.25">
      <c r="M6092" s="21"/>
    </row>
    <row r="6093" spans="13:13" x14ac:dyDescent="0.25">
      <c r="M6093" s="21"/>
    </row>
    <row r="6094" spans="13:13" x14ac:dyDescent="0.25">
      <c r="M6094" s="21"/>
    </row>
    <row r="6095" spans="13:13" x14ac:dyDescent="0.25">
      <c r="M6095" s="21"/>
    </row>
    <row r="6096" spans="13:13" x14ac:dyDescent="0.25">
      <c r="M6096" s="21"/>
    </row>
    <row r="6097" spans="13:13" x14ac:dyDescent="0.25">
      <c r="M6097" s="21"/>
    </row>
    <row r="6098" spans="13:13" x14ac:dyDescent="0.25">
      <c r="M6098" s="21"/>
    </row>
    <row r="6099" spans="13:13" x14ac:dyDescent="0.25">
      <c r="M6099" s="21"/>
    </row>
    <row r="6100" spans="13:13" x14ac:dyDescent="0.25">
      <c r="M6100" s="21"/>
    </row>
    <row r="6101" spans="13:13" x14ac:dyDescent="0.25">
      <c r="M6101" s="21"/>
    </row>
    <row r="6102" spans="13:13" x14ac:dyDescent="0.25">
      <c r="M6102" s="21"/>
    </row>
    <row r="6103" spans="13:13" x14ac:dyDescent="0.25">
      <c r="M6103" s="21"/>
    </row>
    <row r="6104" spans="13:13" x14ac:dyDescent="0.25">
      <c r="M6104" s="21"/>
    </row>
    <row r="6105" spans="13:13" x14ac:dyDescent="0.25">
      <c r="M6105" s="21"/>
    </row>
    <row r="6106" spans="13:13" x14ac:dyDescent="0.25">
      <c r="M6106" s="21"/>
    </row>
    <row r="6107" spans="13:13" x14ac:dyDescent="0.25">
      <c r="M6107" s="21"/>
    </row>
    <row r="6108" spans="13:13" x14ac:dyDescent="0.25">
      <c r="M6108" s="21"/>
    </row>
    <row r="6109" spans="13:13" x14ac:dyDescent="0.25">
      <c r="M6109" s="21"/>
    </row>
    <row r="6110" spans="13:13" x14ac:dyDescent="0.25">
      <c r="M6110" s="21"/>
    </row>
    <row r="6111" spans="13:13" x14ac:dyDescent="0.25">
      <c r="M6111" s="21"/>
    </row>
    <row r="6112" spans="13:13" x14ac:dyDescent="0.25">
      <c r="M6112" s="21"/>
    </row>
    <row r="6113" spans="13:13" x14ac:dyDescent="0.25">
      <c r="M6113" s="21"/>
    </row>
    <row r="6114" spans="13:13" x14ac:dyDescent="0.25">
      <c r="M6114" s="21"/>
    </row>
    <row r="6115" spans="13:13" x14ac:dyDescent="0.25">
      <c r="M6115" s="21"/>
    </row>
    <row r="6116" spans="13:13" x14ac:dyDescent="0.25">
      <c r="M6116" s="21"/>
    </row>
    <row r="6117" spans="13:13" x14ac:dyDescent="0.25">
      <c r="M6117" s="21"/>
    </row>
    <row r="6118" spans="13:13" x14ac:dyDescent="0.25">
      <c r="M6118" s="21"/>
    </row>
    <row r="6119" spans="13:13" x14ac:dyDescent="0.25">
      <c r="M6119" s="21"/>
    </row>
    <row r="6120" spans="13:13" x14ac:dyDescent="0.25">
      <c r="M6120" s="21"/>
    </row>
    <row r="6121" spans="13:13" x14ac:dyDescent="0.25">
      <c r="M6121" s="21"/>
    </row>
    <row r="6122" spans="13:13" x14ac:dyDescent="0.25">
      <c r="M6122" s="21"/>
    </row>
    <row r="6123" spans="13:13" x14ac:dyDescent="0.25">
      <c r="M6123" s="21"/>
    </row>
    <row r="6124" spans="13:13" x14ac:dyDescent="0.25">
      <c r="M6124" s="21"/>
    </row>
    <row r="6125" spans="13:13" x14ac:dyDescent="0.25">
      <c r="M6125" s="21"/>
    </row>
    <row r="6126" spans="13:13" x14ac:dyDescent="0.25">
      <c r="M6126" s="21"/>
    </row>
    <row r="6127" spans="13:13" x14ac:dyDescent="0.25">
      <c r="M6127" s="21"/>
    </row>
    <row r="6128" spans="13:13" x14ac:dyDescent="0.25">
      <c r="M6128" s="21"/>
    </row>
    <row r="6129" spans="13:13" x14ac:dyDescent="0.25">
      <c r="M6129" s="21"/>
    </row>
    <row r="6130" spans="13:13" x14ac:dyDescent="0.25">
      <c r="M6130" s="21"/>
    </row>
    <row r="6131" spans="13:13" x14ac:dyDescent="0.25">
      <c r="M6131" s="21"/>
    </row>
    <row r="6132" spans="13:13" x14ac:dyDescent="0.25">
      <c r="M6132" s="21"/>
    </row>
    <row r="6133" spans="13:13" x14ac:dyDescent="0.25">
      <c r="M6133" s="21"/>
    </row>
    <row r="6134" spans="13:13" x14ac:dyDescent="0.25">
      <c r="M6134" s="21"/>
    </row>
    <row r="6135" spans="13:13" x14ac:dyDescent="0.25">
      <c r="M6135" s="21"/>
    </row>
    <row r="6136" spans="13:13" x14ac:dyDescent="0.25">
      <c r="M6136" s="21"/>
    </row>
    <row r="6137" spans="13:13" x14ac:dyDescent="0.25">
      <c r="M6137" s="21"/>
    </row>
    <row r="6138" spans="13:13" x14ac:dyDescent="0.25">
      <c r="M6138" s="21"/>
    </row>
    <row r="6139" spans="13:13" x14ac:dyDescent="0.25">
      <c r="M6139" s="21"/>
    </row>
    <row r="6140" spans="13:13" x14ac:dyDescent="0.25">
      <c r="M6140" s="21"/>
    </row>
    <row r="6141" spans="13:13" x14ac:dyDescent="0.25">
      <c r="M6141" s="21"/>
    </row>
    <row r="6142" spans="13:13" x14ac:dyDescent="0.25">
      <c r="M6142" s="21"/>
    </row>
    <row r="6143" spans="13:13" x14ac:dyDescent="0.25">
      <c r="M6143" s="21"/>
    </row>
    <row r="6144" spans="13:13" x14ac:dyDescent="0.25">
      <c r="M6144" s="21"/>
    </row>
    <row r="6145" spans="13:13" x14ac:dyDescent="0.25">
      <c r="M6145" s="21"/>
    </row>
    <row r="6146" spans="13:13" x14ac:dyDescent="0.25">
      <c r="M6146" s="21"/>
    </row>
    <row r="6147" spans="13:13" x14ac:dyDescent="0.25">
      <c r="M6147" s="21"/>
    </row>
    <row r="6148" spans="13:13" x14ac:dyDescent="0.25">
      <c r="M6148" s="21"/>
    </row>
    <row r="6149" spans="13:13" x14ac:dyDescent="0.25">
      <c r="M6149" s="21"/>
    </row>
    <row r="6150" spans="13:13" x14ac:dyDescent="0.25">
      <c r="M6150" s="21"/>
    </row>
    <row r="6151" spans="13:13" x14ac:dyDescent="0.25">
      <c r="M6151" s="21"/>
    </row>
    <row r="6152" spans="13:13" x14ac:dyDescent="0.25">
      <c r="M6152" s="21"/>
    </row>
    <row r="6153" spans="13:13" x14ac:dyDescent="0.25">
      <c r="M6153" s="21"/>
    </row>
    <row r="6154" spans="13:13" x14ac:dyDescent="0.25">
      <c r="M6154" s="21"/>
    </row>
    <row r="6155" spans="13:13" x14ac:dyDescent="0.25">
      <c r="M6155" s="21"/>
    </row>
    <row r="6156" spans="13:13" x14ac:dyDescent="0.25">
      <c r="M6156" s="21"/>
    </row>
    <row r="6157" spans="13:13" x14ac:dyDescent="0.25">
      <c r="M6157" s="21"/>
    </row>
    <row r="6158" spans="13:13" x14ac:dyDescent="0.25">
      <c r="M6158" s="21"/>
    </row>
    <row r="6159" spans="13:13" x14ac:dyDescent="0.25">
      <c r="M6159" s="21"/>
    </row>
    <row r="6160" spans="13:13" x14ac:dyDescent="0.25">
      <c r="M6160" s="21"/>
    </row>
    <row r="6161" spans="13:13" x14ac:dyDescent="0.25">
      <c r="M6161" s="21"/>
    </row>
    <row r="6162" spans="13:13" x14ac:dyDescent="0.25">
      <c r="M6162" s="21"/>
    </row>
    <row r="6163" spans="13:13" x14ac:dyDescent="0.25">
      <c r="M6163" s="21"/>
    </row>
    <row r="6164" spans="13:13" x14ac:dyDescent="0.25">
      <c r="M6164" s="21"/>
    </row>
    <row r="6165" spans="13:13" x14ac:dyDescent="0.25">
      <c r="M6165" s="21"/>
    </row>
    <row r="6166" spans="13:13" x14ac:dyDescent="0.25">
      <c r="M6166" s="21"/>
    </row>
    <row r="6167" spans="13:13" x14ac:dyDescent="0.25">
      <c r="M6167" s="21"/>
    </row>
    <row r="6168" spans="13:13" x14ac:dyDescent="0.25">
      <c r="M6168" s="21"/>
    </row>
    <row r="6169" spans="13:13" x14ac:dyDescent="0.25">
      <c r="M6169" s="21"/>
    </row>
    <row r="6170" spans="13:13" x14ac:dyDescent="0.25">
      <c r="M6170" s="21"/>
    </row>
    <row r="6171" spans="13:13" x14ac:dyDescent="0.25">
      <c r="M6171" s="21"/>
    </row>
    <row r="6172" spans="13:13" x14ac:dyDescent="0.25">
      <c r="M6172" s="21"/>
    </row>
    <row r="6173" spans="13:13" x14ac:dyDescent="0.25">
      <c r="M6173" s="21"/>
    </row>
    <row r="6174" spans="13:13" x14ac:dyDescent="0.25">
      <c r="M6174" s="21"/>
    </row>
    <row r="6175" spans="13:13" x14ac:dyDescent="0.25">
      <c r="M6175" s="21"/>
    </row>
    <row r="6176" spans="13:13" x14ac:dyDescent="0.25">
      <c r="M6176" s="21"/>
    </row>
    <row r="6177" spans="13:13" x14ac:dyDescent="0.25">
      <c r="M6177" s="21"/>
    </row>
    <row r="6178" spans="13:13" x14ac:dyDescent="0.25">
      <c r="M6178" s="21"/>
    </row>
    <row r="6179" spans="13:13" x14ac:dyDescent="0.25">
      <c r="M6179" s="21"/>
    </row>
    <row r="6180" spans="13:13" x14ac:dyDescent="0.25">
      <c r="M6180" s="21"/>
    </row>
    <row r="6181" spans="13:13" x14ac:dyDescent="0.25">
      <c r="M6181" s="21"/>
    </row>
    <row r="6182" spans="13:13" x14ac:dyDescent="0.25">
      <c r="M6182" s="21"/>
    </row>
    <row r="6183" spans="13:13" x14ac:dyDescent="0.25">
      <c r="M6183" s="21"/>
    </row>
    <row r="6184" spans="13:13" x14ac:dyDescent="0.25">
      <c r="M6184" s="21"/>
    </row>
    <row r="6185" spans="13:13" x14ac:dyDescent="0.25">
      <c r="M6185" s="21"/>
    </row>
    <row r="6186" spans="13:13" x14ac:dyDescent="0.25">
      <c r="M6186" s="21"/>
    </row>
    <row r="6187" spans="13:13" x14ac:dyDescent="0.25">
      <c r="M6187" s="21"/>
    </row>
    <row r="6188" spans="13:13" x14ac:dyDescent="0.25">
      <c r="M6188" s="21"/>
    </row>
    <row r="6189" spans="13:13" x14ac:dyDescent="0.25">
      <c r="M6189" s="21"/>
    </row>
    <row r="6190" spans="13:13" x14ac:dyDescent="0.25">
      <c r="M6190" s="21"/>
    </row>
    <row r="6191" spans="13:13" x14ac:dyDescent="0.25">
      <c r="M6191" s="21"/>
    </row>
    <row r="6192" spans="13:13" x14ac:dyDescent="0.25">
      <c r="M6192" s="21"/>
    </row>
    <row r="6193" spans="13:13" x14ac:dyDescent="0.25">
      <c r="M6193" s="21"/>
    </row>
    <row r="6194" spans="13:13" x14ac:dyDescent="0.25">
      <c r="M6194" s="21"/>
    </row>
    <row r="6195" spans="13:13" x14ac:dyDescent="0.25">
      <c r="M6195" s="21"/>
    </row>
    <row r="6196" spans="13:13" x14ac:dyDescent="0.25">
      <c r="M6196" s="21"/>
    </row>
    <row r="6197" spans="13:13" x14ac:dyDescent="0.25">
      <c r="M6197" s="21"/>
    </row>
    <row r="6198" spans="13:13" x14ac:dyDescent="0.25">
      <c r="M6198" s="21"/>
    </row>
    <row r="6199" spans="13:13" x14ac:dyDescent="0.25">
      <c r="M6199" s="21"/>
    </row>
    <row r="6200" spans="13:13" x14ac:dyDescent="0.25">
      <c r="M6200" s="21"/>
    </row>
    <row r="6201" spans="13:13" x14ac:dyDescent="0.25">
      <c r="M6201" s="21"/>
    </row>
    <row r="6202" spans="13:13" x14ac:dyDescent="0.25">
      <c r="M6202" s="21"/>
    </row>
    <row r="6203" spans="13:13" x14ac:dyDescent="0.25">
      <c r="M6203" s="21"/>
    </row>
    <row r="6204" spans="13:13" x14ac:dyDescent="0.25">
      <c r="M6204" s="21"/>
    </row>
    <row r="6205" spans="13:13" x14ac:dyDescent="0.25">
      <c r="M6205" s="21"/>
    </row>
    <row r="6206" spans="13:13" x14ac:dyDescent="0.25">
      <c r="M6206" s="21"/>
    </row>
    <row r="6207" spans="13:13" x14ac:dyDescent="0.25">
      <c r="M6207" s="21"/>
    </row>
    <row r="6208" spans="13:13" x14ac:dyDescent="0.25">
      <c r="M6208" s="21"/>
    </row>
    <row r="6209" spans="13:13" x14ac:dyDescent="0.25">
      <c r="M6209" s="21"/>
    </row>
    <row r="6210" spans="13:13" x14ac:dyDescent="0.25">
      <c r="M6210" s="21"/>
    </row>
    <row r="6211" spans="13:13" x14ac:dyDescent="0.25">
      <c r="M6211" s="21"/>
    </row>
    <row r="6212" spans="13:13" x14ac:dyDescent="0.25">
      <c r="M6212" s="21"/>
    </row>
    <row r="6213" spans="13:13" x14ac:dyDescent="0.25">
      <c r="M6213" s="21"/>
    </row>
    <row r="6214" spans="13:13" x14ac:dyDescent="0.25">
      <c r="M6214" s="21"/>
    </row>
    <row r="6215" spans="13:13" x14ac:dyDescent="0.25">
      <c r="M6215" s="21"/>
    </row>
    <row r="6216" spans="13:13" x14ac:dyDescent="0.25">
      <c r="M6216" s="21"/>
    </row>
    <row r="6217" spans="13:13" x14ac:dyDescent="0.25">
      <c r="M6217" s="21"/>
    </row>
    <row r="6218" spans="13:13" x14ac:dyDescent="0.25">
      <c r="M6218" s="21"/>
    </row>
    <row r="6219" spans="13:13" x14ac:dyDescent="0.25">
      <c r="M6219" s="21"/>
    </row>
    <row r="6220" spans="13:13" x14ac:dyDescent="0.25">
      <c r="M6220" s="21"/>
    </row>
    <row r="6221" spans="13:13" x14ac:dyDescent="0.25">
      <c r="M6221" s="21"/>
    </row>
    <row r="6222" spans="13:13" x14ac:dyDescent="0.25">
      <c r="M6222" s="21"/>
    </row>
    <row r="6223" spans="13:13" x14ac:dyDescent="0.25">
      <c r="M6223" s="21"/>
    </row>
    <row r="6224" spans="13:13" x14ac:dyDescent="0.25">
      <c r="M6224" s="21"/>
    </row>
    <row r="6225" spans="13:13" x14ac:dyDescent="0.25">
      <c r="M6225" s="21"/>
    </row>
    <row r="6226" spans="13:13" x14ac:dyDescent="0.25">
      <c r="M6226" s="21"/>
    </row>
    <row r="6227" spans="13:13" x14ac:dyDescent="0.25">
      <c r="M6227" s="21"/>
    </row>
    <row r="6228" spans="13:13" x14ac:dyDescent="0.25">
      <c r="M6228" s="21"/>
    </row>
    <row r="6229" spans="13:13" x14ac:dyDescent="0.25">
      <c r="M6229" s="21"/>
    </row>
    <row r="6230" spans="13:13" x14ac:dyDescent="0.25">
      <c r="M6230" s="21"/>
    </row>
    <row r="6231" spans="13:13" x14ac:dyDescent="0.25">
      <c r="M6231" s="21"/>
    </row>
    <row r="6232" spans="13:13" x14ac:dyDescent="0.25">
      <c r="M6232" s="21"/>
    </row>
    <row r="6233" spans="13:13" x14ac:dyDescent="0.25">
      <c r="M6233" s="21"/>
    </row>
    <row r="6234" spans="13:13" x14ac:dyDescent="0.25">
      <c r="M6234" s="21"/>
    </row>
    <row r="6235" spans="13:13" x14ac:dyDescent="0.25">
      <c r="M6235" s="21"/>
    </row>
    <row r="6236" spans="13:13" x14ac:dyDescent="0.25">
      <c r="M6236" s="21"/>
    </row>
    <row r="6237" spans="13:13" x14ac:dyDescent="0.25">
      <c r="M6237" s="21"/>
    </row>
    <row r="6238" spans="13:13" x14ac:dyDescent="0.25">
      <c r="M6238" s="21"/>
    </row>
    <row r="6239" spans="13:13" x14ac:dyDescent="0.25">
      <c r="M6239" s="21"/>
    </row>
    <row r="6240" spans="13:13" x14ac:dyDescent="0.25">
      <c r="M6240" s="21"/>
    </row>
    <row r="6241" spans="13:13" x14ac:dyDescent="0.25">
      <c r="M6241" s="21"/>
    </row>
    <row r="6242" spans="13:13" x14ac:dyDescent="0.25">
      <c r="M6242" s="21"/>
    </row>
    <row r="6243" spans="13:13" x14ac:dyDescent="0.25">
      <c r="M6243" s="21"/>
    </row>
    <row r="6244" spans="13:13" x14ac:dyDescent="0.25">
      <c r="M6244" s="21"/>
    </row>
    <row r="6245" spans="13:13" x14ac:dyDescent="0.25">
      <c r="M6245" s="21"/>
    </row>
    <row r="6246" spans="13:13" x14ac:dyDescent="0.25">
      <c r="M6246" s="21"/>
    </row>
    <row r="6247" spans="13:13" x14ac:dyDescent="0.25">
      <c r="M6247" s="21"/>
    </row>
    <row r="6248" spans="13:13" x14ac:dyDescent="0.25">
      <c r="M6248" s="21"/>
    </row>
    <row r="6249" spans="13:13" x14ac:dyDescent="0.25">
      <c r="M6249" s="21"/>
    </row>
    <row r="6250" spans="13:13" x14ac:dyDescent="0.25">
      <c r="M6250" s="21"/>
    </row>
    <row r="6251" spans="13:13" x14ac:dyDescent="0.25">
      <c r="M6251" s="21"/>
    </row>
    <row r="6252" spans="13:13" x14ac:dyDescent="0.25">
      <c r="M6252" s="21"/>
    </row>
    <row r="6253" spans="13:13" x14ac:dyDescent="0.25">
      <c r="M6253" s="21"/>
    </row>
    <row r="6254" spans="13:13" x14ac:dyDescent="0.25">
      <c r="M6254" s="21"/>
    </row>
    <row r="6255" spans="13:13" x14ac:dyDescent="0.25">
      <c r="M6255" s="21"/>
    </row>
    <row r="6256" spans="13:13" x14ac:dyDescent="0.25">
      <c r="M6256" s="21"/>
    </row>
    <row r="6257" spans="13:13" x14ac:dyDescent="0.25">
      <c r="M6257" s="21"/>
    </row>
    <row r="6258" spans="13:13" x14ac:dyDescent="0.25">
      <c r="M6258" s="21"/>
    </row>
    <row r="6259" spans="13:13" x14ac:dyDescent="0.25">
      <c r="M6259" s="21"/>
    </row>
    <row r="6260" spans="13:13" x14ac:dyDescent="0.25">
      <c r="M6260" s="21"/>
    </row>
    <row r="6261" spans="13:13" x14ac:dyDescent="0.25">
      <c r="M6261" s="21"/>
    </row>
    <row r="6262" spans="13:13" x14ac:dyDescent="0.25">
      <c r="M6262" s="21"/>
    </row>
    <row r="6263" spans="13:13" x14ac:dyDescent="0.25">
      <c r="M6263" s="21"/>
    </row>
    <row r="6264" spans="13:13" x14ac:dyDescent="0.25">
      <c r="M6264" s="21"/>
    </row>
    <row r="6265" spans="13:13" x14ac:dyDescent="0.25">
      <c r="M6265" s="21"/>
    </row>
    <row r="6266" spans="13:13" x14ac:dyDescent="0.25">
      <c r="M6266" s="21"/>
    </row>
    <row r="6267" spans="13:13" x14ac:dyDescent="0.25">
      <c r="M6267" s="21"/>
    </row>
    <row r="6268" spans="13:13" x14ac:dyDescent="0.25">
      <c r="M6268" s="21"/>
    </row>
    <row r="6269" spans="13:13" x14ac:dyDescent="0.25">
      <c r="M6269" s="21"/>
    </row>
    <row r="6270" spans="13:13" x14ac:dyDescent="0.25">
      <c r="M6270" s="21"/>
    </row>
    <row r="6271" spans="13:13" x14ac:dyDescent="0.25">
      <c r="M6271" s="21"/>
    </row>
    <row r="6272" spans="13:13" x14ac:dyDescent="0.25">
      <c r="M6272" s="21"/>
    </row>
    <row r="6273" spans="13:13" x14ac:dyDescent="0.25">
      <c r="M6273" s="21"/>
    </row>
    <row r="6274" spans="13:13" x14ac:dyDescent="0.25">
      <c r="M6274" s="21"/>
    </row>
    <row r="6275" spans="13:13" x14ac:dyDescent="0.25">
      <c r="M6275" s="21"/>
    </row>
    <row r="6276" spans="13:13" x14ac:dyDescent="0.25">
      <c r="M6276" s="21"/>
    </row>
    <row r="6277" spans="13:13" x14ac:dyDescent="0.25">
      <c r="M6277" s="21"/>
    </row>
    <row r="6278" spans="13:13" x14ac:dyDescent="0.25">
      <c r="M6278" s="21"/>
    </row>
    <row r="6279" spans="13:13" x14ac:dyDescent="0.25">
      <c r="M6279" s="21"/>
    </row>
    <row r="6280" spans="13:13" x14ac:dyDescent="0.25">
      <c r="M6280" s="21"/>
    </row>
    <row r="6281" spans="13:13" x14ac:dyDescent="0.25">
      <c r="M6281" s="21"/>
    </row>
    <row r="6282" spans="13:13" x14ac:dyDescent="0.25">
      <c r="M6282" s="21"/>
    </row>
    <row r="6283" spans="13:13" x14ac:dyDescent="0.25">
      <c r="M6283" s="21"/>
    </row>
    <row r="6284" spans="13:13" x14ac:dyDescent="0.25">
      <c r="M6284" s="21"/>
    </row>
    <row r="6285" spans="13:13" x14ac:dyDescent="0.25">
      <c r="M6285" s="21"/>
    </row>
    <row r="6286" spans="13:13" x14ac:dyDescent="0.25">
      <c r="M6286" s="21"/>
    </row>
    <row r="6287" spans="13:13" x14ac:dyDescent="0.25">
      <c r="M6287" s="21"/>
    </row>
    <row r="6288" spans="13:13" x14ac:dyDescent="0.25">
      <c r="M6288" s="21"/>
    </row>
    <row r="6289" spans="13:13" x14ac:dyDescent="0.25">
      <c r="M6289" s="21"/>
    </row>
    <row r="6290" spans="13:13" x14ac:dyDescent="0.25">
      <c r="M6290" s="21"/>
    </row>
    <row r="6291" spans="13:13" x14ac:dyDescent="0.25">
      <c r="M6291" s="21"/>
    </row>
    <row r="6292" spans="13:13" x14ac:dyDescent="0.25">
      <c r="M6292" s="21"/>
    </row>
    <row r="6293" spans="13:13" x14ac:dyDescent="0.25">
      <c r="M6293" s="21"/>
    </row>
    <row r="6294" spans="13:13" x14ac:dyDescent="0.25">
      <c r="M6294" s="21"/>
    </row>
    <row r="6295" spans="13:13" x14ac:dyDescent="0.25">
      <c r="M6295" s="21"/>
    </row>
    <row r="6296" spans="13:13" x14ac:dyDescent="0.25">
      <c r="M6296" s="21"/>
    </row>
    <row r="6297" spans="13:13" x14ac:dyDescent="0.25">
      <c r="M6297" s="21"/>
    </row>
    <row r="6298" spans="13:13" x14ac:dyDescent="0.25">
      <c r="M6298" s="21"/>
    </row>
    <row r="6299" spans="13:13" x14ac:dyDescent="0.25">
      <c r="M6299" s="21"/>
    </row>
    <row r="6300" spans="13:13" x14ac:dyDescent="0.25">
      <c r="M6300" s="21"/>
    </row>
    <row r="6301" spans="13:13" x14ac:dyDescent="0.25">
      <c r="M6301" s="21"/>
    </row>
    <row r="6302" spans="13:13" x14ac:dyDescent="0.25">
      <c r="M6302" s="21"/>
    </row>
    <row r="6303" spans="13:13" x14ac:dyDescent="0.25">
      <c r="M6303" s="21"/>
    </row>
    <row r="6304" spans="13:13" x14ac:dyDescent="0.25">
      <c r="M6304" s="21"/>
    </row>
    <row r="6305" spans="13:13" x14ac:dyDescent="0.25">
      <c r="M6305" s="21"/>
    </row>
    <row r="6306" spans="13:13" x14ac:dyDescent="0.25">
      <c r="M6306" s="21"/>
    </row>
    <row r="6307" spans="13:13" x14ac:dyDescent="0.25">
      <c r="M6307" s="21"/>
    </row>
    <row r="6308" spans="13:13" x14ac:dyDescent="0.25">
      <c r="M6308" s="21"/>
    </row>
    <row r="6309" spans="13:13" x14ac:dyDescent="0.25">
      <c r="M6309" s="21"/>
    </row>
    <row r="6310" spans="13:13" x14ac:dyDescent="0.25">
      <c r="M6310" s="21"/>
    </row>
    <row r="6311" spans="13:13" x14ac:dyDescent="0.25">
      <c r="M6311" s="21"/>
    </row>
    <row r="6312" spans="13:13" x14ac:dyDescent="0.25">
      <c r="M6312" s="21"/>
    </row>
    <row r="6313" spans="13:13" x14ac:dyDescent="0.25">
      <c r="M6313" s="21"/>
    </row>
    <row r="6314" spans="13:13" x14ac:dyDescent="0.25">
      <c r="M6314" s="21"/>
    </row>
    <row r="6315" spans="13:13" x14ac:dyDescent="0.25">
      <c r="M6315" s="21"/>
    </row>
    <row r="6316" spans="13:13" x14ac:dyDescent="0.25">
      <c r="M6316" s="21"/>
    </row>
    <row r="6317" spans="13:13" x14ac:dyDescent="0.25">
      <c r="M6317" s="21"/>
    </row>
    <row r="6318" spans="13:13" x14ac:dyDescent="0.25">
      <c r="M6318" s="21"/>
    </row>
    <row r="6319" spans="13:13" x14ac:dyDescent="0.25">
      <c r="M6319" s="21"/>
    </row>
    <row r="6320" spans="13:13" x14ac:dyDescent="0.25">
      <c r="M6320" s="21"/>
    </row>
    <row r="6321" spans="13:13" x14ac:dyDescent="0.25">
      <c r="M6321" s="21"/>
    </row>
    <row r="6322" spans="13:13" x14ac:dyDescent="0.25">
      <c r="M6322" s="21"/>
    </row>
    <row r="6323" spans="13:13" x14ac:dyDescent="0.25">
      <c r="M6323" s="21"/>
    </row>
    <row r="6324" spans="13:13" x14ac:dyDescent="0.25">
      <c r="M6324" s="21"/>
    </row>
    <row r="6325" spans="13:13" x14ac:dyDescent="0.25">
      <c r="M6325" s="21"/>
    </row>
    <row r="6326" spans="13:13" x14ac:dyDescent="0.25">
      <c r="M6326" s="21"/>
    </row>
    <row r="6327" spans="13:13" x14ac:dyDescent="0.25">
      <c r="M6327" s="21"/>
    </row>
    <row r="6328" spans="13:13" x14ac:dyDescent="0.25">
      <c r="M6328" s="21"/>
    </row>
    <row r="6329" spans="13:13" x14ac:dyDescent="0.25">
      <c r="M6329" s="21"/>
    </row>
    <row r="6330" spans="13:13" x14ac:dyDescent="0.25">
      <c r="M6330" s="21"/>
    </row>
    <row r="6331" spans="13:13" x14ac:dyDescent="0.25">
      <c r="M6331" s="21"/>
    </row>
    <row r="6332" spans="13:13" x14ac:dyDescent="0.25">
      <c r="M6332" s="21"/>
    </row>
    <row r="6333" spans="13:13" x14ac:dyDescent="0.25">
      <c r="M6333" s="21"/>
    </row>
    <row r="6334" spans="13:13" x14ac:dyDescent="0.25">
      <c r="M6334" s="21"/>
    </row>
    <row r="6335" spans="13:13" x14ac:dyDescent="0.25">
      <c r="M6335" s="21"/>
    </row>
    <row r="6336" spans="13:13" x14ac:dyDescent="0.25">
      <c r="M6336" s="21"/>
    </row>
    <row r="6337" spans="13:13" x14ac:dyDescent="0.25">
      <c r="M6337" s="21"/>
    </row>
    <row r="6338" spans="13:13" x14ac:dyDescent="0.25">
      <c r="M6338" s="21"/>
    </row>
    <row r="6339" spans="13:13" x14ac:dyDescent="0.25">
      <c r="M6339" s="21"/>
    </row>
    <row r="6340" spans="13:13" x14ac:dyDescent="0.25">
      <c r="M6340" s="21"/>
    </row>
    <row r="6341" spans="13:13" x14ac:dyDescent="0.25">
      <c r="M6341" s="21"/>
    </row>
    <row r="6342" spans="13:13" x14ac:dyDescent="0.25">
      <c r="M6342" s="21"/>
    </row>
    <row r="6343" spans="13:13" x14ac:dyDescent="0.25">
      <c r="M6343" s="21"/>
    </row>
    <row r="6344" spans="13:13" x14ac:dyDescent="0.25">
      <c r="M6344" s="21"/>
    </row>
    <row r="6345" spans="13:13" x14ac:dyDescent="0.25">
      <c r="M6345" s="21"/>
    </row>
    <row r="6346" spans="13:13" x14ac:dyDescent="0.25">
      <c r="M6346" s="21"/>
    </row>
    <row r="6347" spans="13:13" x14ac:dyDescent="0.25">
      <c r="M6347" s="21"/>
    </row>
    <row r="6348" spans="13:13" x14ac:dyDescent="0.25">
      <c r="M6348" s="21"/>
    </row>
    <row r="6349" spans="13:13" x14ac:dyDescent="0.25">
      <c r="M6349" s="21"/>
    </row>
    <row r="6350" spans="13:13" x14ac:dyDescent="0.25">
      <c r="M6350" s="21"/>
    </row>
    <row r="6351" spans="13:13" x14ac:dyDescent="0.25">
      <c r="M6351" s="21"/>
    </row>
    <row r="6352" spans="13:13" x14ac:dyDescent="0.25">
      <c r="M6352" s="21"/>
    </row>
    <row r="6353" spans="13:13" x14ac:dyDescent="0.25">
      <c r="M6353" s="21"/>
    </row>
    <row r="6354" spans="13:13" x14ac:dyDescent="0.25">
      <c r="M6354" s="21"/>
    </row>
    <row r="6355" spans="13:13" x14ac:dyDescent="0.25">
      <c r="M6355" s="21"/>
    </row>
    <row r="6356" spans="13:13" x14ac:dyDescent="0.25">
      <c r="M6356" s="21"/>
    </row>
    <row r="6357" spans="13:13" x14ac:dyDescent="0.25">
      <c r="M6357" s="21"/>
    </row>
    <row r="6358" spans="13:13" x14ac:dyDescent="0.25">
      <c r="M6358" s="21"/>
    </row>
    <row r="6359" spans="13:13" x14ac:dyDescent="0.25">
      <c r="M6359" s="21"/>
    </row>
    <row r="6360" spans="13:13" x14ac:dyDescent="0.25">
      <c r="M6360" s="21"/>
    </row>
    <row r="6361" spans="13:13" x14ac:dyDescent="0.25">
      <c r="M6361" s="21"/>
    </row>
    <row r="6362" spans="13:13" x14ac:dyDescent="0.25">
      <c r="M6362" s="21"/>
    </row>
    <row r="6363" spans="13:13" x14ac:dyDescent="0.25">
      <c r="M6363" s="21"/>
    </row>
    <row r="6364" spans="13:13" x14ac:dyDescent="0.25">
      <c r="M6364" s="21"/>
    </row>
    <row r="6365" spans="13:13" x14ac:dyDescent="0.25">
      <c r="M6365" s="21"/>
    </row>
    <row r="6366" spans="13:13" x14ac:dyDescent="0.25">
      <c r="M6366" s="21"/>
    </row>
    <row r="6367" spans="13:13" x14ac:dyDescent="0.25">
      <c r="M6367" s="21"/>
    </row>
    <row r="6368" spans="13:13" x14ac:dyDescent="0.25">
      <c r="M6368" s="21"/>
    </row>
    <row r="6369" spans="13:13" x14ac:dyDescent="0.25">
      <c r="M6369" s="21"/>
    </row>
    <row r="6370" spans="13:13" x14ac:dyDescent="0.25">
      <c r="M6370" s="21"/>
    </row>
    <row r="6371" spans="13:13" x14ac:dyDescent="0.25">
      <c r="M6371" s="21"/>
    </row>
    <row r="6372" spans="13:13" x14ac:dyDescent="0.25">
      <c r="M6372" s="21"/>
    </row>
    <row r="6373" spans="13:13" x14ac:dyDescent="0.25">
      <c r="M6373" s="21"/>
    </row>
    <row r="6374" spans="13:13" x14ac:dyDescent="0.25">
      <c r="M6374" s="21"/>
    </row>
    <row r="6375" spans="13:13" x14ac:dyDescent="0.25">
      <c r="M6375" s="21"/>
    </row>
    <row r="6376" spans="13:13" x14ac:dyDescent="0.25">
      <c r="M6376" s="21"/>
    </row>
    <row r="6377" spans="13:13" x14ac:dyDescent="0.25">
      <c r="M6377" s="21"/>
    </row>
    <row r="6378" spans="13:13" x14ac:dyDescent="0.25">
      <c r="M6378" s="21"/>
    </row>
    <row r="6379" spans="13:13" x14ac:dyDescent="0.25">
      <c r="M6379" s="21"/>
    </row>
    <row r="6380" spans="13:13" x14ac:dyDescent="0.25">
      <c r="M6380" s="21"/>
    </row>
    <row r="6381" spans="13:13" x14ac:dyDescent="0.25">
      <c r="M6381" s="21"/>
    </row>
    <row r="6382" spans="13:13" x14ac:dyDescent="0.25">
      <c r="M6382" s="21"/>
    </row>
    <row r="6383" spans="13:13" x14ac:dyDescent="0.25">
      <c r="M6383" s="21"/>
    </row>
    <row r="6384" spans="13:13" x14ac:dyDescent="0.25">
      <c r="M6384" s="21"/>
    </row>
    <row r="6385" spans="13:13" x14ac:dyDescent="0.25">
      <c r="M6385" s="21"/>
    </row>
    <row r="6386" spans="13:13" x14ac:dyDescent="0.25">
      <c r="M6386" s="21"/>
    </row>
    <row r="6387" spans="13:13" x14ac:dyDescent="0.25">
      <c r="M6387" s="21"/>
    </row>
    <row r="6388" spans="13:13" x14ac:dyDescent="0.25">
      <c r="M6388" s="21"/>
    </row>
    <row r="6389" spans="13:13" x14ac:dyDescent="0.25">
      <c r="M6389" s="21"/>
    </row>
    <row r="6390" spans="13:13" x14ac:dyDescent="0.25">
      <c r="M6390" s="21"/>
    </row>
    <row r="6391" spans="13:13" x14ac:dyDescent="0.25">
      <c r="M6391" s="21"/>
    </row>
    <row r="6392" spans="13:13" x14ac:dyDescent="0.25">
      <c r="M6392" s="21"/>
    </row>
    <row r="6393" spans="13:13" x14ac:dyDescent="0.25">
      <c r="M6393" s="21"/>
    </row>
    <row r="6394" spans="13:13" x14ac:dyDescent="0.25">
      <c r="M6394" s="21"/>
    </row>
    <row r="6395" spans="13:13" x14ac:dyDescent="0.25">
      <c r="M6395" s="21"/>
    </row>
    <row r="6396" spans="13:13" x14ac:dyDescent="0.25">
      <c r="M6396" s="21"/>
    </row>
    <row r="6397" spans="13:13" x14ac:dyDescent="0.25">
      <c r="M6397" s="21"/>
    </row>
    <row r="6398" spans="13:13" x14ac:dyDescent="0.25">
      <c r="M6398" s="21"/>
    </row>
    <row r="6399" spans="13:13" x14ac:dyDescent="0.25">
      <c r="M6399" s="21"/>
    </row>
    <row r="6400" spans="13:13" x14ac:dyDescent="0.25">
      <c r="M6400" s="21"/>
    </row>
    <row r="6401" spans="13:13" x14ac:dyDescent="0.25">
      <c r="M6401" s="21"/>
    </row>
    <row r="6402" spans="13:13" x14ac:dyDescent="0.25">
      <c r="M6402" s="21"/>
    </row>
    <row r="6403" spans="13:13" x14ac:dyDescent="0.25">
      <c r="M6403" s="21"/>
    </row>
    <row r="6404" spans="13:13" x14ac:dyDescent="0.25">
      <c r="M6404" s="21"/>
    </row>
    <row r="6405" spans="13:13" x14ac:dyDescent="0.25">
      <c r="M6405" s="21"/>
    </row>
    <row r="6406" spans="13:13" x14ac:dyDescent="0.25">
      <c r="M6406" s="21"/>
    </row>
    <row r="6407" spans="13:13" x14ac:dyDescent="0.25">
      <c r="M6407" s="21"/>
    </row>
    <row r="6408" spans="13:13" x14ac:dyDescent="0.25">
      <c r="M6408" s="21"/>
    </row>
    <row r="6409" spans="13:13" x14ac:dyDescent="0.25">
      <c r="M6409" s="21"/>
    </row>
    <row r="6410" spans="13:13" x14ac:dyDescent="0.25">
      <c r="M6410" s="21"/>
    </row>
    <row r="6411" spans="13:13" x14ac:dyDescent="0.25">
      <c r="M6411" s="21"/>
    </row>
    <row r="6412" spans="13:13" x14ac:dyDescent="0.25">
      <c r="M6412" s="21"/>
    </row>
    <row r="6413" spans="13:13" x14ac:dyDescent="0.25">
      <c r="M6413" s="21"/>
    </row>
    <row r="6414" spans="13:13" x14ac:dyDescent="0.25">
      <c r="M6414" s="21"/>
    </row>
    <row r="6415" spans="13:13" x14ac:dyDescent="0.25">
      <c r="M6415" s="21"/>
    </row>
    <row r="6416" spans="13:13" x14ac:dyDescent="0.25">
      <c r="M6416" s="21"/>
    </row>
    <row r="6417" spans="13:13" x14ac:dyDescent="0.25">
      <c r="M6417" s="21"/>
    </row>
    <row r="6418" spans="13:13" x14ac:dyDescent="0.25">
      <c r="M6418" s="21"/>
    </row>
    <row r="6419" spans="13:13" x14ac:dyDescent="0.25">
      <c r="M6419" s="21"/>
    </row>
    <row r="6420" spans="13:13" x14ac:dyDescent="0.25">
      <c r="M6420" s="21"/>
    </row>
    <row r="6421" spans="13:13" x14ac:dyDescent="0.25">
      <c r="M6421" s="21"/>
    </row>
    <row r="6422" spans="13:13" x14ac:dyDescent="0.25">
      <c r="M6422" s="21"/>
    </row>
    <row r="6423" spans="13:13" x14ac:dyDescent="0.25">
      <c r="M6423" s="21"/>
    </row>
    <row r="6424" spans="13:13" x14ac:dyDescent="0.25">
      <c r="M6424" s="21"/>
    </row>
    <row r="6425" spans="13:13" x14ac:dyDescent="0.25">
      <c r="M6425" s="21"/>
    </row>
    <row r="6426" spans="13:13" x14ac:dyDescent="0.25">
      <c r="M6426" s="21"/>
    </row>
    <row r="6427" spans="13:13" x14ac:dyDescent="0.25">
      <c r="M6427" s="21"/>
    </row>
    <row r="6428" spans="13:13" x14ac:dyDescent="0.25">
      <c r="M6428" s="21"/>
    </row>
    <row r="6429" spans="13:13" x14ac:dyDescent="0.25">
      <c r="M6429" s="21"/>
    </row>
    <row r="6430" spans="13:13" x14ac:dyDescent="0.25">
      <c r="M6430" s="21"/>
    </row>
    <row r="6431" spans="13:13" x14ac:dyDescent="0.25">
      <c r="M6431" s="21"/>
    </row>
    <row r="6432" spans="13:13" x14ac:dyDescent="0.25">
      <c r="M6432" s="21"/>
    </row>
    <row r="6433" spans="13:13" x14ac:dyDescent="0.25">
      <c r="M6433" s="21"/>
    </row>
    <row r="6434" spans="13:13" x14ac:dyDescent="0.25">
      <c r="M6434" s="21"/>
    </row>
    <row r="6435" spans="13:13" x14ac:dyDescent="0.25">
      <c r="M6435" s="21"/>
    </row>
    <row r="6436" spans="13:13" x14ac:dyDescent="0.25">
      <c r="M6436" s="21"/>
    </row>
    <row r="6437" spans="13:13" x14ac:dyDescent="0.25">
      <c r="M6437" s="21"/>
    </row>
    <row r="6438" spans="13:13" x14ac:dyDescent="0.25">
      <c r="M6438" s="21"/>
    </row>
    <row r="6439" spans="13:13" x14ac:dyDescent="0.25">
      <c r="M6439" s="21"/>
    </row>
    <row r="6440" spans="13:13" x14ac:dyDescent="0.25">
      <c r="M6440" s="21"/>
    </row>
    <row r="6441" spans="13:13" x14ac:dyDescent="0.25">
      <c r="M6441" s="21"/>
    </row>
    <row r="6442" spans="13:13" x14ac:dyDescent="0.25">
      <c r="M6442" s="21"/>
    </row>
    <row r="6443" spans="13:13" x14ac:dyDescent="0.25">
      <c r="M6443" s="21"/>
    </row>
    <row r="6444" spans="13:13" x14ac:dyDescent="0.25">
      <c r="M6444" s="21"/>
    </row>
    <row r="6445" spans="13:13" x14ac:dyDescent="0.25">
      <c r="M6445" s="21"/>
    </row>
    <row r="6446" spans="13:13" x14ac:dyDescent="0.25">
      <c r="M6446" s="21"/>
    </row>
    <row r="6447" spans="13:13" x14ac:dyDescent="0.25">
      <c r="M6447" s="21"/>
    </row>
    <row r="6448" spans="13:13" x14ac:dyDescent="0.25">
      <c r="M6448" s="21"/>
    </row>
    <row r="6449" spans="13:13" x14ac:dyDescent="0.25">
      <c r="M6449" s="21"/>
    </row>
    <row r="6450" spans="13:13" x14ac:dyDescent="0.25">
      <c r="M6450" s="21"/>
    </row>
    <row r="6451" spans="13:13" x14ac:dyDescent="0.25">
      <c r="M6451" s="21"/>
    </row>
    <row r="6452" spans="13:13" x14ac:dyDescent="0.25">
      <c r="M6452" s="21"/>
    </row>
    <row r="6453" spans="13:13" x14ac:dyDescent="0.25">
      <c r="M6453" s="21"/>
    </row>
    <row r="6454" spans="13:13" x14ac:dyDescent="0.25">
      <c r="M6454" s="21"/>
    </row>
    <row r="6455" spans="13:13" x14ac:dyDescent="0.25">
      <c r="M6455" s="21"/>
    </row>
    <row r="6456" spans="13:13" x14ac:dyDescent="0.25">
      <c r="M6456" s="21"/>
    </row>
    <row r="6457" spans="13:13" x14ac:dyDescent="0.25">
      <c r="M6457" s="21"/>
    </row>
    <row r="6458" spans="13:13" x14ac:dyDescent="0.25">
      <c r="M6458" s="21"/>
    </row>
    <row r="6459" spans="13:13" x14ac:dyDescent="0.25">
      <c r="M6459" s="21"/>
    </row>
    <row r="6460" spans="13:13" x14ac:dyDescent="0.25">
      <c r="M6460" s="21"/>
    </row>
    <row r="6461" spans="13:13" x14ac:dyDescent="0.25">
      <c r="M6461" s="21"/>
    </row>
    <row r="6462" spans="13:13" x14ac:dyDescent="0.25">
      <c r="M6462" s="21"/>
    </row>
    <row r="6463" spans="13:13" x14ac:dyDescent="0.25">
      <c r="M6463" s="21"/>
    </row>
    <row r="6464" spans="13:13" x14ac:dyDescent="0.25">
      <c r="M6464" s="21"/>
    </row>
    <row r="6465" spans="13:13" x14ac:dyDescent="0.25">
      <c r="M6465" s="21"/>
    </row>
    <row r="6466" spans="13:13" x14ac:dyDescent="0.25">
      <c r="M6466" s="21"/>
    </row>
    <row r="6467" spans="13:13" x14ac:dyDescent="0.25">
      <c r="M6467" s="21"/>
    </row>
    <row r="6468" spans="13:13" x14ac:dyDescent="0.25">
      <c r="M6468" s="21"/>
    </row>
    <row r="6469" spans="13:13" x14ac:dyDescent="0.25">
      <c r="M6469" s="21"/>
    </row>
    <row r="6470" spans="13:13" x14ac:dyDescent="0.25">
      <c r="M6470" s="21"/>
    </row>
    <row r="6471" spans="13:13" x14ac:dyDescent="0.25">
      <c r="M6471" s="21"/>
    </row>
    <row r="6472" spans="13:13" x14ac:dyDescent="0.25">
      <c r="M6472" s="21"/>
    </row>
    <row r="6473" spans="13:13" x14ac:dyDescent="0.25">
      <c r="M6473" s="21"/>
    </row>
    <row r="6474" spans="13:13" x14ac:dyDescent="0.25">
      <c r="M6474" s="21"/>
    </row>
    <row r="6475" spans="13:13" x14ac:dyDescent="0.25">
      <c r="M6475" s="21"/>
    </row>
    <row r="6476" spans="13:13" x14ac:dyDescent="0.25">
      <c r="M6476" s="21"/>
    </row>
    <row r="6477" spans="13:13" x14ac:dyDescent="0.25">
      <c r="M6477" s="21"/>
    </row>
    <row r="6478" spans="13:13" x14ac:dyDescent="0.25">
      <c r="M6478" s="21"/>
    </row>
    <row r="6479" spans="13:13" x14ac:dyDescent="0.25">
      <c r="M6479" s="21"/>
    </row>
    <row r="6480" spans="13:13" x14ac:dyDescent="0.25">
      <c r="M6480" s="21"/>
    </row>
    <row r="6481" spans="13:13" x14ac:dyDescent="0.25">
      <c r="M6481" s="21"/>
    </row>
    <row r="6482" spans="13:13" x14ac:dyDescent="0.25">
      <c r="M6482" s="21"/>
    </row>
    <row r="6483" spans="13:13" x14ac:dyDescent="0.25">
      <c r="M6483" s="21"/>
    </row>
    <row r="6484" spans="13:13" x14ac:dyDescent="0.25">
      <c r="M6484" s="21"/>
    </row>
    <row r="6485" spans="13:13" x14ac:dyDescent="0.25">
      <c r="M6485" s="21"/>
    </row>
    <row r="6486" spans="13:13" x14ac:dyDescent="0.25">
      <c r="M6486" s="21"/>
    </row>
    <row r="6487" spans="13:13" x14ac:dyDescent="0.25">
      <c r="M6487" s="21"/>
    </row>
    <row r="6488" spans="13:13" x14ac:dyDescent="0.25">
      <c r="M6488" s="21"/>
    </row>
    <row r="6489" spans="13:13" x14ac:dyDescent="0.25">
      <c r="M6489" s="21"/>
    </row>
    <row r="6490" spans="13:13" x14ac:dyDescent="0.25">
      <c r="M6490" s="21"/>
    </row>
    <row r="6491" spans="13:13" x14ac:dyDescent="0.25">
      <c r="M6491" s="21"/>
    </row>
    <row r="6492" spans="13:13" x14ac:dyDescent="0.25">
      <c r="M6492" s="21"/>
    </row>
    <row r="6493" spans="13:13" x14ac:dyDescent="0.25">
      <c r="M6493" s="21"/>
    </row>
    <row r="6494" spans="13:13" x14ac:dyDescent="0.25">
      <c r="M6494" s="21"/>
    </row>
    <row r="6495" spans="13:13" x14ac:dyDescent="0.25">
      <c r="M6495" s="21"/>
    </row>
    <row r="6496" spans="13:13" x14ac:dyDescent="0.25">
      <c r="M6496" s="21"/>
    </row>
    <row r="6497" spans="13:13" x14ac:dyDescent="0.25">
      <c r="M6497" s="21"/>
    </row>
    <row r="6498" spans="13:13" x14ac:dyDescent="0.25">
      <c r="M6498" s="21"/>
    </row>
    <row r="6499" spans="13:13" x14ac:dyDescent="0.25">
      <c r="M6499" s="21"/>
    </row>
    <row r="6500" spans="13:13" x14ac:dyDescent="0.25">
      <c r="M6500" s="21"/>
    </row>
    <row r="6501" spans="13:13" x14ac:dyDescent="0.25">
      <c r="M6501" s="21"/>
    </row>
    <row r="6502" spans="13:13" x14ac:dyDescent="0.25">
      <c r="M6502" s="21"/>
    </row>
    <row r="6503" spans="13:13" x14ac:dyDescent="0.25">
      <c r="M6503" s="21"/>
    </row>
    <row r="6504" spans="13:13" x14ac:dyDescent="0.25">
      <c r="M6504" s="21"/>
    </row>
    <row r="6505" spans="13:13" x14ac:dyDescent="0.25">
      <c r="M6505" s="21"/>
    </row>
    <row r="6506" spans="13:13" x14ac:dyDescent="0.25">
      <c r="M6506" s="21"/>
    </row>
    <row r="6507" spans="13:13" x14ac:dyDescent="0.25">
      <c r="M6507" s="21"/>
    </row>
    <row r="6508" spans="13:13" x14ac:dyDescent="0.25">
      <c r="M6508" s="21"/>
    </row>
    <row r="6509" spans="13:13" x14ac:dyDescent="0.25">
      <c r="M6509" s="21"/>
    </row>
    <row r="6510" spans="13:13" x14ac:dyDescent="0.25">
      <c r="M6510" s="21"/>
    </row>
    <row r="6511" spans="13:13" x14ac:dyDescent="0.25">
      <c r="M6511" s="21"/>
    </row>
    <row r="6512" spans="13:13" x14ac:dyDescent="0.25">
      <c r="M6512" s="21"/>
    </row>
    <row r="6513" spans="13:13" x14ac:dyDescent="0.25">
      <c r="M6513" s="21"/>
    </row>
    <row r="6514" spans="13:13" x14ac:dyDescent="0.25">
      <c r="M6514" s="21"/>
    </row>
    <row r="6515" spans="13:13" x14ac:dyDescent="0.25">
      <c r="M6515" s="21"/>
    </row>
    <row r="6516" spans="13:13" x14ac:dyDescent="0.25">
      <c r="M6516" s="21"/>
    </row>
    <row r="6517" spans="13:13" x14ac:dyDescent="0.25">
      <c r="M6517" s="21"/>
    </row>
    <row r="6518" spans="13:13" x14ac:dyDescent="0.25">
      <c r="M6518" s="21"/>
    </row>
    <row r="6519" spans="13:13" x14ac:dyDescent="0.25">
      <c r="M6519" s="21"/>
    </row>
    <row r="6520" spans="13:13" x14ac:dyDescent="0.25">
      <c r="M6520" s="21"/>
    </row>
    <row r="6521" spans="13:13" x14ac:dyDescent="0.25">
      <c r="M6521" s="21"/>
    </row>
    <row r="6522" spans="13:13" x14ac:dyDescent="0.25">
      <c r="M6522" s="21"/>
    </row>
    <row r="6523" spans="13:13" x14ac:dyDescent="0.25">
      <c r="M6523" s="21"/>
    </row>
    <row r="6524" spans="13:13" x14ac:dyDescent="0.25">
      <c r="M6524" s="21"/>
    </row>
    <row r="6525" spans="13:13" x14ac:dyDescent="0.25">
      <c r="M6525" s="21"/>
    </row>
    <row r="6526" spans="13:13" x14ac:dyDescent="0.25">
      <c r="M6526" s="21"/>
    </row>
    <row r="6527" spans="13:13" x14ac:dyDescent="0.25">
      <c r="M6527" s="21"/>
    </row>
    <row r="6528" spans="13:13" x14ac:dyDescent="0.25">
      <c r="M6528" s="21"/>
    </row>
    <row r="6529" spans="13:13" x14ac:dyDescent="0.25">
      <c r="M6529" s="21"/>
    </row>
    <row r="6530" spans="13:13" x14ac:dyDescent="0.25">
      <c r="M6530" s="21"/>
    </row>
    <row r="6531" spans="13:13" x14ac:dyDescent="0.25">
      <c r="M6531" s="21"/>
    </row>
    <row r="6532" spans="13:13" x14ac:dyDescent="0.25">
      <c r="M6532" s="21"/>
    </row>
    <row r="6533" spans="13:13" x14ac:dyDescent="0.25">
      <c r="M6533" s="21"/>
    </row>
    <row r="6534" spans="13:13" x14ac:dyDescent="0.25">
      <c r="M6534" s="21"/>
    </row>
    <row r="6535" spans="13:13" x14ac:dyDescent="0.25">
      <c r="M6535" s="21"/>
    </row>
    <row r="6536" spans="13:13" x14ac:dyDescent="0.25">
      <c r="M6536" s="21"/>
    </row>
    <row r="6537" spans="13:13" x14ac:dyDescent="0.25">
      <c r="M6537" s="21"/>
    </row>
    <row r="6538" spans="13:13" x14ac:dyDescent="0.25">
      <c r="M6538" s="21"/>
    </row>
    <row r="6539" spans="13:13" x14ac:dyDescent="0.25">
      <c r="M6539" s="21"/>
    </row>
    <row r="6540" spans="13:13" x14ac:dyDescent="0.25">
      <c r="M6540" s="21"/>
    </row>
    <row r="6541" spans="13:13" x14ac:dyDescent="0.25">
      <c r="M6541" s="21"/>
    </row>
    <row r="6542" spans="13:13" x14ac:dyDescent="0.25">
      <c r="M6542" s="21"/>
    </row>
    <row r="6543" spans="13:13" x14ac:dyDescent="0.25">
      <c r="M6543" s="21"/>
    </row>
    <row r="6544" spans="13:13" x14ac:dyDescent="0.25">
      <c r="M6544" s="21"/>
    </row>
    <row r="6545" spans="13:13" x14ac:dyDescent="0.25">
      <c r="M6545" s="21"/>
    </row>
    <row r="6546" spans="13:13" x14ac:dyDescent="0.25">
      <c r="M6546" s="21"/>
    </row>
    <row r="6547" spans="13:13" x14ac:dyDescent="0.25">
      <c r="M6547" s="21"/>
    </row>
    <row r="6548" spans="13:13" x14ac:dyDescent="0.25">
      <c r="M6548" s="21"/>
    </row>
    <row r="6549" spans="13:13" x14ac:dyDescent="0.25">
      <c r="M6549" s="21"/>
    </row>
    <row r="6550" spans="13:13" x14ac:dyDescent="0.25">
      <c r="M6550" s="21"/>
    </row>
    <row r="6551" spans="13:13" x14ac:dyDescent="0.25">
      <c r="M6551" s="21"/>
    </row>
    <row r="6552" spans="13:13" x14ac:dyDescent="0.25">
      <c r="M6552" s="21"/>
    </row>
    <row r="6553" spans="13:13" x14ac:dyDescent="0.25">
      <c r="M6553" s="21"/>
    </row>
    <row r="6554" spans="13:13" x14ac:dyDescent="0.25">
      <c r="M6554" s="21"/>
    </row>
    <row r="6555" spans="13:13" x14ac:dyDescent="0.25">
      <c r="M6555" s="21"/>
    </row>
    <row r="6556" spans="13:13" x14ac:dyDescent="0.25">
      <c r="M6556" s="21"/>
    </row>
    <row r="6557" spans="13:13" x14ac:dyDescent="0.25">
      <c r="M6557" s="21"/>
    </row>
    <row r="6558" spans="13:13" x14ac:dyDescent="0.25">
      <c r="M6558" s="21"/>
    </row>
    <row r="6559" spans="13:13" x14ac:dyDescent="0.25">
      <c r="M6559" s="21"/>
    </row>
    <row r="6560" spans="13:13" x14ac:dyDescent="0.25">
      <c r="M6560" s="21"/>
    </row>
    <row r="6561" spans="13:13" x14ac:dyDescent="0.25">
      <c r="M6561" s="21"/>
    </row>
    <row r="6562" spans="13:13" x14ac:dyDescent="0.25">
      <c r="M6562" s="21"/>
    </row>
    <row r="6563" spans="13:13" x14ac:dyDescent="0.25">
      <c r="M6563" s="21"/>
    </row>
    <row r="6564" spans="13:13" x14ac:dyDescent="0.25">
      <c r="M6564" s="21"/>
    </row>
    <row r="6565" spans="13:13" x14ac:dyDescent="0.25">
      <c r="M6565" s="21"/>
    </row>
    <row r="6566" spans="13:13" x14ac:dyDescent="0.25">
      <c r="M6566" s="21"/>
    </row>
    <row r="6567" spans="13:13" x14ac:dyDescent="0.25">
      <c r="M6567" s="21"/>
    </row>
    <row r="6568" spans="13:13" x14ac:dyDescent="0.25">
      <c r="M6568" s="21"/>
    </row>
    <row r="6569" spans="13:13" x14ac:dyDescent="0.25">
      <c r="M6569" s="21"/>
    </row>
    <row r="6570" spans="13:13" x14ac:dyDescent="0.25">
      <c r="M6570" s="21"/>
    </row>
    <row r="6571" spans="13:13" x14ac:dyDescent="0.25">
      <c r="M6571" s="21"/>
    </row>
    <row r="6572" spans="13:13" x14ac:dyDescent="0.25">
      <c r="M6572" s="21"/>
    </row>
    <row r="6573" spans="13:13" x14ac:dyDescent="0.25">
      <c r="M6573" s="21"/>
    </row>
    <row r="6574" spans="13:13" x14ac:dyDescent="0.25">
      <c r="M6574" s="21"/>
    </row>
    <row r="6575" spans="13:13" x14ac:dyDescent="0.25">
      <c r="M6575" s="21"/>
    </row>
    <row r="6576" spans="13:13" x14ac:dyDescent="0.25">
      <c r="M6576" s="21"/>
    </row>
    <row r="6577" spans="13:13" x14ac:dyDescent="0.25">
      <c r="M6577" s="21"/>
    </row>
    <row r="6578" spans="13:13" x14ac:dyDescent="0.25">
      <c r="M6578" s="21"/>
    </row>
    <row r="6579" spans="13:13" x14ac:dyDescent="0.25">
      <c r="M6579" s="21"/>
    </row>
    <row r="6580" spans="13:13" x14ac:dyDescent="0.25">
      <c r="M6580" s="21"/>
    </row>
    <row r="6581" spans="13:13" x14ac:dyDescent="0.25">
      <c r="M6581" s="21"/>
    </row>
    <row r="6582" spans="13:13" x14ac:dyDescent="0.25">
      <c r="M6582" s="21"/>
    </row>
    <row r="6583" spans="13:13" x14ac:dyDescent="0.25">
      <c r="M6583" s="21"/>
    </row>
    <row r="6584" spans="13:13" x14ac:dyDescent="0.25">
      <c r="M6584" s="21"/>
    </row>
    <row r="6585" spans="13:13" x14ac:dyDescent="0.25">
      <c r="M6585" s="21"/>
    </row>
    <row r="6586" spans="13:13" x14ac:dyDescent="0.25">
      <c r="M6586" s="21"/>
    </row>
    <row r="6587" spans="13:13" x14ac:dyDescent="0.25">
      <c r="M6587" s="21"/>
    </row>
    <row r="6588" spans="13:13" x14ac:dyDescent="0.25">
      <c r="M6588" s="21"/>
    </row>
    <row r="6589" spans="13:13" x14ac:dyDescent="0.25">
      <c r="M6589" s="21"/>
    </row>
    <row r="6590" spans="13:13" x14ac:dyDescent="0.25">
      <c r="M6590" s="21"/>
    </row>
    <row r="6591" spans="13:13" x14ac:dyDescent="0.25">
      <c r="M6591" s="21"/>
    </row>
    <row r="6592" spans="13:13" x14ac:dyDescent="0.25">
      <c r="M6592" s="21"/>
    </row>
    <row r="6593" spans="13:13" x14ac:dyDescent="0.25">
      <c r="M6593" s="21"/>
    </row>
    <row r="6594" spans="13:13" x14ac:dyDescent="0.25">
      <c r="M6594" s="21"/>
    </row>
    <row r="6595" spans="13:13" x14ac:dyDescent="0.25">
      <c r="M6595" s="21"/>
    </row>
    <row r="6596" spans="13:13" x14ac:dyDescent="0.25">
      <c r="M6596" s="21"/>
    </row>
    <row r="6597" spans="13:13" x14ac:dyDescent="0.25">
      <c r="M6597" s="21"/>
    </row>
    <row r="6598" spans="13:13" x14ac:dyDescent="0.25">
      <c r="M6598" s="21"/>
    </row>
    <row r="6599" spans="13:13" x14ac:dyDescent="0.25">
      <c r="M6599" s="21"/>
    </row>
    <row r="6600" spans="13:13" x14ac:dyDescent="0.25">
      <c r="M6600" s="21"/>
    </row>
    <row r="6601" spans="13:13" x14ac:dyDescent="0.25">
      <c r="M6601" s="21"/>
    </row>
    <row r="6602" spans="13:13" x14ac:dyDescent="0.25">
      <c r="M6602" s="21"/>
    </row>
    <row r="6603" spans="13:13" x14ac:dyDescent="0.25">
      <c r="M6603" s="21"/>
    </row>
    <row r="6604" spans="13:13" x14ac:dyDescent="0.25">
      <c r="M6604" s="21"/>
    </row>
    <row r="6605" spans="13:13" x14ac:dyDescent="0.25">
      <c r="M6605" s="21"/>
    </row>
    <row r="6606" spans="13:13" x14ac:dyDescent="0.25">
      <c r="M6606" s="21"/>
    </row>
    <row r="6607" spans="13:13" x14ac:dyDescent="0.25">
      <c r="M6607" s="21"/>
    </row>
    <row r="6608" spans="13:13" x14ac:dyDescent="0.25">
      <c r="M6608" s="21"/>
    </row>
    <row r="6609" spans="13:13" x14ac:dyDescent="0.25">
      <c r="M6609" s="21"/>
    </row>
    <row r="6610" spans="13:13" x14ac:dyDescent="0.25">
      <c r="M6610" s="21"/>
    </row>
    <row r="6611" spans="13:13" x14ac:dyDescent="0.25">
      <c r="M6611" s="21"/>
    </row>
    <row r="6612" spans="13:13" x14ac:dyDescent="0.25">
      <c r="M6612" s="21"/>
    </row>
    <row r="6613" spans="13:13" x14ac:dyDescent="0.25">
      <c r="M6613" s="21"/>
    </row>
    <row r="6614" spans="13:13" x14ac:dyDescent="0.25">
      <c r="M6614" s="21"/>
    </row>
    <row r="6615" spans="13:13" x14ac:dyDescent="0.25">
      <c r="M6615" s="21"/>
    </row>
    <row r="6616" spans="13:13" x14ac:dyDescent="0.25">
      <c r="M6616" s="21"/>
    </row>
    <row r="6617" spans="13:13" x14ac:dyDescent="0.25">
      <c r="M6617" s="21"/>
    </row>
    <row r="6618" spans="13:13" x14ac:dyDescent="0.25">
      <c r="M6618" s="21"/>
    </row>
    <row r="6619" spans="13:13" x14ac:dyDescent="0.25">
      <c r="M6619" s="21"/>
    </row>
    <row r="6620" spans="13:13" x14ac:dyDescent="0.25">
      <c r="M6620" s="21"/>
    </row>
    <row r="6621" spans="13:13" x14ac:dyDescent="0.25">
      <c r="M6621" s="21"/>
    </row>
    <row r="6622" spans="13:13" x14ac:dyDescent="0.25">
      <c r="M6622" s="21"/>
    </row>
    <row r="6623" spans="13:13" x14ac:dyDescent="0.25">
      <c r="M6623" s="21"/>
    </row>
    <row r="6624" spans="13:13" x14ac:dyDescent="0.25">
      <c r="M6624" s="21"/>
    </row>
    <row r="6625" spans="13:13" x14ac:dyDescent="0.25">
      <c r="M6625" s="21"/>
    </row>
    <row r="6626" spans="13:13" x14ac:dyDescent="0.25">
      <c r="M6626" s="21"/>
    </row>
    <row r="6627" spans="13:13" x14ac:dyDescent="0.25">
      <c r="M6627" s="21"/>
    </row>
    <row r="6628" spans="13:13" x14ac:dyDescent="0.25">
      <c r="M6628" s="21"/>
    </row>
    <row r="6629" spans="13:13" x14ac:dyDescent="0.25">
      <c r="M6629" s="21"/>
    </row>
    <row r="6630" spans="13:13" x14ac:dyDescent="0.25">
      <c r="M6630" s="21"/>
    </row>
    <row r="6631" spans="13:13" x14ac:dyDescent="0.25">
      <c r="M6631" s="21"/>
    </row>
    <row r="6632" spans="13:13" x14ac:dyDescent="0.25">
      <c r="M6632" s="21"/>
    </row>
    <row r="6633" spans="13:13" x14ac:dyDescent="0.25">
      <c r="M6633" s="21"/>
    </row>
    <row r="6634" spans="13:13" x14ac:dyDescent="0.25">
      <c r="M6634" s="21"/>
    </row>
    <row r="6635" spans="13:13" x14ac:dyDescent="0.25">
      <c r="M6635" s="21"/>
    </row>
    <row r="6636" spans="13:13" x14ac:dyDescent="0.25">
      <c r="M6636" s="21"/>
    </row>
    <row r="6637" spans="13:13" x14ac:dyDescent="0.25">
      <c r="M6637" s="21"/>
    </row>
    <row r="6638" spans="13:13" x14ac:dyDescent="0.25">
      <c r="M6638" s="21"/>
    </row>
    <row r="6639" spans="13:13" x14ac:dyDescent="0.25">
      <c r="M6639" s="21"/>
    </row>
    <row r="6640" spans="13:13" x14ac:dyDescent="0.25">
      <c r="M6640" s="21"/>
    </row>
    <row r="6641" spans="13:13" x14ac:dyDescent="0.25">
      <c r="M6641" s="21"/>
    </row>
    <row r="6642" spans="13:13" x14ac:dyDescent="0.25">
      <c r="M6642" s="21"/>
    </row>
    <row r="6643" spans="13:13" x14ac:dyDescent="0.25">
      <c r="M6643" s="21"/>
    </row>
    <row r="6644" spans="13:13" x14ac:dyDescent="0.25">
      <c r="M6644" s="21"/>
    </row>
    <row r="6645" spans="13:13" x14ac:dyDescent="0.25">
      <c r="M6645" s="21"/>
    </row>
    <row r="6646" spans="13:13" x14ac:dyDescent="0.25">
      <c r="M6646" s="21"/>
    </row>
    <row r="6647" spans="13:13" x14ac:dyDescent="0.25">
      <c r="M6647" s="21"/>
    </row>
    <row r="6648" spans="13:13" x14ac:dyDescent="0.25">
      <c r="M6648" s="21"/>
    </row>
    <row r="6649" spans="13:13" x14ac:dyDescent="0.25">
      <c r="M6649" s="21"/>
    </row>
    <row r="6650" spans="13:13" x14ac:dyDescent="0.25">
      <c r="M6650" s="21"/>
    </row>
    <row r="6651" spans="13:13" x14ac:dyDescent="0.25">
      <c r="M6651" s="21"/>
    </row>
    <row r="6652" spans="13:13" x14ac:dyDescent="0.25">
      <c r="M6652" s="21"/>
    </row>
    <row r="6653" spans="13:13" x14ac:dyDescent="0.25">
      <c r="M6653" s="21"/>
    </row>
    <row r="6654" spans="13:13" x14ac:dyDescent="0.25">
      <c r="M6654" s="21"/>
    </row>
    <row r="6655" spans="13:13" x14ac:dyDescent="0.25">
      <c r="M6655" s="21"/>
    </row>
    <row r="6656" spans="13:13" x14ac:dyDescent="0.25">
      <c r="M6656" s="21"/>
    </row>
    <row r="6657" spans="13:13" x14ac:dyDescent="0.25">
      <c r="M6657" s="21"/>
    </row>
    <row r="6658" spans="13:13" x14ac:dyDescent="0.25">
      <c r="M6658" s="21"/>
    </row>
    <row r="6659" spans="13:13" x14ac:dyDescent="0.25">
      <c r="M6659" s="21"/>
    </row>
    <row r="6660" spans="13:13" x14ac:dyDescent="0.25">
      <c r="M6660" s="21"/>
    </row>
    <row r="6661" spans="13:13" x14ac:dyDescent="0.25">
      <c r="M6661" s="21"/>
    </row>
    <row r="6662" spans="13:13" x14ac:dyDescent="0.25">
      <c r="M6662" s="21"/>
    </row>
    <row r="6663" spans="13:13" x14ac:dyDescent="0.25">
      <c r="M6663" s="21"/>
    </row>
    <row r="6664" spans="13:13" x14ac:dyDescent="0.25">
      <c r="M6664" s="21"/>
    </row>
    <row r="6665" spans="13:13" x14ac:dyDescent="0.25">
      <c r="M6665" s="21"/>
    </row>
    <row r="6666" spans="13:13" x14ac:dyDescent="0.25">
      <c r="M6666" s="21"/>
    </row>
    <row r="6667" spans="13:13" x14ac:dyDescent="0.25">
      <c r="M6667" s="21"/>
    </row>
    <row r="6668" spans="13:13" x14ac:dyDescent="0.25">
      <c r="M6668" s="21"/>
    </row>
    <row r="6669" spans="13:13" x14ac:dyDescent="0.25">
      <c r="M6669" s="21"/>
    </row>
    <row r="6670" spans="13:13" x14ac:dyDescent="0.25">
      <c r="M6670" s="21"/>
    </row>
    <row r="6671" spans="13:13" x14ac:dyDescent="0.25">
      <c r="M6671" s="21"/>
    </row>
    <row r="6672" spans="13:13" x14ac:dyDescent="0.25">
      <c r="M6672" s="21"/>
    </row>
    <row r="6673" spans="13:13" x14ac:dyDescent="0.25">
      <c r="M6673" s="21"/>
    </row>
    <row r="6674" spans="13:13" x14ac:dyDescent="0.25">
      <c r="M6674" s="21"/>
    </row>
    <row r="6675" spans="13:13" x14ac:dyDescent="0.25">
      <c r="M6675" s="21"/>
    </row>
    <row r="6676" spans="13:13" x14ac:dyDescent="0.25">
      <c r="M6676" s="21"/>
    </row>
    <row r="6677" spans="13:13" x14ac:dyDescent="0.25">
      <c r="M6677" s="21"/>
    </row>
    <row r="6678" spans="13:13" x14ac:dyDescent="0.25">
      <c r="M6678" s="21"/>
    </row>
    <row r="6679" spans="13:13" x14ac:dyDescent="0.25">
      <c r="M6679" s="21"/>
    </row>
    <row r="6680" spans="13:13" x14ac:dyDescent="0.25">
      <c r="M6680" s="21"/>
    </row>
    <row r="6681" spans="13:13" x14ac:dyDescent="0.25">
      <c r="M6681" s="21"/>
    </row>
    <row r="6682" spans="13:13" x14ac:dyDescent="0.25">
      <c r="M6682" s="21"/>
    </row>
    <row r="6683" spans="13:13" x14ac:dyDescent="0.25">
      <c r="M6683" s="21"/>
    </row>
    <row r="6684" spans="13:13" x14ac:dyDescent="0.25">
      <c r="M6684" s="21"/>
    </row>
    <row r="6685" spans="13:13" x14ac:dyDescent="0.25">
      <c r="M6685" s="21"/>
    </row>
    <row r="6686" spans="13:13" x14ac:dyDescent="0.25">
      <c r="M6686" s="21"/>
    </row>
    <row r="6687" spans="13:13" x14ac:dyDescent="0.25">
      <c r="M6687" s="21"/>
    </row>
    <row r="6688" spans="13:13" x14ac:dyDescent="0.25">
      <c r="M6688" s="21"/>
    </row>
    <row r="6689" spans="13:13" x14ac:dyDescent="0.25">
      <c r="M6689" s="21"/>
    </row>
    <row r="6690" spans="13:13" x14ac:dyDescent="0.25">
      <c r="M6690" s="21"/>
    </row>
    <row r="6691" spans="13:13" x14ac:dyDescent="0.25">
      <c r="M6691" s="21"/>
    </row>
    <row r="6692" spans="13:13" x14ac:dyDescent="0.25">
      <c r="M6692" s="21"/>
    </row>
    <row r="6693" spans="13:13" x14ac:dyDescent="0.25">
      <c r="M6693" s="21"/>
    </row>
    <row r="6694" spans="13:13" x14ac:dyDescent="0.25">
      <c r="M6694" s="21"/>
    </row>
    <row r="6695" spans="13:13" x14ac:dyDescent="0.25">
      <c r="M6695" s="21"/>
    </row>
    <row r="6696" spans="13:13" x14ac:dyDescent="0.25">
      <c r="M6696" s="21"/>
    </row>
    <row r="6697" spans="13:13" x14ac:dyDescent="0.25">
      <c r="M6697" s="21"/>
    </row>
    <row r="6698" spans="13:13" x14ac:dyDescent="0.25">
      <c r="M6698" s="21"/>
    </row>
    <row r="6699" spans="13:13" x14ac:dyDescent="0.25">
      <c r="M6699" s="21"/>
    </row>
    <row r="6700" spans="13:13" x14ac:dyDescent="0.25">
      <c r="M6700" s="21"/>
    </row>
    <row r="6701" spans="13:13" x14ac:dyDescent="0.25">
      <c r="M6701" s="21"/>
    </row>
    <row r="6702" spans="13:13" x14ac:dyDescent="0.25">
      <c r="M6702" s="21"/>
    </row>
    <row r="6703" spans="13:13" x14ac:dyDescent="0.25">
      <c r="M6703" s="21"/>
    </row>
    <row r="6704" spans="13:13" x14ac:dyDescent="0.25">
      <c r="M6704" s="21"/>
    </row>
    <row r="6705" spans="13:13" x14ac:dyDescent="0.25">
      <c r="M6705" s="21"/>
    </row>
    <row r="6706" spans="13:13" x14ac:dyDescent="0.25">
      <c r="M6706" s="21"/>
    </row>
    <row r="6707" spans="13:13" x14ac:dyDescent="0.25">
      <c r="M6707" s="21"/>
    </row>
    <row r="6708" spans="13:13" x14ac:dyDescent="0.25">
      <c r="M6708" s="21"/>
    </row>
    <row r="6709" spans="13:13" x14ac:dyDescent="0.25">
      <c r="M6709" s="21"/>
    </row>
    <row r="6710" spans="13:13" x14ac:dyDescent="0.25">
      <c r="M6710" s="21"/>
    </row>
    <row r="6711" spans="13:13" x14ac:dyDescent="0.25">
      <c r="M6711" s="21"/>
    </row>
    <row r="6712" spans="13:13" x14ac:dyDescent="0.25">
      <c r="M6712" s="21"/>
    </row>
    <row r="6713" spans="13:13" x14ac:dyDescent="0.25">
      <c r="M6713" s="21"/>
    </row>
    <row r="6714" spans="13:13" x14ac:dyDescent="0.25">
      <c r="M6714" s="21"/>
    </row>
    <row r="6715" spans="13:13" x14ac:dyDescent="0.25">
      <c r="M6715" s="21"/>
    </row>
    <row r="6716" spans="13:13" x14ac:dyDescent="0.25">
      <c r="M6716" s="21"/>
    </row>
    <row r="6717" spans="13:13" x14ac:dyDescent="0.25">
      <c r="M6717" s="21"/>
    </row>
    <row r="6718" spans="13:13" x14ac:dyDescent="0.25">
      <c r="M6718" s="21"/>
    </row>
    <row r="6719" spans="13:13" x14ac:dyDescent="0.25">
      <c r="M6719" s="21"/>
    </row>
    <row r="6720" spans="13:13" x14ac:dyDescent="0.25">
      <c r="M6720" s="21"/>
    </row>
    <row r="6721" spans="13:13" x14ac:dyDescent="0.25">
      <c r="M6721" s="21"/>
    </row>
    <row r="6722" spans="13:13" x14ac:dyDescent="0.25">
      <c r="M6722" s="21"/>
    </row>
    <row r="6723" spans="13:13" x14ac:dyDescent="0.25">
      <c r="M6723" s="21"/>
    </row>
    <row r="6724" spans="13:13" x14ac:dyDescent="0.25">
      <c r="M6724" s="21"/>
    </row>
    <row r="6725" spans="13:13" x14ac:dyDescent="0.25">
      <c r="M6725" s="21"/>
    </row>
    <row r="6726" spans="13:13" x14ac:dyDescent="0.25">
      <c r="M6726" s="21"/>
    </row>
    <row r="6727" spans="13:13" x14ac:dyDescent="0.25">
      <c r="M6727" s="21"/>
    </row>
    <row r="6728" spans="13:13" x14ac:dyDescent="0.25">
      <c r="M6728" s="21"/>
    </row>
    <row r="6729" spans="13:13" x14ac:dyDescent="0.25">
      <c r="M6729" s="21"/>
    </row>
    <row r="6730" spans="13:13" x14ac:dyDescent="0.25">
      <c r="M6730" s="21"/>
    </row>
    <row r="6731" spans="13:13" x14ac:dyDescent="0.25">
      <c r="M6731" s="21"/>
    </row>
    <row r="6732" spans="13:13" x14ac:dyDescent="0.25">
      <c r="M6732" s="21"/>
    </row>
    <row r="6733" spans="13:13" x14ac:dyDescent="0.25">
      <c r="M6733" s="21"/>
    </row>
    <row r="6734" spans="13:13" x14ac:dyDescent="0.25">
      <c r="M6734" s="21"/>
    </row>
    <row r="6735" spans="13:13" x14ac:dyDescent="0.25">
      <c r="M6735" s="21"/>
    </row>
    <row r="6736" spans="13:13" x14ac:dyDescent="0.25">
      <c r="M6736" s="21"/>
    </row>
    <row r="6737" spans="13:13" x14ac:dyDescent="0.25">
      <c r="M6737" s="21"/>
    </row>
    <row r="6738" spans="13:13" x14ac:dyDescent="0.25">
      <c r="M6738" s="21"/>
    </row>
    <row r="6739" spans="13:13" x14ac:dyDescent="0.25">
      <c r="M6739" s="21"/>
    </row>
    <row r="6740" spans="13:13" x14ac:dyDescent="0.25">
      <c r="M6740" s="21"/>
    </row>
    <row r="6741" spans="13:13" x14ac:dyDescent="0.25">
      <c r="M6741" s="21"/>
    </row>
    <row r="6742" spans="13:13" x14ac:dyDescent="0.25">
      <c r="M6742" s="21"/>
    </row>
    <row r="6743" spans="13:13" x14ac:dyDescent="0.25">
      <c r="M6743" s="21"/>
    </row>
    <row r="6744" spans="13:13" x14ac:dyDescent="0.25">
      <c r="M6744" s="21"/>
    </row>
    <row r="6745" spans="13:13" x14ac:dyDescent="0.25">
      <c r="M6745" s="21"/>
    </row>
    <row r="6746" spans="13:13" x14ac:dyDescent="0.25">
      <c r="M6746" s="21"/>
    </row>
    <row r="6747" spans="13:13" x14ac:dyDescent="0.25">
      <c r="M6747" s="21"/>
    </row>
    <row r="6748" spans="13:13" x14ac:dyDescent="0.25">
      <c r="M6748" s="21"/>
    </row>
    <row r="6749" spans="13:13" x14ac:dyDescent="0.25">
      <c r="M6749" s="21"/>
    </row>
    <row r="6750" spans="13:13" x14ac:dyDescent="0.25">
      <c r="M6750" s="21"/>
    </row>
    <row r="6751" spans="13:13" x14ac:dyDescent="0.25">
      <c r="M6751" s="21"/>
    </row>
    <row r="6752" spans="13:13" x14ac:dyDescent="0.25">
      <c r="M6752" s="21"/>
    </row>
    <row r="6753" spans="13:13" x14ac:dyDescent="0.25">
      <c r="M6753" s="21"/>
    </row>
    <row r="6754" spans="13:13" x14ac:dyDescent="0.25">
      <c r="M6754" s="21"/>
    </row>
    <row r="6755" spans="13:13" x14ac:dyDescent="0.25">
      <c r="M6755" s="21"/>
    </row>
    <row r="6756" spans="13:13" x14ac:dyDescent="0.25">
      <c r="M6756" s="21"/>
    </row>
    <row r="6757" spans="13:13" x14ac:dyDescent="0.25">
      <c r="M6757" s="21"/>
    </row>
    <row r="6758" spans="13:13" x14ac:dyDescent="0.25">
      <c r="M6758" s="21"/>
    </row>
    <row r="6759" spans="13:13" x14ac:dyDescent="0.25">
      <c r="M6759" s="21"/>
    </row>
    <row r="6760" spans="13:13" x14ac:dyDescent="0.25">
      <c r="M6760" s="21"/>
    </row>
    <row r="6761" spans="13:13" x14ac:dyDescent="0.25">
      <c r="M6761" s="21"/>
    </row>
    <row r="6762" spans="13:13" x14ac:dyDescent="0.25">
      <c r="M6762" s="21"/>
    </row>
    <row r="6763" spans="13:13" x14ac:dyDescent="0.25">
      <c r="M6763" s="21"/>
    </row>
    <row r="6764" spans="13:13" x14ac:dyDescent="0.25">
      <c r="M6764" s="21"/>
    </row>
    <row r="6765" spans="13:13" x14ac:dyDescent="0.25">
      <c r="M6765" s="21"/>
    </row>
    <row r="6766" spans="13:13" x14ac:dyDescent="0.25">
      <c r="M6766" s="21"/>
    </row>
    <row r="6767" spans="13:13" x14ac:dyDescent="0.25">
      <c r="M6767" s="21"/>
    </row>
    <row r="6768" spans="13:13" x14ac:dyDescent="0.25">
      <c r="M6768" s="21"/>
    </row>
    <row r="6769" spans="13:13" x14ac:dyDescent="0.25">
      <c r="M6769" s="21"/>
    </row>
    <row r="6770" spans="13:13" x14ac:dyDescent="0.25">
      <c r="M6770" s="21"/>
    </row>
    <row r="6771" spans="13:13" x14ac:dyDescent="0.25">
      <c r="M6771" s="21"/>
    </row>
    <row r="6772" spans="13:13" x14ac:dyDescent="0.25">
      <c r="M6772" s="21"/>
    </row>
    <row r="6773" spans="13:13" x14ac:dyDescent="0.25">
      <c r="M6773" s="21"/>
    </row>
    <row r="6774" spans="13:13" x14ac:dyDescent="0.25">
      <c r="M6774" s="21"/>
    </row>
    <row r="6775" spans="13:13" x14ac:dyDescent="0.25">
      <c r="M6775" s="21"/>
    </row>
    <row r="6776" spans="13:13" x14ac:dyDescent="0.25">
      <c r="M6776" s="21"/>
    </row>
    <row r="6777" spans="13:13" x14ac:dyDescent="0.25">
      <c r="M6777" s="21"/>
    </row>
    <row r="6778" spans="13:13" x14ac:dyDescent="0.25">
      <c r="M6778" s="21"/>
    </row>
    <row r="6779" spans="13:13" x14ac:dyDescent="0.25">
      <c r="M6779" s="21"/>
    </row>
    <row r="6780" spans="13:13" x14ac:dyDescent="0.25">
      <c r="M6780" s="21"/>
    </row>
    <row r="6781" spans="13:13" x14ac:dyDescent="0.25">
      <c r="M6781" s="21"/>
    </row>
    <row r="6782" spans="13:13" x14ac:dyDescent="0.25">
      <c r="M6782" s="21"/>
    </row>
    <row r="6783" spans="13:13" x14ac:dyDescent="0.25">
      <c r="M6783" s="21"/>
    </row>
    <row r="6784" spans="13:13" x14ac:dyDescent="0.25">
      <c r="M6784" s="21"/>
    </row>
    <row r="6785" spans="13:13" x14ac:dyDescent="0.25">
      <c r="M6785" s="21"/>
    </row>
    <row r="6786" spans="13:13" x14ac:dyDescent="0.25">
      <c r="M6786" s="21"/>
    </row>
    <row r="6787" spans="13:13" x14ac:dyDescent="0.25">
      <c r="M6787" s="21"/>
    </row>
    <row r="6788" spans="13:13" x14ac:dyDescent="0.25">
      <c r="M6788" s="21"/>
    </row>
    <row r="6789" spans="13:13" x14ac:dyDescent="0.25">
      <c r="M6789" s="21"/>
    </row>
    <row r="6790" spans="13:13" x14ac:dyDescent="0.25">
      <c r="M6790" s="21"/>
    </row>
    <row r="6791" spans="13:13" x14ac:dyDescent="0.25">
      <c r="M6791" s="21"/>
    </row>
    <row r="6792" spans="13:13" x14ac:dyDescent="0.25">
      <c r="M6792" s="21"/>
    </row>
    <row r="6793" spans="13:13" x14ac:dyDescent="0.25">
      <c r="M6793" s="21"/>
    </row>
    <row r="6794" spans="13:13" x14ac:dyDescent="0.25">
      <c r="M6794" s="21"/>
    </row>
    <row r="6795" spans="13:13" x14ac:dyDescent="0.25">
      <c r="M6795" s="21"/>
    </row>
    <row r="6796" spans="13:13" x14ac:dyDescent="0.25">
      <c r="M6796" s="21"/>
    </row>
    <row r="6797" spans="13:13" x14ac:dyDescent="0.25">
      <c r="M6797" s="21"/>
    </row>
    <row r="6798" spans="13:13" x14ac:dyDescent="0.25">
      <c r="M6798" s="21"/>
    </row>
    <row r="6799" spans="13:13" x14ac:dyDescent="0.25">
      <c r="M6799" s="21"/>
    </row>
    <row r="6800" spans="13:13" x14ac:dyDescent="0.25">
      <c r="M6800" s="21"/>
    </row>
    <row r="6801" spans="13:13" x14ac:dyDescent="0.25">
      <c r="M6801" s="21"/>
    </row>
    <row r="6802" spans="13:13" x14ac:dyDescent="0.25">
      <c r="M6802" s="21"/>
    </row>
    <row r="6803" spans="13:13" x14ac:dyDescent="0.25">
      <c r="M6803" s="21"/>
    </row>
    <row r="6804" spans="13:13" x14ac:dyDescent="0.25">
      <c r="M6804" s="21"/>
    </row>
    <row r="6805" spans="13:13" x14ac:dyDescent="0.25">
      <c r="M6805" s="21"/>
    </row>
    <row r="6806" spans="13:13" x14ac:dyDescent="0.25">
      <c r="M6806" s="21"/>
    </row>
    <row r="6807" spans="13:13" x14ac:dyDescent="0.25">
      <c r="M6807" s="21"/>
    </row>
    <row r="6808" spans="13:13" x14ac:dyDescent="0.25">
      <c r="M6808" s="21"/>
    </row>
    <row r="6809" spans="13:13" x14ac:dyDescent="0.25">
      <c r="M6809" s="21"/>
    </row>
    <row r="6810" spans="13:13" x14ac:dyDescent="0.25">
      <c r="M6810" s="21"/>
    </row>
    <row r="6811" spans="13:13" x14ac:dyDescent="0.25">
      <c r="M6811" s="21"/>
    </row>
    <row r="6812" spans="13:13" x14ac:dyDescent="0.25">
      <c r="M6812" s="21"/>
    </row>
    <row r="6813" spans="13:13" x14ac:dyDescent="0.25">
      <c r="M6813" s="21"/>
    </row>
    <row r="6814" spans="13:13" x14ac:dyDescent="0.25">
      <c r="M6814" s="21"/>
    </row>
    <row r="6815" spans="13:13" x14ac:dyDescent="0.25">
      <c r="M6815" s="21"/>
    </row>
    <row r="6816" spans="13:13" x14ac:dyDescent="0.25">
      <c r="M6816" s="21"/>
    </row>
    <row r="6817" spans="13:13" x14ac:dyDescent="0.25">
      <c r="M6817" s="21"/>
    </row>
    <row r="6818" spans="13:13" x14ac:dyDescent="0.25">
      <c r="M6818" s="21"/>
    </row>
    <row r="6819" spans="13:13" x14ac:dyDescent="0.25">
      <c r="M6819" s="21"/>
    </row>
    <row r="6820" spans="13:13" x14ac:dyDescent="0.25">
      <c r="M6820" s="21"/>
    </row>
    <row r="6821" spans="13:13" x14ac:dyDescent="0.25">
      <c r="M6821" s="21"/>
    </row>
    <row r="6822" spans="13:13" x14ac:dyDescent="0.25">
      <c r="M6822" s="21"/>
    </row>
    <row r="6823" spans="13:13" x14ac:dyDescent="0.25">
      <c r="M6823" s="21"/>
    </row>
    <row r="6824" spans="13:13" x14ac:dyDescent="0.25">
      <c r="M6824" s="21"/>
    </row>
    <row r="6825" spans="13:13" x14ac:dyDescent="0.25">
      <c r="M6825" s="21"/>
    </row>
    <row r="6826" spans="13:13" x14ac:dyDescent="0.25">
      <c r="M6826" s="21"/>
    </row>
    <row r="6827" spans="13:13" x14ac:dyDescent="0.25">
      <c r="M6827" s="21"/>
    </row>
    <row r="6828" spans="13:13" x14ac:dyDescent="0.25">
      <c r="M6828" s="21"/>
    </row>
    <row r="6829" spans="13:13" x14ac:dyDescent="0.25">
      <c r="M6829" s="21"/>
    </row>
    <row r="6830" spans="13:13" x14ac:dyDescent="0.25">
      <c r="M6830" s="21"/>
    </row>
    <row r="6831" spans="13:13" x14ac:dyDescent="0.25">
      <c r="M6831" s="21"/>
    </row>
    <row r="6832" spans="13:13" x14ac:dyDescent="0.25">
      <c r="M6832" s="21"/>
    </row>
    <row r="6833" spans="13:13" x14ac:dyDescent="0.25">
      <c r="M6833" s="21"/>
    </row>
    <row r="6834" spans="13:13" x14ac:dyDescent="0.25">
      <c r="M6834" s="21"/>
    </row>
    <row r="6835" spans="13:13" x14ac:dyDescent="0.25">
      <c r="M6835" s="21"/>
    </row>
    <row r="6836" spans="13:13" x14ac:dyDescent="0.25">
      <c r="M6836" s="21"/>
    </row>
    <row r="6837" spans="13:13" x14ac:dyDescent="0.25">
      <c r="M6837" s="21"/>
    </row>
    <row r="6838" spans="13:13" x14ac:dyDescent="0.25">
      <c r="M6838" s="21"/>
    </row>
    <row r="6839" spans="13:13" x14ac:dyDescent="0.25">
      <c r="M6839" s="21"/>
    </row>
    <row r="6840" spans="13:13" x14ac:dyDescent="0.25">
      <c r="M6840" s="21"/>
    </row>
    <row r="6841" spans="13:13" x14ac:dyDescent="0.25">
      <c r="M6841" s="21"/>
    </row>
    <row r="6842" spans="13:13" x14ac:dyDescent="0.25">
      <c r="M6842" s="21"/>
    </row>
    <row r="6843" spans="13:13" x14ac:dyDescent="0.25">
      <c r="M6843" s="21"/>
    </row>
    <row r="6844" spans="13:13" x14ac:dyDescent="0.25">
      <c r="M6844" s="21"/>
    </row>
    <row r="6845" spans="13:13" x14ac:dyDescent="0.25">
      <c r="M6845" s="21"/>
    </row>
    <row r="6846" spans="13:13" x14ac:dyDescent="0.25">
      <c r="M6846" s="21"/>
    </row>
    <row r="6847" spans="13:13" x14ac:dyDescent="0.25">
      <c r="M6847" s="21"/>
    </row>
    <row r="6848" spans="13:13" x14ac:dyDescent="0.25">
      <c r="M6848" s="21"/>
    </row>
    <row r="6849" spans="13:13" x14ac:dyDescent="0.25">
      <c r="M6849" s="21"/>
    </row>
    <row r="6850" spans="13:13" x14ac:dyDescent="0.25">
      <c r="M6850" s="21"/>
    </row>
    <row r="6851" spans="13:13" x14ac:dyDescent="0.25">
      <c r="M6851" s="21"/>
    </row>
    <row r="6852" spans="13:13" x14ac:dyDescent="0.25">
      <c r="M6852" s="21"/>
    </row>
    <row r="6853" spans="13:13" x14ac:dyDescent="0.25">
      <c r="M6853" s="21"/>
    </row>
    <row r="6854" spans="13:13" x14ac:dyDescent="0.25">
      <c r="M6854" s="21"/>
    </row>
    <row r="6855" spans="13:13" x14ac:dyDescent="0.25">
      <c r="M6855" s="21"/>
    </row>
    <row r="6856" spans="13:13" x14ac:dyDescent="0.25">
      <c r="M6856" s="21"/>
    </row>
    <row r="6857" spans="13:13" x14ac:dyDescent="0.25">
      <c r="M6857" s="21"/>
    </row>
    <row r="6858" spans="13:13" x14ac:dyDescent="0.25">
      <c r="M6858" s="21"/>
    </row>
    <row r="6859" spans="13:13" x14ac:dyDescent="0.25">
      <c r="M6859" s="21"/>
    </row>
    <row r="6860" spans="13:13" x14ac:dyDescent="0.25">
      <c r="M6860" s="21"/>
    </row>
    <row r="6861" spans="13:13" x14ac:dyDescent="0.25">
      <c r="M6861" s="21"/>
    </row>
    <row r="6862" spans="13:13" x14ac:dyDescent="0.25">
      <c r="M6862" s="21"/>
    </row>
    <row r="6863" spans="13:13" x14ac:dyDescent="0.25">
      <c r="M6863" s="21"/>
    </row>
    <row r="6864" spans="13:13" x14ac:dyDescent="0.25">
      <c r="M6864" s="21"/>
    </row>
    <row r="6865" spans="13:13" x14ac:dyDescent="0.25">
      <c r="M6865" s="21"/>
    </row>
    <row r="6866" spans="13:13" x14ac:dyDescent="0.25">
      <c r="M6866" s="21"/>
    </row>
    <row r="6867" spans="13:13" x14ac:dyDescent="0.25">
      <c r="M6867" s="21"/>
    </row>
    <row r="6868" spans="13:13" x14ac:dyDescent="0.25">
      <c r="M6868" s="21"/>
    </row>
    <row r="6869" spans="13:13" x14ac:dyDescent="0.25">
      <c r="M6869" s="21"/>
    </row>
    <row r="6870" spans="13:13" x14ac:dyDescent="0.25">
      <c r="M6870" s="21"/>
    </row>
    <row r="6871" spans="13:13" x14ac:dyDescent="0.25">
      <c r="M6871" s="21"/>
    </row>
    <row r="6872" spans="13:13" x14ac:dyDescent="0.25">
      <c r="M6872" s="21"/>
    </row>
    <row r="6873" spans="13:13" x14ac:dyDescent="0.25">
      <c r="M6873" s="21"/>
    </row>
    <row r="6874" spans="13:13" x14ac:dyDescent="0.25">
      <c r="M6874" s="21"/>
    </row>
    <row r="6875" spans="13:13" x14ac:dyDescent="0.25">
      <c r="M6875" s="21"/>
    </row>
    <row r="6876" spans="13:13" x14ac:dyDescent="0.25">
      <c r="M6876" s="21"/>
    </row>
    <row r="6877" spans="13:13" x14ac:dyDescent="0.25">
      <c r="M6877" s="21"/>
    </row>
    <row r="6878" spans="13:13" x14ac:dyDescent="0.25">
      <c r="M6878" s="21"/>
    </row>
    <row r="6879" spans="13:13" x14ac:dyDescent="0.25">
      <c r="M6879" s="21"/>
    </row>
    <row r="6880" spans="13:13" x14ac:dyDescent="0.25">
      <c r="M6880" s="21"/>
    </row>
    <row r="6881" spans="13:13" x14ac:dyDescent="0.25">
      <c r="M6881" s="21"/>
    </row>
    <row r="6882" spans="13:13" x14ac:dyDescent="0.25">
      <c r="M6882" s="21"/>
    </row>
    <row r="6883" spans="13:13" x14ac:dyDescent="0.25">
      <c r="M6883" s="21"/>
    </row>
    <row r="6884" spans="13:13" x14ac:dyDescent="0.25">
      <c r="M6884" s="21"/>
    </row>
    <row r="6885" spans="13:13" x14ac:dyDescent="0.25">
      <c r="M6885" s="21"/>
    </row>
    <row r="6886" spans="13:13" x14ac:dyDescent="0.25">
      <c r="M6886" s="21"/>
    </row>
    <row r="6887" spans="13:13" x14ac:dyDescent="0.25">
      <c r="M6887" s="21"/>
    </row>
    <row r="6888" spans="13:13" x14ac:dyDescent="0.25">
      <c r="M6888" s="21"/>
    </row>
    <row r="6889" spans="13:13" x14ac:dyDescent="0.25">
      <c r="M6889" s="21"/>
    </row>
    <row r="6890" spans="13:13" x14ac:dyDescent="0.25">
      <c r="M6890" s="21"/>
    </row>
    <row r="6891" spans="13:13" x14ac:dyDescent="0.25">
      <c r="M6891" s="21"/>
    </row>
    <row r="6892" spans="13:13" x14ac:dyDescent="0.25">
      <c r="M6892" s="21"/>
    </row>
    <row r="6893" spans="13:13" x14ac:dyDescent="0.25">
      <c r="M6893" s="21"/>
    </row>
    <row r="6894" spans="13:13" x14ac:dyDescent="0.25">
      <c r="M6894" s="21"/>
    </row>
    <row r="6895" spans="13:13" x14ac:dyDescent="0.25">
      <c r="M6895" s="21"/>
    </row>
    <row r="6896" spans="13:13" x14ac:dyDescent="0.25">
      <c r="M6896" s="21"/>
    </row>
    <row r="6897" spans="13:13" x14ac:dyDescent="0.25">
      <c r="M6897" s="21"/>
    </row>
    <row r="6898" spans="13:13" x14ac:dyDescent="0.25">
      <c r="M6898" s="21"/>
    </row>
    <row r="6899" spans="13:13" x14ac:dyDescent="0.25">
      <c r="M6899" s="21"/>
    </row>
    <row r="6900" spans="13:13" x14ac:dyDescent="0.25">
      <c r="M6900" s="21"/>
    </row>
    <row r="6901" spans="13:13" x14ac:dyDescent="0.25">
      <c r="M6901" s="21"/>
    </row>
    <row r="6902" spans="13:13" x14ac:dyDescent="0.25">
      <c r="M6902" s="21"/>
    </row>
    <row r="6903" spans="13:13" x14ac:dyDescent="0.25">
      <c r="M6903" s="21"/>
    </row>
    <row r="6904" spans="13:13" x14ac:dyDescent="0.25">
      <c r="M6904" s="21"/>
    </row>
    <row r="6905" spans="13:13" x14ac:dyDescent="0.25">
      <c r="M6905" s="21"/>
    </row>
    <row r="6906" spans="13:13" x14ac:dyDescent="0.25">
      <c r="M6906" s="21"/>
    </row>
    <row r="6907" spans="13:13" x14ac:dyDescent="0.25">
      <c r="M6907" s="21"/>
    </row>
    <row r="6908" spans="13:13" x14ac:dyDescent="0.25">
      <c r="M6908" s="21"/>
    </row>
    <row r="6909" spans="13:13" x14ac:dyDescent="0.25">
      <c r="M6909" s="21"/>
    </row>
    <row r="6910" spans="13:13" x14ac:dyDescent="0.25">
      <c r="M6910" s="21"/>
    </row>
    <row r="6911" spans="13:13" x14ac:dyDescent="0.25">
      <c r="M6911" s="21"/>
    </row>
    <row r="6912" spans="13:13" x14ac:dyDescent="0.25">
      <c r="M6912" s="21"/>
    </row>
    <row r="6913" spans="13:13" x14ac:dyDescent="0.25">
      <c r="M6913" s="21"/>
    </row>
    <row r="6914" spans="13:13" x14ac:dyDescent="0.25">
      <c r="M6914" s="21"/>
    </row>
    <row r="6915" spans="13:13" x14ac:dyDescent="0.25">
      <c r="M6915" s="21"/>
    </row>
    <row r="6916" spans="13:13" x14ac:dyDescent="0.25">
      <c r="M6916" s="21"/>
    </row>
    <row r="6917" spans="13:13" x14ac:dyDescent="0.25">
      <c r="M6917" s="21"/>
    </row>
    <row r="6918" spans="13:13" x14ac:dyDescent="0.25">
      <c r="M6918" s="21"/>
    </row>
    <row r="6919" spans="13:13" x14ac:dyDescent="0.25">
      <c r="M6919" s="21"/>
    </row>
    <row r="6920" spans="13:13" x14ac:dyDescent="0.25">
      <c r="M6920" s="21"/>
    </row>
    <row r="6921" spans="13:13" x14ac:dyDescent="0.25">
      <c r="M6921" s="21"/>
    </row>
    <row r="6922" spans="13:13" x14ac:dyDescent="0.25">
      <c r="M6922" s="21"/>
    </row>
    <row r="6923" spans="13:13" x14ac:dyDescent="0.25">
      <c r="M6923" s="21"/>
    </row>
    <row r="6924" spans="13:13" x14ac:dyDescent="0.25">
      <c r="M6924" s="21"/>
    </row>
    <row r="6925" spans="13:13" x14ac:dyDescent="0.25">
      <c r="M6925" s="21"/>
    </row>
    <row r="6926" spans="13:13" x14ac:dyDescent="0.25">
      <c r="M6926" s="21"/>
    </row>
    <row r="6927" spans="13:13" x14ac:dyDescent="0.25">
      <c r="M6927" s="21"/>
    </row>
    <row r="6928" spans="13:13" x14ac:dyDescent="0.25">
      <c r="M6928" s="21"/>
    </row>
    <row r="6929" spans="13:13" x14ac:dyDescent="0.25">
      <c r="M6929" s="21"/>
    </row>
    <row r="6930" spans="13:13" x14ac:dyDescent="0.25">
      <c r="M6930" s="21"/>
    </row>
    <row r="6931" spans="13:13" x14ac:dyDescent="0.25">
      <c r="M6931" s="21"/>
    </row>
    <row r="6932" spans="13:13" x14ac:dyDescent="0.25">
      <c r="M6932" s="21"/>
    </row>
    <row r="6933" spans="13:13" x14ac:dyDescent="0.25">
      <c r="M6933" s="21"/>
    </row>
    <row r="6934" spans="13:13" x14ac:dyDescent="0.25">
      <c r="M6934" s="21"/>
    </row>
    <row r="6935" spans="13:13" x14ac:dyDescent="0.25">
      <c r="M6935" s="21"/>
    </row>
    <row r="6936" spans="13:13" x14ac:dyDescent="0.25">
      <c r="M6936" s="21"/>
    </row>
    <row r="6937" spans="13:13" x14ac:dyDescent="0.25">
      <c r="M6937" s="21"/>
    </row>
    <row r="6938" spans="13:13" x14ac:dyDescent="0.25">
      <c r="M6938" s="21"/>
    </row>
    <row r="6939" spans="13:13" x14ac:dyDescent="0.25">
      <c r="M6939" s="21"/>
    </row>
    <row r="6940" spans="13:13" x14ac:dyDescent="0.25">
      <c r="M6940" s="21"/>
    </row>
    <row r="6941" spans="13:13" x14ac:dyDescent="0.25">
      <c r="M6941" s="21"/>
    </row>
    <row r="6942" spans="13:13" x14ac:dyDescent="0.25">
      <c r="M6942" s="21"/>
    </row>
    <row r="6943" spans="13:13" x14ac:dyDescent="0.25">
      <c r="M6943" s="21"/>
    </row>
    <row r="6944" spans="13:13" x14ac:dyDescent="0.25">
      <c r="M6944" s="21"/>
    </row>
    <row r="6945" spans="13:13" x14ac:dyDescent="0.25">
      <c r="M6945" s="21"/>
    </row>
    <row r="6946" spans="13:13" x14ac:dyDescent="0.25">
      <c r="M6946" s="21"/>
    </row>
    <row r="6947" spans="13:13" x14ac:dyDescent="0.25">
      <c r="M6947" s="21"/>
    </row>
    <row r="6948" spans="13:13" x14ac:dyDescent="0.25">
      <c r="M6948" s="21"/>
    </row>
    <row r="6949" spans="13:13" x14ac:dyDescent="0.25">
      <c r="M6949" s="21"/>
    </row>
    <row r="6950" spans="13:13" x14ac:dyDescent="0.25">
      <c r="M6950" s="21"/>
    </row>
    <row r="6951" spans="13:13" x14ac:dyDescent="0.25">
      <c r="M6951" s="21"/>
    </row>
    <row r="6952" spans="13:13" x14ac:dyDescent="0.25">
      <c r="M6952" s="21"/>
    </row>
    <row r="6953" spans="13:13" x14ac:dyDescent="0.25">
      <c r="M6953" s="21"/>
    </row>
    <row r="6954" spans="13:13" x14ac:dyDescent="0.25">
      <c r="M6954" s="21"/>
    </row>
    <row r="6955" spans="13:13" x14ac:dyDescent="0.25">
      <c r="M6955" s="21"/>
    </row>
    <row r="6956" spans="13:13" x14ac:dyDescent="0.25">
      <c r="M6956" s="21"/>
    </row>
    <row r="6957" spans="13:13" x14ac:dyDescent="0.25">
      <c r="M6957" s="21"/>
    </row>
    <row r="6958" spans="13:13" x14ac:dyDescent="0.25">
      <c r="M6958" s="21"/>
    </row>
    <row r="6959" spans="13:13" x14ac:dyDescent="0.25">
      <c r="M6959" s="21"/>
    </row>
    <row r="6960" spans="13:13" x14ac:dyDescent="0.25">
      <c r="M6960" s="21"/>
    </row>
    <row r="6961" spans="13:13" x14ac:dyDescent="0.25">
      <c r="M6961" s="21"/>
    </row>
    <row r="6962" spans="13:13" x14ac:dyDescent="0.25">
      <c r="M6962" s="21"/>
    </row>
    <row r="6963" spans="13:13" x14ac:dyDescent="0.25">
      <c r="M6963" s="21"/>
    </row>
    <row r="6964" spans="13:13" x14ac:dyDescent="0.25">
      <c r="M6964" s="21"/>
    </row>
    <row r="6965" spans="13:13" x14ac:dyDescent="0.25">
      <c r="M6965" s="21"/>
    </row>
    <row r="6966" spans="13:13" x14ac:dyDescent="0.25">
      <c r="M6966" s="21"/>
    </row>
    <row r="6967" spans="13:13" x14ac:dyDescent="0.25">
      <c r="M6967" s="21"/>
    </row>
    <row r="6968" spans="13:13" x14ac:dyDescent="0.25">
      <c r="M6968" s="21"/>
    </row>
    <row r="6969" spans="13:13" x14ac:dyDescent="0.25">
      <c r="M6969" s="21"/>
    </row>
    <row r="6970" spans="13:13" x14ac:dyDescent="0.25">
      <c r="M6970" s="21"/>
    </row>
    <row r="6971" spans="13:13" x14ac:dyDescent="0.25">
      <c r="M6971" s="21"/>
    </row>
    <row r="6972" spans="13:13" x14ac:dyDescent="0.25">
      <c r="M6972" s="21"/>
    </row>
    <row r="6973" spans="13:13" x14ac:dyDescent="0.25">
      <c r="M6973" s="21"/>
    </row>
    <row r="6974" spans="13:13" x14ac:dyDescent="0.25">
      <c r="M6974" s="21"/>
    </row>
    <row r="6975" spans="13:13" x14ac:dyDescent="0.25">
      <c r="M6975" s="21"/>
    </row>
    <row r="6976" spans="13:13" x14ac:dyDescent="0.25">
      <c r="M6976" s="21"/>
    </row>
    <row r="6977" spans="13:13" x14ac:dyDescent="0.25">
      <c r="M6977" s="21"/>
    </row>
    <row r="6978" spans="13:13" x14ac:dyDescent="0.25">
      <c r="M6978" s="21"/>
    </row>
    <row r="6979" spans="13:13" x14ac:dyDescent="0.25">
      <c r="M6979" s="21"/>
    </row>
    <row r="6980" spans="13:13" x14ac:dyDescent="0.25">
      <c r="M6980" s="21"/>
    </row>
    <row r="6981" spans="13:13" x14ac:dyDescent="0.25">
      <c r="M6981" s="21"/>
    </row>
    <row r="6982" spans="13:13" x14ac:dyDescent="0.25">
      <c r="M6982" s="21"/>
    </row>
    <row r="6983" spans="13:13" x14ac:dyDescent="0.25">
      <c r="M6983" s="21"/>
    </row>
    <row r="6984" spans="13:13" x14ac:dyDescent="0.25">
      <c r="M6984" s="21"/>
    </row>
    <row r="6985" spans="13:13" x14ac:dyDescent="0.25">
      <c r="M6985" s="21"/>
    </row>
    <row r="6986" spans="13:13" x14ac:dyDescent="0.25">
      <c r="M6986" s="21"/>
    </row>
    <row r="6987" spans="13:13" x14ac:dyDescent="0.25">
      <c r="M6987" s="21"/>
    </row>
    <row r="6988" spans="13:13" x14ac:dyDescent="0.25">
      <c r="M6988" s="21"/>
    </row>
    <row r="6989" spans="13:13" x14ac:dyDescent="0.25">
      <c r="M6989" s="21"/>
    </row>
    <row r="6990" spans="13:13" x14ac:dyDescent="0.25">
      <c r="M6990" s="21"/>
    </row>
    <row r="6991" spans="13:13" x14ac:dyDescent="0.25">
      <c r="M6991" s="21"/>
    </row>
    <row r="6992" spans="13:13" x14ac:dyDescent="0.25">
      <c r="M6992" s="21"/>
    </row>
    <row r="6993" spans="13:13" x14ac:dyDescent="0.25">
      <c r="M6993" s="21"/>
    </row>
    <row r="6994" spans="13:13" x14ac:dyDescent="0.25">
      <c r="M6994" s="21"/>
    </row>
    <row r="6995" spans="13:13" x14ac:dyDescent="0.25">
      <c r="M6995" s="21"/>
    </row>
    <row r="6996" spans="13:13" x14ac:dyDescent="0.25">
      <c r="M6996" s="21"/>
    </row>
    <row r="6997" spans="13:13" x14ac:dyDescent="0.25">
      <c r="M6997" s="21"/>
    </row>
    <row r="6998" spans="13:13" x14ac:dyDescent="0.25">
      <c r="M6998" s="21"/>
    </row>
    <row r="6999" spans="13:13" x14ac:dyDescent="0.25">
      <c r="M6999" s="21"/>
    </row>
    <row r="7000" spans="13:13" x14ac:dyDescent="0.25">
      <c r="M7000" s="21"/>
    </row>
    <row r="7001" spans="13:13" x14ac:dyDescent="0.25">
      <c r="M7001" s="21"/>
    </row>
    <row r="7002" spans="13:13" x14ac:dyDescent="0.25">
      <c r="M7002" s="21"/>
    </row>
    <row r="7003" spans="13:13" x14ac:dyDescent="0.25">
      <c r="M7003" s="21"/>
    </row>
    <row r="7004" spans="13:13" x14ac:dyDescent="0.25">
      <c r="M7004" s="21"/>
    </row>
    <row r="7005" spans="13:13" x14ac:dyDescent="0.25">
      <c r="M7005" s="21"/>
    </row>
    <row r="7006" spans="13:13" x14ac:dyDescent="0.25">
      <c r="M7006" s="21"/>
    </row>
    <row r="7007" spans="13:13" x14ac:dyDescent="0.25">
      <c r="M7007" s="21"/>
    </row>
    <row r="7008" spans="13:13" x14ac:dyDescent="0.25">
      <c r="M7008" s="21"/>
    </row>
    <row r="7009" spans="13:13" x14ac:dyDescent="0.25">
      <c r="M7009" s="21"/>
    </row>
    <row r="7010" spans="13:13" x14ac:dyDescent="0.25">
      <c r="M7010" s="21"/>
    </row>
    <row r="7011" spans="13:13" x14ac:dyDescent="0.25">
      <c r="M7011" s="21"/>
    </row>
    <row r="7012" spans="13:13" x14ac:dyDescent="0.25">
      <c r="M7012" s="21"/>
    </row>
    <row r="7013" spans="13:13" x14ac:dyDescent="0.25">
      <c r="M7013" s="21"/>
    </row>
    <row r="7014" spans="13:13" x14ac:dyDescent="0.25">
      <c r="M7014" s="21"/>
    </row>
    <row r="7015" spans="13:13" x14ac:dyDescent="0.25">
      <c r="M7015" s="21"/>
    </row>
    <row r="7016" spans="13:13" x14ac:dyDescent="0.25">
      <c r="M7016" s="21"/>
    </row>
    <row r="7017" spans="13:13" x14ac:dyDescent="0.25">
      <c r="M7017" s="21"/>
    </row>
    <row r="7018" spans="13:13" x14ac:dyDescent="0.25">
      <c r="M7018" s="21"/>
    </row>
    <row r="7019" spans="13:13" x14ac:dyDescent="0.25">
      <c r="M7019" s="21"/>
    </row>
    <row r="7020" spans="13:13" x14ac:dyDescent="0.25">
      <c r="M7020" s="21"/>
    </row>
    <row r="7021" spans="13:13" x14ac:dyDescent="0.25">
      <c r="M7021" s="21"/>
    </row>
    <row r="7022" spans="13:13" x14ac:dyDescent="0.25">
      <c r="M7022" s="21"/>
    </row>
    <row r="7023" spans="13:13" x14ac:dyDescent="0.25">
      <c r="M7023" s="21"/>
    </row>
    <row r="7024" spans="13:13" x14ac:dyDescent="0.25">
      <c r="M7024" s="21"/>
    </row>
    <row r="7025" spans="13:13" x14ac:dyDescent="0.25">
      <c r="M7025" s="21"/>
    </row>
    <row r="7026" spans="13:13" x14ac:dyDescent="0.25">
      <c r="M7026" s="21"/>
    </row>
    <row r="7027" spans="13:13" x14ac:dyDescent="0.25">
      <c r="M7027" s="21"/>
    </row>
    <row r="7028" spans="13:13" x14ac:dyDescent="0.25">
      <c r="M7028" s="21"/>
    </row>
    <row r="7029" spans="13:13" x14ac:dyDescent="0.25">
      <c r="M7029" s="21"/>
    </row>
    <row r="7030" spans="13:13" x14ac:dyDescent="0.25">
      <c r="M7030" s="21"/>
    </row>
    <row r="7031" spans="13:13" x14ac:dyDescent="0.25">
      <c r="M7031" s="21"/>
    </row>
    <row r="7032" spans="13:13" x14ac:dyDescent="0.25">
      <c r="M7032" s="21"/>
    </row>
    <row r="7033" spans="13:13" x14ac:dyDescent="0.25">
      <c r="M7033" s="21"/>
    </row>
    <row r="7034" spans="13:13" x14ac:dyDescent="0.25">
      <c r="M7034" s="21"/>
    </row>
    <row r="7035" spans="13:13" x14ac:dyDescent="0.25">
      <c r="M7035" s="21"/>
    </row>
    <row r="7036" spans="13:13" x14ac:dyDescent="0.25">
      <c r="M7036" s="21"/>
    </row>
    <row r="7037" spans="13:13" x14ac:dyDescent="0.25">
      <c r="M7037" s="21"/>
    </row>
    <row r="7038" spans="13:13" x14ac:dyDescent="0.25">
      <c r="M7038" s="21"/>
    </row>
    <row r="7039" spans="13:13" x14ac:dyDescent="0.25">
      <c r="M7039" s="21"/>
    </row>
    <row r="7040" spans="13:13" x14ac:dyDescent="0.25">
      <c r="M7040" s="21"/>
    </row>
    <row r="7041" spans="13:13" x14ac:dyDescent="0.25">
      <c r="M7041" s="21"/>
    </row>
    <row r="7042" spans="13:13" x14ac:dyDescent="0.25">
      <c r="M7042" s="21"/>
    </row>
    <row r="7043" spans="13:13" x14ac:dyDescent="0.25">
      <c r="M7043" s="21"/>
    </row>
    <row r="7044" spans="13:13" x14ac:dyDescent="0.25">
      <c r="M7044" s="21"/>
    </row>
    <row r="7045" spans="13:13" x14ac:dyDescent="0.25">
      <c r="M7045" s="21"/>
    </row>
    <row r="7046" spans="13:13" x14ac:dyDescent="0.25">
      <c r="M7046" s="21"/>
    </row>
    <row r="7047" spans="13:13" x14ac:dyDescent="0.25">
      <c r="M7047" s="21"/>
    </row>
    <row r="7048" spans="13:13" x14ac:dyDescent="0.25">
      <c r="M7048" s="21"/>
    </row>
    <row r="7049" spans="13:13" x14ac:dyDescent="0.25">
      <c r="M7049" s="21"/>
    </row>
    <row r="7050" spans="13:13" x14ac:dyDescent="0.25">
      <c r="M7050" s="21"/>
    </row>
    <row r="7051" spans="13:13" x14ac:dyDescent="0.25">
      <c r="M7051" s="21"/>
    </row>
    <row r="7052" spans="13:13" x14ac:dyDescent="0.25">
      <c r="M7052" s="21"/>
    </row>
    <row r="7053" spans="13:13" x14ac:dyDescent="0.25">
      <c r="M7053" s="21"/>
    </row>
    <row r="7054" spans="13:13" x14ac:dyDescent="0.25">
      <c r="M7054" s="21"/>
    </row>
    <row r="7055" spans="13:13" x14ac:dyDescent="0.25">
      <c r="M7055" s="21"/>
    </row>
    <row r="7056" spans="13:13" x14ac:dyDescent="0.25">
      <c r="M7056" s="21"/>
    </row>
    <row r="7057" spans="13:13" x14ac:dyDescent="0.25">
      <c r="M7057" s="21"/>
    </row>
    <row r="7058" spans="13:13" x14ac:dyDescent="0.25">
      <c r="M7058" s="21"/>
    </row>
    <row r="7059" spans="13:13" x14ac:dyDescent="0.25">
      <c r="M7059" s="21"/>
    </row>
    <row r="7060" spans="13:13" x14ac:dyDescent="0.25">
      <c r="M7060" s="21"/>
    </row>
    <row r="7061" spans="13:13" x14ac:dyDescent="0.25">
      <c r="M7061" s="21"/>
    </row>
    <row r="7062" spans="13:13" x14ac:dyDescent="0.25">
      <c r="M7062" s="21"/>
    </row>
    <row r="7063" spans="13:13" x14ac:dyDescent="0.25">
      <c r="M7063" s="21"/>
    </row>
    <row r="7064" spans="13:13" x14ac:dyDescent="0.25">
      <c r="M7064" s="21"/>
    </row>
    <row r="7065" spans="13:13" x14ac:dyDescent="0.25">
      <c r="M7065" s="21"/>
    </row>
    <row r="7066" spans="13:13" x14ac:dyDescent="0.25">
      <c r="M7066" s="21"/>
    </row>
    <row r="7067" spans="13:13" x14ac:dyDescent="0.25">
      <c r="M7067" s="21"/>
    </row>
    <row r="7068" spans="13:13" x14ac:dyDescent="0.25">
      <c r="M7068" s="21"/>
    </row>
    <row r="7069" spans="13:13" x14ac:dyDescent="0.25">
      <c r="M7069" s="21"/>
    </row>
    <row r="7070" spans="13:13" x14ac:dyDescent="0.25">
      <c r="M7070" s="21"/>
    </row>
    <row r="7071" spans="13:13" x14ac:dyDescent="0.25">
      <c r="M7071" s="21"/>
    </row>
    <row r="7072" spans="13:13" x14ac:dyDescent="0.25">
      <c r="M7072" s="21"/>
    </row>
    <row r="7073" spans="13:13" x14ac:dyDescent="0.25">
      <c r="M7073" s="21"/>
    </row>
    <row r="7074" spans="13:13" x14ac:dyDescent="0.25">
      <c r="M7074" s="21"/>
    </row>
    <row r="7075" spans="13:13" x14ac:dyDescent="0.25">
      <c r="M7075" s="21"/>
    </row>
    <row r="7076" spans="13:13" x14ac:dyDescent="0.25">
      <c r="M7076" s="21"/>
    </row>
    <row r="7077" spans="13:13" x14ac:dyDescent="0.25">
      <c r="M7077" s="21"/>
    </row>
    <row r="7078" spans="13:13" x14ac:dyDescent="0.25">
      <c r="M7078" s="21"/>
    </row>
    <row r="7079" spans="13:13" x14ac:dyDescent="0.25">
      <c r="M7079" s="21"/>
    </row>
    <row r="7080" spans="13:13" x14ac:dyDescent="0.25">
      <c r="M7080" s="21"/>
    </row>
    <row r="7081" spans="13:13" x14ac:dyDescent="0.25">
      <c r="M7081" s="21"/>
    </row>
    <row r="7082" spans="13:13" x14ac:dyDescent="0.25">
      <c r="M7082" s="21"/>
    </row>
    <row r="7083" spans="13:13" x14ac:dyDescent="0.25">
      <c r="M7083" s="21"/>
    </row>
    <row r="7084" spans="13:13" x14ac:dyDescent="0.25">
      <c r="M7084" s="21"/>
    </row>
    <row r="7085" spans="13:13" x14ac:dyDescent="0.25">
      <c r="M7085" s="21"/>
    </row>
    <row r="7086" spans="13:13" x14ac:dyDescent="0.25">
      <c r="M7086" s="21"/>
    </row>
    <row r="7087" spans="13:13" x14ac:dyDescent="0.25">
      <c r="M7087" s="21"/>
    </row>
    <row r="7088" spans="13:13" x14ac:dyDescent="0.25">
      <c r="M7088" s="21"/>
    </row>
    <row r="7089" spans="13:13" x14ac:dyDescent="0.25">
      <c r="M7089" s="21"/>
    </row>
    <row r="7090" spans="13:13" x14ac:dyDescent="0.25">
      <c r="M7090" s="21"/>
    </row>
    <row r="7091" spans="13:13" x14ac:dyDescent="0.25">
      <c r="M7091" s="21"/>
    </row>
    <row r="7092" spans="13:13" x14ac:dyDescent="0.25">
      <c r="M7092" s="21"/>
    </row>
    <row r="7093" spans="13:13" x14ac:dyDescent="0.25">
      <c r="M7093" s="21"/>
    </row>
    <row r="7094" spans="13:13" x14ac:dyDescent="0.25">
      <c r="M7094" s="21"/>
    </row>
    <row r="7095" spans="13:13" x14ac:dyDescent="0.25">
      <c r="M7095" s="21"/>
    </row>
    <row r="7096" spans="13:13" x14ac:dyDescent="0.25">
      <c r="M7096" s="21"/>
    </row>
    <row r="7097" spans="13:13" x14ac:dyDescent="0.25">
      <c r="M7097" s="21"/>
    </row>
    <row r="7098" spans="13:13" x14ac:dyDescent="0.25">
      <c r="M7098" s="21"/>
    </row>
    <row r="7099" spans="13:13" x14ac:dyDescent="0.25">
      <c r="M7099" s="21"/>
    </row>
    <row r="7100" spans="13:13" x14ac:dyDescent="0.25">
      <c r="M7100" s="21"/>
    </row>
    <row r="7101" spans="13:13" x14ac:dyDescent="0.25">
      <c r="M7101" s="21"/>
    </row>
    <row r="7102" spans="13:13" x14ac:dyDescent="0.25">
      <c r="M7102" s="21"/>
    </row>
    <row r="7103" spans="13:13" x14ac:dyDescent="0.25">
      <c r="M7103" s="21"/>
    </row>
    <row r="7104" spans="13:13" x14ac:dyDescent="0.25">
      <c r="M7104" s="21"/>
    </row>
    <row r="7105" spans="13:13" x14ac:dyDescent="0.25">
      <c r="M7105" s="21"/>
    </row>
    <row r="7106" spans="13:13" x14ac:dyDescent="0.25">
      <c r="M7106" s="21"/>
    </row>
    <row r="7107" spans="13:13" x14ac:dyDescent="0.25">
      <c r="M7107" s="21"/>
    </row>
    <row r="7108" spans="13:13" x14ac:dyDescent="0.25">
      <c r="M7108" s="21"/>
    </row>
    <row r="7109" spans="13:13" x14ac:dyDescent="0.25">
      <c r="M7109" s="21"/>
    </row>
    <row r="7110" spans="13:13" x14ac:dyDescent="0.25">
      <c r="M7110" s="21"/>
    </row>
    <row r="7111" spans="13:13" x14ac:dyDescent="0.25">
      <c r="M7111" s="21"/>
    </row>
    <row r="7112" spans="13:13" x14ac:dyDescent="0.25">
      <c r="M7112" s="21"/>
    </row>
    <row r="7113" spans="13:13" x14ac:dyDescent="0.25">
      <c r="M7113" s="21"/>
    </row>
    <row r="7114" spans="13:13" x14ac:dyDescent="0.25">
      <c r="M7114" s="21"/>
    </row>
    <row r="7115" spans="13:13" x14ac:dyDescent="0.25">
      <c r="M7115" s="21"/>
    </row>
    <row r="7116" spans="13:13" x14ac:dyDescent="0.25">
      <c r="M7116" s="21"/>
    </row>
    <row r="7117" spans="13:13" x14ac:dyDescent="0.25">
      <c r="M7117" s="21"/>
    </row>
    <row r="7118" spans="13:13" x14ac:dyDescent="0.25">
      <c r="M7118" s="21"/>
    </row>
    <row r="7119" spans="13:13" x14ac:dyDescent="0.25">
      <c r="M7119" s="21"/>
    </row>
    <row r="7120" spans="13:13" x14ac:dyDescent="0.25">
      <c r="M7120" s="21"/>
    </row>
    <row r="7121" spans="13:13" x14ac:dyDescent="0.25">
      <c r="M7121" s="21"/>
    </row>
    <row r="7122" spans="13:13" x14ac:dyDescent="0.25">
      <c r="M7122" s="21"/>
    </row>
    <row r="7123" spans="13:13" x14ac:dyDescent="0.25">
      <c r="M7123" s="21"/>
    </row>
    <row r="7124" spans="13:13" x14ac:dyDescent="0.25">
      <c r="M7124" s="21"/>
    </row>
    <row r="7125" spans="13:13" x14ac:dyDescent="0.25">
      <c r="M7125" s="21"/>
    </row>
    <row r="7126" spans="13:13" x14ac:dyDescent="0.25">
      <c r="M7126" s="21"/>
    </row>
    <row r="7127" spans="13:13" x14ac:dyDescent="0.25">
      <c r="M7127" s="21"/>
    </row>
    <row r="7128" spans="13:13" x14ac:dyDescent="0.25">
      <c r="M7128" s="21"/>
    </row>
    <row r="7129" spans="13:13" x14ac:dyDescent="0.25">
      <c r="M7129" s="21"/>
    </row>
    <row r="7130" spans="13:13" x14ac:dyDescent="0.25">
      <c r="M7130" s="21"/>
    </row>
    <row r="7131" spans="13:13" x14ac:dyDescent="0.25">
      <c r="M7131" s="21"/>
    </row>
    <row r="7132" spans="13:13" x14ac:dyDescent="0.25">
      <c r="M7132" s="21"/>
    </row>
    <row r="7133" spans="13:13" x14ac:dyDescent="0.25">
      <c r="M7133" s="21"/>
    </row>
    <row r="7134" spans="13:13" x14ac:dyDescent="0.25">
      <c r="M7134" s="21"/>
    </row>
    <row r="7135" spans="13:13" x14ac:dyDescent="0.25">
      <c r="M7135" s="21"/>
    </row>
    <row r="7136" spans="13:13" x14ac:dyDescent="0.25">
      <c r="M7136" s="21"/>
    </row>
    <row r="7137" spans="13:13" x14ac:dyDescent="0.25">
      <c r="M7137" s="21"/>
    </row>
    <row r="7138" spans="13:13" x14ac:dyDescent="0.25">
      <c r="M7138" s="21"/>
    </row>
    <row r="7139" spans="13:13" x14ac:dyDescent="0.25">
      <c r="M7139" s="21"/>
    </row>
    <row r="7140" spans="13:13" x14ac:dyDescent="0.25">
      <c r="M7140" s="21"/>
    </row>
    <row r="7141" spans="13:13" x14ac:dyDescent="0.25">
      <c r="M7141" s="21"/>
    </row>
    <row r="7142" spans="13:13" x14ac:dyDescent="0.25">
      <c r="M7142" s="21"/>
    </row>
    <row r="7143" spans="13:13" x14ac:dyDescent="0.25">
      <c r="M7143" s="21"/>
    </row>
    <row r="7144" spans="13:13" x14ac:dyDescent="0.25">
      <c r="M7144" s="21"/>
    </row>
    <row r="7145" spans="13:13" x14ac:dyDescent="0.25">
      <c r="M7145" s="21"/>
    </row>
    <row r="7146" spans="13:13" x14ac:dyDescent="0.25">
      <c r="M7146" s="21"/>
    </row>
    <row r="7147" spans="13:13" x14ac:dyDescent="0.25">
      <c r="M7147" s="21"/>
    </row>
    <row r="7148" spans="13:13" x14ac:dyDescent="0.25">
      <c r="M7148" s="21"/>
    </row>
    <row r="7149" spans="13:13" x14ac:dyDescent="0.25">
      <c r="M7149" s="21"/>
    </row>
    <row r="7150" spans="13:13" x14ac:dyDescent="0.25">
      <c r="M7150" s="21"/>
    </row>
    <row r="7151" spans="13:13" x14ac:dyDescent="0.25">
      <c r="M7151" s="21"/>
    </row>
    <row r="7152" spans="13:13" x14ac:dyDescent="0.25">
      <c r="M7152" s="21"/>
    </row>
    <row r="7153" spans="13:13" x14ac:dyDescent="0.25">
      <c r="M7153" s="21"/>
    </row>
    <row r="7154" spans="13:13" x14ac:dyDescent="0.25">
      <c r="M7154" s="21"/>
    </row>
    <row r="7155" spans="13:13" x14ac:dyDescent="0.25">
      <c r="M7155" s="21"/>
    </row>
    <row r="7156" spans="13:13" x14ac:dyDescent="0.25">
      <c r="M7156" s="21"/>
    </row>
    <row r="7157" spans="13:13" x14ac:dyDescent="0.25">
      <c r="M7157" s="21"/>
    </row>
    <row r="7158" spans="13:13" x14ac:dyDescent="0.25">
      <c r="M7158" s="21"/>
    </row>
    <row r="7159" spans="13:13" x14ac:dyDescent="0.25">
      <c r="M7159" s="21"/>
    </row>
    <row r="7160" spans="13:13" x14ac:dyDescent="0.25">
      <c r="M7160" s="21"/>
    </row>
    <row r="7161" spans="13:13" x14ac:dyDescent="0.25">
      <c r="M7161" s="21"/>
    </row>
    <row r="7162" spans="13:13" x14ac:dyDescent="0.25">
      <c r="M7162" s="21"/>
    </row>
    <row r="7163" spans="13:13" x14ac:dyDescent="0.25">
      <c r="M7163" s="21"/>
    </row>
    <row r="7164" spans="13:13" x14ac:dyDescent="0.25">
      <c r="M7164" s="21"/>
    </row>
    <row r="7165" spans="13:13" x14ac:dyDescent="0.25">
      <c r="M7165" s="21"/>
    </row>
    <row r="7166" spans="13:13" x14ac:dyDescent="0.25">
      <c r="M7166" s="21"/>
    </row>
    <row r="7167" spans="13:13" x14ac:dyDescent="0.25">
      <c r="M7167" s="21"/>
    </row>
    <row r="7168" spans="13:13" x14ac:dyDescent="0.25">
      <c r="M7168" s="21"/>
    </row>
    <row r="7169" spans="13:13" x14ac:dyDescent="0.25">
      <c r="M7169" s="21"/>
    </row>
    <row r="7170" spans="13:13" x14ac:dyDescent="0.25">
      <c r="M7170" s="21"/>
    </row>
    <row r="7171" spans="13:13" x14ac:dyDescent="0.25">
      <c r="M7171" s="21"/>
    </row>
    <row r="7172" spans="13:13" x14ac:dyDescent="0.25">
      <c r="M7172" s="21"/>
    </row>
    <row r="7173" spans="13:13" x14ac:dyDescent="0.25">
      <c r="M7173" s="21"/>
    </row>
    <row r="7174" spans="13:13" x14ac:dyDescent="0.25">
      <c r="M7174" s="21"/>
    </row>
    <row r="7175" spans="13:13" x14ac:dyDescent="0.25">
      <c r="M7175" s="21"/>
    </row>
    <row r="7176" spans="13:13" x14ac:dyDescent="0.25">
      <c r="M7176" s="21"/>
    </row>
    <row r="7177" spans="13:13" x14ac:dyDescent="0.25">
      <c r="M7177" s="21"/>
    </row>
    <row r="7178" spans="13:13" x14ac:dyDescent="0.25">
      <c r="M7178" s="21"/>
    </row>
    <row r="7179" spans="13:13" x14ac:dyDescent="0.25">
      <c r="M7179" s="21"/>
    </row>
    <row r="7180" spans="13:13" x14ac:dyDescent="0.25">
      <c r="M7180" s="21"/>
    </row>
    <row r="7181" spans="13:13" x14ac:dyDescent="0.25">
      <c r="M7181" s="21"/>
    </row>
    <row r="7182" spans="13:13" x14ac:dyDescent="0.25">
      <c r="M7182" s="21"/>
    </row>
    <row r="7183" spans="13:13" x14ac:dyDescent="0.25">
      <c r="M7183" s="21"/>
    </row>
    <row r="7184" spans="13:13" x14ac:dyDescent="0.25">
      <c r="M7184" s="21"/>
    </row>
    <row r="7185" spans="13:13" x14ac:dyDescent="0.25">
      <c r="M7185" s="21"/>
    </row>
    <row r="7186" spans="13:13" x14ac:dyDescent="0.25">
      <c r="M7186" s="21"/>
    </row>
    <row r="7187" spans="13:13" x14ac:dyDescent="0.25">
      <c r="M7187" s="21"/>
    </row>
    <row r="7188" spans="13:13" x14ac:dyDescent="0.25">
      <c r="M7188" s="21"/>
    </row>
    <row r="7189" spans="13:13" x14ac:dyDescent="0.25">
      <c r="M7189" s="21"/>
    </row>
    <row r="7190" spans="13:13" x14ac:dyDescent="0.25">
      <c r="M7190" s="21"/>
    </row>
    <row r="7191" spans="13:13" x14ac:dyDescent="0.25">
      <c r="M7191" s="21"/>
    </row>
    <row r="7192" spans="13:13" x14ac:dyDescent="0.25">
      <c r="M7192" s="21"/>
    </row>
    <row r="7193" spans="13:13" x14ac:dyDescent="0.25">
      <c r="M7193" s="21"/>
    </row>
    <row r="7194" spans="13:13" x14ac:dyDescent="0.25">
      <c r="M7194" s="21"/>
    </row>
    <row r="7195" spans="13:13" x14ac:dyDescent="0.25">
      <c r="M7195" s="21"/>
    </row>
    <row r="7196" spans="13:13" x14ac:dyDescent="0.25">
      <c r="M7196" s="21"/>
    </row>
    <row r="7197" spans="13:13" x14ac:dyDescent="0.25">
      <c r="M7197" s="21"/>
    </row>
    <row r="7198" spans="13:13" x14ac:dyDescent="0.25">
      <c r="M7198" s="21"/>
    </row>
    <row r="7199" spans="13:13" x14ac:dyDescent="0.25">
      <c r="M7199" s="21"/>
    </row>
    <row r="7200" spans="13:13" x14ac:dyDescent="0.25">
      <c r="M7200" s="21"/>
    </row>
    <row r="7201" spans="13:13" x14ac:dyDescent="0.25">
      <c r="M7201" s="21"/>
    </row>
    <row r="7202" spans="13:13" x14ac:dyDescent="0.25">
      <c r="M7202" s="21"/>
    </row>
    <row r="7203" spans="13:13" x14ac:dyDescent="0.25">
      <c r="M7203" s="21"/>
    </row>
    <row r="7204" spans="13:13" x14ac:dyDescent="0.25">
      <c r="M7204" s="21"/>
    </row>
    <row r="7205" spans="13:13" x14ac:dyDescent="0.25">
      <c r="M7205" s="21"/>
    </row>
    <row r="7206" spans="13:13" x14ac:dyDescent="0.25">
      <c r="M7206" s="21"/>
    </row>
    <row r="7207" spans="13:13" x14ac:dyDescent="0.25">
      <c r="M7207" s="21"/>
    </row>
    <row r="7208" spans="13:13" x14ac:dyDescent="0.25">
      <c r="M7208" s="21"/>
    </row>
    <row r="7209" spans="13:13" x14ac:dyDescent="0.25">
      <c r="M7209" s="21"/>
    </row>
    <row r="7210" spans="13:13" x14ac:dyDescent="0.25">
      <c r="M7210" s="21"/>
    </row>
    <row r="7211" spans="13:13" x14ac:dyDescent="0.25">
      <c r="M7211" s="21"/>
    </row>
    <row r="7212" spans="13:13" x14ac:dyDescent="0.25">
      <c r="M7212" s="21"/>
    </row>
    <row r="7213" spans="13:13" x14ac:dyDescent="0.25">
      <c r="M7213" s="21"/>
    </row>
    <row r="7214" spans="13:13" x14ac:dyDescent="0.25">
      <c r="M7214" s="21"/>
    </row>
    <row r="7215" spans="13:13" x14ac:dyDescent="0.25">
      <c r="M7215" s="21"/>
    </row>
    <row r="7216" spans="13:13" x14ac:dyDescent="0.25">
      <c r="M7216" s="21"/>
    </row>
    <row r="7217" spans="13:13" x14ac:dyDescent="0.25">
      <c r="M7217" s="21"/>
    </row>
    <row r="7218" spans="13:13" x14ac:dyDescent="0.25">
      <c r="M7218" s="21"/>
    </row>
    <row r="7219" spans="13:13" x14ac:dyDescent="0.25">
      <c r="M7219" s="21"/>
    </row>
    <row r="7220" spans="13:13" x14ac:dyDescent="0.25">
      <c r="M7220" s="21"/>
    </row>
    <row r="7221" spans="13:13" x14ac:dyDescent="0.25">
      <c r="M7221" s="21"/>
    </row>
    <row r="7222" spans="13:13" x14ac:dyDescent="0.25">
      <c r="M7222" s="21"/>
    </row>
    <row r="7223" spans="13:13" x14ac:dyDescent="0.25">
      <c r="M7223" s="21"/>
    </row>
    <row r="7224" spans="13:13" x14ac:dyDescent="0.25">
      <c r="M7224" s="21"/>
    </row>
    <row r="7225" spans="13:13" x14ac:dyDescent="0.25">
      <c r="M7225" s="21"/>
    </row>
    <row r="7226" spans="13:13" x14ac:dyDescent="0.25">
      <c r="M7226" s="21"/>
    </row>
    <row r="7227" spans="13:13" x14ac:dyDescent="0.25">
      <c r="M7227" s="21"/>
    </row>
    <row r="7228" spans="13:13" x14ac:dyDescent="0.25">
      <c r="M7228" s="21"/>
    </row>
    <row r="7229" spans="13:13" x14ac:dyDescent="0.25">
      <c r="M7229" s="21"/>
    </row>
    <row r="7230" spans="13:13" x14ac:dyDescent="0.25">
      <c r="M7230" s="21"/>
    </row>
    <row r="7231" spans="13:13" x14ac:dyDescent="0.25">
      <c r="M7231" s="21"/>
    </row>
    <row r="7232" spans="13:13" x14ac:dyDescent="0.25">
      <c r="M7232" s="21"/>
    </row>
    <row r="7233" spans="13:13" x14ac:dyDescent="0.25">
      <c r="M7233" s="21"/>
    </row>
    <row r="7234" spans="13:13" x14ac:dyDescent="0.25">
      <c r="M7234" s="21"/>
    </row>
    <row r="7235" spans="13:13" x14ac:dyDescent="0.25">
      <c r="M7235" s="21"/>
    </row>
    <row r="7236" spans="13:13" x14ac:dyDescent="0.25">
      <c r="M7236" s="21"/>
    </row>
    <row r="7237" spans="13:13" x14ac:dyDescent="0.25">
      <c r="M7237" s="21"/>
    </row>
    <row r="7238" spans="13:13" x14ac:dyDescent="0.25">
      <c r="M7238" s="21"/>
    </row>
    <row r="7239" spans="13:13" x14ac:dyDescent="0.25">
      <c r="M7239" s="21"/>
    </row>
    <row r="7240" spans="13:13" x14ac:dyDescent="0.25">
      <c r="M7240" s="21"/>
    </row>
    <row r="7241" spans="13:13" x14ac:dyDescent="0.25">
      <c r="M7241" s="21"/>
    </row>
    <row r="7242" spans="13:13" x14ac:dyDescent="0.25">
      <c r="M7242" s="21"/>
    </row>
    <row r="7243" spans="13:13" x14ac:dyDescent="0.25">
      <c r="M7243" s="21"/>
    </row>
    <row r="7244" spans="13:13" x14ac:dyDescent="0.25">
      <c r="M7244" s="21"/>
    </row>
    <row r="7245" spans="13:13" x14ac:dyDescent="0.25">
      <c r="M7245" s="21"/>
    </row>
    <row r="7246" spans="13:13" x14ac:dyDescent="0.25">
      <c r="M7246" s="21"/>
    </row>
    <row r="7247" spans="13:13" x14ac:dyDescent="0.25">
      <c r="M7247" s="21"/>
    </row>
    <row r="7248" spans="13:13" x14ac:dyDescent="0.25">
      <c r="M7248" s="21"/>
    </row>
    <row r="7249" spans="13:13" x14ac:dyDescent="0.25">
      <c r="M7249" s="21"/>
    </row>
    <row r="7250" spans="13:13" x14ac:dyDescent="0.25">
      <c r="M7250" s="21"/>
    </row>
    <row r="7251" spans="13:13" x14ac:dyDescent="0.25">
      <c r="M7251" s="21"/>
    </row>
    <row r="7252" spans="13:13" x14ac:dyDescent="0.25">
      <c r="M7252" s="21"/>
    </row>
    <row r="7253" spans="13:13" x14ac:dyDescent="0.25">
      <c r="M7253" s="21"/>
    </row>
    <row r="7254" spans="13:13" x14ac:dyDescent="0.25">
      <c r="M7254" s="21"/>
    </row>
    <row r="7255" spans="13:13" x14ac:dyDescent="0.25">
      <c r="M7255" s="21"/>
    </row>
    <row r="7256" spans="13:13" x14ac:dyDescent="0.25">
      <c r="M7256" s="21"/>
    </row>
    <row r="7257" spans="13:13" x14ac:dyDescent="0.25">
      <c r="M7257" s="21"/>
    </row>
    <row r="7258" spans="13:13" x14ac:dyDescent="0.25">
      <c r="M7258" s="21"/>
    </row>
    <row r="7259" spans="13:13" x14ac:dyDescent="0.25">
      <c r="M7259" s="21"/>
    </row>
    <row r="7260" spans="13:13" x14ac:dyDescent="0.25">
      <c r="M7260" s="21"/>
    </row>
    <row r="7261" spans="13:13" x14ac:dyDescent="0.25">
      <c r="M7261" s="21"/>
    </row>
    <row r="7262" spans="13:13" x14ac:dyDescent="0.25">
      <c r="M7262" s="21"/>
    </row>
    <row r="7263" spans="13:13" x14ac:dyDescent="0.25">
      <c r="M7263" s="21"/>
    </row>
    <row r="7264" spans="13:13" x14ac:dyDescent="0.25">
      <c r="M7264" s="21"/>
    </row>
    <row r="7265" spans="13:13" x14ac:dyDescent="0.25">
      <c r="M7265" s="21"/>
    </row>
    <row r="7266" spans="13:13" x14ac:dyDescent="0.25">
      <c r="M7266" s="21"/>
    </row>
    <row r="7267" spans="13:13" x14ac:dyDescent="0.25">
      <c r="M7267" s="21"/>
    </row>
    <row r="7268" spans="13:13" x14ac:dyDescent="0.25">
      <c r="M7268" s="21"/>
    </row>
    <row r="7269" spans="13:13" x14ac:dyDescent="0.25">
      <c r="M7269" s="21"/>
    </row>
    <row r="7270" spans="13:13" x14ac:dyDescent="0.25">
      <c r="M7270" s="21"/>
    </row>
    <row r="7271" spans="13:13" x14ac:dyDescent="0.25">
      <c r="M7271" s="21"/>
    </row>
    <row r="7272" spans="13:13" x14ac:dyDescent="0.25">
      <c r="M7272" s="21"/>
    </row>
    <row r="7273" spans="13:13" x14ac:dyDescent="0.25">
      <c r="M7273" s="21"/>
    </row>
    <row r="7274" spans="13:13" x14ac:dyDescent="0.25">
      <c r="M7274" s="21"/>
    </row>
    <row r="7275" spans="13:13" x14ac:dyDescent="0.25">
      <c r="M7275" s="21"/>
    </row>
    <row r="7276" spans="13:13" x14ac:dyDescent="0.25">
      <c r="M7276" s="21"/>
    </row>
    <row r="7277" spans="13:13" x14ac:dyDescent="0.25">
      <c r="M7277" s="21"/>
    </row>
    <row r="7278" spans="13:13" x14ac:dyDescent="0.25">
      <c r="M7278" s="21"/>
    </row>
    <row r="7279" spans="13:13" x14ac:dyDescent="0.25">
      <c r="M7279" s="21"/>
    </row>
    <row r="7280" spans="13:13" x14ac:dyDescent="0.25">
      <c r="M7280" s="21"/>
    </row>
    <row r="7281" spans="13:13" x14ac:dyDescent="0.25">
      <c r="M7281" s="21"/>
    </row>
    <row r="7282" spans="13:13" x14ac:dyDescent="0.25">
      <c r="M7282" s="21"/>
    </row>
    <row r="7283" spans="13:13" x14ac:dyDescent="0.25">
      <c r="M7283" s="21"/>
    </row>
    <row r="7284" spans="13:13" x14ac:dyDescent="0.25">
      <c r="M7284" s="21"/>
    </row>
    <row r="7285" spans="13:13" x14ac:dyDescent="0.25">
      <c r="M7285" s="21"/>
    </row>
    <row r="7286" spans="13:13" x14ac:dyDescent="0.25">
      <c r="M7286" s="21"/>
    </row>
    <row r="7287" spans="13:13" x14ac:dyDescent="0.25">
      <c r="M7287" s="21"/>
    </row>
    <row r="7288" spans="13:13" x14ac:dyDescent="0.25">
      <c r="M7288" s="21"/>
    </row>
    <row r="7289" spans="13:13" x14ac:dyDescent="0.25">
      <c r="M7289" s="21"/>
    </row>
    <row r="7290" spans="13:13" x14ac:dyDescent="0.25">
      <c r="M7290" s="21"/>
    </row>
    <row r="7291" spans="13:13" x14ac:dyDescent="0.25">
      <c r="M7291" s="21"/>
    </row>
    <row r="7292" spans="13:13" x14ac:dyDescent="0.25">
      <c r="M7292" s="21"/>
    </row>
    <row r="7293" spans="13:13" x14ac:dyDescent="0.25">
      <c r="M7293" s="21"/>
    </row>
    <row r="7294" spans="13:13" x14ac:dyDescent="0.25">
      <c r="M7294" s="21"/>
    </row>
    <row r="7295" spans="13:13" x14ac:dyDescent="0.25">
      <c r="M7295" s="21"/>
    </row>
    <row r="7296" spans="13:13" x14ac:dyDescent="0.25">
      <c r="M7296" s="21"/>
    </row>
    <row r="7297" spans="13:13" x14ac:dyDescent="0.25">
      <c r="M7297" s="21"/>
    </row>
    <row r="7298" spans="13:13" x14ac:dyDescent="0.25">
      <c r="M7298" s="21"/>
    </row>
    <row r="7299" spans="13:13" x14ac:dyDescent="0.25">
      <c r="M7299" s="21"/>
    </row>
    <row r="7300" spans="13:13" x14ac:dyDescent="0.25">
      <c r="M7300" s="21"/>
    </row>
    <row r="7301" spans="13:13" x14ac:dyDescent="0.25">
      <c r="M7301" s="21"/>
    </row>
    <row r="7302" spans="13:13" x14ac:dyDescent="0.25">
      <c r="M7302" s="21"/>
    </row>
    <row r="7303" spans="13:13" x14ac:dyDescent="0.25">
      <c r="M7303" s="21"/>
    </row>
    <row r="7304" spans="13:13" x14ac:dyDescent="0.25">
      <c r="M7304" s="21"/>
    </row>
    <row r="7305" spans="13:13" x14ac:dyDescent="0.25">
      <c r="M7305" s="21"/>
    </row>
    <row r="7306" spans="13:13" x14ac:dyDescent="0.25">
      <c r="M7306" s="21"/>
    </row>
    <row r="7307" spans="13:13" x14ac:dyDescent="0.25">
      <c r="M7307" s="21"/>
    </row>
    <row r="7308" spans="13:13" x14ac:dyDescent="0.25">
      <c r="M7308" s="21"/>
    </row>
    <row r="7309" spans="13:13" x14ac:dyDescent="0.25">
      <c r="M7309" s="21"/>
    </row>
    <row r="7310" spans="13:13" x14ac:dyDescent="0.25">
      <c r="M7310" s="21"/>
    </row>
    <row r="7311" spans="13:13" x14ac:dyDescent="0.25">
      <c r="M7311" s="21"/>
    </row>
    <row r="7312" spans="13:13" x14ac:dyDescent="0.25">
      <c r="M7312" s="21"/>
    </row>
    <row r="7313" spans="13:13" x14ac:dyDescent="0.25">
      <c r="M7313" s="21"/>
    </row>
    <row r="7314" spans="13:13" x14ac:dyDescent="0.25">
      <c r="M7314" s="21"/>
    </row>
    <row r="7315" spans="13:13" x14ac:dyDescent="0.25">
      <c r="M7315" s="21"/>
    </row>
    <row r="7316" spans="13:13" x14ac:dyDescent="0.25">
      <c r="M7316" s="21"/>
    </row>
    <row r="7317" spans="13:13" x14ac:dyDescent="0.25">
      <c r="M7317" s="21"/>
    </row>
    <row r="7318" spans="13:13" x14ac:dyDescent="0.25">
      <c r="M7318" s="21"/>
    </row>
    <row r="7319" spans="13:13" x14ac:dyDescent="0.25">
      <c r="M7319" s="21"/>
    </row>
    <row r="7320" spans="13:13" x14ac:dyDescent="0.25">
      <c r="M7320" s="21"/>
    </row>
    <row r="7321" spans="13:13" x14ac:dyDescent="0.25">
      <c r="M7321" s="21"/>
    </row>
    <row r="7322" spans="13:13" x14ac:dyDescent="0.25">
      <c r="M7322" s="21"/>
    </row>
    <row r="7323" spans="13:13" x14ac:dyDescent="0.25">
      <c r="M7323" s="21"/>
    </row>
    <row r="7324" spans="13:13" x14ac:dyDescent="0.25">
      <c r="M7324" s="21"/>
    </row>
    <row r="7325" spans="13:13" x14ac:dyDescent="0.25">
      <c r="M7325" s="21"/>
    </row>
    <row r="7326" spans="13:13" x14ac:dyDescent="0.25">
      <c r="M7326" s="21"/>
    </row>
    <row r="7327" spans="13:13" x14ac:dyDescent="0.25">
      <c r="M7327" s="21"/>
    </row>
    <row r="7328" spans="13:13" x14ac:dyDescent="0.25">
      <c r="M7328" s="21"/>
    </row>
    <row r="7329" spans="13:13" x14ac:dyDescent="0.25">
      <c r="M7329" s="21"/>
    </row>
    <row r="7330" spans="13:13" x14ac:dyDescent="0.25">
      <c r="M7330" s="21"/>
    </row>
    <row r="7331" spans="13:13" x14ac:dyDescent="0.25">
      <c r="M7331" s="21"/>
    </row>
    <row r="7332" spans="13:13" x14ac:dyDescent="0.25">
      <c r="M7332" s="21"/>
    </row>
    <row r="7333" spans="13:13" x14ac:dyDescent="0.25">
      <c r="M7333" s="21"/>
    </row>
    <row r="7334" spans="13:13" x14ac:dyDescent="0.25">
      <c r="M7334" s="21"/>
    </row>
    <row r="7335" spans="13:13" x14ac:dyDescent="0.25">
      <c r="M7335" s="21"/>
    </row>
    <row r="7336" spans="13:13" x14ac:dyDescent="0.25">
      <c r="M7336" s="21"/>
    </row>
    <row r="7337" spans="13:13" x14ac:dyDescent="0.25">
      <c r="M7337" s="21"/>
    </row>
    <row r="7338" spans="13:13" x14ac:dyDescent="0.25">
      <c r="M7338" s="21"/>
    </row>
    <row r="7339" spans="13:13" x14ac:dyDescent="0.25">
      <c r="M7339" s="21"/>
    </row>
    <row r="7340" spans="13:13" x14ac:dyDescent="0.25">
      <c r="M7340" s="21"/>
    </row>
    <row r="7341" spans="13:13" x14ac:dyDescent="0.25">
      <c r="M7341" s="21"/>
    </row>
    <row r="7342" spans="13:13" x14ac:dyDescent="0.25">
      <c r="M7342" s="21"/>
    </row>
    <row r="7343" spans="13:13" x14ac:dyDescent="0.25">
      <c r="M7343" s="21"/>
    </row>
    <row r="7344" spans="13:13" x14ac:dyDescent="0.25">
      <c r="M7344" s="21"/>
    </row>
    <row r="7345" spans="13:13" x14ac:dyDescent="0.25">
      <c r="M7345" s="21"/>
    </row>
    <row r="7346" spans="13:13" x14ac:dyDescent="0.25">
      <c r="M7346" s="21"/>
    </row>
    <row r="7347" spans="13:13" x14ac:dyDescent="0.25">
      <c r="M7347" s="21"/>
    </row>
    <row r="7348" spans="13:13" x14ac:dyDescent="0.25">
      <c r="M7348" s="21"/>
    </row>
    <row r="7349" spans="13:13" x14ac:dyDescent="0.25">
      <c r="M7349" s="21"/>
    </row>
    <row r="7350" spans="13:13" x14ac:dyDescent="0.25">
      <c r="M7350" s="21"/>
    </row>
    <row r="7351" spans="13:13" x14ac:dyDescent="0.25">
      <c r="M7351" s="21"/>
    </row>
    <row r="7352" spans="13:13" x14ac:dyDescent="0.25">
      <c r="M7352" s="21"/>
    </row>
    <row r="7353" spans="13:13" x14ac:dyDescent="0.25">
      <c r="M7353" s="21"/>
    </row>
    <row r="7354" spans="13:13" x14ac:dyDescent="0.25">
      <c r="M7354" s="21"/>
    </row>
    <row r="7355" spans="13:13" x14ac:dyDescent="0.25">
      <c r="M7355" s="21"/>
    </row>
    <row r="7356" spans="13:13" x14ac:dyDescent="0.25">
      <c r="M7356" s="21"/>
    </row>
    <row r="7357" spans="13:13" x14ac:dyDescent="0.25">
      <c r="M7357" s="21"/>
    </row>
    <row r="7358" spans="13:13" x14ac:dyDescent="0.25">
      <c r="M7358" s="21"/>
    </row>
    <row r="7359" spans="13:13" x14ac:dyDescent="0.25">
      <c r="M7359" s="21"/>
    </row>
    <row r="7360" spans="13:13" x14ac:dyDescent="0.25">
      <c r="M7360" s="21"/>
    </row>
    <row r="7361" spans="13:13" x14ac:dyDescent="0.25">
      <c r="M7361" s="21"/>
    </row>
    <row r="7362" spans="13:13" x14ac:dyDescent="0.25">
      <c r="M7362" s="21"/>
    </row>
    <row r="7363" spans="13:13" x14ac:dyDescent="0.25">
      <c r="M7363" s="21"/>
    </row>
    <row r="7364" spans="13:13" x14ac:dyDescent="0.25">
      <c r="M7364" s="21"/>
    </row>
    <row r="7365" spans="13:13" x14ac:dyDescent="0.25">
      <c r="M7365" s="21"/>
    </row>
    <row r="7366" spans="13:13" x14ac:dyDescent="0.25">
      <c r="M7366" s="21"/>
    </row>
    <row r="7367" spans="13:13" x14ac:dyDescent="0.25">
      <c r="M7367" s="21"/>
    </row>
    <row r="7368" spans="13:13" x14ac:dyDescent="0.25">
      <c r="M7368" s="21"/>
    </row>
    <row r="7369" spans="13:13" x14ac:dyDescent="0.25">
      <c r="M7369" s="21"/>
    </row>
    <row r="7370" spans="13:13" x14ac:dyDescent="0.25">
      <c r="M7370" s="21"/>
    </row>
    <row r="7371" spans="13:13" x14ac:dyDescent="0.25">
      <c r="M7371" s="21"/>
    </row>
    <row r="7372" spans="13:13" x14ac:dyDescent="0.25">
      <c r="M7372" s="21"/>
    </row>
    <row r="7373" spans="13:13" x14ac:dyDescent="0.25">
      <c r="M7373" s="21"/>
    </row>
    <row r="7374" spans="13:13" x14ac:dyDescent="0.25">
      <c r="M7374" s="21"/>
    </row>
    <row r="7375" spans="13:13" x14ac:dyDescent="0.25">
      <c r="M7375" s="21"/>
    </row>
    <row r="7376" spans="13:13" x14ac:dyDescent="0.25">
      <c r="M7376" s="21"/>
    </row>
    <row r="7377" spans="13:13" x14ac:dyDescent="0.25">
      <c r="M7377" s="21"/>
    </row>
    <row r="7378" spans="13:13" x14ac:dyDescent="0.25">
      <c r="M7378" s="21"/>
    </row>
    <row r="7379" spans="13:13" x14ac:dyDescent="0.25">
      <c r="M7379" s="21"/>
    </row>
    <row r="7380" spans="13:13" x14ac:dyDescent="0.25">
      <c r="M7380" s="21"/>
    </row>
    <row r="7381" spans="13:13" x14ac:dyDescent="0.25">
      <c r="M7381" s="21"/>
    </row>
    <row r="7382" spans="13:13" x14ac:dyDescent="0.25">
      <c r="M7382" s="21"/>
    </row>
    <row r="7383" spans="13:13" x14ac:dyDescent="0.25">
      <c r="M7383" s="21"/>
    </row>
    <row r="7384" spans="13:13" x14ac:dyDescent="0.25">
      <c r="M7384" s="21"/>
    </row>
    <row r="7385" spans="13:13" x14ac:dyDescent="0.25">
      <c r="M7385" s="21"/>
    </row>
    <row r="7386" spans="13:13" x14ac:dyDescent="0.25">
      <c r="M7386" s="21"/>
    </row>
    <row r="7387" spans="13:13" x14ac:dyDescent="0.25">
      <c r="M7387" s="21"/>
    </row>
    <row r="7388" spans="13:13" x14ac:dyDescent="0.25">
      <c r="M7388" s="21"/>
    </row>
    <row r="7389" spans="13:13" x14ac:dyDescent="0.25">
      <c r="M7389" s="21"/>
    </row>
    <row r="7390" spans="13:13" x14ac:dyDescent="0.25">
      <c r="M7390" s="21"/>
    </row>
    <row r="7391" spans="13:13" x14ac:dyDescent="0.25">
      <c r="M7391" s="21"/>
    </row>
    <row r="7392" spans="13:13" x14ac:dyDescent="0.25">
      <c r="M7392" s="21"/>
    </row>
    <row r="7393" spans="13:13" x14ac:dyDescent="0.25">
      <c r="M7393" s="21"/>
    </row>
    <row r="7394" spans="13:13" x14ac:dyDescent="0.25">
      <c r="M7394" s="21"/>
    </row>
    <row r="7395" spans="13:13" x14ac:dyDescent="0.25">
      <c r="M7395" s="21"/>
    </row>
    <row r="7396" spans="13:13" x14ac:dyDescent="0.25">
      <c r="M7396" s="21"/>
    </row>
    <row r="7397" spans="13:13" x14ac:dyDescent="0.25">
      <c r="M7397" s="21"/>
    </row>
    <row r="7398" spans="13:13" x14ac:dyDescent="0.25">
      <c r="M7398" s="21"/>
    </row>
    <row r="7399" spans="13:13" x14ac:dyDescent="0.25">
      <c r="M7399" s="21"/>
    </row>
    <row r="7400" spans="13:13" x14ac:dyDescent="0.25">
      <c r="M7400" s="21"/>
    </row>
    <row r="7401" spans="13:13" x14ac:dyDescent="0.25">
      <c r="M7401" s="21"/>
    </row>
    <row r="7402" spans="13:13" x14ac:dyDescent="0.25">
      <c r="M7402" s="21"/>
    </row>
    <row r="7403" spans="13:13" x14ac:dyDescent="0.25">
      <c r="M7403" s="21"/>
    </row>
    <row r="7404" spans="13:13" x14ac:dyDescent="0.25">
      <c r="M7404" s="21"/>
    </row>
    <row r="7405" spans="13:13" x14ac:dyDescent="0.25">
      <c r="M7405" s="21"/>
    </row>
    <row r="7406" spans="13:13" x14ac:dyDescent="0.25">
      <c r="M7406" s="21"/>
    </row>
    <row r="7407" spans="13:13" x14ac:dyDescent="0.25">
      <c r="M7407" s="21"/>
    </row>
    <row r="7408" spans="13:13" x14ac:dyDescent="0.25">
      <c r="M7408" s="21"/>
    </row>
    <row r="7409" spans="13:13" x14ac:dyDescent="0.25">
      <c r="M7409" s="21"/>
    </row>
    <row r="7410" spans="13:13" x14ac:dyDescent="0.25">
      <c r="M7410" s="21"/>
    </row>
    <row r="7411" spans="13:13" x14ac:dyDescent="0.25">
      <c r="M7411" s="21"/>
    </row>
    <row r="7412" spans="13:13" x14ac:dyDescent="0.25">
      <c r="M7412" s="21"/>
    </row>
    <row r="7413" spans="13:13" x14ac:dyDescent="0.25">
      <c r="M7413" s="21"/>
    </row>
    <row r="7414" spans="13:13" x14ac:dyDescent="0.25">
      <c r="M7414" s="21"/>
    </row>
    <row r="7415" spans="13:13" x14ac:dyDescent="0.25">
      <c r="M7415" s="21"/>
    </row>
    <row r="7416" spans="13:13" x14ac:dyDescent="0.25">
      <c r="M7416" s="21"/>
    </row>
    <row r="7417" spans="13:13" x14ac:dyDescent="0.25">
      <c r="M7417" s="21"/>
    </row>
    <row r="7418" spans="13:13" x14ac:dyDescent="0.25">
      <c r="M7418" s="21"/>
    </row>
    <row r="7419" spans="13:13" x14ac:dyDescent="0.25">
      <c r="M7419" s="21"/>
    </row>
    <row r="7420" spans="13:13" x14ac:dyDescent="0.25">
      <c r="M7420" s="21"/>
    </row>
    <row r="7421" spans="13:13" x14ac:dyDescent="0.25">
      <c r="M7421" s="21"/>
    </row>
    <row r="7422" spans="13:13" x14ac:dyDescent="0.25">
      <c r="M7422" s="21"/>
    </row>
    <row r="7423" spans="13:13" x14ac:dyDescent="0.25">
      <c r="M7423" s="21"/>
    </row>
    <row r="7424" spans="13:13" x14ac:dyDescent="0.25">
      <c r="M7424" s="21"/>
    </row>
    <row r="7425" spans="13:13" x14ac:dyDescent="0.25">
      <c r="M7425" s="21"/>
    </row>
    <row r="7426" spans="13:13" x14ac:dyDescent="0.25">
      <c r="M7426" s="21"/>
    </row>
    <row r="7427" spans="13:13" x14ac:dyDescent="0.25">
      <c r="M7427" s="21"/>
    </row>
    <row r="7428" spans="13:13" x14ac:dyDescent="0.25">
      <c r="M7428" s="21"/>
    </row>
    <row r="7429" spans="13:13" x14ac:dyDescent="0.25">
      <c r="M7429" s="21"/>
    </row>
    <row r="7430" spans="13:13" x14ac:dyDescent="0.25">
      <c r="M7430" s="21"/>
    </row>
    <row r="7431" spans="13:13" x14ac:dyDescent="0.25">
      <c r="M7431" s="21"/>
    </row>
    <row r="7432" spans="13:13" x14ac:dyDescent="0.25">
      <c r="M7432" s="21"/>
    </row>
    <row r="7433" spans="13:13" x14ac:dyDescent="0.25">
      <c r="M7433" s="21"/>
    </row>
    <row r="7434" spans="13:13" x14ac:dyDescent="0.25">
      <c r="M7434" s="21"/>
    </row>
    <row r="7435" spans="13:13" x14ac:dyDescent="0.25">
      <c r="M7435" s="21"/>
    </row>
    <row r="7436" spans="13:13" x14ac:dyDescent="0.25">
      <c r="M7436" s="21"/>
    </row>
    <row r="7437" spans="13:13" x14ac:dyDescent="0.25">
      <c r="M7437" s="21"/>
    </row>
    <row r="7438" spans="13:13" x14ac:dyDescent="0.25">
      <c r="M7438" s="21"/>
    </row>
    <row r="7439" spans="13:13" x14ac:dyDescent="0.25">
      <c r="M7439" s="21"/>
    </row>
    <row r="7440" spans="13:13" x14ac:dyDescent="0.25">
      <c r="M7440" s="21"/>
    </row>
    <row r="7441" spans="13:13" x14ac:dyDescent="0.25">
      <c r="M7441" s="21"/>
    </row>
    <row r="7442" spans="13:13" x14ac:dyDescent="0.25">
      <c r="M7442" s="21"/>
    </row>
    <row r="7443" spans="13:13" x14ac:dyDescent="0.25">
      <c r="M7443" s="21"/>
    </row>
    <row r="7444" spans="13:13" x14ac:dyDescent="0.25">
      <c r="M7444" s="21"/>
    </row>
    <row r="7445" spans="13:13" x14ac:dyDescent="0.25">
      <c r="M7445" s="21"/>
    </row>
    <row r="7446" spans="13:13" x14ac:dyDescent="0.25">
      <c r="M7446" s="21"/>
    </row>
    <row r="7447" spans="13:13" x14ac:dyDescent="0.25">
      <c r="M7447" s="21"/>
    </row>
    <row r="7448" spans="13:13" x14ac:dyDescent="0.25">
      <c r="M7448" s="21"/>
    </row>
    <row r="7449" spans="13:13" x14ac:dyDescent="0.25">
      <c r="M7449" s="21"/>
    </row>
    <row r="7450" spans="13:13" x14ac:dyDescent="0.25">
      <c r="M7450" s="21"/>
    </row>
    <row r="7451" spans="13:13" x14ac:dyDescent="0.25">
      <c r="M7451" s="21"/>
    </row>
    <row r="7452" spans="13:13" x14ac:dyDescent="0.25">
      <c r="M7452" s="21"/>
    </row>
    <row r="7453" spans="13:13" x14ac:dyDescent="0.25">
      <c r="M7453" s="21"/>
    </row>
    <row r="7454" spans="13:13" x14ac:dyDescent="0.25">
      <c r="M7454" s="21"/>
    </row>
    <row r="7455" spans="13:13" x14ac:dyDescent="0.25">
      <c r="M7455" s="21"/>
    </row>
    <row r="7456" spans="13:13" x14ac:dyDescent="0.25">
      <c r="M7456" s="21"/>
    </row>
    <row r="7457" spans="13:13" x14ac:dyDescent="0.25">
      <c r="M7457" s="21"/>
    </row>
    <row r="7458" spans="13:13" x14ac:dyDescent="0.25">
      <c r="M7458" s="21"/>
    </row>
    <row r="7459" spans="13:13" x14ac:dyDescent="0.25">
      <c r="M7459" s="21"/>
    </row>
    <row r="7460" spans="13:13" x14ac:dyDescent="0.25">
      <c r="M7460" s="21"/>
    </row>
    <row r="7461" spans="13:13" x14ac:dyDescent="0.25">
      <c r="M7461" s="21"/>
    </row>
    <row r="7462" spans="13:13" x14ac:dyDescent="0.25">
      <c r="M7462" s="21"/>
    </row>
    <row r="7463" spans="13:13" x14ac:dyDescent="0.25">
      <c r="M7463" s="21"/>
    </row>
    <row r="7464" spans="13:13" x14ac:dyDescent="0.25">
      <c r="M7464" s="21"/>
    </row>
    <row r="7465" spans="13:13" x14ac:dyDescent="0.25">
      <c r="M7465" s="21"/>
    </row>
    <row r="7466" spans="13:13" x14ac:dyDescent="0.25">
      <c r="M7466" s="21"/>
    </row>
    <row r="7467" spans="13:13" x14ac:dyDescent="0.25">
      <c r="M7467" s="21"/>
    </row>
    <row r="7468" spans="13:13" x14ac:dyDescent="0.25">
      <c r="M7468" s="21"/>
    </row>
    <row r="7469" spans="13:13" x14ac:dyDescent="0.25">
      <c r="M7469" s="21"/>
    </row>
    <row r="7470" spans="13:13" x14ac:dyDescent="0.25">
      <c r="M7470" s="21"/>
    </row>
    <row r="7471" spans="13:13" x14ac:dyDescent="0.25">
      <c r="M7471" s="21"/>
    </row>
    <row r="7472" spans="13:13" x14ac:dyDescent="0.25">
      <c r="M7472" s="21"/>
    </row>
    <row r="7473" spans="13:13" x14ac:dyDescent="0.25">
      <c r="M7473" s="21"/>
    </row>
    <row r="7474" spans="13:13" x14ac:dyDescent="0.25">
      <c r="M7474" s="21"/>
    </row>
    <row r="7475" spans="13:13" x14ac:dyDescent="0.25">
      <c r="M7475" s="21"/>
    </row>
    <row r="7476" spans="13:13" x14ac:dyDescent="0.25">
      <c r="M7476" s="21"/>
    </row>
    <row r="7477" spans="13:13" x14ac:dyDescent="0.25">
      <c r="M7477" s="21"/>
    </row>
    <row r="7478" spans="13:13" x14ac:dyDescent="0.25">
      <c r="M7478" s="21"/>
    </row>
    <row r="7479" spans="13:13" x14ac:dyDescent="0.25">
      <c r="M7479" s="21"/>
    </row>
    <row r="7480" spans="13:13" x14ac:dyDescent="0.25">
      <c r="M7480" s="21"/>
    </row>
    <row r="7481" spans="13:13" x14ac:dyDescent="0.25">
      <c r="M7481" s="21"/>
    </row>
    <row r="7482" spans="13:13" x14ac:dyDescent="0.25">
      <c r="M7482" s="21"/>
    </row>
    <row r="7483" spans="13:13" x14ac:dyDescent="0.25">
      <c r="M7483" s="21"/>
    </row>
    <row r="7484" spans="13:13" x14ac:dyDescent="0.25">
      <c r="M7484" s="21"/>
    </row>
    <row r="7485" spans="13:13" x14ac:dyDescent="0.25">
      <c r="M7485" s="21"/>
    </row>
    <row r="7486" spans="13:13" x14ac:dyDescent="0.25">
      <c r="M7486" s="21"/>
    </row>
    <row r="7487" spans="13:13" x14ac:dyDescent="0.25">
      <c r="M7487" s="21"/>
    </row>
    <row r="7488" spans="13:13" x14ac:dyDescent="0.25">
      <c r="M7488" s="21"/>
    </row>
    <row r="7489" spans="13:13" x14ac:dyDescent="0.25">
      <c r="M7489" s="21"/>
    </row>
    <row r="7490" spans="13:13" x14ac:dyDescent="0.25">
      <c r="M7490" s="21"/>
    </row>
    <row r="7491" spans="13:13" x14ac:dyDescent="0.25">
      <c r="M7491" s="21"/>
    </row>
    <row r="7492" spans="13:13" x14ac:dyDescent="0.25">
      <c r="M7492" s="21"/>
    </row>
    <row r="7493" spans="13:13" x14ac:dyDescent="0.25">
      <c r="M7493" s="21"/>
    </row>
    <row r="7494" spans="13:13" x14ac:dyDescent="0.25">
      <c r="M7494" s="21"/>
    </row>
    <row r="7495" spans="13:13" x14ac:dyDescent="0.25">
      <c r="M7495" s="21"/>
    </row>
    <row r="7496" spans="13:13" x14ac:dyDescent="0.25">
      <c r="M7496" s="21"/>
    </row>
    <row r="7497" spans="13:13" x14ac:dyDescent="0.25">
      <c r="M7497" s="21"/>
    </row>
    <row r="7498" spans="13:13" x14ac:dyDescent="0.25">
      <c r="M7498" s="21"/>
    </row>
    <row r="7499" spans="13:13" x14ac:dyDescent="0.25">
      <c r="M7499" s="21"/>
    </row>
    <row r="7500" spans="13:13" x14ac:dyDescent="0.25">
      <c r="M7500" s="21"/>
    </row>
    <row r="7501" spans="13:13" x14ac:dyDescent="0.25">
      <c r="M7501" s="21"/>
    </row>
    <row r="7502" spans="13:13" x14ac:dyDescent="0.25">
      <c r="M7502" s="21"/>
    </row>
    <row r="7503" spans="13:13" x14ac:dyDescent="0.25">
      <c r="M7503" s="21"/>
    </row>
    <row r="7504" spans="13:13" x14ac:dyDescent="0.25">
      <c r="M7504" s="21"/>
    </row>
    <row r="7505" spans="13:13" x14ac:dyDescent="0.25">
      <c r="M7505" s="21"/>
    </row>
    <row r="7506" spans="13:13" x14ac:dyDescent="0.25">
      <c r="M7506" s="21"/>
    </row>
    <row r="7507" spans="13:13" x14ac:dyDescent="0.25">
      <c r="M7507" s="21"/>
    </row>
    <row r="7508" spans="13:13" x14ac:dyDescent="0.25">
      <c r="M7508" s="21"/>
    </row>
    <row r="7509" spans="13:13" x14ac:dyDescent="0.25">
      <c r="M7509" s="21"/>
    </row>
    <row r="7510" spans="13:13" x14ac:dyDescent="0.25">
      <c r="M7510" s="21"/>
    </row>
    <row r="7511" spans="13:13" x14ac:dyDescent="0.25">
      <c r="M7511" s="21"/>
    </row>
    <row r="7512" spans="13:13" x14ac:dyDescent="0.25">
      <c r="M7512" s="21"/>
    </row>
    <row r="7513" spans="13:13" x14ac:dyDescent="0.25">
      <c r="M7513" s="21"/>
    </row>
    <row r="7514" spans="13:13" x14ac:dyDescent="0.25">
      <c r="M7514" s="21"/>
    </row>
    <row r="7515" spans="13:13" x14ac:dyDescent="0.25">
      <c r="M7515" s="21"/>
    </row>
    <row r="7516" spans="13:13" x14ac:dyDescent="0.25">
      <c r="M7516" s="21"/>
    </row>
    <row r="7517" spans="13:13" x14ac:dyDescent="0.25">
      <c r="M7517" s="21"/>
    </row>
    <row r="7518" spans="13:13" x14ac:dyDescent="0.25">
      <c r="M7518" s="21"/>
    </row>
    <row r="7519" spans="13:13" x14ac:dyDescent="0.25">
      <c r="M7519" s="21"/>
    </row>
    <row r="7520" spans="13:13" x14ac:dyDescent="0.25">
      <c r="M7520" s="21"/>
    </row>
    <row r="7521" spans="13:13" x14ac:dyDescent="0.25">
      <c r="M7521" s="21"/>
    </row>
    <row r="7522" spans="13:13" x14ac:dyDescent="0.25">
      <c r="M7522" s="21"/>
    </row>
    <row r="7523" spans="13:13" x14ac:dyDescent="0.25">
      <c r="M7523" s="21"/>
    </row>
    <row r="7524" spans="13:13" x14ac:dyDescent="0.25">
      <c r="M7524" s="21"/>
    </row>
    <row r="7525" spans="13:13" x14ac:dyDescent="0.25">
      <c r="M7525" s="21"/>
    </row>
    <row r="7526" spans="13:13" x14ac:dyDescent="0.25">
      <c r="M7526" s="21"/>
    </row>
    <row r="7527" spans="13:13" x14ac:dyDescent="0.25">
      <c r="M7527" s="21"/>
    </row>
    <row r="7528" spans="13:13" x14ac:dyDescent="0.25">
      <c r="M7528" s="21"/>
    </row>
    <row r="7529" spans="13:13" x14ac:dyDescent="0.25">
      <c r="M7529" s="21"/>
    </row>
    <row r="7530" spans="13:13" x14ac:dyDescent="0.25">
      <c r="M7530" s="21"/>
    </row>
    <row r="7531" spans="13:13" x14ac:dyDescent="0.25">
      <c r="M7531" s="21"/>
    </row>
    <row r="7532" spans="13:13" x14ac:dyDescent="0.25">
      <c r="M7532" s="21"/>
    </row>
    <row r="7533" spans="13:13" x14ac:dyDescent="0.25">
      <c r="M7533" s="21"/>
    </row>
    <row r="7534" spans="13:13" x14ac:dyDescent="0.25">
      <c r="M7534" s="21"/>
    </row>
    <row r="7535" spans="13:13" x14ac:dyDescent="0.25">
      <c r="M7535" s="21"/>
    </row>
    <row r="7536" spans="13:13" x14ac:dyDescent="0.25">
      <c r="M7536" s="21"/>
    </row>
    <row r="7537" spans="13:13" x14ac:dyDescent="0.25">
      <c r="M7537" s="21"/>
    </row>
    <row r="7538" spans="13:13" x14ac:dyDescent="0.25">
      <c r="M7538" s="21"/>
    </row>
    <row r="7539" spans="13:13" x14ac:dyDescent="0.25">
      <c r="M7539" s="21"/>
    </row>
    <row r="7540" spans="13:13" x14ac:dyDescent="0.25">
      <c r="M7540" s="21"/>
    </row>
    <row r="7541" spans="13:13" x14ac:dyDescent="0.25">
      <c r="M7541" s="21"/>
    </row>
    <row r="7542" spans="13:13" x14ac:dyDescent="0.25">
      <c r="M7542" s="21"/>
    </row>
    <row r="7543" spans="13:13" x14ac:dyDescent="0.25">
      <c r="M7543" s="21"/>
    </row>
    <row r="7544" spans="13:13" x14ac:dyDescent="0.25">
      <c r="M7544" s="21"/>
    </row>
    <row r="7545" spans="13:13" x14ac:dyDescent="0.25">
      <c r="M7545" s="21"/>
    </row>
    <row r="7546" spans="13:13" x14ac:dyDescent="0.25">
      <c r="M7546" s="21"/>
    </row>
    <row r="7547" spans="13:13" x14ac:dyDescent="0.25">
      <c r="M7547" s="21"/>
    </row>
    <row r="7548" spans="13:13" x14ac:dyDescent="0.25">
      <c r="M7548" s="21"/>
    </row>
    <row r="7549" spans="13:13" x14ac:dyDescent="0.25">
      <c r="M7549" s="21"/>
    </row>
    <row r="7550" spans="13:13" x14ac:dyDescent="0.25">
      <c r="M7550" s="21"/>
    </row>
    <row r="7551" spans="13:13" x14ac:dyDescent="0.25">
      <c r="M7551" s="21"/>
    </row>
    <row r="7552" spans="13:13" x14ac:dyDescent="0.25">
      <c r="M7552" s="21"/>
    </row>
    <row r="7553" spans="13:13" x14ac:dyDescent="0.25">
      <c r="M7553" s="21"/>
    </row>
    <row r="7554" spans="13:13" x14ac:dyDescent="0.25">
      <c r="M7554" s="21"/>
    </row>
    <row r="7555" spans="13:13" x14ac:dyDescent="0.25">
      <c r="M7555" s="21"/>
    </row>
    <row r="7556" spans="13:13" x14ac:dyDescent="0.25">
      <c r="M7556" s="21"/>
    </row>
    <row r="7557" spans="13:13" x14ac:dyDescent="0.25">
      <c r="M7557" s="21"/>
    </row>
    <row r="7558" spans="13:13" x14ac:dyDescent="0.25">
      <c r="M7558" s="21"/>
    </row>
    <row r="7559" spans="13:13" x14ac:dyDescent="0.25">
      <c r="M7559" s="21"/>
    </row>
    <row r="7560" spans="13:13" x14ac:dyDescent="0.25">
      <c r="M7560" s="21"/>
    </row>
    <row r="7561" spans="13:13" x14ac:dyDescent="0.25">
      <c r="M7561" s="21"/>
    </row>
    <row r="7562" spans="13:13" x14ac:dyDescent="0.25">
      <c r="M7562" s="21"/>
    </row>
    <row r="7563" spans="13:13" x14ac:dyDescent="0.25">
      <c r="M7563" s="21"/>
    </row>
    <row r="7564" spans="13:13" x14ac:dyDescent="0.25">
      <c r="M7564" s="21"/>
    </row>
    <row r="7565" spans="13:13" x14ac:dyDescent="0.25">
      <c r="M7565" s="21"/>
    </row>
    <row r="7566" spans="13:13" x14ac:dyDescent="0.25">
      <c r="M7566" s="21"/>
    </row>
    <row r="7567" spans="13:13" x14ac:dyDescent="0.25">
      <c r="M7567" s="21"/>
    </row>
    <row r="7568" spans="13:13" x14ac:dyDescent="0.25">
      <c r="M7568" s="21"/>
    </row>
    <row r="7569" spans="13:13" x14ac:dyDescent="0.25">
      <c r="M7569" s="21"/>
    </row>
    <row r="7570" spans="13:13" x14ac:dyDescent="0.25">
      <c r="M7570" s="21"/>
    </row>
    <row r="7571" spans="13:13" x14ac:dyDescent="0.25">
      <c r="M7571" s="21"/>
    </row>
    <row r="7572" spans="13:13" x14ac:dyDescent="0.25">
      <c r="M7572" s="21"/>
    </row>
    <row r="7573" spans="13:13" x14ac:dyDescent="0.25">
      <c r="M7573" s="21"/>
    </row>
    <row r="7574" spans="13:13" x14ac:dyDescent="0.25">
      <c r="M7574" s="21"/>
    </row>
    <row r="7575" spans="13:13" x14ac:dyDescent="0.25">
      <c r="M7575" s="21"/>
    </row>
    <row r="7576" spans="13:13" x14ac:dyDescent="0.25">
      <c r="M7576" s="21"/>
    </row>
    <row r="7577" spans="13:13" x14ac:dyDescent="0.25">
      <c r="M7577" s="21"/>
    </row>
    <row r="7578" spans="13:13" x14ac:dyDescent="0.25">
      <c r="M7578" s="21"/>
    </row>
    <row r="7579" spans="13:13" x14ac:dyDescent="0.25">
      <c r="M7579" s="21"/>
    </row>
    <row r="7580" spans="13:13" x14ac:dyDescent="0.25">
      <c r="M7580" s="21"/>
    </row>
    <row r="7581" spans="13:13" x14ac:dyDescent="0.25">
      <c r="M7581" s="21"/>
    </row>
    <row r="7582" spans="13:13" x14ac:dyDescent="0.25">
      <c r="M7582" s="21"/>
    </row>
    <row r="7583" spans="13:13" x14ac:dyDescent="0.25">
      <c r="M7583" s="21"/>
    </row>
    <row r="7584" spans="13:13" x14ac:dyDescent="0.25">
      <c r="M7584" s="21"/>
    </row>
    <row r="7585" spans="13:13" x14ac:dyDescent="0.25">
      <c r="M7585" s="21"/>
    </row>
    <row r="7586" spans="13:13" x14ac:dyDescent="0.25">
      <c r="M7586" s="21"/>
    </row>
    <row r="7587" spans="13:13" x14ac:dyDescent="0.25">
      <c r="M7587" s="21"/>
    </row>
    <row r="7588" spans="13:13" x14ac:dyDescent="0.25">
      <c r="M7588" s="21"/>
    </row>
    <row r="7589" spans="13:13" x14ac:dyDescent="0.25">
      <c r="M7589" s="21"/>
    </row>
    <row r="7590" spans="13:13" x14ac:dyDescent="0.25">
      <c r="M7590" s="21"/>
    </row>
    <row r="7591" spans="13:13" x14ac:dyDescent="0.25">
      <c r="M7591" s="21"/>
    </row>
    <row r="7592" spans="13:13" x14ac:dyDescent="0.25">
      <c r="M7592" s="21"/>
    </row>
    <row r="7593" spans="13:13" x14ac:dyDescent="0.25">
      <c r="M7593" s="21"/>
    </row>
    <row r="7594" spans="13:13" x14ac:dyDescent="0.25">
      <c r="M7594" s="21"/>
    </row>
    <row r="7595" spans="13:13" x14ac:dyDescent="0.25">
      <c r="M7595" s="21"/>
    </row>
    <row r="7596" spans="13:13" x14ac:dyDescent="0.25">
      <c r="M7596" s="21"/>
    </row>
    <row r="7597" spans="13:13" x14ac:dyDescent="0.25">
      <c r="M7597" s="21"/>
    </row>
    <row r="7598" spans="13:13" x14ac:dyDescent="0.25">
      <c r="M7598" s="21"/>
    </row>
    <row r="7599" spans="13:13" x14ac:dyDescent="0.25">
      <c r="M7599" s="21"/>
    </row>
    <row r="7600" spans="13:13" x14ac:dyDescent="0.25">
      <c r="M7600" s="21"/>
    </row>
    <row r="7601" spans="13:13" x14ac:dyDescent="0.25">
      <c r="M7601" s="21"/>
    </row>
    <row r="7602" spans="13:13" x14ac:dyDescent="0.25">
      <c r="M7602" s="21"/>
    </row>
    <row r="7603" spans="13:13" x14ac:dyDescent="0.25">
      <c r="M7603" s="21"/>
    </row>
    <row r="7604" spans="13:13" x14ac:dyDescent="0.25">
      <c r="M7604" s="21"/>
    </row>
    <row r="7605" spans="13:13" x14ac:dyDescent="0.25">
      <c r="M7605" s="21"/>
    </row>
    <row r="7606" spans="13:13" x14ac:dyDescent="0.25">
      <c r="M7606" s="21"/>
    </row>
    <row r="7607" spans="13:13" x14ac:dyDescent="0.25">
      <c r="M7607" s="21"/>
    </row>
    <row r="7608" spans="13:13" x14ac:dyDescent="0.25">
      <c r="M7608" s="21"/>
    </row>
    <row r="7609" spans="13:13" x14ac:dyDescent="0.25">
      <c r="M7609" s="21"/>
    </row>
    <row r="7610" spans="13:13" x14ac:dyDescent="0.25">
      <c r="M7610" s="21"/>
    </row>
    <row r="7611" spans="13:13" x14ac:dyDescent="0.25">
      <c r="M7611" s="21"/>
    </row>
    <row r="7612" spans="13:13" x14ac:dyDescent="0.25">
      <c r="M7612" s="21"/>
    </row>
    <row r="7613" spans="13:13" x14ac:dyDescent="0.25">
      <c r="M7613" s="21"/>
    </row>
    <row r="7614" spans="13:13" x14ac:dyDescent="0.25">
      <c r="M7614" s="21"/>
    </row>
    <row r="7615" spans="13:13" x14ac:dyDescent="0.25">
      <c r="M7615" s="21"/>
    </row>
    <row r="7616" spans="13:13" x14ac:dyDescent="0.25">
      <c r="M7616" s="21"/>
    </row>
    <row r="7617" spans="13:13" x14ac:dyDescent="0.25">
      <c r="M7617" s="21"/>
    </row>
    <row r="7618" spans="13:13" x14ac:dyDescent="0.25">
      <c r="M7618" s="21"/>
    </row>
    <row r="7619" spans="13:13" x14ac:dyDescent="0.25">
      <c r="M7619" s="21"/>
    </row>
    <row r="7620" spans="13:13" x14ac:dyDescent="0.25">
      <c r="M7620" s="21"/>
    </row>
    <row r="7621" spans="13:13" x14ac:dyDescent="0.25">
      <c r="M7621" s="21"/>
    </row>
    <row r="7622" spans="13:13" x14ac:dyDescent="0.25">
      <c r="M7622" s="21"/>
    </row>
    <row r="7623" spans="13:13" x14ac:dyDescent="0.25">
      <c r="M7623" s="21"/>
    </row>
    <row r="7624" spans="13:13" x14ac:dyDescent="0.25">
      <c r="M7624" s="21"/>
    </row>
    <row r="7625" spans="13:13" x14ac:dyDescent="0.25">
      <c r="M7625" s="21"/>
    </row>
    <row r="7626" spans="13:13" x14ac:dyDescent="0.25">
      <c r="M7626" s="21"/>
    </row>
    <row r="7627" spans="13:13" x14ac:dyDescent="0.25">
      <c r="M7627" s="21"/>
    </row>
    <row r="7628" spans="13:13" x14ac:dyDescent="0.25">
      <c r="M7628" s="21"/>
    </row>
    <row r="7629" spans="13:13" x14ac:dyDescent="0.25">
      <c r="M7629" s="21"/>
    </row>
    <row r="7630" spans="13:13" x14ac:dyDescent="0.25">
      <c r="M7630" s="21"/>
    </row>
    <row r="7631" spans="13:13" x14ac:dyDescent="0.25">
      <c r="M7631" s="21"/>
    </row>
    <row r="7632" spans="13:13" x14ac:dyDescent="0.25">
      <c r="M7632" s="21"/>
    </row>
    <row r="7633" spans="13:13" x14ac:dyDescent="0.25">
      <c r="M7633" s="21"/>
    </row>
    <row r="7634" spans="13:13" x14ac:dyDescent="0.25">
      <c r="M7634" s="21"/>
    </row>
    <row r="7635" spans="13:13" x14ac:dyDescent="0.25">
      <c r="M7635" s="21"/>
    </row>
    <row r="7636" spans="13:13" x14ac:dyDescent="0.25">
      <c r="M7636" s="21"/>
    </row>
    <row r="7637" spans="13:13" x14ac:dyDescent="0.25">
      <c r="M7637" s="21"/>
    </row>
    <row r="7638" spans="13:13" x14ac:dyDescent="0.25">
      <c r="M7638" s="21"/>
    </row>
    <row r="7639" spans="13:13" x14ac:dyDescent="0.25">
      <c r="M7639" s="21"/>
    </row>
    <row r="7640" spans="13:13" x14ac:dyDescent="0.25">
      <c r="M7640" s="21"/>
    </row>
    <row r="7641" spans="13:13" x14ac:dyDescent="0.25">
      <c r="M7641" s="21"/>
    </row>
    <row r="7642" spans="13:13" x14ac:dyDescent="0.25">
      <c r="M7642" s="21"/>
    </row>
    <row r="7643" spans="13:13" x14ac:dyDescent="0.25">
      <c r="M7643" s="21"/>
    </row>
    <row r="7644" spans="13:13" x14ac:dyDescent="0.25">
      <c r="M7644" s="21"/>
    </row>
    <row r="7645" spans="13:13" x14ac:dyDescent="0.25">
      <c r="M7645" s="21"/>
    </row>
    <row r="7646" spans="13:13" x14ac:dyDescent="0.25">
      <c r="M7646" s="21"/>
    </row>
    <row r="7647" spans="13:13" x14ac:dyDescent="0.25">
      <c r="M7647" s="21"/>
    </row>
    <row r="7648" spans="13:13" x14ac:dyDescent="0.25">
      <c r="M7648" s="21"/>
    </row>
    <row r="7649" spans="13:13" x14ac:dyDescent="0.25">
      <c r="M7649" s="21"/>
    </row>
    <row r="7650" spans="13:13" x14ac:dyDescent="0.25">
      <c r="M7650" s="21"/>
    </row>
    <row r="7651" spans="13:13" x14ac:dyDescent="0.25">
      <c r="M7651" s="21"/>
    </row>
    <row r="7652" spans="13:13" x14ac:dyDescent="0.25">
      <c r="M7652" s="21"/>
    </row>
    <row r="7653" spans="13:13" x14ac:dyDescent="0.25">
      <c r="M7653" s="21"/>
    </row>
    <row r="7654" spans="13:13" x14ac:dyDescent="0.25">
      <c r="M7654" s="21"/>
    </row>
    <row r="7655" spans="13:13" x14ac:dyDescent="0.25">
      <c r="M7655" s="21"/>
    </row>
    <row r="7656" spans="13:13" x14ac:dyDescent="0.25">
      <c r="M7656" s="21"/>
    </row>
    <row r="7657" spans="13:13" x14ac:dyDescent="0.25">
      <c r="M7657" s="21"/>
    </row>
    <row r="7658" spans="13:13" x14ac:dyDescent="0.25">
      <c r="M7658" s="21"/>
    </row>
    <row r="7659" spans="13:13" x14ac:dyDescent="0.25">
      <c r="M7659" s="21"/>
    </row>
    <row r="7660" spans="13:13" x14ac:dyDescent="0.25">
      <c r="M7660" s="21"/>
    </row>
    <row r="7661" spans="13:13" x14ac:dyDescent="0.25">
      <c r="M7661" s="21"/>
    </row>
    <row r="7662" spans="13:13" x14ac:dyDescent="0.25">
      <c r="M7662" s="21"/>
    </row>
    <row r="7663" spans="13:13" x14ac:dyDescent="0.25">
      <c r="M7663" s="21"/>
    </row>
    <row r="7664" spans="13:13" x14ac:dyDescent="0.25">
      <c r="M7664" s="21"/>
    </row>
    <row r="7665" spans="13:13" x14ac:dyDescent="0.25">
      <c r="M7665" s="21"/>
    </row>
    <row r="7666" spans="13:13" x14ac:dyDescent="0.25">
      <c r="M7666" s="21"/>
    </row>
    <row r="7667" spans="13:13" x14ac:dyDescent="0.25">
      <c r="M7667" s="21"/>
    </row>
    <row r="7668" spans="13:13" x14ac:dyDescent="0.25">
      <c r="M7668" s="21"/>
    </row>
    <row r="7669" spans="13:13" x14ac:dyDescent="0.25">
      <c r="M7669" s="21"/>
    </row>
    <row r="7670" spans="13:13" x14ac:dyDescent="0.25">
      <c r="M7670" s="21"/>
    </row>
    <row r="7671" spans="13:13" x14ac:dyDescent="0.25">
      <c r="M7671" s="21"/>
    </row>
    <row r="7672" spans="13:13" x14ac:dyDescent="0.25">
      <c r="M7672" s="21"/>
    </row>
    <row r="7673" spans="13:13" x14ac:dyDescent="0.25">
      <c r="M7673" s="21"/>
    </row>
    <row r="7674" spans="13:13" x14ac:dyDescent="0.25">
      <c r="M7674" s="21"/>
    </row>
    <row r="7675" spans="13:13" x14ac:dyDescent="0.25">
      <c r="M7675" s="21"/>
    </row>
    <row r="7676" spans="13:13" x14ac:dyDescent="0.25">
      <c r="M7676" s="21"/>
    </row>
    <row r="7677" spans="13:13" x14ac:dyDescent="0.25">
      <c r="M7677" s="21"/>
    </row>
    <row r="7678" spans="13:13" x14ac:dyDescent="0.25">
      <c r="M7678" s="21"/>
    </row>
    <row r="7679" spans="13:13" x14ac:dyDescent="0.25">
      <c r="M7679" s="21"/>
    </row>
    <row r="7680" spans="13:13" x14ac:dyDescent="0.25">
      <c r="M7680" s="21"/>
    </row>
    <row r="7681" spans="13:13" x14ac:dyDescent="0.25">
      <c r="M7681" s="21"/>
    </row>
    <row r="7682" spans="13:13" x14ac:dyDescent="0.25">
      <c r="M7682" s="21"/>
    </row>
    <row r="7683" spans="13:13" x14ac:dyDescent="0.25">
      <c r="M7683" s="21"/>
    </row>
    <row r="7684" spans="13:13" x14ac:dyDescent="0.25">
      <c r="M7684" s="21"/>
    </row>
    <row r="7685" spans="13:13" x14ac:dyDescent="0.25">
      <c r="M7685" s="21"/>
    </row>
    <row r="7686" spans="13:13" x14ac:dyDescent="0.25">
      <c r="M7686" s="21"/>
    </row>
    <row r="7687" spans="13:13" x14ac:dyDescent="0.25">
      <c r="M7687" s="21"/>
    </row>
    <row r="7688" spans="13:13" x14ac:dyDescent="0.25">
      <c r="M7688" s="21"/>
    </row>
    <row r="7689" spans="13:13" x14ac:dyDescent="0.25">
      <c r="M7689" s="21"/>
    </row>
    <row r="7690" spans="13:13" x14ac:dyDescent="0.25">
      <c r="M7690" s="21"/>
    </row>
    <row r="7691" spans="13:13" x14ac:dyDescent="0.25">
      <c r="M7691" s="21"/>
    </row>
    <row r="7692" spans="13:13" x14ac:dyDescent="0.25">
      <c r="M7692" s="21"/>
    </row>
    <row r="7693" spans="13:13" x14ac:dyDescent="0.25">
      <c r="M7693" s="21"/>
    </row>
    <row r="7694" spans="13:13" x14ac:dyDescent="0.25">
      <c r="M7694" s="21"/>
    </row>
    <row r="7695" spans="13:13" x14ac:dyDescent="0.25">
      <c r="M7695" s="21"/>
    </row>
    <row r="7696" spans="13:13" x14ac:dyDescent="0.25">
      <c r="M7696" s="21"/>
    </row>
    <row r="7697" spans="13:13" x14ac:dyDescent="0.25">
      <c r="M7697" s="21"/>
    </row>
    <row r="7698" spans="13:13" x14ac:dyDescent="0.25">
      <c r="M7698" s="21"/>
    </row>
    <row r="7699" spans="13:13" x14ac:dyDescent="0.25">
      <c r="M7699" s="21"/>
    </row>
    <row r="7700" spans="13:13" x14ac:dyDescent="0.25">
      <c r="M7700" s="21"/>
    </row>
    <row r="7701" spans="13:13" x14ac:dyDescent="0.25">
      <c r="M7701" s="21"/>
    </row>
    <row r="7702" spans="13:13" x14ac:dyDescent="0.25">
      <c r="M7702" s="21"/>
    </row>
    <row r="7703" spans="13:13" x14ac:dyDescent="0.25">
      <c r="M7703" s="21"/>
    </row>
    <row r="7704" spans="13:13" x14ac:dyDescent="0.25">
      <c r="M7704" s="21"/>
    </row>
    <row r="7705" spans="13:13" x14ac:dyDescent="0.25">
      <c r="M7705" s="21"/>
    </row>
    <row r="7706" spans="13:13" x14ac:dyDescent="0.25">
      <c r="M7706" s="21"/>
    </row>
    <row r="7707" spans="13:13" x14ac:dyDescent="0.25">
      <c r="M7707" s="21"/>
    </row>
    <row r="7708" spans="13:13" x14ac:dyDescent="0.25">
      <c r="M7708" s="21"/>
    </row>
    <row r="7709" spans="13:13" x14ac:dyDescent="0.25">
      <c r="M7709" s="21"/>
    </row>
    <row r="7710" spans="13:13" x14ac:dyDescent="0.25">
      <c r="M7710" s="21"/>
    </row>
    <row r="7711" spans="13:13" x14ac:dyDescent="0.25">
      <c r="M7711" s="21"/>
    </row>
    <row r="7712" spans="13:13" x14ac:dyDescent="0.25">
      <c r="M7712" s="21"/>
    </row>
    <row r="7713" spans="13:13" x14ac:dyDescent="0.25">
      <c r="M7713" s="21"/>
    </row>
    <row r="7714" spans="13:13" x14ac:dyDescent="0.25">
      <c r="M7714" s="21"/>
    </row>
    <row r="7715" spans="13:13" x14ac:dyDescent="0.25">
      <c r="M7715" s="21"/>
    </row>
    <row r="7716" spans="13:13" x14ac:dyDescent="0.25">
      <c r="M7716" s="21"/>
    </row>
    <row r="7717" spans="13:13" x14ac:dyDescent="0.25">
      <c r="M7717" s="21"/>
    </row>
    <row r="7718" spans="13:13" x14ac:dyDescent="0.25">
      <c r="M7718" s="21"/>
    </row>
    <row r="7719" spans="13:13" x14ac:dyDescent="0.25">
      <c r="M7719" s="21"/>
    </row>
    <row r="7720" spans="13:13" x14ac:dyDescent="0.25">
      <c r="M7720" s="21"/>
    </row>
    <row r="7721" spans="13:13" x14ac:dyDescent="0.25">
      <c r="M7721" s="21"/>
    </row>
    <row r="7722" spans="13:13" x14ac:dyDescent="0.25">
      <c r="M7722" s="21"/>
    </row>
    <row r="7723" spans="13:13" x14ac:dyDescent="0.25">
      <c r="M7723" s="21"/>
    </row>
    <row r="7724" spans="13:13" x14ac:dyDescent="0.25">
      <c r="M7724" s="21"/>
    </row>
    <row r="7725" spans="13:13" x14ac:dyDescent="0.25">
      <c r="M7725" s="21"/>
    </row>
    <row r="7726" spans="13:13" x14ac:dyDescent="0.25">
      <c r="M7726" s="21"/>
    </row>
    <row r="7727" spans="13:13" x14ac:dyDescent="0.25">
      <c r="M7727" s="21"/>
    </row>
    <row r="7728" spans="13:13" x14ac:dyDescent="0.25">
      <c r="M7728" s="21"/>
    </row>
    <row r="7729" spans="13:13" x14ac:dyDescent="0.25">
      <c r="M7729" s="21"/>
    </row>
    <row r="7730" spans="13:13" x14ac:dyDescent="0.25">
      <c r="M7730" s="21"/>
    </row>
    <row r="7731" spans="13:13" x14ac:dyDescent="0.25">
      <c r="M7731" s="21"/>
    </row>
    <row r="7732" spans="13:13" x14ac:dyDescent="0.25">
      <c r="M7732" s="21"/>
    </row>
    <row r="7733" spans="13:13" x14ac:dyDescent="0.25">
      <c r="M7733" s="21"/>
    </row>
    <row r="7734" spans="13:13" x14ac:dyDescent="0.25">
      <c r="M7734" s="21"/>
    </row>
    <row r="7735" spans="13:13" x14ac:dyDescent="0.25">
      <c r="M7735" s="21"/>
    </row>
    <row r="7736" spans="13:13" x14ac:dyDescent="0.25">
      <c r="M7736" s="21"/>
    </row>
    <row r="7737" spans="13:13" x14ac:dyDescent="0.25">
      <c r="M7737" s="21"/>
    </row>
    <row r="7738" spans="13:13" x14ac:dyDescent="0.25">
      <c r="M7738" s="21"/>
    </row>
    <row r="7739" spans="13:13" x14ac:dyDescent="0.25">
      <c r="M7739" s="21"/>
    </row>
    <row r="7740" spans="13:13" x14ac:dyDescent="0.25">
      <c r="M7740" s="21"/>
    </row>
    <row r="7741" spans="13:13" x14ac:dyDescent="0.25">
      <c r="M7741" s="21"/>
    </row>
    <row r="7742" spans="13:13" x14ac:dyDescent="0.25">
      <c r="M7742" s="21"/>
    </row>
    <row r="7743" spans="13:13" x14ac:dyDescent="0.25">
      <c r="M7743" s="21"/>
    </row>
    <row r="7744" spans="13:13" x14ac:dyDescent="0.25">
      <c r="M7744" s="21"/>
    </row>
    <row r="7745" spans="13:13" x14ac:dyDescent="0.25">
      <c r="M7745" s="21"/>
    </row>
    <row r="7746" spans="13:13" x14ac:dyDescent="0.25">
      <c r="M7746" s="21"/>
    </row>
    <row r="7747" spans="13:13" x14ac:dyDescent="0.25">
      <c r="M7747" s="21"/>
    </row>
    <row r="7748" spans="13:13" x14ac:dyDescent="0.25">
      <c r="M7748" s="21"/>
    </row>
    <row r="7749" spans="13:13" x14ac:dyDescent="0.25">
      <c r="M7749" s="21"/>
    </row>
    <row r="7750" spans="13:13" x14ac:dyDescent="0.25">
      <c r="M7750" s="21"/>
    </row>
    <row r="7751" spans="13:13" x14ac:dyDescent="0.25">
      <c r="M7751" s="21"/>
    </row>
    <row r="7752" spans="13:13" x14ac:dyDescent="0.25">
      <c r="M7752" s="21"/>
    </row>
    <row r="7753" spans="13:13" x14ac:dyDescent="0.25">
      <c r="M7753" s="21"/>
    </row>
    <row r="7754" spans="13:13" x14ac:dyDescent="0.25">
      <c r="M7754" s="21"/>
    </row>
    <row r="7755" spans="13:13" x14ac:dyDescent="0.25">
      <c r="M7755" s="21"/>
    </row>
    <row r="7756" spans="13:13" x14ac:dyDescent="0.25">
      <c r="M7756" s="21"/>
    </row>
    <row r="7757" spans="13:13" x14ac:dyDescent="0.25">
      <c r="M7757" s="21"/>
    </row>
    <row r="7758" spans="13:13" x14ac:dyDescent="0.25">
      <c r="M7758" s="21"/>
    </row>
    <row r="7759" spans="13:13" x14ac:dyDescent="0.25">
      <c r="M7759" s="21"/>
    </row>
    <row r="7760" spans="13:13" x14ac:dyDescent="0.25">
      <c r="M7760" s="21"/>
    </row>
    <row r="7761" spans="13:13" x14ac:dyDescent="0.25">
      <c r="M7761" s="21"/>
    </row>
    <row r="7762" spans="13:13" x14ac:dyDescent="0.25">
      <c r="M7762" s="21"/>
    </row>
    <row r="7763" spans="13:13" x14ac:dyDescent="0.25">
      <c r="M7763" s="21"/>
    </row>
    <row r="7764" spans="13:13" x14ac:dyDescent="0.25">
      <c r="M7764" s="21"/>
    </row>
    <row r="7765" spans="13:13" x14ac:dyDescent="0.25">
      <c r="M7765" s="21"/>
    </row>
    <row r="7766" spans="13:13" x14ac:dyDescent="0.25">
      <c r="M7766" s="21"/>
    </row>
    <row r="7767" spans="13:13" x14ac:dyDescent="0.25">
      <c r="M7767" s="21"/>
    </row>
    <row r="7768" spans="13:13" x14ac:dyDescent="0.25">
      <c r="M7768" s="21"/>
    </row>
    <row r="7769" spans="13:13" x14ac:dyDescent="0.25">
      <c r="M7769" s="21"/>
    </row>
    <row r="7770" spans="13:13" x14ac:dyDescent="0.25">
      <c r="M7770" s="21"/>
    </row>
    <row r="7771" spans="13:13" x14ac:dyDescent="0.25">
      <c r="M7771" s="21"/>
    </row>
    <row r="7772" spans="13:13" x14ac:dyDescent="0.25">
      <c r="M7772" s="21"/>
    </row>
    <row r="7773" spans="13:13" x14ac:dyDescent="0.25">
      <c r="M7773" s="21"/>
    </row>
    <row r="7774" spans="13:13" x14ac:dyDescent="0.25">
      <c r="M7774" s="21"/>
    </row>
    <row r="7775" spans="13:13" x14ac:dyDescent="0.25">
      <c r="M7775" s="21"/>
    </row>
    <row r="7776" spans="13:13" x14ac:dyDescent="0.25">
      <c r="M7776" s="21"/>
    </row>
    <row r="7777" spans="13:13" x14ac:dyDescent="0.25">
      <c r="M7777" s="21"/>
    </row>
    <row r="7778" spans="13:13" x14ac:dyDescent="0.25">
      <c r="M7778" s="21"/>
    </row>
    <row r="7779" spans="13:13" x14ac:dyDescent="0.25">
      <c r="M7779" s="21"/>
    </row>
    <row r="7780" spans="13:13" x14ac:dyDescent="0.25">
      <c r="M7780" s="21"/>
    </row>
    <row r="7781" spans="13:13" x14ac:dyDescent="0.25">
      <c r="M7781" s="21"/>
    </row>
    <row r="7782" spans="13:13" x14ac:dyDescent="0.25">
      <c r="M7782" s="21"/>
    </row>
    <row r="7783" spans="13:13" x14ac:dyDescent="0.25">
      <c r="M7783" s="21"/>
    </row>
    <row r="7784" spans="13:13" x14ac:dyDescent="0.25">
      <c r="M7784" s="21"/>
    </row>
    <row r="7785" spans="13:13" x14ac:dyDescent="0.25">
      <c r="M7785" s="21"/>
    </row>
    <row r="7786" spans="13:13" x14ac:dyDescent="0.25">
      <c r="M7786" s="21"/>
    </row>
    <row r="7787" spans="13:13" x14ac:dyDescent="0.25">
      <c r="M7787" s="21"/>
    </row>
    <row r="7788" spans="13:13" x14ac:dyDescent="0.25">
      <c r="M7788" s="21"/>
    </row>
    <row r="7789" spans="13:13" x14ac:dyDescent="0.25">
      <c r="M7789" s="21"/>
    </row>
    <row r="7790" spans="13:13" x14ac:dyDescent="0.25">
      <c r="M7790" s="21"/>
    </row>
    <row r="7791" spans="13:13" x14ac:dyDescent="0.25">
      <c r="M7791" s="21"/>
    </row>
    <row r="7792" spans="13:13" x14ac:dyDescent="0.25">
      <c r="M7792" s="21"/>
    </row>
    <row r="7793" spans="13:13" x14ac:dyDescent="0.25">
      <c r="M7793" s="21"/>
    </row>
    <row r="7794" spans="13:13" x14ac:dyDescent="0.25">
      <c r="M7794" s="21"/>
    </row>
    <row r="7795" spans="13:13" x14ac:dyDescent="0.25">
      <c r="M7795" s="21"/>
    </row>
    <row r="7796" spans="13:13" x14ac:dyDescent="0.25">
      <c r="M7796" s="21"/>
    </row>
    <row r="7797" spans="13:13" x14ac:dyDescent="0.25">
      <c r="M7797" s="21"/>
    </row>
    <row r="7798" spans="13:13" x14ac:dyDescent="0.25">
      <c r="M7798" s="21"/>
    </row>
    <row r="7799" spans="13:13" x14ac:dyDescent="0.25">
      <c r="M7799" s="21"/>
    </row>
    <row r="7800" spans="13:13" x14ac:dyDescent="0.25">
      <c r="M7800" s="21"/>
    </row>
    <row r="7801" spans="13:13" x14ac:dyDescent="0.25">
      <c r="M7801" s="21"/>
    </row>
    <row r="7802" spans="13:13" x14ac:dyDescent="0.25">
      <c r="M7802" s="21"/>
    </row>
    <row r="7803" spans="13:13" x14ac:dyDescent="0.25">
      <c r="M7803" s="21"/>
    </row>
    <row r="7804" spans="13:13" x14ac:dyDescent="0.25">
      <c r="M7804" s="21"/>
    </row>
    <row r="7805" spans="13:13" x14ac:dyDescent="0.25">
      <c r="M7805" s="21"/>
    </row>
    <row r="7806" spans="13:13" x14ac:dyDescent="0.25">
      <c r="M7806" s="21"/>
    </row>
    <row r="7807" spans="13:13" x14ac:dyDescent="0.25">
      <c r="M7807" s="21"/>
    </row>
    <row r="7808" spans="13:13" x14ac:dyDescent="0.25">
      <c r="M7808" s="21"/>
    </row>
    <row r="7809" spans="13:13" x14ac:dyDescent="0.25">
      <c r="M7809" s="21"/>
    </row>
    <row r="7810" spans="13:13" x14ac:dyDescent="0.25">
      <c r="M7810" s="21"/>
    </row>
    <row r="7811" spans="13:13" x14ac:dyDescent="0.25">
      <c r="M7811" s="21"/>
    </row>
    <row r="7812" spans="13:13" x14ac:dyDescent="0.25">
      <c r="M7812" s="21"/>
    </row>
    <row r="7813" spans="13:13" x14ac:dyDescent="0.25">
      <c r="M7813" s="21"/>
    </row>
    <row r="7814" spans="13:13" x14ac:dyDescent="0.25">
      <c r="M7814" s="21"/>
    </row>
    <row r="7815" spans="13:13" x14ac:dyDescent="0.25">
      <c r="M7815" s="21"/>
    </row>
    <row r="7816" spans="13:13" x14ac:dyDescent="0.25">
      <c r="M7816" s="21"/>
    </row>
    <row r="7817" spans="13:13" x14ac:dyDescent="0.25">
      <c r="M7817" s="21"/>
    </row>
    <row r="7818" spans="13:13" x14ac:dyDescent="0.25">
      <c r="M7818" s="21"/>
    </row>
    <row r="7819" spans="13:13" x14ac:dyDescent="0.25">
      <c r="M7819" s="21"/>
    </row>
    <row r="7820" spans="13:13" x14ac:dyDescent="0.25">
      <c r="M7820" s="21"/>
    </row>
    <row r="7821" spans="13:13" x14ac:dyDescent="0.25">
      <c r="M7821" s="21"/>
    </row>
    <row r="7822" spans="13:13" x14ac:dyDescent="0.25">
      <c r="M7822" s="21"/>
    </row>
    <row r="7823" spans="13:13" x14ac:dyDescent="0.25">
      <c r="M7823" s="21"/>
    </row>
    <row r="7824" spans="13:13" x14ac:dyDescent="0.25">
      <c r="M7824" s="21"/>
    </row>
    <row r="7825" spans="13:13" x14ac:dyDescent="0.25">
      <c r="M7825" s="21"/>
    </row>
    <row r="7826" spans="13:13" x14ac:dyDescent="0.25">
      <c r="M7826" s="21"/>
    </row>
    <row r="7827" spans="13:13" x14ac:dyDescent="0.25">
      <c r="M7827" s="21"/>
    </row>
    <row r="7828" spans="13:13" x14ac:dyDescent="0.25">
      <c r="M7828" s="21"/>
    </row>
    <row r="7829" spans="13:13" x14ac:dyDescent="0.25">
      <c r="M7829" s="21"/>
    </row>
    <row r="7830" spans="13:13" x14ac:dyDescent="0.25">
      <c r="M7830" s="21"/>
    </row>
    <row r="7831" spans="13:13" x14ac:dyDescent="0.25">
      <c r="M7831" s="21"/>
    </row>
    <row r="7832" spans="13:13" x14ac:dyDescent="0.25">
      <c r="M7832" s="21"/>
    </row>
    <row r="7833" spans="13:13" x14ac:dyDescent="0.25">
      <c r="M7833" s="21"/>
    </row>
    <row r="7834" spans="13:13" x14ac:dyDescent="0.25">
      <c r="M7834" s="21"/>
    </row>
    <row r="7835" spans="13:13" x14ac:dyDescent="0.25">
      <c r="M7835" s="21"/>
    </row>
    <row r="7836" spans="13:13" x14ac:dyDescent="0.25">
      <c r="M7836" s="21"/>
    </row>
    <row r="7837" spans="13:13" x14ac:dyDescent="0.25">
      <c r="M7837" s="21"/>
    </row>
    <row r="7838" spans="13:13" x14ac:dyDescent="0.25">
      <c r="M7838" s="21"/>
    </row>
    <row r="7839" spans="13:13" x14ac:dyDescent="0.25">
      <c r="M7839" s="21"/>
    </row>
    <row r="7840" spans="13:13" x14ac:dyDescent="0.25">
      <c r="M7840" s="21"/>
    </row>
    <row r="7841" spans="13:13" x14ac:dyDescent="0.25">
      <c r="M7841" s="21"/>
    </row>
    <row r="7842" spans="13:13" x14ac:dyDescent="0.25">
      <c r="M7842" s="21"/>
    </row>
    <row r="7843" spans="13:13" x14ac:dyDescent="0.25">
      <c r="M7843" s="21"/>
    </row>
    <row r="7844" spans="13:13" x14ac:dyDescent="0.25">
      <c r="M7844" s="21"/>
    </row>
    <row r="7845" spans="13:13" x14ac:dyDescent="0.25">
      <c r="M7845" s="21"/>
    </row>
    <row r="7846" spans="13:13" x14ac:dyDescent="0.25">
      <c r="M7846" s="21"/>
    </row>
    <row r="7847" spans="13:13" x14ac:dyDescent="0.25">
      <c r="M7847" s="21"/>
    </row>
    <row r="7848" spans="13:13" x14ac:dyDescent="0.25">
      <c r="M7848" s="21"/>
    </row>
    <row r="7849" spans="13:13" x14ac:dyDescent="0.25">
      <c r="M7849" s="21"/>
    </row>
    <row r="7850" spans="13:13" x14ac:dyDescent="0.25">
      <c r="M7850" s="21"/>
    </row>
    <row r="7851" spans="13:13" x14ac:dyDescent="0.25">
      <c r="M7851" s="21"/>
    </row>
    <row r="7852" spans="13:13" x14ac:dyDescent="0.25">
      <c r="M7852" s="21"/>
    </row>
    <row r="7853" spans="13:13" x14ac:dyDescent="0.25">
      <c r="M7853" s="21"/>
    </row>
    <row r="7854" spans="13:13" x14ac:dyDescent="0.25">
      <c r="M7854" s="21"/>
    </row>
    <row r="7855" spans="13:13" x14ac:dyDescent="0.25">
      <c r="M7855" s="21"/>
    </row>
    <row r="7856" spans="13:13" x14ac:dyDescent="0.25">
      <c r="M7856" s="21"/>
    </row>
    <row r="7857" spans="13:13" x14ac:dyDescent="0.25">
      <c r="M7857" s="21"/>
    </row>
    <row r="7858" spans="13:13" x14ac:dyDescent="0.25">
      <c r="M7858" s="21"/>
    </row>
    <row r="7859" spans="13:13" x14ac:dyDescent="0.25">
      <c r="M7859" s="21"/>
    </row>
    <row r="7860" spans="13:13" x14ac:dyDescent="0.25">
      <c r="M7860" s="21"/>
    </row>
    <row r="7861" spans="13:13" x14ac:dyDescent="0.25">
      <c r="M7861" s="21"/>
    </row>
    <row r="7862" spans="13:13" x14ac:dyDescent="0.25">
      <c r="M7862" s="21"/>
    </row>
    <row r="7863" spans="13:13" x14ac:dyDescent="0.25">
      <c r="M7863" s="21"/>
    </row>
    <row r="7864" spans="13:13" x14ac:dyDescent="0.25">
      <c r="M7864" s="21"/>
    </row>
    <row r="7865" spans="13:13" x14ac:dyDescent="0.25">
      <c r="M7865" s="21"/>
    </row>
    <row r="7866" spans="13:13" x14ac:dyDescent="0.25">
      <c r="M7866" s="21"/>
    </row>
    <row r="7867" spans="13:13" x14ac:dyDescent="0.25">
      <c r="M7867" s="21"/>
    </row>
    <row r="7868" spans="13:13" x14ac:dyDescent="0.25">
      <c r="M7868" s="21"/>
    </row>
    <row r="7869" spans="13:13" x14ac:dyDescent="0.25">
      <c r="M7869" s="21"/>
    </row>
    <row r="7870" spans="13:13" x14ac:dyDescent="0.25">
      <c r="M7870" s="21"/>
    </row>
    <row r="7871" spans="13:13" x14ac:dyDescent="0.25">
      <c r="M7871" s="21"/>
    </row>
    <row r="7872" spans="13:13" x14ac:dyDescent="0.25">
      <c r="M7872" s="21"/>
    </row>
    <row r="7873" spans="13:13" x14ac:dyDescent="0.25">
      <c r="M7873" s="21"/>
    </row>
    <row r="7874" spans="13:13" x14ac:dyDescent="0.25">
      <c r="M7874" s="21"/>
    </row>
    <row r="7875" spans="13:13" x14ac:dyDescent="0.25">
      <c r="M7875" s="21"/>
    </row>
    <row r="7876" spans="13:13" x14ac:dyDescent="0.25">
      <c r="M7876" s="21"/>
    </row>
    <row r="7877" spans="13:13" x14ac:dyDescent="0.25">
      <c r="M7877" s="21"/>
    </row>
    <row r="7878" spans="13:13" x14ac:dyDescent="0.25">
      <c r="M7878" s="21"/>
    </row>
    <row r="7879" spans="13:13" x14ac:dyDescent="0.25">
      <c r="M7879" s="21"/>
    </row>
    <row r="7880" spans="13:13" x14ac:dyDescent="0.25">
      <c r="M7880" s="21"/>
    </row>
    <row r="7881" spans="13:13" x14ac:dyDescent="0.25">
      <c r="M7881" s="21"/>
    </row>
    <row r="7882" spans="13:13" x14ac:dyDescent="0.25">
      <c r="M7882" s="21"/>
    </row>
    <row r="7883" spans="13:13" x14ac:dyDescent="0.25">
      <c r="M7883" s="21"/>
    </row>
    <row r="7884" spans="13:13" x14ac:dyDescent="0.25">
      <c r="M7884" s="21"/>
    </row>
    <row r="7885" spans="13:13" x14ac:dyDescent="0.25">
      <c r="M7885" s="21"/>
    </row>
    <row r="7886" spans="13:13" x14ac:dyDescent="0.25">
      <c r="M7886" s="21"/>
    </row>
    <row r="7887" spans="13:13" x14ac:dyDescent="0.25">
      <c r="M7887" s="21"/>
    </row>
    <row r="7888" spans="13:13" x14ac:dyDescent="0.25">
      <c r="M7888" s="21"/>
    </row>
    <row r="7889" spans="13:13" x14ac:dyDescent="0.25">
      <c r="M7889" s="21"/>
    </row>
    <row r="7890" spans="13:13" x14ac:dyDescent="0.25">
      <c r="M7890" s="21"/>
    </row>
    <row r="7891" spans="13:13" x14ac:dyDescent="0.25">
      <c r="M7891" s="21"/>
    </row>
    <row r="7892" spans="13:13" x14ac:dyDescent="0.25">
      <c r="M7892" s="21"/>
    </row>
    <row r="7893" spans="13:13" x14ac:dyDescent="0.25">
      <c r="M7893" s="21"/>
    </row>
    <row r="7894" spans="13:13" x14ac:dyDescent="0.25">
      <c r="M7894" s="21"/>
    </row>
    <row r="7895" spans="13:13" x14ac:dyDescent="0.25">
      <c r="M7895" s="21"/>
    </row>
    <row r="7896" spans="13:13" x14ac:dyDescent="0.25">
      <c r="M7896" s="21"/>
    </row>
    <row r="7897" spans="13:13" x14ac:dyDescent="0.25">
      <c r="M7897" s="21"/>
    </row>
    <row r="7898" spans="13:13" x14ac:dyDescent="0.25">
      <c r="M7898" s="21"/>
    </row>
    <row r="7899" spans="13:13" x14ac:dyDescent="0.25">
      <c r="M7899" s="21"/>
    </row>
    <row r="7900" spans="13:13" x14ac:dyDescent="0.25">
      <c r="M7900" s="21"/>
    </row>
    <row r="7901" spans="13:13" x14ac:dyDescent="0.25">
      <c r="M7901" s="21"/>
    </row>
    <row r="7902" spans="13:13" x14ac:dyDescent="0.25">
      <c r="M7902" s="21"/>
    </row>
    <row r="7903" spans="13:13" x14ac:dyDescent="0.25">
      <c r="M7903" s="21"/>
    </row>
    <row r="7904" spans="13:13" x14ac:dyDescent="0.25">
      <c r="M7904" s="21"/>
    </row>
    <row r="7905" spans="13:13" x14ac:dyDescent="0.25">
      <c r="M7905" s="21"/>
    </row>
    <row r="7906" spans="13:13" x14ac:dyDescent="0.25">
      <c r="M7906" s="21"/>
    </row>
    <row r="7907" spans="13:13" x14ac:dyDescent="0.25">
      <c r="M7907" s="21"/>
    </row>
    <row r="7908" spans="13:13" x14ac:dyDescent="0.25">
      <c r="M7908" s="21"/>
    </row>
    <row r="7909" spans="13:13" x14ac:dyDescent="0.25">
      <c r="M7909" s="21"/>
    </row>
    <row r="7910" spans="13:13" x14ac:dyDescent="0.25">
      <c r="M7910" s="21"/>
    </row>
    <row r="7911" spans="13:13" x14ac:dyDescent="0.25">
      <c r="M7911" s="21"/>
    </row>
    <row r="7912" spans="13:13" x14ac:dyDescent="0.25">
      <c r="M7912" s="21"/>
    </row>
    <row r="7913" spans="13:13" x14ac:dyDescent="0.25">
      <c r="M7913" s="21"/>
    </row>
    <row r="7914" spans="13:13" x14ac:dyDescent="0.25">
      <c r="M7914" s="21"/>
    </row>
    <row r="7915" spans="13:13" x14ac:dyDescent="0.25">
      <c r="M7915" s="21"/>
    </row>
    <row r="7916" spans="13:13" x14ac:dyDescent="0.25">
      <c r="M7916" s="21"/>
    </row>
    <row r="7917" spans="13:13" x14ac:dyDescent="0.25">
      <c r="M7917" s="21"/>
    </row>
    <row r="7918" spans="13:13" x14ac:dyDescent="0.25">
      <c r="M7918" s="21"/>
    </row>
    <row r="7919" spans="13:13" x14ac:dyDescent="0.25">
      <c r="M7919" s="21"/>
    </row>
    <row r="7920" spans="13:13" x14ac:dyDescent="0.25">
      <c r="M7920" s="21"/>
    </row>
    <row r="7921" spans="13:13" x14ac:dyDescent="0.25">
      <c r="M7921" s="21"/>
    </row>
    <row r="7922" spans="13:13" x14ac:dyDescent="0.25">
      <c r="M7922" s="21"/>
    </row>
    <row r="7923" spans="13:13" x14ac:dyDescent="0.25">
      <c r="M7923" s="21"/>
    </row>
    <row r="7924" spans="13:13" x14ac:dyDescent="0.25">
      <c r="M7924" s="21"/>
    </row>
    <row r="7925" spans="13:13" x14ac:dyDescent="0.25">
      <c r="M7925" s="21"/>
    </row>
    <row r="7926" spans="13:13" x14ac:dyDescent="0.25">
      <c r="M7926" s="21"/>
    </row>
    <row r="7927" spans="13:13" x14ac:dyDescent="0.25">
      <c r="M7927" s="21"/>
    </row>
    <row r="7928" spans="13:13" x14ac:dyDescent="0.25">
      <c r="M7928" s="21"/>
    </row>
    <row r="7929" spans="13:13" x14ac:dyDescent="0.25">
      <c r="M7929" s="21"/>
    </row>
    <row r="7930" spans="13:13" x14ac:dyDescent="0.25">
      <c r="M7930" s="21"/>
    </row>
    <row r="7931" spans="13:13" x14ac:dyDescent="0.25">
      <c r="M7931" s="21"/>
    </row>
    <row r="7932" spans="13:13" x14ac:dyDescent="0.25">
      <c r="M7932" s="21"/>
    </row>
    <row r="7933" spans="13:13" x14ac:dyDescent="0.25">
      <c r="M7933" s="21"/>
    </row>
    <row r="7934" spans="13:13" x14ac:dyDescent="0.25">
      <c r="M7934" s="21"/>
    </row>
    <row r="7935" spans="13:13" x14ac:dyDescent="0.25">
      <c r="M7935" s="21"/>
    </row>
    <row r="7936" spans="13:13" x14ac:dyDescent="0.25">
      <c r="M7936" s="21"/>
    </row>
    <row r="7937" spans="13:13" x14ac:dyDescent="0.25">
      <c r="M7937" s="21"/>
    </row>
    <row r="7938" spans="13:13" x14ac:dyDescent="0.25">
      <c r="M7938" s="21"/>
    </row>
    <row r="7939" spans="13:13" x14ac:dyDescent="0.25">
      <c r="M7939" s="21"/>
    </row>
    <row r="7940" spans="13:13" x14ac:dyDescent="0.25">
      <c r="M7940" s="21"/>
    </row>
    <row r="7941" spans="13:13" x14ac:dyDescent="0.25">
      <c r="M7941" s="21"/>
    </row>
    <row r="7942" spans="13:13" x14ac:dyDescent="0.25">
      <c r="M7942" s="21"/>
    </row>
    <row r="7943" spans="13:13" x14ac:dyDescent="0.25">
      <c r="M7943" s="21"/>
    </row>
    <row r="7944" spans="13:13" x14ac:dyDescent="0.25">
      <c r="M7944" s="21"/>
    </row>
    <row r="7945" spans="13:13" x14ac:dyDescent="0.25">
      <c r="M7945" s="21"/>
    </row>
    <row r="7946" spans="13:13" x14ac:dyDescent="0.25">
      <c r="M7946" s="21"/>
    </row>
    <row r="7947" spans="13:13" x14ac:dyDescent="0.25">
      <c r="M7947" s="21"/>
    </row>
    <row r="7948" spans="13:13" x14ac:dyDescent="0.25">
      <c r="M7948" s="21"/>
    </row>
    <row r="7949" spans="13:13" x14ac:dyDescent="0.25">
      <c r="M7949" s="21"/>
    </row>
    <row r="7950" spans="13:13" x14ac:dyDescent="0.25">
      <c r="M7950" s="21"/>
    </row>
    <row r="7951" spans="13:13" x14ac:dyDescent="0.25">
      <c r="M7951" s="21"/>
    </row>
    <row r="7952" spans="13:13" x14ac:dyDescent="0.25">
      <c r="M7952" s="21"/>
    </row>
    <row r="7953" spans="13:13" x14ac:dyDescent="0.25">
      <c r="M7953" s="21"/>
    </row>
    <row r="7954" spans="13:13" x14ac:dyDescent="0.25">
      <c r="M7954" s="21"/>
    </row>
    <row r="7955" spans="13:13" x14ac:dyDescent="0.25">
      <c r="M7955" s="21"/>
    </row>
    <row r="7956" spans="13:13" x14ac:dyDescent="0.25">
      <c r="M7956" s="21"/>
    </row>
    <row r="7957" spans="13:13" x14ac:dyDescent="0.25">
      <c r="M7957" s="21"/>
    </row>
    <row r="7958" spans="13:13" x14ac:dyDescent="0.25">
      <c r="M7958" s="21"/>
    </row>
    <row r="7959" spans="13:13" x14ac:dyDescent="0.25">
      <c r="M7959" s="21"/>
    </row>
    <row r="7960" spans="13:13" x14ac:dyDescent="0.25">
      <c r="M7960" s="21"/>
    </row>
    <row r="7961" spans="13:13" x14ac:dyDescent="0.25">
      <c r="M7961" s="21"/>
    </row>
    <row r="7962" spans="13:13" x14ac:dyDescent="0.25">
      <c r="M7962" s="21"/>
    </row>
    <row r="7963" spans="13:13" x14ac:dyDescent="0.25">
      <c r="M7963" s="21"/>
    </row>
    <row r="7964" spans="13:13" x14ac:dyDescent="0.25">
      <c r="M7964" s="21"/>
    </row>
    <row r="7965" spans="13:13" x14ac:dyDescent="0.25">
      <c r="M7965" s="21"/>
    </row>
    <row r="7966" spans="13:13" x14ac:dyDescent="0.25">
      <c r="M7966" s="21"/>
    </row>
    <row r="7967" spans="13:13" x14ac:dyDescent="0.25">
      <c r="M7967" s="21"/>
    </row>
    <row r="7968" spans="13:13" x14ac:dyDescent="0.25">
      <c r="M7968" s="21"/>
    </row>
    <row r="7969" spans="13:13" x14ac:dyDescent="0.25">
      <c r="M7969" s="21"/>
    </row>
    <row r="7970" spans="13:13" x14ac:dyDescent="0.25">
      <c r="M7970" s="21"/>
    </row>
    <row r="7971" spans="13:13" x14ac:dyDescent="0.25">
      <c r="M7971" s="21"/>
    </row>
    <row r="7972" spans="13:13" x14ac:dyDescent="0.25">
      <c r="M7972" s="21"/>
    </row>
    <row r="7973" spans="13:13" x14ac:dyDescent="0.25">
      <c r="M7973" s="21"/>
    </row>
    <row r="7974" spans="13:13" x14ac:dyDescent="0.25">
      <c r="M7974" s="21"/>
    </row>
    <row r="7975" spans="13:13" x14ac:dyDescent="0.25">
      <c r="M7975" s="21"/>
    </row>
    <row r="7976" spans="13:13" x14ac:dyDescent="0.25">
      <c r="M7976" s="21"/>
    </row>
    <row r="7977" spans="13:13" x14ac:dyDescent="0.25">
      <c r="M7977" s="21"/>
    </row>
    <row r="7978" spans="13:13" x14ac:dyDescent="0.25">
      <c r="M7978" s="21"/>
    </row>
    <row r="7979" spans="13:13" x14ac:dyDescent="0.25">
      <c r="M7979" s="21"/>
    </row>
    <row r="7980" spans="13:13" x14ac:dyDescent="0.25">
      <c r="M7980" s="21"/>
    </row>
    <row r="7981" spans="13:13" x14ac:dyDescent="0.25">
      <c r="M7981" s="21"/>
    </row>
    <row r="7982" spans="13:13" x14ac:dyDescent="0.25">
      <c r="M7982" s="21"/>
    </row>
    <row r="7983" spans="13:13" x14ac:dyDescent="0.25">
      <c r="M7983" s="21"/>
    </row>
    <row r="7984" spans="13:13" x14ac:dyDescent="0.25">
      <c r="M7984" s="21"/>
    </row>
    <row r="7985" spans="13:13" x14ac:dyDescent="0.25">
      <c r="M7985" s="21"/>
    </row>
    <row r="7986" spans="13:13" x14ac:dyDescent="0.25">
      <c r="M7986" s="21"/>
    </row>
    <row r="7987" spans="13:13" x14ac:dyDescent="0.25">
      <c r="M7987" s="21"/>
    </row>
    <row r="7988" spans="13:13" x14ac:dyDescent="0.25">
      <c r="M7988" s="21"/>
    </row>
    <row r="7989" spans="13:13" x14ac:dyDescent="0.25">
      <c r="M7989" s="21"/>
    </row>
    <row r="7990" spans="13:13" x14ac:dyDescent="0.25">
      <c r="M7990" s="21"/>
    </row>
    <row r="7991" spans="13:13" x14ac:dyDescent="0.25">
      <c r="M7991" s="21"/>
    </row>
    <row r="7992" spans="13:13" x14ac:dyDescent="0.25">
      <c r="M7992" s="21"/>
    </row>
    <row r="7993" spans="13:13" x14ac:dyDescent="0.25">
      <c r="M7993" s="21"/>
    </row>
    <row r="7994" spans="13:13" x14ac:dyDescent="0.25">
      <c r="M7994" s="21"/>
    </row>
    <row r="7995" spans="13:13" x14ac:dyDescent="0.25">
      <c r="M7995" s="21"/>
    </row>
    <row r="7996" spans="13:13" x14ac:dyDescent="0.25">
      <c r="M7996" s="21"/>
    </row>
    <row r="7997" spans="13:13" x14ac:dyDescent="0.25">
      <c r="M7997" s="21"/>
    </row>
    <row r="7998" spans="13:13" x14ac:dyDescent="0.25">
      <c r="M7998" s="21"/>
    </row>
    <row r="7999" spans="13:13" x14ac:dyDescent="0.25">
      <c r="M7999" s="21"/>
    </row>
    <row r="8000" spans="13:13" x14ac:dyDescent="0.25">
      <c r="M8000" s="21"/>
    </row>
    <row r="8001" spans="13:13" x14ac:dyDescent="0.25">
      <c r="M8001" s="21"/>
    </row>
    <row r="8002" spans="13:13" x14ac:dyDescent="0.25">
      <c r="M8002" s="21"/>
    </row>
    <row r="8003" spans="13:13" x14ac:dyDescent="0.25">
      <c r="M8003" s="21"/>
    </row>
    <row r="8004" spans="13:13" x14ac:dyDescent="0.25">
      <c r="M8004" s="21"/>
    </row>
    <row r="8005" spans="13:13" x14ac:dyDescent="0.25">
      <c r="M8005" s="21"/>
    </row>
    <row r="8006" spans="13:13" x14ac:dyDescent="0.25">
      <c r="M8006" s="21"/>
    </row>
    <row r="8007" spans="13:13" x14ac:dyDescent="0.25">
      <c r="M8007" s="21"/>
    </row>
    <row r="8008" spans="13:13" x14ac:dyDescent="0.25">
      <c r="M8008" s="21"/>
    </row>
    <row r="8009" spans="13:13" x14ac:dyDescent="0.25">
      <c r="M8009" s="21"/>
    </row>
    <row r="8010" spans="13:13" x14ac:dyDescent="0.25">
      <c r="M8010" s="21"/>
    </row>
    <row r="8011" spans="13:13" x14ac:dyDescent="0.25">
      <c r="M8011" s="21"/>
    </row>
    <row r="8012" spans="13:13" x14ac:dyDescent="0.25">
      <c r="M8012" s="21"/>
    </row>
    <row r="8013" spans="13:13" x14ac:dyDescent="0.25">
      <c r="M8013" s="21"/>
    </row>
    <row r="8014" spans="13:13" x14ac:dyDescent="0.25">
      <c r="M8014" s="21"/>
    </row>
    <row r="8015" spans="13:13" x14ac:dyDescent="0.25">
      <c r="M8015" s="21"/>
    </row>
    <row r="8016" spans="13:13" x14ac:dyDescent="0.25">
      <c r="M8016" s="21"/>
    </row>
    <row r="8017" spans="13:13" x14ac:dyDescent="0.25">
      <c r="M8017" s="21"/>
    </row>
    <row r="8018" spans="13:13" x14ac:dyDescent="0.25">
      <c r="M8018" s="21"/>
    </row>
    <row r="8019" spans="13:13" x14ac:dyDescent="0.25">
      <c r="M8019" s="21"/>
    </row>
    <row r="8020" spans="13:13" x14ac:dyDescent="0.25">
      <c r="M8020" s="21"/>
    </row>
    <row r="8021" spans="13:13" x14ac:dyDescent="0.25">
      <c r="M8021" s="21"/>
    </row>
    <row r="8022" spans="13:13" x14ac:dyDescent="0.25">
      <c r="M8022" s="21"/>
    </row>
    <row r="8023" spans="13:13" x14ac:dyDescent="0.25">
      <c r="M8023" s="21"/>
    </row>
    <row r="8024" spans="13:13" x14ac:dyDescent="0.25">
      <c r="M8024" s="21"/>
    </row>
    <row r="8025" spans="13:13" x14ac:dyDescent="0.25">
      <c r="M8025" s="21"/>
    </row>
    <row r="8026" spans="13:13" x14ac:dyDescent="0.25">
      <c r="M8026" s="21"/>
    </row>
    <row r="8027" spans="13:13" x14ac:dyDescent="0.25">
      <c r="M8027" s="21"/>
    </row>
    <row r="8028" spans="13:13" x14ac:dyDescent="0.25">
      <c r="M8028" s="21"/>
    </row>
    <row r="8029" spans="13:13" x14ac:dyDescent="0.25">
      <c r="M8029" s="21"/>
    </row>
    <row r="8030" spans="13:13" x14ac:dyDescent="0.25">
      <c r="M8030" s="21"/>
    </row>
    <row r="8031" spans="13:13" x14ac:dyDescent="0.25">
      <c r="M8031" s="21"/>
    </row>
    <row r="8032" spans="13:13" x14ac:dyDescent="0.25">
      <c r="M8032" s="21"/>
    </row>
    <row r="8033" spans="13:13" x14ac:dyDescent="0.25">
      <c r="M8033" s="21"/>
    </row>
    <row r="8034" spans="13:13" x14ac:dyDescent="0.25">
      <c r="M8034" s="21"/>
    </row>
    <row r="8035" spans="13:13" x14ac:dyDescent="0.25">
      <c r="M8035" s="21"/>
    </row>
    <row r="8036" spans="13:13" x14ac:dyDescent="0.25">
      <c r="M8036" s="21"/>
    </row>
    <row r="8037" spans="13:13" x14ac:dyDescent="0.25">
      <c r="M8037" s="21"/>
    </row>
    <row r="8038" spans="13:13" x14ac:dyDescent="0.25">
      <c r="M8038" s="21"/>
    </row>
    <row r="8039" spans="13:13" x14ac:dyDescent="0.25">
      <c r="M8039" s="21"/>
    </row>
    <row r="8040" spans="13:13" x14ac:dyDescent="0.25">
      <c r="M8040" s="21"/>
    </row>
    <row r="8041" spans="13:13" x14ac:dyDescent="0.25">
      <c r="M8041" s="21"/>
    </row>
    <row r="8042" spans="13:13" x14ac:dyDescent="0.25">
      <c r="M8042" s="21"/>
    </row>
    <row r="8043" spans="13:13" x14ac:dyDescent="0.25">
      <c r="M8043" s="21"/>
    </row>
    <row r="8044" spans="13:13" x14ac:dyDescent="0.25">
      <c r="M8044" s="21"/>
    </row>
    <row r="8045" spans="13:13" x14ac:dyDescent="0.25">
      <c r="M8045" s="21"/>
    </row>
    <row r="8046" spans="13:13" x14ac:dyDescent="0.25">
      <c r="M8046" s="21"/>
    </row>
    <row r="8047" spans="13:13" x14ac:dyDescent="0.25">
      <c r="M8047" s="21"/>
    </row>
    <row r="8048" spans="13:13" x14ac:dyDescent="0.25">
      <c r="M8048" s="21"/>
    </row>
    <row r="8049" spans="13:13" x14ac:dyDescent="0.25">
      <c r="M8049" s="21"/>
    </row>
    <row r="8050" spans="13:13" x14ac:dyDescent="0.25">
      <c r="M8050" s="21"/>
    </row>
    <row r="8051" spans="13:13" x14ac:dyDescent="0.25">
      <c r="M8051" s="21"/>
    </row>
    <row r="8052" spans="13:13" x14ac:dyDescent="0.25">
      <c r="M8052" s="21"/>
    </row>
    <row r="8053" spans="13:13" x14ac:dyDescent="0.25">
      <c r="M8053" s="21"/>
    </row>
    <row r="8054" spans="13:13" x14ac:dyDescent="0.25">
      <c r="M8054" s="21"/>
    </row>
    <row r="8055" spans="13:13" x14ac:dyDescent="0.25">
      <c r="M8055" s="21"/>
    </row>
    <row r="8056" spans="13:13" x14ac:dyDescent="0.25">
      <c r="M8056" s="21"/>
    </row>
    <row r="8057" spans="13:13" x14ac:dyDescent="0.25">
      <c r="M8057" s="21"/>
    </row>
    <row r="8058" spans="13:13" x14ac:dyDescent="0.25">
      <c r="M8058" s="21"/>
    </row>
    <row r="8059" spans="13:13" x14ac:dyDescent="0.25">
      <c r="M8059" s="21"/>
    </row>
    <row r="8060" spans="13:13" x14ac:dyDescent="0.25">
      <c r="M8060" s="21"/>
    </row>
    <row r="8061" spans="13:13" x14ac:dyDescent="0.25">
      <c r="M8061" s="21"/>
    </row>
    <row r="8062" spans="13:13" x14ac:dyDescent="0.25">
      <c r="M8062" s="21"/>
    </row>
    <row r="8063" spans="13:13" x14ac:dyDescent="0.25">
      <c r="M8063" s="21"/>
    </row>
    <row r="8064" spans="13:13" x14ac:dyDescent="0.25">
      <c r="M8064" s="21"/>
    </row>
    <row r="8065" spans="13:13" x14ac:dyDescent="0.25">
      <c r="M8065" s="21"/>
    </row>
    <row r="8066" spans="13:13" x14ac:dyDescent="0.25">
      <c r="M8066" s="21"/>
    </row>
    <row r="8067" spans="13:13" x14ac:dyDescent="0.25">
      <c r="M8067" s="21"/>
    </row>
    <row r="8068" spans="13:13" x14ac:dyDescent="0.25">
      <c r="M8068" s="21"/>
    </row>
    <row r="8069" spans="13:13" x14ac:dyDescent="0.25">
      <c r="M8069" s="21"/>
    </row>
    <row r="8070" spans="13:13" x14ac:dyDescent="0.25">
      <c r="M8070" s="21"/>
    </row>
    <row r="8071" spans="13:13" x14ac:dyDescent="0.25">
      <c r="M8071" s="21"/>
    </row>
    <row r="8072" spans="13:13" x14ac:dyDescent="0.25">
      <c r="M8072" s="21"/>
    </row>
    <row r="8073" spans="13:13" x14ac:dyDescent="0.25">
      <c r="M8073" s="21"/>
    </row>
    <row r="8074" spans="13:13" x14ac:dyDescent="0.25">
      <c r="M8074" s="21"/>
    </row>
    <row r="8075" spans="13:13" x14ac:dyDescent="0.25">
      <c r="M8075" s="21"/>
    </row>
    <row r="8076" spans="13:13" x14ac:dyDescent="0.25">
      <c r="M8076" s="21"/>
    </row>
    <row r="8077" spans="13:13" x14ac:dyDescent="0.25">
      <c r="M8077" s="21"/>
    </row>
    <row r="8078" spans="13:13" x14ac:dyDescent="0.25">
      <c r="M8078" s="21"/>
    </row>
    <row r="8079" spans="13:13" x14ac:dyDescent="0.25">
      <c r="M8079" s="21"/>
    </row>
    <row r="8080" spans="13:13" x14ac:dyDescent="0.25">
      <c r="M8080" s="21"/>
    </row>
    <row r="8081" spans="13:13" x14ac:dyDescent="0.25">
      <c r="M8081" s="21"/>
    </row>
    <row r="8082" spans="13:13" x14ac:dyDescent="0.25">
      <c r="M8082" s="21"/>
    </row>
    <row r="8083" spans="13:13" x14ac:dyDescent="0.25">
      <c r="M8083" s="21"/>
    </row>
    <row r="8084" spans="13:13" x14ac:dyDescent="0.25">
      <c r="M8084" s="21"/>
    </row>
    <row r="8085" spans="13:13" x14ac:dyDescent="0.25">
      <c r="M8085" s="21"/>
    </row>
    <row r="8086" spans="13:13" x14ac:dyDescent="0.25">
      <c r="M8086" s="21"/>
    </row>
    <row r="8087" spans="13:13" x14ac:dyDescent="0.25">
      <c r="M8087" s="21"/>
    </row>
    <row r="8088" spans="13:13" x14ac:dyDescent="0.25">
      <c r="M8088" s="21"/>
    </row>
    <row r="8089" spans="13:13" x14ac:dyDescent="0.25">
      <c r="M8089" s="21"/>
    </row>
    <row r="8090" spans="13:13" x14ac:dyDescent="0.25">
      <c r="M8090" s="21"/>
    </row>
    <row r="8091" spans="13:13" x14ac:dyDescent="0.25">
      <c r="M8091" s="21"/>
    </row>
    <row r="8092" spans="13:13" x14ac:dyDescent="0.25">
      <c r="M8092" s="21"/>
    </row>
    <row r="8093" spans="13:13" x14ac:dyDescent="0.25">
      <c r="M8093" s="21"/>
    </row>
    <row r="8094" spans="13:13" x14ac:dyDescent="0.25">
      <c r="M8094" s="21"/>
    </row>
    <row r="8095" spans="13:13" x14ac:dyDescent="0.25">
      <c r="M8095" s="21"/>
    </row>
    <row r="8096" spans="13:13" x14ac:dyDescent="0.25">
      <c r="M8096" s="21"/>
    </row>
    <row r="8097" spans="13:13" x14ac:dyDescent="0.25">
      <c r="M8097" s="21"/>
    </row>
    <row r="8098" spans="13:13" x14ac:dyDescent="0.25">
      <c r="M8098" s="21"/>
    </row>
    <row r="8099" spans="13:13" x14ac:dyDescent="0.25">
      <c r="M8099" s="21"/>
    </row>
    <row r="8100" spans="13:13" x14ac:dyDescent="0.25">
      <c r="M8100" s="21"/>
    </row>
    <row r="8101" spans="13:13" x14ac:dyDescent="0.25">
      <c r="M8101" s="21"/>
    </row>
    <row r="8102" spans="13:13" x14ac:dyDescent="0.25">
      <c r="M8102" s="21"/>
    </row>
    <row r="8103" spans="13:13" x14ac:dyDescent="0.25">
      <c r="M8103" s="21"/>
    </row>
    <row r="8104" spans="13:13" x14ac:dyDescent="0.25">
      <c r="M8104" s="21"/>
    </row>
    <row r="8105" spans="13:13" x14ac:dyDescent="0.25">
      <c r="M8105" s="21"/>
    </row>
    <row r="8106" spans="13:13" x14ac:dyDescent="0.25">
      <c r="M8106" s="21"/>
    </row>
    <row r="8107" spans="13:13" x14ac:dyDescent="0.25">
      <c r="M8107" s="21"/>
    </row>
    <row r="8108" spans="13:13" x14ac:dyDescent="0.25">
      <c r="M8108" s="21"/>
    </row>
    <row r="8109" spans="13:13" x14ac:dyDescent="0.25">
      <c r="M8109" s="21"/>
    </row>
    <row r="8110" spans="13:13" x14ac:dyDescent="0.25">
      <c r="M8110" s="21"/>
    </row>
    <row r="8111" spans="13:13" x14ac:dyDescent="0.25">
      <c r="M8111" s="21"/>
    </row>
    <row r="8112" spans="13:13" x14ac:dyDescent="0.25">
      <c r="M8112" s="21"/>
    </row>
    <row r="8113" spans="13:13" x14ac:dyDescent="0.25">
      <c r="M8113" s="21"/>
    </row>
    <row r="8114" spans="13:13" x14ac:dyDescent="0.25">
      <c r="M8114" s="21"/>
    </row>
    <row r="8115" spans="13:13" x14ac:dyDescent="0.25">
      <c r="M8115" s="21"/>
    </row>
    <row r="8116" spans="13:13" x14ac:dyDescent="0.25">
      <c r="M8116" s="21"/>
    </row>
    <row r="8117" spans="13:13" x14ac:dyDescent="0.25">
      <c r="M8117" s="21"/>
    </row>
    <row r="8118" spans="13:13" x14ac:dyDescent="0.25">
      <c r="M8118" s="21"/>
    </row>
    <row r="8119" spans="13:13" x14ac:dyDescent="0.25">
      <c r="M8119" s="21"/>
    </row>
    <row r="8120" spans="13:13" x14ac:dyDescent="0.25">
      <c r="M8120" s="21"/>
    </row>
    <row r="8121" spans="13:13" x14ac:dyDescent="0.25">
      <c r="M8121" s="21"/>
    </row>
    <row r="8122" spans="13:13" x14ac:dyDescent="0.25">
      <c r="M8122" s="21"/>
    </row>
    <row r="8123" spans="13:13" x14ac:dyDescent="0.25">
      <c r="M8123" s="21"/>
    </row>
    <row r="8124" spans="13:13" x14ac:dyDescent="0.25">
      <c r="M8124" s="21"/>
    </row>
    <row r="8125" spans="13:13" x14ac:dyDescent="0.25">
      <c r="M8125" s="21"/>
    </row>
    <row r="8126" spans="13:13" x14ac:dyDescent="0.25">
      <c r="M8126" s="21"/>
    </row>
    <row r="8127" spans="13:13" x14ac:dyDescent="0.25">
      <c r="M8127" s="21"/>
    </row>
    <row r="8128" spans="13:13" x14ac:dyDescent="0.25">
      <c r="M8128" s="21"/>
    </row>
    <row r="8129" spans="13:13" x14ac:dyDescent="0.25">
      <c r="M8129" s="21"/>
    </row>
    <row r="8130" spans="13:13" x14ac:dyDescent="0.25">
      <c r="M8130" s="21"/>
    </row>
    <row r="8131" spans="13:13" x14ac:dyDescent="0.25">
      <c r="M8131" s="21"/>
    </row>
    <row r="8132" spans="13:13" x14ac:dyDescent="0.25">
      <c r="M8132" s="21"/>
    </row>
    <row r="8133" spans="13:13" x14ac:dyDescent="0.25">
      <c r="M8133" s="21"/>
    </row>
    <row r="8134" spans="13:13" x14ac:dyDescent="0.25">
      <c r="M8134" s="21"/>
    </row>
    <row r="8135" spans="13:13" x14ac:dyDescent="0.25">
      <c r="M8135" s="21"/>
    </row>
    <row r="8136" spans="13:13" x14ac:dyDescent="0.25">
      <c r="M8136" s="21"/>
    </row>
    <row r="8137" spans="13:13" x14ac:dyDescent="0.25">
      <c r="M8137" s="21"/>
    </row>
    <row r="8138" spans="13:13" x14ac:dyDescent="0.25">
      <c r="M8138" s="21"/>
    </row>
    <row r="8139" spans="13:13" x14ac:dyDescent="0.25">
      <c r="M8139" s="21"/>
    </row>
    <row r="8140" spans="13:13" x14ac:dyDescent="0.25">
      <c r="M8140" s="21"/>
    </row>
    <row r="8141" spans="13:13" x14ac:dyDescent="0.25">
      <c r="M8141" s="21"/>
    </row>
    <row r="8142" spans="13:13" x14ac:dyDescent="0.25">
      <c r="M8142" s="21"/>
    </row>
    <row r="8143" spans="13:13" x14ac:dyDescent="0.25">
      <c r="M8143" s="21"/>
    </row>
    <row r="8144" spans="13:13" x14ac:dyDescent="0.25">
      <c r="M8144" s="21"/>
    </row>
    <row r="8145" spans="13:13" x14ac:dyDescent="0.25">
      <c r="M8145" s="21"/>
    </row>
    <row r="8146" spans="13:13" x14ac:dyDescent="0.25">
      <c r="M8146" s="21"/>
    </row>
    <row r="8147" spans="13:13" x14ac:dyDescent="0.25">
      <c r="M8147" s="21"/>
    </row>
    <row r="8148" spans="13:13" x14ac:dyDescent="0.25">
      <c r="M8148" s="21"/>
    </row>
    <row r="8149" spans="13:13" x14ac:dyDescent="0.25">
      <c r="M8149" s="21"/>
    </row>
    <row r="8150" spans="13:13" x14ac:dyDescent="0.25">
      <c r="M8150" s="21"/>
    </row>
    <row r="8151" spans="13:13" x14ac:dyDescent="0.25">
      <c r="M8151" s="21"/>
    </row>
    <row r="8152" spans="13:13" x14ac:dyDescent="0.25">
      <c r="M8152" s="21"/>
    </row>
    <row r="8153" spans="13:13" x14ac:dyDescent="0.25">
      <c r="M8153" s="21"/>
    </row>
    <row r="8154" spans="13:13" x14ac:dyDescent="0.25">
      <c r="M8154" s="21"/>
    </row>
    <row r="8155" spans="13:13" x14ac:dyDescent="0.25">
      <c r="M8155" s="21"/>
    </row>
    <row r="8156" spans="13:13" x14ac:dyDescent="0.25">
      <c r="M8156" s="21"/>
    </row>
    <row r="8157" spans="13:13" x14ac:dyDescent="0.25">
      <c r="M8157" s="21"/>
    </row>
    <row r="8158" spans="13:13" x14ac:dyDescent="0.25">
      <c r="M8158" s="21"/>
    </row>
    <row r="8159" spans="13:13" x14ac:dyDescent="0.25">
      <c r="M8159" s="21"/>
    </row>
    <row r="8160" spans="13:13" x14ac:dyDescent="0.25">
      <c r="M8160" s="21"/>
    </row>
    <row r="8161" spans="13:13" x14ac:dyDescent="0.25">
      <c r="M8161" s="21"/>
    </row>
    <row r="8162" spans="13:13" x14ac:dyDescent="0.25">
      <c r="M8162" s="21"/>
    </row>
    <row r="8163" spans="13:13" x14ac:dyDescent="0.25">
      <c r="M8163" s="21"/>
    </row>
    <row r="8164" spans="13:13" x14ac:dyDescent="0.25">
      <c r="M8164" s="21"/>
    </row>
    <row r="8165" spans="13:13" x14ac:dyDescent="0.25">
      <c r="M8165" s="21"/>
    </row>
    <row r="8166" spans="13:13" x14ac:dyDescent="0.25">
      <c r="M8166" s="21"/>
    </row>
    <row r="8167" spans="13:13" x14ac:dyDescent="0.25">
      <c r="M8167" s="21"/>
    </row>
    <row r="8168" spans="13:13" x14ac:dyDescent="0.25">
      <c r="M8168" s="21"/>
    </row>
    <row r="8169" spans="13:13" x14ac:dyDescent="0.25">
      <c r="M8169" s="21"/>
    </row>
    <row r="8170" spans="13:13" x14ac:dyDescent="0.25">
      <c r="M8170" s="21"/>
    </row>
    <row r="8171" spans="13:13" x14ac:dyDescent="0.25">
      <c r="M8171" s="21"/>
    </row>
    <row r="8172" spans="13:13" x14ac:dyDescent="0.25">
      <c r="M8172" s="21"/>
    </row>
    <row r="8173" spans="13:13" x14ac:dyDescent="0.25">
      <c r="M8173" s="21"/>
    </row>
    <row r="8174" spans="13:13" x14ac:dyDescent="0.25">
      <c r="M8174" s="21"/>
    </row>
    <row r="8175" spans="13:13" x14ac:dyDescent="0.25">
      <c r="M8175" s="21"/>
    </row>
    <row r="8176" spans="13:13" x14ac:dyDescent="0.25">
      <c r="M8176" s="21"/>
    </row>
    <row r="8177" spans="13:13" x14ac:dyDescent="0.25">
      <c r="M8177" s="21"/>
    </row>
    <row r="8178" spans="13:13" x14ac:dyDescent="0.25">
      <c r="M8178" s="21"/>
    </row>
    <row r="8179" spans="13:13" x14ac:dyDescent="0.25">
      <c r="M8179" s="21"/>
    </row>
    <row r="8180" spans="13:13" x14ac:dyDescent="0.25">
      <c r="M8180" s="21"/>
    </row>
    <row r="8181" spans="13:13" x14ac:dyDescent="0.25">
      <c r="M8181" s="21"/>
    </row>
    <row r="8182" spans="13:13" x14ac:dyDescent="0.25">
      <c r="M8182" s="21"/>
    </row>
    <row r="8183" spans="13:13" x14ac:dyDescent="0.25">
      <c r="M8183" s="21"/>
    </row>
    <row r="8184" spans="13:13" x14ac:dyDescent="0.25">
      <c r="M8184" s="21"/>
    </row>
    <row r="8185" spans="13:13" x14ac:dyDescent="0.25">
      <c r="M8185" s="21"/>
    </row>
    <row r="8186" spans="13:13" x14ac:dyDescent="0.25">
      <c r="M8186" s="21"/>
    </row>
    <row r="8187" spans="13:13" x14ac:dyDescent="0.25">
      <c r="M8187" s="21"/>
    </row>
    <row r="8188" spans="13:13" x14ac:dyDescent="0.25">
      <c r="M8188" s="21"/>
    </row>
    <row r="8189" spans="13:13" x14ac:dyDescent="0.25">
      <c r="M8189" s="21"/>
    </row>
    <row r="8190" spans="13:13" x14ac:dyDescent="0.25">
      <c r="M8190" s="21"/>
    </row>
    <row r="8191" spans="13:13" x14ac:dyDescent="0.25">
      <c r="M8191" s="21"/>
    </row>
    <row r="8192" spans="13:13" x14ac:dyDescent="0.25">
      <c r="M8192" s="21"/>
    </row>
    <row r="8193" spans="13:13" x14ac:dyDescent="0.25">
      <c r="M8193" s="21"/>
    </row>
    <row r="8194" spans="13:13" x14ac:dyDescent="0.25">
      <c r="M8194" s="21"/>
    </row>
    <row r="8195" spans="13:13" x14ac:dyDescent="0.25">
      <c r="M8195" s="21"/>
    </row>
    <row r="8196" spans="13:13" x14ac:dyDescent="0.25">
      <c r="M8196" s="21"/>
    </row>
    <row r="8197" spans="13:13" x14ac:dyDescent="0.25">
      <c r="M8197" s="21"/>
    </row>
    <row r="8198" spans="13:13" x14ac:dyDescent="0.25">
      <c r="M8198" s="21"/>
    </row>
    <row r="8199" spans="13:13" x14ac:dyDescent="0.25">
      <c r="M8199" s="21"/>
    </row>
    <row r="8200" spans="13:13" x14ac:dyDescent="0.25">
      <c r="M8200" s="21"/>
    </row>
    <row r="8201" spans="13:13" x14ac:dyDescent="0.25">
      <c r="M8201" s="21"/>
    </row>
    <row r="8202" spans="13:13" x14ac:dyDescent="0.25">
      <c r="M8202" s="21"/>
    </row>
    <row r="8203" spans="13:13" x14ac:dyDescent="0.25">
      <c r="M8203" s="21"/>
    </row>
    <row r="8204" spans="13:13" x14ac:dyDescent="0.25">
      <c r="M8204" s="21"/>
    </row>
    <row r="8205" spans="13:13" x14ac:dyDescent="0.25">
      <c r="M8205" s="21"/>
    </row>
    <row r="8206" spans="13:13" x14ac:dyDescent="0.25">
      <c r="M8206" s="21"/>
    </row>
    <row r="8207" spans="13:13" x14ac:dyDescent="0.25">
      <c r="M8207" s="21"/>
    </row>
    <row r="8208" spans="13:13" x14ac:dyDescent="0.25">
      <c r="M8208" s="21"/>
    </row>
    <row r="8209" spans="13:13" x14ac:dyDescent="0.25">
      <c r="M8209" s="21"/>
    </row>
    <row r="8210" spans="13:13" x14ac:dyDescent="0.25">
      <c r="M8210" s="21"/>
    </row>
    <row r="8211" spans="13:13" x14ac:dyDescent="0.25">
      <c r="M8211" s="21"/>
    </row>
    <row r="8212" spans="13:13" x14ac:dyDescent="0.25">
      <c r="M8212" s="21"/>
    </row>
    <row r="8213" spans="13:13" x14ac:dyDescent="0.25">
      <c r="M8213" s="21"/>
    </row>
    <row r="8214" spans="13:13" x14ac:dyDescent="0.25">
      <c r="M8214" s="21"/>
    </row>
    <row r="8215" spans="13:13" x14ac:dyDescent="0.25">
      <c r="M8215" s="21"/>
    </row>
    <row r="8216" spans="13:13" x14ac:dyDescent="0.25">
      <c r="M8216" s="21"/>
    </row>
    <row r="8217" spans="13:13" x14ac:dyDescent="0.25">
      <c r="M8217" s="21"/>
    </row>
    <row r="8218" spans="13:13" x14ac:dyDescent="0.25">
      <c r="M8218" s="21"/>
    </row>
    <row r="8219" spans="13:13" x14ac:dyDescent="0.25">
      <c r="M8219" s="21"/>
    </row>
    <row r="8220" spans="13:13" x14ac:dyDescent="0.25">
      <c r="M8220" s="21"/>
    </row>
    <row r="8221" spans="13:13" x14ac:dyDescent="0.25">
      <c r="M8221" s="21"/>
    </row>
    <row r="8222" spans="13:13" x14ac:dyDescent="0.25">
      <c r="M8222" s="21"/>
    </row>
    <row r="8223" spans="13:13" x14ac:dyDescent="0.25">
      <c r="M8223" s="21"/>
    </row>
    <row r="8224" spans="13:13" x14ac:dyDescent="0.25">
      <c r="M8224" s="21"/>
    </row>
    <row r="8225" spans="13:13" x14ac:dyDescent="0.25">
      <c r="M8225" s="21"/>
    </row>
    <row r="8226" spans="13:13" x14ac:dyDescent="0.25">
      <c r="M8226" s="21"/>
    </row>
    <row r="8227" spans="13:13" x14ac:dyDescent="0.25">
      <c r="M8227" s="21"/>
    </row>
    <row r="8228" spans="13:13" x14ac:dyDescent="0.25">
      <c r="M8228" s="21"/>
    </row>
    <row r="8229" spans="13:13" x14ac:dyDescent="0.25">
      <c r="M8229" s="21"/>
    </row>
    <row r="8230" spans="13:13" x14ac:dyDescent="0.25">
      <c r="M8230" s="21"/>
    </row>
    <row r="8231" spans="13:13" x14ac:dyDescent="0.25">
      <c r="M8231" s="21"/>
    </row>
    <row r="8232" spans="13:13" x14ac:dyDescent="0.25">
      <c r="M8232" s="21"/>
    </row>
    <row r="8233" spans="13:13" x14ac:dyDescent="0.25">
      <c r="M8233" s="21"/>
    </row>
    <row r="8234" spans="13:13" x14ac:dyDescent="0.25">
      <c r="M8234" s="21"/>
    </row>
    <row r="8235" spans="13:13" x14ac:dyDescent="0.25">
      <c r="M8235" s="21"/>
    </row>
    <row r="8236" spans="13:13" x14ac:dyDescent="0.25">
      <c r="M8236" s="21"/>
    </row>
    <row r="8237" spans="13:13" x14ac:dyDescent="0.25">
      <c r="M8237" s="21"/>
    </row>
    <row r="8238" spans="13:13" x14ac:dyDescent="0.25">
      <c r="M8238" s="21"/>
    </row>
    <row r="8239" spans="13:13" x14ac:dyDescent="0.25">
      <c r="M8239" s="21"/>
    </row>
    <row r="8240" spans="13:13" x14ac:dyDescent="0.25">
      <c r="M8240" s="21"/>
    </row>
    <row r="8241" spans="13:13" x14ac:dyDescent="0.25">
      <c r="M8241" s="21"/>
    </row>
    <row r="8242" spans="13:13" x14ac:dyDescent="0.25">
      <c r="M8242" s="21"/>
    </row>
    <row r="8243" spans="13:13" x14ac:dyDescent="0.25">
      <c r="M8243" s="21"/>
    </row>
    <row r="8244" spans="13:13" x14ac:dyDescent="0.25">
      <c r="M8244" s="21"/>
    </row>
    <row r="8245" spans="13:13" x14ac:dyDescent="0.25">
      <c r="M8245" s="21"/>
    </row>
    <row r="8246" spans="13:13" x14ac:dyDescent="0.25">
      <c r="M8246" s="21"/>
    </row>
    <row r="8247" spans="13:13" x14ac:dyDescent="0.25">
      <c r="M8247" s="21"/>
    </row>
    <row r="8248" spans="13:13" x14ac:dyDescent="0.25">
      <c r="M8248" s="21"/>
    </row>
    <row r="8249" spans="13:13" x14ac:dyDescent="0.25">
      <c r="M8249" s="21"/>
    </row>
    <row r="8250" spans="13:13" x14ac:dyDescent="0.25">
      <c r="M8250" s="21"/>
    </row>
    <row r="8251" spans="13:13" x14ac:dyDescent="0.25">
      <c r="M8251" s="21"/>
    </row>
    <row r="8252" spans="13:13" x14ac:dyDescent="0.25">
      <c r="M8252" s="21"/>
    </row>
    <row r="8253" spans="13:13" x14ac:dyDescent="0.25">
      <c r="M8253" s="21"/>
    </row>
    <row r="8254" spans="13:13" x14ac:dyDescent="0.25">
      <c r="M8254" s="21"/>
    </row>
    <row r="8255" spans="13:13" x14ac:dyDescent="0.25">
      <c r="M8255" s="21"/>
    </row>
    <row r="8256" spans="13:13" x14ac:dyDescent="0.25">
      <c r="M8256" s="21"/>
    </row>
    <row r="8257" spans="13:13" x14ac:dyDescent="0.25">
      <c r="M8257" s="21"/>
    </row>
    <row r="8258" spans="13:13" x14ac:dyDescent="0.25">
      <c r="M8258" s="21"/>
    </row>
    <row r="8259" spans="13:13" x14ac:dyDescent="0.25">
      <c r="M8259" s="21"/>
    </row>
    <row r="8260" spans="13:13" x14ac:dyDescent="0.25">
      <c r="M8260" s="21"/>
    </row>
    <row r="8261" spans="13:13" x14ac:dyDescent="0.25">
      <c r="M8261" s="21"/>
    </row>
    <row r="8262" spans="13:13" x14ac:dyDescent="0.25">
      <c r="M8262" s="21"/>
    </row>
    <row r="8263" spans="13:13" x14ac:dyDescent="0.25">
      <c r="M8263" s="21"/>
    </row>
    <row r="8264" spans="13:13" x14ac:dyDescent="0.25">
      <c r="M8264" s="21"/>
    </row>
    <row r="8265" spans="13:13" x14ac:dyDescent="0.25">
      <c r="M8265" s="21"/>
    </row>
    <row r="8266" spans="13:13" x14ac:dyDescent="0.25">
      <c r="M8266" s="21"/>
    </row>
    <row r="8267" spans="13:13" x14ac:dyDescent="0.25">
      <c r="M8267" s="21"/>
    </row>
    <row r="8268" spans="13:13" x14ac:dyDescent="0.25">
      <c r="M8268" s="21"/>
    </row>
    <row r="8269" spans="13:13" x14ac:dyDescent="0.25">
      <c r="M8269" s="21"/>
    </row>
    <row r="8270" spans="13:13" x14ac:dyDescent="0.25">
      <c r="M8270" s="21"/>
    </row>
    <row r="8271" spans="13:13" x14ac:dyDescent="0.25">
      <c r="M8271" s="21"/>
    </row>
    <row r="8272" spans="13:13" x14ac:dyDescent="0.25">
      <c r="M8272" s="21"/>
    </row>
    <row r="8273" spans="13:13" x14ac:dyDescent="0.25">
      <c r="M8273" s="21"/>
    </row>
    <row r="8274" spans="13:13" x14ac:dyDescent="0.25">
      <c r="M8274" s="21"/>
    </row>
    <row r="8275" spans="13:13" x14ac:dyDescent="0.25">
      <c r="M8275" s="21"/>
    </row>
    <row r="8276" spans="13:13" x14ac:dyDescent="0.25">
      <c r="M8276" s="21"/>
    </row>
    <row r="8277" spans="13:13" x14ac:dyDescent="0.25">
      <c r="M8277" s="21"/>
    </row>
    <row r="8278" spans="13:13" x14ac:dyDescent="0.25">
      <c r="M8278" s="21"/>
    </row>
    <row r="8279" spans="13:13" x14ac:dyDescent="0.25">
      <c r="M8279" s="21"/>
    </row>
    <row r="8280" spans="13:13" x14ac:dyDescent="0.25">
      <c r="M8280" s="21"/>
    </row>
    <row r="8281" spans="13:13" x14ac:dyDescent="0.25">
      <c r="M8281" s="21"/>
    </row>
    <row r="8282" spans="13:13" x14ac:dyDescent="0.25">
      <c r="M8282" s="21"/>
    </row>
    <row r="8283" spans="13:13" x14ac:dyDescent="0.25">
      <c r="M8283" s="21"/>
    </row>
    <row r="8284" spans="13:13" x14ac:dyDescent="0.25">
      <c r="M8284" s="21"/>
    </row>
    <row r="8285" spans="13:13" x14ac:dyDescent="0.25">
      <c r="M8285" s="21"/>
    </row>
    <row r="8286" spans="13:13" x14ac:dyDescent="0.25">
      <c r="M8286" s="21"/>
    </row>
    <row r="8287" spans="13:13" x14ac:dyDescent="0.25">
      <c r="M8287" s="21"/>
    </row>
    <row r="8288" spans="13:13" x14ac:dyDescent="0.25">
      <c r="M8288" s="21"/>
    </row>
    <row r="8289" spans="13:13" x14ac:dyDescent="0.25">
      <c r="M8289" s="21"/>
    </row>
    <row r="8290" spans="13:13" x14ac:dyDescent="0.25">
      <c r="M8290" s="21"/>
    </row>
    <row r="8291" spans="13:13" x14ac:dyDescent="0.25">
      <c r="M8291" s="21"/>
    </row>
    <row r="8292" spans="13:13" x14ac:dyDescent="0.25">
      <c r="M8292" s="21"/>
    </row>
    <row r="8293" spans="13:13" x14ac:dyDescent="0.25">
      <c r="M8293" s="21"/>
    </row>
    <row r="8294" spans="13:13" x14ac:dyDescent="0.25">
      <c r="M8294" s="21"/>
    </row>
    <row r="8295" spans="13:13" x14ac:dyDescent="0.25">
      <c r="M8295" s="21"/>
    </row>
    <row r="8296" spans="13:13" x14ac:dyDescent="0.25">
      <c r="M8296" s="21"/>
    </row>
    <row r="8297" spans="13:13" x14ac:dyDescent="0.25">
      <c r="M8297" s="21"/>
    </row>
    <row r="8298" spans="13:13" x14ac:dyDescent="0.25">
      <c r="M8298" s="21"/>
    </row>
    <row r="8299" spans="13:13" x14ac:dyDescent="0.25">
      <c r="M8299" s="21"/>
    </row>
    <row r="8300" spans="13:13" x14ac:dyDescent="0.25">
      <c r="M8300" s="21"/>
    </row>
    <row r="8301" spans="13:13" x14ac:dyDescent="0.25">
      <c r="M8301" s="21"/>
    </row>
    <row r="8302" spans="13:13" x14ac:dyDescent="0.25">
      <c r="M8302" s="21"/>
    </row>
    <row r="8303" spans="13:13" x14ac:dyDescent="0.25">
      <c r="M8303" s="21"/>
    </row>
    <row r="8304" spans="13:13" x14ac:dyDescent="0.25">
      <c r="M8304" s="21"/>
    </row>
    <row r="8305" spans="13:13" x14ac:dyDescent="0.25">
      <c r="M8305" s="21"/>
    </row>
    <row r="8306" spans="13:13" x14ac:dyDescent="0.25">
      <c r="M8306" s="21"/>
    </row>
    <row r="8307" spans="13:13" x14ac:dyDescent="0.25">
      <c r="M8307" s="21"/>
    </row>
    <row r="8308" spans="13:13" x14ac:dyDescent="0.25">
      <c r="M8308" s="21"/>
    </row>
    <row r="8309" spans="13:13" x14ac:dyDescent="0.25">
      <c r="M8309" s="21"/>
    </row>
    <row r="8310" spans="13:13" x14ac:dyDescent="0.25">
      <c r="M8310" s="21"/>
    </row>
    <row r="8311" spans="13:13" x14ac:dyDescent="0.25">
      <c r="M8311" s="21"/>
    </row>
    <row r="8312" spans="13:13" x14ac:dyDescent="0.25">
      <c r="M8312" s="21"/>
    </row>
    <row r="8313" spans="13:13" x14ac:dyDescent="0.25">
      <c r="M8313" s="21"/>
    </row>
    <row r="8314" spans="13:13" x14ac:dyDescent="0.25">
      <c r="M8314" s="21"/>
    </row>
    <row r="8315" spans="13:13" x14ac:dyDescent="0.25">
      <c r="M8315" s="21"/>
    </row>
    <row r="8316" spans="13:13" x14ac:dyDescent="0.25">
      <c r="M8316" s="21"/>
    </row>
    <row r="8317" spans="13:13" x14ac:dyDescent="0.25">
      <c r="M8317" s="21"/>
    </row>
    <row r="8318" spans="13:13" x14ac:dyDescent="0.25">
      <c r="M8318" s="21"/>
    </row>
    <row r="8319" spans="13:13" x14ac:dyDescent="0.25">
      <c r="M8319" s="21"/>
    </row>
    <row r="8320" spans="13:13" x14ac:dyDescent="0.25">
      <c r="M8320" s="21"/>
    </row>
    <row r="8321" spans="13:13" x14ac:dyDescent="0.25">
      <c r="M8321" s="21"/>
    </row>
    <row r="8322" spans="13:13" x14ac:dyDescent="0.25">
      <c r="M8322" s="21"/>
    </row>
    <row r="8323" spans="13:13" x14ac:dyDescent="0.25">
      <c r="M8323" s="21"/>
    </row>
    <row r="8324" spans="13:13" x14ac:dyDescent="0.25">
      <c r="M8324" s="21"/>
    </row>
    <row r="8325" spans="13:13" x14ac:dyDescent="0.25">
      <c r="M8325" s="21"/>
    </row>
    <row r="8326" spans="13:13" x14ac:dyDescent="0.25">
      <c r="M8326" s="21"/>
    </row>
    <row r="8327" spans="13:13" x14ac:dyDescent="0.25">
      <c r="M8327" s="21"/>
    </row>
    <row r="8328" spans="13:13" x14ac:dyDescent="0.25">
      <c r="M8328" s="21"/>
    </row>
    <row r="8329" spans="13:13" x14ac:dyDescent="0.25">
      <c r="M8329" s="21"/>
    </row>
    <row r="8330" spans="13:13" x14ac:dyDescent="0.25">
      <c r="M8330" s="21"/>
    </row>
    <row r="8331" spans="13:13" x14ac:dyDescent="0.25">
      <c r="M8331" s="21"/>
    </row>
    <row r="8332" spans="13:13" x14ac:dyDescent="0.25">
      <c r="M8332" s="21"/>
    </row>
    <row r="8333" spans="13:13" x14ac:dyDescent="0.25">
      <c r="M8333" s="21"/>
    </row>
    <row r="8334" spans="13:13" x14ac:dyDescent="0.25">
      <c r="M8334" s="21"/>
    </row>
    <row r="8335" spans="13:13" x14ac:dyDescent="0.25">
      <c r="M8335" s="21"/>
    </row>
    <row r="8336" spans="13:13" x14ac:dyDescent="0.25">
      <c r="M8336" s="21"/>
    </row>
    <row r="8337" spans="13:13" x14ac:dyDescent="0.25">
      <c r="M8337" s="21"/>
    </row>
    <row r="8338" spans="13:13" x14ac:dyDescent="0.25">
      <c r="M8338" s="21"/>
    </row>
    <row r="8339" spans="13:13" x14ac:dyDescent="0.25">
      <c r="M8339" s="21"/>
    </row>
    <row r="8340" spans="13:13" x14ac:dyDescent="0.25">
      <c r="M8340" s="21"/>
    </row>
    <row r="8341" spans="13:13" x14ac:dyDescent="0.25">
      <c r="M8341" s="21"/>
    </row>
    <row r="8342" spans="13:13" x14ac:dyDescent="0.25">
      <c r="M8342" s="21"/>
    </row>
    <row r="8343" spans="13:13" x14ac:dyDescent="0.25">
      <c r="M8343" s="21"/>
    </row>
    <row r="8344" spans="13:13" x14ac:dyDescent="0.25">
      <c r="M8344" s="21"/>
    </row>
    <row r="8345" spans="13:13" x14ac:dyDescent="0.25">
      <c r="M8345" s="21"/>
    </row>
    <row r="8346" spans="13:13" x14ac:dyDescent="0.25">
      <c r="M8346" s="21"/>
    </row>
    <row r="8347" spans="13:13" x14ac:dyDescent="0.25">
      <c r="M8347" s="21"/>
    </row>
    <row r="8348" spans="13:13" x14ac:dyDescent="0.25">
      <c r="M8348" s="21"/>
    </row>
    <row r="8349" spans="13:13" x14ac:dyDescent="0.25">
      <c r="M8349" s="21"/>
    </row>
    <row r="8350" spans="13:13" x14ac:dyDescent="0.25">
      <c r="M8350" s="21"/>
    </row>
    <row r="8351" spans="13:13" x14ac:dyDescent="0.25">
      <c r="M8351" s="21"/>
    </row>
    <row r="8352" spans="13:13" x14ac:dyDescent="0.25">
      <c r="M8352" s="21"/>
    </row>
    <row r="8353" spans="13:13" x14ac:dyDescent="0.25">
      <c r="M8353" s="21"/>
    </row>
    <row r="8354" spans="13:13" x14ac:dyDescent="0.25">
      <c r="M8354" s="21"/>
    </row>
    <row r="8355" spans="13:13" x14ac:dyDescent="0.25">
      <c r="M8355" s="21"/>
    </row>
    <row r="8356" spans="13:13" x14ac:dyDescent="0.25">
      <c r="M8356" s="21"/>
    </row>
    <row r="8357" spans="13:13" x14ac:dyDescent="0.25">
      <c r="M8357" s="21"/>
    </row>
    <row r="8358" spans="13:13" x14ac:dyDescent="0.25">
      <c r="M8358" s="21"/>
    </row>
    <row r="8359" spans="13:13" x14ac:dyDescent="0.25">
      <c r="M8359" s="21"/>
    </row>
    <row r="8360" spans="13:13" x14ac:dyDescent="0.25">
      <c r="M8360" s="21"/>
    </row>
    <row r="8361" spans="13:13" x14ac:dyDescent="0.25">
      <c r="M8361" s="21"/>
    </row>
    <row r="8362" spans="13:13" x14ac:dyDescent="0.25">
      <c r="M8362" s="21"/>
    </row>
    <row r="8363" spans="13:13" x14ac:dyDescent="0.25">
      <c r="M8363" s="21"/>
    </row>
    <row r="8364" spans="13:13" x14ac:dyDescent="0.25">
      <c r="M8364" s="21"/>
    </row>
    <row r="8365" spans="13:13" x14ac:dyDescent="0.25">
      <c r="M8365" s="21"/>
    </row>
    <row r="8366" spans="13:13" x14ac:dyDescent="0.25">
      <c r="M8366" s="21"/>
    </row>
    <row r="8367" spans="13:13" x14ac:dyDescent="0.25">
      <c r="M8367" s="21"/>
    </row>
    <row r="8368" spans="13:13" x14ac:dyDescent="0.25">
      <c r="M8368" s="21"/>
    </row>
    <row r="8369" spans="13:13" x14ac:dyDescent="0.25">
      <c r="M8369" s="21"/>
    </row>
    <row r="8370" spans="13:13" x14ac:dyDescent="0.25">
      <c r="M8370" s="21"/>
    </row>
    <row r="8371" spans="13:13" x14ac:dyDescent="0.25">
      <c r="M8371" s="21"/>
    </row>
    <row r="8372" spans="13:13" x14ac:dyDescent="0.25">
      <c r="M8372" s="21"/>
    </row>
    <row r="8373" spans="13:13" x14ac:dyDescent="0.25">
      <c r="M8373" s="21"/>
    </row>
    <row r="8374" spans="13:13" x14ac:dyDescent="0.25">
      <c r="M8374" s="21"/>
    </row>
    <row r="8375" spans="13:13" x14ac:dyDescent="0.25">
      <c r="M8375" s="21"/>
    </row>
    <row r="8376" spans="13:13" x14ac:dyDescent="0.25">
      <c r="M8376" s="21"/>
    </row>
    <row r="8377" spans="13:13" x14ac:dyDescent="0.25">
      <c r="M8377" s="21"/>
    </row>
    <row r="8378" spans="13:13" x14ac:dyDescent="0.25">
      <c r="M8378" s="21"/>
    </row>
    <row r="8379" spans="13:13" x14ac:dyDescent="0.25">
      <c r="M8379" s="21"/>
    </row>
    <row r="8380" spans="13:13" x14ac:dyDescent="0.25">
      <c r="M8380" s="21"/>
    </row>
    <row r="8381" spans="13:13" x14ac:dyDescent="0.25">
      <c r="M8381" s="21"/>
    </row>
    <row r="8382" spans="13:13" x14ac:dyDescent="0.25">
      <c r="M8382" s="21"/>
    </row>
    <row r="8383" spans="13:13" x14ac:dyDescent="0.25">
      <c r="M8383" s="21"/>
    </row>
    <row r="8384" spans="13:13" x14ac:dyDescent="0.25">
      <c r="M8384" s="21"/>
    </row>
    <row r="8385" spans="13:13" x14ac:dyDescent="0.25">
      <c r="M8385" s="21"/>
    </row>
    <row r="8386" spans="13:13" x14ac:dyDescent="0.25">
      <c r="M8386" s="21"/>
    </row>
    <row r="8387" spans="13:13" x14ac:dyDescent="0.25">
      <c r="M8387" s="21"/>
    </row>
    <row r="8388" spans="13:13" x14ac:dyDescent="0.25">
      <c r="M8388" s="21"/>
    </row>
    <row r="8389" spans="13:13" x14ac:dyDescent="0.25">
      <c r="M8389" s="21"/>
    </row>
    <row r="8390" spans="13:13" x14ac:dyDescent="0.25">
      <c r="M8390" s="21"/>
    </row>
    <row r="8391" spans="13:13" x14ac:dyDescent="0.25">
      <c r="M8391" s="21"/>
    </row>
    <row r="8392" spans="13:13" x14ac:dyDescent="0.25">
      <c r="M8392" s="21"/>
    </row>
    <row r="8393" spans="13:13" x14ac:dyDescent="0.25">
      <c r="M8393" s="21"/>
    </row>
    <row r="8394" spans="13:13" x14ac:dyDescent="0.25">
      <c r="M8394" s="21"/>
    </row>
    <row r="8395" spans="13:13" x14ac:dyDescent="0.25">
      <c r="M8395" s="21"/>
    </row>
    <row r="8396" spans="13:13" x14ac:dyDescent="0.25">
      <c r="M8396" s="21"/>
    </row>
    <row r="8397" spans="13:13" x14ac:dyDescent="0.25">
      <c r="M8397" s="21"/>
    </row>
    <row r="8398" spans="13:13" x14ac:dyDescent="0.25">
      <c r="M8398" s="21"/>
    </row>
    <row r="8399" spans="13:13" x14ac:dyDescent="0.25">
      <c r="M8399" s="21"/>
    </row>
    <row r="8400" spans="13:13" x14ac:dyDescent="0.25">
      <c r="M8400" s="21"/>
    </row>
    <row r="8401" spans="13:13" x14ac:dyDescent="0.25">
      <c r="M8401" s="21"/>
    </row>
    <row r="8402" spans="13:13" x14ac:dyDescent="0.25">
      <c r="M8402" s="21"/>
    </row>
    <row r="8403" spans="13:13" x14ac:dyDescent="0.25">
      <c r="M8403" s="21"/>
    </row>
    <row r="8404" spans="13:13" x14ac:dyDescent="0.25">
      <c r="M8404" s="21"/>
    </row>
    <row r="8405" spans="13:13" x14ac:dyDescent="0.25">
      <c r="M8405" s="21"/>
    </row>
    <row r="8406" spans="13:13" x14ac:dyDescent="0.25">
      <c r="M8406" s="21"/>
    </row>
    <row r="8407" spans="13:13" x14ac:dyDescent="0.25">
      <c r="M8407" s="21"/>
    </row>
    <row r="8408" spans="13:13" x14ac:dyDescent="0.25">
      <c r="M8408" s="21"/>
    </row>
    <row r="8409" spans="13:13" x14ac:dyDescent="0.25">
      <c r="M8409" s="21"/>
    </row>
    <row r="8410" spans="13:13" x14ac:dyDescent="0.25">
      <c r="M8410" s="21"/>
    </row>
    <row r="8411" spans="13:13" x14ac:dyDescent="0.25">
      <c r="M8411" s="21"/>
    </row>
    <row r="8412" spans="13:13" x14ac:dyDescent="0.25">
      <c r="M8412" s="21"/>
    </row>
    <row r="8413" spans="13:13" x14ac:dyDescent="0.25">
      <c r="M8413" s="21"/>
    </row>
    <row r="8414" spans="13:13" x14ac:dyDescent="0.25">
      <c r="M8414" s="21"/>
    </row>
    <row r="8415" spans="13:13" x14ac:dyDescent="0.25">
      <c r="M8415" s="21"/>
    </row>
    <row r="8416" spans="13:13" x14ac:dyDescent="0.25">
      <c r="M8416" s="21"/>
    </row>
    <row r="8417" spans="13:13" x14ac:dyDescent="0.25">
      <c r="M8417" s="21"/>
    </row>
    <row r="8418" spans="13:13" x14ac:dyDescent="0.25">
      <c r="M8418" s="21"/>
    </row>
    <row r="8419" spans="13:13" x14ac:dyDescent="0.25">
      <c r="M8419" s="21"/>
    </row>
    <row r="8420" spans="13:13" x14ac:dyDescent="0.25">
      <c r="M8420" s="21"/>
    </row>
    <row r="8421" spans="13:13" x14ac:dyDescent="0.25">
      <c r="M8421" s="21"/>
    </row>
    <row r="8422" spans="13:13" x14ac:dyDescent="0.25">
      <c r="M8422" s="21"/>
    </row>
    <row r="8423" spans="13:13" x14ac:dyDescent="0.25">
      <c r="M8423" s="21"/>
    </row>
    <row r="8424" spans="13:13" x14ac:dyDescent="0.25">
      <c r="M8424" s="21"/>
    </row>
    <row r="8425" spans="13:13" x14ac:dyDescent="0.25">
      <c r="M8425" s="21"/>
    </row>
    <row r="8426" spans="13:13" x14ac:dyDescent="0.25">
      <c r="M8426" s="21"/>
    </row>
    <row r="8427" spans="13:13" x14ac:dyDescent="0.25">
      <c r="M8427" s="21"/>
    </row>
    <row r="8428" spans="13:13" x14ac:dyDescent="0.25">
      <c r="M8428" s="21"/>
    </row>
    <row r="8429" spans="13:13" x14ac:dyDescent="0.25">
      <c r="M8429" s="21"/>
    </row>
    <row r="8430" spans="13:13" x14ac:dyDescent="0.25">
      <c r="M8430" s="21"/>
    </row>
    <row r="8431" spans="13:13" x14ac:dyDescent="0.25">
      <c r="M8431" s="21"/>
    </row>
    <row r="8432" spans="13:13" x14ac:dyDescent="0.25">
      <c r="M8432" s="21"/>
    </row>
    <row r="8433" spans="13:13" x14ac:dyDescent="0.25">
      <c r="M8433" s="21"/>
    </row>
    <row r="8434" spans="13:13" x14ac:dyDescent="0.25">
      <c r="M8434" s="21"/>
    </row>
    <row r="8435" spans="13:13" x14ac:dyDescent="0.25">
      <c r="M8435" s="21"/>
    </row>
    <row r="8436" spans="13:13" x14ac:dyDescent="0.25">
      <c r="M8436" s="21"/>
    </row>
    <row r="8437" spans="13:13" x14ac:dyDescent="0.25">
      <c r="M8437" s="21"/>
    </row>
    <row r="8438" spans="13:13" x14ac:dyDescent="0.25">
      <c r="M8438" s="21"/>
    </row>
    <row r="8439" spans="13:13" x14ac:dyDescent="0.25">
      <c r="M8439" s="21"/>
    </row>
    <row r="8440" spans="13:13" x14ac:dyDescent="0.25">
      <c r="M8440" s="21"/>
    </row>
    <row r="8441" spans="13:13" x14ac:dyDescent="0.25">
      <c r="M8441" s="21"/>
    </row>
    <row r="8442" spans="13:13" x14ac:dyDescent="0.25">
      <c r="M8442" s="21"/>
    </row>
    <row r="8443" spans="13:13" x14ac:dyDescent="0.25">
      <c r="M8443" s="21"/>
    </row>
    <row r="8444" spans="13:13" x14ac:dyDescent="0.25">
      <c r="M8444" s="21"/>
    </row>
    <row r="8445" spans="13:13" x14ac:dyDescent="0.25">
      <c r="M8445" s="21"/>
    </row>
    <row r="8446" spans="13:13" x14ac:dyDescent="0.25">
      <c r="M8446" s="21"/>
    </row>
    <row r="8447" spans="13:13" x14ac:dyDescent="0.25">
      <c r="M8447" s="21"/>
    </row>
    <row r="8448" spans="13:13" x14ac:dyDescent="0.25">
      <c r="M8448" s="21"/>
    </row>
    <row r="8449" spans="13:13" x14ac:dyDescent="0.25">
      <c r="M8449" s="21"/>
    </row>
    <row r="8450" spans="13:13" x14ac:dyDescent="0.25">
      <c r="M8450" s="21"/>
    </row>
    <row r="8451" spans="13:13" x14ac:dyDescent="0.25">
      <c r="M8451" s="21"/>
    </row>
    <row r="8452" spans="13:13" x14ac:dyDescent="0.25">
      <c r="M8452" s="21"/>
    </row>
    <row r="8453" spans="13:13" x14ac:dyDescent="0.25">
      <c r="M8453" s="21"/>
    </row>
    <row r="8454" spans="13:13" x14ac:dyDescent="0.25">
      <c r="M8454" s="21"/>
    </row>
    <row r="8455" spans="13:13" x14ac:dyDescent="0.25">
      <c r="M8455" s="21"/>
    </row>
    <row r="8456" spans="13:13" x14ac:dyDescent="0.25">
      <c r="M8456" s="21"/>
    </row>
    <row r="8457" spans="13:13" x14ac:dyDescent="0.25">
      <c r="M8457" s="21"/>
    </row>
    <row r="8458" spans="13:13" x14ac:dyDescent="0.25">
      <c r="M8458" s="21"/>
    </row>
    <row r="8459" spans="13:13" x14ac:dyDescent="0.25">
      <c r="M8459" s="21"/>
    </row>
    <row r="8460" spans="13:13" x14ac:dyDescent="0.25">
      <c r="M8460" s="21"/>
    </row>
    <row r="8461" spans="13:13" x14ac:dyDescent="0.25">
      <c r="M8461" s="21"/>
    </row>
    <row r="8462" spans="13:13" x14ac:dyDescent="0.25">
      <c r="M8462" s="21"/>
    </row>
    <row r="8463" spans="13:13" x14ac:dyDescent="0.25">
      <c r="M8463" s="21"/>
    </row>
    <row r="8464" spans="13:13" x14ac:dyDescent="0.25">
      <c r="M8464" s="21"/>
    </row>
    <row r="8465" spans="13:13" x14ac:dyDescent="0.25">
      <c r="M8465" s="21"/>
    </row>
    <row r="8466" spans="13:13" x14ac:dyDescent="0.25">
      <c r="M8466" s="21"/>
    </row>
    <row r="8467" spans="13:13" x14ac:dyDescent="0.25">
      <c r="M8467" s="21"/>
    </row>
    <row r="8468" spans="13:13" x14ac:dyDescent="0.25">
      <c r="M8468" s="21"/>
    </row>
    <row r="8469" spans="13:13" x14ac:dyDescent="0.25">
      <c r="M8469" s="21"/>
    </row>
    <row r="8470" spans="13:13" x14ac:dyDescent="0.25">
      <c r="M8470" s="21"/>
    </row>
    <row r="8471" spans="13:13" x14ac:dyDescent="0.25">
      <c r="M8471" s="21"/>
    </row>
    <row r="8472" spans="13:13" x14ac:dyDescent="0.25">
      <c r="M8472" s="21"/>
    </row>
    <row r="8473" spans="13:13" x14ac:dyDescent="0.25">
      <c r="M8473" s="21"/>
    </row>
    <row r="8474" spans="13:13" x14ac:dyDescent="0.25">
      <c r="M8474" s="21"/>
    </row>
    <row r="8475" spans="13:13" x14ac:dyDescent="0.25">
      <c r="M8475" s="21"/>
    </row>
    <row r="8476" spans="13:13" x14ac:dyDescent="0.25">
      <c r="M8476" s="21"/>
    </row>
    <row r="8477" spans="13:13" x14ac:dyDescent="0.25">
      <c r="M8477" s="21"/>
    </row>
    <row r="8478" spans="13:13" x14ac:dyDescent="0.25">
      <c r="M8478" s="21"/>
    </row>
    <row r="8479" spans="13:13" x14ac:dyDescent="0.25">
      <c r="M8479" s="21"/>
    </row>
    <row r="8480" spans="13:13" x14ac:dyDescent="0.25">
      <c r="M8480" s="21"/>
    </row>
    <row r="8481" spans="13:13" x14ac:dyDescent="0.25">
      <c r="M8481" s="21"/>
    </row>
    <row r="8482" spans="13:13" x14ac:dyDescent="0.25">
      <c r="M8482" s="21"/>
    </row>
    <row r="8483" spans="13:13" x14ac:dyDescent="0.25">
      <c r="M8483" s="21"/>
    </row>
    <row r="8484" spans="13:13" x14ac:dyDescent="0.25">
      <c r="M8484" s="21"/>
    </row>
    <row r="8485" spans="13:13" x14ac:dyDescent="0.25">
      <c r="M8485" s="21"/>
    </row>
    <row r="8486" spans="13:13" x14ac:dyDescent="0.25">
      <c r="M8486" s="21"/>
    </row>
    <row r="8487" spans="13:13" x14ac:dyDescent="0.25">
      <c r="M8487" s="21"/>
    </row>
    <row r="8488" spans="13:13" x14ac:dyDescent="0.25">
      <c r="M8488" s="21"/>
    </row>
    <row r="8489" spans="13:13" x14ac:dyDescent="0.25">
      <c r="M8489" s="21"/>
    </row>
    <row r="8490" spans="13:13" x14ac:dyDescent="0.25">
      <c r="M8490" s="21"/>
    </row>
    <row r="8491" spans="13:13" x14ac:dyDescent="0.25">
      <c r="M8491" s="21"/>
    </row>
    <row r="8492" spans="13:13" x14ac:dyDescent="0.25">
      <c r="M8492" s="21"/>
    </row>
    <row r="8493" spans="13:13" x14ac:dyDescent="0.25">
      <c r="M8493" s="21"/>
    </row>
    <row r="8494" spans="13:13" x14ac:dyDescent="0.25">
      <c r="M8494" s="21"/>
    </row>
    <row r="8495" spans="13:13" x14ac:dyDescent="0.25">
      <c r="M8495" s="21"/>
    </row>
    <row r="8496" spans="13:13" x14ac:dyDescent="0.25">
      <c r="M8496" s="21"/>
    </row>
    <row r="8497" spans="13:13" x14ac:dyDescent="0.25">
      <c r="M8497" s="21"/>
    </row>
    <row r="8498" spans="13:13" x14ac:dyDescent="0.25">
      <c r="M8498" s="21"/>
    </row>
    <row r="8499" spans="13:13" x14ac:dyDescent="0.25">
      <c r="M8499" s="21"/>
    </row>
    <row r="8500" spans="13:13" x14ac:dyDescent="0.25">
      <c r="M8500" s="21"/>
    </row>
    <row r="8501" spans="13:13" x14ac:dyDescent="0.25">
      <c r="M8501" s="21"/>
    </row>
    <row r="8502" spans="13:13" x14ac:dyDescent="0.25">
      <c r="M8502" s="21"/>
    </row>
    <row r="8503" spans="13:13" x14ac:dyDescent="0.25">
      <c r="M8503" s="21"/>
    </row>
    <row r="8504" spans="13:13" x14ac:dyDescent="0.25">
      <c r="M8504" s="21"/>
    </row>
    <row r="8505" spans="13:13" x14ac:dyDescent="0.25">
      <c r="M8505" s="21"/>
    </row>
    <row r="8506" spans="13:13" x14ac:dyDescent="0.25">
      <c r="M8506" s="21"/>
    </row>
    <row r="8507" spans="13:13" x14ac:dyDescent="0.25">
      <c r="M8507" s="21"/>
    </row>
    <row r="8508" spans="13:13" x14ac:dyDescent="0.25">
      <c r="M8508" s="21"/>
    </row>
    <row r="8509" spans="13:13" x14ac:dyDescent="0.25">
      <c r="M8509" s="21"/>
    </row>
    <row r="8510" spans="13:13" x14ac:dyDescent="0.25">
      <c r="M8510" s="21"/>
    </row>
    <row r="8511" spans="13:13" x14ac:dyDescent="0.25">
      <c r="M8511" s="21"/>
    </row>
    <row r="8512" spans="13:13" x14ac:dyDescent="0.25">
      <c r="M8512" s="21"/>
    </row>
    <row r="8513" spans="13:13" x14ac:dyDescent="0.25">
      <c r="M8513" s="21"/>
    </row>
    <row r="8514" spans="13:13" x14ac:dyDescent="0.25">
      <c r="M8514" s="21"/>
    </row>
    <row r="8515" spans="13:13" x14ac:dyDescent="0.25">
      <c r="M8515" s="21"/>
    </row>
    <row r="8516" spans="13:13" x14ac:dyDescent="0.25">
      <c r="M8516" s="21"/>
    </row>
    <row r="8517" spans="13:13" x14ac:dyDescent="0.25">
      <c r="M8517" s="21"/>
    </row>
    <row r="8518" spans="13:13" x14ac:dyDescent="0.25">
      <c r="M8518" s="21"/>
    </row>
    <row r="8519" spans="13:13" x14ac:dyDescent="0.25">
      <c r="M8519" s="21"/>
    </row>
    <row r="8520" spans="13:13" x14ac:dyDescent="0.25">
      <c r="M8520" s="21"/>
    </row>
    <row r="8521" spans="13:13" x14ac:dyDescent="0.25">
      <c r="M8521" s="21"/>
    </row>
    <row r="8522" spans="13:13" x14ac:dyDescent="0.25">
      <c r="M8522" s="21"/>
    </row>
    <row r="8523" spans="13:13" x14ac:dyDescent="0.25">
      <c r="M8523" s="21"/>
    </row>
    <row r="8524" spans="13:13" x14ac:dyDescent="0.25">
      <c r="M8524" s="21"/>
    </row>
    <row r="8525" spans="13:13" x14ac:dyDescent="0.25">
      <c r="M8525" s="21"/>
    </row>
    <row r="8526" spans="13:13" x14ac:dyDescent="0.25">
      <c r="M8526" s="21"/>
    </row>
    <row r="8527" spans="13:13" x14ac:dyDescent="0.25">
      <c r="M8527" s="21"/>
    </row>
    <row r="8528" spans="13:13" x14ac:dyDescent="0.25">
      <c r="M8528" s="21"/>
    </row>
    <row r="8529" spans="13:13" x14ac:dyDescent="0.25">
      <c r="M8529" s="21"/>
    </row>
    <row r="8530" spans="13:13" x14ac:dyDescent="0.25">
      <c r="M8530" s="21"/>
    </row>
    <row r="8531" spans="13:13" x14ac:dyDescent="0.25">
      <c r="M8531" s="21"/>
    </row>
    <row r="8532" spans="13:13" x14ac:dyDescent="0.25">
      <c r="M8532" s="21"/>
    </row>
    <row r="8533" spans="13:13" x14ac:dyDescent="0.25">
      <c r="M8533" s="21"/>
    </row>
    <row r="8534" spans="13:13" x14ac:dyDescent="0.25">
      <c r="M8534" s="21"/>
    </row>
    <row r="8535" spans="13:13" x14ac:dyDescent="0.25">
      <c r="M8535" s="21"/>
    </row>
    <row r="8536" spans="13:13" x14ac:dyDescent="0.25">
      <c r="M8536" s="21"/>
    </row>
    <row r="8537" spans="13:13" x14ac:dyDescent="0.25">
      <c r="M8537" s="21"/>
    </row>
    <row r="8538" spans="13:13" x14ac:dyDescent="0.25">
      <c r="M8538" s="21"/>
    </row>
    <row r="8539" spans="13:13" x14ac:dyDescent="0.25">
      <c r="M8539" s="21"/>
    </row>
    <row r="8540" spans="13:13" x14ac:dyDescent="0.25">
      <c r="M8540" s="21"/>
    </row>
    <row r="8541" spans="13:13" x14ac:dyDescent="0.25">
      <c r="M8541" s="21"/>
    </row>
    <row r="8542" spans="13:13" x14ac:dyDescent="0.25">
      <c r="M8542" s="21"/>
    </row>
    <row r="8543" spans="13:13" x14ac:dyDescent="0.25">
      <c r="M8543" s="21"/>
    </row>
    <row r="8544" spans="13:13" x14ac:dyDescent="0.25">
      <c r="M8544" s="21"/>
    </row>
    <row r="8545" spans="13:13" x14ac:dyDescent="0.25">
      <c r="M8545" s="21"/>
    </row>
    <row r="8546" spans="13:13" x14ac:dyDescent="0.25">
      <c r="M8546" s="21"/>
    </row>
    <row r="8547" spans="13:13" x14ac:dyDescent="0.25">
      <c r="M8547" s="21"/>
    </row>
    <row r="8548" spans="13:13" x14ac:dyDescent="0.25">
      <c r="M8548" s="21"/>
    </row>
    <row r="8549" spans="13:13" x14ac:dyDescent="0.25">
      <c r="M8549" s="21"/>
    </row>
    <row r="8550" spans="13:13" x14ac:dyDescent="0.25">
      <c r="M8550" s="21"/>
    </row>
    <row r="8551" spans="13:13" x14ac:dyDescent="0.25">
      <c r="M8551" s="21"/>
    </row>
    <row r="8552" spans="13:13" x14ac:dyDescent="0.25">
      <c r="M8552" s="21"/>
    </row>
    <row r="8553" spans="13:13" x14ac:dyDescent="0.25">
      <c r="M8553" s="21"/>
    </row>
    <row r="8554" spans="13:13" x14ac:dyDescent="0.25">
      <c r="M8554" s="21"/>
    </row>
    <row r="8555" spans="13:13" x14ac:dyDescent="0.25">
      <c r="M8555" s="21"/>
    </row>
    <row r="8556" spans="13:13" x14ac:dyDescent="0.25">
      <c r="M8556" s="21"/>
    </row>
    <row r="8557" spans="13:13" x14ac:dyDescent="0.25">
      <c r="M8557" s="21"/>
    </row>
    <row r="8558" spans="13:13" x14ac:dyDescent="0.25">
      <c r="M8558" s="21"/>
    </row>
    <row r="8559" spans="13:13" x14ac:dyDescent="0.25">
      <c r="M8559" s="21"/>
    </row>
    <row r="8560" spans="13:13" x14ac:dyDescent="0.25">
      <c r="M8560" s="21"/>
    </row>
    <row r="8561" spans="13:13" x14ac:dyDescent="0.25">
      <c r="M8561" s="21"/>
    </row>
    <row r="8562" spans="13:13" x14ac:dyDescent="0.25">
      <c r="M8562" s="21"/>
    </row>
    <row r="8563" spans="13:13" x14ac:dyDescent="0.25">
      <c r="M8563" s="21"/>
    </row>
    <row r="8564" spans="13:13" x14ac:dyDescent="0.25">
      <c r="M8564" s="21"/>
    </row>
    <row r="8565" spans="13:13" x14ac:dyDescent="0.25">
      <c r="M8565" s="21"/>
    </row>
    <row r="8566" spans="13:13" x14ac:dyDescent="0.25">
      <c r="M8566" s="21"/>
    </row>
    <row r="8567" spans="13:13" x14ac:dyDescent="0.25">
      <c r="M8567" s="21"/>
    </row>
    <row r="8568" spans="13:13" x14ac:dyDescent="0.25">
      <c r="M8568" s="21"/>
    </row>
    <row r="8569" spans="13:13" x14ac:dyDescent="0.25">
      <c r="M8569" s="21"/>
    </row>
    <row r="8570" spans="13:13" x14ac:dyDescent="0.25">
      <c r="M8570" s="21"/>
    </row>
    <row r="8571" spans="13:13" x14ac:dyDescent="0.25">
      <c r="M8571" s="21"/>
    </row>
    <row r="8572" spans="13:13" x14ac:dyDescent="0.25">
      <c r="M8572" s="21"/>
    </row>
    <row r="8573" spans="13:13" x14ac:dyDescent="0.25">
      <c r="M8573" s="21"/>
    </row>
    <row r="8574" spans="13:13" x14ac:dyDescent="0.25">
      <c r="M8574" s="21"/>
    </row>
    <row r="8575" spans="13:13" x14ac:dyDescent="0.25">
      <c r="M8575" s="21"/>
    </row>
    <row r="8576" spans="13:13" x14ac:dyDescent="0.25">
      <c r="M8576" s="21"/>
    </row>
    <row r="8577" spans="13:13" x14ac:dyDescent="0.25">
      <c r="M8577" s="21"/>
    </row>
    <row r="8578" spans="13:13" x14ac:dyDescent="0.25">
      <c r="M8578" s="21"/>
    </row>
    <row r="8579" spans="13:13" x14ac:dyDescent="0.25">
      <c r="M8579" s="21"/>
    </row>
    <row r="8580" spans="13:13" x14ac:dyDescent="0.25">
      <c r="M8580" s="21"/>
    </row>
    <row r="8581" spans="13:13" x14ac:dyDescent="0.25">
      <c r="M8581" s="21"/>
    </row>
    <row r="8582" spans="13:13" x14ac:dyDescent="0.25">
      <c r="M8582" s="21"/>
    </row>
    <row r="8583" spans="13:13" x14ac:dyDescent="0.25">
      <c r="M8583" s="21"/>
    </row>
    <row r="8584" spans="13:13" x14ac:dyDescent="0.25">
      <c r="M8584" s="21"/>
    </row>
    <row r="8585" spans="13:13" x14ac:dyDescent="0.25">
      <c r="M8585" s="21"/>
    </row>
    <row r="8586" spans="13:13" x14ac:dyDescent="0.25">
      <c r="M8586" s="21"/>
    </row>
    <row r="8587" spans="13:13" x14ac:dyDescent="0.25">
      <c r="M8587" s="21"/>
    </row>
    <row r="8588" spans="13:13" x14ac:dyDescent="0.25">
      <c r="M8588" s="21"/>
    </row>
    <row r="8589" spans="13:13" x14ac:dyDescent="0.25">
      <c r="M8589" s="21"/>
    </row>
    <row r="8590" spans="13:13" x14ac:dyDescent="0.25">
      <c r="M8590" s="21"/>
    </row>
    <row r="8591" spans="13:13" x14ac:dyDescent="0.25">
      <c r="M8591" s="21"/>
    </row>
    <row r="8592" spans="13:13" x14ac:dyDescent="0.25">
      <c r="M8592" s="21"/>
    </row>
    <row r="8593" spans="13:13" x14ac:dyDescent="0.25">
      <c r="M8593" s="21"/>
    </row>
    <row r="8594" spans="13:13" x14ac:dyDescent="0.25">
      <c r="M8594" s="21"/>
    </row>
    <row r="8595" spans="13:13" x14ac:dyDescent="0.25">
      <c r="M8595" s="21"/>
    </row>
    <row r="8596" spans="13:13" x14ac:dyDescent="0.25">
      <c r="M8596" s="21"/>
    </row>
    <row r="8597" spans="13:13" x14ac:dyDescent="0.25">
      <c r="M8597" s="21"/>
    </row>
    <row r="8598" spans="13:13" x14ac:dyDescent="0.25">
      <c r="M8598" s="21"/>
    </row>
    <row r="8599" spans="13:13" x14ac:dyDescent="0.25">
      <c r="M8599" s="21"/>
    </row>
    <row r="8600" spans="13:13" x14ac:dyDescent="0.25">
      <c r="M8600" s="21"/>
    </row>
    <row r="8601" spans="13:13" x14ac:dyDescent="0.25">
      <c r="M8601" s="21"/>
    </row>
    <row r="8602" spans="13:13" x14ac:dyDescent="0.25">
      <c r="M8602" s="21"/>
    </row>
    <row r="8603" spans="13:13" x14ac:dyDescent="0.25">
      <c r="M8603" s="21"/>
    </row>
    <row r="8604" spans="13:13" x14ac:dyDescent="0.25">
      <c r="M8604" s="21"/>
    </row>
    <row r="8605" spans="13:13" x14ac:dyDescent="0.25">
      <c r="M8605" s="21"/>
    </row>
    <row r="8606" spans="13:13" x14ac:dyDescent="0.25">
      <c r="M8606" s="21"/>
    </row>
    <row r="8607" spans="13:13" x14ac:dyDescent="0.25">
      <c r="M8607" s="21"/>
    </row>
    <row r="8608" spans="13:13" x14ac:dyDescent="0.25">
      <c r="M8608" s="21"/>
    </row>
    <row r="8609" spans="13:13" x14ac:dyDescent="0.25">
      <c r="M8609" s="21"/>
    </row>
    <row r="8610" spans="13:13" x14ac:dyDescent="0.25">
      <c r="M8610" s="21"/>
    </row>
    <row r="8611" spans="13:13" x14ac:dyDescent="0.25">
      <c r="M8611" s="21"/>
    </row>
    <row r="8612" spans="13:13" x14ac:dyDescent="0.25">
      <c r="M8612" s="21"/>
    </row>
    <row r="8613" spans="13:13" x14ac:dyDescent="0.25">
      <c r="M8613" s="21"/>
    </row>
    <row r="8614" spans="13:13" x14ac:dyDescent="0.25">
      <c r="M8614" s="21"/>
    </row>
    <row r="8615" spans="13:13" x14ac:dyDescent="0.25">
      <c r="M8615" s="21"/>
    </row>
    <row r="8616" spans="13:13" x14ac:dyDescent="0.25">
      <c r="M8616" s="21"/>
    </row>
    <row r="8617" spans="13:13" x14ac:dyDescent="0.25">
      <c r="M8617" s="21"/>
    </row>
    <row r="8618" spans="13:13" x14ac:dyDescent="0.25">
      <c r="M8618" s="21"/>
    </row>
    <row r="8619" spans="13:13" x14ac:dyDescent="0.25">
      <c r="M8619" s="21"/>
    </row>
    <row r="8620" spans="13:13" x14ac:dyDescent="0.25">
      <c r="M8620" s="21"/>
    </row>
    <row r="8621" spans="13:13" x14ac:dyDescent="0.25">
      <c r="M8621" s="21"/>
    </row>
    <row r="8622" spans="13:13" x14ac:dyDescent="0.25">
      <c r="M8622" s="21"/>
    </row>
    <row r="8623" spans="13:13" x14ac:dyDescent="0.25">
      <c r="M8623" s="21"/>
    </row>
    <row r="8624" spans="13:13" x14ac:dyDescent="0.25">
      <c r="M8624" s="21"/>
    </row>
    <row r="8625" spans="13:13" x14ac:dyDescent="0.25">
      <c r="M8625" s="21"/>
    </row>
    <row r="8626" spans="13:13" x14ac:dyDescent="0.25">
      <c r="M8626" s="21"/>
    </row>
    <row r="8627" spans="13:13" x14ac:dyDescent="0.25">
      <c r="M8627" s="21"/>
    </row>
    <row r="8628" spans="13:13" x14ac:dyDescent="0.25">
      <c r="M8628" s="21"/>
    </row>
    <row r="8629" spans="13:13" x14ac:dyDescent="0.25">
      <c r="M8629" s="21"/>
    </row>
    <row r="8630" spans="13:13" x14ac:dyDescent="0.25">
      <c r="M8630" s="21"/>
    </row>
    <row r="8631" spans="13:13" x14ac:dyDescent="0.25">
      <c r="M8631" s="21"/>
    </row>
    <row r="8632" spans="13:13" x14ac:dyDescent="0.25">
      <c r="M8632" s="21"/>
    </row>
    <row r="8633" spans="13:13" x14ac:dyDescent="0.25">
      <c r="M8633" s="21"/>
    </row>
    <row r="8634" spans="13:13" x14ac:dyDescent="0.25">
      <c r="M8634" s="21"/>
    </row>
    <row r="8635" spans="13:13" x14ac:dyDescent="0.25">
      <c r="M8635" s="21"/>
    </row>
    <row r="8636" spans="13:13" x14ac:dyDescent="0.25">
      <c r="M8636" s="21"/>
    </row>
    <row r="8637" spans="13:13" x14ac:dyDescent="0.25">
      <c r="M8637" s="21"/>
    </row>
    <row r="8638" spans="13:13" x14ac:dyDescent="0.25">
      <c r="M8638" s="21"/>
    </row>
    <row r="8639" spans="13:13" x14ac:dyDescent="0.25">
      <c r="M8639" s="21"/>
    </row>
    <row r="8640" spans="13:13" x14ac:dyDescent="0.25">
      <c r="M8640" s="21"/>
    </row>
    <row r="8641" spans="13:13" x14ac:dyDescent="0.25">
      <c r="M8641" s="21"/>
    </row>
    <row r="8642" spans="13:13" x14ac:dyDescent="0.25">
      <c r="M8642" s="21"/>
    </row>
    <row r="8643" spans="13:13" x14ac:dyDescent="0.25">
      <c r="M8643" s="21"/>
    </row>
    <row r="8644" spans="13:13" x14ac:dyDescent="0.25">
      <c r="M8644" s="21"/>
    </row>
    <row r="8645" spans="13:13" x14ac:dyDescent="0.25">
      <c r="M8645" s="21"/>
    </row>
    <row r="8646" spans="13:13" x14ac:dyDescent="0.25">
      <c r="M8646" s="21"/>
    </row>
    <row r="8647" spans="13:13" x14ac:dyDescent="0.25">
      <c r="M8647" s="21"/>
    </row>
    <row r="8648" spans="13:13" x14ac:dyDescent="0.25">
      <c r="M8648" s="21"/>
    </row>
    <row r="8649" spans="13:13" x14ac:dyDescent="0.25">
      <c r="M8649" s="21"/>
    </row>
    <row r="8650" spans="13:13" x14ac:dyDescent="0.25">
      <c r="M8650" s="21"/>
    </row>
    <row r="8651" spans="13:13" x14ac:dyDescent="0.25">
      <c r="M8651" s="21"/>
    </row>
    <row r="8652" spans="13:13" x14ac:dyDescent="0.25">
      <c r="M8652" s="21"/>
    </row>
    <row r="8653" spans="13:13" x14ac:dyDescent="0.25">
      <c r="M8653" s="21"/>
    </row>
    <row r="8654" spans="13:13" x14ac:dyDescent="0.25">
      <c r="M8654" s="21"/>
    </row>
    <row r="8655" spans="13:13" x14ac:dyDescent="0.25">
      <c r="M8655" s="21"/>
    </row>
    <row r="8656" spans="13:13" x14ac:dyDescent="0.25">
      <c r="M8656" s="21"/>
    </row>
    <row r="8657" spans="13:13" x14ac:dyDescent="0.25">
      <c r="M8657" s="21"/>
    </row>
    <row r="8658" spans="13:13" x14ac:dyDescent="0.25">
      <c r="M8658" s="21"/>
    </row>
    <row r="8659" spans="13:13" x14ac:dyDescent="0.25">
      <c r="M8659" s="21"/>
    </row>
    <row r="8660" spans="13:13" x14ac:dyDescent="0.25">
      <c r="M8660" s="21"/>
    </row>
    <row r="8661" spans="13:13" x14ac:dyDescent="0.25">
      <c r="M8661" s="21"/>
    </row>
    <row r="8662" spans="13:13" x14ac:dyDescent="0.25">
      <c r="M8662" s="21"/>
    </row>
    <row r="8663" spans="13:13" x14ac:dyDescent="0.25">
      <c r="M8663" s="21"/>
    </row>
    <row r="8664" spans="13:13" x14ac:dyDescent="0.25">
      <c r="M8664" s="21"/>
    </row>
    <row r="8665" spans="13:13" x14ac:dyDescent="0.25">
      <c r="M8665" s="21"/>
    </row>
    <row r="8666" spans="13:13" x14ac:dyDescent="0.25">
      <c r="M8666" s="21"/>
    </row>
    <row r="8667" spans="13:13" x14ac:dyDescent="0.25">
      <c r="M8667" s="21"/>
    </row>
    <row r="8668" spans="13:13" x14ac:dyDescent="0.25">
      <c r="M8668" s="21"/>
    </row>
    <row r="8669" spans="13:13" x14ac:dyDescent="0.25">
      <c r="M8669" s="21"/>
    </row>
    <row r="8670" spans="13:13" x14ac:dyDescent="0.25">
      <c r="M8670" s="21"/>
    </row>
    <row r="8671" spans="13:13" x14ac:dyDescent="0.25">
      <c r="M8671" s="21"/>
    </row>
    <row r="8672" spans="13:13" x14ac:dyDescent="0.25">
      <c r="M8672" s="21"/>
    </row>
    <row r="8673" spans="13:13" x14ac:dyDescent="0.25">
      <c r="M8673" s="21"/>
    </row>
    <row r="8674" spans="13:13" x14ac:dyDescent="0.25">
      <c r="M8674" s="21"/>
    </row>
    <row r="8675" spans="13:13" x14ac:dyDescent="0.25">
      <c r="M8675" s="21"/>
    </row>
    <row r="8676" spans="13:13" x14ac:dyDescent="0.25">
      <c r="M8676" s="21"/>
    </row>
    <row r="8677" spans="13:13" x14ac:dyDescent="0.25">
      <c r="M8677" s="21"/>
    </row>
    <row r="8678" spans="13:13" x14ac:dyDescent="0.25">
      <c r="M8678" s="21"/>
    </row>
    <row r="8679" spans="13:13" x14ac:dyDescent="0.25">
      <c r="M8679" s="21"/>
    </row>
    <row r="8680" spans="13:13" x14ac:dyDescent="0.25">
      <c r="M8680" s="21"/>
    </row>
    <row r="8681" spans="13:13" x14ac:dyDescent="0.25">
      <c r="M8681" s="21"/>
    </row>
    <row r="8682" spans="13:13" x14ac:dyDescent="0.25">
      <c r="M8682" s="21"/>
    </row>
    <row r="8683" spans="13:13" x14ac:dyDescent="0.25">
      <c r="M8683" s="21"/>
    </row>
    <row r="8684" spans="13:13" x14ac:dyDescent="0.25">
      <c r="M8684" s="21"/>
    </row>
    <row r="8685" spans="13:13" x14ac:dyDescent="0.25">
      <c r="M8685" s="21"/>
    </row>
    <row r="8686" spans="13:13" x14ac:dyDescent="0.25">
      <c r="M8686" s="21"/>
    </row>
    <row r="8687" spans="13:13" x14ac:dyDescent="0.25">
      <c r="M8687" s="21"/>
    </row>
    <row r="8688" spans="13:13" x14ac:dyDescent="0.25">
      <c r="M8688" s="21"/>
    </row>
    <row r="8689" spans="13:13" x14ac:dyDescent="0.25">
      <c r="M8689" s="21"/>
    </row>
    <row r="8690" spans="13:13" x14ac:dyDescent="0.25">
      <c r="M8690" s="21"/>
    </row>
    <row r="8691" spans="13:13" x14ac:dyDescent="0.25">
      <c r="M8691" s="21"/>
    </row>
    <row r="8692" spans="13:13" x14ac:dyDescent="0.25">
      <c r="M8692" s="21"/>
    </row>
    <row r="8693" spans="13:13" x14ac:dyDescent="0.25">
      <c r="M8693" s="21"/>
    </row>
    <row r="8694" spans="13:13" x14ac:dyDescent="0.25">
      <c r="M8694" s="21"/>
    </row>
    <row r="8695" spans="13:13" x14ac:dyDescent="0.25">
      <c r="M8695" s="21"/>
    </row>
    <row r="8696" spans="13:13" x14ac:dyDescent="0.25">
      <c r="M8696" s="21"/>
    </row>
    <row r="8697" spans="13:13" x14ac:dyDescent="0.25">
      <c r="M8697" s="21"/>
    </row>
    <row r="8698" spans="13:13" x14ac:dyDescent="0.25">
      <c r="M8698" s="21"/>
    </row>
    <row r="8699" spans="13:13" x14ac:dyDescent="0.25">
      <c r="M8699" s="21"/>
    </row>
    <row r="8700" spans="13:13" x14ac:dyDescent="0.25">
      <c r="M8700" s="21"/>
    </row>
    <row r="8701" spans="13:13" x14ac:dyDescent="0.25">
      <c r="M8701" s="21"/>
    </row>
    <row r="8702" spans="13:13" x14ac:dyDescent="0.25">
      <c r="M8702" s="21"/>
    </row>
    <row r="8703" spans="13:13" x14ac:dyDescent="0.25">
      <c r="M8703" s="21"/>
    </row>
    <row r="8704" spans="13:13" x14ac:dyDescent="0.25">
      <c r="M8704" s="21"/>
    </row>
    <row r="8705" spans="13:13" x14ac:dyDescent="0.25">
      <c r="M8705" s="21"/>
    </row>
    <row r="8706" spans="13:13" x14ac:dyDescent="0.25">
      <c r="M8706" s="21"/>
    </row>
    <row r="8707" spans="13:13" x14ac:dyDescent="0.25">
      <c r="M8707" s="21"/>
    </row>
    <row r="8708" spans="13:13" x14ac:dyDescent="0.25">
      <c r="M8708" s="21"/>
    </row>
    <row r="8709" spans="13:13" x14ac:dyDescent="0.25">
      <c r="M8709" s="21"/>
    </row>
    <row r="8710" spans="13:13" x14ac:dyDescent="0.25">
      <c r="M8710" s="21"/>
    </row>
    <row r="8711" spans="13:13" x14ac:dyDescent="0.25">
      <c r="M8711" s="21"/>
    </row>
    <row r="8712" spans="13:13" x14ac:dyDescent="0.25">
      <c r="M8712" s="21"/>
    </row>
    <row r="8713" spans="13:13" x14ac:dyDescent="0.25">
      <c r="M8713" s="21"/>
    </row>
    <row r="8714" spans="13:13" x14ac:dyDescent="0.25">
      <c r="M8714" s="21"/>
    </row>
    <row r="8715" spans="13:13" x14ac:dyDescent="0.25">
      <c r="M8715" s="21"/>
    </row>
    <row r="8716" spans="13:13" x14ac:dyDescent="0.25">
      <c r="M8716" s="21"/>
    </row>
    <row r="8717" spans="13:13" x14ac:dyDescent="0.25">
      <c r="M8717" s="21"/>
    </row>
    <row r="8718" spans="13:13" x14ac:dyDescent="0.25">
      <c r="M8718" s="21"/>
    </row>
    <row r="8719" spans="13:13" x14ac:dyDescent="0.25">
      <c r="M8719" s="21"/>
    </row>
    <row r="8720" spans="13:13" x14ac:dyDescent="0.25">
      <c r="M8720" s="21"/>
    </row>
    <row r="8721" spans="13:13" x14ac:dyDescent="0.25">
      <c r="M8721" s="21"/>
    </row>
    <row r="8722" spans="13:13" x14ac:dyDescent="0.25">
      <c r="M8722" s="21"/>
    </row>
    <row r="8723" spans="13:13" x14ac:dyDescent="0.25">
      <c r="M8723" s="21"/>
    </row>
    <row r="8724" spans="13:13" x14ac:dyDescent="0.25">
      <c r="M8724" s="21"/>
    </row>
    <row r="8725" spans="13:13" x14ac:dyDescent="0.25">
      <c r="M8725" s="21"/>
    </row>
    <row r="8726" spans="13:13" x14ac:dyDescent="0.25">
      <c r="M8726" s="21"/>
    </row>
    <row r="8727" spans="13:13" x14ac:dyDescent="0.25">
      <c r="M8727" s="21"/>
    </row>
    <row r="8728" spans="13:13" x14ac:dyDescent="0.25">
      <c r="M8728" s="21"/>
    </row>
    <row r="8729" spans="13:13" x14ac:dyDescent="0.25">
      <c r="M8729" s="21"/>
    </row>
    <row r="8730" spans="13:13" x14ac:dyDescent="0.25">
      <c r="M8730" s="21"/>
    </row>
    <row r="8731" spans="13:13" x14ac:dyDescent="0.25">
      <c r="M8731" s="21"/>
    </row>
    <row r="8732" spans="13:13" x14ac:dyDescent="0.25">
      <c r="M8732" s="21"/>
    </row>
    <row r="8733" spans="13:13" x14ac:dyDescent="0.25">
      <c r="M8733" s="21"/>
    </row>
    <row r="8734" spans="13:13" x14ac:dyDescent="0.25">
      <c r="M8734" s="21"/>
    </row>
    <row r="8735" spans="13:13" x14ac:dyDescent="0.25">
      <c r="M8735" s="21"/>
    </row>
    <row r="8736" spans="13:13" x14ac:dyDescent="0.25">
      <c r="M8736" s="21"/>
    </row>
    <row r="8737" spans="13:13" x14ac:dyDescent="0.25">
      <c r="M8737" s="21"/>
    </row>
    <row r="8738" spans="13:13" x14ac:dyDescent="0.25">
      <c r="M8738" s="21"/>
    </row>
    <row r="8739" spans="13:13" x14ac:dyDescent="0.25">
      <c r="M8739" s="21"/>
    </row>
    <row r="8740" spans="13:13" x14ac:dyDescent="0.25">
      <c r="M8740" s="21"/>
    </row>
    <row r="8741" spans="13:13" x14ac:dyDescent="0.25">
      <c r="M8741" s="21"/>
    </row>
    <row r="8742" spans="13:13" x14ac:dyDescent="0.25">
      <c r="M8742" s="21"/>
    </row>
    <row r="8743" spans="13:13" x14ac:dyDescent="0.25">
      <c r="M8743" s="21"/>
    </row>
    <row r="8744" spans="13:13" x14ac:dyDescent="0.25">
      <c r="M8744" s="21"/>
    </row>
    <row r="8745" spans="13:13" x14ac:dyDescent="0.25">
      <c r="M8745" s="21"/>
    </row>
    <row r="8746" spans="13:13" x14ac:dyDescent="0.25">
      <c r="M8746" s="21"/>
    </row>
    <row r="8747" spans="13:13" x14ac:dyDescent="0.25">
      <c r="M8747" s="21"/>
    </row>
    <row r="8748" spans="13:13" x14ac:dyDescent="0.25">
      <c r="M8748" s="21"/>
    </row>
    <row r="8749" spans="13:13" x14ac:dyDescent="0.25">
      <c r="M8749" s="21"/>
    </row>
    <row r="8750" spans="13:13" x14ac:dyDescent="0.25">
      <c r="M8750" s="21"/>
    </row>
    <row r="8751" spans="13:13" x14ac:dyDescent="0.25">
      <c r="M8751" s="21"/>
    </row>
    <row r="8752" spans="13:13" x14ac:dyDescent="0.25">
      <c r="M8752" s="21"/>
    </row>
    <row r="8753" spans="13:13" x14ac:dyDescent="0.25">
      <c r="M8753" s="21"/>
    </row>
    <row r="8754" spans="13:13" x14ac:dyDescent="0.25">
      <c r="M8754" s="21"/>
    </row>
    <row r="8755" spans="13:13" x14ac:dyDescent="0.25">
      <c r="M8755" s="21"/>
    </row>
    <row r="8756" spans="13:13" x14ac:dyDescent="0.25">
      <c r="M8756" s="21"/>
    </row>
    <row r="8757" spans="13:13" x14ac:dyDescent="0.25">
      <c r="M8757" s="21"/>
    </row>
    <row r="8758" spans="13:13" x14ac:dyDescent="0.25">
      <c r="M8758" s="21"/>
    </row>
    <row r="8759" spans="13:13" x14ac:dyDescent="0.25">
      <c r="M8759" s="21"/>
    </row>
    <row r="8760" spans="13:13" x14ac:dyDescent="0.25">
      <c r="M8760" s="21"/>
    </row>
    <row r="8761" spans="13:13" x14ac:dyDescent="0.25">
      <c r="M8761" s="21"/>
    </row>
    <row r="8762" spans="13:13" x14ac:dyDescent="0.25">
      <c r="M8762" s="21"/>
    </row>
    <row r="8763" spans="13:13" x14ac:dyDescent="0.25">
      <c r="M8763" s="21"/>
    </row>
    <row r="8764" spans="13:13" x14ac:dyDescent="0.25">
      <c r="M8764" s="21"/>
    </row>
    <row r="8765" spans="13:13" x14ac:dyDescent="0.25">
      <c r="M8765" s="21"/>
    </row>
    <row r="8766" spans="13:13" x14ac:dyDescent="0.25">
      <c r="M8766" s="21"/>
    </row>
    <row r="8767" spans="13:13" x14ac:dyDescent="0.25">
      <c r="M8767" s="21"/>
    </row>
    <row r="8768" spans="13:13" x14ac:dyDescent="0.25">
      <c r="M8768" s="21"/>
    </row>
    <row r="8769" spans="13:13" x14ac:dyDescent="0.25">
      <c r="M8769" s="21"/>
    </row>
    <row r="8770" spans="13:13" x14ac:dyDescent="0.25">
      <c r="M8770" s="21"/>
    </row>
    <row r="8771" spans="13:13" x14ac:dyDescent="0.25">
      <c r="M8771" s="21"/>
    </row>
    <row r="8772" spans="13:13" x14ac:dyDescent="0.25">
      <c r="M8772" s="21"/>
    </row>
    <row r="8773" spans="13:13" x14ac:dyDescent="0.25">
      <c r="M8773" s="21"/>
    </row>
    <row r="8774" spans="13:13" x14ac:dyDescent="0.25">
      <c r="M8774" s="21"/>
    </row>
    <row r="8775" spans="13:13" x14ac:dyDescent="0.25">
      <c r="M8775" s="21"/>
    </row>
    <row r="8776" spans="13:13" x14ac:dyDescent="0.25">
      <c r="M8776" s="21"/>
    </row>
    <row r="8777" spans="13:13" x14ac:dyDescent="0.25">
      <c r="M8777" s="21"/>
    </row>
    <row r="8778" spans="13:13" x14ac:dyDescent="0.25">
      <c r="M8778" s="21"/>
    </row>
    <row r="8779" spans="13:13" x14ac:dyDescent="0.25">
      <c r="M8779" s="21"/>
    </row>
    <row r="8780" spans="13:13" x14ac:dyDescent="0.25">
      <c r="M8780" s="21"/>
    </row>
    <row r="8781" spans="13:13" x14ac:dyDescent="0.25">
      <c r="M8781" s="21"/>
    </row>
    <row r="8782" spans="13:13" x14ac:dyDescent="0.25">
      <c r="M8782" s="21"/>
    </row>
    <row r="8783" spans="13:13" x14ac:dyDescent="0.25">
      <c r="M8783" s="21"/>
    </row>
    <row r="8784" spans="13:13" x14ac:dyDescent="0.25">
      <c r="M8784" s="21"/>
    </row>
    <row r="8785" spans="13:13" x14ac:dyDescent="0.25">
      <c r="M8785" s="21"/>
    </row>
    <row r="8786" spans="13:13" x14ac:dyDescent="0.25">
      <c r="M8786" s="21"/>
    </row>
    <row r="8787" spans="13:13" x14ac:dyDescent="0.25">
      <c r="M8787" s="21"/>
    </row>
    <row r="8788" spans="13:13" x14ac:dyDescent="0.25">
      <c r="M8788" s="21"/>
    </row>
    <row r="8789" spans="13:13" x14ac:dyDescent="0.25">
      <c r="M8789" s="21"/>
    </row>
    <row r="8790" spans="13:13" x14ac:dyDescent="0.25">
      <c r="M8790" s="21"/>
    </row>
    <row r="8791" spans="13:13" x14ac:dyDescent="0.25">
      <c r="M8791" s="21"/>
    </row>
    <row r="8792" spans="13:13" x14ac:dyDescent="0.25">
      <c r="M8792" s="21"/>
    </row>
    <row r="8793" spans="13:13" x14ac:dyDescent="0.25">
      <c r="M8793" s="21"/>
    </row>
    <row r="8794" spans="13:13" x14ac:dyDescent="0.25">
      <c r="M8794" s="21"/>
    </row>
    <row r="8795" spans="13:13" x14ac:dyDescent="0.25">
      <c r="M8795" s="21"/>
    </row>
    <row r="8796" spans="13:13" x14ac:dyDescent="0.25">
      <c r="M8796" s="21"/>
    </row>
    <row r="8797" spans="13:13" x14ac:dyDescent="0.25">
      <c r="M8797" s="21"/>
    </row>
    <row r="8798" spans="13:13" x14ac:dyDescent="0.25">
      <c r="M8798" s="21"/>
    </row>
    <row r="8799" spans="13:13" x14ac:dyDescent="0.25">
      <c r="M8799" s="21"/>
    </row>
    <row r="8800" spans="13:13" x14ac:dyDescent="0.25">
      <c r="M8800" s="21"/>
    </row>
    <row r="8801" spans="13:13" x14ac:dyDescent="0.25">
      <c r="M8801" s="21"/>
    </row>
    <row r="8802" spans="13:13" x14ac:dyDescent="0.25">
      <c r="M8802" s="21"/>
    </row>
    <row r="8803" spans="13:13" x14ac:dyDescent="0.25">
      <c r="M8803" s="21"/>
    </row>
    <row r="8804" spans="13:13" x14ac:dyDescent="0.25">
      <c r="M8804" s="21"/>
    </row>
    <row r="8805" spans="13:13" x14ac:dyDescent="0.25">
      <c r="M8805" s="21"/>
    </row>
    <row r="8806" spans="13:13" x14ac:dyDescent="0.25">
      <c r="M8806" s="21"/>
    </row>
    <row r="8807" spans="13:13" x14ac:dyDescent="0.25">
      <c r="M8807" s="21"/>
    </row>
    <row r="8808" spans="13:13" x14ac:dyDescent="0.25">
      <c r="M8808" s="21"/>
    </row>
    <row r="8809" spans="13:13" x14ac:dyDescent="0.25">
      <c r="M8809" s="21"/>
    </row>
    <row r="8810" spans="13:13" x14ac:dyDescent="0.25">
      <c r="M8810" s="21"/>
    </row>
    <row r="8811" spans="13:13" x14ac:dyDescent="0.25">
      <c r="M8811" s="21"/>
    </row>
    <row r="8812" spans="13:13" x14ac:dyDescent="0.25">
      <c r="M8812" s="21"/>
    </row>
    <row r="8813" spans="13:13" x14ac:dyDescent="0.25">
      <c r="M8813" s="21"/>
    </row>
    <row r="8814" spans="13:13" x14ac:dyDescent="0.25">
      <c r="M8814" s="21"/>
    </row>
    <row r="8815" spans="13:13" x14ac:dyDescent="0.25">
      <c r="M8815" s="21"/>
    </row>
    <row r="8816" spans="13:13" x14ac:dyDescent="0.25">
      <c r="M8816" s="21"/>
    </row>
    <row r="8817" spans="13:13" x14ac:dyDescent="0.25">
      <c r="M8817" s="21"/>
    </row>
    <row r="8818" spans="13:13" x14ac:dyDescent="0.25">
      <c r="M8818" s="21"/>
    </row>
    <row r="8819" spans="13:13" x14ac:dyDescent="0.25">
      <c r="M8819" s="21"/>
    </row>
    <row r="8820" spans="13:13" x14ac:dyDescent="0.25">
      <c r="M8820" s="21"/>
    </row>
    <row r="8821" spans="13:13" x14ac:dyDescent="0.25">
      <c r="M8821" s="21"/>
    </row>
    <row r="8822" spans="13:13" x14ac:dyDescent="0.25">
      <c r="M8822" s="21"/>
    </row>
    <row r="8823" spans="13:13" x14ac:dyDescent="0.25">
      <c r="M8823" s="21"/>
    </row>
    <row r="8824" spans="13:13" x14ac:dyDescent="0.25">
      <c r="M8824" s="21"/>
    </row>
    <row r="8825" spans="13:13" x14ac:dyDescent="0.25">
      <c r="M8825" s="21"/>
    </row>
    <row r="8826" spans="13:13" x14ac:dyDescent="0.25">
      <c r="M8826" s="21"/>
    </row>
    <row r="8827" spans="13:13" x14ac:dyDescent="0.25">
      <c r="M8827" s="21"/>
    </row>
    <row r="8828" spans="13:13" x14ac:dyDescent="0.25">
      <c r="M8828" s="21"/>
    </row>
    <row r="8829" spans="13:13" x14ac:dyDescent="0.25">
      <c r="M8829" s="21"/>
    </row>
    <row r="8830" spans="13:13" x14ac:dyDescent="0.25">
      <c r="M8830" s="21"/>
    </row>
    <row r="8831" spans="13:13" x14ac:dyDescent="0.25">
      <c r="M8831" s="21"/>
    </row>
    <row r="8832" spans="13:13" x14ac:dyDescent="0.25">
      <c r="M8832" s="21"/>
    </row>
    <row r="8833" spans="13:13" x14ac:dyDescent="0.25">
      <c r="M8833" s="21"/>
    </row>
    <row r="8834" spans="13:13" x14ac:dyDescent="0.25">
      <c r="M8834" s="21"/>
    </row>
    <row r="8835" spans="13:13" x14ac:dyDescent="0.25">
      <c r="M8835" s="21"/>
    </row>
    <row r="8836" spans="13:13" x14ac:dyDescent="0.25">
      <c r="M8836" s="21"/>
    </row>
    <row r="8837" spans="13:13" x14ac:dyDescent="0.25">
      <c r="M8837" s="21"/>
    </row>
    <row r="8838" spans="13:13" x14ac:dyDescent="0.25">
      <c r="M8838" s="21"/>
    </row>
    <row r="8839" spans="13:13" x14ac:dyDescent="0.25">
      <c r="M8839" s="21"/>
    </row>
    <row r="8840" spans="13:13" x14ac:dyDescent="0.25">
      <c r="M8840" s="21"/>
    </row>
    <row r="8841" spans="13:13" x14ac:dyDescent="0.25">
      <c r="M8841" s="21"/>
    </row>
    <row r="8842" spans="13:13" x14ac:dyDescent="0.25">
      <c r="M8842" s="21"/>
    </row>
    <row r="8843" spans="13:13" x14ac:dyDescent="0.25">
      <c r="M8843" s="21"/>
    </row>
    <row r="8844" spans="13:13" x14ac:dyDescent="0.25">
      <c r="M8844" s="21"/>
    </row>
    <row r="8845" spans="13:13" x14ac:dyDescent="0.25">
      <c r="M8845" s="21"/>
    </row>
    <row r="8846" spans="13:13" x14ac:dyDescent="0.25">
      <c r="M8846" s="21"/>
    </row>
    <row r="8847" spans="13:13" x14ac:dyDescent="0.25">
      <c r="M8847" s="21"/>
    </row>
    <row r="8848" spans="13:13" x14ac:dyDescent="0.25">
      <c r="M8848" s="21"/>
    </row>
    <row r="8849" spans="13:13" x14ac:dyDescent="0.25">
      <c r="M8849" s="21"/>
    </row>
    <row r="8850" spans="13:13" x14ac:dyDescent="0.25">
      <c r="M8850" s="21"/>
    </row>
    <row r="8851" spans="13:13" x14ac:dyDescent="0.25">
      <c r="M8851" s="21"/>
    </row>
    <row r="8852" spans="13:13" x14ac:dyDescent="0.25">
      <c r="M8852" s="21"/>
    </row>
    <row r="8853" spans="13:13" x14ac:dyDescent="0.25">
      <c r="M8853" s="21"/>
    </row>
    <row r="8854" spans="13:13" x14ac:dyDescent="0.25">
      <c r="M8854" s="21"/>
    </row>
    <row r="8855" spans="13:13" x14ac:dyDescent="0.25">
      <c r="M8855" s="21"/>
    </row>
    <row r="8856" spans="13:13" x14ac:dyDescent="0.25">
      <c r="M8856" s="21"/>
    </row>
    <row r="8857" spans="13:13" x14ac:dyDescent="0.25">
      <c r="M8857" s="21"/>
    </row>
    <row r="8858" spans="13:13" x14ac:dyDescent="0.25">
      <c r="M8858" s="21"/>
    </row>
    <row r="8859" spans="13:13" x14ac:dyDescent="0.25">
      <c r="M8859" s="21"/>
    </row>
    <row r="8860" spans="13:13" x14ac:dyDescent="0.25">
      <c r="M8860" s="21"/>
    </row>
    <row r="8861" spans="13:13" x14ac:dyDescent="0.25">
      <c r="M8861" s="21"/>
    </row>
    <row r="8862" spans="13:13" x14ac:dyDescent="0.25">
      <c r="M8862" s="21"/>
    </row>
    <row r="8863" spans="13:13" x14ac:dyDescent="0.25">
      <c r="M8863" s="21"/>
    </row>
    <row r="8864" spans="13:13" x14ac:dyDescent="0.25">
      <c r="M8864" s="21"/>
    </row>
    <row r="8865" spans="13:13" x14ac:dyDescent="0.25">
      <c r="M8865" s="21"/>
    </row>
    <row r="8866" spans="13:13" x14ac:dyDescent="0.25">
      <c r="M8866" s="21"/>
    </row>
    <row r="8867" spans="13:13" x14ac:dyDescent="0.25">
      <c r="M8867" s="21"/>
    </row>
    <row r="8868" spans="13:13" x14ac:dyDescent="0.25">
      <c r="M8868" s="21"/>
    </row>
    <row r="8869" spans="13:13" x14ac:dyDescent="0.25">
      <c r="M8869" s="21"/>
    </row>
    <row r="8870" spans="13:13" x14ac:dyDescent="0.25">
      <c r="M8870" s="21"/>
    </row>
    <row r="8871" spans="13:13" x14ac:dyDescent="0.25">
      <c r="M8871" s="21"/>
    </row>
    <row r="8872" spans="13:13" x14ac:dyDescent="0.25">
      <c r="M8872" s="21"/>
    </row>
    <row r="8873" spans="13:13" x14ac:dyDescent="0.25">
      <c r="M8873" s="21"/>
    </row>
    <row r="8874" spans="13:13" x14ac:dyDescent="0.25">
      <c r="M8874" s="21"/>
    </row>
    <row r="8875" spans="13:13" x14ac:dyDescent="0.25">
      <c r="M8875" s="21"/>
    </row>
    <row r="8876" spans="13:13" x14ac:dyDescent="0.25">
      <c r="M8876" s="21"/>
    </row>
    <row r="8877" spans="13:13" x14ac:dyDescent="0.25">
      <c r="M8877" s="21"/>
    </row>
    <row r="8878" spans="13:13" x14ac:dyDescent="0.25">
      <c r="M8878" s="21"/>
    </row>
    <row r="8879" spans="13:13" x14ac:dyDescent="0.25">
      <c r="M8879" s="21"/>
    </row>
    <row r="8880" spans="13:13" x14ac:dyDescent="0.25">
      <c r="M8880" s="21"/>
    </row>
    <row r="8881" spans="13:13" x14ac:dyDescent="0.25">
      <c r="M8881" s="21"/>
    </row>
    <row r="8882" spans="13:13" x14ac:dyDescent="0.25">
      <c r="M8882" s="21"/>
    </row>
    <row r="8883" spans="13:13" x14ac:dyDescent="0.25">
      <c r="M8883" s="21"/>
    </row>
    <row r="8884" spans="13:13" x14ac:dyDescent="0.25">
      <c r="M8884" s="21"/>
    </row>
    <row r="8885" spans="13:13" x14ac:dyDescent="0.25">
      <c r="M8885" s="21"/>
    </row>
    <row r="8886" spans="13:13" x14ac:dyDescent="0.25">
      <c r="M8886" s="21"/>
    </row>
    <row r="8887" spans="13:13" x14ac:dyDescent="0.25">
      <c r="M8887" s="21"/>
    </row>
    <row r="8888" spans="13:13" x14ac:dyDescent="0.25">
      <c r="M8888" s="21"/>
    </row>
    <row r="8889" spans="13:13" x14ac:dyDescent="0.25">
      <c r="M8889" s="21"/>
    </row>
    <row r="8890" spans="13:13" x14ac:dyDescent="0.25">
      <c r="M8890" s="21"/>
    </row>
    <row r="8891" spans="13:13" x14ac:dyDescent="0.25">
      <c r="M8891" s="21"/>
    </row>
    <row r="8892" spans="13:13" x14ac:dyDescent="0.25">
      <c r="M8892" s="21"/>
    </row>
    <row r="8893" spans="13:13" x14ac:dyDescent="0.25">
      <c r="M8893" s="21"/>
    </row>
    <row r="8894" spans="13:13" x14ac:dyDescent="0.25">
      <c r="M8894" s="21"/>
    </row>
    <row r="8895" spans="13:13" x14ac:dyDescent="0.25">
      <c r="M8895" s="21"/>
    </row>
    <row r="8896" spans="13:13" x14ac:dyDescent="0.25">
      <c r="M8896" s="21"/>
    </row>
    <row r="8897" spans="13:13" x14ac:dyDescent="0.25">
      <c r="M8897" s="21"/>
    </row>
    <row r="8898" spans="13:13" x14ac:dyDescent="0.25">
      <c r="M8898" s="21"/>
    </row>
    <row r="8899" spans="13:13" x14ac:dyDescent="0.25">
      <c r="M8899" s="21"/>
    </row>
    <row r="8900" spans="13:13" x14ac:dyDescent="0.25">
      <c r="M8900" s="21"/>
    </row>
    <row r="8901" spans="13:13" x14ac:dyDescent="0.25">
      <c r="M8901" s="21"/>
    </row>
    <row r="8902" spans="13:13" x14ac:dyDescent="0.25">
      <c r="M8902" s="21"/>
    </row>
    <row r="8903" spans="13:13" x14ac:dyDescent="0.25">
      <c r="M8903" s="21"/>
    </row>
    <row r="8904" spans="13:13" x14ac:dyDescent="0.25">
      <c r="M8904" s="21"/>
    </row>
    <row r="8905" spans="13:13" x14ac:dyDescent="0.25">
      <c r="M8905" s="21"/>
    </row>
    <row r="8906" spans="13:13" x14ac:dyDescent="0.25">
      <c r="M8906" s="21"/>
    </row>
    <row r="8907" spans="13:13" x14ac:dyDescent="0.25">
      <c r="M8907" s="21"/>
    </row>
    <row r="8908" spans="13:13" x14ac:dyDescent="0.25">
      <c r="M8908" s="21"/>
    </row>
    <row r="8909" spans="13:13" x14ac:dyDescent="0.25">
      <c r="M8909" s="21"/>
    </row>
    <row r="8910" spans="13:13" x14ac:dyDescent="0.25">
      <c r="M8910" s="21"/>
    </row>
    <row r="8911" spans="13:13" x14ac:dyDescent="0.25">
      <c r="M8911" s="21"/>
    </row>
    <row r="8912" spans="13:13" x14ac:dyDescent="0.25">
      <c r="M8912" s="21"/>
    </row>
    <row r="8913" spans="13:13" x14ac:dyDescent="0.25">
      <c r="M8913" s="21"/>
    </row>
    <row r="8914" spans="13:13" x14ac:dyDescent="0.25">
      <c r="M8914" s="21"/>
    </row>
    <row r="8915" spans="13:13" x14ac:dyDescent="0.25">
      <c r="M8915" s="21"/>
    </row>
    <row r="8916" spans="13:13" x14ac:dyDescent="0.25">
      <c r="M8916" s="21"/>
    </row>
    <row r="8917" spans="13:13" x14ac:dyDescent="0.25">
      <c r="M8917" s="21"/>
    </row>
    <row r="8918" spans="13:13" x14ac:dyDescent="0.25">
      <c r="M8918" s="21"/>
    </row>
    <row r="8919" spans="13:13" x14ac:dyDescent="0.25">
      <c r="M8919" s="21"/>
    </row>
    <row r="8920" spans="13:13" x14ac:dyDescent="0.25">
      <c r="M8920" s="21"/>
    </row>
    <row r="8921" spans="13:13" x14ac:dyDescent="0.25">
      <c r="M8921" s="21"/>
    </row>
    <row r="8922" spans="13:13" x14ac:dyDescent="0.25">
      <c r="M8922" s="21"/>
    </row>
    <row r="8923" spans="13:13" x14ac:dyDescent="0.25">
      <c r="M8923" s="21"/>
    </row>
    <row r="8924" spans="13:13" x14ac:dyDescent="0.25">
      <c r="M8924" s="21"/>
    </row>
    <row r="8925" spans="13:13" x14ac:dyDescent="0.25">
      <c r="M8925" s="21"/>
    </row>
    <row r="8926" spans="13:13" x14ac:dyDescent="0.25">
      <c r="M8926" s="21"/>
    </row>
    <row r="8927" spans="13:13" x14ac:dyDescent="0.25">
      <c r="M8927" s="21"/>
    </row>
    <row r="8928" spans="13:13" x14ac:dyDescent="0.25">
      <c r="M8928" s="21"/>
    </row>
    <row r="8929" spans="13:13" x14ac:dyDescent="0.25">
      <c r="M8929" s="21"/>
    </row>
    <row r="8930" spans="13:13" x14ac:dyDescent="0.25">
      <c r="M8930" s="21"/>
    </row>
    <row r="8931" spans="13:13" x14ac:dyDescent="0.25">
      <c r="M8931" s="21"/>
    </row>
    <row r="8932" spans="13:13" x14ac:dyDescent="0.25">
      <c r="M8932" s="21"/>
    </row>
    <row r="8933" spans="13:13" x14ac:dyDescent="0.25">
      <c r="M8933" s="21"/>
    </row>
    <row r="8934" spans="13:13" x14ac:dyDescent="0.25">
      <c r="M8934" s="21"/>
    </row>
    <row r="8935" spans="13:13" x14ac:dyDescent="0.25">
      <c r="M8935" s="21"/>
    </row>
    <row r="8936" spans="13:13" x14ac:dyDescent="0.25">
      <c r="M8936" s="21"/>
    </row>
    <row r="8937" spans="13:13" x14ac:dyDescent="0.25">
      <c r="M8937" s="21"/>
    </row>
    <row r="8938" spans="13:13" x14ac:dyDescent="0.25">
      <c r="M8938" s="21"/>
    </row>
    <row r="8939" spans="13:13" x14ac:dyDescent="0.25">
      <c r="M8939" s="21"/>
    </row>
    <row r="8940" spans="13:13" x14ac:dyDescent="0.25">
      <c r="M8940" s="21"/>
    </row>
    <row r="8941" spans="13:13" x14ac:dyDescent="0.25">
      <c r="M8941" s="21"/>
    </row>
    <row r="8942" spans="13:13" x14ac:dyDescent="0.25">
      <c r="M8942" s="21"/>
    </row>
    <row r="8943" spans="13:13" x14ac:dyDescent="0.25">
      <c r="M8943" s="21"/>
    </row>
    <row r="8944" spans="13:13" x14ac:dyDescent="0.25">
      <c r="M8944" s="21"/>
    </row>
    <row r="8945" spans="13:13" x14ac:dyDescent="0.25">
      <c r="M8945" s="21"/>
    </row>
    <row r="8946" spans="13:13" x14ac:dyDescent="0.25">
      <c r="M8946" s="21"/>
    </row>
    <row r="8947" spans="13:13" x14ac:dyDescent="0.25">
      <c r="M8947" s="21"/>
    </row>
    <row r="8948" spans="13:13" x14ac:dyDescent="0.25">
      <c r="M8948" s="21"/>
    </row>
    <row r="8949" spans="13:13" x14ac:dyDescent="0.25">
      <c r="M8949" s="21"/>
    </row>
    <row r="8950" spans="13:13" x14ac:dyDescent="0.25">
      <c r="M8950" s="21"/>
    </row>
    <row r="8951" spans="13:13" x14ac:dyDescent="0.25">
      <c r="M8951" s="21"/>
    </row>
    <row r="8952" spans="13:13" x14ac:dyDescent="0.25">
      <c r="M8952" s="21"/>
    </row>
    <row r="8953" spans="13:13" x14ac:dyDescent="0.25">
      <c r="M8953" s="21"/>
    </row>
    <row r="8954" spans="13:13" x14ac:dyDescent="0.25">
      <c r="M8954" s="21"/>
    </row>
    <row r="8955" spans="13:13" x14ac:dyDescent="0.25">
      <c r="M8955" s="21"/>
    </row>
    <row r="8956" spans="13:13" x14ac:dyDescent="0.25">
      <c r="M8956" s="21"/>
    </row>
    <row r="8957" spans="13:13" x14ac:dyDescent="0.25">
      <c r="M8957" s="21"/>
    </row>
    <row r="8958" spans="13:13" x14ac:dyDescent="0.25">
      <c r="M8958" s="21"/>
    </row>
    <row r="8959" spans="13:13" x14ac:dyDescent="0.25">
      <c r="M8959" s="21"/>
    </row>
    <row r="8960" spans="13:13" x14ac:dyDescent="0.25">
      <c r="M8960" s="21"/>
    </row>
    <row r="8961" spans="13:13" x14ac:dyDescent="0.25">
      <c r="M8961" s="21"/>
    </row>
    <row r="8962" spans="13:13" x14ac:dyDescent="0.25">
      <c r="M8962" s="21"/>
    </row>
    <row r="8963" spans="13:13" x14ac:dyDescent="0.25">
      <c r="M8963" s="21"/>
    </row>
    <row r="8964" spans="13:13" x14ac:dyDescent="0.25">
      <c r="M8964" s="21"/>
    </row>
    <row r="8965" spans="13:13" x14ac:dyDescent="0.25">
      <c r="M8965" s="21"/>
    </row>
    <row r="8966" spans="13:13" x14ac:dyDescent="0.25">
      <c r="M8966" s="21"/>
    </row>
    <row r="8967" spans="13:13" x14ac:dyDescent="0.25">
      <c r="M8967" s="21"/>
    </row>
    <row r="8968" spans="13:13" x14ac:dyDescent="0.25">
      <c r="M8968" s="21"/>
    </row>
    <row r="8969" spans="13:13" x14ac:dyDescent="0.25">
      <c r="M8969" s="21"/>
    </row>
    <row r="8970" spans="13:13" x14ac:dyDescent="0.25">
      <c r="M8970" s="21"/>
    </row>
    <row r="8971" spans="13:13" x14ac:dyDescent="0.25">
      <c r="M8971" s="21"/>
    </row>
    <row r="8972" spans="13:13" x14ac:dyDescent="0.25">
      <c r="M8972" s="21"/>
    </row>
    <row r="8973" spans="13:13" x14ac:dyDescent="0.25">
      <c r="M8973" s="21"/>
    </row>
    <row r="8974" spans="13:13" x14ac:dyDescent="0.25">
      <c r="M8974" s="21"/>
    </row>
    <row r="8975" spans="13:13" x14ac:dyDescent="0.25">
      <c r="M8975" s="21"/>
    </row>
    <row r="8976" spans="13:13" x14ac:dyDescent="0.25">
      <c r="M8976" s="21"/>
    </row>
    <row r="8977" spans="13:13" x14ac:dyDescent="0.25">
      <c r="M8977" s="21"/>
    </row>
    <row r="8978" spans="13:13" x14ac:dyDescent="0.25">
      <c r="M8978" s="21"/>
    </row>
    <row r="8979" spans="13:13" x14ac:dyDescent="0.25">
      <c r="M8979" s="21"/>
    </row>
    <row r="8980" spans="13:13" x14ac:dyDescent="0.25">
      <c r="M8980" s="21"/>
    </row>
    <row r="8981" spans="13:13" x14ac:dyDescent="0.25">
      <c r="M8981" s="21"/>
    </row>
    <row r="8982" spans="13:13" x14ac:dyDescent="0.25">
      <c r="M8982" s="21"/>
    </row>
    <row r="8983" spans="13:13" x14ac:dyDescent="0.25">
      <c r="M8983" s="21"/>
    </row>
    <row r="8984" spans="13:13" x14ac:dyDescent="0.25">
      <c r="M8984" s="21"/>
    </row>
    <row r="8985" spans="13:13" x14ac:dyDescent="0.25">
      <c r="M8985" s="21"/>
    </row>
    <row r="8986" spans="13:13" x14ac:dyDescent="0.25">
      <c r="M8986" s="21"/>
    </row>
    <row r="8987" spans="13:13" x14ac:dyDescent="0.25">
      <c r="M8987" s="21"/>
    </row>
    <row r="8988" spans="13:13" x14ac:dyDescent="0.25">
      <c r="M8988" s="21"/>
    </row>
    <row r="8989" spans="13:13" x14ac:dyDescent="0.25">
      <c r="M8989" s="21"/>
    </row>
    <row r="8990" spans="13:13" x14ac:dyDescent="0.25">
      <c r="M8990" s="21"/>
    </row>
    <row r="8991" spans="13:13" x14ac:dyDescent="0.25">
      <c r="M8991" s="21"/>
    </row>
    <row r="8992" spans="13:13" x14ac:dyDescent="0.25">
      <c r="M8992" s="21"/>
    </row>
    <row r="8993" spans="13:13" x14ac:dyDescent="0.25">
      <c r="M8993" s="21"/>
    </row>
    <row r="8994" spans="13:13" x14ac:dyDescent="0.25">
      <c r="M8994" s="21"/>
    </row>
    <row r="8995" spans="13:13" x14ac:dyDescent="0.25">
      <c r="M8995" s="21"/>
    </row>
    <row r="8996" spans="13:13" x14ac:dyDescent="0.25">
      <c r="M8996" s="21"/>
    </row>
    <row r="8997" spans="13:13" x14ac:dyDescent="0.25">
      <c r="M8997" s="21"/>
    </row>
    <row r="8998" spans="13:13" x14ac:dyDescent="0.25">
      <c r="M8998" s="21"/>
    </row>
    <row r="8999" spans="13:13" x14ac:dyDescent="0.25">
      <c r="M8999" s="21"/>
    </row>
    <row r="9000" spans="13:13" x14ac:dyDescent="0.25">
      <c r="M9000" s="21"/>
    </row>
    <row r="9001" spans="13:13" x14ac:dyDescent="0.25">
      <c r="M9001" s="21"/>
    </row>
    <row r="9002" spans="13:13" x14ac:dyDescent="0.25">
      <c r="M9002" s="21"/>
    </row>
    <row r="9003" spans="13:13" x14ac:dyDescent="0.25">
      <c r="M9003" s="21"/>
    </row>
    <row r="9004" spans="13:13" x14ac:dyDescent="0.25">
      <c r="M9004" s="21"/>
    </row>
    <row r="9005" spans="13:13" x14ac:dyDescent="0.25">
      <c r="M9005" s="21"/>
    </row>
    <row r="9006" spans="13:13" x14ac:dyDescent="0.25">
      <c r="M9006" s="21"/>
    </row>
    <row r="9007" spans="13:13" x14ac:dyDescent="0.25">
      <c r="M9007" s="21"/>
    </row>
    <row r="9008" spans="13:13" x14ac:dyDescent="0.25">
      <c r="M9008" s="21"/>
    </row>
    <row r="9009" spans="13:13" x14ac:dyDescent="0.25">
      <c r="M9009" s="21"/>
    </row>
    <row r="9010" spans="13:13" x14ac:dyDescent="0.25">
      <c r="M9010" s="21"/>
    </row>
    <row r="9011" spans="13:13" x14ac:dyDescent="0.25">
      <c r="M9011" s="21"/>
    </row>
    <row r="9012" spans="13:13" x14ac:dyDescent="0.25">
      <c r="M9012" s="21"/>
    </row>
    <row r="9013" spans="13:13" x14ac:dyDescent="0.25">
      <c r="M9013" s="21"/>
    </row>
    <row r="9014" spans="13:13" x14ac:dyDescent="0.25">
      <c r="M9014" s="21"/>
    </row>
    <row r="9015" spans="13:13" x14ac:dyDescent="0.25">
      <c r="M9015" s="21"/>
    </row>
    <row r="9016" spans="13:13" x14ac:dyDescent="0.25">
      <c r="M9016" s="21"/>
    </row>
    <row r="9017" spans="13:13" x14ac:dyDescent="0.25">
      <c r="M9017" s="21"/>
    </row>
    <row r="9018" spans="13:13" x14ac:dyDescent="0.25">
      <c r="M9018" s="21"/>
    </row>
    <row r="9019" spans="13:13" x14ac:dyDescent="0.25">
      <c r="M9019" s="21"/>
    </row>
    <row r="9020" spans="13:13" x14ac:dyDescent="0.25">
      <c r="M9020" s="21"/>
    </row>
    <row r="9021" spans="13:13" x14ac:dyDescent="0.25">
      <c r="M9021" s="21"/>
    </row>
    <row r="9022" spans="13:13" x14ac:dyDescent="0.25">
      <c r="M9022" s="21"/>
    </row>
    <row r="9023" spans="13:13" x14ac:dyDescent="0.25">
      <c r="M9023" s="21"/>
    </row>
    <row r="9024" spans="13:13" x14ac:dyDescent="0.25">
      <c r="M9024" s="21"/>
    </row>
    <row r="9025" spans="13:13" x14ac:dyDescent="0.25">
      <c r="M9025" s="21"/>
    </row>
    <row r="9026" spans="13:13" x14ac:dyDescent="0.25">
      <c r="M9026" s="21"/>
    </row>
    <row r="9027" spans="13:13" x14ac:dyDescent="0.25">
      <c r="M9027" s="21"/>
    </row>
    <row r="9028" spans="13:13" x14ac:dyDescent="0.25">
      <c r="M9028" s="21"/>
    </row>
    <row r="9029" spans="13:13" x14ac:dyDescent="0.25">
      <c r="M9029" s="21"/>
    </row>
    <row r="9030" spans="13:13" x14ac:dyDescent="0.25">
      <c r="M9030" s="21"/>
    </row>
    <row r="9031" spans="13:13" x14ac:dyDescent="0.25">
      <c r="M9031" s="21"/>
    </row>
    <row r="9032" spans="13:13" x14ac:dyDescent="0.25">
      <c r="M9032" s="21"/>
    </row>
    <row r="9033" spans="13:13" x14ac:dyDescent="0.25">
      <c r="M9033" s="21"/>
    </row>
    <row r="9034" spans="13:13" x14ac:dyDescent="0.25">
      <c r="M9034" s="21"/>
    </row>
    <row r="9035" spans="13:13" x14ac:dyDescent="0.25">
      <c r="M9035" s="21"/>
    </row>
    <row r="9036" spans="13:13" x14ac:dyDescent="0.25">
      <c r="M9036" s="21"/>
    </row>
    <row r="9037" spans="13:13" x14ac:dyDescent="0.25">
      <c r="M9037" s="21"/>
    </row>
    <row r="9038" spans="13:13" x14ac:dyDescent="0.25">
      <c r="M9038" s="21"/>
    </row>
    <row r="9039" spans="13:13" x14ac:dyDescent="0.25">
      <c r="M9039" s="21"/>
    </row>
    <row r="9040" spans="13:13" x14ac:dyDescent="0.25">
      <c r="M9040" s="21"/>
    </row>
    <row r="9041" spans="13:13" x14ac:dyDescent="0.25">
      <c r="M9041" s="21"/>
    </row>
    <row r="9042" spans="13:13" x14ac:dyDescent="0.25">
      <c r="M9042" s="21"/>
    </row>
    <row r="9043" spans="13:13" x14ac:dyDescent="0.25">
      <c r="M9043" s="21"/>
    </row>
    <row r="9044" spans="13:13" x14ac:dyDescent="0.25">
      <c r="M9044" s="21"/>
    </row>
    <row r="9045" spans="13:13" x14ac:dyDescent="0.25">
      <c r="M9045" s="21"/>
    </row>
    <row r="9046" spans="13:13" x14ac:dyDescent="0.25">
      <c r="M9046" s="21"/>
    </row>
    <row r="9047" spans="13:13" x14ac:dyDescent="0.25">
      <c r="M9047" s="21"/>
    </row>
    <row r="9048" spans="13:13" x14ac:dyDescent="0.25">
      <c r="M9048" s="21"/>
    </row>
    <row r="9049" spans="13:13" x14ac:dyDescent="0.25">
      <c r="M9049" s="21"/>
    </row>
    <row r="9050" spans="13:13" x14ac:dyDescent="0.25">
      <c r="M9050" s="21"/>
    </row>
    <row r="9051" spans="13:13" x14ac:dyDescent="0.25">
      <c r="M9051" s="21"/>
    </row>
    <row r="9052" spans="13:13" x14ac:dyDescent="0.25">
      <c r="M9052" s="21"/>
    </row>
    <row r="9053" spans="13:13" x14ac:dyDescent="0.25">
      <c r="M9053" s="21"/>
    </row>
    <row r="9054" spans="13:13" x14ac:dyDescent="0.25">
      <c r="M9054" s="21"/>
    </row>
    <row r="9055" spans="13:13" x14ac:dyDescent="0.25">
      <c r="M9055" s="21"/>
    </row>
    <row r="9056" spans="13:13" x14ac:dyDescent="0.25">
      <c r="M9056" s="21"/>
    </row>
    <row r="9057" spans="13:13" x14ac:dyDescent="0.25">
      <c r="M9057" s="21"/>
    </row>
    <row r="9058" spans="13:13" x14ac:dyDescent="0.25">
      <c r="M9058" s="21"/>
    </row>
    <row r="9059" spans="13:13" x14ac:dyDescent="0.25">
      <c r="M9059" s="21"/>
    </row>
    <row r="9060" spans="13:13" x14ac:dyDescent="0.25">
      <c r="M9060" s="21"/>
    </row>
    <row r="9061" spans="13:13" x14ac:dyDescent="0.25">
      <c r="M9061" s="21"/>
    </row>
    <row r="9062" spans="13:13" x14ac:dyDescent="0.25">
      <c r="M9062" s="21"/>
    </row>
    <row r="9063" spans="13:13" x14ac:dyDescent="0.25">
      <c r="M9063" s="21"/>
    </row>
    <row r="9064" spans="13:13" x14ac:dyDescent="0.25">
      <c r="M9064" s="21"/>
    </row>
    <row r="9065" spans="13:13" x14ac:dyDescent="0.25">
      <c r="M9065" s="21"/>
    </row>
    <row r="9066" spans="13:13" x14ac:dyDescent="0.25">
      <c r="M9066" s="21"/>
    </row>
    <row r="9067" spans="13:13" x14ac:dyDescent="0.25">
      <c r="M9067" s="21"/>
    </row>
    <row r="9068" spans="13:13" x14ac:dyDescent="0.25">
      <c r="M9068" s="21"/>
    </row>
    <row r="9069" spans="13:13" x14ac:dyDescent="0.25">
      <c r="M9069" s="21"/>
    </row>
    <row r="9070" spans="13:13" x14ac:dyDescent="0.25">
      <c r="M9070" s="21"/>
    </row>
    <row r="9071" spans="13:13" x14ac:dyDescent="0.25">
      <c r="M9071" s="21"/>
    </row>
    <row r="9072" spans="13:13" x14ac:dyDescent="0.25">
      <c r="M9072" s="21"/>
    </row>
    <row r="9073" spans="13:13" x14ac:dyDescent="0.25">
      <c r="M9073" s="21"/>
    </row>
    <row r="9074" spans="13:13" x14ac:dyDescent="0.25">
      <c r="M9074" s="21"/>
    </row>
    <row r="9075" spans="13:13" x14ac:dyDescent="0.25">
      <c r="M9075" s="21"/>
    </row>
    <row r="9076" spans="13:13" x14ac:dyDescent="0.25">
      <c r="M9076" s="21"/>
    </row>
    <row r="9077" spans="13:13" x14ac:dyDescent="0.25">
      <c r="M9077" s="21"/>
    </row>
    <row r="9078" spans="13:13" x14ac:dyDescent="0.25">
      <c r="M9078" s="21"/>
    </row>
    <row r="9079" spans="13:13" x14ac:dyDescent="0.25">
      <c r="M9079" s="21"/>
    </row>
    <row r="9080" spans="13:13" x14ac:dyDescent="0.25">
      <c r="M9080" s="21"/>
    </row>
    <row r="9081" spans="13:13" x14ac:dyDescent="0.25">
      <c r="M9081" s="21"/>
    </row>
    <row r="9082" spans="13:13" x14ac:dyDescent="0.25">
      <c r="M9082" s="21"/>
    </row>
    <row r="9083" spans="13:13" x14ac:dyDescent="0.25">
      <c r="M9083" s="21"/>
    </row>
    <row r="9084" spans="13:13" x14ac:dyDescent="0.25">
      <c r="M9084" s="21"/>
    </row>
    <row r="9085" spans="13:13" x14ac:dyDescent="0.25">
      <c r="M9085" s="21"/>
    </row>
    <row r="9086" spans="13:13" x14ac:dyDescent="0.25">
      <c r="M9086" s="21"/>
    </row>
    <row r="9087" spans="13:13" x14ac:dyDescent="0.25">
      <c r="M9087" s="21"/>
    </row>
    <row r="9088" spans="13:13" x14ac:dyDescent="0.25">
      <c r="M9088" s="21"/>
    </row>
    <row r="9089" spans="13:13" x14ac:dyDescent="0.25">
      <c r="M9089" s="21"/>
    </row>
    <row r="9090" spans="13:13" x14ac:dyDescent="0.25">
      <c r="M9090" s="21"/>
    </row>
    <row r="9091" spans="13:13" x14ac:dyDescent="0.25">
      <c r="M9091" s="21"/>
    </row>
    <row r="9092" spans="13:13" x14ac:dyDescent="0.25">
      <c r="M9092" s="21"/>
    </row>
    <row r="9093" spans="13:13" x14ac:dyDescent="0.25">
      <c r="M9093" s="21"/>
    </row>
    <row r="9094" spans="13:13" x14ac:dyDescent="0.25">
      <c r="M9094" s="21"/>
    </row>
    <row r="9095" spans="13:13" x14ac:dyDescent="0.25">
      <c r="M9095" s="21"/>
    </row>
    <row r="9096" spans="13:13" x14ac:dyDescent="0.25">
      <c r="M9096" s="21"/>
    </row>
    <row r="9097" spans="13:13" x14ac:dyDescent="0.25">
      <c r="M9097" s="21"/>
    </row>
    <row r="9098" spans="13:13" x14ac:dyDescent="0.25">
      <c r="M9098" s="21"/>
    </row>
    <row r="9099" spans="13:13" x14ac:dyDescent="0.25">
      <c r="M9099" s="21"/>
    </row>
    <row r="9100" spans="13:13" x14ac:dyDescent="0.25">
      <c r="M9100" s="21"/>
    </row>
    <row r="9101" spans="13:13" x14ac:dyDescent="0.25">
      <c r="M9101" s="21"/>
    </row>
    <row r="9102" spans="13:13" x14ac:dyDescent="0.25">
      <c r="M9102" s="21"/>
    </row>
    <row r="9103" spans="13:13" x14ac:dyDescent="0.25">
      <c r="M9103" s="21"/>
    </row>
    <row r="9104" spans="13:13" x14ac:dyDescent="0.25">
      <c r="M9104" s="21"/>
    </row>
    <row r="9105" spans="13:13" x14ac:dyDescent="0.25">
      <c r="M9105" s="21"/>
    </row>
    <row r="9106" spans="13:13" x14ac:dyDescent="0.25">
      <c r="M9106" s="21"/>
    </row>
    <row r="9107" spans="13:13" x14ac:dyDescent="0.25">
      <c r="M9107" s="21"/>
    </row>
    <row r="9108" spans="13:13" x14ac:dyDescent="0.25">
      <c r="M9108" s="21"/>
    </row>
    <row r="9109" spans="13:13" x14ac:dyDescent="0.25">
      <c r="M9109" s="21"/>
    </row>
    <row r="9110" spans="13:13" x14ac:dyDescent="0.25">
      <c r="M9110" s="21"/>
    </row>
    <row r="9111" spans="13:13" x14ac:dyDescent="0.25">
      <c r="M9111" s="21"/>
    </row>
    <row r="9112" spans="13:13" x14ac:dyDescent="0.25">
      <c r="M9112" s="21"/>
    </row>
    <row r="9113" spans="13:13" x14ac:dyDescent="0.25">
      <c r="M9113" s="21"/>
    </row>
    <row r="9114" spans="13:13" x14ac:dyDescent="0.25">
      <c r="M9114" s="21"/>
    </row>
    <row r="9115" spans="13:13" x14ac:dyDescent="0.25">
      <c r="M9115" s="21"/>
    </row>
    <row r="9116" spans="13:13" x14ac:dyDescent="0.25">
      <c r="M9116" s="21"/>
    </row>
    <row r="9117" spans="13:13" x14ac:dyDescent="0.25">
      <c r="M9117" s="21"/>
    </row>
    <row r="9118" spans="13:13" x14ac:dyDescent="0.25">
      <c r="M9118" s="21"/>
    </row>
    <row r="9119" spans="13:13" x14ac:dyDescent="0.25">
      <c r="M9119" s="21"/>
    </row>
    <row r="9120" spans="13:13" x14ac:dyDescent="0.25">
      <c r="M9120" s="21"/>
    </row>
    <row r="9121" spans="13:13" x14ac:dyDescent="0.25">
      <c r="M9121" s="21"/>
    </row>
    <row r="9122" spans="13:13" x14ac:dyDescent="0.25">
      <c r="M9122" s="21"/>
    </row>
    <row r="9123" spans="13:13" x14ac:dyDescent="0.25">
      <c r="M9123" s="21"/>
    </row>
    <row r="9124" spans="13:13" x14ac:dyDescent="0.25">
      <c r="M9124" s="21"/>
    </row>
    <row r="9125" spans="13:13" x14ac:dyDescent="0.25">
      <c r="M9125" s="21"/>
    </row>
    <row r="9126" spans="13:13" x14ac:dyDescent="0.25">
      <c r="M9126" s="21"/>
    </row>
    <row r="9127" spans="13:13" x14ac:dyDescent="0.25">
      <c r="M9127" s="21"/>
    </row>
    <row r="9128" spans="13:13" x14ac:dyDescent="0.25">
      <c r="M9128" s="21"/>
    </row>
    <row r="9129" spans="13:13" x14ac:dyDescent="0.25">
      <c r="M9129" s="21"/>
    </row>
    <row r="9130" spans="13:13" x14ac:dyDescent="0.25">
      <c r="M9130" s="21"/>
    </row>
    <row r="9131" spans="13:13" x14ac:dyDescent="0.25">
      <c r="M9131" s="21"/>
    </row>
    <row r="9132" spans="13:13" x14ac:dyDescent="0.25">
      <c r="M9132" s="21"/>
    </row>
    <row r="9133" spans="13:13" x14ac:dyDescent="0.25">
      <c r="M9133" s="21"/>
    </row>
    <row r="9134" spans="13:13" x14ac:dyDescent="0.25">
      <c r="M9134" s="21"/>
    </row>
    <row r="9135" spans="13:13" x14ac:dyDescent="0.25">
      <c r="M9135" s="21"/>
    </row>
    <row r="9136" spans="13:13" x14ac:dyDescent="0.25">
      <c r="M9136" s="21"/>
    </row>
    <row r="9137" spans="13:13" x14ac:dyDescent="0.25">
      <c r="M9137" s="21"/>
    </row>
    <row r="9138" spans="13:13" x14ac:dyDescent="0.25">
      <c r="M9138" s="21"/>
    </row>
    <row r="9139" spans="13:13" x14ac:dyDescent="0.25">
      <c r="M9139" s="21"/>
    </row>
    <row r="9140" spans="13:13" x14ac:dyDescent="0.25">
      <c r="M9140" s="21"/>
    </row>
    <row r="9141" spans="13:13" x14ac:dyDescent="0.25">
      <c r="M9141" s="21"/>
    </row>
    <row r="9142" spans="13:13" x14ac:dyDescent="0.25">
      <c r="M9142" s="21"/>
    </row>
    <row r="9143" spans="13:13" x14ac:dyDescent="0.25">
      <c r="M9143" s="21"/>
    </row>
    <row r="9144" spans="13:13" x14ac:dyDescent="0.25">
      <c r="M9144" s="21"/>
    </row>
    <row r="9145" spans="13:13" x14ac:dyDescent="0.25">
      <c r="M9145" s="21"/>
    </row>
    <row r="9146" spans="13:13" x14ac:dyDescent="0.25">
      <c r="M9146" s="21"/>
    </row>
    <row r="9147" spans="13:13" x14ac:dyDescent="0.25">
      <c r="M9147" s="21"/>
    </row>
    <row r="9148" spans="13:13" x14ac:dyDescent="0.25">
      <c r="M9148" s="21"/>
    </row>
    <row r="9149" spans="13:13" x14ac:dyDescent="0.25">
      <c r="M9149" s="21"/>
    </row>
    <row r="9150" spans="13:13" x14ac:dyDescent="0.25">
      <c r="M9150" s="21"/>
    </row>
    <row r="9151" spans="13:13" x14ac:dyDescent="0.25">
      <c r="M9151" s="21"/>
    </row>
    <row r="9152" spans="13:13" x14ac:dyDescent="0.25">
      <c r="M9152" s="21"/>
    </row>
    <row r="9153" spans="13:13" x14ac:dyDescent="0.25">
      <c r="M9153" s="21"/>
    </row>
    <row r="9154" spans="13:13" x14ac:dyDescent="0.25">
      <c r="M9154" s="21"/>
    </row>
    <row r="9155" spans="13:13" x14ac:dyDescent="0.25">
      <c r="M9155" s="21"/>
    </row>
    <row r="9156" spans="13:13" x14ac:dyDescent="0.25">
      <c r="M9156" s="21"/>
    </row>
    <row r="9157" spans="13:13" x14ac:dyDescent="0.25">
      <c r="M9157" s="21"/>
    </row>
    <row r="9158" spans="13:13" x14ac:dyDescent="0.25">
      <c r="M9158" s="21"/>
    </row>
    <row r="9159" spans="13:13" x14ac:dyDescent="0.25">
      <c r="M9159" s="21"/>
    </row>
    <row r="9160" spans="13:13" x14ac:dyDescent="0.25">
      <c r="M9160" s="21"/>
    </row>
    <row r="9161" spans="13:13" x14ac:dyDescent="0.25">
      <c r="M9161" s="21"/>
    </row>
    <row r="9162" spans="13:13" x14ac:dyDescent="0.25">
      <c r="M9162" s="21"/>
    </row>
    <row r="9163" spans="13:13" x14ac:dyDescent="0.25">
      <c r="M9163" s="21"/>
    </row>
    <row r="9164" spans="13:13" x14ac:dyDescent="0.25">
      <c r="M9164" s="21"/>
    </row>
    <row r="9165" spans="13:13" x14ac:dyDescent="0.25">
      <c r="M9165" s="21"/>
    </row>
    <row r="9166" spans="13:13" x14ac:dyDescent="0.25">
      <c r="M9166" s="21"/>
    </row>
    <row r="9167" spans="13:13" x14ac:dyDescent="0.25">
      <c r="M9167" s="21"/>
    </row>
    <row r="9168" spans="13:13" x14ac:dyDescent="0.25">
      <c r="M9168" s="21"/>
    </row>
    <row r="9169" spans="13:13" x14ac:dyDescent="0.25">
      <c r="M9169" s="21"/>
    </row>
    <row r="9170" spans="13:13" x14ac:dyDescent="0.25">
      <c r="M9170" s="21"/>
    </row>
    <row r="9171" spans="13:13" x14ac:dyDescent="0.25">
      <c r="M9171" s="21"/>
    </row>
    <row r="9172" spans="13:13" x14ac:dyDescent="0.25">
      <c r="M9172" s="21"/>
    </row>
    <row r="9173" spans="13:13" x14ac:dyDescent="0.25">
      <c r="M9173" s="21"/>
    </row>
    <row r="9174" spans="13:13" x14ac:dyDescent="0.25">
      <c r="M9174" s="21"/>
    </row>
    <row r="9175" spans="13:13" x14ac:dyDescent="0.25">
      <c r="M9175" s="21"/>
    </row>
    <row r="9176" spans="13:13" x14ac:dyDescent="0.25">
      <c r="M9176" s="21"/>
    </row>
    <row r="9177" spans="13:13" x14ac:dyDescent="0.25">
      <c r="M9177" s="21"/>
    </row>
    <row r="9178" spans="13:13" x14ac:dyDescent="0.25">
      <c r="M9178" s="21"/>
    </row>
    <row r="9179" spans="13:13" x14ac:dyDescent="0.25">
      <c r="M9179" s="21"/>
    </row>
    <row r="9180" spans="13:13" x14ac:dyDescent="0.25">
      <c r="M9180" s="21"/>
    </row>
    <row r="9181" spans="13:13" x14ac:dyDescent="0.25">
      <c r="M9181" s="21"/>
    </row>
    <row r="9182" spans="13:13" x14ac:dyDescent="0.25">
      <c r="M9182" s="21"/>
    </row>
    <row r="9183" spans="13:13" x14ac:dyDescent="0.25">
      <c r="M9183" s="21"/>
    </row>
    <row r="9184" spans="13:13" x14ac:dyDescent="0.25">
      <c r="M9184" s="21"/>
    </row>
    <row r="9185" spans="13:13" x14ac:dyDescent="0.25">
      <c r="M9185" s="21"/>
    </row>
    <row r="9186" spans="13:13" x14ac:dyDescent="0.25">
      <c r="M9186" s="21"/>
    </row>
    <row r="9187" spans="13:13" x14ac:dyDescent="0.25">
      <c r="M9187" s="21"/>
    </row>
    <row r="9188" spans="13:13" x14ac:dyDescent="0.25">
      <c r="M9188" s="21"/>
    </row>
    <row r="9189" spans="13:13" x14ac:dyDescent="0.25">
      <c r="M9189" s="21"/>
    </row>
    <row r="9190" spans="13:13" x14ac:dyDescent="0.25">
      <c r="M9190" s="21"/>
    </row>
    <row r="9191" spans="13:13" x14ac:dyDescent="0.25">
      <c r="M9191" s="21"/>
    </row>
    <row r="9192" spans="13:13" x14ac:dyDescent="0.25">
      <c r="M9192" s="21"/>
    </row>
    <row r="9193" spans="13:13" x14ac:dyDescent="0.25">
      <c r="M9193" s="21"/>
    </row>
    <row r="9194" spans="13:13" x14ac:dyDescent="0.25">
      <c r="M9194" s="21"/>
    </row>
    <row r="9195" spans="13:13" x14ac:dyDescent="0.25">
      <c r="M9195" s="21"/>
    </row>
    <row r="9196" spans="13:13" x14ac:dyDescent="0.25">
      <c r="M9196" s="21"/>
    </row>
    <row r="9197" spans="13:13" x14ac:dyDescent="0.25">
      <c r="M9197" s="21"/>
    </row>
    <row r="9198" spans="13:13" x14ac:dyDescent="0.25">
      <c r="M9198" s="21"/>
    </row>
    <row r="9199" spans="13:13" x14ac:dyDescent="0.25">
      <c r="M9199" s="21"/>
    </row>
    <row r="9200" spans="13:13" x14ac:dyDescent="0.25">
      <c r="M9200" s="21"/>
    </row>
    <row r="9201" spans="13:13" x14ac:dyDescent="0.25">
      <c r="M9201" s="21"/>
    </row>
    <row r="9202" spans="13:13" x14ac:dyDescent="0.25">
      <c r="M9202" s="21"/>
    </row>
    <row r="9203" spans="13:13" x14ac:dyDescent="0.25">
      <c r="M9203" s="21"/>
    </row>
    <row r="9204" spans="13:13" x14ac:dyDescent="0.25">
      <c r="M9204" s="21"/>
    </row>
    <row r="9205" spans="13:13" x14ac:dyDescent="0.25">
      <c r="M9205" s="21"/>
    </row>
    <row r="9206" spans="13:13" x14ac:dyDescent="0.25">
      <c r="M9206" s="21"/>
    </row>
    <row r="9207" spans="13:13" x14ac:dyDescent="0.25">
      <c r="M9207" s="21"/>
    </row>
    <row r="9208" spans="13:13" x14ac:dyDescent="0.25">
      <c r="M9208" s="21"/>
    </row>
    <row r="9209" spans="13:13" x14ac:dyDescent="0.25">
      <c r="M9209" s="21"/>
    </row>
    <row r="9210" spans="13:13" x14ac:dyDescent="0.25">
      <c r="M9210" s="21"/>
    </row>
    <row r="9211" spans="13:13" x14ac:dyDescent="0.25">
      <c r="M9211" s="21"/>
    </row>
    <row r="9212" spans="13:13" x14ac:dyDescent="0.25">
      <c r="M9212" s="21"/>
    </row>
    <row r="9213" spans="13:13" x14ac:dyDescent="0.25">
      <c r="M9213" s="21"/>
    </row>
    <row r="9214" spans="13:13" x14ac:dyDescent="0.25">
      <c r="M9214" s="21"/>
    </row>
    <row r="9215" spans="13:13" x14ac:dyDescent="0.25">
      <c r="M9215" s="21"/>
    </row>
    <row r="9216" spans="13:13" x14ac:dyDescent="0.25">
      <c r="M9216" s="21"/>
    </row>
    <row r="9217" spans="13:13" x14ac:dyDescent="0.25">
      <c r="M9217" s="21"/>
    </row>
    <row r="9218" spans="13:13" x14ac:dyDescent="0.25">
      <c r="M9218" s="21"/>
    </row>
    <row r="9219" spans="13:13" x14ac:dyDescent="0.25">
      <c r="M9219" s="21"/>
    </row>
    <row r="9220" spans="13:13" x14ac:dyDescent="0.25">
      <c r="M9220" s="21"/>
    </row>
    <row r="9221" spans="13:13" x14ac:dyDescent="0.25">
      <c r="M9221" s="21"/>
    </row>
    <row r="9222" spans="13:13" x14ac:dyDescent="0.25">
      <c r="M9222" s="21"/>
    </row>
    <row r="9223" spans="13:13" x14ac:dyDescent="0.25">
      <c r="M9223" s="21"/>
    </row>
    <row r="9224" spans="13:13" x14ac:dyDescent="0.25">
      <c r="M9224" s="21"/>
    </row>
    <row r="9225" spans="13:13" x14ac:dyDescent="0.25">
      <c r="M9225" s="21"/>
    </row>
    <row r="9226" spans="13:13" x14ac:dyDescent="0.25">
      <c r="M9226" s="21"/>
    </row>
    <row r="9227" spans="13:13" x14ac:dyDescent="0.25">
      <c r="M9227" s="21"/>
    </row>
    <row r="9228" spans="13:13" x14ac:dyDescent="0.25">
      <c r="M9228" s="21"/>
    </row>
    <row r="9229" spans="13:13" x14ac:dyDescent="0.25">
      <c r="M9229" s="21"/>
    </row>
    <row r="9230" spans="13:13" x14ac:dyDescent="0.25">
      <c r="M9230" s="21"/>
    </row>
    <row r="9231" spans="13:13" x14ac:dyDescent="0.25">
      <c r="M9231" s="21"/>
    </row>
    <row r="9232" spans="13:13" x14ac:dyDescent="0.25">
      <c r="M9232" s="21"/>
    </row>
    <row r="9233" spans="13:13" x14ac:dyDescent="0.25">
      <c r="M9233" s="21"/>
    </row>
    <row r="9234" spans="13:13" x14ac:dyDescent="0.25">
      <c r="M9234" s="21"/>
    </row>
    <row r="9235" spans="13:13" x14ac:dyDescent="0.25">
      <c r="M9235" s="21"/>
    </row>
    <row r="9236" spans="13:13" x14ac:dyDescent="0.25">
      <c r="M9236" s="21"/>
    </row>
    <row r="9237" spans="13:13" x14ac:dyDescent="0.25">
      <c r="M9237" s="21"/>
    </row>
    <row r="9238" spans="13:13" x14ac:dyDescent="0.25">
      <c r="M9238" s="21"/>
    </row>
    <row r="9239" spans="13:13" x14ac:dyDescent="0.25">
      <c r="M9239" s="21"/>
    </row>
    <row r="9240" spans="13:13" x14ac:dyDescent="0.25">
      <c r="M9240" s="21"/>
    </row>
    <row r="9241" spans="13:13" x14ac:dyDescent="0.25">
      <c r="M9241" s="21"/>
    </row>
    <row r="9242" spans="13:13" x14ac:dyDescent="0.25">
      <c r="M9242" s="21"/>
    </row>
    <row r="9243" spans="13:13" x14ac:dyDescent="0.25">
      <c r="M9243" s="21"/>
    </row>
    <row r="9244" spans="13:13" x14ac:dyDescent="0.25">
      <c r="M9244" s="21"/>
    </row>
    <row r="9245" spans="13:13" x14ac:dyDescent="0.25">
      <c r="M9245" s="21"/>
    </row>
    <row r="9246" spans="13:13" x14ac:dyDescent="0.25">
      <c r="M9246" s="21"/>
    </row>
    <row r="9247" spans="13:13" x14ac:dyDescent="0.25">
      <c r="M9247" s="21"/>
    </row>
    <row r="9248" spans="13:13" x14ac:dyDescent="0.25">
      <c r="M9248" s="21"/>
    </row>
    <row r="9249" spans="13:13" x14ac:dyDescent="0.25">
      <c r="M9249" s="21"/>
    </row>
    <row r="9250" spans="13:13" x14ac:dyDescent="0.25">
      <c r="M9250" s="21"/>
    </row>
    <row r="9251" spans="13:13" x14ac:dyDescent="0.25">
      <c r="M9251" s="21"/>
    </row>
    <row r="9252" spans="13:13" x14ac:dyDescent="0.25">
      <c r="M9252" s="21"/>
    </row>
    <row r="9253" spans="13:13" x14ac:dyDescent="0.25">
      <c r="M9253" s="21"/>
    </row>
    <row r="9254" spans="13:13" x14ac:dyDescent="0.25">
      <c r="M9254" s="21"/>
    </row>
    <row r="9255" spans="13:13" x14ac:dyDescent="0.25">
      <c r="M9255" s="21"/>
    </row>
    <row r="9256" spans="13:13" x14ac:dyDescent="0.25">
      <c r="M9256" s="21"/>
    </row>
    <row r="9257" spans="13:13" x14ac:dyDescent="0.25">
      <c r="M9257" s="21"/>
    </row>
    <row r="9258" spans="13:13" x14ac:dyDescent="0.25">
      <c r="M9258" s="21"/>
    </row>
    <row r="9259" spans="13:13" x14ac:dyDescent="0.25">
      <c r="M9259" s="21"/>
    </row>
    <row r="9260" spans="13:13" x14ac:dyDescent="0.25">
      <c r="M9260" s="21"/>
    </row>
    <row r="9261" spans="13:13" x14ac:dyDescent="0.25">
      <c r="M9261" s="21"/>
    </row>
    <row r="9262" spans="13:13" x14ac:dyDescent="0.25">
      <c r="M9262" s="21"/>
    </row>
    <row r="9263" spans="13:13" x14ac:dyDescent="0.25">
      <c r="M9263" s="21"/>
    </row>
    <row r="9264" spans="13:13" x14ac:dyDescent="0.25">
      <c r="M9264" s="21"/>
    </row>
    <row r="9265" spans="13:13" x14ac:dyDescent="0.25">
      <c r="M9265" s="21"/>
    </row>
    <row r="9266" spans="13:13" x14ac:dyDescent="0.25">
      <c r="M9266" s="21"/>
    </row>
    <row r="9267" spans="13:13" x14ac:dyDescent="0.25">
      <c r="M9267" s="21"/>
    </row>
    <row r="9268" spans="13:13" x14ac:dyDescent="0.25">
      <c r="M9268" s="21"/>
    </row>
    <row r="9269" spans="13:13" x14ac:dyDescent="0.25">
      <c r="M9269" s="21"/>
    </row>
    <row r="9270" spans="13:13" x14ac:dyDescent="0.25">
      <c r="M9270" s="21"/>
    </row>
    <row r="9271" spans="13:13" x14ac:dyDescent="0.25">
      <c r="M9271" s="21"/>
    </row>
    <row r="9272" spans="13:13" x14ac:dyDescent="0.25">
      <c r="M9272" s="21"/>
    </row>
    <row r="9273" spans="13:13" x14ac:dyDescent="0.25">
      <c r="M9273" s="21"/>
    </row>
    <row r="9274" spans="13:13" x14ac:dyDescent="0.25">
      <c r="M9274" s="21"/>
    </row>
    <row r="9275" spans="13:13" x14ac:dyDescent="0.25">
      <c r="M9275" s="21"/>
    </row>
    <row r="9276" spans="13:13" x14ac:dyDescent="0.25">
      <c r="M9276" s="21"/>
    </row>
    <row r="9277" spans="13:13" x14ac:dyDescent="0.25">
      <c r="M9277" s="21"/>
    </row>
    <row r="9278" spans="13:13" x14ac:dyDescent="0.25">
      <c r="M9278" s="21"/>
    </row>
    <row r="9279" spans="13:13" x14ac:dyDescent="0.25">
      <c r="M9279" s="21"/>
    </row>
    <row r="9280" spans="13:13" x14ac:dyDescent="0.25">
      <c r="M9280" s="21"/>
    </row>
    <row r="9281" spans="13:13" x14ac:dyDescent="0.25">
      <c r="M9281" s="21"/>
    </row>
    <row r="9282" spans="13:13" x14ac:dyDescent="0.25">
      <c r="M9282" s="21"/>
    </row>
    <row r="9283" spans="13:13" x14ac:dyDescent="0.25">
      <c r="M9283" s="21"/>
    </row>
    <row r="9284" spans="13:13" x14ac:dyDescent="0.25">
      <c r="M9284" s="21"/>
    </row>
    <row r="9285" spans="13:13" x14ac:dyDescent="0.25">
      <c r="M9285" s="21"/>
    </row>
    <row r="9286" spans="13:13" x14ac:dyDescent="0.25">
      <c r="M9286" s="21"/>
    </row>
    <row r="9287" spans="13:13" x14ac:dyDescent="0.25">
      <c r="M9287" s="21"/>
    </row>
    <row r="9288" spans="13:13" x14ac:dyDescent="0.25">
      <c r="M9288" s="21"/>
    </row>
    <row r="9289" spans="13:13" x14ac:dyDescent="0.25">
      <c r="M9289" s="21"/>
    </row>
    <row r="9290" spans="13:13" x14ac:dyDescent="0.25">
      <c r="M9290" s="21"/>
    </row>
    <row r="9291" spans="13:13" x14ac:dyDescent="0.25">
      <c r="M9291" s="21"/>
    </row>
    <row r="9292" spans="13:13" x14ac:dyDescent="0.25">
      <c r="M9292" s="21"/>
    </row>
    <row r="9293" spans="13:13" x14ac:dyDescent="0.25">
      <c r="M9293" s="21"/>
    </row>
    <row r="9294" spans="13:13" x14ac:dyDescent="0.25">
      <c r="M9294" s="21"/>
    </row>
    <row r="9295" spans="13:13" x14ac:dyDescent="0.25">
      <c r="M9295" s="21"/>
    </row>
    <row r="9296" spans="13:13" x14ac:dyDescent="0.25">
      <c r="M9296" s="21"/>
    </row>
    <row r="9297" spans="13:13" x14ac:dyDescent="0.25">
      <c r="M9297" s="21"/>
    </row>
    <row r="9298" spans="13:13" x14ac:dyDescent="0.25">
      <c r="M9298" s="21"/>
    </row>
    <row r="9299" spans="13:13" x14ac:dyDescent="0.25">
      <c r="M9299" s="21"/>
    </row>
    <row r="9300" spans="13:13" x14ac:dyDescent="0.25">
      <c r="M9300" s="21"/>
    </row>
    <row r="9301" spans="13:13" x14ac:dyDescent="0.25">
      <c r="M9301" s="21"/>
    </row>
    <row r="9302" spans="13:13" x14ac:dyDescent="0.25">
      <c r="M9302" s="21"/>
    </row>
    <row r="9303" spans="13:13" x14ac:dyDescent="0.25">
      <c r="M9303" s="21"/>
    </row>
    <row r="9304" spans="13:13" x14ac:dyDescent="0.25">
      <c r="M9304" s="21"/>
    </row>
    <row r="9305" spans="13:13" x14ac:dyDescent="0.25">
      <c r="M9305" s="21"/>
    </row>
    <row r="9306" spans="13:13" x14ac:dyDescent="0.25">
      <c r="M9306" s="21"/>
    </row>
    <row r="9307" spans="13:13" x14ac:dyDescent="0.25">
      <c r="M9307" s="21"/>
    </row>
    <row r="9308" spans="13:13" x14ac:dyDescent="0.25">
      <c r="M9308" s="21"/>
    </row>
    <row r="9309" spans="13:13" x14ac:dyDescent="0.25">
      <c r="M9309" s="21"/>
    </row>
    <row r="9310" spans="13:13" x14ac:dyDescent="0.25">
      <c r="M9310" s="21"/>
    </row>
    <row r="9311" spans="13:13" x14ac:dyDescent="0.25">
      <c r="M9311" s="21"/>
    </row>
    <row r="9312" spans="13:13" x14ac:dyDescent="0.25">
      <c r="M9312" s="21"/>
    </row>
    <row r="9313" spans="13:13" x14ac:dyDescent="0.25">
      <c r="M9313" s="21"/>
    </row>
    <row r="9314" spans="13:13" x14ac:dyDescent="0.25">
      <c r="M9314" s="21"/>
    </row>
    <row r="9315" spans="13:13" x14ac:dyDescent="0.25">
      <c r="M9315" s="21"/>
    </row>
    <row r="9316" spans="13:13" x14ac:dyDescent="0.25">
      <c r="M9316" s="21"/>
    </row>
    <row r="9317" spans="13:13" x14ac:dyDescent="0.25">
      <c r="M9317" s="21"/>
    </row>
    <row r="9318" spans="13:13" x14ac:dyDescent="0.25">
      <c r="M9318" s="21"/>
    </row>
    <row r="9319" spans="13:13" x14ac:dyDescent="0.25">
      <c r="M9319" s="21"/>
    </row>
    <row r="9320" spans="13:13" x14ac:dyDescent="0.25">
      <c r="M9320" s="21"/>
    </row>
    <row r="9321" spans="13:13" x14ac:dyDescent="0.25">
      <c r="M9321" s="21"/>
    </row>
    <row r="9322" spans="13:13" x14ac:dyDescent="0.25">
      <c r="M9322" s="21"/>
    </row>
    <row r="9323" spans="13:13" x14ac:dyDescent="0.25">
      <c r="M9323" s="21"/>
    </row>
    <row r="9324" spans="13:13" x14ac:dyDescent="0.25">
      <c r="M9324" s="21"/>
    </row>
    <row r="9325" spans="13:13" x14ac:dyDescent="0.25">
      <c r="M9325" s="21"/>
    </row>
    <row r="9326" spans="13:13" x14ac:dyDescent="0.25">
      <c r="M9326" s="21"/>
    </row>
    <row r="9327" spans="13:13" x14ac:dyDescent="0.25">
      <c r="M9327" s="21"/>
    </row>
    <row r="9328" spans="13:13" x14ac:dyDescent="0.25">
      <c r="M9328" s="21"/>
    </row>
    <row r="9329" spans="13:13" x14ac:dyDescent="0.25">
      <c r="M9329" s="21"/>
    </row>
    <row r="9330" spans="13:13" x14ac:dyDescent="0.25">
      <c r="M9330" s="21"/>
    </row>
    <row r="9331" spans="13:13" x14ac:dyDescent="0.25">
      <c r="M9331" s="21"/>
    </row>
    <row r="9332" spans="13:13" x14ac:dyDescent="0.25">
      <c r="M9332" s="21"/>
    </row>
    <row r="9333" spans="13:13" x14ac:dyDescent="0.25">
      <c r="M9333" s="21"/>
    </row>
    <row r="9334" spans="13:13" x14ac:dyDescent="0.25">
      <c r="M9334" s="21"/>
    </row>
    <row r="9335" spans="13:13" x14ac:dyDescent="0.25">
      <c r="M9335" s="21"/>
    </row>
    <row r="9336" spans="13:13" x14ac:dyDescent="0.25">
      <c r="M9336" s="21"/>
    </row>
    <row r="9337" spans="13:13" x14ac:dyDescent="0.25">
      <c r="M9337" s="21"/>
    </row>
    <row r="9338" spans="13:13" x14ac:dyDescent="0.25">
      <c r="M9338" s="21"/>
    </row>
    <row r="9339" spans="13:13" x14ac:dyDescent="0.25">
      <c r="M9339" s="21"/>
    </row>
    <row r="9340" spans="13:13" x14ac:dyDescent="0.25">
      <c r="M9340" s="21"/>
    </row>
    <row r="9341" spans="13:13" x14ac:dyDescent="0.25">
      <c r="M9341" s="21"/>
    </row>
    <row r="9342" spans="13:13" x14ac:dyDescent="0.25">
      <c r="M9342" s="21"/>
    </row>
    <row r="9343" spans="13:13" x14ac:dyDescent="0.25">
      <c r="M9343" s="21"/>
    </row>
    <row r="9344" spans="13:13" x14ac:dyDescent="0.25">
      <c r="M9344" s="21"/>
    </row>
    <row r="9345" spans="13:13" x14ac:dyDescent="0.25">
      <c r="M9345" s="21"/>
    </row>
    <row r="9346" spans="13:13" x14ac:dyDescent="0.25">
      <c r="M9346" s="21"/>
    </row>
    <row r="9347" spans="13:13" x14ac:dyDescent="0.25">
      <c r="M9347" s="21"/>
    </row>
    <row r="9348" spans="13:13" x14ac:dyDescent="0.25">
      <c r="M9348" s="21"/>
    </row>
    <row r="9349" spans="13:13" x14ac:dyDescent="0.25">
      <c r="M9349" s="21"/>
    </row>
    <row r="9350" spans="13:13" x14ac:dyDescent="0.25">
      <c r="M9350" s="21"/>
    </row>
    <row r="9351" spans="13:13" x14ac:dyDescent="0.25">
      <c r="M9351" s="21"/>
    </row>
    <row r="9352" spans="13:13" x14ac:dyDescent="0.25">
      <c r="M9352" s="21"/>
    </row>
    <row r="9353" spans="13:13" x14ac:dyDescent="0.25">
      <c r="M9353" s="21"/>
    </row>
    <row r="9354" spans="13:13" x14ac:dyDescent="0.25">
      <c r="M9354" s="21"/>
    </row>
    <row r="9355" spans="13:13" x14ac:dyDescent="0.25">
      <c r="M9355" s="21"/>
    </row>
    <row r="9356" spans="13:13" x14ac:dyDescent="0.25">
      <c r="M9356" s="21"/>
    </row>
    <row r="9357" spans="13:13" x14ac:dyDescent="0.25">
      <c r="M9357" s="21"/>
    </row>
    <row r="9358" spans="13:13" x14ac:dyDescent="0.25">
      <c r="M9358" s="21"/>
    </row>
    <row r="9359" spans="13:13" x14ac:dyDescent="0.25">
      <c r="M9359" s="21"/>
    </row>
    <row r="9360" spans="13:13" x14ac:dyDescent="0.25">
      <c r="M9360" s="21"/>
    </row>
    <row r="9361" spans="13:13" x14ac:dyDescent="0.25">
      <c r="M9361" s="21"/>
    </row>
    <row r="9362" spans="13:13" x14ac:dyDescent="0.25">
      <c r="M9362" s="21"/>
    </row>
    <row r="9363" spans="13:13" x14ac:dyDescent="0.25">
      <c r="M9363" s="21"/>
    </row>
    <row r="9364" spans="13:13" x14ac:dyDescent="0.25">
      <c r="M9364" s="21"/>
    </row>
    <row r="9365" spans="13:13" x14ac:dyDescent="0.25">
      <c r="M9365" s="21"/>
    </row>
    <row r="9366" spans="13:13" x14ac:dyDescent="0.25">
      <c r="M9366" s="21"/>
    </row>
    <row r="9367" spans="13:13" x14ac:dyDescent="0.25">
      <c r="M9367" s="21"/>
    </row>
    <row r="9368" spans="13:13" x14ac:dyDescent="0.25">
      <c r="M9368" s="21"/>
    </row>
    <row r="9369" spans="13:13" x14ac:dyDescent="0.25">
      <c r="M9369" s="21"/>
    </row>
    <row r="9370" spans="13:13" x14ac:dyDescent="0.25">
      <c r="M9370" s="21"/>
    </row>
    <row r="9371" spans="13:13" x14ac:dyDescent="0.25">
      <c r="M9371" s="21"/>
    </row>
    <row r="9372" spans="13:13" x14ac:dyDescent="0.25">
      <c r="M9372" s="21"/>
    </row>
    <row r="9373" spans="13:13" x14ac:dyDescent="0.25">
      <c r="M9373" s="21"/>
    </row>
    <row r="9374" spans="13:13" x14ac:dyDescent="0.25">
      <c r="M9374" s="21"/>
    </row>
    <row r="9375" spans="13:13" x14ac:dyDescent="0.25">
      <c r="M9375" s="21"/>
    </row>
    <row r="9376" spans="13:13" x14ac:dyDescent="0.25">
      <c r="M9376" s="21"/>
    </row>
    <row r="9377" spans="13:13" x14ac:dyDescent="0.25">
      <c r="M9377" s="21"/>
    </row>
    <row r="9378" spans="13:13" x14ac:dyDescent="0.25">
      <c r="M9378" s="21"/>
    </row>
    <row r="9379" spans="13:13" x14ac:dyDescent="0.25">
      <c r="M9379" s="21"/>
    </row>
    <row r="9380" spans="13:13" x14ac:dyDescent="0.25">
      <c r="M9380" s="21"/>
    </row>
    <row r="9381" spans="13:13" x14ac:dyDescent="0.25">
      <c r="M9381" s="21"/>
    </row>
    <row r="9382" spans="13:13" x14ac:dyDescent="0.25">
      <c r="M9382" s="21"/>
    </row>
    <row r="9383" spans="13:13" x14ac:dyDescent="0.25">
      <c r="M9383" s="21"/>
    </row>
    <row r="9384" spans="13:13" x14ac:dyDescent="0.25">
      <c r="M9384" s="21"/>
    </row>
    <row r="9385" spans="13:13" x14ac:dyDescent="0.25">
      <c r="M9385" s="21"/>
    </row>
    <row r="9386" spans="13:13" x14ac:dyDescent="0.25">
      <c r="M9386" s="21"/>
    </row>
    <row r="9387" spans="13:13" x14ac:dyDescent="0.25">
      <c r="M9387" s="21"/>
    </row>
    <row r="9388" spans="13:13" x14ac:dyDescent="0.25">
      <c r="M9388" s="21"/>
    </row>
    <row r="9389" spans="13:13" x14ac:dyDescent="0.25">
      <c r="M9389" s="21"/>
    </row>
    <row r="9390" spans="13:13" x14ac:dyDescent="0.25">
      <c r="M9390" s="21"/>
    </row>
    <row r="9391" spans="13:13" x14ac:dyDescent="0.25">
      <c r="M9391" s="21"/>
    </row>
    <row r="9392" spans="13:13" x14ac:dyDescent="0.25">
      <c r="M9392" s="21"/>
    </row>
    <row r="9393" spans="13:13" x14ac:dyDescent="0.25">
      <c r="M9393" s="21"/>
    </row>
    <row r="9394" spans="13:13" x14ac:dyDescent="0.25">
      <c r="M9394" s="21"/>
    </row>
    <row r="9395" spans="13:13" x14ac:dyDescent="0.25">
      <c r="M9395" s="21"/>
    </row>
    <row r="9396" spans="13:13" x14ac:dyDescent="0.25">
      <c r="M9396" s="21"/>
    </row>
    <row r="9397" spans="13:13" x14ac:dyDescent="0.25">
      <c r="M9397" s="21"/>
    </row>
    <row r="9398" spans="13:13" x14ac:dyDescent="0.25">
      <c r="M9398" s="21"/>
    </row>
    <row r="9399" spans="13:13" x14ac:dyDescent="0.25">
      <c r="M9399" s="21"/>
    </row>
    <row r="9400" spans="13:13" x14ac:dyDescent="0.25">
      <c r="M9400" s="21"/>
    </row>
    <row r="9401" spans="13:13" x14ac:dyDescent="0.25">
      <c r="M9401" s="21"/>
    </row>
    <row r="9402" spans="13:13" x14ac:dyDescent="0.25">
      <c r="M9402" s="21"/>
    </row>
    <row r="9403" spans="13:13" x14ac:dyDescent="0.25">
      <c r="M9403" s="21"/>
    </row>
    <row r="9404" spans="13:13" x14ac:dyDescent="0.25">
      <c r="M9404" s="21"/>
    </row>
    <row r="9405" spans="13:13" x14ac:dyDescent="0.25">
      <c r="M9405" s="21"/>
    </row>
    <row r="9406" spans="13:13" x14ac:dyDescent="0.25">
      <c r="M9406" s="21"/>
    </row>
    <row r="9407" spans="13:13" x14ac:dyDescent="0.25">
      <c r="M9407" s="21"/>
    </row>
    <row r="9408" spans="13:13" x14ac:dyDescent="0.25">
      <c r="M9408" s="21"/>
    </row>
    <row r="9409" spans="13:13" x14ac:dyDescent="0.25">
      <c r="M9409" s="21"/>
    </row>
    <row r="9410" spans="13:13" x14ac:dyDescent="0.25">
      <c r="M9410" s="21"/>
    </row>
    <row r="9411" spans="13:13" x14ac:dyDescent="0.25">
      <c r="M9411" s="21"/>
    </row>
    <row r="9412" spans="13:13" x14ac:dyDescent="0.25">
      <c r="M9412" s="21"/>
    </row>
    <row r="9413" spans="13:13" x14ac:dyDescent="0.25">
      <c r="M9413" s="21"/>
    </row>
    <row r="9414" spans="13:13" x14ac:dyDescent="0.25">
      <c r="M9414" s="21"/>
    </row>
    <row r="9415" spans="13:13" x14ac:dyDescent="0.25">
      <c r="M9415" s="21"/>
    </row>
    <row r="9416" spans="13:13" x14ac:dyDescent="0.25">
      <c r="M9416" s="21"/>
    </row>
    <row r="9417" spans="13:13" x14ac:dyDescent="0.25">
      <c r="M9417" s="21"/>
    </row>
    <row r="9418" spans="13:13" x14ac:dyDescent="0.25">
      <c r="M9418" s="21"/>
    </row>
    <row r="9419" spans="13:13" x14ac:dyDescent="0.25">
      <c r="M9419" s="21"/>
    </row>
    <row r="9420" spans="13:13" x14ac:dyDescent="0.25">
      <c r="M9420" s="21"/>
    </row>
    <row r="9421" spans="13:13" x14ac:dyDescent="0.25">
      <c r="M9421" s="21"/>
    </row>
    <row r="9422" spans="13:13" x14ac:dyDescent="0.25">
      <c r="M9422" s="21"/>
    </row>
    <row r="9423" spans="13:13" x14ac:dyDescent="0.25">
      <c r="M9423" s="21"/>
    </row>
    <row r="9424" spans="13:13" x14ac:dyDescent="0.25">
      <c r="M9424" s="21"/>
    </row>
    <row r="9425" spans="13:13" x14ac:dyDescent="0.25">
      <c r="M9425" s="21"/>
    </row>
    <row r="9426" spans="13:13" x14ac:dyDescent="0.25">
      <c r="M9426" s="21"/>
    </row>
    <row r="9427" spans="13:13" x14ac:dyDescent="0.25">
      <c r="M9427" s="21"/>
    </row>
    <row r="9428" spans="13:13" x14ac:dyDescent="0.25">
      <c r="M9428" s="21"/>
    </row>
    <row r="9429" spans="13:13" x14ac:dyDescent="0.25">
      <c r="M9429" s="21"/>
    </row>
    <row r="9430" spans="13:13" x14ac:dyDescent="0.25">
      <c r="M9430" s="21"/>
    </row>
    <row r="9431" spans="13:13" x14ac:dyDescent="0.25">
      <c r="M9431" s="21"/>
    </row>
    <row r="9432" spans="13:13" x14ac:dyDescent="0.25">
      <c r="M9432" s="21"/>
    </row>
    <row r="9433" spans="13:13" x14ac:dyDescent="0.25">
      <c r="M9433" s="21"/>
    </row>
    <row r="9434" spans="13:13" x14ac:dyDescent="0.25">
      <c r="M9434" s="21"/>
    </row>
    <row r="9435" spans="13:13" x14ac:dyDescent="0.25">
      <c r="M9435" s="21"/>
    </row>
    <row r="9436" spans="13:13" x14ac:dyDescent="0.25">
      <c r="M9436" s="21"/>
    </row>
    <row r="9437" spans="13:13" x14ac:dyDescent="0.25">
      <c r="M9437" s="21"/>
    </row>
    <row r="9438" spans="13:13" x14ac:dyDescent="0.25">
      <c r="M9438" s="21"/>
    </row>
    <row r="9439" spans="13:13" x14ac:dyDescent="0.25">
      <c r="M9439" s="21"/>
    </row>
    <row r="9440" spans="13:13" x14ac:dyDescent="0.25">
      <c r="M9440" s="21"/>
    </row>
    <row r="9441" spans="13:13" x14ac:dyDescent="0.25">
      <c r="M9441" s="21"/>
    </row>
    <row r="9442" spans="13:13" x14ac:dyDescent="0.25">
      <c r="M9442" s="21"/>
    </row>
    <row r="9443" spans="13:13" x14ac:dyDescent="0.25">
      <c r="M9443" s="21"/>
    </row>
    <row r="9444" spans="13:13" x14ac:dyDescent="0.25">
      <c r="M9444" s="21"/>
    </row>
    <row r="9445" spans="13:13" x14ac:dyDescent="0.25">
      <c r="M9445" s="21"/>
    </row>
    <row r="9446" spans="13:13" x14ac:dyDescent="0.25">
      <c r="M9446" s="21"/>
    </row>
    <row r="9447" spans="13:13" x14ac:dyDescent="0.25">
      <c r="M9447" s="21"/>
    </row>
    <row r="9448" spans="13:13" x14ac:dyDescent="0.25">
      <c r="M9448" s="21"/>
    </row>
    <row r="9449" spans="13:13" x14ac:dyDescent="0.25">
      <c r="M9449" s="21"/>
    </row>
    <row r="9450" spans="13:13" x14ac:dyDescent="0.25">
      <c r="M9450" s="21"/>
    </row>
    <row r="9451" spans="13:13" x14ac:dyDescent="0.25">
      <c r="M9451" s="21"/>
    </row>
    <row r="9452" spans="13:13" x14ac:dyDescent="0.25">
      <c r="M9452" s="21"/>
    </row>
    <row r="9453" spans="13:13" x14ac:dyDescent="0.25">
      <c r="M9453" s="21"/>
    </row>
    <row r="9454" spans="13:13" x14ac:dyDescent="0.25">
      <c r="M9454" s="21"/>
    </row>
    <row r="9455" spans="13:13" x14ac:dyDescent="0.25">
      <c r="M9455" s="21"/>
    </row>
    <row r="9456" spans="13:13" x14ac:dyDescent="0.25">
      <c r="M9456" s="21"/>
    </row>
    <row r="9457" spans="13:13" x14ac:dyDescent="0.25">
      <c r="M9457" s="21"/>
    </row>
    <row r="9458" spans="13:13" x14ac:dyDescent="0.25">
      <c r="M9458" s="21"/>
    </row>
    <row r="9459" spans="13:13" x14ac:dyDescent="0.25">
      <c r="M9459" s="21"/>
    </row>
    <row r="9460" spans="13:13" x14ac:dyDescent="0.25">
      <c r="M9460" s="21"/>
    </row>
    <row r="9461" spans="13:13" x14ac:dyDescent="0.25">
      <c r="M9461" s="21"/>
    </row>
    <row r="9462" spans="13:13" x14ac:dyDescent="0.25">
      <c r="M9462" s="21"/>
    </row>
    <row r="9463" spans="13:13" x14ac:dyDescent="0.25">
      <c r="M9463" s="21"/>
    </row>
    <row r="9464" spans="13:13" x14ac:dyDescent="0.25">
      <c r="M9464" s="21"/>
    </row>
    <row r="9465" spans="13:13" x14ac:dyDescent="0.25">
      <c r="M9465" s="21"/>
    </row>
    <row r="9466" spans="13:13" x14ac:dyDescent="0.25">
      <c r="M9466" s="21"/>
    </row>
    <row r="9467" spans="13:13" x14ac:dyDescent="0.25">
      <c r="M9467" s="21"/>
    </row>
    <row r="9468" spans="13:13" x14ac:dyDescent="0.25">
      <c r="M9468" s="21"/>
    </row>
    <row r="9469" spans="13:13" x14ac:dyDescent="0.25">
      <c r="M9469" s="21"/>
    </row>
    <row r="9470" spans="13:13" x14ac:dyDescent="0.25">
      <c r="M9470" s="21"/>
    </row>
    <row r="9471" spans="13:13" x14ac:dyDescent="0.25">
      <c r="M9471" s="21"/>
    </row>
    <row r="9472" spans="13:13" x14ac:dyDescent="0.25">
      <c r="M9472" s="21"/>
    </row>
    <row r="9473" spans="13:13" x14ac:dyDescent="0.25">
      <c r="M9473" s="21"/>
    </row>
    <row r="9474" spans="13:13" x14ac:dyDescent="0.25">
      <c r="M9474" s="21"/>
    </row>
    <row r="9475" spans="13:13" x14ac:dyDescent="0.25">
      <c r="M9475" s="21"/>
    </row>
    <row r="9476" spans="13:13" x14ac:dyDescent="0.25">
      <c r="M9476" s="21"/>
    </row>
    <row r="9477" spans="13:13" x14ac:dyDescent="0.25">
      <c r="M9477" s="21"/>
    </row>
    <row r="9478" spans="13:13" x14ac:dyDescent="0.25">
      <c r="M9478" s="21"/>
    </row>
    <row r="9479" spans="13:13" x14ac:dyDescent="0.25">
      <c r="M9479" s="21"/>
    </row>
    <row r="9480" spans="13:13" x14ac:dyDescent="0.25">
      <c r="M9480" s="21"/>
    </row>
    <row r="9481" spans="13:13" x14ac:dyDescent="0.25">
      <c r="M9481" s="21"/>
    </row>
    <row r="9482" spans="13:13" x14ac:dyDescent="0.25">
      <c r="M9482" s="21"/>
    </row>
    <row r="9483" spans="13:13" x14ac:dyDescent="0.25">
      <c r="M9483" s="21"/>
    </row>
    <row r="9484" spans="13:13" x14ac:dyDescent="0.25">
      <c r="M9484" s="21"/>
    </row>
    <row r="9485" spans="13:13" x14ac:dyDescent="0.25">
      <c r="M9485" s="21"/>
    </row>
    <row r="9486" spans="13:13" x14ac:dyDescent="0.25">
      <c r="M9486" s="21"/>
    </row>
    <row r="9487" spans="13:13" x14ac:dyDescent="0.25">
      <c r="M9487" s="21"/>
    </row>
    <row r="9488" spans="13:13" x14ac:dyDescent="0.25">
      <c r="M9488" s="21"/>
    </row>
    <row r="9489" spans="13:13" x14ac:dyDescent="0.25">
      <c r="M9489" s="21"/>
    </row>
    <row r="9490" spans="13:13" x14ac:dyDescent="0.25">
      <c r="M9490" s="21"/>
    </row>
    <row r="9491" spans="13:13" x14ac:dyDescent="0.25">
      <c r="M9491" s="21"/>
    </row>
    <row r="9492" spans="13:13" x14ac:dyDescent="0.25">
      <c r="M9492" s="21"/>
    </row>
    <row r="9493" spans="13:13" x14ac:dyDescent="0.25">
      <c r="M9493" s="21"/>
    </row>
    <row r="9494" spans="13:13" x14ac:dyDescent="0.25">
      <c r="M9494" s="21"/>
    </row>
    <row r="9495" spans="13:13" x14ac:dyDescent="0.25">
      <c r="M9495" s="21"/>
    </row>
    <row r="9496" spans="13:13" x14ac:dyDescent="0.25">
      <c r="M9496" s="21"/>
    </row>
    <row r="9497" spans="13:13" x14ac:dyDescent="0.25">
      <c r="M9497" s="21"/>
    </row>
    <row r="9498" spans="13:13" x14ac:dyDescent="0.25">
      <c r="M9498" s="21"/>
    </row>
    <row r="9499" spans="13:13" x14ac:dyDescent="0.25">
      <c r="M9499" s="21"/>
    </row>
    <row r="9500" spans="13:13" x14ac:dyDescent="0.25">
      <c r="M9500" s="21"/>
    </row>
    <row r="9501" spans="13:13" x14ac:dyDescent="0.25">
      <c r="M9501" s="21"/>
    </row>
    <row r="9502" spans="13:13" x14ac:dyDescent="0.25">
      <c r="M9502" s="21"/>
    </row>
    <row r="9503" spans="13:13" x14ac:dyDescent="0.25">
      <c r="M9503" s="21"/>
    </row>
    <row r="9504" spans="13:13" x14ac:dyDescent="0.25">
      <c r="M9504" s="21"/>
    </row>
    <row r="9505" spans="13:13" x14ac:dyDescent="0.25">
      <c r="M9505" s="21"/>
    </row>
    <row r="9506" spans="13:13" x14ac:dyDescent="0.25">
      <c r="M9506" s="21"/>
    </row>
    <row r="9507" spans="13:13" x14ac:dyDescent="0.25">
      <c r="M9507" s="21"/>
    </row>
    <row r="9508" spans="13:13" x14ac:dyDescent="0.25">
      <c r="M9508" s="21"/>
    </row>
    <row r="9509" spans="13:13" x14ac:dyDescent="0.25">
      <c r="M9509" s="21"/>
    </row>
    <row r="9510" spans="13:13" x14ac:dyDescent="0.25">
      <c r="M9510" s="21"/>
    </row>
    <row r="9511" spans="13:13" x14ac:dyDescent="0.25">
      <c r="M9511" s="21"/>
    </row>
    <row r="9512" spans="13:13" x14ac:dyDescent="0.25">
      <c r="M9512" s="21"/>
    </row>
    <row r="9513" spans="13:13" x14ac:dyDescent="0.25">
      <c r="M9513" s="21"/>
    </row>
    <row r="9514" spans="13:13" x14ac:dyDescent="0.25">
      <c r="M9514" s="21"/>
    </row>
    <row r="9515" spans="13:13" x14ac:dyDescent="0.25">
      <c r="M9515" s="21"/>
    </row>
    <row r="9516" spans="13:13" x14ac:dyDescent="0.25">
      <c r="M9516" s="21"/>
    </row>
    <row r="9517" spans="13:13" x14ac:dyDescent="0.25">
      <c r="M9517" s="21"/>
    </row>
    <row r="9518" spans="13:13" x14ac:dyDescent="0.25">
      <c r="M9518" s="21"/>
    </row>
    <row r="9519" spans="13:13" x14ac:dyDescent="0.25">
      <c r="M9519" s="21"/>
    </row>
    <row r="9520" spans="13:13" x14ac:dyDescent="0.25">
      <c r="M9520" s="21"/>
    </row>
    <row r="9521" spans="13:13" x14ac:dyDescent="0.25">
      <c r="M9521" s="21"/>
    </row>
    <row r="9522" spans="13:13" x14ac:dyDescent="0.25">
      <c r="M9522" s="21"/>
    </row>
    <row r="9523" spans="13:13" x14ac:dyDescent="0.25">
      <c r="M9523" s="21"/>
    </row>
    <row r="9524" spans="13:13" x14ac:dyDescent="0.25">
      <c r="M9524" s="21"/>
    </row>
    <row r="9525" spans="13:13" x14ac:dyDescent="0.25">
      <c r="M9525" s="21"/>
    </row>
    <row r="9526" spans="13:13" x14ac:dyDescent="0.25">
      <c r="M9526" s="21"/>
    </row>
    <row r="9527" spans="13:13" x14ac:dyDescent="0.25">
      <c r="M9527" s="21"/>
    </row>
    <row r="9528" spans="13:13" x14ac:dyDescent="0.25">
      <c r="M9528" s="21"/>
    </row>
    <row r="9529" spans="13:13" x14ac:dyDescent="0.25">
      <c r="M9529" s="21"/>
    </row>
    <row r="9530" spans="13:13" x14ac:dyDescent="0.25">
      <c r="M9530" s="21"/>
    </row>
    <row r="9531" spans="13:13" x14ac:dyDescent="0.25">
      <c r="M9531" s="21"/>
    </row>
    <row r="9532" spans="13:13" x14ac:dyDescent="0.25">
      <c r="M9532" s="21"/>
    </row>
    <row r="9533" spans="13:13" x14ac:dyDescent="0.25">
      <c r="M9533" s="21"/>
    </row>
    <row r="9534" spans="13:13" x14ac:dyDescent="0.25">
      <c r="M9534" s="21"/>
    </row>
    <row r="9535" spans="13:13" x14ac:dyDescent="0.25">
      <c r="M9535" s="21"/>
    </row>
    <row r="9536" spans="13:13" x14ac:dyDescent="0.25">
      <c r="M9536" s="21"/>
    </row>
    <row r="9537" spans="13:13" x14ac:dyDescent="0.25">
      <c r="M9537" s="21"/>
    </row>
    <row r="9538" spans="13:13" x14ac:dyDescent="0.25">
      <c r="M9538" s="21"/>
    </row>
    <row r="9539" spans="13:13" x14ac:dyDescent="0.25">
      <c r="M9539" s="21"/>
    </row>
    <row r="9540" spans="13:13" x14ac:dyDescent="0.25">
      <c r="M9540" s="21"/>
    </row>
    <row r="9541" spans="13:13" x14ac:dyDescent="0.25">
      <c r="M9541" s="21"/>
    </row>
    <row r="9542" spans="13:13" x14ac:dyDescent="0.25">
      <c r="M9542" s="21"/>
    </row>
    <row r="9543" spans="13:13" x14ac:dyDescent="0.25">
      <c r="M9543" s="21"/>
    </row>
    <row r="9544" spans="13:13" x14ac:dyDescent="0.25">
      <c r="M9544" s="21"/>
    </row>
    <row r="9545" spans="13:13" x14ac:dyDescent="0.25">
      <c r="M9545" s="21"/>
    </row>
    <row r="9546" spans="13:13" x14ac:dyDescent="0.25">
      <c r="M9546" s="21"/>
    </row>
    <row r="9547" spans="13:13" x14ac:dyDescent="0.25">
      <c r="M9547" s="21"/>
    </row>
    <row r="9548" spans="13:13" x14ac:dyDescent="0.25">
      <c r="M9548" s="21"/>
    </row>
    <row r="9549" spans="13:13" x14ac:dyDescent="0.25">
      <c r="M9549" s="21"/>
    </row>
    <row r="9550" spans="13:13" x14ac:dyDescent="0.25">
      <c r="M9550" s="21"/>
    </row>
    <row r="9551" spans="13:13" x14ac:dyDescent="0.25">
      <c r="M9551" s="21"/>
    </row>
    <row r="9552" spans="13:13" x14ac:dyDescent="0.25">
      <c r="M9552" s="21"/>
    </row>
    <row r="9553" spans="13:13" x14ac:dyDescent="0.25">
      <c r="M9553" s="21"/>
    </row>
    <row r="9554" spans="13:13" x14ac:dyDescent="0.25">
      <c r="M9554" s="21"/>
    </row>
    <row r="9555" spans="13:13" x14ac:dyDescent="0.25">
      <c r="M9555" s="21"/>
    </row>
    <row r="9556" spans="13:13" x14ac:dyDescent="0.25">
      <c r="M9556" s="21"/>
    </row>
    <row r="9557" spans="13:13" x14ac:dyDescent="0.25">
      <c r="M9557" s="21"/>
    </row>
    <row r="9558" spans="13:13" x14ac:dyDescent="0.25">
      <c r="M9558" s="21"/>
    </row>
    <row r="9559" spans="13:13" x14ac:dyDescent="0.25">
      <c r="M9559" s="21"/>
    </row>
    <row r="9560" spans="13:13" x14ac:dyDescent="0.25">
      <c r="M9560" s="21"/>
    </row>
    <row r="9561" spans="13:13" x14ac:dyDescent="0.25">
      <c r="M9561" s="21"/>
    </row>
    <row r="9562" spans="13:13" x14ac:dyDescent="0.25">
      <c r="M9562" s="21"/>
    </row>
    <row r="9563" spans="13:13" x14ac:dyDescent="0.25">
      <c r="M9563" s="21"/>
    </row>
    <row r="9564" spans="13:13" x14ac:dyDescent="0.25">
      <c r="M9564" s="21"/>
    </row>
    <row r="9565" spans="13:13" x14ac:dyDescent="0.25">
      <c r="M9565" s="21"/>
    </row>
    <row r="9566" spans="13:13" x14ac:dyDescent="0.25">
      <c r="M9566" s="21"/>
    </row>
    <row r="9567" spans="13:13" x14ac:dyDescent="0.25">
      <c r="M9567" s="21"/>
    </row>
    <row r="9568" spans="13:13" x14ac:dyDescent="0.25">
      <c r="M9568" s="21"/>
    </row>
    <row r="9569" spans="13:13" x14ac:dyDescent="0.25">
      <c r="M9569" s="21"/>
    </row>
    <row r="9570" spans="13:13" x14ac:dyDescent="0.25">
      <c r="M9570" s="21"/>
    </row>
    <row r="9571" spans="13:13" x14ac:dyDescent="0.25">
      <c r="M9571" s="21"/>
    </row>
    <row r="9572" spans="13:13" x14ac:dyDescent="0.25">
      <c r="M9572" s="21"/>
    </row>
    <row r="9573" spans="13:13" x14ac:dyDescent="0.25">
      <c r="M9573" s="21"/>
    </row>
    <row r="9574" spans="13:13" x14ac:dyDescent="0.25">
      <c r="M9574" s="21"/>
    </row>
    <row r="9575" spans="13:13" x14ac:dyDescent="0.25">
      <c r="M9575" s="21"/>
    </row>
    <row r="9576" spans="13:13" x14ac:dyDescent="0.25">
      <c r="M9576" s="21"/>
    </row>
    <row r="9577" spans="13:13" x14ac:dyDescent="0.25">
      <c r="M9577" s="21"/>
    </row>
    <row r="9578" spans="13:13" x14ac:dyDescent="0.25">
      <c r="M9578" s="21"/>
    </row>
    <row r="9579" spans="13:13" x14ac:dyDescent="0.25">
      <c r="M9579" s="21"/>
    </row>
    <row r="9580" spans="13:13" x14ac:dyDescent="0.25">
      <c r="M9580" s="21"/>
    </row>
    <row r="9581" spans="13:13" x14ac:dyDescent="0.25">
      <c r="M9581" s="21"/>
    </row>
    <row r="9582" spans="13:13" x14ac:dyDescent="0.25">
      <c r="M9582" s="21"/>
    </row>
    <row r="9583" spans="13:13" x14ac:dyDescent="0.25">
      <c r="M9583" s="21"/>
    </row>
    <row r="9584" spans="13:13" x14ac:dyDescent="0.25">
      <c r="M9584" s="21"/>
    </row>
    <row r="9585" spans="13:13" x14ac:dyDescent="0.25">
      <c r="M9585" s="21"/>
    </row>
    <row r="9586" spans="13:13" x14ac:dyDescent="0.25">
      <c r="M9586" s="21"/>
    </row>
    <row r="9587" spans="13:13" x14ac:dyDescent="0.25">
      <c r="M9587" s="21"/>
    </row>
    <row r="9588" spans="13:13" x14ac:dyDescent="0.25">
      <c r="M9588" s="21"/>
    </row>
    <row r="9589" spans="13:13" x14ac:dyDescent="0.25">
      <c r="M9589" s="21"/>
    </row>
    <row r="9590" spans="13:13" x14ac:dyDescent="0.25">
      <c r="M9590" s="21"/>
    </row>
    <row r="9591" spans="13:13" x14ac:dyDescent="0.25">
      <c r="M9591" s="21"/>
    </row>
    <row r="9592" spans="13:13" x14ac:dyDescent="0.25">
      <c r="M9592" s="21"/>
    </row>
    <row r="9593" spans="13:13" x14ac:dyDescent="0.25">
      <c r="M9593" s="21"/>
    </row>
    <row r="9594" spans="13:13" x14ac:dyDescent="0.25">
      <c r="M9594" s="21"/>
    </row>
    <row r="9595" spans="13:13" x14ac:dyDescent="0.25">
      <c r="M9595" s="21"/>
    </row>
    <row r="9596" spans="13:13" x14ac:dyDescent="0.25">
      <c r="M9596" s="21"/>
    </row>
    <row r="9597" spans="13:13" x14ac:dyDescent="0.25">
      <c r="M9597" s="21"/>
    </row>
    <row r="9598" spans="13:13" x14ac:dyDescent="0.25">
      <c r="M9598" s="21"/>
    </row>
    <row r="9599" spans="13:13" x14ac:dyDescent="0.25">
      <c r="M9599" s="21"/>
    </row>
    <row r="9600" spans="13:13" x14ac:dyDescent="0.25">
      <c r="M9600" s="21"/>
    </row>
    <row r="9601" spans="13:13" x14ac:dyDescent="0.25">
      <c r="M9601" s="21"/>
    </row>
    <row r="9602" spans="13:13" x14ac:dyDescent="0.25">
      <c r="M9602" s="21"/>
    </row>
    <row r="9603" spans="13:13" x14ac:dyDescent="0.25">
      <c r="M9603" s="21"/>
    </row>
    <row r="9604" spans="13:13" x14ac:dyDescent="0.25">
      <c r="M9604" s="21"/>
    </row>
    <row r="9605" spans="13:13" x14ac:dyDescent="0.25">
      <c r="M9605" s="21"/>
    </row>
    <row r="9606" spans="13:13" x14ac:dyDescent="0.25">
      <c r="M9606" s="21"/>
    </row>
    <row r="9607" spans="13:13" x14ac:dyDescent="0.25">
      <c r="M9607" s="21"/>
    </row>
    <row r="9608" spans="13:13" x14ac:dyDescent="0.25">
      <c r="M9608" s="21"/>
    </row>
    <row r="9609" spans="13:13" x14ac:dyDescent="0.25">
      <c r="M9609" s="21"/>
    </row>
    <row r="9610" spans="13:13" x14ac:dyDescent="0.25">
      <c r="M9610" s="21"/>
    </row>
    <row r="9611" spans="13:13" x14ac:dyDescent="0.25">
      <c r="M9611" s="21"/>
    </row>
    <row r="9612" spans="13:13" x14ac:dyDescent="0.25">
      <c r="M9612" s="21"/>
    </row>
    <row r="9613" spans="13:13" x14ac:dyDescent="0.25">
      <c r="M9613" s="21"/>
    </row>
    <row r="9614" spans="13:13" x14ac:dyDescent="0.25">
      <c r="M9614" s="21"/>
    </row>
    <row r="9615" spans="13:13" x14ac:dyDescent="0.25">
      <c r="M9615" s="21"/>
    </row>
    <row r="9616" spans="13:13" x14ac:dyDescent="0.25">
      <c r="M9616" s="21"/>
    </row>
    <row r="9617" spans="13:13" x14ac:dyDescent="0.25">
      <c r="M9617" s="21"/>
    </row>
    <row r="9618" spans="13:13" x14ac:dyDescent="0.25">
      <c r="M9618" s="21"/>
    </row>
    <row r="9619" spans="13:13" x14ac:dyDescent="0.25">
      <c r="M9619" s="21"/>
    </row>
    <row r="9620" spans="13:13" x14ac:dyDescent="0.25">
      <c r="M9620" s="21"/>
    </row>
    <row r="9621" spans="13:13" x14ac:dyDescent="0.25">
      <c r="M9621" s="21"/>
    </row>
    <row r="9622" spans="13:13" x14ac:dyDescent="0.25">
      <c r="M9622" s="21"/>
    </row>
    <row r="9623" spans="13:13" x14ac:dyDescent="0.25">
      <c r="M9623" s="21"/>
    </row>
    <row r="9624" spans="13:13" x14ac:dyDescent="0.25">
      <c r="M9624" s="21"/>
    </row>
    <row r="9625" spans="13:13" x14ac:dyDescent="0.25">
      <c r="M9625" s="21"/>
    </row>
    <row r="9626" spans="13:13" x14ac:dyDescent="0.25">
      <c r="M9626" s="21"/>
    </row>
    <row r="9627" spans="13:13" x14ac:dyDescent="0.25">
      <c r="M9627" s="21"/>
    </row>
    <row r="9628" spans="13:13" x14ac:dyDescent="0.25">
      <c r="M9628" s="21"/>
    </row>
    <row r="9629" spans="13:13" x14ac:dyDescent="0.25">
      <c r="M9629" s="21"/>
    </row>
    <row r="9630" spans="13:13" x14ac:dyDescent="0.25">
      <c r="M9630" s="21"/>
    </row>
    <row r="9631" spans="13:13" x14ac:dyDescent="0.25">
      <c r="M9631" s="21"/>
    </row>
    <row r="9632" spans="13:13" x14ac:dyDescent="0.25">
      <c r="M9632" s="21"/>
    </row>
    <row r="9633" spans="13:13" x14ac:dyDescent="0.25">
      <c r="M9633" s="21"/>
    </row>
    <row r="9634" spans="13:13" x14ac:dyDescent="0.25">
      <c r="M9634" s="21"/>
    </row>
    <row r="9635" spans="13:13" x14ac:dyDescent="0.25">
      <c r="M9635" s="21"/>
    </row>
    <row r="9636" spans="13:13" x14ac:dyDescent="0.25">
      <c r="M9636" s="21"/>
    </row>
    <row r="9637" spans="13:13" x14ac:dyDescent="0.25">
      <c r="M9637" s="21"/>
    </row>
    <row r="9638" spans="13:13" x14ac:dyDescent="0.25">
      <c r="M9638" s="21"/>
    </row>
    <row r="9639" spans="13:13" x14ac:dyDescent="0.25">
      <c r="M9639" s="21"/>
    </row>
    <row r="9640" spans="13:13" x14ac:dyDescent="0.25">
      <c r="M9640" s="21"/>
    </row>
    <row r="9641" spans="13:13" x14ac:dyDescent="0.25">
      <c r="M9641" s="21"/>
    </row>
    <row r="9642" spans="13:13" x14ac:dyDescent="0.25">
      <c r="M9642" s="21"/>
    </row>
    <row r="9643" spans="13:13" x14ac:dyDescent="0.25">
      <c r="M9643" s="21"/>
    </row>
    <row r="9644" spans="13:13" x14ac:dyDescent="0.25">
      <c r="M9644" s="21"/>
    </row>
    <row r="9645" spans="13:13" x14ac:dyDescent="0.25">
      <c r="M9645" s="21"/>
    </row>
    <row r="9646" spans="13:13" x14ac:dyDescent="0.25">
      <c r="M9646" s="21"/>
    </row>
    <row r="9647" spans="13:13" x14ac:dyDescent="0.25">
      <c r="M9647" s="21"/>
    </row>
    <row r="9648" spans="13:13" x14ac:dyDescent="0.25">
      <c r="M9648" s="21"/>
    </row>
    <row r="9649" spans="13:13" x14ac:dyDescent="0.25">
      <c r="M9649" s="21"/>
    </row>
    <row r="9650" spans="13:13" x14ac:dyDescent="0.25">
      <c r="M9650" s="21"/>
    </row>
    <row r="9651" spans="13:13" x14ac:dyDescent="0.25">
      <c r="M9651" s="21"/>
    </row>
    <row r="9652" spans="13:13" x14ac:dyDescent="0.25">
      <c r="M9652" s="21"/>
    </row>
    <row r="9653" spans="13:13" x14ac:dyDescent="0.25">
      <c r="M9653" s="21"/>
    </row>
    <row r="9654" spans="13:13" x14ac:dyDescent="0.25">
      <c r="M9654" s="21"/>
    </row>
    <row r="9655" spans="13:13" x14ac:dyDescent="0.25">
      <c r="M9655" s="21"/>
    </row>
    <row r="9656" spans="13:13" x14ac:dyDescent="0.25">
      <c r="M9656" s="21"/>
    </row>
    <row r="9657" spans="13:13" x14ac:dyDescent="0.25">
      <c r="M9657" s="21"/>
    </row>
    <row r="9658" spans="13:13" x14ac:dyDescent="0.25">
      <c r="M9658" s="21"/>
    </row>
    <row r="9659" spans="13:13" x14ac:dyDescent="0.25">
      <c r="M9659" s="21"/>
    </row>
    <row r="9660" spans="13:13" x14ac:dyDescent="0.25">
      <c r="M9660" s="21"/>
    </row>
    <row r="9661" spans="13:13" x14ac:dyDescent="0.25">
      <c r="M9661" s="21"/>
    </row>
    <row r="9662" spans="13:13" x14ac:dyDescent="0.25">
      <c r="M9662" s="21"/>
    </row>
    <row r="9663" spans="13:13" x14ac:dyDescent="0.25">
      <c r="M9663" s="21"/>
    </row>
    <row r="9664" spans="13:13" x14ac:dyDescent="0.25">
      <c r="M9664" s="21"/>
    </row>
    <row r="9665" spans="13:13" x14ac:dyDescent="0.25">
      <c r="M9665" s="21"/>
    </row>
    <row r="9666" spans="13:13" x14ac:dyDescent="0.25">
      <c r="M9666" s="21"/>
    </row>
    <row r="9667" spans="13:13" x14ac:dyDescent="0.25">
      <c r="M9667" s="21"/>
    </row>
    <row r="9668" spans="13:13" x14ac:dyDescent="0.25">
      <c r="M9668" s="21"/>
    </row>
    <row r="9669" spans="13:13" x14ac:dyDescent="0.25">
      <c r="M9669" s="21"/>
    </row>
    <row r="9670" spans="13:13" x14ac:dyDescent="0.25">
      <c r="M9670" s="21"/>
    </row>
    <row r="9671" spans="13:13" x14ac:dyDescent="0.25">
      <c r="M9671" s="21"/>
    </row>
    <row r="9672" spans="13:13" x14ac:dyDescent="0.25">
      <c r="M9672" s="21"/>
    </row>
    <row r="9673" spans="13:13" x14ac:dyDescent="0.25">
      <c r="M9673" s="21"/>
    </row>
    <row r="9674" spans="13:13" x14ac:dyDescent="0.25">
      <c r="M9674" s="21"/>
    </row>
    <row r="9675" spans="13:13" x14ac:dyDescent="0.25">
      <c r="M9675" s="21"/>
    </row>
    <row r="9676" spans="13:13" x14ac:dyDescent="0.25">
      <c r="M9676" s="21"/>
    </row>
    <row r="9677" spans="13:13" x14ac:dyDescent="0.25">
      <c r="M9677" s="21"/>
    </row>
    <row r="9678" spans="13:13" x14ac:dyDescent="0.25">
      <c r="M9678" s="21"/>
    </row>
    <row r="9679" spans="13:13" x14ac:dyDescent="0.25">
      <c r="M9679" s="21"/>
    </row>
    <row r="9680" spans="13:13" x14ac:dyDescent="0.25">
      <c r="M9680" s="21"/>
    </row>
    <row r="9681" spans="13:13" x14ac:dyDescent="0.25">
      <c r="M9681" s="21"/>
    </row>
    <row r="9682" spans="13:13" x14ac:dyDescent="0.25">
      <c r="M9682" s="21"/>
    </row>
    <row r="9683" spans="13:13" x14ac:dyDescent="0.25">
      <c r="M9683" s="21"/>
    </row>
    <row r="9684" spans="13:13" x14ac:dyDescent="0.25">
      <c r="M9684" s="21"/>
    </row>
    <row r="9685" spans="13:13" x14ac:dyDescent="0.25">
      <c r="M9685" s="21"/>
    </row>
    <row r="9686" spans="13:13" x14ac:dyDescent="0.25">
      <c r="M9686" s="21"/>
    </row>
    <row r="9687" spans="13:13" x14ac:dyDescent="0.25">
      <c r="M9687" s="21"/>
    </row>
    <row r="9688" spans="13:13" x14ac:dyDescent="0.25">
      <c r="M9688" s="21"/>
    </row>
    <row r="9689" spans="13:13" x14ac:dyDescent="0.25">
      <c r="M9689" s="21"/>
    </row>
    <row r="9690" spans="13:13" x14ac:dyDescent="0.25">
      <c r="M9690" s="21"/>
    </row>
    <row r="9691" spans="13:13" x14ac:dyDescent="0.25">
      <c r="M9691" s="21"/>
    </row>
    <row r="9692" spans="13:13" x14ac:dyDescent="0.25">
      <c r="M9692" s="21"/>
    </row>
    <row r="9693" spans="13:13" x14ac:dyDescent="0.25">
      <c r="M9693" s="21"/>
    </row>
    <row r="9694" spans="13:13" x14ac:dyDescent="0.25">
      <c r="M9694" s="21"/>
    </row>
    <row r="9695" spans="13:13" x14ac:dyDescent="0.25">
      <c r="M9695" s="21"/>
    </row>
    <row r="9696" spans="13:13" x14ac:dyDescent="0.25">
      <c r="M9696" s="21"/>
    </row>
    <row r="9697" spans="13:13" x14ac:dyDescent="0.25">
      <c r="M9697" s="21"/>
    </row>
    <row r="9698" spans="13:13" x14ac:dyDescent="0.25">
      <c r="M9698" s="21"/>
    </row>
    <row r="9699" spans="13:13" x14ac:dyDescent="0.25">
      <c r="M9699" s="21"/>
    </row>
    <row r="9700" spans="13:13" x14ac:dyDescent="0.25">
      <c r="M9700" s="21"/>
    </row>
    <row r="9701" spans="13:13" x14ac:dyDescent="0.25">
      <c r="M9701" s="21"/>
    </row>
    <row r="9702" spans="13:13" x14ac:dyDescent="0.25">
      <c r="M9702" s="21"/>
    </row>
    <row r="9703" spans="13:13" x14ac:dyDescent="0.25">
      <c r="M9703" s="21"/>
    </row>
    <row r="9704" spans="13:13" x14ac:dyDescent="0.25">
      <c r="M9704" s="21"/>
    </row>
    <row r="9705" spans="13:13" x14ac:dyDescent="0.25">
      <c r="M9705" s="21"/>
    </row>
    <row r="9706" spans="13:13" x14ac:dyDescent="0.25">
      <c r="M9706" s="21"/>
    </row>
    <row r="9707" spans="13:13" x14ac:dyDescent="0.25">
      <c r="M9707" s="21"/>
    </row>
    <row r="9708" spans="13:13" x14ac:dyDescent="0.25">
      <c r="M9708" s="21"/>
    </row>
    <row r="9709" spans="13:13" x14ac:dyDescent="0.25">
      <c r="M9709" s="21"/>
    </row>
    <row r="9710" spans="13:13" x14ac:dyDescent="0.25">
      <c r="M9710" s="21"/>
    </row>
    <row r="9711" spans="13:13" x14ac:dyDescent="0.25">
      <c r="M9711" s="21"/>
    </row>
    <row r="9712" spans="13:13" x14ac:dyDescent="0.25">
      <c r="M9712" s="21"/>
    </row>
    <row r="9713" spans="13:13" x14ac:dyDescent="0.25">
      <c r="M9713" s="21"/>
    </row>
    <row r="9714" spans="13:13" x14ac:dyDescent="0.25">
      <c r="M9714" s="21"/>
    </row>
    <row r="9715" spans="13:13" x14ac:dyDescent="0.25">
      <c r="M9715" s="21"/>
    </row>
    <row r="9716" spans="13:13" x14ac:dyDescent="0.25">
      <c r="M9716" s="21"/>
    </row>
    <row r="9717" spans="13:13" x14ac:dyDescent="0.25">
      <c r="M9717" s="21"/>
    </row>
    <row r="9718" spans="13:13" x14ac:dyDescent="0.25">
      <c r="M9718" s="21"/>
    </row>
    <row r="9719" spans="13:13" x14ac:dyDescent="0.25">
      <c r="M9719" s="21"/>
    </row>
    <row r="9720" spans="13:13" x14ac:dyDescent="0.25">
      <c r="M9720" s="21"/>
    </row>
    <row r="9721" spans="13:13" x14ac:dyDescent="0.25">
      <c r="M9721" s="21"/>
    </row>
    <row r="9722" spans="13:13" x14ac:dyDescent="0.25">
      <c r="M9722" s="21"/>
    </row>
    <row r="9723" spans="13:13" x14ac:dyDescent="0.25">
      <c r="M9723" s="21"/>
    </row>
    <row r="9724" spans="13:13" x14ac:dyDescent="0.25">
      <c r="M9724" s="21"/>
    </row>
    <row r="9725" spans="13:13" x14ac:dyDescent="0.25">
      <c r="M9725" s="21"/>
    </row>
    <row r="9726" spans="13:13" x14ac:dyDescent="0.25">
      <c r="M9726" s="21"/>
    </row>
    <row r="9727" spans="13:13" x14ac:dyDescent="0.25">
      <c r="M9727" s="21"/>
    </row>
    <row r="9728" spans="13:13" x14ac:dyDescent="0.25">
      <c r="M9728" s="21"/>
    </row>
    <row r="9729" spans="13:13" x14ac:dyDescent="0.25">
      <c r="M9729" s="21"/>
    </row>
    <row r="9730" spans="13:13" x14ac:dyDescent="0.25">
      <c r="M9730" s="21"/>
    </row>
    <row r="9731" spans="13:13" x14ac:dyDescent="0.25">
      <c r="M9731" s="21"/>
    </row>
    <row r="9732" spans="13:13" x14ac:dyDescent="0.25">
      <c r="M9732" s="21"/>
    </row>
    <row r="9733" spans="13:13" x14ac:dyDescent="0.25">
      <c r="M9733" s="21"/>
    </row>
    <row r="9734" spans="13:13" x14ac:dyDescent="0.25">
      <c r="M9734" s="21"/>
    </row>
    <row r="9735" spans="13:13" x14ac:dyDescent="0.25">
      <c r="M9735" s="21"/>
    </row>
    <row r="9736" spans="13:13" x14ac:dyDescent="0.25">
      <c r="M9736" s="21"/>
    </row>
    <row r="9737" spans="13:13" x14ac:dyDescent="0.25">
      <c r="M9737" s="21"/>
    </row>
    <row r="9738" spans="13:13" x14ac:dyDescent="0.25">
      <c r="M9738" s="21"/>
    </row>
    <row r="9739" spans="13:13" x14ac:dyDescent="0.25">
      <c r="M9739" s="21"/>
    </row>
    <row r="9740" spans="13:13" x14ac:dyDescent="0.25">
      <c r="M9740" s="21"/>
    </row>
    <row r="9741" spans="13:13" x14ac:dyDescent="0.25">
      <c r="M9741" s="21"/>
    </row>
    <row r="9742" spans="13:13" x14ac:dyDescent="0.25">
      <c r="M9742" s="21"/>
    </row>
    <row r="9743" spans="13:13" x14ac:dyDescent="0.25">
      <c r="M9743" s="21"/>
    </row>
    <row r="9744" spans="13:13" x14ac:dyDescent="0.25">
      <c r="M9744" s="21"/>
    </row>
    <row r="9745" spans="13:13" x14ac:dyDescent="0.25">
      <c r="M9745" s="21"/>
    </row>
    <row r="9746" spans="13:13" x14ac:dyDescent="0.25">
      <c r="M9746" s="21"/>
    </row>
    <row r="9747" spans="13:13" x14ac:dyDescent="0.25">
      <c r="M9747" s="21"/>
    </row>
    <row r="9748" spans="13:13" x14ac:dyDescent="0.25">
      <c r="M9748" s="21"/>
    </row>
    <row r="9749" spans="13:13" x14ac:dyDescent="0.25">
      <c r="M9749" s="21"/>
    </row>
    <row r="9750" spans="13:13" x14ac:dyDescent="0.25">
      <c r="M9750" s="21"/>
    </row>
    <row r="9751" spans="13:13" x14ac:dyDescent="0.25">
      <c r="M9751" s="21"/>
    </row>
    <row r="9752" spans="13:13" x14ac:dyDescent="0.25">
      <c r="M9752" s="21"/>
    </row>
    <row r="9753" spans="13:13" x14ac:dyDescent="0.25">
      <c r="M9753" s="21"/>
    </row>
    <row r="9754" spans="13:13" x14ac:dyDescent="0.25">
      <c r="M9754" s="21"/>
    </row>
    <row r="9755" spans="13:13" x14ac:dyDescent="0.25">
      <c r="M9755" s="21"/>
    </row>
    <row r="9756" spans="13:13" x14ac:dyDescent="0.25">
      <c r="M9756" s="21"/>
    </row>
    <row r="9757" spans="13:13" x14ac:dyDescent="0.25">
      <c r="M9757" s="21"/>
    </row>
    <row r="9758" spans="13:13" x14ac:dyDescent="0.25">
      <c r="M9758" s="21"/>
    </row>
    <row r="9759" spans="13:13" x14ac:dyDescent="0.25">
      <c r="M9759" s="21"/>
    </row>
    <row r="9760" spans="13:13" x14ac:dyDescent="0.25">
      <c r="M9760" s="21"/>
    </row>
    <row r="9761" spans="13:13" x14ac:dyDescent="0.25">
      <c r="M9761" s="21"/>
    </row>
    <row r="9762" spans="13:13" x14ac:dyDescent="0.25">
      <c r="M9762" s="21"/>
    </row>
    <row r="9763" spans="13:13" x14ac:dyDescent="0.25">
      <c r="M9763" s="21"/>
    </row>
    <row r="9764" spans="13:13" x14ac:dyDescent="0.25">
      <c r="M9764" s="21"/>
    </row>
    <row r="9765" spans="13:13" x14ac:dyDescent="0.25">
      <c r="M9765" s="21"/>
    </row>
    <row r="9766" spans="13:13" x14ac:dyDescent="0.25">
      <c r="M9766" s="21"/>
    </row>
    <row r="9767" spans="13:13" x14ac:dyDescent="0.25">
      <c r="M9767" s="21"/>
    </row>
    <row r="9768" spans="13:13" x14ac:dyDescent="0.25">
      <c r="M9768" s="21"/>
    </row>
    <row r="9769" spans="13:13" x14ac:dyDescent="0.25">
      <c r="M9769" s="21"/>
    </row>
    <row r="9770" spans="13:13" x14ac:dyDescent="0.25">
      <c r="M9770" s="21"/>
    </row>
    <row r="9771" spans="13:13" x14ac:dyDescent="0.25">
      <c r="M9771" s="21"/>
    </row>
    <row r="9772" spans="13:13" x14ac:dyDescent="0.25">
      <c r="M9772" s="21"/>
    </row>
    <row r="9773" spans="13:13" x14ac:dyDescent="0.25">
      <c r="M9773" s="21"/>
    </row>
    <row r="9774" spans="13:13" x14ac:dyDescent="0.25">
      <c r="M9774" s="21"/>
    </row>
    <row r="9775" spans="13:13" x14ac:dyDescent="0.25">
      <c r="M9775" s="21"/>
    </row>
    <row r="9776" spans="13:13" x14ac:dyDescent="0.25">
      <c r="M9776" s="21"/>
    </row>
    <row r="9777" spans="13:13" x14ac:dyDescent="0.25">
      <c r="M9777" s="21"/>
    </row>
    <row r="9778" spans="13:13" x14ac:dyDescent="0.25">
      <c r="M9778" s="21"/>
    </row>
    <row r="9779" spans="13:13" x14ac:dyDescent="0.25">
      <c r="M9779" s="21"/>
    </row>
    <row r="9780" spans="13:13" x14ac:dyDescent="0.25">
      <c r="M9780" s="21"/>
    </row>
    <row r="9781" spans="13:13" x14ac:dyDescent="0.25">
      <c r="M9781" s="21"/>
    </row>
    <row r="9782" spans="13:13" x14ac:dyDescent="0.25">
      <c r="M9782" s="21"/>
    </row>
    <row r="9783" spans="13:13" x14ac:dyDescent="0.25">
      <c r="M9783" s="21"/>
    </row>
    <row r="9784" spans="13:13" x14ac:dyDescent="0.25">
      <c r="M9784" s="21"/>
    </row>
    <row r="9785" spans="13:13" x14ac:dyDescent="0.25">
      <c r="M9785" s="21"/>
    </row>
    <row r="9786" spans="13:13" x14ac:dyDescent="0.25">
      <c r="M9786" s="21"/>
    </row>
    <row r="9787" spans="13:13" x14ac:dyDescent="0.25">
      <c r="M9787" s="21"/>
    </row>
    <row r="9788" spans="13:13" x14ac:dyDescent="0.25">
      <c r="M9788" s="21"/>
    </row>
    <row r="9789" spans="13:13" x14ac:dyDescent="0.25">
      <c r="M9789" s="21"/>
    </row>
    <row r="9790" spans="13:13" x14ac:dyDescent="0.25">
      <c r="M9790" s="21"/>
    </row>
    <row r="9791" spans="13:13" x14ac:dyDescent="0.25">
      <c r="M9791" s="21"/>
    </row>
    <row r="9792" spans="13:13" x14ac:dyDescent="0.25">
      <c r="M9792" s="21"/>
    </row>
    <row r="9793" spans="13:13" x14ac:dyDescent="0.25">
      <c r="M9793" s="21"/>
    </row>
    <row r="9794" spans="13:13" x14ac:dyDescent="0.25">
      <c r="M9794" s="21"/>
    </row>
    <row r="9795" spans="13:13" x14ac:dyDescent="0.25">
      <c r="M9795" s="21"/>
    </row>
    <row r="9796" spans="13:13" x14ac:dyDescent="0.25">
      <c r="M9796" s="21"/>
    </row>
    <row r="9797" spans="13:13" x14ac:dyDescent="0.25">
      <c r="M9797" s="21"/>
    </row>
    <row r="9798" spans="13:13" x14ac:dyDescent="0.25">
      <c r="M9798" s="21"/>
    </row>
    <row r="9799" spans="13:13" x14ac:dyDescent="0.25">
      <c r="M9799" s="21"/>
    </row>
    <row r="9800" spans="13:13" x14ac:dyDescent="0.25">
      <c r="M9800" s="21"/>
    </row>
    <row r="9801" spans="13:13" x14ac:dyDescent="0.25">
      <c r="M9801" s="21"/>
    </row>
    <row r="9802" spans="13:13" x14ac:dyDescent="0.25">
      <c r="M9802" s="21"/>
    </row>
    <row r="9803" spans="13:13" x14ac:dyDescent="0.25">
      <c r="M9803" s="21"/>
    </row>
    <row r="9804" spans="13:13" x14ac:dyDescent="0.25">
      <c r="M9804" s="21"/>
    </row>
    <row r="9805" spans="13:13" x14ac:dyDescent="0.25">
      <c r="M9805" s="21"/>
    </row>
    <row r="9806" spans="13:13" x14ac:dyDescent="0.25">
      <c r="M9806" s="21"/>
    </row>
    <row r="9807" spans="13:13" x14ac:dyDescent="0.25">
      <c r="M9807" s="21"/>
    </row>
    <row r="9808" spans="13:13" x14ac:dyDescent="0.25">
      <c r="M9808" s="21"/>
    </row>
    <row r="9809" spans="13:13" x14ac:dyDescent="0.25">
      <c r="M9809" s="21"/>
    </row>
    <row r="9810" spans="13:13" x14ac:dyDescent="0.25">
      <c r="M9810" s="21"/>
    </row>
    <row r="9811" spans="13:13" x14ac:dyDescent="0.25">
      <c r="M9811" s="21"/>
    </row>
    <row r="9812" spans="13:13" x14ac:dyDescent="0.25">
      <c r="M9812" s="21"/>
    </row>
    <row r="9813" spans="13:13" x14ac:dyDescent="0.25">
      <c r="M9813" s="21"/>
    </row>
    <row r="9814" spans="13:13" x14ac:dyDescent="0.25">
      <c r="M9814" s="21"/>
    </row>
    <row r="9815" spans="13:13" x14ac:dyDescent="0.25">
      <c r="M9815" s="21"/>
    </row>
    <row r="9816" spans="13:13" x14ac:dyDescent="0.25">
      <c r="M9816" s="21"/>
    </row>
    <row r="9817" spans="13:13" x14ac:dyDescent="0.25">
      <c r="M9817" s="21"/>
    </row>
    <row r="9818" spans="13:13" x14ac:dyDescent="0.25">
      <c r="M9818" s="21"/>
    </row>
    <row r="9819" spans="13:13" x14ac:dyDescent="0.25">
      <c r="M9819" s="21"/>
    </row>
    <row r="9820" spans="13:13" x14ac:dyDescent="0.25">
      <c r="M9820" s="21"/>
    </row>
    <row r="9821" spans="13:13" x14ac:dyDescent="0.25">
      <c r="M9821" s="21"/>
    </row>
    <row r="9822" spans="13:13" x14ac:dyDescent="0.25">
      <c r="M9822" s="21"/>
    </row>
    <row r="9823" spans="13:13" x14ac:dyDescent="0.25">
      <c r="M9823" s="21"/>
    </row>
    <row r="9824" spans="13:13" x14ac:dyDescent="0.25">
      <c r="M9824" s="21"/>
    </row>
    <row r="9825" spans="13:13" x14ac:dyDescent="0.25">
      <c r="M9825" s="21"/>
    </row>
    <row r="9826" spans="13:13" x14ac:dyDescent="0.25">
      <c r="M9826" s="21"/>
    </row>
    <row r="9827" spans="13:13" x14ac:dyDescent="0.25">
      <c r="M9827" s="21"/>
    </row>
    <row r="9828" spans="13:13" x14ac:dyDescent="0.25">
      <c r="M9828" s="21"/>
    </row>
    <row r="9829" spans="13:13" x14ac:dyDescent="0.25">
      <c r="M9829" s="21"/>
    </row>
    <row r="9830" spans="13:13" x14ac:dyDescent="0.25">
      <c r="M9830" s="21"/>
    </row>
    <row r="9831" spans="13:13" x14ac:dyDescent="0.25">
      <c r="M9831" s="21"/>
    </row>
    <row r="9832" spans="13:13" x14ac:dyDescent="0.25">
      <c r="M9832" s="21"/>
    </row>
    <row r="9833" spans="13:13" x14ac:dyDescent="0.25">
      <c r="M9833" s="21"/>
    </row>
    <row r="9834" spans="13:13" x14ac:dyDescent="0.25">
      <c r="M9834" s="21"/>
    </row>
    <row r="9835" spans="13:13" x14ac:dyDescent="0.25">
      <c r="M9835" s="21"/>
    </row>
    <row r="9836" spans="13:13" x14ac:dyDescent="0.25">
      <c r="M9836" s="21"/>
    </row>
    <row r="9837" spans="13:13" x14ac:dyDescent="0.25">
      <c r="M9837" s="21"/>
    </row>
    <row r="9838" spans="13:13" x14ac:dyDescent="0.25">
      <c r="M9838" s="21"/>
    </row>
    <row r="9839" spans="13:13" x14ac:dyDescent="0.25">
      <c r="M9839" s="21"/>
    </row>
    <row r="9840" spans="13:13" x14ac:dyDescent="0.25">
      <c r="M9840" s="21"/>
    </row>
    <row r="9841" spans="13:13" x14ac:dyDescent="0.25">
      <c r="M9841" s="21"/>
    </row>
    <row r="9842" spans="13:13" x14ac:dyDescent="0.25">
      <c r="M9842" s="21"/>
    </row>
    <row r="9843" spans="13:13" x14ac:dyDescent="0.25">
      <c r="M9843" s="21"/>
    </row>
    <row r="9844" spans="13:13" x14ac:dyDescent="0.25">
      <c r="M9844" s="21"/>
    </row>
    <row r="9845" spans="13:13" x14ac:dyDescent="0.25">
      <c r="M9845" s="21"/>
    </row>
    <row r="9846" spans="13:13" x14ac:dyDescent="0.25">
      <c r="M9846" s="21"/>
    </row>
    <row r="9847" spans="13:13" x14ac:dyDescent="0.25">
      <c r="M9847" s="21"/>
    </row>
    <row r="9848" spans="13:13" x14ac:dyDescent="0.25">
      <c r="M9848" s="21"/>
    </row>
    <row r="9849" spans="13:13" x14ac:dyDescent="0.25">
      <c r="M9849" s="21"/>
    </row>
    <row r="9850" spans="13:13" x14ac:dyDescent="0.25">
      <c r="M9850" s="21"/>
    </row>
    <row r="9851" spans="13:13" x14ac:dyDescent="0.25">
      <c r="M9851" s="21"/>
    </row>
    <row r="9852" spans="13:13" x14ac:dyDescent="0.25">
      <c r="M9852" s="21"/>
    </row>
    <row r="9853" spans="13:13" x14ac:dyDescent="0.25">
      <c r="M9853" s="21"/>
    </row>
    <row r="9854" spans="13:13" x14ac:dyDescent="0.25">
      <c r="M9854" s="21"/>
    </row>
    <row r="9855" spans="13:13" x14ac:dyDescent="0.25">
      <c r="M9855" s="21"/>
    </row>
    <row r="9856" spans="13:13" x14ac:dyDescent="0.25">
      <c r="M9856" s="21"/>
    </row>
    <row r="9857" spans="13:13" x14ac:dyDescent="0.25">
      <c r="M9857" s="21"/>
    </row>
    <row r="9858" spans="13:13" x14ac:dyDescent="0.25">
      <c r="M9858" s="21"/>
    </row>
    <row r="9859" spans="13:13" x14ac:dyDescent="0.25">
      <c r="M9859" s="21"/>
    </row>
    <row r="9860" spans="13:13" x14ac:dyDescent="0.25">
      <c r="M9860" s="21"/>
    </row>
    <row r="9861" spans="13:13" x14ac:dyDescent="0.25">
      <c r="M9861" s="21"/>
    </row>
    <row r="9862" spans="13:13" x14ac:dyDescent="0.25">
      <c r="M9862" s="21"/>
    </row>
    <row r="9863" spans="13:13" x14ac:dyDescent="0.25">
      <c r="M9863" s="21"/>
    </row>
    <row r="9864" spans="13:13" x14ac:dyDescent="0.25">
      <c r="M9864" s="21"/>
    </row>
    <row r="9865" spans="13:13" x14ac:dyDescent="0.25">
      <c r="M9865" s="21"/>
    </row>
    <row r="9866" spans="13:13" x14ac:dyDescent="0.25">
      <c r="M9866" s="21"/>
    </row>
    <row r="9867" spans="13:13" x14ac:dyDescent="0.25">
      <c r="M9867" s="21"/>
    </row>
    <row r="9868" spans="13:13" x14ac:dyDescent="0.25">
      <c r="M9868" s="21"/>
    </row>
    <row r="9869" spans="13:13" x14ac:dyDescent="0.25">
      <c r="M9869" s="21"/>
    </row>
    <row r="9870" spans="13:13" x14ac:dyDescent="0.25">
      <c r="M9870" s="21"/>
    </row>
    <row r="9871" spans="13:13" x14ac:dyDescent="0.25">
      <c r="M9871" s="21"/>
    </row>
    <row r="9872" spans="13:13" x14ac:dyDescent="0.25">
      <c r="M9872" s="21"/>
    </row>
    <row r="9873" spans="13:13" x14ac:dyDescent="0.25">
      <c r="M9873" s="21"/>
    </row>
    <row r="9874" spans="13:13" x14ac:dyDescent="0.25">
      <c r="M9874" s="21"/>
    </row>
    <row r="9875" spans="13:13" x14ac:dyDescent="0.25">
      <c r="M9875" s="21"/>
    </row>
    <row r="9876" spans="13:13" x14ac:dyDescent="0.25">
      <c r="M9876" s="21"/>
    </row>
    <row r="9877" spans="13:13" x14ac:dyDescent="0.25">
      <c r="M9877" s="21"/>
    </row>
    <row r="9878" spans="13:13" x14ac:dyDescent="0.25">
      <c r="M9878" s="21"/>
    </row>
    <row r="9879" spans="13:13" x14ac:dyDescent="0.25">
      <c r="M9879" s="21"/>
    </row>
    <row r="9880" spans="13:13" x14ac:dyDescent="0.25">
      <c r="M9880" s="21"/>
    </row>
    <row r="9881" spans="13:13" x14ac:dyDescent="0.25">
      <c r="M9881" s="21"/>
    </row>
    <row r="9882" spans="13:13" x14ac:dyDescent="0.25">
      <c r="M9882" s="21"/>
    </row>
    <row r="9883" spans="13:13" x14ac:dyDescent="0.25">
      <c r="M9883" s="21"/>
    </row>
    <row r="9884" spans="13:13" x14ac:dyDescent="0.25">
      <c r="M9884" s="21"/>
    </row>
    <row r="9885" spans="13:13" x14ac:dyDescent="0.25">
      <c r="M9885" s="21"/>
    </row>
    <row r="9886" spans="13:13" x14ac:dyDescent="0.25">
      <c r="M9886" s="21"/>
    </row>
    <row r="9887" spans="13:13" x14ac:dyDescent="0.25">
      <c r="M9887" s="21"/>
    </row>
    <row r="9888" spans="13:13" x14ac:dyDescent="0.25">
      <c r="M9888" s="21"/>
    </row>
    <row r="9889" spans="13:13" x14ac:dyDescent="0.25">
      <c r="M9889" s="21"/>
    </row>
    <row r="9890" spans="13:13" x14ac:dyDescent="0.25">
      <c r="M9890" s="21"/>
    </row>
    <row r="9891" spans="13:13" x14ac:dyDescent="0.25">
      <c r="M9891" s="21"/>
    </row>
    <row r="9892" spans="13:13" x14ac:dyDescent="0.25">
      <c r="M9892" s="21"/>
    </row>
    <row r="9893" spans="13:13" x14ac:dyDescent="0.25">
      <c r="M9893" s="21"/>
    </row>
    <row r="9894" spans="13:13" x14ac:dyDescent="0.25">
      <c r="M9894" s="21"/>
    </row>
    <row r="9895" spans="13:13" x14ac:dyDescent="0.25">
      <c r="M9895" s="21"/>
    </row>
    <row r="9896" spans="13:13" x14ac:dyDescent="0.25">
      <c r="M9896" s="21"/>
    </row>
    <row r="9897" spans="13:13" x14ac:dyDescent="0.25">
      <c r="M9897" s="21"/>
    </row>
    <row r="9898" spans="13:13" x14ac:dyDescent="0.25">
      <c r="M9898" s="21"/>
    </row>
    <row r="9899" spans="13:13" x14ac:dyDescent="0.25">
      <c r="M9899" s="21"/>
    </row>
    <row r="9900" spans="13:13" x14ac:dyDescent="0.25">
      <c r="M9900" s="21"/>
    </row>
    <row r="9901" spans="13:13" x14ac:dyDescent="0.25">
      <c r="M9901" s="21"/>
    </row>
    <row r="9902" spans="13:13" x14ac:dyDescent="0.25">
      <c r="M9902" s="21"/>
    </row>
    <row r="9903" spans="13:13" x14ac:dyDescent="0.25">
      <c r="M9903" s="21"/>
    </row>
    <row r="9904" spans="13:13" x14ac:dyDescent="0.25">
      <c r="M9904" s="21"/>
    </row>
    <row r="9905" spans="13:13" x14ac:dyDescent="0.25">
      <c r="M9905" s="21"/>
    </row>
    <row r="9906" spans="13:13" x14ac:dyDescent="0.25">
      <c r="M9906" s="21"/>
    </row>
    <row r="9907" spans="13:13" x14ac:dyDescent="0.25">
      <c r="M9907" s="21"/>
    </row>
    <row r="9908" spans="13:13" x14ac:dyDescent="0.25">
      <c r="M9908" s="21"/>
    </row>
    <row r="9909" spans="13:13" x14ac:dyDescent="0.25">
      <c r="M9909" s="21"/>
    </row>
    <row r="9910" spans="13:13" x14ac:dyDescent="0.25">
      <c r="M9910" s="21"/>
    </row>
    <row r="9911" spans="13:13" x14ac:dyDescent="0.25">
      <c r="M9911" s="21"/>
    </row>
    <row r="9912" spans="13:13" x14ac:dyDescent="0.25">
      <c r="M9912" s="21"/>
    </row>
    <row r="9913" spans="13:13" x14ac:dyDescent="0.25">
      <c r="M9913" s="21"/>
    </row>
    <row r="9914" spans="13:13" x14ac:dyDescent="0.25">
      <c r="M9914" s="21"/>
    </row>
    <row r="9915" spans="13:13" x14ac:dyDescent="0.25">
      <c r="M9915" s="21"/>
    </row>
    <row r="9916" spans="13:13" x14ac:dyDescent="0.25">
      <c r="M9916" s="21"/>
    </row>
    <row r="9917" spans="13:13" x14ac:dyDescent="0.25">
      <c r="M9917" s="21"/>
    </row>
    <row r="9918" spans="13:13" x14ac:dyDescent="0.25">
      <c r="M9918" s="21"/>
    </row>
    <row r="9919" spans="13:13" x14ac:dyDescent="0.25">
      <c r="M9919" s="21"/>
    </row>
    <row r="9920" spans="13:13" x14ac:dyDescent="0.25">
      <c r="M9920" s="21"/>
    </row>
    <row r="9921" spans="13:13" x14ac:dyDescent="0.25">
      <c r="M9921" s="21"/>
    </row>
    <row r="9922" spans="13:13" x14ac:dyDescent="0.25">
      <c r="M9922" s="21"/>
    </row>
    <row r="9923" spans="13:13" x14ac:dyDescent="0.25">
      <c r="M9923" s="21"/>
    </row>
    <row r="9924" spans="13:13" x14ac:dyDescent="0.25">
      <c r="M9924" s="21"/>
    </row>
    <row r="9925" spans="13:13" x14ac:dyDescent="0.25">
      <c r="M9925" s="21"/>
    </row>
    <row r="9926" spans="13:13" x14ac:dyDescent="0.25">
      <c r="M9926" s="21"/>
    </row>
    <row r="9927" spans="13:13" x14ac:dyDescent="0.25">
      <c r="M9927" s="21"/>
    </row>
    <row r="9928" spans="13:13" x14ac:dyDescent="0.25">
      <c r="M9928" s="21"/>
    </row>
    <row r="9929" spans="13:13" x14ac:dyDescent="0.25">
      <c r="M9929" s="21"/>
    </row>
    <row r="9930" spans="13:13" x14ac:dyDescent="0.25">
      <c r="M9930" s="21"/>
    </row>
    <row r="9931" spans="13:13" x14ac:dyDescent="0.25">
      <c r="M9931" s="21"/>
    </row>
    <row r="9932" spans="13:13" x14ac:dyDescent="0.25">
      <c r="M9932" s="21"/>
    </row>
    <row r="9933" spans="13:13" x14ac:dyDescent="0.25">
      <c r="M9933" s="21"/>
    </row>
    <row r="9934" spans="13:13" x14ac:dyDescent="0.25">
      <c r="M9934" s="21"/>
    </row>
    <row r="9935" spans="13:13" x14ac:dyDescent="0.25">
      <c r="M9935" s="21"/>
    </row>
    <row r="9936" spans="13:13" x14ac:dyDescent="0.25">
      <c r="M9936" s="21"/>
    </row>
    <row r="9937" spans="13:13" x14ac:dyDescent="0.25">
      <c r="M9937" s="21"/>
    </row>
    <row r="9938" spans="13:13" x14ac:dyDescent="0.25">
      <c r="M9938" s="21"/>
    </row>
    <row r="9939" spans="13:13" x14ac:dyDescent="0.25">
      <c r="M9939" s="21"/>
    </row>
    <row r="9940" spans="13:13" x14ac:dyDescent="0.25">
      <c r="M9940" s="21"/>
    </row>
    <row r="9941" spans="13:13" x14ac:dyDescent="0.25">
      <c r="M9941" s="21"/>
    </row>
    <row r="9942" spans="13:13" x14ac:dyDescent="0.25">
      <c r="M9942" s="21"/>
    </row>
    <row r="9943" spans="13:13" x14ac:dyDescent="0.25">
      <c r="M9943" s="21"/>
    </row>
    <row r="9944" spans="13:13" x14ac:dyDescent="0.25">
      <c r="M9944" s="21"/>
    </row>
    <row r="9945" spans="13:13" x14ac:dyDescent="0.25">
      <c r="M9945" s="21"/>
    </row>
    <row r="9946" spans="13:13" x14ac:dyDescent="0.25">
      <c r="M9946" s="21"/>
    </row>
    <row r="9947" spans="13:13" x14ac:dyDescent="0.25">
      <c r="M9947" s="21"/>
    </row>
    <row r="9948" spans="13:13" x14ac:dyDescent="0.25">
      <c r="M9948" s="21"/>
    </row>
    <row r="9949" spans="13:13" x14ac:dyDescent="0.25">
      <c r="M9949" s="21"/>
    </row>
    <row r="9950" spans="13:13" x14ac:dyDescent="0.25">
      <c r="M9950" s="21"/>
    </row>
    <row r="9951" spans="13:13" x14ac:dyDescent="0.25">
      <c r="M9951" s="21"/>
    </row>
    <row r="9952" spans="13:13" x14ac:dyDescent="0.25">
      <c r="M9952" s="21"/>
    </row>
    <row r="9953" spans="13:13" x14ac:dyDescent="0.25">
      <c r="M9953" s="21"/>
    </row>
    <row r="9954" spans="13:13" x14ac:dyDescent="0.25">
      <c r="M9954" s="21"/>
    </row>
    <row r="9955" spans="13:13" x14ac:dyDescent="0.25">
      <c r="M9955" s="21"/>
    </row>
    <row r="9956" spans="13:13" x14ac:dyDescent="0.25">
      <c r="M9956" s="21"/>
    </row>
    <row r="9957" spans="13:13" x14ac:dyDescent="0.25">
      <c r="M9957" s="21"/>
    </row>
    <row r="9958" spans="13:13" x14ac:dyDescent="0.25">
      <c r="M9958" s="21"/>
    </row>
    <row r="9959" spans="13:13" x14ac:dyDescent="0.25">
      <c r="M9959" s="21"/>
    </row>
    <row r="9960" spans="13:13" x14ac:dyDescent="0.25">
      <c r="M9960" s="21"/>
    </row>
    <row r="9961" spans="13:13" x14ac:dyDescent="0.25">
      <c r="M9961" s="21"/>
    </row>
    <row r="9962" spans="13:13" x14ac:dyDescent="0.25">
      <c r="M9962" s="21"/>
    </row>
    <row r="9963" spans="13:13" x14ac:dyDescent="0.25">
      <c r="M9963" s="21"/>
    </row>
    <row r="9964" spans="13:13" x14ac:dyDescent="0.25">
      <c r="M9964" s="21"/>
    </row>
    <row r="9965" spans="13:13" x14ac:dyDescent="0.25">
      <c r="M9965" s="21"/>
    </row>
    <row r="9966" spans="13:13" x14ac:dyDescent="0.25">
      <c r="M9966" s="21"/>
    </row>
    <row r="9967" spans="13:13" x14ac:dyDescent="0.25">
      <c r="M9967" s="21"/>
    </row>
    <row r="9968" spans="13:13" x14ac:dyDescent="0.25">
      <c r="M9968" s="21"/>
    </row>
    <row r="9969" spans="13:13" x14ac:dyDescent="0.25">
      <c r="M9969" s="21"/>
    </row>
    <row r="9970" spans="13:13" x14ac:dyDescent="0.25">
      <c r="M9970" s="21"/>
    </row>
    <row r="9971" spans="13:13" x14ac:dyDescent="0.25">
      <c r="M9971" s="21"/>
    </row>
    <row r="9972" spans="13:13" x14ac:dyDescent="0.25">
      <c r="M9972" s="21"/>
    </row>
    <row r="9973" spans="13:13" x14ac:dyDescent="0.25">
      <c r="M9973" s="21"/>
    </row>
    <row r="9974" spans="13:13" x14ac:dyDescent="0.25">
      <c r="M9974" s="21"/>
    </row>
    <row r="9975" spans="13:13" x14ac:dyDescent="0.25">
      <c r="M9975" s="21"/>
    </row>
    <row r="9976" spans="13:13" x14ac:dyDescent="0.25">
      <c r="M9976" s="21"/>
    </row>
    <row r="9977" spans="13:13" x14ac:dyDescent="0.25">
      <c r="M9977" s="21"/>
    </row>
    <row r="9978" spans="13:13" x14ac:dyDescent="0.25">
      <c r="M9978" s="21"/>
    </row>
    <row r="9979" spans="13:13" x14ac:dyDescent="0.25">
      <c r="M9979" s="21"/>
    </row>
    <row r="9980" spans="13:13" x14ac:dyDescent="0.25">
      <c r="M9980" s="21"/>
    </row>
    <row r="9981" spans="13:13" x14ac:dyDescent="0.25">
      <c r="M9981" s="21"/>
    </row>
    <row r="9982" spans="13:13" x14ac:dyDescent="0.25">
      <c r="M9982" s="21"/>
    </row>
    <row r="9983" spans="13:13" x14ac:dyDescent="0.25">
      <c r="M9983" s="21"/>
    </row>
    <row r="9984" spans="13:13" x14ac:dyDescent="0.25">
      <c r="M9984" s="21"/>
    </row>
    <row r="9985" spans="13:13" x14ac:dyDescent="0.25">
      <c r="M9985" s="21"/>
    </row>
    <row r="9986" spans="13:13" x14ac:dyDescent="0.25">
      <c r="M9986" s="21"/>
    </row>
    <row r="9987" spans="13:13" x14ac:dyDescent="0.25">
      <c r="M9987" s="21"/>
    </row>
    <row r="9988" spans="13:13" x14ac:dyDescent="0.25">
      <c r="M9988" s="21"/>
    </row>
    <row r="9989" spans="13:13" x14ac:dyDescent="0.25">
      <c r="M9989" s="21"/>
    </row>
    <row r="9990" spans="13:13" x14ac:dyDescent="0.25">
      <c r="M9990" s="21"/>
    </row>
    <row r="9991" spans="13:13" x14ac:dyDescent="0.25">
      <c r="M9991" s="21"/>
    </row>
    <row r="9992" spans="13:13" x14ac:dyDescent="0.25">
      <c r="M9992" s="21"/>
    </row>
    <row r="9993" spans="13:13" x14ac:dyDescent="0.25">
      <c r="M9993" s="21"/>
    </row>
    <row r="9994" spans="13:13" x14ac:dyDescent="0.25">
      <c r="M9994" s="21"/>
    </row>
    <row r="9995" spans="13:13" x14ac:dyDescent="0.25">
      <c r="M9995" s="21"/>
    </row>
    <row r="9996" spans="13:13" x14ac:dyDescent="0.25">
      <c r="M9996" s="21"/>
    </row>
    <row r="9997" spans="13:13" x14ac:dyDescent="0.25">
      <c r="M9997" s="21"/>
    </row>
    <row r="9998" spans="13:13" x14ac:dyDescent="0.25">
      <c r="M9998" s="21"/>
    </row>
    <row r="9999" spans="13:13" x14ac:dyDescent="0.25">
      <c r="M9999" s="21"/>
    </row>
    <row r="10000" spans="13:13" x14ac:dyDescent="0.25">
      <c r="M10000" s="21"/>
    </row>
    <row r="10001" spans="13:13" x14ac:dyDescent="0.25">
      <c r="M10001" s="21"/>
    </row>
    <row r="10002" spans="13:13" x14ac:dyDescent="0.25">
      <c r="M10002" s="21"/>
    </row>
    <row r="10003" spans="13:13" x14ac:dyDescent="0.25">
      <c r="M10003" s="21"/>
    </row>
    <row r="10004" spans="13:13" x14ac:dyDescent="0.25">
      <c r="M10004" s="2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O10004"/>
  <sheetViews>
    <sheetView topLeftCell="J1" workbookViewId="0">
      <selection activeCell="F4" sqref="F4"/>
    </sheetView>
  </sheetViews>
  <sheetFormatPr defaultRowHeight="12.5" x14ac:dyDescent="0.25"/>
  <cols>
    <col min="3" max="3" width="9.81640625" customWidth="1"/>
    <col min="5" max="5" width="11.36328125" customWidth="1"/>
    <col min="13" max="13" width="29.453125" customWidth="1"/>
  </cols>
  <sheetData>
    <row r="2" spans="2:15" x14ac:dyDescent="0.25">
      <c r="B2" s="17" t="s">
        <v>28</v>
      </c>
      <c r="C2" s="17" t="s">
        <v>38</v>
      </c>
      <c r="D2" t="s">
        <v>0</v>
      </c>
      <c r="E2" t="s">
        <v>0</v>
      </c>
      <c r="F2" t="s">
        <v>1</v>
      </c>
      <c r="G2" t="s">
        <v>1</v>
      </c>
      <c r="H2" t="s">
        <v>2</v>
      </c>
      <c r="I2" t="s">
        <v>2</v>
      </c>
      <c r="J2" t="s">
        <v>3</v>
      </c>
      <c r="K2" t="s">
        <v>3</v>
      </c>
      <c r="M2" s="16" t="s">
        <v>32</v>
      </c>
    </row>
    <row r="3" spans="2:15" x14ac:dyDescent="0.25">
      <c r="M3" s="22">
        <f>AVERAGE(M5:M10004)</f>
        <v>1.9253593341839537</v>
      </c>
      <c r="N3" s="18" t="s">
        <v>34</v>
      </c>
      <c r="O3" s="19"/>
    </row>
    <row r="4" spans="2:15" x14ac:dyDescent="0.25">
      <c r="C4" t="s">
        <v>4</v>
      </c>
      <c r="D4">
        <f ca="1">RAND()</f>
        <v>0.67988842655844106</v>
      </c>
      <c r="E4" s="19">
        <f ca="1">IF(D4&gt;0.5,1,0)</f>
        <v>1</v>
      </c>
      <c r="F4">
        <f t="shared" ref="F4:J4" ca="1" si="0">RAND()</f>
        <v>0.96329024614438996</v>
      </c>
      <c r="G4" s="19">
        <f ca="1">1-E4</f>
        <v>0</v>
      </c>
      <c r="H4">
        <f ca="1">RAND()</f>
        <v>1.582737752819019E-2</v>
      </c>
      <c r="I4">
        <f ca="1">IF(H4&gt;0.5,1,0)</f>
        <v>0</v>
      </c>
      <c r="J4">
        <f t="shared" ca="1" si="0"/>
        <v>0.10743004340753071</v>
      </c>
      <c r="K4">
        <f t="shared" ref="K4:K19" ca="1" si="1">IF(J4&gt;0.5,1,0)</f>
        <v>0</v>
      </c>
      <c r="M4" s="21">
        <v>1.2909944487358056</v>
      </c>
    </row>
    <row r="5" spans="2:15" x14ac:dyDescent="0.25">
      <c r="C5" t="s">
        <v>5</v>
      </c>
      <c r="D5">
        <f t="shared" ref="D5:J19" ca="1" si="2">RAND()</f>
        <v>0.3262541104396427</v>
      </c>
      <c r="E5" s="19">
        <f t="shared" ref="E5:G19" ca="1" si="3">IF(D5&gt;0.5,1,0)</f>
        <v>0</v>
      </c>
      <c r="F5">
        <f t="shared" ca="1" si="2"/>
        <v>0.98127254071052616</v>
      </c>
      <c r="G5" s="19">
        <f ca="1">1-E5</f>
        <v>1</v>
      </c>
      <c r="H5">
        <f t="shared" ca="1" si="2"/>
        <v>0.84740784621735377</v>
      </c>
      <c r="I5">
        <f t="shared" ref="I5:I19" ca="1" si="4">IF(H5&gt;0.5,1,0)</f>
        <v>1</v>
      </c>
      <c r="J5">
        <f t="shared" ca="1" si="2"/>
        <v>0.36535425301373448</v>
      </c>
      <c r="K5">
        <f t="shared" ca="1" si="1"/>
        <v>0</v>
      </c>
      <c r="M5" s="21">
        <v>1.2583057392117916</v>
      </c>
    </row>
    <row r="6" spans="2:15" x14ac:dyDescent="0.25">
      <c r="C6" t="s">
        <v>6</v>
      </c>
      <c r="D6">
        <f t="shared" ca="1" si="2"/>
        <v>0.58431926749678831</v>
      </c>
      <c r="E6" s="19">
        <f t="shared" ca="1" si="3"/>
        <v>1</v>
      </c>
      <c r="F6">
        <f t="shared" ca="1" si="2"/>
        <v>0.79926122686913426</v>
      </c>
      <c r="G6">
        <f t="shared" ca="1" si="3"/>
        <v>1</v>
      </c>
      <c r="H6">
        <f t="shared" ca="1" si="2"/>
        <v>0.10558339798909067</v>
      </c>
      <c r="I6" s="19">
        <f ca="1">1-E6</f>
        <v>0</v>
      </c>
      <c r="J6">
        <f t="shared" ca="1" si="2"/>
        <v>8.5064132161437933E-2</v>
      </c>
      <c r="K6">
        <f t="shared" ca="1" si="1"/>
        <v>0</v>
      </c>
      <c r="M6" s="21">
        <v>4.4347115652166904</v>
      </c>
    </row>
    <row r="7" spans="2:15" x14ac:dyDescent="0.25">
      <c r="C7" t="s">
        <v>7</v>
      </c>
      <c r="D7">
        <f t="shared" ca="1" si="2"/>
        <v>0.16956582431391798</v>
      </c>
      <c r="E7" s="19">
        <f t="shared" ca="1" si="3"/>
        <v>0</v>
      </c>
      <c r="F7">
        <f t="shared" ca="1" si="2"/>
        <v>9.2988361214666138E-2</v>
      </c>
      <c r="G7">
        <f t="shared" ca="1" si="3"/>
        <v>0</v>
      </c>
      <c r="H7">
        <f t="shared" ca="1" si="2"/>
        <v>0.68632892696758463</v>
      </c>
      <c r="I7" s="19">
        <f ca="1">1-E7</f>
        <v>1</v>
      </c>
      <c r="J7">
        <f t="shared" ca="1" si="2"/>
        <v>0.66424187017250447</v>
      </c>
      <c r="K7">
        <f t="shared" ca="1" si="1"/>
        <v>1</v>
      </c>
      <c r="M7" s="21">
        <v>1.2583057392117916</v>
      </c>
    </row>
    <row r="8" spans="2:15" x14ac:dyDescent="0.25">
      <c r="C8" t="s">
        <v>8</v>
      </c>
      <c r="D8">
        <f t="shared" ca="1" si="2"/>
        <v>0.75938641914946547</v>
      </c>
      <c r="E8" s="19">
        <f t="shared" ca="1" si="3"/>
        <v>1</v>
      </c>
      <c r="F8">
        <f t="shared" ca="1" si="2"/>
        <v>0.92537426711240511</v>
      </c>
      <c r="G8">
        <f t="shared" ca="1" si="3"/>
        <v>1</v>
      </c>
      <c r="H8">
        <f t="shared" ca="1" si="2"/>
        <v>4.0301690455542771E-2</v>
      </c>
      <c r="I8">
        <f t="shared" ca="1" si="4"/>
        <v>0</v>
      </c>
      <c r="J8">
        <f t="shared" ca="1" si="2"/>
        <v>0.77816572216546498</v>
      </c>
      <c r="K8" s="18">
        <f ca="1">1-E8</f>
        <v>0</v>
      </c>
      <c r="M8" s="21">
        <v>0.9574271077563381</v>
      </c>
    </row>
    <row r="9" spans="2:15" x14ac:dyDescent="0.25">
      <c r="C9" t="s">
        <v>9</v>
      </c>
      <c r="D9">
        <f t="shared" ca="1" si="2"/>
        <v>0.41279924196850659</v>
      </c>
      <c r="E9" s="19">
        <f t="shared" ca="1" si="3"/>
        <v>0</v>
      </c>
      <c r="F9">
        <f t="shared" ca="1" si="2"/>
        <v>0.22554293364599698</v>
      </c>
      <c r="G9">
        <f t="shared" ca="1" si="3"/>
        <v>0</v>
      </c>
      <c r="H9">
        <f t="shared" ca="1" si="2"/>
        <v>0.8786959216750353</v>
      </c>
      <c r="I9">
        <f t="shared" ca="1" si="4"/>
        <v>1</v>
      </c>
      <c r="J9">
        <f t="shared" ca="1" si="2"/>
        <v>0.21936522663630287</v>
      </c>
      <c r="K9" s="18">
        <f ca="1">1-E9</f>
        <v>1</v>
      </c>
      <c r="M9" s="21">
        <v>2.0615528128088303</v>
      </c>
    </row>
    <row r="10" spans="2:15" x14ac:dyDescent="0.25">
      <c r="C10" t="s">
        <v>10</v>
      </c>
      <c r="D10">
        <f t="shared" ca="1" si="2"/>
        <v>0.45619945775758752</v>
      </c>
      <c r="E10">
        <f t="shared" ca="1" si="3"/>
        <v>0</v>
      </c>
      <c r="F10">
        <f t="shared" ca="1" si="2"/>
        <v>0.5378488873339512</v>
      </c>
      <c r="G10" s="61">
        <f t="shared" ca="1" si="3"/>
        <v>1</v>
      </c>
      <c r="H10">
        <f t="shared" ca="1" si="2"/>
        <v>0.25434736564480476</v>
      </c>
      <c r="I10" s="61">
        <f ca="1">1-G10</f>
        <v>0</v>
      </c>
      <c r="J10">
        <f t="shared" ca="1" si="2"/>
        <v>0.29769215545387118</v>
      </c>
      <c r="K10">
        <f t="shared" ca="1" si="1"/>
        <v>0</v>
      </c>
      <c r="M10" s="21">
        <v>2.8722813232690143</v>
      </c>
    </row>
    <row r="11" spans="2:15" x14ac:dyDescent="0.25">
      <c r="C11" t="s">
        <v>11</v>
      </c>
      <c r="D11">
        <f t="shared" ca="1" si="2"/>
        <v>2.4407116462632161E-2</v>
      </c>
      <c r="E11">
        <f t="shared" ca="1" si="3"/>
        <v>0</v>
      </c>
      <c r="F11">
        <f t="shared" ca="1" si="2"/>
        <v>0.75340196829764439</v>
      </c>
      <c r="G11" s="61">
        <f t="shared" ca="1" si="3"/>
        <v>1</v>
      </c>
      <c r="H11">
        <f t="shared" ca="1" si="2"/>
        <v>0.35694699815359443</v>
      </c>
      <c r="I11" s="61">
        <f ca="1">1-G11</f>
        <v>0</v>
      </c>
      <c r="J11">
        <f t="shared" ca="1" si="2"/>
        <v>8.764309073743981E-2</v>
      </c>
      <c r="K11">
        <f t="shared" ca="1" si="1"/>
        <v>0</v>
      </c>
      <c r="M11" s="21">
        <v>3.2015621187164243</v>
      </c>
    </row>
    <row r="12" spans="2:15" x14ac:dyDescent="0.25">
      <c r="C12" t="s">
        <v>12</v>
      </c>
      <c r="D12">
        <f t="shared" ca="1" si="2"/>
        <v>0.31248286426036864</v>
      </c>
      <c r="E12">
        <f t="shared" ca="1" si="3"/>
        <v>0</v>
      </c>
      <c r="F12">
        <f t="shared" ca="1" si="2"/>
        <v>0.77622495285731108</v>
      </c>
      <c r="G12" s="61">
        <f t="shared" ca="1" si="3"/>
        <v>1</v>
      </c>
      <c r="H12">
        <f t="shared" ca="1" si="2"/>
        <v>0.58640078400024132</v>
      </c>
      <c r="I12">
        <f t="shared" ca="1" si="4"/>
        <v>1</v>
      </c>
      <c r="J12">
        <f t="shared" ca="1" si="2"/>
        <v>0.51868529093233451</v>
      </c>
      <c r="K12" s="61">
        <f ca="1">1-G12</f>
        <v>0</v>
      </c>
      <c r="M12" s="21">
        <v>1.5</v>
      </c>
    </row>
    <row r="13" spans="2:15" x14ac:dyDescent="0.25">
      <c r="C13" t="s">
        <v>13</v>
      </c>
      <c r="D13">
        <f t="shared" ca="1" si="2"/>
        <v>0.34697608060711349</v>
      </c>
      <c r="E13">
        <f t="shared" ca="1" si="3"/>
        <v>0</v>
      </c>
      <c r="F13">
        <f t="shared" ca="1" si="2"/>
        <v>0.44632241236467662</v>
      </c>
      <c r="G13" s="61">
        <f t="shared" ca="1" si="3"/>
        <v>0</v>
      </c>
      <c r="H13">
        <f t="shared" ca="1" si="2"/>
        <v>0.56740683015813942</v>
      </c>
      <c r="I13">
        <f t="shared" ca="1" si="4"/>
        <v>1</v>
      </c>
      <c r="J13">
        <f t="shared" ca="1" si="2"/>
        <v>0.60746094713660059</v>
      </c>
      <c r="K13" s="61">
        <f ca="1">1-G13</f>
        <v>1</v>
      </c>
      <c r="M13" s="21">
        <v>2.1602468994692869</v>
      </c>
    </row>
    <row r="14" spans="2:15" x14ac:dyDescent="0.25">
      <c r="C14" t="s">
        <v>14</v>
      </c>
      <c r="D14">
        <f t="shared" ca="1" si="2"/>
        <v>0.56454030409281197</v>
      </c>
      <c r="E14">
        <f t="shared" ca="1" si="3"/>
        <v>1</v>
      </c>
      <c r="F14">
        <f t="shared" ca="1" si="2"/>
        <v>0.15549933894006573</v>
      </c>
      <c r="G14">
        <f t="shared" ca="1" si="3"/>
        <v>0</v>
      </c>
      <c r="H14">
        <f t="shared" ca="1" si="2"/>
        <v>0.89147382758625948</v>
      </c>
      <c r="I14" s="1">
        <f t="shared" ca="1" si="4"/>
        <v>1</v>
      </c>
      <c r="J14">
        <f t="shared" ca="1" si="2"/>
        <v>0.59373018305037906</v>
      </c>
      <c r="K14" s="1">
        <f ca="1">1-I14</f>
        <v>0</v>
      </c>
      <c r="M14" s="21">
        <v>3.7749172176353749</v>
      </c>
    </row>
    <row r="15" spans="2:15" x14ac:dyDescent="0.25">
      <c r="C15" t="s">
        <v>15</v>
      </c>
      <c r="D15">
        <f t="shared" ca="1" si="2"/>
        <v>0.77895671200018513</v>
      </c>
      <c r="E15">
        <f t="shared" ca="1" si="3"/>
        <v>1</v>
      </c>
      <c r="F15">
        <f t="shared" ca="1" si="2"/>
        <v>0.21622039349878275</v>
      </c>
      <c r="G15">
        <f t="shared" ca="1" si="3"/>
        <v>0</v>
      </c>
      <c r="H15">
        <f t="shared" ca="1" si="2"/>
        <v>0.96151968986529679</v>
      </c>
      <c r="I15" s="1">
        <f t="shared" ca="1" si="4"/>
        <v>1</v>
      </c>
      <c r="J15">
        <f t="shared" ca="1" si="2"/>
        <v>0.69700213179065251</v>
      </c>
      <c r="K15" s="1">
        <f ca="1">1-I15</f>
        <v>0</v>
      </c>
      <c r="M15" s="21">
        <v>0.9574271077563381</v>
      </c>
    </row>
    <row r="16" spans="2:15" x14ac:dyDescent="0.25">
      <c r="C16" t="s">
        <v>16</v>
      </c>
      <c r="D16">
        <f t="shared" ca="1" si="2"/>
        <v>0.29914068637255387</v>
      </c>
      <c r="E16">
        <f t="shared" ca="1" si="3"/>
        <v>0</v>
      </c>
      <c r="F16">
        <f t="shared" ca="1" si="2"/>
        <v>0.55279979701977455</v>
      </c>
      <c r="G16">
        <f t="shared" ca="1" si="3"/>
        <v>1</v>
      </c>
      <c r="H16">
        <f t="shared" ca="1" si="2"/>
        <v>8.0679778413284331E-2</v>
      </c>
      <c r="I16">
        <f t="shared" ca="1" si="4"/>
        <v>0</v>
      </c>
      <c r="J16">
        <f t="shared" ca="1" si="2"/>
        <v>0.18012378722875777</v>
      </c>
      <c r="K16">
        <f t="shared" ca="1" si="1"/>
        <v>0</v>
      </c>
      <c r="M16" s="21">
        <v>0.81649658092772603</v>
      </c>
    </row>
    <row r="17" spans="2:13" x14ac:dyDescent="0.25">
      <c r="C17" t="s">
        <v>17</v>
      </c>
      <c r="D17">
        <f t="shared" ca="1" si="2"/>
        <v>0.2082333099772119</v>
      </c>
      <c r="E17">
        <f t="shared" ca="1" si="3"/>
        <v>0</v>
      </c>
      <c r="F17">
        <f t="shared" ca="1" si="2"/>
        <v>0.54577100371058607</v>
      </c>
      <c r="G17">
        <f t="shared" ca="1" si="3"/>
        <v>1</v>
      </c>
      <c r="H17">
        <f t="shared" ca="1" si="2"/>
        <v>0.69855137520602428</v>
      </c>
      <c r="I17">
        <f t="shared" ca="1" si="4"/>
        <v>1</v>
      </c>
      <c r="J17">
        <f t="shared" ca="1" si="2"/>
        <v>0.5408866183634603</v>
      </c>
      <c r="K17">
        <f t="shared" ca="1" si="1"/>
        <v>1</v>
      </c>
      <c r="M17" s="21">
        <v>0.9574271077563381</v>
      </c>
    </row>
    <row r="18" spans="2:13" x14ac:dyDescent="0.25">
      <c r="C18" t="s">
        <v>18</v>
      </c>
      <c r="D18">
        <f t="shared" ca="1" si="2"/>
        <v>0.78590142659024897</v>
      </c>
      <c r="E18">
        <f t="shared" ca="1" si="3"/>
        <v>1</v>
      </c>
      <c r="F18">
        <f t="shared" ca="1" si="2"/>
        <v>6.8232982952285415E-2</v>
      </c>
      <c r="G18">
        <f t="shared" ca="1" si="3"/>
        <v>0</v>
      </c>
      <c r="H18">
        <f t="shared" ca="1" si="2"/>
        <v>0.68359551324954293</v>
      </c>
      <c r="I18">
        <f t="shared" ca="1" si="4"/>
        <v>1</v>
      </c>
      <c r="J18">
        <f t="shared" ca="1" si="2"/>
        <v>0.27258401971806323</v>
      </c>
      <c r="K18">
        <f t="shared" ca="1" si="1"/>
        <v>0</v>
      </c>
      <c r="M18" s="21">
        <v>2.4494897427831779</v>
      </c>
    </row>
    <row r="19" spans="2:13" x14ac:dyDescent="0.25">
      <c r="C19" t="s">
        <v>19</v>
      </c>
      <c r="D19">
        <f t="shared" ca="1" si="2"/>
        <v>6.6970272021517618E-2</v>
      </c>
      <c r="E19">
        <f t="shared" ca="1" si="3"/>
        <v>0</v>
      </c>
      <c r="F19">
        <f t="shared" ca="1" si="2"/>
        <v>0.5086429831256013</v>
      </c>
      <c r="G19">
        <f t="shared" ca="1" si="3"/>
        <v>1</v>
      </c>
      <c r="H19">
        <f t="shared" ca="1" si="2"/>
        <v>0.55872388603840817</v>
      </c>
      <c r="I19">
        <f t="shared" ca="1" si="4"/>
        <v>1</v>
      </c>
      <c r="J19">
        <f t="shared" ca="1" si="2"/>
        <v>0.79474659077797483</v>
      </c>
      <c r="K19">
        <f t="shared" ca="1" si="1"/>
        <v>1</v>
      </c>
      <c r="M19" s="21">
        <v>2.5</v>
      </c>
    </row>
    <row r="20" spans="2:13" x14ac:dyDescent="0.25">
      <c r="L20" s="18" t="s">
        <v>33</v>
      </c>
      <c r="M20" s="21">
        <v>1.4142135623730951</v>
      </c>
    </row>
    <row r="21" spans="2:13" x14ac:dyDescent="0.25">
      <c r="D21" s="1"/>
      <c r="E21" s="1">
        <f ca="1">SUM(E4:E19)</f>
        <v>6</v>
      </c>
      <c r="F21" s="1"/>
      <c r="G21" s="1">
        <f ca="1">SUM(G4:G19)</f>
        <v>9</v>
      </c>
      <c r="H21" s="1"/>
      <c r="I21" s="1">
        <f ca="1">SUM(I4:I19)</f>
        <v>10</v>
      </c>
      <c r="J21" s="1"/>
      <c r="K21" s="1">
        <f ca="1">SUM(K4:K19)</f>
        <v>5</v>
      </c>
      <c r="L21" s="23">
        <f ca="1">STDEV(E21:K21)</f>
        <v>2.3804761428476167</v>
      </c>
      <c r="M21" s="21">
        <v>2.5166114784235831</v>
      </c>
    </row>
    <row r="22" spans="2:13" x14ac:dyDescent="0.25">
      <c r="K22" s="16" t="s">
        <v>37</v>
      </c>
      <c r="M22" s="21">
        <v>1.6329931618554521</v>
      </c>
    </row>
    <row r="23" spans="2:13" ht="13" thickBot="1" x14ac:dyDescent="0.3">
      <c r="K23" s="16" t="s">
        <v>36</v>
      </c>
      <c r="M23" s="21">
        <v>2.6299556396765835</v>
      </c>
    </row>
    <row r="24" spans="2:13" x14ac:dyDescent="0.25">
      <c r="B24" s="17" t="s">
        <v>27</v>
      </c>
      <c r="C24" s="24" t="s">
        <v>20</v>
      </c>
      <c r="D24" s="2"/>
      <c r="E24" s="3"/>
      <c r="K24" s="16" t="s">
        <v>110</v>
      </c>
      <c r="M24" s="21">
        <v>2.1602468994692869</v>
      </c>
    </row>
    <row r="25" spans="2:13" x14ac:dyDescent="0.25">
      <c r="C25" s="4"/>
      <c r="D25" s="5" t="s">
        <v>21</v>
      </c>
      <c r="E25" s="6" t="s">
        <v>22</v>
      </c>
      <c r="F25" s="16" t="s">
        <v>35</v>
      </c>
      <c r="M25" s="21">
        <v>3.4034296427770228</v>
      </c>
    </row>
    <row r="26" spans="2:13" ht="13" thickBot="1" x14ac:dyDescent="0.3">
      <c r="C26" s="4" t="s">
        <v>23</v>
      </c>
      <c r="D26" s="14">
        <v>12</v>
      </c>
      <c r="E26" s="15">
        <v>8</v>
      </c>
      <c r="F26">
        <f>(D26-E26)^2</f>
        <v>16</v>
      </c>
      <c r="I26" s="16"/>
      <c r="M26" s="21">
        <v>1.1547005383792515</v>
      </c>
    </row>
    <row r="27" spans="2:13" ht="13" thickBot="1" x14ac:dyDescent="0.3">
      <c r="C27" s="4" t="s">
        <v>24</v>
      </c>
      <c r="D27" s="14">
        <v>10</v>
      </c>
      <c r="E27" s="15">
        <v>8</v>
      </c>
      <c r="F27">
        <f t="shared" ref="F27:F29" si="5">(D27-E27)^2</f>
        <v>4</v>
      </c>
      <c r="M27" s="21">
        <v>2.3629078131263039</v>
      </c>
    </row>
    <row r="28" spans="2:13" ht="13" thickBot="1" x14ac:dyDescent="0.3">
      <c r="C28" s="4" t="s">
        <v>25</v>
      </c>
      <c r="D28" s="14">
        <v>7</v>
      </c>
      <c r="E28" s="15">
        <v>8</v>
      </c>
      <c r="F28">
        <f t="shared" si="5"/>
        <v>1</v>
      </c>
      <c r="M28" s="21">
        <v>2.9439202887759488</v>
      </c>
    </row>
    <row r="29" spans="2:13" ht="13" thickBot="1" x14ac:dyDescent="0.3">
      <c r="C29" s="4" t="s">
        <v>26</v>
      </c>
      <c r="D29" s="14">
        <v>5</v>
      </c>
      <c r="E29" s="15">
        <v>8</v>
      </c>
      <c r="F29">
        <f t="shared" si="5"/>
        <v>9</v>
      </c>
      <c r="I29" s="25"/>
      <c r="M29" s="21">
        <v>1.4142135623730951</v>
      </c>
    </row>
    <row r="30" spans="2:13" x14ac:dyDescent="0.25">
      <c r="C30" s="4"/>
      <c r="D30" s="5"/>
      <c r="E30" s="6"/>
      <c r="M30" s="21">
        <v>1.7320508075688772</v>
      </c>
    </row>
    <row r="31" spans="2:13" ht="13" thickBot="1" x14ac:dyDescent="0.3">
      <c r="C31" s="7"/>
      <c r="D31" s="8"/>
      <c r="E31" s="9"/>
      <c r="F31">
        <f>SUM(F26:F29)/8</f>
        <v>3.75</v>
      </c>
      <c r="M31" s="21">
        <v>1.5</v>
      </c>
    </row>
    <row r="32" spans="2:13" x14ac:dyDescent="0.25">
      <c r="E32" s="18" t="s">
        <v>30</v>
      </c>
      <c r="F32" s="19">
        <f>CHIDIST(F31,3)</f>
        <v>0.2897557811933833</v>
      </c>
      <c r="G32" s="16" t="s">
        <v>31</v>
      </c>
      <c r="M32" s="21">
        <v>2.0615528128088303</v>
      </c>
    </row>
    <row r="33" spans="5:13" x14ac:dyDescent="0.25">
      <c r="M33" s="21">
        <v>1.8257418583505538</v>
      </c>
    </row>
    <row r="34" spans="5:13" x14ac:dyDescent="0.25">
      <c r="E34" s="18" t="s">
        <v>29</v>
      </c>
      <c r="F34" s="19">
        <f>CHITEST(D26:D29,E26:E29)</f>
        <v>0.2897557811933833</v>
      </c>
      <c r="M34" s="21">
        <v>0.9574271077563381</v>
      </c>
    </row>
    <row r="35" spans="5:13" x14ac:dyDescent="0.25">
      <c r="M35" s="21">
        <v>0.9574271077563381</v>
      </c>
    </row>
    <row r="36" spans="5:13" x14ac:dyDescent="0.25">
      <c r="M36" s="21">
        <v>3.3040379335998349</v>
      </c>
    </row>
    <row r="37" spans="5:13" x14ac:dyDescent="0.25">
      <c r="M37" s="21">
        <v>2.6457513110645907</v>
      </c>
    </row>
    <row r="38" spans="5:13" x14ac:dyDescent="0.25">
      <c r="M38" s="21">
        <v>2.1602468994692869</v>
      </c>
    </row>
    <row r="39" spans="5:13" x14ac:dyDescent="0.25">
      <c r="M39" s="21">
        <v>0.5</v>
      </c>
    </row>
    <row r="40" spans="5:13" x14ac:dyDescent="0.25">
      <c r="M40" s="21">
        <v>1.5</v>
      </c>
    </row>
    <row r="41" spans="5:13" x14ac:dyDescent="0.25">
      <c r="M41" s="21">
        <v>0.57735026918962573</v>
      </c>
    </row>
    <row r="42" spans="5:13" x14ac:dyDescent="0.25">
      <c r="M42" s="21">
        <v>1.4142135623730951</v>
      </c>
    </row>
    <row r="43" spans="5:13" x14ac:dyDescent="0.25">
      <c r="M43" s="21">
        <v>1.4142135623730951</v>
      </c>
    </row>
    <row r="44" spans="5:13" x14ac:dyDescent="0.25">
      <c r="M44" s="21">
        <v>2.5819888974716112</v>
      </c>
    </row>
    <row r="45" spans="5:13" x14ac:dyDescent="0.25">
      <c r="M45" s="21">
        <v>0.9574271077563381</v>
      </c>
    </row>
    <row r="46" spans="5:13" x14ac:dyDescent="0.25">
      <c r="M46" s="21">
        <v>0.9574271077563381</v>
      </c>
    </row>
    <row r="47" spans="5:13" x14ac:dyDescent="0.25">
      <c r="M47" s="21">
        <v>1.5</v>
      </c>
    </row>
    <row r="48" spans="5:13" x14ac:dyDescent="0.25">
      <c r="M48" s="21">
        <v>3.4641016151377544</v>
      </c>
    </row>
    <row r="49" spans="13:13" x14ac:dyDescent="0.25">
      <c r="M49" s="21">
        <v>1.707825127659933</v>
      </c>
    </row>
    <row r="50" spans="13:13" x14ac:dyDescent="0.25">
      <c r="M50" s="21">
        <v>1.8929694486000912</v>
      </c>
    </row>
    <row r="51" spans="13:13" x14ac:dyDescent="0.25">
      <c r="M51" s="21">
        <v>2.6457513110645907</v>
      </c>
    </row>
    <row r="52" spans="13:13" x14ac:dyDescent="0.25">
      <c r="M52" s="21">
        <v>1.2909944487358056</v>
      </c>
    </row>
    <row r="53" spans="13:13" x14ac:dyDescent="0.25">
      <c r="M53" s="21">
        <v>1.2583057392117916</v>
      </c>
    </row>
    <row r="54" spans="13:13" x14ac:dyDescent="0.25">
      <c r="M54" s="21">
        <v>1.707825127659933</v>
      </c>
    </row>
    <row r="55" spans="13:13" x14ac:dyDescent="0.25">
      <c r="M55" s="21">
        <v>3.2015621187164243</v>
      </c>
    </row>
    <row r="56" spans="13:13" x14ac:dyDescent="0.25">
      <c r="M56" s="21">
        <v>0.9574271077563381</v>
      </c>
    </row>
    <row r="57" spans="13:13" x14ac:dyDescent="0.25">
      <c r="M57" s="21">
        <v>0.9574271077563381</v>
      </c>
    </row>
    <row r="58" spans="13:13" x14ac:dyDescent="0.25">
      <c r="M58" s="21">
        <v>2.4494897427831779</v>
      </c>
    </row>
    <row r="59" spans="13:13" x14ac:dyDescent="0.25">
      <c r="M59" s="21">
        <v>1.8929694486000912</v>
      </c>
    </row>
    <row r="60" spans="13:13" x14ac:dyDescent="0.25">
      <c r="M60" s="21">
        <v>1.2909944487358056</v>
      </c>
    </row>
    <row r="61" spans="13:13" x14ac:dyDescent="0.25">
      <c r="M61" s="21">
        <v>1.2909944487358056</v>
      </c>
    </row>
    <row r="62" spans="13:13" x14ac:dyDescent="0.25">
      <c r="M62" s="21">
        <v>2.0816659994661326</v>
      </c>
    </row>
    <row r="63" spans="13:13" x14ac:dyDescent="0.25">
      <c r="M63" s="21">
        <v>2.6457513110645907</v>
      </c>
    </row>
    <row r="64" spans="13:13" x14ac:dyDescent="0.25">
      <c r="M64" s="21">
        <v>2.5</v>
      </c>
    </row>
    <row r="65" spans="13:13" x14ac:dyDescent="0.25">
      <c r="M65" s="21">
        <v>2.2173557826083452</v>
      </c>
    </row>
    <row r="66" spans="13:13" x14ac:dyDescent="0.25">
      <c r="M66" s="21">
        <v>2.4494897427831779</v>
      </c>
    </row>
    <row r="67" spans="13:13" x14ac:dyDescent="0.25">
      <c r="M67" s="21">
        <v>1.7320508075688772</v>
      </c>
    </row>
    <row r="68" spans="13:13" x14ac:dyDescent="0.25">
      <c r="M68" s="21">
        <v>3.3040379335998349</v>
      </c>
    </row>
    <row r="69" spans="13:13" x14ac:dyDescent="0.25">
      <c r="M69" s="21">
        <v>1.707825127659933</v>
      </c>
    </row>
    <row r="70" spans="13:13" x14ac:dyDescent="0.25">
      <c r="M70" s="21">
        <v>1.4142135623730951</v>
      </c>
    </row>
    <row r="71" spans="13:13" x14ac:dyDescent="0.25">
      <c r="M71" s="21">
        <v>2.0816659994661326</v>
      </c>
    </row>
    <row r="72" spans="13:13" x14ac:dyDescent="0.25">
      <c r="M72" s="21">
        <v>1.8257418583505538</v>
      </c>
    </row>
    <row r="73" spans="13:13" x14ac:dyDescent="0.25">
      <c r="M73" s="21">
        <v>3.872983346207417</v>
      </c>
    </row>
    <row r="74" spans="13:13" x14ac:dyDescent="0.25">
      <c r="M74" s="21">
        <v>1.8257418583505538</v>
      </c>
    </row>
    <row r="75" spans="13:13" x14ac:dyDescent="0.25">
      <c r="M75" s="21">
        <v>1.707825127659933</v>
      </c>
    </row>
    <row r="76" spans="13:13" x14ac:dyDescent="0.25">
      <c r="M76" s="21">
        <v>1.2583057392117916</v>
      </c>
    </row>
    <row r="77" spans="13:13" x14ac:dyDescent="0.25">
      <c r="M77" s="21">
        <v>2.0615528128088303</v>
      </c>
    </row>
    <row r="78" spans="13:13" x14ac:dyDescent="0.25">
      <c r="M78" s="21">
        <v>1.2583057392117916</v>
      </c>
    </row>
    <row r="79" spans="13:13" x14ac:dyDescent="0.25">
      <c r="M79" s="21">
        <v>2.3804761428476167</v>
      </c>
    </row>
    <row r="80" spans="13:13" x14ac:dyDescent="0.25">
      <c r="M80" s="21">
        <v>2.5</v>
      </c>
    </row>
    <row r="81" spans="13:13" x14ac:dyDescent="0.25">
      <c r="M81" s="21">
        <v>2.6457513110645907</v>
      </c>
    </row>
    <row r="82" spans="13:13" x14ac:dyDescent="0.25">
      <c r="M82" s="21">
        <v>2.6299556396765835</v>
      </c>
    </row>
    <row r="83" spans="13:13" x14ac:dyDescent="0.25">
      <c r="M83" s="21">
        <v>2.9439202887759488</v>
      </c>
    </row>
    <row r="84" spans="13:13" x14ac:dyDescent="0.25">
      <c r="M84" s="21">
        <v>2.3804761428476167</v>
      </c>
    </row>
    <row r="85" spans="13:13" x14ac:dyDescent="0.25">
      <c r="M85" s="21">
        <v>1.707825127659933</v>
      </c>
    </row>
    <row r="86" spans="13:13" x14ac:dyDescent="0.25">
      <c r="M86" s="21">
        <v>3.5939764421413041</v>
      </c>
    </row>
    <row r="87" spans="13:13" x14ac:dyDescent="0.25">
      <c r="M87" s="21">
        <v>2.0615528128088303</v>
      </c>
    </row>
    <row r="88" spans="13:13" x14ac:dyDescent="0.25">
      <c r="M88" s="21">
        <v>1.4142135623730951</v>
      </c>
    </row>
    <row r="89" spans="13:13" x14ac:dyDescent="0.25">
      <c r="M89" s="21">
        <v>0.9574271077563381</v>
      </c>
    </row>
    <row r="90" spans="13:13" x14ac:dyDescent="0.25">
      <c r="M90" s="21">
        <v>0.81649658092772603</v>
      </c>
    </row>
    <row r="91" spans="13:13" x14ac:dyDescent="0.25">
      <c r="M91" s="21">
        <v>0.57735026918962573</v>
      </c>
    </row>
    <row r="92" spans="13:13" x14ac:dyDescent="0.25">
      <c r="M92" s="21">
        <v>2.3629078131263039</v>
      </c>
    </row>
    <row r="93" spans="13:13" x14ac:dyDescent="0.25">
      <c r="M93" s="21">
        <v>1.4142135623730951</v>
      </c>
    </row>
    <row r="94" spans="13:13" x14ac:dyDescent="0.25">
      <c r="M94" s="21">
        <v>3</v>
      </c>
    </row>
    <row r="95" spans="13:13" x14ac:dyDescent="0.25">
      <c r="M95" s="21">
        <v>2.8284271247461903</v>
      </c>
    </row>
    <row r="96" spans="13:13" x14ac:dyDescent="0.25">
      <c r="M96" s="21">
        <v>1.707825127659933</v>
      </c>
    </row>
    <row r="97" spans="13:13" x14ac:dyDescent="0.25">
      <c r="M97" s="21">
        <v>0.9574271077563381</v>
      </c>
    </row>
    <row r="98" spans="13:13" x14ac:dyDescent="0.25">
      <c r="M98" s="21">
        <v>1.2583057392117916</v>
      </c>
    </row>
    <row r="99" spans="13:13" x14ac:dyDescent="0.25">
      <c r="M99" s="21">
        <v>2.6299556396765835</v>
      </c>
    </row>
    <row r="100" spans="13:13" x14ac:dyDescent="0.25">
      <c r="M100" s="21">
        <v>0.81649658092772603</v>
      </c>
    </row>
    <row r="101" spans="13:13" x14ac:dyDescent="0.25">
      <c r="M101" s="21">
        <v>1.7320508075688772</v>
      </c>
    </row>
    <row r="102" spans="13:13" x14ac:dyDescent="0.25">
      <c r="M102" s="21">
        <v>2.0816659994661326</v>
      </c>
    </row>
    <row r="103" spans="13:13" x14ac:dyDescent="0.25">
      <c r="M103" s="21">
        <v>1.5</v>
      </c>
    </row>
    <row r="104" spans="13:13" x14ac:dyDescent="0.25">
      <c r="M104" s="21">
        <v>2.3804761428476167</v>
      </c>
    </row>
    <row r="105" spans="13:13" x14ac:dyDescent="0.25">
      <c r="M105" s="21">
        <v>0.5</v>
      </c>
    </row>
    <row r="106" spans="13:13" x14ac:dyDescent="0.25">
      <c r="M106" s="21">
        <v>2.6299556396765835</v>
      </c>
    </row>
    <row r="107" spans="13:13" x14ac:dyDescent="0.25">
      <c r="M107" s="21">
        <v>1.707825127659933</v>
      </c>
    </row>
    <row r="108" spans="13:13" x14ac:dyDescent="0.25">
      <c r="M108" s="21">
        <v>3.5590260840104371</v>
      </c>
    </row>
    <row r="109" spans="13:13" x14ac:dyDescent="0.25">
      <c r="M109" s="21">
        <v>0.81649658092772603</v>
      </c>
    </row>
    <row r="110" spans="13:13" x14ac:dyDescent="0.25">
      <c r="M110" s="21">
        <v>2.0816659994661326</v>
      </c>
    </row>
    <row r="111" spans="13:13" x14ac:dyDescent="0.25">
      <c r="M111" s="21">
        <v>1.9148542155126762</v>
      </c>
    </row>
    <row r="112" spans="13:13" x14ac:dyDescent="0.25">
      <c r="M112" s="21">
        <v>2.753785273643051</v>
      </c>
    </row>
    <row r="113" spans="13:13" x14ac:dyDescent="0.25">
      <c r="M113" s="21">
        <v>1</v>
      </c>
    </row>
    <row r="114" spans="13:13" x14ac:dyDescent="0.25">
      <c r="M114" s="21">
        <v>0.9574271077563381</v>
      </c>
    </row>
    <row r="115" spans="13:13" x14ac:dyDescent="0.25">
      <c r="M115" s="21">
        <v>2.9860788111948193</v>
      </c>
    </row>
    <row r="116" spans="13:13" x14ac:dyDescent="0.25">
      <c r="M116" s="21">
        <v>1.2909944487358056</v>
      </c>
    </row>
    <row r="117" spans="13:13" x14ac:dyDescent="0.25">
      <c r="M117" s="21">
        <v>3.1622776601683795</v>
      </c>
    </row>
    <row r="118" spans="13:13" x14ac:dyDescent="0.25">
      <c r="M118" s="21">
        <v>0.9574271077563381</v>
      </c>
    </row>
    <row r="119" spans="13:13" x14ac:dyDescent="0.25">
      <c r="M119" s="21">
        <v>1.7320508075688772</v>
      </c>
    </row>
    <row r="120" spans="13:13" x14ac:dyDescent="0.25">
      <c r="M120" s="21">
        <v>1.707825127659933</v>
      </c>
    </row>
    <row r="121" spans="13:13" x14ac:dyDescent="0.25">
      <c r="M121" s="21">
        <v>2.0615528128088303</v>
      </c>
    </row>
    <row r="122" spans="13:13" x14ac:dyDescent="0.25">
      <c r="M122" s="21">
        <v>1.5</v>
      </c>
    </row>
    <row r="123" spans="13:13" x14ac:dyDescent="0.25">
      <c r="M123" s="21">
        <v>1.707825127659933</v>
      </c>
    </row>
    <row r="124" spans="13:13" x14ac:dyDescent="0.25">
      <c r="M124" s="21">
        <v>2.8722813232690143</v>
      </c>
    </row>
    <row r="125" spans="13:13" x14ac:dyDescent="0.25">
      <c r="M125" s="21">
        <v>0.5</v>
      </c>
    </row>
    <row r="126" spans="13:13" x14ac:dyDescent="0.25">
      <c r="M126" s="21">
        <v>2.2173557826083452</v>
      </c>
    </row>
    <row r="127" spans="13:13" x14ac:dyDescent="0.25">
      <c r="M127" s="21">
        <v>2.2173557826083452</v>
      </c>
    </row>
    <row r="128" spans="13:13" x14ac:dyDescent="0.25">
      <c r="M128" s="21">
        <v>2.5819888974716112</v>
      </c>
    </row>
    <row r="129" spans="13:13" x14ac:dyDescent="0.25">
      <c r="M129" s="21">
        <v>2.0615528128088303</v>
      </c>
    </row>
    <row r="130" spans="13:13" x14ac:dyDescent="0.25">
      <c r="M130" s="21">
        <v>3.5590260840104371</v>
      </c>
    </row>
    <row r="131" spans="13:13" x14ac:dyDescent="0.25">
      <c r="M131" s="21">
        <v>2.5</v>
      </c>
    </row>
    <row r="132" spans="13:13" x14ac:dyDescent="0.25">
      <c r="M132" s="21">
        <v>0.9574271077563381</v>
      </c>
    </row>
    <row r="133" spans="13:13" x14ac:dyDescent="0.25">
      <c r="M133" s="21">
        <v>0.81649658092772603</v>
      </c>
    </row>
    <row r="134" spans="13:13" x14ac:dyDescent="0.25">
      <c r="M134" s="21">
        <v>1.7320508075688772</v>
      </c>
    </row>
    <row r="135" spans="13:13" x14ac:dyDescent="0.25">
      <c r="M135" s="21">
        <v>2.6457513110645907</v>
      </c>
    </row>
    <row r="136" spans="13:13" x14ac:dyDescent="0.25">
      <c r="M136" s="21">
        <v>3.1091263510296048</v>
      </c>
    </row>
    <row r="137" spans="13:13" x14ac:dyDescent="0.25">
      <c r="M137" s="21">
        <v>1.2909944487358056</v>
      </c>
    </row>
    <row r="138" spans="13:13" x14ac:dyDescent="0.25">
      <c r="M138" s="21">
        <v>1.7320508075688772</v>
      </c>
    </row>
    <row r="139" spans="13:13" x14ac:dyDescent="0.25">
      <c r="M139" s="21">
        <v>1</v>
      </c>
    </row>
    <row r="140" spans="13:13" x14ac:dyDescent="0.25">
      <c r="M140" s="21">
        <v>1.2583057392117916</v>
      </c>
    </row>
    <row r="141" spans="13:13" x14ac:dyDescent="0.25">
      <c r="M141" s="21">
        <v>3.5118845842842465</v>
      </c>
    </row>
    <row r="142" spans="13:13" x14ac:dyDescent="0.25">
      <c r="M142" s="21">
        <v>2.9439202887759488</v>
      </c>
    </row>
    <row r="143" spans="13:13" x14ac:dyDescent="0.25">
      <c r="M143" s="21">
        <v>1.6329931618554521</v>
      </c>
    </row>
    <row r="144" spans="13:13" x14ac:dyDescent="0.25">
      <c r="M144" s="21">
        <v>1.2909944487358056</v>
      </c>
    </row>
    <row r="145" spans="13:13" x14ac:dyDescent="0.25">
      <c r="M145" s="21">
        <v>2.2173557826083452</v>
      </c>
    </row>
    <row r="146" spans="13:13" x14ac:dyDescent="0.25">
      <c r="M146" s="21">
        <v>3.1622776601683795</v>
      </c>
    </row>
    <row r="147" spans="13:13" x14ac:dyDescent="0.25">
      <c r="M147" s="21">
        <v>2.9860788111948193</v>
      </c>
    </row>
    <row r="148" spans="13:13" x14ac:dyDescent="0.25">
      <c r="M148" s="21">
        <v>1.9148542155126762</v>
      </c>
    </row>
    <row r="149" spans="13:13" x14ac:dyDescent="0.25">
      <c r="M149" s="21">
        <v>2.9860788111948193</v>
      </c>
    </row>
    <row r="150" spans="13:13" x14ac:dyDescent="0.25">
      <c r="M150" s="21">
        <v>1.9148542155126762</v>
      </c>
    </row>
    <row r="151" spans="13:13" x14ac:dyDescent="0.25">
      <c r="M151" s="21">
        <v>1.5</v>
      </c>
    </row>
    <row r="152" spans="13:13" x14ac:dyDescent="0.25">
      <c r="M152" s="21">
        <v>1.5</v>
      </c>
    </row>
    <row r="153" spans="13:13" x14ac:dyDescent="0.25">
      <c r="M153" s="21">
        <v>1.5</v>
      </c>
    </row>
    <row r="154" spans="13:13" x14ac:dyDescent="0.25">
      <c r="M154" s="21">
        <v>1.2909944487358056</v>
      </c>
    </row>
    <row r="155" spans="13:13" x14ac:dyDescent="0.25">
      <c r="M155" s="21">
        <v>3.1622776601683795</v>
      </c>
    </row>
    <row r="156" spans="13:13" x14ac:dyDescent="0.25">
      <c r="M156" s="21">
        <v>2.8722813232690143</v>
      </c>
    </row>
    <row r="157" spans="13:13" x14ac:dyDescent="0.25">
      <c r="M157" s="21">
        <v>0.9574271077563381</v>
      </c>
    </row>
    <row r="158" spans="13:13" x14ac:dyDescent="0.25">
      <c r="M158" s="21">
        <v>1</v>
      </c>
    </row>
    <row r="159" spans="13:13" x14ac:dyDescent="0.25">
      <c r="M159" s="21">
        <v>1.7320508075688772</v>
      </c>
    </row>
    <row r="160" spans="13:13" x14ac:dyDescent="0.25">
      <c r="M160" s="21">
        <v>2.0615528128088303</v>
      </c>
    </row>
    <row r="161" spans="13:13" x14ac:dyDescent="0.25">
      <c r="M161" s="21">
        <v>2.6457513110645907</v>
      </c>
    </row>
    <row r="162" spans="13:13" x14ac:dyDescent="0.25">
      <c r="M162" s="21">
        <v>2.4494897427831779</v>
      </c>
    </row>
    <row r="163" spans="13:13" x14ac:dyDescent="0.25">
      <c r="M163" s="21">
        <v>2.6457513110645907</v>
      </c>
    </row>
    <row r="164" spans="13:13" x14ac:dyDescent="0.25">
      <c r="M164" s="21">
        <v>0.81649658092772603</v>
      </c>
    </row>
    <row r="165" spans="13:13" x14ac:dyDescent="0.25">
      <c r="M165" s="21">
        <v>2.70801280154532</v>
      </c>
    </row>
    <row r="166" spans="13:13" x14ac:dyDescent="0.25">
      <c r="M166" s="21">
        <v>2.1602468994692869</v>
      </c>
    </row>
    <row r="167" spans="13:13" x14ac:dyDescent="0.25">
      <c r="M167" s="21">
        <v>1.707825127659933</v>
      </c>
    </row>
    <row r="168" spans="13:13" x14ac:dyDescent="0.25">
      <c r="M168" s="21">
        <v>1.2909944487358056</v>
      </c>
    </row>
    <row r="169" spans="13:13" x14ac:dyDescent="0.25">
      <c r="M169" s="21">
        <v>1.707825127659933</v>
      </c>
    </row>
    <row r="170" spans="13:13" x14ac:dyDescent="0.25">
      <c r="M170" s="21">
        <v>2.1602468994692869</v>
      </c>
    </row>
    <row r="171" spans="13:13" x14ac:dyDescent="0.25">
      <c r="M171" s="21">
        <v>1.4142135623730951</v>
      </c>
    </row>
    <row r="172" spans="13:13" x14ac:dyDescent="0.25">
      <c r="M172" s="21">
        <v>1.707825127659933</v>
      </c>
    </row>
    <row r="173" spans="13:13" x14ac:dyDescent="0.25">
      <c r="M173" s="21">
        <v>1</v>
      </c>
    </row>
    <row r="174" spans="13:13" x14ac:dyDescent="0.25">
      <c r="M174" s="21">
        <v>2.6299556396765835</v>
      </c>
    </row>
    <row r="175" spans="13:13" x14ac:dyDescent="0.25">
      <c r="M175" s="21">
        <v>1.2909944487358056</v>
      </c>
    </row>
    <row r="176" spans="13:13" x14ac:dyDescent="0.25">
      <c r="M176" s="21">
        <v>1.707825127659933</v>
      </c>
    </row>
    <row r="177" spans="13:13" x14ac:dyDescent="0.25">
      <c r="M177" s="21">
        <v>3.1622776601683795</v>
      </c>
    </row>
    <row r="178" spans="13:13" x14ac:dyDescent="0.25">
      <c r="M178" s="21">
        <v>1.2583057392117916</v>
      </c>
    </row>
    <row r="179" spans="13:13" x14ac:dyDescent="0.25">
      <c r="M179" s="21">
        <v>1.5</v>
      </c>
    </row>
    <row r="180" spans="13:13" x14ac:dyDescent="0.25">
      <c r="M180" s="21">
        <v>4.1932485418030412</v>
      </c>
    </row>
    <row r="181" spans="13:13" x14ac:dyDescent="0.25">
      <c r="M181" s="21">
        <v>1.7320508075688772</v>
      </c>
    </row>
    <row r="182" spans="13:13" x14ac:dyDescent="0.25">
      <c r="M182" s="21">
        <v>1.5</v>
      </c>
    </row>
    <row r="183" spans="13:13" x14ac:dyDescent="0.25">
      <c r="M183" s="21">
        <v>2.0816659994661326</v>
      </c>
    </row>
    <row r="184" spans="13:13" x14ac:dyDescent="0.25">
      <c r="M184" s="21">
        <v>2.9439202887759488</v>
      </c>
    </row>
    <row r="185" spans="13:13" x14ac:dyDescent="0.25">
      <c r="M185" s="21">
        <v>3</v>
      </c>
    </row>
    <row r="186" spans="13:13" x14ac:dyDescent="0.25">
      <c r="M186" s="21">
        <v>0.5</v>
      </c>
    </row>
    <row r="187" spans="13:13" x14ac:dyDescent="0.25">
      <c r="M187" s="21">
        <v>1.2909944487358056</v>
      </c>
    </row>
    <row r="188" spans="13:13" x14ac:dyDescent="0.25">
      <c r="M188" s="21">
        <v>2.2173557826083452</v>
      </c>
    </row>
    <row r="189" spans="13:13" x14ac:dyDescent="0.25">
      <c r="M189" s="21">
        <v>1.8257418583505538</v>
      </c>
    </row>
    <row r="190" spans="13:13" x14ac:dyDescent="0.25">
      <c r="M190" s="21">
        <v>0.9574271077563381</v>
      </c>
    </row>
    <row r="191" spans="13:13" x14ac:dyDescent="0.25">
      <c r="M191" s="21">
        <v>0.5</v>
      </c>
    </row>
    <row r="192" spans="13:13" x14ac:dyDescent="0.25">
      <c r="M192" s="21">
        <v>0.81649658092772603</v>
      </c>
    </row>
    <row r="193" spans="13:13" x14ac:dyDescent="0.25">
      <c r="M193" s="21">
        <v>1.5</v>
      </c>
    </row>
    <row r="194" spans="13:13" x14ac:dyDescent="0.25">
      <c r="M194" s="21">
        <v>2.1602468994692869</v>
      </c>
    </row>
    <row r="195" spans="13:13" x14ac:dyDescent="0.25">
      <c r="M195" s="21">
        <v>1.8257418583505538</v>
      </c>
    </row>
    <row r="196" spans="13:13" x14ac:dyDescent="0.25">
      <c r="M196" s="21">
        <v>2.8722813232690143</v>
      </c>
    </row>
    <row r="197" spans="13:13" x14ac:dyDescent="0.25">
      <c r="M197" s="21">
        <v>1.4142135623730951</v>
      </c>
    </row>
    <row r="198" spans="13:13" x14ac:dyDescent="0.25">
      <c r="M198" s="21">
        <v>1.707825127659933</v>
      </c>
    </row>
    <row r="199" spans="13:13" x14ac:dyDescent="0.25">
      <c r="M199" s="21">
        <v>1.2909944487358056</v>
      </c>
    </row>
    <row r="200" spans="13:13" x14ac:dyDescent="0.25">
      <c r="M200" s="21">
        <v>0.81649658092772603</v>
      </c>
    </row>
    <row r="201" spans="13:13" x14ac:dyDescent="0.25">
      <c r="M201" s="21">
        <v>1.7320508075688772</v>
      </c>
    </row>
    <row r="202" spans="13:13" x14ac:dyDescent="0.25">
      <c r="M202" s="21">
        <v>1.7320508075688772</v>
      </c>
    </row>
    <row r="203" spans="13:13" x14ac:dyDescent="0.25">
      <c r="M203" s="21">
        <v>1.2583057392117916</v>
      </c>
    </row>
    <row r="204" spans="13:13" x14ac:dyDescent="0.25">
      <c r="M204" s="21">
        <v>2.4494897427831779</v>
      </c>
    </row>
    <row r="205" spans="13:13" x14ac:dyDescent="0.25">
      <c r="M205" s="21"/>
    </row>
    <row r="206" spans="13:13" x14ac:dyDescent="0.25">
      <c r="M206" s="21"/>
    </row>
    <row r="207" spans="13:13" x14ac:dyDescent="0.25">
      <c r="M207" s="21"/>
    </row>
    <row r="208" spans="13:13" x14ac:dyDescent="0.25">
      <c r="M208" s="21"/>
    </row>
    <row r="209" spans="13:13" x14ac:dyDescent="0.25">
      <c r="M209" s="21"/>
    </row>
    <row r="210" spans="13:13" x14ac:dyDescent="0.25">
      <c r="M210" s="21"/>
    </row>
    <row r="211" spans="13:13" x14ac:dyDescent="0.25">
      <c r="M211" s="21"/>
    </row>
    <row r="212" spans="13:13" x14ac:dyDescent="0.25">
      <c r="M212" s="21"/>
    </row>
    <row r="213" spans="13:13" x14ac:dyDescent="0.25">
      <c r="M213" s="21"/>
    </row>
    <row r="214" spans="13:13" x14ac:dyDescent="0.25">
      <c r="M214" s="21"/>
    </row>
    <row r="215" spans="13:13" x14ac:dyDescent="0.25">
      <c r="M215" s="21"/>
    </row>
    <row r="216" spans="13:13" x14ac:dyDescent="0.25">
      <c r="M216" s="21"/>
    </row>
    <row r="217" spans="13:13" x14ac:dyDescent="0.25">
      <c r="M217" s="21"/>
    </row>
    <row r="218" spans="13:13" x14ac:dyDescent="0.25">
      <c r="M218" s="21"/>
    </row>
    <row r="219" spans="13:13" x14ac:dyDescent="0.25">
      <c r="M219" s="21"/>
    </row>
    <row r="220" spans="13:13" x14ac:dyDescent="0.25">
      <c r="M220" s="21"/>
    </row>
    <row r="221" spans="13:13" x14ac:dyDescent="0.25">
      <c r="M221" s="21"/>
    </row>
    <row r="222" spans="13:13" x14ac:dyDescent="0.25">
      <c r="M222" s="21"/>
    </row>
    <row r="223" spans="13:13" x14ac:dyDescent="0.25">
      <c r="M223" s="21"/>
    </row>
    <row r="224" spans="13:13" x14ac:dyDescent="0.25">
      <c r="M224" s="21"/>
    </row>
    <row r="225" spans="13:13" x14ac:dyDescent="0.25">
      <c r="M225" s="21"/>
    </row>
    <row r="226" spans="13:13" x14ac:dyDescent="0.25">
      <c r="M226" s="21"/>
    </row>
    <row r="227" spans="13:13" x14ac:dyDescent="0.25">
      <c r="M227" s="21"/>
    </row>
    <row r="228" spans="13:13" x14ac:dyDescent="0.25">
      <c r="M228" s="21"/>
    </row>
    <row r="229" spans="13:13" x14ac:dyDescent="0.25">
      <c r="M229" s="21"/>
    </row>
    <row r="230" spans="13:13" x14ac:dyDescent="0.25">
      <c r="M230" s="21"/>
    </row>
    <row r="231" spans="13:13" x14ac:dyDescent="0.25">
      <c r="M231" s="21"/>
    </row>
    <row r="232" spans="13:13" x14ac:dyDescent="0.25">
      <c r="M232" s="21"/>
    </row>
    <row r="233" spans="13:13" x14ac:dyDescent="0.25">
      <c r="M233" s="21"/>
    </row>
    <row r="234" spans="13:13" x14ac:dyDescent="0.25">
      <c r="M234" s="21"/>
    </row>
    <row r="235" spans="13:13" x14ac:dyDescent="0.25">
      <c r="M235" s="21"/>
    </row>
    <row r="236" spans="13:13" x14ac:dyDescent="0.25">
      <c r="M236" s="21"/>
    </row>
    <row r="237" spans="13:13" x14ac:dyDescent="0.25">
      <c r="M237" s="21"/>
    </row>
    <row r="238" spans="13:13" x14ac:dyDescent="0.25">
      <c r="M238" s="21"/>
    </row>
    <row r="239" spans="13:13" x14ac:dyDescent="0.25">
      <c r="M239" s="21"/>
    </row>
    <row r="240" spans="13:13" x14ac:dyDescent="0.25">
      <c r="M240" s="21"/>
    </row>
    <row r="241" spans="13:13" x14ac:dyDescent="0.25">
      <c r="M241" s="21"/>
    </row>
    <row r="242" spans="13:13" x14ac:dyDescent="0.25">
      <c r="M242" s="21"/>
    </row>
    <row r="243" spans="13:13" x14ac:dyDescent="0.25">
      <c r="M243" s="21"/>
    </row>
    <row r="244" spans="13:13" x14ac:dyDescent="0.25">
      <c r="M244" s="21"/>
    </row>
    <row r="245" spans="13:13" x14ac:dyDescent="0.25">
      <c r="M245" s="21"/>
    </row>
    <row r="246" spans="13:13" x14ac:dyDescent="0.25">
      <c r="M246" s="21"/>
    </row>
    <row r="247" spans="13:13" x14ac:dyDescent="0.25">
      <c r="M247" s="21"/>
    </row>
    <row r="248" spans="13:13" x14ac:dyDescent="0.25">
      <c r="M248" s="21"/>
    </row>
    <row r="249" spans="13:13" x14ac:dyDescent="0.25">
      <c r="M249" s="21"/>
    </row>
    <row r="250" spans="13:13" x14ac:dyDescent="0.25">
      <c r="M250" s="21"/>
    </row>
    <row r="251" spans="13:13" x14ac:dyDescent="0.25">
      <c r="M251" s="21"/>
    </row>
    <row r="252" spans="13:13" x14ac:dyDescent="0.25">
      <c r="M252" s="21"/>
    </row>
    <row r="253" spans="13:13" x14ac:dyDescent="0.25">
      <c r="M253" s="21"/>
    </row>
    <row r="254" spans="13:13" x14ac:dyDescent="0.25">
      <c r="M254" s="21"/>
    </row>
    <row r="255" spans="13:13" x14ac:dyDescent="0.25">
      <c r="M255" s="21"/>
    </row>
    <row r="256" spans="13:13" x14ac:dyDescent="0.25">
      <c r="M256" s="21"/>
    </row>
    <row r="257" spans="13:13" x14ac:dyDescent="0.25">
      <c r="M257" s="21"/>
    </row>
    <row r="258" spans="13:13" x14ac:dyDescent="0.25">
      <c r="M258" s="21"/>
    </row>
    <row r="259" spans="13:13" x14ac:dyDescent="0.25">
      <c r="M259" s="21"/>
    </row>
    <row r="260" spans="13:13" x14ac:dyDescent="0.25">
      <c r="M260" s="21"/>
    </row>
    <row r="261" spans="13:13" x14ac:dyDescent="0.25">
      <c r="M261" s="21"/>
    </row>
    <row r="262" spans="13:13" x14ac:dyDescent="0.25">
      <c r="M262" s="21"/>
    </row>
    <row r="263" spans="13:13" x14ac:dyDescent="0.25">
      <c r="M263" s="21"/>
    </row>
    <row r="264" spans="13:13" x14ac:dyDescent="0.25">
      <c r="M264" s="21"/>
    </row>
    <row r="265" spans="13:13" x14ac:dyDescent="0.25">
      <c r="M265" s="21"/>
    </row>
    <row r="266" spans="13:13" x14ac:dyDescent="0.25">
      <c r="M266" s="21"/>
    </row>
    <row r="267" spans="13:13" x14ac:dyDescent="0.25">
      <c r="M267" s="21"/>
    </row>
    <row r="268" spans="13:13" x14ac:dyDescent="0.25">
      <c r="M268" s="21"/>
    </row>
    <row r="269" spans="13:13" x14ac:dyDescent="0.25">
      <c r="M269" s="21"/>
    </row>
    <row r="270" spans="13:13" x14ac:dyDescent="0.25">
      <c r="M270" s="21"/>
    </row>
    <row r="271" spans="13:13" x14ac:dyDescent="0.25">
      <c r="M271" s="21"/>
    </row>
    <row r="272" spans="13:13" x14ac:dyDescent="0.25">
      <c r="M272" s="21"/>
    </row>
    <row r="273" spans="13:13" x14ac:dyDescent="0.25">
      <c r="M273" s="21"/>
    </row>
    <row r="274" spans="13:13" x14ac:dyDescent="0.25">
      <c r="M274" s="21"/>
    </row>
    <row r="275" spans="13:13" x14ac:dyDescent="0.25">
      <c r="M275" s="21"/>
    </row>
    <row r="276" spans="13:13" x14ac:dyDescent="0.25">
      <c r="M276" s="21"/>
    </row>
    <row r="277" spans="13:13" x14ac:dyDescent="0.25">
      <c r="M277" s="21"/>
    </row>
    <row r="278" spans="13:13" x14ac:dyDescent="0.25">
      <c r="M278" s="21"/>
    </row>
    <row r="279" spans="13:13" x14ac:dyDescent="0.25">
      <c r="M279" s="21"/>
    </row>
    <row r="280" spans="13:13" x14ac:dyDescent="0.25">
      <c r="M280" s="21"/>
    </row>
    <row r="281" spans="13:13" x14ac:dyDescent="0.25">
      <c r="M281" s="21"/>
    </row>
    <row r="282" spans="13:13" x14ac:dyDescent="0.25">
      <c r="M282" s="21"/>
    </row>
    <row r="283" spans="13:13" x14ac:dyDescent="0.25">
      <c r="M283" s="21"/>
    </row>
    <row r="284" spans="13:13" x14ac:dyDescent="0.25">
      <c r="M284" s="21"/>
    </row>
    <row r="285" spans="13:13" x14ac:dyDescent="0.25">
      <c r="M285" s="21"/>
    </row>
    <row r="286" spans="13:13" x14ac:dyDescent="0.25">
      <c r="M286" s="21"/>
    </row>
    <row r="287" spans="13:13" x14ac:dyDescent="0.25">
      <c r="M287" s="21"/>
    </row>
    <row r="288" spans="13:13" x14ac:dyDescent="0.25">
      <c r="M288" s="21"/>
    </row>
    <row r="289" spans="13:13" x14ac:dyDescent="0.25">
      <c r="M289" s="21"/>
    </row>
    <row r="290" spans="13:13" x14ac:dyDescent="0.25">
      <c r="M290" s="21"/>
    </row>
    <row r="291" spans="13:13" x14ac:dyDescent="0.25">
      <c r="M291" s="21"/>
    </row>
    <row r="292" spans="13:13" x14ac:dyDescent="0.25">
      <c r="M292" s="21"/>
    </row>
    <row r="293" spans="13:13" x14ac:dyDescent="0.25">
      <c r="M293" s="21"/>
    </row>
    <row r="294" spans="13:13" x14ac:dyDescent="0.25">
      <c r="M294" s="21"/>
    </row>
    <row r="295" spans="13:13" x14ac:dyDescent="0.25">
      <c r="M295" s="21"/>
    </row>
    <row r="296" spans="13:13" x14ac:dyDescent="0.25">
      <c r="M296" s="21"/>
    </row>
    <row r="297" spans="13:13" x14ac:dyDescent="0.25">
      <c r="M297" s="21"/>
    </row>
    <row r="298" spans="13:13" x14ac:dyDescent="0.25">
      <c r="M298" s="21"/>
    </row>
    <row r="299" spans="13:13" x14ac:dyDescent="0.25">
      <c r="M299" s="21"/>
    </row>
    <row r="300" spans="13:13" x14ac:dyDescent="0.25">
      <c r="M300" s="21"/>
    </row>
    <row r="301" spans="13:13" x14ac:dyDescent="0.25">
      <c r="M301" s="21"/>
    </row>
    <row r="302" spans="13:13" x14ac:dyDescent="0.25">
      <c r="M302" s="21"/>
    </row>
    <row r="303" spans="13:13" x14ac:dyDescent="0.25">
      <c r="M303" s="21"/>
    </row>
    <row r="304" spans="13:13" x14ac:dyDescent="0.25">
      <c r="M304" s="21"/>
    </row>
    <row r="305" spans="13:13" x14ac:dyDescent="0.25">
      <c r="M305" s="21"/>
    </row>
    <row r="306" spans="13:13" x14ac:dyDescent="0.25">
      <c r="M306" s="21"/>
    </row>
    <row r="307" spans="13:13" x14ac:dyDescent="0.25">
      <c r="M307" s="21"/>
    </row>
    <row r="308" spans="13:13" x14ac:dyDescent="0.25">
      <c r="M308" s="21"/>
    </row>
    <row r="309" spans="13:13" x14ac:dyDescent="0.25">
      <c r="M309" s="21"/>
    </row>
    <row r="310" spans="13:13" x14ac:dyDescent="0.25">
      <c r="M310" s="21"/>
    </row>
    <row r="311" spans="13:13" x14ac:dyDescent="0.25">
      <c r="M311" s="21"/>
    </row>
    <row r="312" spans="13:13" x14ac:dyDescent="0.25">
      <c r="M312" s="21"/>
    </row>
    <row r="313" spans="13:13" x14ac:dyDescent="0.25">
      <c r="M313" s="21"/>
    </row>
    <row r="314" spans="13:13" x14ac:dyDescent="0.25">
      <c r="M314" s="21"/>
    </row>
    <row r="315" spans="13:13" x14ac:dyDescent="0.25">
      <c r="M315" s="21"/>
    </row>
    <row r="316" spans="13:13" x14ac:dyDescent="0.25">
      <c r="M316" s="21"/>
    </row>
    <row r="317" spans="13:13" x14ac:dyDescent="0.25">
      <c r="M317" s="21"/>
    </row>
    <row r="318" spans="13:13" x14ac:dyDescent="0.25">
      <c r="M318" s="21"/>
    </row>
    <row r="319" spans="13:13" x14ac:dyDescent="0.25">
      <c r="M319" s="21"/>
    </row>
    <row r="320" spans="13:13" x14ac:dyDescent="0.25">
      <c r="M320" s="21"/>
    </row>
    <row r="321" spans="13:13" x14ac:dyDescent="0.25">
      <c r="M321" s="21"/>
    </row>
    <row r="322" spans="13:13" x14ac:dyDescent="0.25">
      <c r="M322" s="21"/>
    </row>
    <row r="323" spans="13:13" x14ac:dyDescent="0.25">
      <c r="M323" s="21"/>
    </row>
    <row r="324" spans="13:13" x14ac:dyDescent="0.25">
      <c r="M324" s="21"/>
    </row>
    <row r="325" spans="13:13" x14ac:dyDescent="0.25">
      <c r="M325" s="21"/>
    </row>
    <row r="326" spans="13:13" x14ac:dyDescent="0.25">
      <c r="M326" s="21"/>
    </row>
    <row r="327" spans="13:13" x14ac:dyDescent="0.25">
      <c r="M327" s="21"/>
    </row>
    <row r="328" spans="13:13" x14ac:dyDescent="0.25">
      <c r="M328" s="21"/>
    </row>
    <row r="329" spans="13:13" x14ac:dyDescent="0.25">
      <c r="M329" s="21"/>
    </row>
    <row r="330" spans="13:13" x14ac:dyDescent="0.25">
      <c r="M330" s="21"/>
    </row>
    <row r="331" spans="13:13" x14ac:dyDescent="0.25">
      <c r="M331" s="21"/>
    </row>
    <row r="332" spans="13:13" x14ac:dyDescent="0.25">
      <c r="M332" s="21"/>
    </row>
    <row r="333" spans="13:13" x14ac:dyDescent="0.25">
      <c r="M333" s="21"/>
    </row>
    <row r="334" spans="13:13" x14ac:dyDescent="0.25">
      <c r="M334" s="21"/>
    </row>
    <row r="335" spans="13:13" x14ac:dyDescent="0.25">
      <c r="M335" s="21"/>
    </row>
    <row r="336" spans="13:13" x14ac:dyDescent="0.25">
      <c r="M336" s="21"/>
    </row>
    <row r="337" spans="13:13" x14ac:dyDescent="0.25">
      <c r="M337" s="21"/>
    </row>
    <row r="338" spans="13:13" x14ac:dyDescent="0.25">
      <c r="M338" s="21"/>
    </row>
    <row r="339" spans="13:13" x14ac:dyDescent="0.25">
      <c r="M339" s="21"/>
    </row>
    <row r="340" spans="13:13" x14ac:dyDescent="0.25">
      <c r="M340" s="21"/>
    </row>
    <row r="341" spans="13:13" x14ac:dyDescent="0.25">
      <c r="M341" s="21"/>
    </row>
    <row r="342" spans="13:13" x14ac:dyDescent="0.25">
      <c r="M342" s="21"/>
    </row>
    <row r="343" spans="13:13" x14ac:dyDescent="0.25">
      <c r="M343" s="21"/>
    </row>
    <row r="344" spans="13:13" x14ac:dyDescent="0.25">
      <c r="M344" s="21"/>
    </row>
    <row r="345" spans="13:13" x14ac:dyDescent="0.25">
      <c r="M345" s="21"/>
    </row>
    <row r="346" spans="13:13" x14ac:dyDescent="0.25">
      <c r="M346" s="21"/>
    </row>
    <row r="347" spans="13:13" x14ac:dyDescent="0.25">
      <c r="M347" s="21"/>
    </row>
    <row r="348" spans="13:13" x14ac:dyDescent="0.25">
      <c r="M348" s="21"/>
    </row>
    <row r="349" spans="13:13" x14ac:dyDescent="0.25">
      <c r="M349" s="21"/>
    </row>
    <row r="350" spans="13:13" x14ac:dyDescent="0.25">
      <c r="M350" s="21"/>
    </row>
    <row r="351" spans="13:13" x14ac:dyDescent="0.25">
      <c r="M351" s="21"/>
    </row>
    <row r="352" spans="13:13" x14ac:dyDescent="0.25">
      <c r="M352" s="21"/>
    </row>
    <row r="353" spans="13:13" x14ac:dyDescent="0.25">
      <c r="M353" s="21"/>
    </row>
    <row r="354" spans="13:13" x14ac:dyDescent="0.25">
      <c r="M354" s="21"/>
    </row>
    <row r="355" spans="13:13" x14ac:dyDescent="0.25">
      <c r="M355" s="21"/>
    </row>
    <row r="356" spans="13:13" x14ac:dyDescent="0.25">
      <c r="M356" s="21"/>
    </row>
    <row r="357" spans="13:13" x14ac:dyDescent="0.25">
      <c r="M357" s="21"/>
    </row>
    <row r="358" spans="13:13" x14ac:dyDescent="0.25">
      <c r="M358" s="21"/>
    </row>
    <row r="359" spans="13:13" x14ac:dyDescent="0.25">
      <c r="M359" s="21"/>
    </row>
    <row r="360" spans="13:13" x14ac:dyDescent="0.25">
      <c r="M360" s="21"/>
    </row>
    <row r="361" spans="13:13" x14ac:dyDescent="0.25">
      <c r="M361" s="21"/>
    </row>
    <row r="362" spans="13:13" x14ac:dyDescent="0.25">
      <c r="M362" s="21"/>
    </row>
    <row r="363" spans="13:13" x14ac:dyDescent="0.25">
      <c r="M363" s="21"/>
    </row>
    <row r="364" spans="13:13" x14ac:dyDescent="0.25">
      <c r="M364" s="21"/>
    </row>
    <row r="365" spans="13:13" x14ac:dyDescent="0.25">
      <c r="M365" s="21"/>
    </row>
    <row r="366" spans="13:13" x14ac:dyDescent="0.25">
      <c r="M366" s="21"/>
    </row>
    <row r="367" spans="13:13" x14ac:dyDescent="0.25">
      <c r="M367" s="21"/>
    </row>
    <row r="368" spans="13:13" x14ac:dyDescent="0.25">
      <c r="M368" s="21"/>
    </row>
    <row r="369" spans="13:13" x14ac:dyDescent="0.25">
      <c r="M369" s="21"/>
    </row>
    <row r="370" spans="13:13" x14ac:dyDescent="0.25">
      <c r="M370" s="21"/>
    </row>
    <row r="371" spans="13:13" x14ac:dyDescent="0.25">
      <c r="M371" s="21"/>
    </row>
    <row r="372" spans="13:13" x14ac:dyDescent="0.25">
      <c r="M372" s="21"/>
    </row>
    <row r="373" spans="13:13" x14ac:dyDescent="0.25">
      <c r="M373" s="21"/>
    </row>
    <row r="374" spans="13:13" x14ac:dyDescent="0.25">
      <c r="M374" s="21"/>
    </row>
    <row r="375" spans="13:13" x14ac:dyDescent="0.25">
      <c r="M375" s="21"/>
    </row>
    <row r="376" spans="13:13" x14ac:dyDescent="0.25">
      <c r="M376" s="21"/>
    </row>
    <row r="377" spans="13:13" x14ac:dyDescent="0.25">
      <c r="M377" s="21"/>
    </row>
    <row r="378" spans="13:13" x14ac:dyDescent="0.25">
      <c r="M378" s="21"/>
    </row>
    <row r="379" spans="13:13" x14ac:dyDescent="0.25">
      <c r="M379" s="21"/>
    </row>
    <row r="380" spans="13:13" x14ac:dyDescent="0.25">
      <c r="M380" s="21"/>
    </row>
    <row r="381" spans="13:13" x14ac:dyDescent="0.25">
      <c r="M381" s="21"/>
    </row>
    <row r="382" spans="13:13" x14ac:dyDescent="0.25">
      <c r="M382" s="21"/>
    </row>
    <row r="383" spans="13:13" x14ac:dyDescent="0.25">
      <c r="M383" s="21"/>
    </row>
    <row r="384" spans="13:13" x14ac:dyDescent="0.25">
      <c r="M384" s="21"/>
    </row>
    <row r="385" spans="13:13" x14ac:dyDescent="0.25">
      <c r="M385" s="21"/>
    </row>
    <row r="386" spans="13:13" x14ac:dyDescent="0.25">
      <c r="M386" s="21"/>
    </row>
    <row r="387" spans="13:13" x14ac:dyDescent="0.25">
      <c r="M387" s="21"/>
    </row>
    <row r="388" spans="13:13" x14ac:dyDescent="0.25">
      <c r="M388" s="21"/>
    </row>
    <row r="389" spans="13:13" x14ac:dyDescent="0.25">
      <c r="M389" s="21"/>
    </row>
    <row r="390" spans="13:13" x14ac:dyDescent="0.25">
      <c r="M390" s="21"/>
    </row>
    <row r="391" spans="13:13" x14ac:dyDescent="0.25">
      <c r="M391" s="21"/>
    </row>
    <row r="392" spans="13:13" x14ac:dyDescent="0.25">
      <c r="M392" s="21"/>
    </row>
    <row r="393" spans="13:13" x14ac:dyDescent="0.25">
      <c r="M393" s="21"/>
    </row>
    <row r="394" spans="13:13" x14ac:dyDescent="0.25">
      <c r="M394" s="21"/>
    </row>
    <row r="395" spans="13:13" x14ac:dyDescent="0.25">
      <c r="M395" s="21"/>
    </row>
    <row r="396" spans="13:13" x14ac:dyDescent="0.25">
      <c r="M396" s="21"/>
    </row>
    <row r="397" spans="13:13" x14ac:dyDescent="0.25">
      <c r="M397" s="21"/>
    </row>
    <row r="398" spans="13:13" x14ac:dyDescent="0.25">
      <c r="M398" s="21"/>
    </row>
    <row r="399" spans="13:13" x14ac:dyDescent="0.25">
      <c r="M399" s="21"/>
    </row>
    <row r="400" spans="13:13" x14ac:dyDescent="0.25">
      <c r="M400" s="21"/>
    </row>
    <row r="401" spans="13:13" x14ac:dyDescent="0.25">
      <c r="M401" s="21"/>
    </row>
    <row r="402" spans="13:13" x14ac:dyDescent="0.25">
      <c r="M402" s="21"/>
    </row>
    <row r="403" spans="13:13" x14ac:dyDescent="0.25">
      <c r="M403" s="21"/>
    </row>
    <row r="404" spans="13:13" x14ac:dyDescent="0.25">
      <c r="M404" s="21"/>
    </row>
    <row r="405" spans="13:13" x14ac:dyDescent="0.25">
      <c r="M405" s="21"/>
    </row>
    <row r="406" spans="13:13" x14ac:dyDescent="0.25">
      <c r="M406" s="21"/>
    </row>
    <row r="407" spans="13:13" x14ac:dyDescent="0.25">
      <c r="M407" s="21"/>
    </row>
    <row r="408" spans="13:13" x14ac:dyDescent="0.25">
      <c r="M408" s="21"/>
    </row>
    <row r="409" spans="13:13" x14ac:dyDescent="0.25">
      <c r="M409" s="21"/>
    </row>
    <row r="410" spans="13:13" x14ac:dyDescent="0.25">
      <c r="M410" s="21"/>
    </row>
    <row r="411" spans="13:13" x14ac:dyDescent="0.25">
      <c r="M411" s="21"/>
    </row>
    <row r="412" spans="13:13" x14ac:dyDescent="0.25">
      <c r="M412" s="21"/>
    </row>
    <row r="413" spans="13:13" x14ac:dyDescent="0.25">
      <c r="M413" s="21"/>
    </row>
    <row r="414" spans="13:13" x14ac:dyDescent="0.25">
      <c r="M414" s="21"/>
    </row>
    <row r="415" spans="13:13" x14ac:dyDescent="0.25">
      <c r="M415" s="21"/>
    </row>
    <row r="416" spans="13:13" x14ac:dyDescent="0.25">
      <c r="M416" s="21"/>
    </row>
    <row r="417" spans="13:13" x14ac:dyDescent="0.25">
      <c r="M417" s="21"/>
    </row>
    <row r="418" spans="13:13" x14ac:dyDescent="0.25">
      <c r="M418" s="21"/>
    </row>
    <row r="419" spans="13:13" x14ac:dyDescent="0.25">
      <c r="M419" s="21"/>
    </row>
    <row r="420" spans="13:13" x14ac:dyDescent="0.25">
      <c r="M420" s="21"/>
    </row>
    <row r="421" spans="13:13" x14ac:dyDescent="0.25">
      <c r="M421" s="21"/>
    </row>
    <row r="422" spans="13:13" x14ac:dyDescent="0.25">
      <c r="M422" s="21"/>
    </row>
    <row r="423" spans="13:13" x14ac:dyDescent="0.25">
      <c r="M423" s="21"/>
    </row>
    <row r="424" spans="13:13" x14ac:dyDescent="0.25">
      <c r="M424" s="21"/>
    </row>
    <row r="425" spans="13:13" x14ac:dyDescent="0.25">
      <c r="M425" s="21"/>
    </row>
    <row r="426" spans="13:13" x14ac:dyDescent="0.25">
      <c r="M426" s="21"/>
    </row>
    <row r="427" spans="13:13" x14ac:dyDescent="0.25">
      <c r="M427" s="21"/>
    </row>
    <row r="428" spans="13:13" x14ac:dyDescent="0.25">
      <c r="M428" s="21"/>
    </row>
    <row r="429" spans="13:13" x14ac:dyDescent="0.25">
      <c r="M429" s="21"/>
    </row>
    <row r="430" spans="13:13" x14ac:dyDescent="0.25">
      <c r="M430" s="21"/>
    </row>
    <row r="431" spans="13:13" x14ac:dyDescent="0.25">
      <c r="M431" s="21"/>
    </row>
    <row r="432" spans="13:13" x14ac:dyDescent="0.25">
      <c r="M432" s="21"/>
    </row>
    <row r="433" spans="13:13" x14ac:dyDescent="0.25">
      <c r="M433" s="21"/>
    </row>
    <row r="434" spans="13:13" x14ac:dyDescent="0.25">
      <c r="M434" s="21"/>
    </row>
    <row r="435" spans="13:13" x14ac:dyDescent="0.25">
      <c r="M435" s="21"/>
    </row>
    <row r="436" spans="13:13" x14ac:dyDescent="0.25">
      <c r="M436" s="21"/>
    </row>
    <row r="437" spans="13:13" x14ac:dyDescent="0.25">
      <c r="M437" s="21"/>
    </row>
    <row r="438" spans="13:13" x14ac:dyDescent="0.25">
      <c r="M438" s="21"/>
    </row>
    <row r="439" spans="13:13" x14ac:dyDescent="0.25">
      <c r="M439" s="21"/>
    </row>
    <row r="440" spans="13:13" x14ac:dyDescent="0.25">
      <c r="M440" s="21"/>
    </row>
    <row r="441" spans="13:13" x14ac:dyDescent="0.25">
      <c r="M441" s="21"/>
    </row>
    <row r="442" spans="13:13" x14ac:dyDescent="0.25">
      <c r="M442" s="21"/>
    </row>
    <row r="443" spans="13:13" x14ac:dyDescent="0.25">
      <c r="M443" s="21"/>
    </row>
    <row r="444" spans="13:13" x14ac:dyDescent="0.25">
      <c r="M444" s="21"/>
    </row>
    <row r="445" spans="13:13" x14ac:dyDescent="0.25">
      <c r="M445" s="21"/>
    </row>
    <row r="446" spans="13:13" x14ac:dyDescent="0.25">
      <c r="M446" s="21"/>
    </row>
    <row r="447" spans="13:13" x14ac:dyDescent="0.25">
      <c r="M447" s="21"/>
    </row>
    <row r="448" spans="13:13" x14ac:dyDescent="0.25">
      <c r="M448" s="21"/>
    </row>
    <row r="449" spans="13:13" x14ac:dyDescent="0.25">
      <c r="M449" s="21"/>
    </row>
    <row r="450" spans="13:13" x14ac:dyDescent="0.25">
      <c r="M450" s="21"/>
    </row>
    <row r="451" spans="13:13" x14ac:dyDescent="0.25">
      <c r="M451" s="21"/>
    </row>
    <row r="452" spans="13:13" x14ac:dyDescent="0.25">
      <c r="M452" s="21"/>
    </row>
    <row r="453" spans="13:13" x14ac:dyDescent="0.25">
      <c r="M453" s="21"/>
    </row>
    <row r="454" spans="13:13" x14ac:dyDescent="0.25">
      <c r="M454" s="21"/>
    </row>
    <row r="455" spans="13:13" x14ac:dyDescent="0.25">
      <c r="M455" s="21"/>
    </row>
    <row r="456" spans="13:13" x14ac:dyDescent="0.25">
      <c r="M456" s="21"/>
    </row>
    <row r="457" spans="13:13" x14ac:dyDescent="0.25">
      <c r="M457" s="21"/>
    </row>
    <row r="458" spans="13:13" x14ac:dyDescent="0.25">
      <c r="M458" s="21"/>
    </row>
    <row r="459" spans="13:13" x14ac:dyDescent="0.25">
      <c r="M459" s="21"/>
    </row>
    <row r="460" spans="13:13" x14ac:dyDescent="0.25">
      <c r="M460" s="21"/>
    </row>
    <row r="461" spans="13:13" x14ac:dyDescent="0.25">
      <c r="M461" s="21"/>
    </row>
    <row r="462" spans="13:13" x14ac:dyDescent="0.25">
      <c r="M462" s="21"/>
    </row>
    <row r="463" spans="13:13" x14ac:dyDescent="0.25">
      <c r="M463" s="21"/>
    </row>
    <row r="464" spans="13:13" x14ac:dyDescent="0.25">
      <c r="M464" s="21"/>
    </row>
    <row r="465" spans="13:13" x14ac:dyDescent="0.25">
      <c r="M465" s="21"/>
    </row>
    <row r="466" spans="13:13" x14ac:dyDescent="0.25">
      <c r="M466" s="21"/>
    </row>
    <row r="467" spans="13:13" x14ac:dyDescent="0.25">
      <c r="M467" s="21"/>
    </row>
    <row r="468" spans="13:13" x14ac:dyDescent="0.25">
      <c r="M468" s="21"/>
    </row>
    <row r="469" spans="13:13" x14ac:dyDescent="0.25">
      <c r="M469" s="21"/>
    </row>
    <row r="470" spans="13:13" x14ac:dyDescent="0.25">
      <c r="M470" s="21"/>
    </row>
    <row r="471" spans="13:13" x14ac:dyDescent="0.25">
      <c r="M471" s="21"/>
    </row>
    <row r="472" spans="13:13" x14ac:dyDescent="0.25">
      <c r="M472" s="21"/>
    </row>
    <row r="473" spans="13:13" x14ac:dyDescent="0.25">
      <c r="M473" s="21"/>
    </row>
    <row r="474" spans="13:13" x14ac:dyDescent="0.25">
      <c r="M474" s="21"/>
    </row>
    <row r="475" spans="13:13" x14ac:dyDescent="0.25">
      <c r="M475" s="21"/>
    </row>
    <row r="476" spans="13:13" x14ac:dyDescent="0.25">
      <c r="M476" s="21"/>
    </row>
    <row r="477" spans="13:13" x14ac:dyDescent="0.25">
      <c r="M477" s="21"/>
    </row>
    <row r="478" spans="13:13" x14ac:dyDescent="0.25">
      <c r="M478" s="21"/>
    </row>
    <row r="479" spans="13:13" x14ac:dyDescent="0.25">
      <c r="M479" s="21"/>
    </row>
    <row r="480" spans="13:13" x14ac:dyDescent="0.25">
      <c r="M480" s="21"/>
    </row>
    <row r="481" spans="13:13" x14ac:dyDescent="0.25">
      <c r="M481" s="21"/>
    </row>
    <row r="482" spans="13:13" x14ac:dyDescent="0.25">
      <c r="M482" s="21"/>
    </row>
    <row r="483" spans="13:13" x14ac:dyDescent="0.25">
      <c r="M483" s="21"/>
    </row>
    <row r="484" spans="13:13" x14ac:dyDescent="0.25">
      <c r="M484" s="21"/>
    </row>
    <row r="485" spans="13:13" x14ac:dyDescent="0.25">
      <c r="M485" s="21"/>
    </row>
    <row r="486" spans="13:13" x14ac:dyDescent="0.25">
      <c r="M486" s="21"/>
    </row>
    <row r="487" spans="13:13" x14ac:dyDescent="0.25">
      <c r="M487" s="21"/>
    </row>
    <row r="488" spans="13:13" x14ac:dyDescent="0.25">
      <c r="M488" s="21"/>
    </row>
    <row r="489" spans="13:13" x14ac:dyDescent="0.25">
      <c r="M489" s="21"/>
    </row>
    <row r="490" spans="13:13" x14ac:dyDescent="0.25">
      <c r="M490" s="21"/>
    </row>
    <row r="491" spans="13:13" x14ac:dyDescent="0.25">
      <c r="M491" s="21"/>
    </row>
    <row r="492" spans="13:13" x14ac:dyDescent="0.25">
      <c r="M492" s="21"/>
    </row>
    <row r="493" spans="13:13" x14ac:dyDescent="0.25">
      <c r="M493" s="21"/>
    </row>
    <row r="494" spans="13:13" x14ac:dyDescent="0.25">
      <c r="M494" s="21"/>
    </row>
    <row r="495" spans="13:13" x14ac:dyDescent="0.25">
      <c r="M495" s="21"/>
    </row>
    <row r="496" spans="13:13" x14ac:dyDescent="0.25">
      <c r="M496" s="21"/>
    </row>
    <row r="497" spans="13:13" x14ac:dyDescent="0.25">
      <c r="M497" s="21"/>
    </row>
    <row r="498" spans="13:13" x14ac:dyDescent="0.25">
      <c r="M498" s="21"/>
    </row>
    <row r="499" spans="13:13" x14ac:dyDescent="0.25">
      <c r="M499" s="21"/>
    </row>
    <row r="500" spans="13:13" x14ac:dyDescent="0.25">
      <c r="M500" s="21"/>
    </row>
    <row r="501" spans="13:13" x14ac:dyDescent="0.25">
      <c r="M501" s="21"/>
    </row>
    <row r="502" spans="13:13" x14ac:dyDescent="0.25">
      <c r="M502" s="21"/>
    </row>
    <row r="503" spans="13:13" x14ac:dyDescent="0.25">
      <c r="M503" s="21"/>
    </row>
    <row r="504" spans="13:13" x14ac:dyDescent="0.25">
      <c r="M504" s="21"/>
    </row>
    <row r="505" spans="13:13" x14ac:dyDescent="0.25">
      <c r="M505" s="21"/>
    </row>
    <row r="506" spans="13:13" x14ac:dyDescent="0.25">
      <c r="M506" s="21"/>
    </row>
    <row r="507" spans="13:13" x14ac:dyDescent="0.25">
      <c r="M507" s="21"/>
    </row>
    <row r="508" spans="13:13" x14ac:dyDescent="0.25">
      <c r="M508" s="21"/>
    </row>
    <row r="509" spans="13:13" x14ac:dyDescent="0.25">
      <c r="M509" s="21"/>
    </row>
    <row r="510" spans="13:13" x14ac:dyDescent="0.25">
      <c r="M510" s="21"/>
    </row>
    <row r="511" spans="13:13" x14ac:dyDescent="0.25">
      <c r="M511" s="21"/>
    </row>
    <row r="512" spans="13:13" x14ac:dyDescent="0.25">
      <c r="M512" s="21"/>
    </row>
    <row r="513" spans="13:13" x14ac:dyDescent="0.25">
      <c r="M513" s="21"/>
    </row>
    <row r="514" spans="13:13" x14ac:dyDescent="0.25">
      <c r="M514" s="21"/>
    </row>
    <row r="515" spans="13:13" x14ac:dyDescent="0.25">
      <c r="M515" s="21"/>
    </row>
    <row r="516" spans="13:13" x14ac:dyDescent="0.25">
      <c r="M516" s="21"/>
    </row>
    <row r="517" spans="13:13" x14ac:dyDescent="0.25">
      <c r="M517" s="21"/>
    </row>
    <row r="518" spans="13:13" x14ac:dyDescent="0.25">
      <c r="M518" s="21"/>
    </row>
    <row r="519" spans="13:13" x14ac:dyDescent="0.25">
      <c r="M519" s="21"/>
    </row>
    <row r="520" spans="13:13" x14ac:dyDescent="0.25">
      <c r="M520" s="21"/>
    </row>
    <row r="521" spans="13:13" x14ac:dyDescent="0.25">
      <c r="M521" s="21"/>
    </row>
    <row r="522" spans="13:13" x14ac:dyDescent="0.25">
      <c r="M522" s="21"/>
    </row>
    <row r="523" spans="13:13" x14ac:dyDescent="0.25">
      <c r="M523" s="21"/>
    </row>
    <row r="524" spans="13:13" x14ac:dyDescent="0.25">
      <c r="M524" s="21"/>
    </row>
    <row r="525" spans="13:13" x14ac:dyDescent="0.25">
      <c r="M525" s="21"/>
    </row>
    <row r="526" spans="13:13" x14ac:dyDescent="0.25">
      <c r="M526" s="21"/>
    </row>
    <row r="527" spans="13:13" x14ac:dyDescent="0.25">
      <c r="M527" s="21"/>
    </row>
    <row r="528" spans="13:13" x14ac:dyDescent="0.25">
      <c r="M528" s="21"/>
    </row>
    <row r="529" spans="13:13" x14ac:dyDescent="0.25">
      <c r="M529" s="21"/>
    </row>
    <row r="530" spans="13:13" x14ac:dyDescent="0.25">
      <c r="M530" s="21"/>
    </row>
    <row r="531" spans="13:13" x14ac:dyDescent="0.25">
      <c r="M531" s="21"/>
    </row>
    <row r="532" spans="13:13" x14ac:dyDescent="0.25">
      <c r="M532" s="21"/>
    </row>
    <row r="533" spans="13:13" x14ac:dyDescent="0.25">
      <c r="M533" s="21"/>
    </row>
    <row r="534" spans="13:13" x14ac:dyDescent="0.25">
      <c r="M534" s="21"/>
    </row>
    <row r="535" spans="13:13" x14ac:dyDescent="0.25">
      <c r="M535" s="21"/>
    </row>
    <row r="536" spans="13:13" x14ac:dyDescent="0.25">
      <c r="M536" s="21"/>
    </row>
    <row r="537" spans="13:13" x14ac:dyDescent="0.25">
      <c r="M537" s="21"/>
    </row>
    <row r="538" spans="13:13" x14ac:dyDescent="0.25">
      <c r="M538" s="21"/>
    </row>
    <row r="539" spans="13:13" x14ac:dyDescent="0.25">
      <c r="M539" s="21"/>
    </row>
    <row r="540" spans="13:13" x14ac:dyDescent="0.25">
      <c r="M540" s="21"/>
    </row>
    <row r="541" spans="13:13" x14ac:dyDescent="0.25">
      <c r="M541" s="21"/>
    </row>
    <row r="542" spans="13:13" x14ac:dyDescent="0.25">
      <c r="M542" s="21"/>
    </row>
    <row r="543" spans="13:13" x14ac:dyDescent="0.25">
      <c r="M543" s="21"/>
    </row>
    <row r="544" spans="13:13" x14ac:dyDescent="0.25">
      <c r="M544" s="21"/>
    </row>
    <row r="545" spans="13:13" x14ac:dyDescent="0.25">
      <c r="M545" s="21"/>
    </row>
    <row r="546" spans="13:13" x14ac:dyDescent="0.25">
      <c r="M546" s="21"/>
    </row>
    <row r="547" spans="13:13" x14ac:dyDescent="0.25">
      <c r="M547" s="21"/>
    </row>
    <row r="548" spans="13:13" x14ac:dyDescent="0.25">
      <c r="M548" s="21"/>
    </row>
    <row r="549" spans="13:13" x14ac:dyDescent="0.25">
      <c r="M549" s="21"/>
    </row>
    <row r="550" spans="13:13" x14ac:dyDescent="0.25">
      <c r="M550" s="21"/>
    </row>
    <row r="551" spans="13:13" x14ac:dyDescent="0.25">
      <c r="M551" s="21"/>
    </row>
    <row r="552" spans="13:13" x14ac:dyDescent="0.25">
      <c r="M552" s="21"/>
    </row>
    <row r="553" spans="13:13" x14ac:dyDescent="0.25">
      <c r="M553" s="21"/>
    </row>
    <row r="554" spans="13:13" x14ac:dyDescent="0.25">
      <c r="M554" s="21"/>
    </row>
    <row r="555" spans="13:13" x14ac:dyDescent="0.25">
      <c r="M555" s="21"/>
    </row>
    <row r="556" spans="13:13" x14ac:dyDescent="0.25">
      <c r="M556" s="21"/>
    </row>
    <row r="557" spans="13:13" x14ac:dyDescent="0.25">
      <c r="M557" s="21"/>
    </row>
    <row r="558" spans="13:13" x14ac:dyDescent="0.25">
      <c r="M558" s="21"/>
    </row>
    <row r="559" spans="13:13" x14ac:dyDescent="0.25">
      <c r="M559" s="21"/>
    </row>
    <row r="560" spans="13:13" x14ac:dyDescent="0.25">
      <c r="M560" s="21"/>
    </row>
    <row r="561" spans="13:13" x14ac:dyDescent="0.25">
      <c r="M561" s="21"/>
    </row>
    <row r="562" spans="13:13" x14ac:dyDescent="0.25">
      <c r="M562" s="21"/>
    </row>
    <row r="563" spans="13:13" x14ac:dyDescent="0.25">
      <c r="M563" s="21"/>
    </row>
    <row r="564" spans="13:13" x14ac:dyDescent="0.25">
      <c r="M564" s="21"/>
    </row>
    <row r="565" spans="13:13" x14ac:dyDescent="0.25">
      <c r="M565" s="21"/>
    </row>
    <row r="566" spans="13:13" x14ac:dyDescent="0.25">
      <c r="M566" s="21"/>
    </row>
    <row r="567" spans="13:13" x14ac:dyDescent="0.25">
      <c r="M567" s="21"/>
    </row>
    <row r="568" spans="13:13" x14ac:dyDescent="0.25">
      <c r="M568" s="21"/>
    </row>
    <row r="569" spans="13:13" x14ac:dyDescent="0.25">
      <c r="M569" s="21"/>
    </row>
    <row r="570" spans="13:13" x14ac:dyDescent="0.25">
      <c r="M570" s="21"/>
    </row>
    <row r="571" spans="13:13" x14ac:dyDescent="0.25">
      <c r="M571" s="21"/>
    </row>
    <row r="572" spans="13:13" x14ac:dyDescent="0.25">
      <c r="M572" s="21"/>
    </row>
    <row r="573" spans="13:13" x14ac:dyDescent="0.25">
      <c r="M573" s="21"/>
    </row>
    <row r="574" spans="13:13" x14ac:dyDescent="0.25">
      <c r="M574" s="21"/>
    </row>
    <row r="575" spans="13:13" x14ac:dyDescent="0.25">
      <c r="M575" s="21"/>
    </row>
    <row r="576" spans="13:13" x14ac:dyDescent="0.25">
      <c r="M576" s="21"/>
    </row>
    <row r="577" spans="13:13" x14ac:dyDescent="0.25">
      <c r="M577" s="21"/>
    </row>
    <row r="578" spans="13:13" x14ac:dyDescent="0.25">
      <c r="M578" s="21"/>
    </row>
    <row r="579" spans="13:13" x14ac:dyDescent="0.25">
      <c r="M579" s="21"/>
    </row>
    <row r="580" spans="13:13" x14ac:dyDescent="0.25">
      <c r="M580" s="21"/>
    </row>
    <row r="581" spans="13:13" x14ac:dyDescent="0.25">
      <c r="M581" s="21"/>
    </row>
    <row r="582" spans="13:13" x14ac:dyDescent="0.25">
      <c r="M582" s="21"/>
    </row>
    <row r="583" spans="13:13" x14ac:dyDescent="0.25">
      <c r="M583" s="21"/>
    </row>
    <row r="584" spans="13:13" x14ac:dyDescent="0.25">
      <c r="M584" s="21"/>
    </row>
    <row r="585" spans="13:13" x14ac:dyDescent="0.25">
      <c r="M585" s="21"/>
    </row>
    <row r="586" spans="13:13" x14ac:dyDescent="0.25">
      <c r="M586" s="21"/>
    </row>
    <row r="587" spans="13:13" x14ac:dyDescent="0.25">
      <c r="M587" s="21"/>
    </row>
    <row r="588" spans="13:13" x14ac:dyDescent="0.25">
      <c r="M588" s="21"/>
    </row>
    <row r="589" spans="13:13" x14ac:dyDescent="0.25">
      <c r="M589" s="21"/>
    </row>
    <row r="590" spans="13:13" x14ac:dyDescent="0.25">
      <c r="M590" s="21"/>
    </row>
    <row r="591" spans="13:13" x14ac:dyDescent="0.25">
      <c r="M591" s="21"/>
    </row>
    <row r="592" spans="13:13" x14ac:dyDescent="0.25">
      <c r="M592" s="21"/>
    </row>
    <row r="593" spans="13:13" x14ac:dyDescent="0.25">
      <c r="M593" s="21"/>
    </row>
    <row r="594" spans="13:13" x14ac:dyDescent="0.25">
      <c r="M594" s="21"/>
    </row>
    <row r="595" spans="13:13" x14ac:dyDescent="0.25">
      <c r="M595" s="21"/>
    </row>
    <row r="596" spans="13:13" x14ac:dyDescent="0.25">
      <c r="M596" s="21"/>
    </row>
    <row r="597" spans="13:13" x14ac:dyDescent="0.25">
      <c r="M597" s="21"/>
    </row>
    <row r="598" spans="13:13" x14ac:dyDescent="0.25">
      <c r="M598" s="21"/>
    </row>
    <row r="599" spans="13:13" x14ac:dyDescent="0.25">
      <c r="M599" s="21"/>
    </row>
    <row r="600" spans="13:13" x14ac:dyDescent="0.25">
      <c r="M600" s="21"/>
    </row>
    <row r="601" spans="13:13" x14ac:dyDescent="0.25">
      <c r="M601" s="21"/>
    </row>
    <row r="602" spans="13:13" x14ac:dyDescent="0.25">
      <c r="M602" s="21"/>
    </row>
    <row r="603" spans="13:13" x14ac:dyDescent="0.25">
      <c r="M603" s="21"/>
    </row>
    <row r="604" spans="13:13" x14ac:dyDescent="0.25">
      <c r="M604" s="21"/>
    </row>
    <row r="605" spans="13:13" x14ac:dyDescent="0.25">
      <c r="M605" s="21"/>
    </row>
    <row r="606" spans="13:13" x14ac:dyDescent="0.25">
      <c r="M606" s="21"/>
    </row>
    <row r="607" spans="13:13" x14ac:dyDescent="0.25">
      <c r="M607" s="21"/>
    </row>
    <row r="608" spans="13:13" x14ac:dyDescent="0.25">
      <c r="M608" s="21"/>
    </row>
    <row r="609" spans="13:13" x14ac:dyDescent="0.25">
      <c r="M609" s="21"/>
    </row>
    <row r="610" spans="13:13" x14ac:dyDescent="0.25">
      <c r="M610" s="21"/>
    </row>
    <row r="611" spans="13:13" x14ac:dyDescent="0.25">
      <c r="M611" s="21"/>
    </row>
    <row r="612" spans="13:13" x14ac:dyDescent="0.25">
      <c r="M612" s="21"/>
    </row>
    <row r="613" spans="13:13" x14ac:dyDescent="0.25">
      <c r="M613" s="21"/>
    </row>
    <row r="614" spans="13:13" x14ac:dyDescent="0.25">
      <c r="M614" s="21"/>
    </row>
    <row r="615" spans="13:13" x14ac:dyDescent="0.25">
      <c r="M615" s="21"/>
    </row>
    <row r="616" spans="13:13" x14ac:dyDescent="0.25">
      <c r="M616" s="21"/>
    </row>
    <row r="617" spans="13:13" x14ac:dyDescent="0.25">
      <c r="M617" s="21"/>
    </row>
    <row r="618" spans="13:13" x14ac:dyDescent="0.25">
      <c r="M618" s="21"/>
    </row>
    <row r="619" spans="13:13" x14ac:dyDescent="0.25">
      <c r="M619" s="21"/>
    </row>
    <row r="620" spans="13:13" x14ac:dyDescent="0.25">
      <c r="M620" s="21"/>
    </row>
    <row r="621" spans="13:13" x14ac:dyDescent="0.25">
      <c r="M621" s="21"/>
    </row>
    <row r="622" spans="13:13" x14ac:dyDescent="0.25">
      <c r="M622" s="21"/>
    </row>
    <row r="623" spans="13:13" x14ac:dyDescent="0.25">
      <c r="M623" s="21"/>
    </row>
    <row r="624" spans="13:13" x14ac:dyDescent="0.25">
      <c r="M624" s="21"/>
    </row>
    <row r="625" spans="13:13" x14ac:dyDescent="0.25">
      <c r="M625" s="21"/>
    </row>
    <row r="626" spans="13:13" x14ac:dyDescent="0.25">
      <c r="M626" s="21"/>
    </row>
    <row r="627" spans="13:13" x14ac:dyDescent="0.25">
      <c r="M627" s="21"/>
    </row>
    <row r="628" spans="13:13" x14ac:dyDescent="0.25">
      <c r="M628" s="21"/>
    </row>
    <row r="629" spans="13:13" x14ac:dyDescent="0.25">
      <c r="M629" s="21"/>
    </row>
    <row r="630" spans="13:13" x14ac:dyDescent="0.25">
      <c r="M630" s="21"/>
    </row>
    <row r="631" spans="13:13" x14ac:dyDescent="0.25">
      <c r="M631" s="21"/>
    </row>
    <row r="632" spans="13:13" x14ac:dyDescent="0.25">
      <c r="M632" s="21"/>
    </row>
    <row r="633" spans="13:13" x14ac:dyDescent="0.25">
      <c r="M633" s="21"/>
    </row>
    <row r="634" spans="13:13" x14ac:dyDescent="0.25">
      <c r="M634" s="21"/>
    </row>
    <row r="635" spans="13:13" x14ac:dyDescent="0.25">
      <c r="M635" s="21"/>
    </row>
    <row r="636" spans="13:13" x14ac:dyDescent="0.25">
      <c r="M636" s="21"/>
    </row>
    <row r="637" spans="13:13" x14ac:dyDescent="0.25">
      <c r="M637" s="21"/>
    </row>
    <row r="638" spans="13:13" x14ac:dyDescent="0.25">
      <c r="M638" s="21"/>
    </row>
    <row r="639" spans="13:13" x14ac:dyDescent="0.25">
      <c r="M639" s="21"/>
    </row>
    <row r="640" spans="13:13" x14ac:dyDescent="0.25">
      <c r="M640" s="21"/>
    </row>
    <row r="641" spans="13:13" x14ac:dyDescent="0.25">
      <c r="M641" s="21"/>
    </row>
    <row r="642" spans="13:13" x14ac:dyDescent="0.25">
      <c r="M642" s="21"/>
    </row>
    <row r="643" spans="13:13" x14ac:dyDescent="0.25">
      <c r="M643" s="21"/>
    </row>
    <row r="644" spans="13:13" x14ac:dyDescent="0.25">
      <c r="M644" s="21"/>
    </row>
    <row r="645" spans="13:13" x14ac:dyDescent="0.25">
      <c r="M645" s="21"/>
    </row>
    <row r="646" spans="13:13" x14ac:dyDescent="0.25">
      <c r="M646" s="21"/>
    </row>
    <row r="647" spans="13:13" x14ac:dyDescent="0.25">
      <c r="M647" s="21"/>
    </row>
    <row r="648" spans="13:13" x14ac:dyDescent="0.25">
      <c r="M648" s="21"/>
    </row>
    <row r="649" spans="13:13" x14ac:dyDescent="0.25">
      <c r="M649" s="21"/>
    </row>
    <row r="650" spans="13:13" x14ac:dyDescent="0.25">
      <c r="M650" s="21"/>
    </row>
    <row r="651" spans="13:13" x14ac:dyDescent="0.25">
      <c r="M651" s="21"/>
    </row>
    <row r="652" spans="13:13" x14ac:dyDescent="0.25">
      <c r="M652" s="21"/>
    </row>
    <row r="653" spans="13:13" x14ac:dyDescent="0.25">
      <c r="M653" s="21"/>
    </row>
    <row r="654" spans="13:13" x14ac:dyDescent="0.25">
      <c r="M654" s="21"/>
    </row>
    <row r="655" spans="13:13" x14ac:dyDescent="0.25">
      <c r="M655" s="21"/>
    </row>
    <row r="656" spans="13:13" x14ac:dyDescent="0.25">
      <c r="M656" s="21"/>
    </row>
    <row r="657" spans="13:13" x14ac:dyDescent="0.25">
      <c r="M657" s="21"/>
    </row>
    <row r="658" spans="13:13" x14ac:dyDescent="0.25">
      <c r="M658" s="21"/>
    </row>
    <row r="659" spans="13:13" x14ac:dyDescent="0.25">
      <c r="M659" s="21"/>
    </row>
    <row r="660" spans="13:13" x14ac:dyDescent="0.25">
      <c r="M660" s="21"/>
    </row>
    <row r="661" spans="13:13" x14ac:dyDescent="0.25">
      <c r="M661" s="21"/>
    </row>
    <row r="662" spans="13:13" x14ac:dyDescent="0.25">
      <c r="M662" s="21"/>
    </row>
    <row r="663" spans="13:13" x14ac:dyDescent="0.25">
      <c r="M663" s="21"/>
    </row>
    <row r="664" spans="13:13" x14ac:dyDescent="0.25">
      <c r="M664" s="21"/>
    </row>
    <row r="665" spans="13:13" x14ac:dyDescent="0.25">
      <c r="M665" s="21"/>
    </row>
    <row r="666" spans="13:13" x14ac:dyDescent="0.25">
      <c r="M666" s="21"/>
    </row>
    <row r="667" spans="13:13" x14ac:dyDescent="0.25">
      <c r="M667" s="21"/>
    </row>
    <row r="668" spans="13:13" x14ac:dyDescent="0.25">
      <c r="M668" s="21"/>
    </row>
    <row r="669" spans="13:13" x14ac:dyDescent="0.25">
      <c r="M669" s="21"/>
    </row>
    <row r="670" spans="13:13" x14ac:dyDescent="0.25">
      <c r="M670" s="21"/>
    </row>
    <row r="671" spans="13:13" x14ac:dyDescent="0.25">
      <c r="M671" s="21"/>
    </row>
    <row r="672" spans="13:13" x14ac:dyDescent="0.25">
      <c r="M672" s="21"/>
    </row>
    <row r="673" spans="13:13" x14ac:dyDescent="0.25">
      <c r="M673" s="21"/>
    </row>
    <row r="674" spans="13:13" x14ac:dyDescent="0.25">
      <c r="M674" s="21"/>
    </row>
    <row r="675" spans="13:13" x14ac:dyDescent="0.25">
      <c r="M675" s="21"/>
    </row>
    <row r="676" spans="13:13" x14ac:dyDescent="0.25">
      <c r="M676" s="21"/>
    </row>
    <row r="677" spans="13:13" x14ac:dyDescent="0.25">
      <c r="M677" s="21"/>
    </row>
    <row r="678" spans="13:13" x14ac:dyDescent="0.25">
      <c r="M678" s="21"/>
    </row>
    <row r="679" spans="13:13" x14ac:dyDescent="0.25">
      <c r="M679" s="21"/>
    </row>
    <row r="680" spans="13:13" x14ac:dyDescent="0.25">
      <c r="M680" s="21"/>
    </row>
    <row r="681" spans="13:13" x14ac:dyDescent="0.25">
      <c r="M681" s="21"/>
    </row>
    <row r="682" spans="13:13" x14ac:dyDescent="0.25">
      <c r="M682" s="21"/>
    </row>
    <row r="683" spans="13:13" x14ac:dyDescent="0.25">
      <c r="M683" s="21"/>
    </row>
    <row r="684" spans="13:13" x14ac:dyDescent="0.25">
      <c r="M684" s="21"/>
    </row>
    <row r="685" spans="13:13" x14ac:dyDescent="0.25">
      <c r="M685" s="21"/>
    </row>
    <row r="686" spans="13:13" x14ac:dyDescent="0.25">
      <c r="M686" s="21"/>
    </row>
    <row r="687" spans="13:13" x14ac:dyDescent="0.25">
      <c r="M687" s="21"/>
    </row>
    <row r="688" spans="13:13" x14ac:dyDescent="0.25">
      <c r="M688" s="21"/>
    </row>
    <row r="689" spans="13:13" x14ac:dyDescent="0.25">
      <c r="M689" s="21"/>
    </row>
    <row r="690" spans="13:13" x14ac:dyDescent="0.25">
      <c r="M690" s="21"/>
    </row>
    <row r="691" spans="13:13" x14ac:dyDescent="0.25">
      <c r="M691" s="21"/>
    </row>
    <row r="692" spans="13:13" x14ac:dyDescent="0.25">
      <c r="M692" s="21"/>
    </row>
    <row r="693" spans="13:13" x14ac:dyDescent="0.25">
      <c r="M693" s="21"/>
    </row>
    <row r="694" spans="13:13" x14ac:dyDescent="0.25">
      <c r="M694" s="21"/>
    </row>
    <row r="695" spans="13:13" x14ac:dyDescent="0.25">
      <c r="M695" s="21"/>
    </row>
    <row r="696" spans="13:13" x14ac:dyDescent="0.25">
      <c r="M696" s="21"/>
    </row>
    <row r="697" spans="13:13" x14ac:dyDescent="0.25">
      <c r="M697" s="21"/>
    </row>
    <row r="698" spans="13:13" x14ac:dyDescent="0.25">
      <c r="M698" s="21"/>
    </row>
    <row r="699" spans="13:13" x14ac:dyDescent="0.25">
      <c r="M699" s="21"/>
    </row>
    <row r="700" spans="13:13" x14ac:dyDescent="0.25">
      <c r="M700" s="21"/>
    </row>
    <row r="701" spans="13:13" x14ac:dyDescent="0.25">
      <c r="M701" s="21"/>
    </row>
    <row r="702" spans="13:13" x14ac:dyDescent="0.25">
      <c r="M702" s="21"/>
    </row>
    <row r="703" spans="13:13" x14ac:dyDescent="0.25">
      <c r="M703" s="21"/>
    </row>
    <row r="704" spans="13:13" x14ac:dyDescent="0.25">
      <c r="M704" s="21"/>
    </row>
    <row r="705" spans="13:13" x14ac:dyDescent="0.25">
      <c r="M705" s="21"/>
    </row>
    <row r="706" spans="13:13" x14ac:dyDescent="0.25">
      <c r="M706" s="21"/>
    </row>
    <row r="707" spans="13:13" x14ac:dyDescent="0.25">
      <c r="M707" s="21"/>
    </row>
    <row r="708" spans="13:13" x14ac:dyDescent="0.25">
      <c r="M708" s="21"/>
    </row>
    <row r="709" spans="13:13" x14ac:dyDescent="0.25">
      <c r="M709" s="21"/>
    </row>
    <row r="710" spans="13:13" x14ac:dyDescent="0.25">
      <c r="M710" s="21"/>
    </row>
    <row r="711" spans="13:13" x14ac:dyDescent="0.25">
      <c r="M711" s="21"/>
    </row>
    <row r="712" spans="13:13" x14ac:dyDescent="0.25">
      <c r="M712" s="21"/>
    </row>
    <row r="713" spans="13:13" x14ac:dyDescent="0.25">
      <c r="M713" s="21"/>
    </row>
    <row r="714" spans="13:13" x14ac:dyDescent="0.25">
      <c r="M714" s="21"/>
    </row>
    <row r="715" spans="13:13" x14ac:dyDescent="0.25">
      <c r="M715" s="21"/>
    </row>
    <row r="716" spans="13:13" x14ac:dyDescent="0.25">
      <c r="M716" s="21"/>
    </row>
    <row r="717" spans="13:13" x14ac:dyDescent="0.25">
      <c r="M717" s="21"/>
    </row>
    <row r="718" spans="13:13" x14ac:dyDescent="0.25">
      <c r="M718" s="21"/>
    </row>
    <row r="719" spans="13:13" x14ac:dyDescent="0.25">
      <c r="M719" s="21"/>
    </row>
    <row r="720" spans="13:13" x14ac:dyDescent="0.25">
      <c r="M720" s="21"/>
    </row>
    <row r="721" spans="13:13" x14ac:dyDescent="0.25">
      <c r="M721" s="21"/>
    </row>
    <row r="722" spans="13:13" x14ac:dyDescent="0.25">
      <c r="M722" s="21"/>
    </row>
    <row r="723" spans="13:13" x14ac:dyDescent="0.25">
      <c r="M723" s="21"/>
    </row>
    <row r="724" spans="13:13" x14ac:dyDescent="0.25">
      <c r="M724" s="21"/>
    </row>
    <row r="725" spans="13:13" x14ac:dyDescent="0.25">
      <c r="M725" s="21"/>
    </row>
    <row r="726" spans="13:13" x14ac:dyDescent="0.25">
      <c r="M726" s="21"/>
    </row>
    <row r="727" spans="13:13" x14ac:dyDescent="0.25">
      <c r="M727" s="21"/>
    </row>
    <row r="728" spans="13:13" x14ac:dyDescent="0.25">
      <c r="M728" s="21"/>
    </row>
    <row r="729" spans="13:13" x14ac:dyDescent="0.25">
      <c r="M729" s="21"/>
    </row>
    <row r="730" spans="13:13" x14ac:dyDescent="0.25">
      <c r="M730" s="21"/>
    </row>
    <row r="731" spans="13:13" x14ac:dyDescent="0.25">
      <c r="M731" s="21"/>
    </row>
    <row r="732" spans="13:13" x14ac:dyDescent="0.25">
      <c r="M732" s="21"/>
    </row>
    <row r="733" spans="13:13" x14ac:dyDescent="0.25">
      <c r="M733" s="21"/>
    </row>
    <row r="734" spans="13:13" x14ac:dyDescent="0.25">
      <c r="M734" s="21"/>
    </row>
    <row r="735" spans="13:13" x14ac:dyDescent="0.25">
      <c r="M735" s="21"/>
    </row>
    <row r="736" spans="13:13" x14ac:dyDescent="0.25">
      <c r="M736" s="21"/>
    </row>
    <row r="737" spans="13:13" x14ac:dyDescent="0.25">
      <c r="M737" s="21"/>
    </row>
    <row r="738" spans="13:13" x14ac:dyDescent="0.25">
      <c r="M738" s="21"/>
    </row>
    <row r="739" spans="13:13" x14ac:dyDescent="0.25">
      <c r="M739" s="21"/>
    </row>
    <row r="740" spans="13:13" x14ac:dyDescent="0.25">
      <c r="M740" s="21"/>
    </row>
    <row r="741" spans="13:13" x14ac:dyDescent="0.25">
      <c r="M741" s="21"/>
    </row>
    <row r="742" spans="13:13" x14ac:dyDescent="0.25">
      <c r="M742" s="21"/>
    </row>
    <row r="743" spans="13:13" x14ac:dyDescent="0.25">
      <c r="M743" s="21"/>
    </row>
    <row r="744" spans="13:13" x14ac:dyDescent="0.25">
      <c r="M744" s="21"/>
    </row>
    <row r="745" spans="13:13" x14ac:dyDescent="0.25">
      <c r="M745" s="21"/>
    </row>
    <row r="746" spans="13:13" x14ac:dyDescent="0.25">
      <c r="M746" s="21"/>
    </row>
    <row r="747" spans="13:13" x14ac:dyDescent="0.25">
      <c r="M747" s="21"/>
    </row>
    <row r="748" spans="13:13" x14ac:dyDescent="0.25">
      <c r="M748" s="21"/>
    </row>
    <row r="749" spans="13:13" x14ac:dyDescent="0.25">
      <c r="M749" s="21"/>
    </row>
    <row r="750" spans="13:13" x14ac:dyDescent="0.25">
      <c r="M750" s="21"/>
    </row>
    <row r="751" spans="13:13" x14ac:dyDescent="0.25">
      <c r="M751" s="21"/>
    </row>
    <row r="752" spans="13:13" x14ac:dyDescent="0.25">
      <c r="M752" s="21"/>
    </row>
    <row r="753" spans="13:13" x14ac:dyDescent="0.25">
      <c r="M753" s="21"/>
    </row>
    <row r="754" spans="13:13" x14ac:dyDescent="0.25">
      <c r="M754" s="21"/>
    </row>
    <row r="755" spans="13:13" x14ac:dyDescent="0.25">
      <c r="M755" s="21"/>
    </row>
    <row r="756" spans="13:13" x14ac:dyDescent="0.25">
      <c r="M756" s="21"/>
    </row>
    <row r="757" spans="13:13" x14ac:dyDescent="0.25">
      <c r="M757" s="21"/>
    </row>
    <row r="758" spans="13:13" x14ac:dyDescent="0.25">
      <c r="M758" s="21"/>
    </row>
    <row r="759" spans="13:13" x14ac:dyDescent="0.25">
      <c r="M759" s="21"/>
    </row>
    <row r="760" spans="13:13" x14ac:dyDescent="0.25">
      <c r="M760" s="21"/>
    </row>
    <row r="761" spans="13:13" x14ac:dyDescent="0.25">
      <c r="M761" s="21"/>
    </row>
    <row r="762" spans="13:13" x14ac:dyDescent="0.25">
      <c r="M762" s="21"/>
    </row>
    <row r="763" spans="13:13" x14ac:dyDescent="0.25">
      <c r="M763" s="21"/>
    </row>
    <row r="764" spans="13:13" x14ac:dyDescent="0.25">
      <c r="M764" s="21"/>
    </row>
    <row r="765" spans="13:13" x14ac:dyDescent="0.25">
      <c r="M765" s="21"/>
    </row>
    <row r="766" spans="13:13" x14ac:dyDescent="0.25">
      <c r="M766" s="21"/>
    </row>
    <row r="767" spans="13:13" x14ac:dyDescent="0.25">
      <c r="M767" s="21"/>
    </row>
    <row r="768" spans="13:13" x14ac:dyDescent="0.25">
      <c r="M768" s="21"/>
    </row>
    <row r="769" spans="13:13" x14ac:dyDescent="0.25">
      <c r="M769" s="21"/>
    </row>
    <row r="770" spans="13:13" x14ac:dyDescent="0.25">
      <c r="M770" s="21"/>
    </row>
    <row r="771" spans="13:13" x14ac:dyDescent="0.25">
      <c r="M771" s="21"/>
    </row>
    <row r="772" spans="13:13" x14ac:dyDescent="0.25">
      <c r="M772" s="21"/>
    </row>
    <row r="773" spans="13:13" x14ac:dyDescent="0.25">
      <c r="M773" s="21"/>
    </row>
    <row r="774" spans="13:13" x14ac:dyDescent="0.25">
      <c r="M774" s="21"/>
    </row>
    <row r="775" spans="13:13" x14ac:dyDescent="0.25">
      <c r="M775" s="21"/>
    </row>
    <row r="776" spans="13:13" x14ac:dyDescent="0.25">
      <c r="M776" s="21"/>
    </row>
    <row r="777" spans="13:13" x14ac:dyDescent="0.25">
      <c r="M777" s="21"/>
    </row>
    <row r="778" spans="13:13" x14ac:dyDescent="0.25">
      <c r="M778" s="21"/>
    </row>
    <row r="779" spans="13:13" x14ac:dyDescent="0.25">
      <c r="M779" s="21"/>
    </row>
    <row r="780" spans="13:13" x14ac:dyDescent="0.25">
      <c r="M780" s="21"/>
    </row>
    <row r="781" spans="13:13" x14ac:dyDescent="0.25">
      <c r="M781" s="21"/>
    </row>
    <row r="782" spans="13:13" x14ac:dyDescent="0.25">
      <c r="M782" s="21"/>
    </row>
    <row r="783" spans="13:13" x14ac:dyDescent="0.25">
      <c r="M783" s="21"/>
    </row>
    <row r="784" spans="13:13" x14ac:dyDescent="0.25">
      <c r="M784" s="21"/>
    </row>
    <row r="785" spans="13:13" x14ac:dyDescent="0.25">
      <c r="M785" s="21"/>
    </row>
    <row r="786" spans="13:13" x14ac:dyDescent="0.25">
      <c r="M786" s="21"/>
    </row>
    <row r="787" spans="13:13" x14ac:dyDescent="0.25">
      <c r="M787" s="21"/>
    </row>
    <row r="788" spans="13:13" x14ac:dyDescent="0.25">
      <c r="M788" s="21"/>
    </row>
    <row r="789" spans="13:13" x14ac:dyDescent="0.25">
      <c r="M789" s="21"/>
    </row>
    <row r="790" spans="13:13" x14ac:dyDescent="0.25">
      <c r="M790" s="21"/>
    </row>
    <row r="791" spans="13:13" x14ac:dyDescent="0.25">
      <c r="M791" s="21"/>
    </row>
    <row r="792" spans="13:13" x14ac:dyDescent="0.25">
      <c r="M792" s="21"/>
    </row>
    <row r="793" spans="13:13" x14ac:dyDescent="0.25">
      <c r="M793" s="21"/>
    </row>
    <row r="794" spans="13:13" x14ac:dyDescent="0.25">
      <c r="M794" s="21"/>
    </row>
    <row r="795" spans="13:13" x14ac:dyDescent="0.25">
      <c r="M795" s="21"/>
    </row>
    <row r="796" spans="13:13" x14ac:dyDescent="0.25">
      <c r="M796" s="21"/>
    </row>
    <row r="797" spans="13:13" x14ac:dyDescent="0.25">
      <c r="M797" s="21"/>
    </row>
    <row r="798" spans="13:13" x14ac:dyDescent="0.25">
      <c r="M798" s="21"/>
    </row>
    <row r="799" spans="13:13" x14ac:dyDescent="0.25">
      <c r="M799" s="21"/>
    </row>
    <row r="800" spans="13:13" x14ac:dyDescent="0.25">
      <c r="M800" s="21"/>
    </row>
    <row r="801" spans="13:13" x14ac:dyDescent="0.25">
      <c r="M801" s="21"/>
    </row>
    <row r="802" spans="13:13" x14ac:dyDescent="0.25">
      <c r="M802" s="21"/>
    </row>
    <row r="803" spans="13:13" x14ac:dyDescent="0.25">
      <c r="M803" s="21"/>
    </row>
    <row r="804" spans="13:13" x14ac:dyDescent="0.25">
      <c r="M804" s="21"/>
    </row>
    <row r="805" spans="13:13" x14ac:dyDescent="0.25">
      <c r="M805" s="21"/>
    </row>
    <row r="806" spans="13:13" x14ac:dyDescent="0.25">
      <c r="M806" s="21"/>
    </row>
    <row r="807" spans="13:13" x14ac:dyDescent="0.25">
      <c r="M807" s="21"/>
    </row>
    <row r="808" spans="13:13" x14ac:dyDescent="0.25">
      <c r="M808" s="21"/>
    </row>
    <row r="809" spans="13:13" x14ac:dyDescent="0.25">
      <c r="M809" s="21"/>
    </row>
    <row r="810" spans="13:13" x14ac:dyDescent="0.25">
      <c r="M810" s="21"/>
    </row>
    <row r="811" spans="13:13" x14ac:dyDescent="0.25">
      <c r="M811" s="21"/>
    </row>
    <row r="812" spans="13:13" x14ac:dyDescent="0.25">
      <c r="M812" s="21"/>
    </row>
    <row r="813" spans="13:13" x14ac:dyDescent="0.25">
      <c r="M813" s="21"/>
    </row>
    <row r="814" spans="13:13" x14ac:dyDescent="0.25">
      <c r="M814" s="21"/>
    </row>
    <row r="815" spans="13:13" x14ac:dyDescent="0.25">
      <c r="M815" s="21"/>
    </row>
    <row r="816" spans="13:13" x14ac:dyDescent="0.25">
      <c r="M816" s="21"/>
    </row>
    <row r="817" spans="13:13" x14ac:dyDescent="0.25">
      <c r="M817" s="21"/>
    </row>
    <row r="818" spans="13:13" x14ac:dyDescent="0.25">
      <c r="M818" s="21"/>
    </row>
    <row r="819" spans="13:13" x14ac:dyDescent="0.25">
      <c r="M819" s="21"/>
    </row>
    <row r="820" spans="13:13" x14ac:dyDescent="0.25">
      <c r="M820" s="21"/>
    </row>
    <row r="821" spans="13:13" x14ac:dyDescent="0.25">
      <c r="M821" s="21"/>
    </row>
    <row r="822" spans="13:13" x14ac:dyDescent="0.25">
      <c r="M822" s="21"/>
    </row>
    <row r="823" spans="13:13" x14ac:dyDescent="0.25">
      <c r="M823" s="21"/>
    </row>
    <row r="824" spans="13:13" x14ac:dyDescent="0.25">
      <c r="M824" s="21"/>
    </row>
    <row r="825" spans="13:13" x14ac:dyDescent="0.25">
      <c r="M825" s="21"/>
    </row>
    <row r="826" spans="13:13" x14ac:dyDescent="0.25">
      <c r="M826" s="21"/>
    </row>
    <row r="827" spans="13:13" x14ac:dyDescent="0.25">
      <c r="M827" s="21"/>
    </row>
    <row r="828" spans="13:13" x14ac:dyDescent="0.25">
      <c r="M828" s="21"/>
    </row>
    <row r="829" spans="13:13" x14ac:dyDescent="0.25">
      <c r="M829" s="21"/>
    </row>
    <row r="830" spans="13:13" x14ac:dyDescent="0.25">
      <c r="M830" s="21"/>
    </row>
    <row r="831" spans="13:13" x14ac:dyDescent="0.25">
      <c r="M831" s="21"/>
    </row>
    <row r="832" spans="13:13" x14ac:dyDescent="0.25">
      <c r="M832" s="21"/>
    </row>
    <row r="833" spans="13:13" x14ac:dyDescent="0.25">
      <c r="M833" s="21"/>
    </row>
    <row r="834" spans="13:13" x14ac:dyDescent="0.25">
      <c r="M834" s="21"/>
    </row>
    <row r="835" spans="13:13" x14ac:dyDescent="0.25">
      <c r="M835" s="21"/>
    </row>
    <row r="836" spans="13:13" x14ac:dyDescent="0.25">
      <c r="M836" s="21"/>
    </row>
    <row r="837" spans="13:13" x14ac:dyDescent="0.25">
      <c r="M837" s="21"/>
    </row>
    <row r="838" spans="13:13" x14ac:dyDescent="0.25">
      <c r="M838" s="21"/>
    </row>
    <row r="839" spans="13:13" x14ac:dyDescent="0.25">
      <c r="M839" s="21"/>
    </row>
    <row r="840" spans="13:13" x14ac:dyDescent="0.25">
      <c r="M840" s="21"/>
    </row>
    <row r="841" spans="13:13" x14ac:dyDescent="0.25">
      <c r="M841" s="21"/>
    </row>
    <row r="842" spans="13:13" x14ac:dyDescent="0.25">
      <c r="M842" s="21"/>
    </row>
    <row r="843" spans="13:13" x14ac:dyDescent="0.25">
      <c r="M843" s="21"/>
    </row>
    <row r="844" spans="13:13" x14ac:dyDescent="0.25">
      <c r="M844" s="21"/>
    </row>
    <row r="845" spans="13:13" x14ac:dyDescent="0.25">
      <c r="M845" s="21"/>
    </row>
    <row r="846" spans="13:13" x14ac:dyDescent="0.25">
      <c r="M846" s="21"/>
    </row>
    <row r="847" spans="13:13" x14ac:dyDescent="0.25">
      <c r="M847" s="21"/>
    </row>
    <row r="848" spans="13:13" x14ac:dyDescent="0.25">
      <c r="M848" s="21"/>
    </row>
    <row r="849" spans="13:13" x14ac:dyDescent="0.25">
      <c r="M849" s="21"/>
    </row>
    <row r="850" spans="13:13" x14ac:dyDescent="0.25">
      <c r="M850" s="21"/>
    </row>
    <row r="851" spans="13:13" x14ac:dyDescent="0.25">
      <c r="M851" s="21"/>
    </row>
    <row r="852" spans="13:13" x14ac:dyDescent="0.25">
      <c r="M852" s="21"/>
    </row>
    <row r="853" spans="13:13" x14ac:dyDescent="0.25">
      <c r="M853" s="21"/>
    </row>
    <row r="854" spans="13:13" x14ac:dyDescent="0.25">
      <c r="M854" s="21"/>
    </row>
    <row r="855" spans="13:13" x14ac:dyDescent="0.25">
      <c r="M855" s="21"/>
    </row>
    <row r="856" spans="13:13" x14ac:dyDescent="0.25">
      <c r="M856" s="21"/>
    </row>
    <row r="857" spans="13:13" x14ac:dyDescent="0.25">
      <c r="M857" s="21"/>
    </row>
    <row r="858" spans="13:13" x14ac:dyDescent="0.25">
      <c r="M858" s="21"/>
    </row>
    <row r="859" spans="13:13" x14ac:dyDescent="0.25">
      <c r="M859" s="21"/>
    </row>
    <row r="860" spans="13:13" x14ac:dyDescent="0.25">
      <c r="M860" s="21"/>
    </row>
    <row r="861" spans="13:13" x14ac:dyDescent="0.25">
      <c r="M861" s="21"/>
    </row>
    <row r="862" spans="13:13" x14ac:dyDescent="0.25">
      <c r="M862" s="21"/>
    </row>
    <row r="863" spans="13:13" x14ac:dyDescent="0.25">
      <c r="M863" s="21"/>
    </row>
    <row r="864" spans="13:13" x14ac:dyDescent="0.25">
      <c r="M864" s="21"/>
    </row>
    <row r="865" spans="13:13" x14ac:dyDescent="0.25">
      <c r="M865" s="21"/>
    </row>
    <row r="866" spans="13:13" x14ac:dyDescent="0.25">
      <c r="M866" s="21"/>
    </row>
    <row r="867" spans="13:13" x14ac:dyDescent="0.25">
      <c r="M867" s="21"/>
    </row>
    <row r="868" spans="13:13" x14ac:dyDescent="0.25">
      <c r="M868" s="21"/>
    </row>
    <row r="869" spans="13:13" x14ac:dyDescent="0.25">
      <c r="M869" s="21"/>
    </row>
    <row r="870" spans="13:13" x14ac:dyDescent="0.25">
      <c r="M870" s="21"/>
    </row>
    <row r="871" spans="13:13" x14ac:dyDescent="0.25">
      <c r="M871" s="21"/>
    </row>
    <row r="872" spans="13:13" x14ac:dyDescent="0.25">
      <c r="M872" s="21"/>
    </row>
    <row r="873" spans="13:13" x14ac:dyDescent="0.25">
      <c r="M873" s="21"/>
    </row>
    <row r="874" spans="13:13" x14ac:dyDescent="0.25">
      <c r="M874" s="21"/>
    </row>
    <row r="875" spans="13:13" x14ac:dyDescent="0.25">
      <c r="M875" s="21"/>
    </row>
    <row r="876" spans="13:13" x14ac:dyDescent="0.25">
      <c r="M876" s="21"/>
    </row>
    <row r="877" spans="13:13" x14ac:dyDescent="0.25">
      <c r="M877" s="21"/>
    </row>
    <row r="878" spans="13:13" x14ac:dyDescent="0.25">
      <c r="M878" s="21"/>
    </row>
    <row r="879" spans="13:13" x14ac:dyDescent="0.25">
      <c r="M879" s="21"/>
    </row>
    <row r="880" spans="13:13" x14ac:dyDescent="0.25">
      <c r="M880" s="21"/>
    </row>
    <row r="881" spans="13:13" x14ac:dyDescent="0.25">
      <c r="M881" s="21"/>
    </row>
    <row r="882" spans="13:13" x14ac:dyDescent="0.25">
      <c r="M882" s="21"/>
    </row>
    <row r="883" spans="13:13" x14ac:dyDescent="0.25">
      <c r="M883" s="21"/>
    </row>
    <row r="884" spans="13:13" x14ac:dyDescent="0.25">
      <c r="M884" s="21"/>
    </row>
    <row r="885" spans="13:13" x14ac:dyDescent="0.25">
      <c r="M885" s="21"/>
    </row>
    <row r="886" spans="13:13" x14ac:dyDescent="0.25">
      <c r="M886" s="21"/>
    </row>
    <row r="887" spans="13:13" x14ac:dyDescent="0.25">
      <c r="M887" s="21"/>
    </row>
    <row r="888" spans="13:13" x14ac:dyDescent="0.25">
      <c r="M888" s="21"/>
    </row>
    <row r="889" spans="13:13" x14ac:dyDescent="0.25">
      <c r="M889" s="21"/>
    </row>
    <row r="890" spans="13:13" x14ac:dyDescent="0.25">
      <c r="M890" s="21"/>
    </row>
    <row r="891" spans="13:13" x14ac:dyDescent="0.25">
      <c r="M891" s="21"/>
    </row>
    <row r="892" spans="13:13" x14ac:dyDescent="0.25">
      <c r="M892" s="21"/>
    </row>
    <row r="893" spans="13:13" x14ac:dyDescent="0.25">
      <c r="M893" s="21"/>
    </row>
    <row r="894" spans="13:13" x14ac:dyDescent="0.25">
      <c r="M894" s="21"/>
    </row>
    <row r="895" spans="13:13" x14ac:dyDescent="0.25">
      <c r="M895" s="21"/>
    </row>
    <row r="896" spans="13:13" x14ac:dyDescent="0.25">
      <c r="M896" s="21"/>
    </row>
    <row r="897" spans="13:13" x14ac:dyDescent="0.25">
      <c r="M897" s="21"/>
    </row>
    <row r="898" spans="13:13" x14ac:dyDescent="0.25">
      <c r="M898" s="21"/>
    </row>
    <row r="899" spans="13:13" x14ac:dyDescent="0.25">
      <c r="M899" s="21"/>
    </row>
    <row r="900" spans="13:13" x14ac:dyDescent="0.25">
      <c r="M900" s="21"/>
    </row>
    <row r="901" spans="13:13" x14ac:dyDescent="0.25">
      <c r="M901" s="21"/>
    </row>
    <row r="902" spans="13:13" x14ac:dyDescent="0.25">
      <c r="M902" s="21"/>
    </row>
    <row r="903" spans="13:13" x14ac:dyDescent="0.25">
      <c r="M903" s="21"/>
    </row>
    <row r="904" spans="13:13" x14ac:dyDescent="0.25">
      <c r="M904" s="21"/>
    </row>
    <row r="905" spans="13:13" x14ac:dyDescent="0.25">
      <c r="M905" s="21"/>
    </row>
    <row r="906" spans="13:13" x14ac:dyDescent="0.25">
      <c r="M906" s="21"/>
    </row>
    <row r="907" spans="13:13" x14ac:dyDescent="0.25">
      <c r="M907" s="21"/>
    </row>
    <row r="908" spans="13:13" x14ac:dyDescent="0.25">
      <c r="M908" s="21"/>
    </row>
    <row r="909" spans="13:13" x14ac:dyDescent="0.25">
      <c r="M909" s="21"/>
    </row>
    <row r="910" spans="13:13" x14ac:dyDescent="0.25">
      <c r="M910" s="21"/>
    </row>
    <row r="911" spans="13:13" x14ac:dyDescent="0.25">
      <c r="M911" s="21"/>
    </row>
    <row r="912" spans="13:13" x14ac:dyDescent="0.25">
      <c r="M912" s="21"/>
    </row>
    <row r="913" spans="13:13" x14ac:dyDescent="0.25">
      <c r="M913" s="21"/>
    </row>
    <row r="914" spans="13:13" x14ac:dyDescent="0.25">
      <c r="M914" s="21"/>
    </row>
    <row r="915" spans="13:13" x14ac:dyDescent="0.25">
      <c r="M915" s="21"/>
    </row>
    <row r="916" spans="13:13" x14ac:dyDescent="0.25">
      <c r="M916" s="21"/>
    </row>
    <row r="917" spans="13:13" x14ac:dyDescent="0.25">
      <c r="M917" s="21"/>
    </row>
    <row r="918" spans="13:13" x14ac:dyDescent="0.25">
      <c r="M918" s="21"/>
    </row>
    <row r="919" spans="13:13" x14ac:dyDescent="0.25">
      <c r="M919" s="21"/>
    </row>
    <row r="920" spans="13:13" x14ac:dyDescent="0.25">
      <c r="M920" s="21"/>
    </row>
    <row r="921" spans="13:13" x14ac:dyDescent="0.25">
      <c r="M921" s="21"/>
    </row>
    <row r="922" spans="13:13" x14ac:dyDescent="0.25">
      <c r="M922" s="21"/>
    </row>
    <row r="923" spans="13:13" x14ac:dyDescent="0.25">
      <c r="M923" s="21"/>
    </row>
    <row r="924" spans="13:13" x14ac:dyDescent="0.25">
      <c r="M924" s="21"/>
    </row>
    <row r="925" spans="13:13" x14ac:dyDescent="0.25">
      <c r="M925" s="21"/>
    </row>
    <row r="926" spans="13:13" x14ac:dyDescent="0.25">
      <c r="M926" s="21"/>
    </row>
    <row r="927" spans="13:13" x14ac:dyDescent="0.25">
      <c r="M927" s="21"/>
    </row>
    <row r="928" spans="13:13" x14ac:dyDescent="0.25">
      <c r="M928" s="21"/>
    </row>
    <row r="929" spans="13:13" x14ac:dyDescent="0.25">
      <c r="M929" s="21"/>
    </row>
    <row r="930" spans="13:13" x14ac:dyDescent="0.25">
      <c r="M930" s="21"/>
    </row>
    <row r="931" spans="13:13" x14ac:dyDescent="0.25">
      <c r="M931" s="21"/>
    </row>
    <row r="932" spans="13:13" x14ac:dyDescent="0.25">
      <c r="M932" s="21"/>
    </row>
    <row r="933" spans="13:13" x14ac:dyDescent="0.25">
      <c r="M933" s="21"/>
    </row>
    <row r="934" spans="13:13" x14ac:dyDescent="0.25">
      <c r="M934" s="21"/>
    </row>
    <row r="935" spans="13:13" x14ac:dyDescent="0.25">
      <c r="M935" s="21"/>
    </row>
    <row r="936" spans="13:13" x14ac:dyDescent="0.25">
      <c r="M936" s="21"/>
    </row>
    <row r="937" spans="13:13" x14ac:dyDescent="0.25">
      <c r="M937" s="21"/>
    </row>
    <row r="938" spans="13:13" x14ac:dyDescent="0.25">
      <c r="M938" s="21"/>
    </row>
    <row r="939" spans="13:13" x14ac:dyDescent="0.25">
      <c r="M939" s="21"/>
    </row>
    <row r="940" spans="13:13" x14ac:dyDescent="0.25">
      <c r="M940" s="21"/>
    </row>
    <row r="941" spans="13:13" x14ac:dyDescent="0.25">
      <c r="M941" s="21"/>
    </row>
    <row r="942" spans="13:13" x14ac:dyDescent="0.25">
      <c r="M942" s="21"/>
    </row>
    <row r="943" spans="13:13" x14ac:dyDescent="0.25">
      <c r="M943" s="21"/>
    </row>
    <row r="944" spans="13:13" x14ac:dyDescent="0.25">
      <c r="M944" s="21"/>
    </row>
    <row r="945" spans="13:13" x14ac:dyDescent="0.25">
      <c r="M945" s="21"/>
    </row>
    <row r="946" spans="13:13" x14ac:dyDescent="0.25">
      <c r="M946" s="21"/>
    </row>
    <row r="947" spans="13:13" x14ac:dyDescent="0.25">
      <c r="M947" s="21"/>
    </row>
    <row r="948" spans="13:13" x14ac:dyDescent="0.25">
      <c r="M948" s="21"/>
    </row>
    <row r="949" spans="13:13" x14ac:dyDescent="0.25">
      <c r="M949" s="21"/>
    </row>
    <row r="950" spans="13:13" x14ac:dyDescent="0.25">
      <c r="M950" s="21"/>
    </row>
    <row r="951" spans="13:13" x14ac:dyDescent="0.25">
      <c r="M951" s="21"/>
    </row>
    <row r="952" spans="13:13" x14ac:dyDescent="0.25">
      <c r="M952" s="21"/>
    </row>
    <row r="953" spans="13:13" x14ac:dyDescent="0.25">
      <c r="M953" s="21"/>
    </row>
    <row r="954" spans="13:13" x14ac:dyDescent="0.25">
      <c r="M954" s="21"/>
    </row>
    <row r="955" spans="13:13" x14ac:dyDescent="0.25">
      <c r="M955" s="21"/>
    </row>
    <row r="956" spans="13:13" x14ac:dyDescent="0.25">
      <c r="M956" s="21"/>
    </row>
    <row r="957" spans="13:13" x14ac:dyDescent="0.25">
      <c r="M957" s="21"/>
    </row>
    <row r="958" spans="13:13" x14ac:dyDescent="0.25">
      <c r="M958" s="21"/>
    </row>
    <row r="959" spans="13:13" x14ac:dyDescent="0.25">
      <c r="M959" s="21"/>
    </row>
    <row r="960" spans="13:13" x14ac:dyDescent="0.25">
      <c r="M960" s="21"/>
    </row>
    <row r="961" spans="13:13" x14ac:dyDescent="0.25">
      <c r="M961" s="21"/>
    </row>
    <row r="962" spans="13:13" x14ac:dyDescent="0.25">
      <c r="M962" s="21"/>
    </row>
    <row r="963" spans="13:13" x14ac:dyDescent="0.25">
      <c r="M963" s="21"/>
    </row>
    <row r="964" spans="13:13" x14ac:dyDescent="0.25">
      <c r="M964" s="21"/>
    </row>
    <row r="965" spans="13:13" x14ac:dyDescent="0.25">
      <c r="M965" s="21"/>
    </row>
    <row r="966" spans="13:13" x14ac:dyDescent="0.25">
      <c r="M966" s="21"/>
    </row>
    <row r="967" spans="13:13" x14ac:dyDescent="0.25">
      <c r="M967" s="21"/>
    </row>
    <row r="968" spans="13:13" x14ac:dyDescent="0.25">
      <c r="M968" s="21"/>
    </row>
    <row r="969" spans="13:13" x14ac:dyDescent="0.25">
      <c r="M969" s="21"/>
    </row>
    <row r="970" spans="13:13" x14ac:dyDescent="0.25">
      <c r="M970" s="21"/>
    </row>
    <row r="971" spans="13:13" x14ac:dyDescent="0.25">
      <c r="M971" s="21"/>
    </row>
    <row r="972" spans="13:13" x14ac:dyDescent="0.25">
      <c r="M972" s="21"/>
    </row>
    <row r="973" spans="13:13" x14ac:dyDescent="0.25">
      <c r="M973" s="21"/>
    </row>
    <row r="974" spans="13:13" x14ac:dyDescent="0.25">
      <c r="M974" s="21"/>
    </row>
    <row r="975" spans="13:13" x14ac:dyDescent="0.25">
      <c r="M975" s="21"/>
    </row>
    <row r="976" spans="13:13" x14ac:dyDescent="0.25">
      <c r="M976" s="21"/>
    </row>
    <row r="977" spans="13:13" x14ac:dyDescent="0.25">
      <c r="M977" s="21"/>
    </row>
    <row r="978" spans="13:13" x14ac:dyDescent="0.25">
      <c r="M978" s="21"/>
    </row>
    <row r="979" spans="13:13" x14ac:dyDescent="0.25">
      <c r="M979" s="21"/>
    </row>
    <row r="980" spans="13:13" x14ac:dyDescent="0.25">
      <c r="M980" s="21"/>
    </row>
    <row r="981" spans="13:13" x14ac:dyDescent="0.25">
      <c r="M981" s="21"/>
    </row>
    <row r="982" spans="13:13" x14ac:dyDescent="0.25">
      <c r="M982" s="21"/>
    </row>
    <row r="983" spans="13:13" x14ac:dyDescent="0.25">
      <c r="M983" s="21"/>
    </row>
    <row r="984" spans="13:13" x14ac:dyDescent="0.25">
      <c r="M984" s="21"/>
    </row>
    <row r="985" spans="13:13" x14ac:dyDescent="0.25">
      <c r="M985" s="21"/>
    </row>
    <row r="986" spans="13:13" x14ac:dyDescent="0.25">
      <c r="M986" s="21"/>
    </row>
    <row r="987" spans="13:13" x14ac:dyDescent="0.25">
      <c r="M987" s="21"/>
    </row>
    <row r="988" spans="13:13" x14ac:dyDescent="0.25">
      <c r="M988" s="21"/>
    </row>
    <row r="989" spans="13:13" x14ac:dyDescent="0.25">
      <c r="M989" s="21"/>
    </row>
    <row r="990" spans="13:13" x14ac:dyDescent="0.25">
      <c r="M990" s="21"/>
    </row>
    <row r="991" spans="13:13" x14ac:dyDescent="0.25">
      <c r="M991" s="21"/>
    </row>
    <row r="992" spans="13:13" x14ac:dyDescent="0.25">
      <c r="M992" s="21"/>
    </row>
    <row r="993" spans="13:13" x14ac:dyDescent="0.25">
      <c r="M993" s="21"/>
    </row>
    <row r="994" spans="13:13" x14ac:dyDescent="0.25">
      <c r="M994" s="21"/>
    </row>
    <row r="995" spans="13:13" x14ac:dyDescent="0.25">
      <c r="M995" s="21"/>
    </row>
    <row r="996" spans="13:13" x14ac:dyDescent="0.25">
      <c r="M996" s="21"/>
    </row>
    <row r="997" spans="13:13" x14ac:dyDescent="0.25">
      <c r="M997" s="21"/>
    </row>
    <row r="998" spans="13:13" x14ac:dyDescent="0.25">
      <c r="M998" s="21"/>
    </row>
    <row r="999" spans="13:13" x14ac:dyDescent="0.25">
      <c r="M999" s="21"/>
    </row>
    <row r="1000" spans="13:13" x14ac:dyDescent="0.25">
      <c r="M1000" s="21"/>
    </row>
    <row r="1001" spans="13:13" x14ac:dyDescent="0.25">
      <c r="M1001" s="21"/>
    </row>
    <row r="1002" spans="13:13" x14ac:dyDescent="0.25">
      <c r="M1002" s="21"/>
    </row>
    <row r="1003" spans="13:13" x14ac:dyDescent="0.25">
      <c r="M1003" s="21"/>
    </row>
    <row r="1004" spans="13:13" x14ac:dyDescent="0.25">
      <c r="M1004" s="21"/>
    </row>
    <row r="1005" spans="13:13" x14ac:dyDescent="0.25">
      <c r="M1005" s="21"/>
    </row>
    <row r="1006" spans="13:13" x14ac:dyDescent="0.25">
      <c r="M1006" s="21"/>
    </row>
    <row r="1007" spans="13:13" x14ac:dyDescent="0.25">
      <c r="M1007" s="21"/>
    </row>
    <row r="1008" spans="13:13" x14ac:dyDescent="0.25">
      <c r="M1008" s="21"/>
    </row>
    <row r="1009" spans="13:13" x14ac:dyDescent="0.25">
      <c r="M1009" s="21"/>
    </row>
    <row r="1010" spans="13:13" x14ac:dyDescent="0.25">
      <c r="M1010" s="21"/>
    </row>
    <row r="1011" spans="13:13" x14ac:dyDescent="0.25">
      <c r="M1011" s="21"/>
    </row>
    <row r="1012" spans="13:13" x14ac:dyDescent="0.25">
      <c r="M1012" s="21"/>
    </row>
    <row r="1013" spans="13:13" x14ac:dyDescent="0.25">
      <c r="M1013" s="21"/>
    </row>
    <row r="1014" spans="13:13" x14ac:dyDescent="0.25">
      <c r="M1014" s="21"/>
    </row>
    <row r="1015" spans="13:13" x14ac:dyDescent="0.25">
      <c r="M1015" s="21"/>
    </row>
    <row r="1016" spans="13:13" x14ac:dyDescent="0.25">
      <c r="M1016" s="21"/>
    </row>
    <row r="1017" spans="13:13" x14ac:dyDescent="0.25">
      <c r="M1017" s="21"/>
    </row>
    <row r="1018" spans="13:13" x14ac:dyDescent="0.25">
      <c r="M1018" s="21"/>
    </row>
    <row r="1019" spans="13:13" x14ac:dyDescent="0.25">
      <c r="M1019" s="21"/>
    </row>
    <row r="1020" spans="13:13" x14ac:dyDescent="0.25">
      <c r="M1020" s="21"/>
    </row>
    <row r="1021" spans="13:13" x14ac:dyDescent="0.25">
      <c r="M1021" s="21"/>
    </row>
    <row r="1022" spans="13:13" x14ac:dyDescent="0.25">
      <c r="M1022" s="21"/>
    </row>
    <row r="1023" spans="13:13" x14ac:dyDescent="0.25">
      <c r="M1023" s="21"/>
    </row>
    <row r="1024" spans="13:13" x14ac:dyDescent="0.25">
      <c r="M1024" s="21"/>
    </row>
    <row r="1025" spans="13:13" x14ac:dyDescent="0.25">
      <c r="M1025" s="21"/>
    </row>
    <row r="1026" spans="13:13" x14ac:dyDescent="0.25">
      <c r="M1026" s="21"/>
    </row>
    <row r="1027" spans="13:13" x14ac:dyDescent="0.25">
      <c r="M1027" s="21"/>
    </row>
    <row r="1028" spans="13:13" x14ac:dyDescent="0.25">
      <c r="M1028" s="21"/>
    </row>
    <row r="1029" spans="13:13" x14ac:dyDescent="0.25">
      <c r="M1029" s="21"/>
    </row>
    <row r="1030" spans="13:13" x14ac:dyDescent="0.25">
      <c r="M1030" s="21"/>
    </row>
    <row r="1031" spans="13:13" x14ac:dyDescent="0.25">
      <c r="M1031" s="21"/>
    </row>
    <row r="1032" spans="13:13" x14ac:dyDescent="0.25">
      <c r="M1032" s="21"/>
    </row>
    <row r="1033" spans="13:13" x14ac:dyDescent="0.25">
      <c r="M1033" s="21"/>
    </row>
    <row r="1034" spans="13:13" x14ac:dyDescent="0.25">
      <c r="M1034" s="21"/>
    </row>
    <row r="1035" spans="13:13" x14ac:dyDescent="0.25">
      <c r="M1035" s="21"/>
    </row>
    <row r="1036" spans="13:13" x14ac:dyDescent="0.25">
      <c r="M1036" s="21"/>
    </row>
    <row r="1037" spans="13:13" x14ac:dyDescent="0.25">
      <c r="M1037" s="21"/>
    </row>
    <row r="1038" spans="13:13" x14ac:dyDescent="0.25">
      <c r="M1038" s="21"/>
    </row>
    <row r="1039" spans="13:13" x14ac:dyDescent="0.25">
      <c r="M1039" s="21"/>
    </row>
    <row r="1040" spans="13:13" x14ac:dyDescent="0.25">
      <c r="M1040" s="21"/>
    </row>
    <row r="1041" spans="13:13" x14ac:dyDescent="0.25">
      <c r="M1041" s="21"/>
    </row>
    <row r="1042" spans="13:13" x14ac:dyDescent="0.25">
      <c r="M1042" s="21"/>
    </row>
    <row r="1043" spans="13:13" x14ac:dyDescent="0.25">
      <c r="M1043" s="21"/>
    </row>
    <row r="1044" spans="13:13" x14ac:dyDescent="0.25">
      <c r="M1044" s="21"/>
    </row>
    <row r="1045" spans="13:13" x14ac:dyDescent="0.25">
      <c r="M1045" s="21"/>
    </row>
    <row r="1046" spans="13:13" x14ac:dyDescent="0.25">
      <c r="M1046" s="21"/>
    </row>
    <row r="1047" spans="13:13" x14ac:dyDescent="0.25">
      <c r="M1047" s="21"/>
    </row>
    <row r="1048" spans="13:13" x14ac:dyDescent="0.25">
      <c r="M1048" s="21"/>
    </row>
    <row r="1049" spans="13:13" x14ac:dyDescent="0.25">
      <c r="M1049" s="21"/>
    </row>
    <row r="1050" spans="13:13" x14ac:dyDescent="0.25">
      <c r="M1050" s="21"/>
    </row>
    <row r="1051" spans="13:13" x14ac:dyDescent="0.25">
      <c r="M1051" s="21"/>
    </row>
    <row r="1052" spans="13:13" x14ac:dyDescent="0.25">
      <c r="M1052" s="21"/>
    </row>
    <row r="1053" spans="13:13" x14ac:dyDescent="0.25">
      <c r="M1053" s="21"/>
    </row>
    <row r="1054" spans="13:13" x14ac:dyDescent="0.25">
      <c r="M1054" s="21"/>
    </row>
    <row r="1055" spans="13:13" x14ac:dyDescent="0.25">
      <c r="M1055" s="21"/>
    </row>
    <row r="1056" spans="13:13" x14ac:dyDescent="0.25">
      <c r="M1056" s="21"/>
    </row>
    <row r="1057" spans="13:13" x14ac:dyDescent="0.25">
      <c r="M1057" s="21"/>
    </row>
    <row r="1058" spans="13:13" x14ac:dyDescent="0.25">
      <c r="M1058" s="21"/>
    </row>
    <row r="1059" spans="13:13" x14ac:dyDescent="0.25">
      <c r="M1059" s="21"/>
    </row>
    <row r="1060" spans="13:13" x14ac:dyDescent="0.25">
      <c r="M1060" s="21"/>
    </row>
    <row r="1061" spans="13:13" x14ac:dyDescent="0.25">
      <c r="M1061" s="21"/>
    </row>
    <row r="1062" spans="13:13" x14ac:dyDescent="0.25">
      <c r="M1062" s="21"/>
    </row>
    <row r="1063" spans="13:13" x14ac:dyDescent="0.25">
      <c r="M1063" s="21"/>
    </row>
    <row r="1064" spans="13:13" x14ac:dyDescent="0.25">
      <c r="M1064" s="21"/>
    </row>
    <row r="1065" spans="13:13" x14ac:dyDescent="0.25">
      <c r="M1065" s="21"/>
    </row>
    <row r="1066" spans="13:13" x14ac:dyDescent="0.25">
      <c r="M1066" s="21"/>
    </row>
    <row r="1067" spans="13:13" x14ac:dyDescent="0.25">
      <c r="M1067" s="21"/>
    </row>
    <row r="1068" spans="13:13" x14ac:dyDescent="0.25">
      <c r="M1068" s="21"/>
    </row>
    <row r="1069" spans="13:13" x14ac:dyDescent="0.25">
      <c r="M1069" s="21"/>
    </row>
    <row r="1070" spans="13:13" x14ac:dyDescent="0.25">
      <c r="M1070" s="21"/>
    </row>
    <row r="1071" spans="13:13" x14ac:dyDescent="0.25">
      <c r="M1071" s="21"/>
    </row>
    <row r="1072" spans="13:13" x14ac:dyDescent="0.25">
      <c r="M1072" s="21"/>
    </row>
    <row r="1073" spans="13:13" x14ac:dyDescent="0.25">
      <c r="M1073" s="21"/>
    </row>
    <row r="1074" spans="13:13" x14ac:dyDescent="0.25">
      <c r="M1074" s="21"/>
    </row>
    <row r="1075" spans="13:13" x14ac:dyDescent="0.25">
      <c r="M1075" s="21"/>
    </row>
    <row r="1076" spans="13:13" x14ac:dyDescent="0.25">
      <c r="M1076" s="21"/>
    </row>
    <row r="1077" spans="13:13" x14ac:dyDescent="0.25">
      <c r="M1077" s="21"/>
    </row>
    <row r="1078" spans="13:13" x14ac:dyDescent="0.25">
      <c r="M1078" s="21"/>
    </row>
    <row r="1079" spans="13:13" x14ac:dyDescent="0.25">
      <c r="M1079" s="21"/>
    </row>
    <row r="1080" spans="13:13" x14ac:dyDescent="0.25">
      <c r="M1080" s="21"/>
    </row>
    <row r="1081" spans="13:13" x14ac:dyDescent="0.25">
      <c r="M1081" s="21"/>
    </row>
    <row r="1082" spans="13:13" x14ac:dyDescent="0.25">
      <c r="M1082" s="21"/>
    </row>
    <row r="1083" spans="13:13" x14ac:dyDescent="0.25">
      <c r="M1083" s="21"/>
    </row>
    <row r="1084" spans="13:13" x14ac:dyDescent="0.25">
      <c r="M1084" s="21"/>
    </row>
    <row r="1085" spans="13:13" x14ac:dyDescent="0.25">
      <c r="M1085" s="21"/>
    </row>
    <row r="1086" spans="13:13" x14ac:dyDescent="0.25">
      <c r="M1086" s="21"/>
    </row>
    <row r="1087" spans="13:13" x14ac:dyDescent="0.25">
      <c r="M1087" s="21"/>
    </row>
    <row r="1088" spans="13:13" x14ac:dyDescent="0.25">
      <c r="M1088" s="21"/>
    </row>
    <row r="1089" spans="13:13" x14ac:dyDescent="0.25">
      <c r="M1089" s="21"/>
    </row>
    <row r="1090" spans="13:13" x14ac:dyDescent="0.25">
      <c r="M1090" s="21"/>
    </row>
    <row r="1091" spans="13:13" x14ac:dyDescent="0.25">
      <c r="M1091" s="21"/>
    </row>
    <row r="1092" spans="13:13" x14ac:dyDescent="0.25">
      <c r="M1092" s="21"/>
    </row>
    <row r="1093" spans="13:13" x14ac:dyDescent="0.25">
      <c r="M1093" s="21"/>
    </row>
    <row r="1094" spans="13:13" x14ac:dyDescent="0.25">
      <c r="M1094" s="21"/>
    </row>
    <row r="1095" spans="13:13" x14ac:dyDescent="0.25">
      <c r="M1095" s="21"/>
    </row>
    <row r="1096" spans="13:13" x14ac:dyDescent="0.25">
      <c r="M1096" s="21"/>
    </row>
    <row r="1097" spans="13:13" x14ac:dyDescent="0.25">
      <c r="M1097" s="21"/>
    </row>
    <row r="1098" spans="13:13" x14ac:dyDescent="0.25">
      <c r="M1098" s="21"/>
    </row>
    <row r="1099" spans="13:13" x14ac:dyDescent="0.25">
      <c r="M1099" s="21"/>
    </row>
    <row r="1100" spans="13:13" x14ac:dyDescent="0.25">
      <c r="M1100" s="21"/>
    </row>
    <row r="1101" spans="13:13" x14ac:dyDescent="0.25">
      <c r="M1101" s="21"/>
    </row>
    <row r="1102" spans="13:13" x14ac:dyDescent="0.25">
      <c r="M1102" s="21"/>
    </row>
    <row r="1103" spans="13:13" x14ac:dyDescent="0.25">
      <c r="M1103" s="21"/>
    </row>
    <row r="1104" spans="13:13" x14ac:dyDescent="0.25">
      <c r="M1104" s="21"/>
    </row>
    <row r="1105" spans="13:13" x14ac:dyDescent="0.25">
      <c r="M1105" s="21"/>
    </row>
    <row r="1106" spans="13:13" x14ac:dyDescent="0.25">
      <c r="M1106" s="21"/>
    </row>
    <row r="1107" spans="13:13" x14ac:dyDescent="0.25">
      <c r="M1107" s="21"/>
    </row>
    <row r="1108" spans="13:13" x14ac:dyDescent="0.25">
      <c r="M1108" s="21"/>
    </row>
    <row r="1109" spans="13:13" x14ac:dyDescent="0.25">
      <c r="M1109" s="21"/>
    </row>
    <row r="1110" spans="13:13" x14ac:dyDescent="0.25">
      <c r="M1110" s="21"/>
    </row>
    <row r="1111" spans="13:13" x14ac:dyDescent="0.25">
      <c r="M1111" s="21"/>
    </row>
    <row r="1112" spans="13:13" x14ac:dyDescent="0.25">
      <c r="M1112" s="21"/>
    </row>
    <row r="1113" spans="13:13" x14ac:dyDescent="0.25">
      <c r="M1113" s="21"/>
    </row>
    <row r="1114" spans="13:13" x14ac:dyDescent="0.25">
      <c r="M1114" s="21"/>
    </row>
    <row r="1115" spans="13:13" x14ac:dyDescent="0.25">
      <c r="M1115" s="21"/>
    </row>
    <row r="1116" spans="13:13" x14ac:dyDescent="0.25">
      <c r="M1116" s="21"/>
    </row>
    <row r="1117" spans="13:13" x14ac:dyDescent="0.25">
      <c r="M1117" s="21"/>
    </row>
    <row r="1118" spans="13:13" x14ac:dyDescent="0.25">
      <c r="M1118" s="21"/>
    </row>
    <row r="1119" spans="13:13" x14ac:dyDescent="0.25">
      <c r="M1119" s="21"/>
    </row>
    <row r="1120" spans="13:13" x14ac:dyDescent="0.25">
      <c r="M1120" s="21"/>
    </row>
    <row r="1121" spans="13:13" x14ac:dyDescent="0.25">
      <c r="M1121" s="21"/>
    </row>
    <row r="1122" spans="13:13" x14ac:dyDescent="0.25">
      <c r="M1122" s="21"/>
    </row>
    <row r="1123" spans="13:13" x14ac:dyDescent="0.25">
      <c r="M1123" s="21"/>
    </row>
    <row r="1124" spans="13:13" x14ac:dyDescent="0.25">
      <c r="M1124" s="21"/>
    </row>
    <row r="1125" spans="13:13" x14ac:dyDescent="0.25">
      <c r="M1125" s="21"/>
    </row>
    <row r="1126" spans="13:13" x14ac:dyDescent="0.25">
      <c r="M1126" s="21"/>
    </row>
    <row r="1127" spans="13:13" x14ac:dyDescent="0.25">
      <c r="M1127" s="21"/>
    </row>
    <row r="1128" spans="13:13" x14ac:dyDescent="0.25">
      <c r="M1128" s="21"/>
    </row>
    <row r="1129" spans="13:13" x14ac:dyDescent="0.25">
      <c r="M1129" s="21"/>
    </row>
    <row r="1130" spans="13:13" x14ac:dyDescent="0.25">
      <c r="M1130" s="21"/>
    </row>
    <row r="1131" spans="13:13" x14ac:dyDescent="0.25">
      <c r="M1131" s="21"/>
    </row>
    <row r="1132" spans="13:13" x14ac:dyDescent="0.25">
      <c r="M1132" s="21"/>
    </row>
    <row r="1133" spans="13:13" x14ac:dyDescent="0.25">
      <c r="M1133" s="21"/>
    </row>
    <row r="1134" spans="13:13" x14ac:dyDescent="0.25">
      <c r="M1134" s="21"/>
    </row>
    <row r="1135" spans="13:13" x14ac:dyDescent="0.25">
      <c r="M1135" s="21"/>
    </row>
    <row r="1136" spans="13:13" x14ac:dyDescent="0.25">
      <c r="M1136" s="21"/>
    </row>
    <row r="1137" spans="13:13" x14ac:dyDescent="0.25">
      <c r="M1137" s="21"/>
    </row>
    <row r="1138" spans="13:13" x14ac:dyDescent="0.25">
      <c r="M1138" s="21"/>
    </row>
    <row r="1139" spans="13:13" x14ac:dyDescent="0.25">
      <c r="M1139" s="21"/>
    </row>
    <row r="1140" spans="13:13" x14ac:dyDescent="0.25">
      <c r="M1140" s="21"/>
    </row>
    <row r="1141" spans="13:13" x14ac:dyDescent="0.25">
      <c r="M1141" s="21"/>
    </row>
    <row r="1142" spans="13:13" x14ac:dyDescent="0.25">
      <c r="M1142" s="21"/>
    </row>
    <row r="1143" spans="13:13" x14ac:dyDescent="0.25">
      <c r="M1143" s="21"/>
    </row>
    <row r="1144" spans="13:13" x14ac:dyDescent="0.25">
      <c r="M1144" s="21"/>
    </row>
    <row r="1145" spans="13:13" x14ac:dyDescent="0.25">
      <c r="M1145" s="21"/>
    </row>
    <row r="1146" spans="13:13" x14ac:dyDescent="0.25">
      <c r="M1146" s="21"/>
    </row>
    <row r="1147" spans="13:13" x14ac:dyDescent="0.25">
      <c r="M1147" s="21"/>
    </row>
    <row r="1148" spans="13:13" x14ac:dyDescent="0.25">
      <c r="M1148" s="21"/>
    </row>
    <row r="1149" spans="13:13" x14ac:dyDescent="0.25">
      <c r="M1149" s="21"/>
    </row>
    <row r="1150" spans="13:13" x14ac:dyDescent="0.25">
      <c r="M1150" s="21"/>
    </row>
    <row r="1151" spans="13:13" x14ac:dyDescent="0.25">
      <c r="M1151" s="21"/>
    </row>
    <row r="1152" spans="13:13" x14ac:dyDescent="0.25">
      <c r="M1152" s="21"/>
    </row>
    <row r="1153" spans="13:13" x14ac:dyDescent="0.25">
      <c r="M1153" s="21"/>
    </row>
    <row r="1154" spans="13:13" x14ac:dyDescent="0.25">
      <c r="M1154" s="21"/>
    </row>
    <row r="1155" spans="13:13" x14ac:dyDescent="0.25">
      <c r="M1155" s="21"/>
    </row>
    <row r="1156" spans="13:13" x14ac:dyDescent="0.25">
      <c r="M1156" s="21"/>
    </row>
    <row r="1157" spans="13:13" x14ac:dyDescent="0.25">
      <c r="M1157" s="21"/>
    </row>
    <row r="1158" spans="13:13" x14ac:dyDescent="0.25">
      <c r="M1158" s="21"/>
    </row>
    <row r="1159" spans="13:13" x14ac:dyDescent="0.25">
      <c r="M1159" s="21"/>
    </row>
    <row r="1160" spans="13:13" x14ac:dyDescent="0.25">
      <c r="M1160" s="21"/>
    </row>
    <row r="1161" spans="13:13" x14ac:dyDescent="0.25">
      <c r="M1161" s="21"/>
    </row>
    <row r="1162" spans="13:13" x14ac:dyDescent="0.25">
      <c r="M1162" s="21"/>
    </row>
    <row r="1163" spans="13:13" x14ac:dyDescent="0.25">
      <c r="M1163" s="21"/>
    </row>
    <row r="1164" spans="13:13" x14ac:dyDescent="0.25">
      <c r="M1164" s="21"/>
    </row>
    <row r="1165" spans="13:13" x14ac:dyDescent="0.25">
      <c r="M1165" s="21"/>
    </row>
    <row r="1166" spans="13:13" x14ac:dyDescent="0.25">
      <c r="M1166" s="21"/>
    </row>
    <row r="1167" spans="13:13" x14ac:dyDescent="0.25">
      <c r="M1167" s="21"/>
    </row>
    <row r="1168" spans="13:13" x14ac:dyDescent="0.25">
      <c r="M1168" s="21"/>
    </row>
    <row r="1169" spans="13:13" x14ac:dyDescent="0.25">
      <c r="M1169" s="21"/>
    </row>
    <row r="1170" spans="13:13" x14ac:dyDescent="0.25">
      <c r="M1170" s="21"/>
    </row>
    <row r="1171" spans="13:13" x14ac:dyDescent="0.25">
      <c r="M1171" s="21"/>
    </row>
    <row r="1172" spans="13:13" x14ac:dyDescent="0.25">
      <c r="M1172" s="21"/>
    </row>
    <row r="1173" spans="13:13" x14ac:dyDescent="0.25">
      <c r="M1173" s="21"/>
    </row>
    <row r="1174" spans="13:13" x14ac:dyDescent="0.25">
      <c r="M1174" s="21"/>
    </row>
    <row r="1175" spans="13:13" x14ac:dyDescent="0.25">
      <c r="M1175" s="21"/>
    </row>
    <row r="1176" spans="13:13" x14ac:dyDescent="0.25">
      <c r="M1176" s="21"/>
    </row>
    <row r="1177" spans="13:13" x14ac:dyDescent="0.25">
      <c r="M1177" s="21"/>
    </row>
    <row r="1178" spans="13:13" x14ac:dyDescent="0.25">
      <c r="M1178" s="21"/>
    </row>
    <row r="1179" spans="13:13" x14ac:dyDescent="0.25">
      <c r="M1179" s="21"/>
    </row>
    <row r="1180" spans="13:13" x14ac:dyDescent="0.25">
      <c r="M1180" s="21"/>
    </row>
    <row r="1181" spans="13:13" x14ac:dyDescent="0.25">
      <c r="M1181" s="21"/>
    </row>
    <row r="1182" spans="13:13" x14ac:dyDescent="0.25">
      <c r="M1182" s="21"/>
    </row>
    <row r="1183" spans="13:13" x14ac:dyDescent="0.25">
      <c r="M1183" s="21"/>
    </row>
    <row r="1184" spans="13:13" x14ac:dyDescent="0.25">
      <c r="M1184" s="21"/>
    </row>
    <row r="1185" spans="13:13" x14ac:dyDescent="0.25">
      <c r="M1185" s="21"/>
    </row>
    <row r="1186" spans="13:13" x14ac:dyDescent="0.25">
      <c r="M1186" s="21"/>
    </row>
    <row r="1187" spans="13:13" x14ac:dyDescent="0.25">
      <c r="M1187" s="21"/>
    </row>
    <row r="1188" spans="13:13" x14ac:dyDescent="0.25">
      <c r="M1188" s="21"/>
    </row>
    <row r="1189" spans="13:13" x14ac:dyDescent="0.25">
      <c r="M1189" s="21"/>
    </row>
    <row r="1190" spans="13:13" x14ac:dyDescent="0.25">
      <c r="M1190" s="21"/>
    </row>
    <row r="1191" spans="13:13" x14ac:dyDescent="0.25">
      <c r="M1191" s="21"/>
    </row>
    <row r="1192" spans="13:13" x14ac:dyDescent="0.25">
      <c r="M1192" s="21"/>
    </row>
    <row r="1193" spans="13:13" x14ac:dyDescent="0.25">
      <c r="M1193" s="21"/>
    </row>
    <row r="1194" spans="13:13" x14ac:dyDescent="0.25">
      <c r="M1194" s="21"/>
    </row>
    <row r="1195" spans="13:13" x14ac:dyDescent="0.25">
      <c r="M1195" s="21"/>
    </row>
    <row r="1196" spans="13:13" x14ac:dyDescent="0.25">
      <c r="M1196" s="21"/>
    </row>
    <row r="1197" spans="13:13" x14ac:dyDescent="0.25">
      <c r="M1197" s="21"/>
    </row>
    <row r="1198" spans="13:13" x14ac:dyDescent="0.25">
      <c r="M1198" s="21"/>
    </row>
    <row r="1199" spans="13:13" x14ac:dyDescent="0.25">
      <c r="M1199" s="21"/>
    </row>
    <row r="1200" spans="13:13" x14ac:dyDescent="0.25">
      <c r="M1200" s="21"/>
    </row>
    <row r="1201" spans="13:13" x14ac:dyDescent="0.25">
      <c r="M1201" s="21"/>
    </row>
    <row r="1202" spans="13:13" x14ac:dyDescent="0.25">
      <c r="M1202" s="21"/>
    </row>
    <row r="1203" spans="13:13" x14ac:dyDescent="0.25">
      <c r="M1203" s="21"/>
    </row>
    <row r="1204" spans="13:13" x14ac:dyDescent="0.25">
      <c r="M1204" s="21"/>
    </row>
    <row r="1205" spans="13:13" x14ac:dyDescent="0.25">
      <c r="M1205" s="21"/>
    </row>
    <row r="1206" spans="13:13" x14ac:dyDescent="0.25">
      <c r="M1206" s="21"/>
    </row>
    <row r="1207" spans="13:13" x14ac:dyDescent="0.25">
      <c r="M1207" s="21"/>
    </row>
    <row r="1208" spans="13:13" x14ac:dyDescent="0.25">
      <c r="M1208" s="21"/>
    </row>
    <row r="1209" spans="13:13" x14ac:dyDescent="0.25">
      <c r="M1209" s="21"/>
    </row>
    <row r="1210" spans="13:13" x14ac:dyDescent="0.25">
      <c r="M1210" s="21"/>
    </row>
    <row r="1211" spans="13:13" x14ac:dyDescent="0.25">
      <c r="M1211" s="21"/>
    </row>
    <row r="1212" spans="13:13" x14ac:dyDescent="0.25">
      <c r="M1212" s="21"/>
    </row>
    <row r="1213" spans="13:13" x14ac:dyDescent="0.25">
      <c r="M1213" s="21"/>
    </row>
    <row r="1214" spans="13:13" x14ac:dyDescent="0.25">
      <c r="M1214" s="21"/>
    </row>
    <row r="1215" spans="13:13" x14ac:dyDescent="0.25">
      <c r="M1215" s="21"/>
    </row>
    <row r="1216" spans="13:13" x14ac:dyDescent="0.25">
      <c r="M1216" s="21"/>
    </row>
    <row r="1217" spans="13:13" x14ac:dyDescent="0.25">
      <c r="M1217" s="21"/>
    </row>
    <row r="1218" spans="13:13" x14ac:dyDescent="0.25">
      <c r="M1218" s="21"/>
    </row>
    <row r="1219" spans="13:13" x14ac:dyDescent="0.25">
      <c r="M1219" s="21"/>
    </row>
    <row r="1220" spans="13:13" x14ac:dyDescent="0.25">
      <c r="M1220" s="21"/>
    </row>
    <row r="1221" spans="13:13" x14ac:dyDescent="0.25">
      <c r="M1221" s="21"/>
    </row>
    <row r="1222" spans="13:13" x14ac:dyDescent="0.25">
      <c r="M1222" s="21"/>
    </row>
    <row r="1223" spans="13:13" x14ac:dyDescent="0.25">
      <c r="M1223" s="21"/>
    </row>
    <row r="1224" spans="13:13" x14ac:dyDescent="0.25">
      <c r="M1224" s="21"/>
    </row>
    <row r="1225" spans="13:13" x14ac:dyDescent="0.25">
      <c r="M1225" s="21"/>
    </row>
    <row r="1226" spans="13:13" x14ac:dyDescent="0.25">
      <c r="M1226" s="21"/>
    </row>
    <row r="1227" spans="13:13" x14ac:dyDescent="0.25">
      <c r="M1227" s="21"/>
    </row>
    <row r="1228" spans="13:13" x14ac:dyDescent="0.25">
      <c r="M1228" s="21"/>
    </row>
    <row r="1229" spans="13:13" x14ac:dyDescent="0.25">
      <c r="M1229" s="21"/>
    </row>
    <row r="1230" spans="13:13" x14ac:dyDescent="0.25">
      <c r="M1230" s="21"/>
    </row>
    <row r="1231" spans="13:13" x14ac:dyDescent="0.25">
      <c r="M1231" s="21"/>
    </row>
    <row r="1232" spans="13:13" x14ac:dyDescent="0.25">
      <c r="M1232" s="21"/>
    </row>
    <row r="1233" spans="13:13" x14ac:dyDescent="0.25">
      <c r="M1233" s="21"/>
    </row>
    <row r="1234" spans="13:13" x14ac:dyDescent="0.25">
      <c r="M1234" s="21"/>
    </row>
    <row r="1235" spans="13:13" x14ac:dyDescent="0.25">
      <c r="M1235" s="21"/>
    </row>
    <row r="1236" spans="13:13" x14ac:dyDescent="0.25">
      <c r="M1236" s="21"/>
    </row>
    <row r="1237" spans="13:13" x14ac:dyDescent="0.25">
      <c r="M1237" s="21"/>
    </row>
    <row r="1238" spans="13:13" x14ac:dyDescent="0.25">
      <c r="M1238" s="21"/>
    </row>
    <row r="1239" spans="13:13" x14ac:dyDescent="0.25">
      <c r="M1239" s="21"/>
    </row>
    <row r="1240" spans="13:13" x14ac:dyDescent="0.25">
      <c r="M1240" s="21"/>
    </row>
    <row r="1241" spans="13:13" x14ac:dyDescent="0.25">
      <c r="M1241" s="21"/>
    </row>
    <row r="1242" spans="13:13" x14ac:dyDescent="0.25">
      <c r="M1242" s="21"/>
    </row>
    <row r="1243" spans="13:13" x14ac:dyDescent="0.25">
      <c r="M1243" s="21"/>
    </row>
    <row r="1244" spans="13:13" x14ac:dyDescent="0.25">
      <c r="M1244" s="21"/>
    </row>
    <row r="1245" spans="13:13" x14ac:dyDescent="0.25">
      <c r="M1245" s="21"/>
    </row>
    <row r="1246" spans="13:13" x14ac:dyDescent="0.25">
      <c r="M1246" s="21"/>
    </row>
    <row r="1247" spans="13:13" x14ac:dyDescent="0.25">
      <c r="M1247" s="21"/>
    </row>
    <row r="1248" spans="13:13" x14ac:dyDescent="0.25">
      <c r="M1248" s="21"/>
    </row>
    <row r="1249" spans="13:13" x14ac:dyDescent="0.25">
      <c r="M1249" s="21"/>
    </row>
    <row r="1250" spans="13:13" x14ac:dyDescent="0.25">
      <c r="M1250" s="21"/>
    </row>
    <row r="1251" spans="13:13" x14ac:dyDescent="0.25">
      <c r="M1251" s="21"/>
    </row>
    <row r="1252" spans="13:13" x14ac:dyDescent="0.25">
      <c r="M1252" s="21"/>
    </row>
    <row r="1253" spans="13:13" x14ac:dyDescent="0.25">
      <c r="M1253" s="21"/>
    </row>
    <row r="1254" spans="13:13" x14ac:dyDescent="0.25">
      <c r="M1254" s="21"/>
    </row>
    <row r="1255" spans="13:13" x14ac:dyDescent="0.25">
      <c r="M1255" s="21"/>
    </row>
    <row r="1256" spans="13:13" x14ac:dyDescent="0.25">
      <c r="M1256" s="21"/>
    </row>
    <row r="1257" spans="13:13" x14ac:dyDescent="0.25">
      <c r="M1257" s="21"/>
    </row>
    <row r="1258" spans="13:13" x14ac:dyDescent="0.25">
      <c r="M1258" s="21"/>
    </row>
    <row r="1259" spans="13:13" x14ac:dyDescent="0.25">
      <c r="M1259" s="21"/>
    </row>
    <row r="1260" spans="13:13" x14ac:dyDescent="0.25">
      <c r="M1260" s="21"/>
    </row>
    <row r="1261" spans="13:13" x14ac:dyDescent="0.25">
      <c r="M1261" s="21"/>
    </row>
    <row r="1262" spans="13:13" x14ac:dyDescent="0.25">
      <c r="M1262" s="21"/>
    </row>
    <row r="1263" spans="13:13" x14ac:dyDescent="0.25">
      <c r="M1263" s="21"/>
    </row>
    <row r="1264" spans="13:13" x14ac:dyDescent="0.25">
      <c r="M1264" s="21"/>
    </row>
    <row r="1265" spans="13:13" x14ac:dyDescent="0.25">
      <c r="M1265" s="21"/>
    </row>
    <row r="1266" spans="13:13" x14ac:dyDescent="0.25">
      <c r="M1266" s="21"/>
    </row>
    <row r="1267" spans="13:13" x14ac:dyDescent="0.25">
      <c r="M1267" s="21"/>
    </row>
    <row r="1268" spans="13:13" x14ac:dyDescent="0.25">
      <c r="M1268" s="21"/>
    </row>
    <row r="1269" spans="13:13" x14ac:dyDescent="0.25">
      <c r="M1269" s="21"/>
    </row>
    <row r="1270" spans="13:13" x14ac:dyDescent="0.25">
      <c r="M1270" s="21"/>
    </row>
    <row r="1271" spans="13:13" x14ac:dyDescent="0.25">
      <c r="M1271" s="21"/>
    </row>
    <row r="1272" spans="13:13" x14ac:dyDescent="0.25">
      <c r="M1272" s="21"/>
    </row>
    <row r="1273" spans="13:13" x14ac:dyDescent="0.25">
      <c r="M1273" s="21"/>
    </row>
    <row r="1274" spans="13:13" x14ac:dyDescent="0.25">
      <c r="M1274" s="21"/>
    </row>
    <row r="1275" spans="13:13" x14ac:dyDescent="0.25">
      <c r="M1275" s="21"/>
    </row>
    <row r="1276" spans="13:13" x14ac:dyDescent="0.25">
      <c r="M1276" s="21"/>
    </row>
    <row r="1277" spans="13:13" x14ac:dyDescent="0.25">
      <c r="M1277" s="21"/>
    </row>
    <row r="1278" spans="13:13" x14ac:dyDescent="0.25">
      <c r="M1278" s="21"/>
    </row>
    <row r="1279" spans="13:13" x14ac:dyDescent="0.25">
      <c r="M1279" s="21"/>
    </row>
    <row r="1280" spans="13:13" x14ac:dyDescent="0.25">
      <c r="M1280" s="21"/>
    </row>
    <row r="1281" spans="13:13" x14ac:dyDescent="0.25">
      <c r="M1281" s="21"/>
    </row>
    <row r="1282" spans="13:13" x14ac:dyDescent="0.25">
      <c r="M1282" s="21"/>
    </row>
    <row r="1283" spans="13:13" x14ac:dyDescent="0.25">
      <c r="M1283" s="21"/>
    </row>
    <row r="1284" spans="13:13" x14ac:dyDescent="0.25">
      <c r="M1284" s="21"/>
    </row>
    <row r="1285" spans="13:13" x14ac:dyDescent="0.25">
      <c r="M1285" s="21"/>
    </row>
    <row r="1286" spans="13:13" x14ac:dyDescent="0.25">
      <c r="M1286" s="21"/>
    </row>
    <row r="1287" spans="13:13" x14ac:dyDescent="0.25">
      <c r="M1287" s="21"/>
    </row>
    <row r="1288" spans="13:13" x14ac:dyDescent="0.25">
      <c r="M1288" s="21"/>
    </row>
    <row r="1289" spans="13:13" x14ac:dyDescent="0.25">
      <c r="M1289" s="21"/>
    </row>
    <row r="1290" spans="13:13" x14ac:dyDescent="0.25">
      <c r="M1290" s="21"/>
    </row>
    <row r="1291" spans="13:13" x14ac:dyDescent="0.25">
      <c r="M1291" s="21"/>
    </row>
    <row r="1292" spans="13:13" x14ac:dyDescent="0.25">
      <c r="M1292" s="21"/>
    </row>
    <row r="1293" spans="13:13" x14ac:dyDescent="0.25">
      <c r="M1293" s="21"/>
    </row>
    <row r="1294" spans="13:13" x14ac:dyDescent="0.25">
      <c r="M1294" s="21"/>
    </row>
    <row r="1295" spans="13:13" x14ac:dyDescent="0.25">
      <c r="M1295" s="21"/>
    </row>
    <row r="1296" spans="13:13" x14ac:dyDescent="0.25">
      <c r="M1296" s="21"/>
    </row>
    <row r="1297" spans="13:13" x14ac:dyDescent="0.25">
      <c r="M1297" s="21"/>
    </row>
    <row r="1298" spans="13:13" x14ac:dyDescent="0.25">
      <c r="M1298" s="21"/>
    </row>
    <row r="1299" spans="13:13" x14ac:dyDescent="0.25">
      <c r="M1299" s="21"/>
    </row>
    <row r="1300" spans="13:13" x14ac:dyDescent="0.25">
      <c r="M1300" s="21"/>
    </row>
    <row r="1301" spans="13:13" x14ac:dyDescent="0.25">
      <c r="M1301" s="21"/>
    </row>
    <row r="1302" spans="13:13" x14ac:dyDescent="0.25">
      <c r="M1302" s="21"/>
    </row>
    <row r="1303" spans="13:13" x14ac:dyDescent="0.25">
      <c r="M1303" s="21"/>
    </row>
    <row r="1304" spans="13:13" x14ac:dyDescent="0.25">
      <c r="M1304" s="21"/>
    </row>
    <row r="1305" spans="13:13" x14ac:dyDescent="0.25">
      <c r="M1305" s="21"/>
    </row>
    <row r="1306" spans="13:13" x14ac:dyDescent="0.25">
      <c r="M1306" s="21"/>
    </row>
    <row r="1307" spans="13:13" x14ac:dyDescent="0.25">
      <c r="M1307" s="21"/>
    </row>
    <row r="1308" spans="13:13" x14ac:dyDescent="0.25">
      <c r="M1308" s="21"/>
    </row>
    <row r="1309" spans="13:13" x14ac:dyDescent="0.25">
      <c r="M1309" s="21"/>
    </row>
    <row r="1310" spans="13:13" x14ac:dyDescent="0.25">
      <c r="M1310" s="21"/>
    </row>
    <row r="1311" spans="13:13" x14ac:dyDescent="0.25">
      <c r="M1311" s="21"/>
    </row>
    <row r="1312" spans="13:13" x14ac:dyDescent="0.25">
      <c r="M1312" s="21"/>
    </row>
    <row r="1313" spans="13:13" x14ac:dyDescent="0.25">
      <c r="M1313" s="21"/>
    </row>
    <row r="1314" spans="13:13" x14ac:dyDescent="0.25">
      <c r="M1314" s="21"/>
    </row>
    <row r="1315" spans="13:13" x14ac:dyDescent="0.25">
      <c r="M1315" s="21"/>
    </row>
    <row r="1316" spans="13:13" x14ac:dyDescent="0.25">
      <c r="M1316" s="21"/>
    </row>
    <row r="1317" spans="13:13" x14ac:dyDescent="0.25">
      <c r="M1317" s="21"/>
    </row>
    <row r="1318" spans="13:13" x14ac:dyDescent="0.25">
      <c r="M1318" s="21"/>
    </row>
    <row r="1319" spans="13:13" x14ac:dyDescent="0.25">
      <c r="M1319" s="21"/>
    </row>
    <row r="1320" spans="13:13" x14ac:dyDescent="0.25">
      <c r="M1320" s="21"/>
    </row>
    <row r="1321" spans="13:13" x14ac:dyDescent="0.25">
      <c r="M1321" s="21"/>
    </row>
    <row r="1322" spans="13:13" x14ac:dyDescent="0.25">
      <c r="M1322" s="21"/>
    </row>
    <row r="1323" spans="13:13" x14ac:dyDescent="0.25">
      <c r="M1323" s="21"/>
    </row>
    <row r="1324" spans="13:13" x14ac:dyDescent="0.25">
      <c r="M1324" s="21"/>
    </row>
    <row r="1325" spans="13:13" x14ac:dyDescent="0.25">
      <c r="M1325" s="21"/>
    </row>
    <row r="1326" spans="13:13" x14ac:dyDescent="0.25">
      <c r="M1326" s="21"/>
    </row>
    <row r="1327" spans="13:13" x14ac:dyDescent="0.25">
      <c r="M1327" s="21"/>
    </row>
    <row r="1328" spans="13:13" x14ac:dyDescent="0.25">
      <c r="M1328" s="21"/>
    </row>
    <row r="1329" spans="13:13" x14ac:dyDescent="0.25">
      <c r="M1329" s="21"/>
    </row>
    <row r="1330" spans="13:13" x14ac:dyDescent="0.25">
      <c r="M1330" s="21"/>
    </row>
    <row r="1331" spans="13:13" x14ac:dyDescent="0.25">
      <c r="M1331" s="21"/>
    </row>
    <row r="1332" spans="13:13" x14ac:dyDescent="0.25">
      <c r="M1332" s="21"/>
    </row>
    <row r="1333" spans="13:13" x14ac:dyDescent="0.25">
      <c r="M1333" s="21"/>
    </row>
    <row r="1334" spans="13:13" x14ac:dyDescent="0.25">
      <c r="M1334" s="21"/>
    </row>
    <row r="1335" spans="13:13" x14ac:dyDescent="0.25">
      <c r="M1335" s="21"/>
    </row>
    <row r="1336" spans="13:13" x14ac:dyDescent="0.25">
      <c r="M1336" s="21"/>
    </row>
    <row r="1337" spans="13:13" x14ac:dyDescent="0.25">
      <c r="M1337" s="21"/>
    </row>
    <row r="1338" spans="13:13" x14ac:dyDescent="0.25">
      <c r="M1338" s="21"/>
    </row>
    <row r="1339" spans="13:13" x14ac:dyDescent="0.25">
      <c r="M1339" s="21"/>
    </row>
    <row r="1340" spans="13:13" x14ac:dyDescent="0.25">
      <c r="M1340" s="21"/>
    </row>
    <row r="1341" spans="13:13" x14ac:dyDescent="0.25">
      <c r="M1341" s="21"/>
    </row>
    <row r="1342" spans="13:13" x14ac:dyDescent="0.25">
      <c r="M1342" s="21"/>
    </row>
    <row r="1343" spans="13:13" x14ac:dyDescent="0.25">
      <c r="M1343" s="21"/>
    </row>
    <row r="1344" spans="13:13" x14ac:dyDescent="0.25">
      <c r="M1344" s="21"/>
    </row>
    <row r="1345" spans="13:13" x14ac:dyDescent="0.25">
      <c r="M1345" s="21"/>
    </row>
    <row r="1346" spans="13:13" x14ac:dyDescent="0.25">
      <c r="M1346" s="21"/>
    </row>
    <row r="1347" spans="13:13" x14ac:dyDescent="0.25">
      <c r="M1347" s="21"/>
    </row>
    <row r="1348" spans="13:13" x14ac:dyDescent="0.25">
      <c r="M1348" s="21"/>
    </row>
    <row r="1349" spans="13:13" x14ac:dyDescent="0.25">
      <c r="M1349" s="21"/>
    </row>
    <row r="1350" spans="13:13" x14ac:dyDescent="0.25">
      <c r="M1350" s="21"/>
    </row>
    <row r="1351" spans="13:13" x14ac:dyDescent="0.25">
      <c r="M1351" s="21"/>
    </row>
    <row r="1352" spans="13:13" x14ac:dyDescent="0.25">
      <c r="M1352" s="21"/>
    </row>
    <row r="1353" spans="13:13" x14ac:dyDescent="0.25">
      <c r="M1353" s="21"/>
    </row>
    <row r="1354" spans="13:13" x14ac:dyDescent="0.25">
      <c r="M1354" s="21"/>
    </row>
    <row r="1355" spans="13:13" x14ac:dyDescent="0.25">
      <c r="M1355" s="21"/>
    </row>
    <row r="1356" spans="13:13" x14ac:dyDescent="0.25">
      <c r="M1356" s="21"/>
    </row>
    <row r="1357" spans="13:13" x14ac:dyDescent="0.25">
      <c r="M1357" s="21"/>
    </row>
    <row r="1358" spans="13:13" x14ac:dyDescent="0.25">
      <c r="M1358" s="21"/>
    </row>
    <row r="1359" spans="13:13" x14ac:dyDescent="0.25">
      <c r="M1359" s="21"/>
    </row>
    <row r="1360" spans="13:13" x14ac:dyDescent="0.25">
      <c r="M1360" s="21"/>
    </row>
    <row r="1361" spans="13:13" x14ac:dyDescent="0.25">
      <c r="M1361" s="21"/>
    </row>
    <row r="1362" spans="13:13" x14ac:dyDescent="0.25">
      <c r="M1362" s="21"/>
    </row>
    <row r="1363" spans="13:13" x14ac:dyDescent="0.25">
      <c r="M1363" s="21"/>
    </row>
    <row r="1364" spans="13:13" x14ac:dyDescent="0.25">
      <c r="M1364" s="21"/>
    </row>
    <row r="1365" spans="13:13" x14ac:dyDescent="0.25">
      <c r="M1365" s="21"/>
    </row>
    <row r="1366" spans="13:13" x14ac:dyDescent="0.25">
      <c r="M1366" s="21"/>
    </row>
    <row r="1367" spans="13:13" x14ac:dyDescent="0.25">
      <c r="M1367" s="21"/>
    </row>
    <row r="1368" spans="13:13" x14ac:dyDescent="0.25">
      <c r="M1368" s="21"/>
    </row>
    <row r="1369" spans="13:13" x14ac:dyDescent="0.25">
      <c r="M1369" s="21"/>
    </row>
    <row r="1370" spans="13:13" x14ac:dyDescent="0.25">
      <c r="M1370" s="21"/>
    </row>
    <row r="1371" spans="13:13" x14ac:dyDescent="0.25">
      <c r="M1371" s="21"/>
    </row>
    <row r="1372" spans="13:13" x14ac:dyDescent="0.25">
      <c r="M1372" s="21"/>
    </row>
    <row r="1373" spans="13:13" x14ac:dyDescent="0.25">
      <c r="M1373" s="21"/>
    </row>
    <row r="1374" spans="13:13" x14ac:dyDescent="0.25">
      <c r="M1374" s="21"/>
    </row>
    <row r="1375" spans="13:13" x14ac:dyDescent="0.25">
      <c r="M1375" s="21"/>
    </row>
    <row r="1376" spans="13:13" x14ac:dyDescent="0.25">
      <c r="M1376" s="21"/>
    </row>
    <row r="1377" spans="13:13" x14ac:dyDescent="0.25">
      <c r="M1377" s="21"/>
    </row>
    <row r="1378" spans="13:13" x14ac:dyDescent="0.25">
      <c r="M1378" s="21"/>
    </row>
    <row r="1379" spans="13:13" x14ac:dyDescent="0.25">
      <c r="M1379" s="21"/>
    </row>
    <row r="1380" spans="13:13" x14ac:dyDescent="0.25">
      <c r="M1380" s="21"/>
    </row>
    <row r="1381" spans="13:13" x14ac:dyDescent="0.25">
      <c r="M1381" s="21"/>
    </row>
    <row r="1382" spans="13:13" x14ac:dyDescent="0.25">
      <c r="M1382" s="21"/>
    </row>
    <row r="1383" spans="13:13" x14ac:dyDescent="0.25">
      <c r="M1383" s="21"/>
    </row>
    <row r="1384" spans="13:13" x14ac:dyDescent="0.25">
      <c r="M1384" s="21"/>
    </row>
    <row r="1385" spans="13:13" x14ac:dyDescent="0.25">
      <c r="M1385" s="21"/>
    </row>
    <row r="1386" spans="13:13" x14ac:dyDescent="0.25">
      <c r="M1386" s="21"/>
    </row>
    <row r="1387" spans="13:13" x14ac:dyDescent="0.25">
      <c r="M1387" s="21"/>
    </row>
    <row r="1388" spans="13:13" x14ac:dyDescent="0.25">
      <c r="M1388" s="21"/>
    </row>
    <row r="1389" spans="13:13" x14ac:dyDescent="0.25">
      <c r="M1389" s="21"/>
    </row>
    <row r="1390" spans="13:13" x14ac:dyDescent="0.25">
      <c r="M1390" s="21"/>
    </row>
    <row r="1391" spans="13:13" x14ac:dyDescent="0.25">
      <c r="M1391" s="21"/>
    </row>
    <row r="1392" spans="13:13" x14ac:dyDescent="0.25">
      <c r="M1392" s="21"/>
    </row>
    <row r="1393" spans="13:13" x14ac:dyDescent="0.25">
      <c r="M1393" s="21"/>
    </row>
    <row r="1394" spans="13:13" x14ac:dyDescent="0.25">
      <c r="M1394" s="21"/>
    </row>
    <row r="1395" spans="13:13" x14ac:dyDescent="0.25">
      <c r="M1395" s="21"/>
    </row>
    <row r="1396" spans="13:13" x14ac:dyDescent="0.25">
      <c r="M1396" s="21"/>
    </row>
    <row r="1397" spans="13:13" x14ac:dyDescent="0.25">
      <c r="M1397" s="21"/>
    </row>
    <row r="1398" spans="13:13" x14ac:dyDescent="0.25">
      <c r="M1398" s="21"/>
    </row>
    <row r="1399" spans="13:13" x14ac:dyDescent="0.25">
      <c r="M1399" s="21"/>
    </row>
    <row r="1400" spans="13:13" x14ac:dyDescent="0.25">
      <c r="M1400" s="21"/>
    </row>
    <row r="1401" spans="13:13" x14ac:dyDescent="0.25">
      <c r="M1401" s="21"/>
    </row>
    <row r="1402" spans="13:13" x14ac:dyDescent="0.25">
      <c r="M1402" s="21"/>
    </row>
    <row r="1403" spans="13:13" x14ac:dyDescent="0.25">
      <c r="M1403" s="21"/>
    </row>
    <row r="1404" spans="13:13" x14ac:dyDescent="0.25">
      <c r="M1404" s="21"/>
    </row>
    <row r="1405" spans="13:13" x14ac:dyDescent="0.25">
      <c r="M1405" s="21"/>
    </row>
    <row r="1406" spans="13:13" x14ac:dyDescent="0.25">
      <c r="M1406" s="21"/>
    </row>
    <row r="1407" spans="13:13" x14ac:dyDescent="0.25">
      <c r="M1407" s="21"/>
    </row>
    <row r="1408" spans="13:13" x14ac:dyDescent="0.25">
      <c r="M1408" s="21"/>
    </row>
    <row r="1409" spans="13:13" x14ac:dyDescent="0.25">
      <c r="M1409" s="21"/>
    </row>
    <row r="1410" spans="13:13" x14ac:dyDescent="0.25">
      <c r="M1410" s="21"/>
    </row>
    <row r="1411" spans="13:13" x14ac:dyDescent="0.25">
      <c r="M1411" s="21"/>
    </row>
    <row r="1412" spans="13:13" x14ac:dyDescent="0.25">
      <c r="M1412" s="21"/>
    </row>
    <row r="1413" spans="13:13" x14ac:dyDescent="0.25">
      <c r="M1413" s="21"/>
    </row>
    <row r="1414" spans="13:13" x14ac:dyDescent="0.25">
      <c r="M1414" s="21"/>
    </row>
    <row r="1415" spans="13:13" x14ac:dyDescent="0.25">
      <c r="M1415" s="21"/>
    </row>
    <row r="1416" spans="13:13" x14ac:dyDescent="0.25">
      <c r="M1416" s="21"/>
    </row>
    <row r="1417" spans="13:13" x14ac:dyDescent="0.25">
      <c r="M1417" s="21"/>
    </row>
    <row r="1418" spans="13:13" x14ac:dyDescent="0.25">
      <c r="M1418" s="21"/>
    </row>
    <row r="1419" spans="13:13" x14ac:dyDescent="0.25">
      <c r="M1419" s="21"/>
    </row>
    <row r="1420" spans="13:13" x14ac:dyDescent="0.25">
      <c r="M1420" s="21"/>
    </row>
    <row r="1421" spans="13:13" x14ac:dyDescent="0.25">
      <c r="M1421" s="21"/>
    </row>
    <row r="1422" spans="13:13" x14ac:dyDescent="0.25">
      <c r="M1422" s="21"/>
    </row>
    <row r="1423" spans="13:13" x14ac:dyDescent="0.25">
      <c r="M1423" s="21"/>
    </row>
    <row r="1424" spans="13:13" x14ac:dyDescent="0.25">
      <c r="M1424" s="21"/>
    </row>
    <row r="1425" spans="13:13" x14ac:dyDescent="0.25">
      <c r="M1425" s="21"/>
    </row>
    <row r="1426" spans="13:13" x14ac:dyDescent="0.25">
      <c r="M1426" s="21"/>
    </row>
    <row r="1427" spans="13:13" x14ac:dyDescent="0.25">
      <c r="M1427" s="21"/>
    </row>
    <row r="1428" spans="13:13" x14ac:dyDescent="0.25">
      <c r="M1428" s="21"/>
    </row>
    <row r="1429" spans="13:13" x14ac:dyDescent="0.25">
      <c r="M1429" s="21"/>
    </row>
    <row r="1430" spans="13:13" x14ac:dyDescent="0.25">
      <c r="M1430" s="21"/>
    </row>
    <row r="1431" spans="13:13" x14ac:dyDescent="0.25">
      <c r="M1431" s="21"/>
    </row>
    <row r="1432" spans="13:13" x14ac:dyDescent="0.25">
      <c r="M1432" s="21"/>
    </row>
    <row r="1433" spans="13:13" x14ac:dyDescent="0.25">
      <c r="M1433" s="21"/>
    </row>
    <row r="1434" spans="13:13" x14ac:dyDescent="0.25">
      <c r="M1434" s="21"/>
    </row>
    <row r="1435" spans="13:13" x14ac:dyDescent="0.25">
      <c r="M1435" s="21"/>
    </row>
    <row r="1436" spans="13:13" x14ac:dyDescent="0.25">
      <c r="M1436" s="21"/>
    </row>
    <row r="1437" spans="13:13" x14ac:dyDescent="0.25">
      <c r="M1437" s="21"/>
    </row>
    <row r="1438" spans="13:13" x14ac:dyDescent="0.25">
      <c r="M1438" s="21"/>
    </row>
    <row r="1439" spans="13:13" x14ac:dyDescent="0.25">
      <c r="M1439" s="21"/>
    </row>
    <row r="1440" spans="13:13" x14ac:dyDescent="0.25">
      <c r="M1440" s="21"/>
    </row>
    <row r="1441" spans="13:13" x14ac:dyDescent="0.25">
      <c r="M1441" s="21"/>
    </row>
    <row r="1442" spans="13:13" x14ac:dyDescent="0.25">
      <c r="M1442" s="21"/>
    </row>
    <row r="1443" spans="13:13" x14ac:dyDescent="0.25">
      <c r="M1443" s="21"/>
    </row>
    <row r="1444" spans="13:13" x14ac:dyDescent="0.25">
      <c r="M1444" s="21"/>
    </row>
    <row r="1445" spans="13:13" x14ac:dyDescent="0.25">
      <c r="M1445" s="21"/>
    </row>
    <row r="1446" spans="13:13" x14ac:dyDescent="0.25">
      <c r="M1446" s="21"/>
    </row>
    <row r="1447" spans="13:13" x14ac:dyDescent="0.25">
      <c r="M1447" s="21"/>
    </row>
    <row r="1448" spans="13:13" x14ac:dyDescent="0.25">
      <c r="M1448" s="21"/>
    </row>
    <row r="1449" spans="13:13" x14ac:dyDescent="0.25">
      <c r="M1449" s="21"/>
    </row>
    <row r="1450" spans="13:13" x14ac:dyDescent="0.25">
      <c r="M1450" s="21"/>
    </row>
    <row r="1451" spans="13:13" x14ac:dyDescent="0.25">
      <c r="M1451" s="21"/>
    </row>
    <row r="1452" spans="13:13" x14ac:dyDescent="0.25">
      <c r="M1452" s="21"/>
    </row>
    <row r="1453" spans="13:13" x14ac:dyDescent="0.25">
      <c r="M1453" s="21"/>
    </row>
    <row r="1454" spans="13:13" x14ac:dyDescent="0.25">
      <c r="M1454" s="21"/>
    </row>
    <row r="1455" spans="13:13" x14ac:dyDescent="0.25">
      <c r="M1455" s="21"/>
    </row>
    <row r="1456" spans="13:13" x14ac:dyDescent="0.25">
      <c r="M1456" s="21"/>
    </row>
    <row r="1457" spans="13:13" x14ac:dyDescent="0.25">
      <c r="M1457" s="21"/>
    </row>
    <row r="1458" spans="13:13" x14ac:dyDescent="0.25">
      <c r="M1458" s="21"/>
    </row>
    <row r="1459" spans="13:13" x14ac:dyDescent="0.25">
      <c r="M1459" s="21"/>
    </row>
    <row r="1460" spans="13:13" x14ac:dyDescent="0.25">
      <c r="M1460" s="21"/>
    </row>
    <row r="1461" spans="13:13" x14ac:dyDescent="0.25">
      <c r="M1461" s="21"/>
    </row>
    <row r="1462" spans="13:13" x14ac:dyDescent="0.25">
      <c r="M1462" s="21"/>
    </row>
    <row r="1463" spans="13:13" x14ac:dyDescent="0.25">
      <c r="M1463" s="21"/>
    </row>
    <row r="1464" spans="13:13" x14ac:dyDescent="0.25">
      <c r="M1464" s="21"/>
    </row>
    <row r="1465" spans="13:13" x14ac:dyDescent="0.25">
      <c r="M1465" s="21"/>
    </row>
    <row r="1466" spans="13:13" x14ac:dyDescent="0.25">
      <c r="M1466" s="21"/>
    </row>
    <row r="1467" spans="13:13" x14ac:dyDescent="0.25">
      <c r="M1467" s="21"/>
    </row>
    <row r="1468" spans="13:13" x14ac:dyDescent="0.25">
      <c r="M1468" s="21"/>
    </row>
    <row r="1469" spans="13:13" x14ac:dyDescent="0.25">
      <c r="M1469" s="21"/>
    </row>
    <row r="1470" spans="13:13" x14ac:dyDescent="0.25">
      <c r="M1470" s="21"/>
    </row>
    <row r="1471" spans="13:13" x14ac:dyDescent="0.25">
      <c r="M1471" s="21"/>
    </row>
    <row r="1472" spans="13:13" x14ac:dyDescent="0.25">
      <c r="M1472" s="21"/>
    </row>
    <row r="1473" spans="13:13" x14ac:dyDescent="0.25">
      <c r="M1473" s="21"/>
    </row>
    <row r="1474" spans="13:13" x14ac:dyDescent="0.25">
      <c r="M1474" s="21"/>
    </row>
    <row r="1475" spans="13:13" x14ac:dyDescent="0.25">
      <c r="M1475" s="21"/>
    </row>
    <row r="1476" spans="13:13" x14ac:dyDescent="0.25">
      <c r="M1476" s="21"/>
    </row>
    <row r="1477" spans="13:13" x14ac:dyDescent="0.25">
      <c r="M1477" s="21"/>
    </row>
    <row r="1478" spans="13:13" x14ac:dyDescent="0.25">
      <c r="M1478" s="21"/>
    </row>
    <row r="1479" spans="13:13" x14ac:dyDescent="0.25">
      <c r="M1479" s="21"/>
    </row>
    <row r="1480" spans="13:13" x14ac:dyDescent="0.25">
      <c r="M1480" s="21"/>
    </row>
    <row r="1481" spans="13:13" x14ac:dyDescent="0.25">
      <c r="M1481" s="21"/>
    </row>
    <row r="1482" spans="13:13" x14ac:dyDescent="0.25">
      <c r="M1482" s="21"/>
    </row>
    <row r="1483" spans="13:13" x14ac:dyDescent="0.25">
      <c r="M1483" s="21"/>
    </row>
    <row r="1484" spans="13:13" x14ac:dyDescent="0.25">
      <c r="M1484" s="21"/>
    </row>
    <row r="1485" spans="13:13" x14ac:dyDescent="0.25">
      <c r="M1485" s="21"/>
    </row>
    <row r="1486" spans="13:13" x14ac:dyDescent="0.25">
      <c r="M1486" s="21"/>
    </row>
    <row r="1487" spans="13:13" x14ac:dyDescent="0.25">
      <c r="M1487" s="21"/>
    </row>
    <row r="1488" spans="13:13" x14ac:dyDescent="0.25">
      <c r="M1488" s="21"/>
    </row>
    <row r="1489" spans="13:13" x14ac:dyDescent="0.25">
      <c r="M1489" s="21"/>
    </row>
    <row r="1490" spans="13:13" x14ac:dyDescent="0.25">
      <c r="M1490" s="21"/>
    </row>
    <row r="1491" spans="13:13" x14ac:dyDescent="0.25">
      <c r="M1491" s="21"/>
    </row>
    <row r="1492" spans="13:13" x14ac:dyDescent="0.25">
      <c r="M1492" s="21"/>
    </row>
    <row r="1493" spans="13:13" x14ac:dyDescent="0.25">
      <c r="M1493" s="21"/>
    </row>
    <row r="1494" spans="13:13" x14ac:dyDescent="0.25">
      <c r="M1494" s="21"/>
    </row>
    <row r="1495" spans="13:13" x14ac:dyDescent="0.25">
      <c r="M1495" s="21"/>
    </row>
    <row r="1496" spans="13:13" x14ac:dyDescent="0.25">
      <c r="M1496" s="21"/>
    </row>
    <row r="1497" spans="13:13" x14ac:dyDescent="0.25">
      <c r="M1497" s="21"/>
    </row>
    <row r="1498" spans="13:13" x14ac:dyDescent="0.25">
      <c r="M1498" s="21"/>
    </row>
    <row r="1499" spans="13:13" x14ac:dyDescent="0.25">
      <c r="M1499" s="21"/>
    </row>
    <row r="1500" spans="13:13" x14ac:dyDescent="0.25">
      <c r="M1500" s="21"/>
    </row>
    <row r="1501" spans="13:13" x14ac:dyDescent="0.25">
      <c r="M1501" s="21"/>
    </row>
    <row r="1502" spans="13:13" x14ac:dyDescent="0.25">
      <c r="M1502" s="21"/>
    </row>
    <row r="1503" spans="13:13" x14ac:dyDescent="0.25">
      <c r="M1503" s="21"/>
    </row>
    <row r="1504" spans="13:13" x14ac:dyDescent="0.25">
      <c r="M1504" s="21"/>
    </row>
    <row r="1505" spans="13:13" x14ac:dyDescent="0.25">
      <c r="M1505" s="21"/>
    </row>
    <row r="1506" spans="13:13" x14ac:dyDescent="0.25">
      <c r="M1506" s="21"/>
    </row>
    <row r="1507" spans="13:13" x14ac:dyDescent="0.25">
      <c r="M1507" s="21"/>
    </row>
    <row r="1508" spans="13:13" x14ac:dyDescent="0.25">
      <c r="M1508" s="21"/>
    </row>
    <row r="1509" spans="13:13" x14ac:dyDescent="0.25">
      <c r="M1509" s="21"/>
    </row>
    <row r="1510" spans="13:13" x14ac:dyDescent="0.25">
      <c r="M1510" s="21"/>
    </row>
    <row r="1511" spans="13:13" x14ac:dyDescent="0.25">
      <c r="M1511" s="21"/>
    </row>
    <row r="1512" spans="13:13" x14ac:dyDescent="0.25">
      <c r="M1512" s="21"/>
    </row>
    <row r="1513" spans="13:13" x14ac:dyDescent="0.25">
      <c r="M1513" s="21"/>
    </row>
    <row r="1514" spans="13:13" x14ac:dyDescent="0.25">
      <c r="M1514" s="21"/>
    </row>
    <row r="1515" spans="13:13" x14ac:dyDescent="0.25">
      <c r="M1515" s="21"/>
    </row>
    <row r="1516" spans="13:13" x14ac:dyDescent="0.25">
      <c r="M1516" s="21"/>
    </row>
    <row r="1517" spans="13:13" x14ac:dyDescent="0.25">
      <c r="M1517" s="21"/>
    </row>
    <row r="1518" spans="13:13" x14ac:dyDescent="0.25">
      <c r="M1518" s="21"/>
    </row>
    <row r="1519" spans="13:13" x14ac:dyDescent="0.25">
      <c r="M1519" s="21"/>
    </row>
    <row r="1520" spans="13:13" x14ac:dyDescent="0.25">
      <c r="M1520" s="21"/>
    </row>
    <row r="1521" spans="13:13" x14ac:dyDescent="0.25">
      <c r="M1521" s="21"/>
    </row>
    <row r="1522" spans="13:13" x14ac:dyDescent="0.25">
      <c r="M1522" s="21"/>
    </row>
    <row r="1523" spans="13:13" x14ac:dyDescent="0.25">
      <c r="M1523" s="21"/>
    </row>
    <row r="1524" spans="13:13" x14ac:dyDescent="0.25">
      <c r="M1524" s="21"/>
    </row>
    <row r="1525" spans="13:13" x14ac:dyDescent="0.25">
      <c r="M1525" s="21"/>
    </row>
    <row r="1526" spans="13:13" x14ac:dyDescent="0.25">
      <c r="M1526" s="21"/>
    </row>
    <row r="1527" spans="13:13" x14ac:dyDescent="0.25">
      <c r="M1527" s="21"/>
    </row>
    <row r="1528" spans="13:13" x14ac:dyDescent="0.25">
      <c r="M1528" s="21"/>
    </row>
    <row r="1529" spans="13:13" x14ac:dyDescent="0.25">
      <c r="M1529" s="21"/>
    </row>
    <row r="1530" spans="13:13" x14ac:dyDescent="0.25">
      <c r="M1530" s="21"/>
    </row>
    <row r="1531" spans="13:13" x14ac:dyDescent="0.25">
      <c r="M1531" s="21"/>
    </row>
    <row r="1532" spans="13:13" x14ac:dyDescent="0.25">
      <c r="M1532" s="21"/>
    </row>
    <row r="1533" spans="13:13" x14ac:dyDescent="0.25">
      <c r="M1533" s="21"/>
    </row>
    <row r="1534" spans="13:13" x14ac:dyDescent="0.25">
      <c r="M1534" s="21"/>
    </row>
    <row r="1535" spans="13:13" x14ac:dyDescent="0.25">
      <c r="M1535" s="21"/>
    </row>
    <row r="1536" spans="13:13" x14ac:dyDescent="0.25">
      <c r="M1536" s="21"/>
    </row>
    <row r="1537" spans="13:13" x14ac:dyDescent="0.25">
      <c r="M1537" s="21"/>
    </row>
    <row r="1538" spans="13:13" x14ac:dyDescent="0.25">
      <c r="M1538" s="21"/>
    </row>
    <row r="1539" spans="13:13" x14ac:dyDescent="0.25">
      <c r="M1539" s="21"/>
    </row>
    <row r="1540" spans="13:13" x14ac:dyDescent="0.25">
      <c r="M1540" s="21"/>
    </row>
    <row r="1541" spans="13:13" x14ac:dyDescent="0.25">
      <c r="M1541" s="21"/>
    </row>
    <row r="1542" spans="13:13" x14ac:dyDescent="0.25">
      <c r="M1542" s="21"/>
    </row>
    <row r="1543" spans="13:13" x14ac:dyDescent="0.25">
      <c r="M1543" s="21"/>
    </row>
    <row r="1544" spans="13:13" x14ac:dyDescent="0.25">
      <c r="M1544" s="21"/>
    </row>
    <row r="1545" spans="13:13" x14ac:dyDescent="0.25">
      <c r="M1545" s="21"/>
    </row>
    <row r="1546" spans="13:13" x14ac:dyDescent="0.25">
      <c r="M1546" s="21"/>
    </row>
    <row r="1547" spans="13:13" x14ac:dyDescent="0.25">
      <c r="M1547" s="21"/>
    </row>
    <row r="1548" spans="13:13" x14ac:dyDescent="0.25">
      <c r="M1548" s="21"/>
    </row>
    <row r="1549" spans="13:13" x14ac:dyDescent="0.25">
      <c r="M1549" s="21"/>
    </row>
    <row r="1550" spans="13:13" x14ac:dyDescent="0.25">
      <c r="M1550" s="21"/>
    </row>
    <row r="1551" spans="13:13" x14ac:dyDescent="0.25">
      <c r="M1551" s="21"/>
    </row>
    <row r="1552" spans="13:13" x14ac:dyDescent="0.25">
      <c r="M1552" s="21"/>
    </row>
    <row r="1553" spans="13:13" x14ac:dyDescent="0.25">
      <c r="M1553" s="21"/>
    </row>
    <row r="1554" spans="13:13" x14ac:dyDescent="0.25">
      <c r="M1554" s="21"/>
    </row>
    <row r="1555" spans="13:13" x14ac:dyDescent="0.25">
      <c r="M1555" s="21"/>
    </row>
    <row r="1556" spans="13:13" x14ac:dyDescent="0.25">
      <c r="M1556" s="21"/>
    </row>
    <row r="1557" spans="13:13" x14ac:dyDescent="0.25">
      <c r="M1557" s="21"/>
    </row>
    <row r="1558" spans="13:13" x14ac:dyDescent="0.25">
      <c r="M1558" s="21"/>
    </row>
    <row r="1559" spans="13:13" x14ac:dyDescent="0.25">
      <c r="M1559" s="21"/>
    </row>
    <row r="1560" spans="13:13" x14ac:dyDescent="0.25">
      <c r="M1560" s="21"/>
    </row>
    <row r="1561" spans="13:13" x14ac:dyDescent="0.25">
      <c r="M1561" s="21"/>
    </row>
    <row r="1562" spans="13:13" x14ac:dyDescent="0.25">
      <c r="M1562" s="21"/>
    </row>
    <row r="1563" spans="13:13" x14ac:dyDescent="0.25">
      <c r="M1563" s="21"/>
    </row>
    <row r="1564" spans="13:13" x14ac:dyDescent="0.25">
      <c r="M1564" s="21"/>
    </row>
    <row r="1565" spans="13:13" x14ac:dyDescent="0.25">
      <c r="M1565" s="21"/>
    </row>
    <row r="1566" spans="13:13" x14ac:dyDescent="0.25">
      <c r="M1566" s="21"/>
    </row>
    <row r="1567" spans="13:13" x14ac:dyDescent="0.25">
      <c r="M1567" s="21"/>
    </row>
    <row r="1568" spans="13:13" x14ac:dyDescent="0.25">
      <c r="M1568" s="21"/>
    </row>
    <row r="1569" spans="13:13" x14ac:dyDescent="0.25">
      <c r="M1569" s="21"/>
    </row>
    <row r="1570" spans="13:13" x14ac:dyDescent="0.25">
      <c r="M1570" s="21"/>
    </row>
    <row r="1571" spans="13:13" x14ac:dyDescent="0.25">
      <c r="M1571" s="21"/>
    </row>
    <row r="1572" spans="13:13" x14ac:dyDescent="0.25">
      <c r="M1572" s="21"/>
    </row>
    <row r="1573" spans="13:13" x14ac:dyDescent="0.25">
      <c r="M1573" s="21"/>
    </row>
    <row r="1574" spans="13:13" x14ac:dyDescent="0.25">
      <c r="M1574" s="21"/>
    </row>
    <row r="1575" spans="13:13" x14ac:dyDescent="0.25">
      <c r="M1575" s="21"/>
    </row>
    <row r="1576" spans="13:13" x14ac:dyDescent="0.25">
      <c r="M1576" s="21"/>
    </row>
    <row r="1577" spans="13:13" x14ac:dyDescent="0.25">
      <c r="M1577" s="21"/>
    </row>
    <row r="1578" spans="13:13" x14ac:dyDescent="0.25">
      <c r="M1578" s="21"/>
    </row>
    <row r="1579" spans="13:13" x14ac:dyDescent="0.25">
      <c r="M1579" s="21"/>
    </row>
    <row r="1580" spans="13:13" x14ac:dyDescent="0.25">
      <c r="M1580" s="21"/>
    </row>
    <row r="1581" spans="13:13" x14ac:dyDescent="0.25">
      <c r="M1581" s="21"/>
    </row>
    <row r="1582" spans="13:13" x14ac:dyDescent="0.25">
      <c r="M1582" s="21"/>
    </row>
    <row r="1583" spans="13:13" x14ac:dyDescent="0.25">
      <c r="M1583" s="21"/>
    </row>
    <row r="1584" spans="13:13" x14ac:dyDescent="0.25">
      <c r="M1584" s="21"/>
    </row>
    <row r="1585" spans="13:13" x14ac:dyDescent="0.25">
      <c r="M1585" s="21"/>
    </row>
    <row r="1586" spans="13:13" x14ac:dyDescent="0.25">
      <c r="M1586" s="21"/>
    </row>
    <row r="1587" spans="13:13" x14ac:dyDescent="0.25">
      <c r="M1587" s="21"/>
    </row>
    <row r="1588" spans="13:13" x14ac:dyDescent="0.25">
      <c r="M1588" s="21"/>
    </row>
    <row r="1589" spans="13:13" x14ac:dyDescent="0.25">
      <c r="M1589" s="21"/>
    </row>
    <row r="1590" spans="13:13" x14ac:dyDescent="0.25">
      <c r="M1590" s="21"/>
    </row>
    <row r="1591" spans="13:13" x14ac:dyDescent="0.25">
      <c r="M1591" s="21"/>
    </row>
    <row r="1592" spans="13:13" x14ac:dyDescent="0.25">
      <c r="M1592" s="21"/>
    </row>
    <row r="1593" spans="13:13" x14ac:dyDescent="0.25">
      <c r="M1593" s="21"/>
    </row>
    <row r="1594" spans="13:13" x14ac:dyDescent="0.25">
      <c r="M1594" s="21"/>
    </row>
    <row r="1595" spans="13:13" x14ac:dyDescent="0.25">
      <c r="M1595" s="21"/>
    </row>
    <row r="1596" spans="13:13" x14ac:dyDescent="0.25">
      <c r="M1596" s="21"/>
    </row>
    <row r="1597" spans="13:13" x14ac:dyDescent="0.25">
      <c r="M1597" s="21"/>
    </row>
    <row r="1598" spans="13:13" x14ac:dyDescent="0.25">
      <c r="M1598" s="21"/>
    </row>
    <row r="1599" spans="13:13" x14ac:dyDescent="0.25">
      <c r="M1599" s="21"/>
    </row>
    <row r="1600" spans="13:13" x14ac:dyDescent="0.25">
      <c r="M1600" s="21"/>
    </row>
    <row r="1601" spans="13:13" x14ac:dyDescent="0.25">
      <c r="M1601" s="21"/>
    </row>
    <row r="1602" spans="13:13" x14ac:dyDescent="0.25">
      <c r="M1602" s="21"/>
    </row>
    <row r="1603" spans="13:13" x14ac:dyDescent="0.25">
      <c r="M1603" s="21"/>
    </row>
    <row r="1604" spans="13:13" x14ac:dyDescent="0.25">
      <c r="M1604" s="21"/>
    </row>
    <row r="1605" spans="13:13" x14ac:dyDescent="0.25">
      <c r="M1605" s="21"/>
    </row>
    <row r="1606" spans="13:13" x14ac:dyDescent="0.25">
      <c r="M1606" s="21"/>
    </row>
    <row r="1607" spans="13:13" x14ac:dyDescent="0.25">
      <c r="M1607" s="21"/>
    </row>
    <row r="1608" spans="13:13" x14ac:dyDescent="0.25">
      <c r="M1608" s="21"/>
    </row>
    <row r="1609" spans="13:13" x14ac:dyDescent="0.25">
      <c r="M1609" s="21"/>
    </row>
    <row r="1610" spans="13:13" x14ac:dyDescent="0.25">
      <c r="M1610" s="21"/>
    </row>
    <row r="1611" spans="13:13" x14ac:dyDescent="0.25">
      <c r="M1611" s="21"/>
    </row>
    <row r="1612" spans="13:13" x14ac:dyDescent="0.25">
      <c r="M1612" s="21"/>
    </row>
    <row r="1613" spans="13:13" x14ac:dyDescent="0.25">
      <c r="M1613" s="21"/>
    </row>
    <row r="1614" spans="13:13" x14ac:dyDescent="0.25">
      <c r="M1614" s="21"/>
    </row>
    <row r="1615" spans="13:13" x14ac:dyDescent="0.25">
      <c r="M1615" s="21"/>
    </row>
    <row r="1616" spans="13:13" x14ac:dyDescent="0.25">
      <c r="M1616" s="21"/>
    </row>
    <row r="1617" spans="13:13" x14ac:dyDescent="0.25">
      <c r="M1617" s="21"/>
    </row>
    <row r="1618" spans="13:13" x14ac:dyDescent="0.25">
      <c r="M1618" s="21"/>
    </row>
    <row r="1619" spans="13:13" x14ac:dyDescent="0.25">
      <c r="M1619" s="21"/>
    </row>
    <row r="1620" spans="13:13" x14ac:dyDescent="0.25">
      <c r="M1620" s="21"/>
    </row>
    <row r="1621" spans="13:13" x14ac:dyDescent="0.25">
      <c r="M1621" s="21"/>
    </row>
    <row r="1622" spans="13:13" x14ac:dyDescent="0.25">
      <c r="M1622" s="21"/>
    </row>
    <row r="1623" spans="13:13" x14ac:dyDescent="0.25">
      <c r="M1623" s="21"/>
    </row>
    <row r="1624" spans="13:13" x14ac:dyDescent="0.25">
      <c r="M1624" s="21"/>
    </row>
    <row r="1625" spans="13:13" x14ac:dyDescent="0.25">
      <c r="M1625" s="21"/>
    </row>
    <row r="1626" spans="13:13" x14ac:dyDescent="0.25">
      <c r="M1626" s="21"/>
    </row>
    <row r="1627" spans="13:13" x14ac:dyDescent="0.25">
      <c r="M1627" s="21"/>
    </row>
    <row r="1628" spans="13:13" x14ac:dyDescent="0.25">
      <c r="M1628" s="21"/>
    </row>
    <row r="1629" spans="13:13" x14ac:dyDescent="0.25">
      <c r="M1629" s="21"/>
    </row>
    <row r="1630" spans="13:13" x14ac:dyDescent="0.25">
      <c r="M1630" s="21"/>
    </row>
    <row r="1631" spans="13:13" x14ac:dyDescent="0.25">
      <c r="M1631" s="21"/>
    </row>
    <row r="1632" spans="13:13" x14ac:dyDescent="0.25">
      <c r="M1632" s="21"/>
    </row>
    <row r="1633" spans="13:13" x14ac:dyDescent="0.25">
      <c r="M1633" s="21"/>
    </row>
    <row r="1634" spans="13:13" x14ac:dyDescent="0.25">
      <c r="M1634" s="21"/>
    </row>
    <row r="1635" spans="13:13" x14ac:dyDescent="0.25">
      <c r="M1635" s="21"/>
    </row>
    <row r="1636" spans="13:13" x14ac:dyDescent="0.25">
      <c r="M1636" s="21"/>
    </row>
    <row r="1637" spans="13:13" x14ac:dyDescent="0.25">
      <c r="M1637" s="21"/>
    </row>
    <row r="1638" spans="13:13" x14ac:dyDescent="0.25">
      <c r="M1638" s="21"/>
    </row>
    <row r="1639" spans="13:13" x14ac:dyDescent="0.25">
      <c r="M1639" s="21"/>
    </row>
    <row r="1640" spans="13:13" x14ac:dyDescent="0.25">
      <c r="M1640" s="21"/>
    </row>
    <row r="1641" spans="13:13" x14ac:dyDescent="0.25">
      <c r="M1641" s="21"/>
    </row>
    <row r="1642" spans="13:13" x14ac:dyDescent="0.25">
      <c r="M1642" s="21"/>
    </row>
    <row r="1643" spans="13:13" x14ac:dyDescent="0.25">
      <c r="M1643" s="21"/>
    </row>
    <row r="1644" spans="13:13" x14ac:dyDescent="0.25">
      <c r="M1644" s="21"/>
    </row>
    <row r="1645" spans="13:13" x14ac:dyDescent="0.25">
      <c r="M1645" s="21"/>
    </row>
    <row r="1646" spans="13:13" x14ac:dyDescent="0.25">
      <c r="M1646" s="21"/>
    </row>
    <row r="1647" spans="13:13" x14ac:dyDescent="0.25">
      <c r="M1647" s="21"/>
    </row>
    <row r="1648" spans="13:13" x14ac:dyDescent="0.25">
      <c r="M1648" s="21"/>
    </row>
    <row r="1649" spans="13:13" x14ac:dyDescent="0.25">
      <c r="M1649" s="21"/>
    </row>
    <row r="1650" spans="13:13" x14ac:dyDescent="0.25">
      <c r="M1650" s="21"/>
    </row>
    <row r="1651" spans="13:13" x14ac:dyDescent="0.25">
      <c r="M1651" s="21"/>
    </row>
    <row r="1652" spans="13:13" x14ac:dyDescent="0.25">
      <c r="M1652" s="21"/>
    </row>
    <row r="1653" spans="13:13" x14ac:dyDescent="0.25">
      <c r="M1653" s="21"/>
    </row>
    <row r="1654" spans="13:13" x14ac:dyDescent="0.25">
      <c r="M1654" s="21"/>
    </row>
    <row r="1655" spans="13:13" x14ac:dyDescent="0.25">
      <c r="M1655" s="21"/>
    </row>
    <row r="1656" spans="13:13" x14ac:dyDescent="0.25">
      <c r="M1656" s="21"/>
    </row>
    <row r="1657" spans="13:13" x14ac:dyDescent="0.25">
      <c r="M1657" s="21"/>
    </row>
    <row r="1658" spans="13:13" x14ac:dyDescent="0.25">
      <c r="M1658" s="21"/>
    </row>
    <row r="1659" spans="13:13" x14ac:dyDescent="0.25">
      <c r="M1659" s="21"/>
    </row>
    <row r="1660" spans="13:13" x14ac:dyDescent="0.25">
      <c r="M1660" s="21"/>
    </row>
    <row r="1661" spans="13:13" x14ac:dyDescent="0.25">
      <c r="M1661" s="21"/>
    </row>
    <row r="1662" spans="13:13" x14ac:dyDescent="0.25">
      <c r="M1662" s="21"/>
    </row>
    <row r="1663" spans="13:13" x14ac:dyDescent="0.25">
      <c r="M1663" s="21"/>
    </row>
    <row r="1664" spans="13:13" x14ac:dyDescent="0.25">
      <c r="M1664" s="21"/>
    </row>
    <row r="1665" spans="13:13" x14ac:dyDescent="0.25">
      <c r="M1665" s="21"/>
    </row>
    <row r="1666" spans="13:13" x14ac:dyDescent="0.25">
      <c r="M1666" s="21"/>
    </row>
    <row r="1667" spans="13:13" x14ac:dyDescent="0.25">
      <c r="M1667" s="21"/>
    </row>
    <row r="1668" spans="13:13" x14ac:dyDescent="0.25">
      <c r="M1668" s="21"/>
    </row>
    <row r="1669" spans="13:13" x14ac:dyDescent="0.25">
      <c r="M1669" s="21"/>
    </row>
    <row r="1670" spans="13:13" x14ac:dyDescent="0.25">
      <c r="M1670" s="21"/>
    </row>
    <row r="1671" spans="13:13" x14ac:dyDescent="0.25">
      <c r="M1671" s="21"/>
    </row>
    <row r="1672" spans="13:13" x14ac:dyDescent="0.25">
      <c r="M1672" s="21"/>
    </row>
    <row r="1673" spans="13:13" x14ac:dyDescent="0.25">
      <c r="M1673" s="21"/>
    </row>
    <row r="1674" spans="13:13" x14ac:dyDescent="0.25">
      <c r="M1674" s="21"/>
    </row>
    <row r="1675" spans="13:13" x14ac:dyDescent="0.25">
      <c r="M1675" s="21"/>
    </row>
    <row r="1676" spans="13:13" x14ac:dyDescent="0.25">
      <c r="M1676" s="21"/>
    </row>
    <row r="1677" spans="13:13" x14ac:dyDescent="0.25">
      <c r="M1677" s="21"/>
    </row>
    <row r="1678" spans="13:13" x14ac:dyDescent="0.25">
      <c r="M1678" s="21"/>
    </row>
    <row r="1679" spans="13:13" x14ac:dyDescent="0.25">
      <c r="M1679" s="21"/>
    </row>
    <row r="1680" spans="13:13" x14ac:dyDescent="0.25">
      <c r="M1680" s="21"/>
    </row>
    <row r="1681" spans="13:13" x14ac:dyDescent="0.25">
      <c r="M1681" s="21"/>
    </row>
    <row r="1682" spans="13:13" x14ac:dyDescent="0.25">
      <c r="M1682" s="21"/>
    </row>
    <row r="1683" spans="13:13" x14ac:dyDescent="0.25">
      <c r="M1683" s="21"/>
    </row>
    <row r="1684" spans="13:13" x14ac:dyDescent="0.25">
      <c r="M1684" s="21"/>
    </row>
    <row r="1685" spans="13:13" x14ac:dyDescent="0.25">
      <c r="M1685" s="21"/>
    </row>
    <row r="1686" spans="13:13" x14ac:dyDescent="0.25">
      <c r="M1686" s="21"/>
    </row>
    <row r="1687" spans="13:13" x14ac:dyDescent="0.25">
      <c r="M1687" s="21"/>
    </row>
    <row r="1688" spans="13:13" x14ac:dyDescent="0.25">
      <c r="M1688" s="21"/>
    </row>
    <row r="1689" spans="13:13" x14ac:dyDescent="0.25">
      <c r="M1689" s="21"/>
    </row>
    <row r="1690" spans="13:13" x14ac:dyDescent="0.25">
      <c r="M1690" s="21"/>
    </row>
    <row r="1691" spans="13:13" x14ac:dyDescent="0.25">
      <c r="M1691" s="21"/>
    </row>
    <row r="1692" spans="13:13" x14ac:dyDescent="0.25">
      <c r="M1692" s="21"/>
    </row>
    <row r="1693" spans="13:13" x14ac:dyDescent="0.25">
      <c r="M1693" s="21"/>
    </row>
    <row r="1694" spans="13:13" x14ac:dyDescent="0.25">
      <c r="M1694" s="21"/>
    </row>
    <row r="1695" spans="13:13" x14ac:dyDescent="0.25">
      <c r="M1695" s="21"/>
    </row>
    <row r="1696" spans="13:13" x14ac:dyDescent="0.25">
      <c r="M1696" s="21"/>
    </row>
    <row r="1697" spans="13:13" x14ac:dyDescent="0.25">
      <c r="M1697" s="21"/>
    </row>
    <row r="1698" spans="13:13" x14ac:dyDescent="0.25">
      <c r="M1698" s="21"/>
    </row>
    <row r="1699" spans="13:13" x14ac:dyDescent="0.25">
      <c r="M1699" s="21"/>
    </row>
    <row r="1700" spans="13:13" x14ac:dyDescent="0.25">
      <c r="M1700" s="21"/>
    </row>
    <row r="1701" spans="13:13" x14ac:dyDescent="0.25">
      <c r="M1701" s="21"/>
    </row>
    <row r="1702" spans="13:13" x14ac:dyDescent="0.25">
      <c r="M1702" s="21"/>
    </row>
    <row r="1703" spans="13:13" x14ac:dyDescent="0.25">
      <c r="M1703" s="21"/>
    </row>
    <row r="1704" spans="13:13" x14ac:dyDescent="0.25">
      <c r="M1704" s="21"/>
    </row>
    <row r="1705" spans="13:13" x14ac:dyDescent="0.25">
      <c r="M1705" s="21"/>
    </row>
    <row r="1706" spans="13:13" x14ac:dyDescent="0.25">
      <c r="M1706" s="21"/>
    </row>
    <row r="1707" spans="13:13" x14ac:dyDescent="0.25">
      <c r="M1707" s="21"/>
    </row>
    <row r="1708" spans="13:13" x14ac:dyDescent="0.25">
      <c r="M1708" s="21"/>
    </row>
    <row r="1709" spans="13:13" x14ac:dyDescent="0.25">
      <c r="M1709" s="21"/>
    </row>
    <row r="1710" spans="13:13" x14ac:dyDescent="0.25">
      <c r="M1710" s="21"/>
    </row>
    <row r="1711" spans="13:13" x14ac:dyDescent="0.25">
      <c r="M1711" s="21"/>
    </row>
    <row r="1712" spans="13:13" x14ac:dyDescent="0.25">
      <c r="M1712" s="21"/>
    </row>
    <row r="1713" spans="13:13" x14ac:dyDescent="0.25">
      <c r="M1713" s="21"/>
    </row>
    <row r="1714" spans="13:13" x14ac:dyDescent="0.25">
      <c r="M1714" s="21"/>
    </row>
    <row r="1715" spans="13:13" x14ac:dyDescent="0.25">
      <c r="M1715" s="21"/>
    </row>
    <row r="1716" spans="13:13" x14ac:dyDescent="0.25">
      <c r="M1716" s="21"/>
    </row>
    <row r="1717" spans="13:13" x14ac:dyDescent="0.25">
      <c r="M1717" s="21"/>
    </row>
    <row r="1718" spans="13:13" x14ac:dyDescent="0.25">
      <c r="M1718" s="21"/>
    </row>
    <row r="1719" spans="13:13" x14ac:dyDescent="0.25">
      <c r="M1719" s="21"/>
    </row>
    <row r="1720" spans="13:13" x14ac:dyDescent="0.25">
      <c r="M1720" s="21"/>
    </row>
    <row r="1721" spans="13:13" x14ac:dyDescent="0.25">
      <c r="M1721" s="21"/>
    </row>
    <row r="1722" spans="13:13" x14ac:dyDescent="0.25">
      <c r="M1722" s="21"/>
    </row>
    <row r="1723" spans="13:13" x14ac:dyDescent="0.25">
      <c r="M1723" s="21"/>
    </row>
    <row r="1724" spans="13:13" x14ac:dyDescent="0.25">
      <c r="M1724" s="21"/>
    </row>
    <row r="1725" spans="13:13" x14ac:dyDescent="0.25">
      <c r="M1725" s="21"/>
    </row>
    <row r="1726" spans="13:13" x14ac:dyDescent="0.25">
      <c r="M1726" s="21"/>
    </row>
    <row r="1727" spans="13:13" x14ac:dyDescent="0.25">
      <c r="M1727" s="21"/>
    </row>
    <row r="1728" spans="13:13" x14ac:dyDescent="0.25">
      <c r="M1728" s="21"/>
    </row>
    <row r="1729" spans="13:13" x14ac:dyDescent="0.25">
      <c r="M1729" s="21"/>
    </row>
    <row r="1730" spans="13:13" x14ac:dyDescent="0.25">
      <c r="M1730" s="21"/>
    </row>
    <row r="1731" spans="13:13" x14ac:dyDescent="0.25">
      <c r="M1731" s="21"/>
    </row>
    <row r="1732" spans="13:13" x14ac:dyDescent="0.25">
      <c r="M1732" s="21"/>
    </row>
    <row r="1733" spans="13:13" x14ac:dyDescent="0.25">
      <c r="M1733" s="21"/>
    </row>
    <row r="1734" spans="13:13" x14ac:dyDescent="0.25">
      <c r="M1734" s="21"/>
    </row>
    <row r="1735" spans="13:13" x14ac:dyDescent="0.25">
      <c r="M1735" s="21"/>
    </row>
    <row r="1736" spans="13:13" x14ac:dyDescent="0.25">
      <c r="M1736" s="21"/>
    </row>
    <row r="1737" spans="13:13" x14ac:dyDescent="0.25">
      <c r="M1737" s="21"/>
    </row>
    <row r="1738" spans="13:13" x14ac:dyDescent="0.25">
      <c r="M1738" s="21"/>
    </row>
    <row r="1739" spans="13:13" x14ac:dyDescent="0.25">
      <c r="M1739" s="21"/>
    </row>
    <row r="1740" spans="13:13" x14ac:dyDescent="0.25">
      <c r="M1740" s="21"/>
    </row>
    <row r="1741" spans="13:13" x14ac:dyDescent="0.25">
      <c r="M1741" s="21"/>
    </row>
    <row r="1742" spans="13:13" x14ac:dyDescent="0.25">
      <c r="M1742" s="21"/>
    </row>
    <row r="1743" spans="13:13" x14ac:dyDescent="0.25">
      <c r="M1743" s="21"/>
    </row>
    <row r="1744" spans="13:13" x14ac:dyDescent="0.25">
      <c r="M1744" s="21"/>
    </row>
    <row r="1745" spans="13:13" x14ac:dyDescent="0.25">
      <c r="M1745" s="21"/>
    </row>
    <row r="1746" spans="13:13" x14ac:dyDescent="0.25">
      <c r="M1746" s="21"/>
    </row>
    <row r="1747" spans="13:13" x14ac:dyDescent="0.25">
      <c r="M1747" s="21"/>
    </row>
    <row r="1748" spans="13:13" x14ac:dyDescent="0.25">
      <c r="M1748" s="21"/>
    </row>
    <row r="1749" spans="13:13" x14ac:dyDescent="0.25">
      <c r="M1749" s="21"/>
    </row>
    <row r="1750" spans="13:13" x14ac:dyDescent="0.25">
      <c r="M1750" s="21"/>
    </row>
    <row r="1751" spans="13:13" x14ac:dyDescent="0.25">
      <c r="M1751" s="21"/>
    </row>
    <row r="1752" spans="13:13" x14ac:dyDescent="0.25">
      <c r="M1752" s="21"/>
    </row>
    <row r="1753" spans="13:13" x14ac:dyDescent="0.25">
      <c r="M1753" s="21"/>
    </row>
    <row r="1754" spans="13:13" x14ac:dyDescent="0.25">
      <c r="M1754" s="21"/>
    </row>
    <row r="1755" spans="13:13" x14ac:dyDescent="0.25">
      <c r="M1755" s="21"/>
    </row>
    <row r="1756" spans="13:13" x14ac:dyDescent="0.25">
      <c r="M1756" s="21"/>
    </row>
    <row r="1757" spans="13:13" x14ac:dyDescent="0.25">
      <c r="M1757" s="21"/>
    </row>
    <row r="1758" spans="13:13" x14ac:dyDescent="0.25">
      <c r="M1758" s="21"/>
    </row>
    <row r="1759" spans="13:13" x14ac:dyDescent="0.25">
      <c r="M1759" s="21"/>
    </row>
    <row r="1760" spans="13:13" x14ac:dyDescent="0.25">
      <c r="M1760" s="21"/>
    </row>
    <row r="1761" spans="13:13" x14ac:dyDescent="0.25">
      <c r="M1761" s="21"/>
    </row>
    <row r="1762" spans="13:13" x14ac:dyDescent="0.25">
      <c r="M1762" s="21"/>
    </row>
    <row r="1763" spans="13:13" x14ac:dyDescent="0.25">
      <c r="M1763" s="21"/>
    </row>
    <row r="1764" spans="13:13" x14ac:dyDescent="0.25">
      <c r="M1764" s="21"/>
    </row>
    <row r="1765" spans="13:13" x14ac:dyDescent="0.25">
      <c r="M1765" s="21"/>
    </row>
    <row r="1766" spans="13:13" x14ac:dyDescent="0.25">
      <c r="M1766" s="21"/>
    </row>
    <row r="1767" spans="13:13" x14ac:dyDescent="0.25">
      <c r="M1767" s="21"/>
    </row>
    <row r="1768" spans="13:13" x14ac:dyDescent="0.25">
      <c r="M1768" s="21"/>
    </row>
    <row r="1769" spans="13:13" x14ac:dyDescent="0.25">
      <c r="M1769" s="21"/>
    </row>
    <row r="1770" spans="13:13" x14ac:dyDescent="0.25">
      <c r="M1770" s="21"/>
    </row>
    <row r="1771" spans="13:13" x14ac:dyDescent="0.25">
      <c r="M1771" s="21"/>
    </row>
    <row r="1772" spans="13:13" x14ac:dyDescent="0.25">
      <c r="M1772" s="21"/>
    </row>
    <row r="1773" spans="13:13" x14ac:dyDescent="0.25">
      <c r="M1773" s="21"/>
    </row>
    <row r="1774" spans="13:13" x14ac:dyDescent="0.25">
      <c r="M1774" s="21"/>
    </row>
    <row r="1775" spans="13:13" x14ac:dyDescent="0.25">
      <c r="M1775" s="21"/>
    </row>
    <row r="1776" spans="13:13" x14ac:dyDescent="0.25">
      <c r="M1776" s="21"/>
    </row>
    <row r="1777" spans="13:13" x14ac:dyDescent="0.25">
      <c r="M1777" s="21"/>
    </row>
    <row r="1778" spans="13:13" x14ac:dyDescent="0.25">
      <c r="M1778" s="21"/>
    </row>
    <row r="1779" spans="13:13" x14ac:dyDescent="0.25">
      <c r="M1779" s="21"/>
    </row>
    <row r="1780" spans="13:13" x14ac:dyDescent="0.25">
      <c r="M1780" s="21"/>
    </row>
    <row r="1781" spans="13:13" x14ac:dyDescent="0.25">
      <c r="M1781" s="21"/>
    </row>
    <row r="1782" spans="13:13" x14ac:dyDescent="0.25">
      <c r="M1782" s="21"/>
    </row>
    <row r="1783" spans="13:13" x14ac:dyDescent="0.25">
      <c r="M1783" s="21"/>
    </row>
    <row r="1784" spans="13:13" x14ac:dyDescent="0.25">
      <c r="M1784" s="21"/>
    </row>
    <row r="1785" spans="13:13" x14ac:dyDescent="0.25">
      <c r="M1785" s="21"/>
    </row>
    <row r="1786" spans="13:13" x14ac:dyDescent="0.25">
      <c r="M1786" s="21"/>
    </row>
    <row r="1787" spans="13:13" x14ac:dyDescent="0.25">
      <c r="M1787" s="21"/>
    </row>
    <row r="1788" spans="13:13" x14ac:dyDescent="0.25">
      <c r="M1788" s="21"/>
    </row>
    <row r="1789" spans="13:13" x14ac:dyDescent="0.25">
      <c r="M1789" s="21"/>
    </row>
    <row r="1790" spans="13:13" x14ac:dyDescent="0.25">
      <c r="M1790" s="21"/>
    </row>
    <row r="1791" spans="13:13" x14ac:dyDescent="0.25">
      <c r="M1791" s="21"/>
    </row>
    <row r="1792" spans="13:13" x14ac:dyDescent="0.25">
      <c r="M1792" s="21"/>
    </row>
    <row r="1793" spans="13:13" x14ac:dyDescent="0.25">
      <c r="M1793" s="21"/>
    </row>
    <row r="1794" spans="13:13" x14ac:dyDescent="0.25">
      <c r="M1794" s="21"/>
    </row>
    <row r="1795" spans="13:13" x14ac:dyDescent="0.25">
      <c r="M1795" s="21"/>
    </row>
    <row r="1796" spans="13:13" x14ac:dyDescent="0.25">
      <c r="M1796" s="21"/>
    </row>
    <row r="1797" spans="13:13" x14ac:dyDescent="0.25">
      <c r="M1797" s="21"/>
    </row>
    <row r="1798" spans="13:13" x14ac:dyDescent="0.25">
      <c r="M1798" s="21"/>
    </row>
    <row r="1799" spans="13:13" x14ac:dyDescent="0.25">
      <c r="M1799" s="21"/>
    </row>
    <row r="1800" spans="13:13" x14ac:dyDescent="0.25">
      <c r="M1800" s="21"/>
    </row>
    <row r="1801" spans="13:13" x14ac:dyDescent="0.25">
      <c r="M1801" s="21"/>
    </row>
    <row r="1802" spans="13:13" x14ac:dyDescent="0.25">
      <c r="M1802" s="21"/>
    </row>
    <row r="1803" spans="13:13" x14ac:dyDescent="0.25">
      <c r="M1803" s="21"/>
    </row>
    <row r="1804" spans="13:13" x14ac:dyDescent="0.25">
      <c r="M1804" s="21"/>
    </row>
    <row r="1805" spans="13:13" x14ac:dyDescent="0.25">
      <c r="M1805" s="21"/>
    </row>
    <row r="1806" spans="13:13" x14ac:dyDescent="0.25">
      <c r="M1806" s="21"/>
    </row>
    <row r="1807" spans="13:13" x14ac:dyDescent="0.25">
      <c r="M1807" s="21"/>
    </row>
    <row r="1808" spans="13:13" x14ac:dyDescent="0.25">
      <c r="M1808" s="21"/>
    </row>
    <row r="1809" spans="13:13" x14ac:dyDescent="0.25">
      <c r="M1809" s="21"/>
    </row>
    <row r="1810" spans="13:13" x14ac:dyDescent="0.25">
      <c r="M1810" s="21"/>
    </row>
    <row r="1811" spans="13:13" x14ac:dyDescent="0.25">
      <c r="M1811" s="21"/>
    </row>
    <row r="1812" spans="13:13" x14ac:dyDescent="0.25">
      <c r="M1812" s="21"/>
    </row>
    <row r="1813" spans="13:13" x14ac:dyDescent="0.25">
      <c r="M1813" s="21"/>
    </row>
    <row r="1814" spans="13:13" x14ac:dyDescent="0.25">
      <c r="M1814" s="21"/>
    </row>
    <row r="1815" spans="13:13" x14ac:dyDescent="0.25">
      <c r="M1815" s="21"/>
    </row>
    <row r="1816" spans="13:13" x14ac:dyDescent="0.25">
      <c r="M1816" s="21"/>
    </row>
    <row r="1817" spans="13:13" x14ac:dyDescent="0.25">
      <c r="M1817" s="21"/>
    </row>
    <row r="1818" spans="13:13" x14ac:dyDescent="0.25">
      <c r="M1818" s="21"/>
    </row>
    <row r="1819" spans="13:13" x14ac:dyDescent="0.25">
      <c r="M1819" s="21"/>
    </row>
    <row r="1820" spans="13:13" x14ac:dyDescent="0.25">
      <c r="M1820" s="21"/>
    </row>
    <row r="1821" spans="13:13" x14ac:dyDescent="0.25">
      <c r="M1821" s="21"/>
    </row>
    <row r="1822" spans="13:13" x14ac:dyDescent="0.25">
      <c r="M1822" s="21"/>
    </row>
    <row r="1823" spans="13:13" x14ac:dyDescent="0.25">
      <c r="M1823" s="21"/>
    </row>
    <row r="1824" spans="13:13" x14ac:dyDescent="0.25">
      <c r="M1824" s="21"/>
    </row>
    <row r="1825" spans="13:13" x14ac:dyDescent="0.25">
      <c r="M1825" s="21"/>
    </row>
    <row r="1826" spans="13:13" x14ac:dyDescent="0.25">
      <c r="M1826" s="21"/>
    </row>
    <row r="1827" spans="13:13" x14ac:dyDescent="0.25">
      <c r="M1827" s="21"/>
    </row>
    <row r="1828" spans="13:13" x14ac:dyDescent="0.25">
      <c r="M1828" s="21"/>
    </row>
    <row r="1829" spans="13:13" x14ac:dyDescent="0.25">
      <c r="M1829" s="21"/>
    </row>
    <row r="1830" spans="13:13" x14ac:dyDescent="0.25">
      <c r="M1830" s="21"/>
    </row>
    <row r="1831" spans="13:13" x14ac:dyDescent="0.25">
      <c r="M1831" s="21"/>
    </row>
    <row r="1832" spans="13:13" x14ac:dyDescent="0.25">
      <c r="M1832" s="21"/>
    </row>
    <row r="1833" spans="13:13" x14ac:dyDescent="0.25">
      <c r="M1833" s="21"/>
    </row>
    <row r="1834" spans="13:13" x14ac:dyDescent="0.25">
      <c r="M1834" s="21"/>
    </row>
    <row r="1835" spans="13:13" x14ac:dyDescent="0.25">
      <c r="M1835" s="21"/>
    </row>
    <row r="1836" spans="13:13" x14ac:dyDescent="0.25">
      <c r="M1836" s="21"/>
    </row>
    <row r="1837" spans="13:13" x14ac:dyDescent="0.25">
      <c r="M1837" s="21"/>
    </row>
    <row r="1838" spans="13:13" x14ac:dyDescent="0.25">
      <c r="M1838" s="21"/>
    </row>
    <row r="1839" spans="13:13" x14ac:dyDescent="0.25">
      <c r="M1839" s="21"/>
    </row>
    <row r="1840" spans="13:13" x14ac:dyDescent="0.25">
      <c r="M1840" s="21"/>
    </row>
    <row r="1841" spans="13:13" x14ac:dyDescent="0.25">
      <c r="M1841" s="21"/>
    </row>
    <row r="1842" spans="13:13" x14ac:dyDescent="0.25">
      <c r="M1842" s="21"/>
    </row>
    <row r="1843" spans="13:13" x14ac:dyDescent="0.25">
      <c r="M1843" s="21"/>
    </row>
    <row r="1844" spans="13:13" x14ac:dyDescent="0.25">
      <c r="M1844" s="21"/>
    </row>
    <row r="1845" spans="13:13" x14ac:dyDescent="0.25">
      <c r="M1845" s="21"/>
    </row>
    <row r="1846" spans="13:13" x14ac:dyDescent="0.25">
      <c r="M1846" s="21"/>
    </row>
    <row r="1847" spans="13:13" x14ac:dyDescent="0.25">
      <c r="M1847" s="21"/>
    </row>
    <row r="1848" spans="13:13" x14ac:dyDescent="0.25">
      <c r="M1848" s="21"/>
    </row>
    <row r="1849" spans="13:13" x14ac:dyDescent="0.25">
      <c r="M1849" s="21"/>
    </row>
    <row r="1850" spans="13:13" x14ac:dyDescent="0.25">
      <c r="M1850" s="21"/>
    </row>
    <row r="1851" spans="13:13" x14ac:dyDescent="0.25">
      <c r="M1851" s="21"/>
    </row>
    <row r="1852" spans="13:13" x14ac:dyDescent="0.25">
      <c r="M1852" s="21"/>
    </row>
    <row r="1853" spans="13:13" x14ac:dyDescent="0.25">
      <c r="M1853" s="21"/>
    </row>
    <row r="1854" spans="13:13" x14ac:dyDescent="0.25">
      <c r="M1854" s="21"/>
    </row>
    <row r="1855" spans="13:13" x14ac:dyDescent="0.25">
      <c r="M1855" s="21"/>
    </row>
    <row r="1856" spans="13:13" x14ac:dyDescent="0.25">
      <c r="M1856" s="21"/>
    </row>
    <row r="1857" spans="13:13" x14ac:dyDescent="0.25">
      <c r="M1857" s="21"/>
    </row>
    <row r="1858" spans="13:13" x14ac:dyDescent="0.25">
      <c r="M1858" s="21"/>
    </row>
    <row r="1859" spans="13:13" x14ac:dyDescent="0.25">
      <c r="M1859" s="21"/>
    </row>
    <row r="1860" spans="13:13" x14ac:dyDescent="0.25">
      <c r="M1860" s="21"/>
    </row>
    <row r="1861" spans="13:13" x14ac:dyDescent="0.25">
      <c r="M1861" s="21"/>
    </row>
    <row r="1862" spans="13:13" x14ac:dyDescent="0.25">
      <c r="M1862" s="21"/>
    </row>
    <row r="1863" spans="13:13" x14ac:dyDescent="0.25">
      <c r="M1863" s="21"/>
    </row>
    <row r="1864" spans="13:13" x14ac:dyDescent="0.25">
      <c r="M1864" s="21"/>
    </row>
    <row r="1865" spans="13:13" x14ac:dyDescent="0.25">
      <c r="M1865" s="21"/>
    </row>
    <row r="1866" spans="13:13" x14ac:dyDescent="0.25">
      <c r="M1866" s="21"/>
    </row>
    <row r="1867" spans="13:13" x14ac:dyDescent="0.25">
      <c r="M1867" s="21"/>
    </row>
    <row r="1868" spans="13:13" x14ac:dyDescent="0.25">
      <c r="M1868" s="21"/>
    </row>
    <row r="1869" spans="13:13" x14ac:dyDescent="0.25">
      <c r="M1869" s="21"/>
    </row>
    <row r="1870" spans="13:13" x14ac:dyDescent="0.25">
      <c r="M1870" s="21"/>
    </row>
    <row r="1871" spans="13:13" x14ac:dyDescent="0.25">
      <c r="M1871" s="21"/>
    </row>
    <row r="1872" spans="13:13" x14ac:dyDescent="0.25">
      <c r="M1872" s="21"/>
    </row>
    <row r="1873" spans="13:13" x14ac:dyDescent="0.25">
      <c r="M1873" s="21"/>
    </row>
    <row r="1874" spans="13:13" x14ac:dyDescent="0.25">
      <c r="M1874" s="21"/>
    </row>
    <row r="1875" spans="13:13" x14ac:dyDescent="0.25">
      <c r="M1875" s="21"/>
    </row>
    <row r="1876" spans="13:13" x14ac:dyDescent="0.25">
      <c r="M1876" s="21"/>
    </row>
    <row r="1877" spans="13:13" x14ac:dyDescent="0.25">
      <c r="M1877" s="21"/>
    </row>
    <row r="1878" spans="13:13" x14ac:dyDescent="0.25">
      <c r="M1878" s="21"/>
    </row>
    <row r="1879" spans="13:13" x14ac:dyDescent="0.25">
      <c r="M1879" s="21"/>
    </row>
    <row r="1880" spans="13:13" x14ac:dyDescent="0.25">
      <c r="M1880" s="21"/>
    </row>
    <row r="1881" spans="13:13" x14ac:dyDescent="0.25">
      <c r="M1881" s="21"/>
    </row>
    <row r="1882" spans="13:13" x14ac:dyDescent="0.25">
      <c r="M1882" s="21"/>
    </row>
    <row r="1883" spans="13:13" x14ac:dyDescent="0.25">
      <c r="M1883" s="21"/>
    </row>
    <row r="1884" spans="13:13" x14ac:dyDescent="0.25">
      <c r="M1884" s="21"/>
    </row>
    <row r="1885" spans="13:13" x14ac:dyDescent="0.25">
      <c r="M1885" s="21"/>
    </row>
    <row r="1886" spans="13:13" x14ac:dyDescent="0.25">
      <c r="M1886" s="21"/>
    </row>
    <row r="1887" spans="13:13" x14ac:dyDescent="0.25">
      <c r="M1887" s="21"/>
    </row>
    <row r="1888" spans="13:13" x14ac:dyDescent="0.25">
      <c r="M1888" s="21"/>
    </row>
    <row r="1889" spans="13:13" x14ac:dyDescent="0.25">
      <c r="M1889" s="21"/>
    </row>
    <row r="1890" spans="13:13" x14ac:dyDescent="0.25">
      <c r="M1890" s="21"/>
    </row>
    <row r="1891" spans="13:13" x14ac:dyDescent="0.25">
      <c r="M1891" s="21"/>
    </row>
    <row r="1892" spans="13:13" x14ac:dyDescent="0.25">
      <c r="M1892" s="21"/>
    </row>
    <row r="1893" spans="13:13" x14ac:dyDescent="0.25">
      <c r="M1893" s="21"/>
    </row>
    <row r="1894" spans="13:13" x14ac:dyDescent="0.25">
      <c r="M1894" s="21"/>
    </row>
    <row r="1895" spans="13:13" x14ac:dyDescent="0.25">
      <c r="M1895" s="21"/>
    </row>
    <row r="1896" spans="13:13" x14ac:dyDescent="0.25">
      <c r="M1896" s="21"/>
    </row>
    <row r="1897" spans="13:13" x14ac:dyDescent="0.25">
      <c r="M1897" s="21"/>
    </row>
    <row r="1898" spans="13:13" x14ac:dyDescent="0.25">
      <c r="M1898" s="21"/>
    </row>
    <row r="1899" spans="13:13" x14ac:dyDescent="0.25">
      <c r="M1899" s="21"/>
    </row>
    <row r="1900" spans="13:13" x14ac:dyDescent="0.25">
      <c r="M1900" s="21"/>
    </row>
    <row r="1901" spans="13:13" x14ac:dyDescent="0.25">
      <c r="M1901" s="21"/>
    </row>
    <row r="1902" spans="13:13" x14ac:dyDescent="0.25">
      <c r="M1902" s="21"/>
    </row>
    <row r="1903" spans="13:13" x14ac:dyDescent="0.25">
      <c r="M1903" s="21"/>
    </row>
    <row r="1904" spans="13:13" x14ac:dyDescent="0.25">
      <c r="M1904" s="21"/>
    </row>
    <row r="1905" spans="13:13" x14ac:dyDescent="0.25">
      <c r="M1905" s="21"/>
    </row>
    <row r="1906" spans="13:13" x14ac:dyDescent="0.25">
      <c r="M1906" s="21"/>
    </row>
    <row r="1907" spans="13:13" x14ac:dyDescent="0.25">
      <c r="M1907" s="21"/>
    </row>
    <row r="1908" spans="13:13" x14ac:dyDescent="0.25">
      <c r="M1908" s="21"/>
    </row>
    <row r="1909" spans="13:13" x14ac:dyDescent="0.25">
      <c r="M1909" s="21"/>
    </row>
    <row r="1910" spans="13:13" x14ac:dyDescent="0.25">
      <c r="M1910" s="21"/>
    </row>
    <row r="1911" spans="13:13" x14ac:dyDescent="0.25">
      <c r="M1911" s="21"/>
    </row>
    <row r="1912" spans="13:13" x14ac:dyDescent="0.25">
      <c r="M1912" s="21"/>
    </row>
    <row r="1913" spans="13:13" x14ac:dyDescent="0.25">
      <c r="M1913" s="21"/>
    </row>
    <row r="1914" spans="13:13" x14ac:dyDescent="0.25">
      <c r="M1914" s="21"/>
    </row>
    <row r="1915" spans="13:13" x14ac:dyDescent="0.25">
      <c r="M1915" s="21"/>
    </row>
    <row r="1916" spans="13:13" x14ac:dyDescent="0.25">
      <c r="M1916" s="21"/>
    </row>
    <row r="1917" spans="13:13" x14ac:dyDescent="0.25">
      <c r="M1917" s="21"/>
    </row>
    <row r="1918" spans="13:13" x14ac:dyDescent="0.25">
      <c r="M1918" s="21"/>
    </row>
    <row r="1919" spans="13:13" x14ac:dyDescent="0.25">
      <c r="M1919" s="21"/>
    </row>
    <row r="1920" spans="13:13" x14ac:dyDescent="0.25">
      <c r="M1920" s="21"/>
    </row>
    <row r="1921" spans="13:13" x14ac:dyDescent="0.25">
      <c r="M1921" s="21"/>
    </row>
    <row r="1922" spans="13:13" x14ac:dyDescent="0.25">
      <c r="M1922" s="21"/>
    </row>
    <row r="1923" spans="13:13" x14ac:dyDescent="0.25">
      <c r="M1923" s="21"/>
    </row>
    <row r="1924" spans="13:13" x14ac:dyDescent="0.25">
      <c r="M1924" s="21"/>
    </row>
    <row r="1925" spans="13:13" x14ac:dyDescent="0.25">
      <c r="M1925" s="21"/>
    </row>
    <row r="1926" spans="13:13" x14ac:dyDescent="0.25">
      <c r="M1926" s="21"/>
    </row>
    <row r="1927" spans="13:13" x14ac:dyDescent="0.25">
      <c r="M1927" s="21"/>
    </row>
    <row r="1928" spans="13:13" x14ac:dyDescent="0.25">
      <c r="M1928" s="21"/>
    </row>
    <row r="1929" spans="13:13" x14ac:dyDescent="0.25">
      <c r="M1929" s="21"/>
    </row>
    <row r="1930" spans="13:13" x14ac:dyDescent="0.25">
      <c r="M1930" s="21"/>
    </row>
    <row r="1931" spans="13:13" x14ac:dyDescent="0.25">
      <c r="M1931" s="21"/>
    </row>
    <row r="1932" spans="13:13" x14ac:dyDescent="0.25">
      <c r="M1932" s="21"/>
    </row>
    <row r="1933" spans="13:13" x14ac:dyDescent="0.25">
      <c r="M1933" s="21"/>
    </row>
    <row r="1934" spans="13:13" x14ac:dyDescent="0.25">
      <c r="M1934" s="21"/>
    </row>
    <row r="1935" spans="13:13" x14ac:dyDescent="0.25">
      <c r="M1935" s="21"/>
    </row>
    <row r="1936" spans="13:13" x14ac:dyDescent="0.25">
      <c r="M1936" s="21"/>
    </row>
    <row r="1937" spans="13:13" x14ac:dyDescent="0.25">
      <c r="M1937" s="21"/>
    </row>
    <row r="1938" spans="13:13" x14ac:dyDescent="0.25">
      <c r="M1938" s="21"/>
    </row>
    <row r="1939" spans="13:13" x14ac:dyDescent="0.25">
      <c r="M1939" s="21"/>
    </row>
    <row r="1940" spans="13:13" x14ac:dyDescent="0.25">
      <c r="M1940" s="21"/>
    </row>
    <row r="1941" spans="13:13" x14ac:dyDescent="0.25">
      <c r="M1941" s="21"/>
    </row>
    <row r="1942" spans="13:13" x14ac:dyDescent="0.25">
      <c r="M1942" s="21"/>
    </row>
    <row r="1943" spans="13:13" x14ac:dyDescent="0.25">
      <c r="M1943" s="21"/>
    </row>
    <row r="1944" spans="13:13" x14ac:dyDescent="0.25">
      <c r="M1944" s="21"/>
    </row>
    <row r="1945" spans="13:13" x14ac:dyDescent="0.25">
      <c r="M1945" s="21"/>
    </row>
    <row r="1946" spans="13:13" x14ac:dyDescent="0.25">
      <c r="M1946" s="21"/>
    </row>
    <row r="1947" spans="13:13" x14ac:dyDescent="0.25">
      <c r="M1947" s="21"/>
    </row>
    <row r="1948" spans="13:13" x14ac:dyDescent="0.25">
      <c r="M1948" s="21"/>
    </row>
    <row r="1949" spans="13:13" x14ac:dyDescent="0.25">
      <c r="M1949" s="21"/>
    </row>
    <row r="1950" spans="13:13" x14ac:dyDescent="0.25">
      <c r="M1950" s="21"/>
    </row>
    <row r="1951" spans="13:13" x14ac:dyDescent="0.25">
      <c r="M1951" s="21"/>
    </row>
    <row r="1952" spans="13:13" x14ac:dyDescent="0.25">
      <c r="M1952" s="21"/>
    </row>
    <row r="1953" spans="13:13" x14ac:dyDescent="0.25">
      <c r="M1953" s="21"/>
    </row>
    <row r="1954" spans="13:13" x14ac:dyDescent="0.25">
      <c r="M1954" s="21"/>
    </row>
    <row r="1955" spans="13:13" x14ac:dyDescent="0.25">
      <c r="M1955" s="21"/>
    </row>
    <row r="1956" spans="13:13" x14ac:dyDescent="0.25">
      <c r="M1956" s="21"/>
    </row>
    <row r="1957" spans="13:13" x14ac:dyDescent="0.25">
      <c r="M1957" s="21"/>
    </row>
    <row r="1958" spans="13:13" x14ac:dyDescent="0.25">
      <c r="M1958" s="21"/>
    </row>
    <row r="1959" spans="13:13" x14ac:dyDescent="0.25">
      <c r="M1959" s="21"/>
    </row>
    <row r="1960" spans="13:13" x14ac:dyDescent="0.25">
      <c r="M1960" s="21"/>
    </row>
    <row r="1961" spans="13:13" x14ac:dyDescent="0.25">
      <c r="M1961" s="21"/>
    </row>
    <row r="1962" spans="13:13" x14ac:dyDescent="0.25">
      <c r="M1962" s="21"/>
    </row>
    <row r="1963" spans="13:13" x14ac:dyDescent="0.25">
      <c r="M1963" s="21"/>
    </row>
    <row r="1964" spans="13:13" x14ac:dyDescent="0.25">
      <c r="M1964" s="21"/>
    </row>
    <row r="1965" spans="13:13" x14ac:dyDescent="0.25">
      <c r="M1965" s="21"/>
    </row>
    <row r="1966" spans="13:13" x14ac:dyDescent="0.25">
      <c r="M1966" s="21"/>
    </row>
    <row r="1967" spans="13:13" x14ac:dyDescent="0.25">
      <c r="M1967" s="21"/>
    </row>
    <row r="1968" spans="13:13" x14ac:dyDescent="0.25">
      <c r="M1968" s="21"/>
    </row>
    <row r="1969" spans="13:13" x14ac:dyDescent="0.25">
      <c r="M1969" s="21"/>
    </row>
    <row r="1970" spans="13:13" x14ac:dyDescent="0.25">
      <c r="M1970" s="21"/>
    </row>
    <row r="1971" spans="13:13" x14ac:dyDescent="0.25">
      <c r="M1971" s="21"/>
    </row>
    <row r="1972" spans="13:13" x14ac:dyDescent="0.25">
      <c r="M1972" s="21"/>
    </row>
    <row r="1973" spans="13:13" x14ac:dyDescent="0.25">
      <c r="M1973" s="21"/>
    </row>
    <row r="1974" spans="13:13" x14ac:dyDescent="0.25">
      <c r="M1974" s="21"/>
    </row>
    <row r="1975" spans="13:13" x14ac:dyDescent="0.25">
      <c r="M1975" s="21"/>
    </row>
    <row r="1976" spans="13:13" x14ac:dyDescent="0.25">
      <c r="M1976" s="21"/>
    </row>
    <row r="1977" spans="13:13" x14ac:dyDescent="0.25">
      <c r="M1977" s="21"/>
    </row>
    <row r="1978" spans="13:13" x14ac:dyDescent="0.25">
      <c r="M1978" s="21"/>
    </row>
    <row r="1979" spans="13:13" x14ac:dyDescent="0.25">
      <c r="M1979" s="21"/>
    </row>
    <row r="1980" spans="13:13" x14ac:dyDescent="0.25">
      <c r="M1980" s="21"/>
    </row>
    <row r="1981" spans="13:13" x14ac:dyDescent="0.25">
      <c r="M1981" s="21"/>
    </row>
    <row r="1982" spans="13:13" x14ac:dyDescent="0.25">
      <c r="M1982" s="21"/>
    </row>
    <row r="1983" spans="13:13" x14ac:dyDescent="0.25">
      <c r="M1983" s="21"/>
    </row>
    <row r="1984" spans="13:13" x14ac:dyDescent="0.25">
      <c r="M1984" s="21"/>
    </row>
    <row r="1985" spans="13:13" x14ac:dyDescent="0.25">
      <c r="M1985" s="21"/>
    </row>
    <row r="1986" spans="13:13" x14ac:dyDescent="0.25">
      <c r="M1986" s="21"/>
    </row>
    <row r="1987" spans="13:13" x14ac:dyDescent="0.25">
      <c r="M1987" s="21"/>
    </row>
    <row r="1988" spans="13:13" x14ac:dyDescent="0.25">
      <c r="M1988" s="21"/>
    </row>
    <row r="1989" spans="13:13" x14ac:dyDescent="0.25">
      <c r="M1989" s="21"/>
    </row>
    <row r="1990" spans="13:13" x14ac:dyDescent="0.25">
      <c r="M1990" s="21"/>
    </row>
    <row r="1991" spans="13:13" x14ac:dyDescent="0.25">
      <c r="M1991" s="21"/>
    </row>
    <row r="1992" spans="13:13" x14ac:dyDescent="0.25">
      <c r="M1992" s="21"/>
    </row>
    <row r="1993" spans="13:13" x14ac:dyDescent="0.25">
      <c r="M1993" s="21"/>
    </row>
    <row r="1994" spans="13:13" x14ac:dyDescent="0.25">
      <c r="M1994" s="21"/>
    </row>
    <row r="1995" spans="13:13" x14ac:dyDescent="0.25">
      <c r="M1995" s="21"/>
    </row>
    <row r="1996" spans="13:13" x14ac:dyDescent="0.25">
      <c r="M1996" s="21"/>
    </row>
    <row r="1997" spans="13:13" x14ac:dyDescent="0.25">
      <c r="M1997" s="21"/>
    </row>
    <row r="1998" spans="13:13" x14ac:dyDescent="0.25">
      <c r="M1998" s="21"/>
    </row>
    <row r="1999" spans="13:13" x14ac:dyDescent="0.25">
      <c r="M1999" s="21"/>
    </row>
    <row r="2000" spans="13:13" x14ac:dyDescent="0.25">
      <c r="M2000" s="21"/>
    </row>
    <row r="2001" spans="13:13" x14ac:dyDescent="0.25">
      <c r="M2001" s="21"/>
    </row>
    <row r="2002" spans="13:13" x14ac:dyDescent="0.25">
      <c r="M2002" s="21"/>
    </row>
    <row r="2003" spans="13:13" x14ac:dyDescent="0.25">
      <c r="M2003" s="21"/>
    </row>
    <row r="2004" spans="13:13" x14ac:dyDescent="0.25">
      <c r="M2004" s="21"/>
    </row>
    <row r="2005" spans="13:13" x14ac:dyDescent="0.25">
      <c r="M2005" s="21"/>
    </row>
    <row r="2006" spans="13:13" x14ac:dyDescent="0.25">
      <c r="M2006" s="21"/>
    </row>
    <row r="2007" spans="13:13" x14ac:dyDescent="0.25">
      <c r="M2007" s="21"/>
    </row>
    <row r="2008" spans="13:13" x14ac:dyDescent="0.25">
      <c r="M2008" s="21"/>
    </row>
    <row r="2009" spans="13:13" x14ac:dyDescent="0.25">
      <c r="M2009" s="21"/>
    </row>
    <row r="2010" spans="13:13" x14ac:dyDescent="0.25">
      <c r="M2010" s="21"/>
    </row>
    <row r="2011" spans="13:13" x14ac:dyDescent="0.25">
      <c r="M2011" s="21"/>
    </row>
    <row r="2012" spans="13:13" x14ac:dyDescent="0.25">
      <c r="M2012" s="21"/>
    </row>
    <row r="2013" spans="13:13" x14ac:dyDescent="0.25">
      <c r="M2013" s="21"/>
    </row>
    <row r="2014" spans="13:13" x14ac:dyDescent="0.25">
      <c r="M2014" s="21"/>
    </row>
    <row r="2015" spans="13:13" x14ac:dyDescent="0.25">
      <c r="M2015" s="21"/>
    </row>
    <row r="2016" spans="13:13" x14ac:dyDescent="0.25">
      <c r="M2016" s="21"/>
    </row>
    <row r="2017" spans="13:13" x14ac:dyDescent="0.25">
      <c r="M2017" s="21"/>
    </row>
    <row r="2018" spans="13:13" x14ac:dyDescent="0.25">
      <c r="M2018" s="21"/>
    </row>
    <row r="2019" spans="13:13" x14ac:dyDescent="0.25">
      <c r="M2019" s="21"/>
    </row>
    <row r="2020" spans="13:13" x14ac:dyDescent="0.25">
      <c r="M2020" s="21"/>
    </row>
    <row r="2021" spans="13:13" x14ac:dyDescent="0.25">
      <c r="M2021" s="21"/>
    </row>
    <row r="2022" spans="13:13" x14ac:dyDescent="0.25">
      <c r="M2022" s="21"/>
    </row>
    <row r="2023" spans="13:13" x14ac:dyDescent="0.25">
      <c r="M2023" s="21"/>
    </row>
    <row r="2024" spans="13:13" x14ac:dyDescent="0.25">
      <c r="M2024" s="21"/>
    </row>
    <row r="2025" spans="13:13" x14ac:dyDescent="0.25">
      <c r="M2025" s="21"/>
    </row>
    <row r="2026" spans="13:13" x14ac:dyDescent="0.25">
      <c r="M2026" s="21"/>
    </row>
    <row r="2027" spans="13:13" x14ac:dyDescent="0.25">
      <c r="M2027" s="21"/>
    </row>
    <row r="2028" spans="13:13" x14ac:dyDescent="0.25">
      <c r="M2028" s="21"/>
    </row>
    <row r="2029" spans="13:13" x14ac:dyDescent="0.25">
      <c r="M2029" s="21"/>
    </row>
    <row r="2030" spans="13:13" x14ac:dyDescent="0.25">
      <c r="M2030" s="21"/>
    </row>
    <row r="2031" spans="13:13" x14ac:dyDescent="0.25">
      <c r="M2031" s="21"/>
    </row>
    <row r="2032" spans="13:13" x14ac:dyDescent="0.25">
      <c r="M2032" s="21"/>
    </row>
    <row r="2033" spans="13:13" x14ac:dyDescent="0.25">
      <c r="M2033" s="21"/>
    </row>
    <row r="2034" spans="13:13" x14ac:dyDescent="0.25">
      <c r="M2034" s="21"/>
    </row>
    <row r="2035" spans="13:13" x14ac:dyDescent="0.25">
      <c r="M2035" s="21"/>
    </row>
    <row r="2036" spans="13:13" x14ac:dyDescent="0.25">
      <c r="M2036" s="21"/>
    </row>
    <row r="2037" spans="13:13" x14ac:dyDescent="0.25">
      <c r="M2037" s="21"/>
    </row>
    <row r="2038" spans="13:13" x14ac:dyDescent="0.25">
      <c r="M2038" s="21"/>
    </row>
    <row r="2039" spans="13:13" x14ac:dyDescent="0.25">
      <c r="M2039" s="21"/>
    </row>
    <row r="2040" spans="13:13" x14ac:dyDescent="0.25">
      <c r="M2040" s="21"/>
    </row>
    <row r="2041" spans="13:13" x14ac:dyDescent="0.25">
      <c r="M2041" s="21"/>
    </row>
    <row r="2042" spans="13:13" x14ac:dyDescent="0.25">
      <c r="M2042" s="21"/>
    </row>
    <row r="2043" spans="13:13" x14ac:dyDescent="0.25">
      <c r="M2043" s="21"/>
    </row>
    <row r="2044" spans="13:13" x14ac:dyDescent="0.25">
      <c r="M2044" s="21"/>
    </row>
    <row r="2045" spans="13:13" x14ac:dyDescent="0.25">
      <c r="M2045" s="21"/>
    </row>
    <row r="2046" spans="13:13" x14ac:dyDescent="0.25">
      <c r="M2046" s="21"/>
    </row>
    <row r="2047" spans="13:13" x14ac:dyDescent="0.25">
      <c r="M2047" s="21"/>
    </row>
    <row r="2048" spans="13:13" x14ac:dyDescent="0.25">
      <c r="M2048" s="21"/>
    </row>
    <row r="2049" spans="13:13" x14ac:dyDescent="0.25">
      <c r="M2049" s="21"/>
    </row>
    <row r="2050" spans="13:13" x14ac:dyDescent="0.25">
      <c r="M2050" s="21"/>
    </row>
    <row r="2051" spans="13:13" x14ac:dyDescent="0.25">
      <c r="M2051" s="21"/>
    </row>
    <row r="2052" spans="13:13" x14ac:dyDescent="0.25">
      <c r="M2052" s="21"/>
    </row>
    <row r="2053" spans="13:13" x14ac:dyDescent="0.25">
      <c r="M2053" s="21"/>
    </row>
    <row r="2054" spans="13:13" x14ac:dyDescent="0.25">
      <c r="M2054" s="21"/>
    </row>
    <row r="2055" spans="13:13" x14ac:dyDescent="0.25">
      <c r="M2055" s="21"/>
    </row>
    <row r="2056" spans="13:13" x14ac:dyDescent="0.25">
      <c r="M2056" s="21"/>
    </row>
    <row r="2057" spans="13:13" x14ac:dyDescent="0.25">
      <c r="M2057" s="21"/>
    </row>
    <row r="2058" spans="13:13" x14ac:dyDescent="0.25">
      <c r="M2058" s="21"/>
    </row>
    <row r="2059" spans="13:13" x14ac:dyDescent="0.25">
      <c r="M2059" s="21"/>
    </row>
    <row r="2060" spans="13:13" x14ac:dyDescent="0.25">
      <c r="M2060" s="21"/>
    </row>
    <row r="2061" spans="13:13" x14ac:dyDescent="0.25">
      <c r="M2061" s="21"/>
    </row>
    <row r="2062" spans="13:13" x14ac:dyDescent="0.25">
      <c r="M2062" s="21"/>
    </row>
    <row r="2063" spans="13:13" x14ac:dyDescent="0.25">
      <c r="M2063" s="21"/>
    </row>
    <row r="2064" spans="13:13" x14ac:dyDescent="0.25">
      <c r="M2064" s="21"/>
    </row>
    <row r="2065" spans="13:13" x14ac:dyDescent="0.25">
      <c r="M2065" s="21"/>
    </row>
    <row r="2066" spans="13:13" x14ac:dyDescent="0.25">
      <c r="M2066" s="21"/>
    </row>
    <row r="2067" spans="13:13" x14ac:dyDescent="0.25">
      <c r="M2067" s="21"/>
    </row>
    <row r="2068" spans="13:13" x14ac:dyDescent="0.25">
      <c r="M2068" s="21"/>
    </row>
    <row r="2069" spans="13:13" x14ac:dyDescent="0.25">
      <c r="M2069" s="21"/>
    </row>
    <row r="2070" spans="13:13" x14ac:dyDescent="0.25">
      <c r="M2070" s="21"/>
    </row>
    <row r="2071" spans="13:13" x14ac:dyDescent="0.25">
      <c r="M2071" s="21"/>
    </row>
    <row r="2072" spans="13:13" x14ac:dyDescent="0.25">
      <c r="M2072" s="21"/>
    </row>
    <row r="2073" spans="13:13" x14ac:dyDescent="0.25">
      <c r="M2073" s="21"/>
    </row>
    <row r="2074" spans="13:13" x14ac:dyDescent="0.25">
      <c r="M2074" s="21"/>
    </row>
    <row r="2075" spans="13:13" x14ac:dyDescent="0.25">
      <c r="M2075" s="21"/>
    </row>
    <row r="2076" spans="13:13" x14ac:dyDescent="0.25">
      <c r="M2076" s="21"/>
    </row>
    <row r="2077" spans="13:13" x14ac:dyDescent="0.25">
      <c r="M2077" s="21"/>
    </row>
    <row r="2078" spans="13:13" x14ac:dyDescent="0.25">
      <c r="M2078" s="21"/>
    </row>
    <row r="2079" spans="13:13" x14ac:dyDescent="0.25">
      <c r="M2079" s="21"/>
    </row>
    <row r="2080" spans="13:13" x14ac:dyDescent="0.25">
      <c r="M2080" s="21"/>
    </row>
    <row r="2081" spans="13:13" x14ac:dyDescent="0.25">
      <c r="M2081" s="21"/>
    </row>
    <row r="2082" spans="13:13" x14ac:dyDescent="0.25">
      <c r="M2082" s="21"/>
    </row>
    <row r="2083" spans="13:13" x14ac:dyDescent="0.25">
      <c r="M2083" s="21"/>
    </row>
    <row r="2084" spans="13:13" x14ac:dyDescent="0.25">
      <c r="M2084" s="21"/>
    </row>
    <row r="2085" spans="13:13" x14ac:dyDescent="0.25">
      <c r="M2085" s="21"/>
    </row>
    <row r="2086" spans="13:13" x14ac:dyDescent="0.25">
      <c r="M2086" s="21"/>
    </row>
    <row r="2087" spans="13:13" x14ac:dyDescent="0.25">
      <c r="M2087" s="21"/>
    </row>
    <row r="2088" spans="13:13" x14ac:dyDescent="0.25">
      <c r="M2088" s="21"/>
    </row>
    <row r="2089" spans="13:13" x14ac:dyDescent="0.25">
      <c r="M2089" s="21"/>
    </row>
    <row r="2090" spans="13:13" x14ac:dyDescent="0.25">
      <c r="M2090" s="21"/>
    </row>
    <row r="2091" spans="13:13" x14ac:dyDescent="0.25">
      <c r="M2091" s="21"/>
    </row>
    <row r="2092" spans="13:13" x14ac:dyDescent="0.25">
      <c r="M2092" s="21"/>
    </row>
    <row r="2093" spans="13:13" x14ac:dyDescent="0.25">
      <c r="M2093" s="21"/>
    </row>
    <row r="2094" spans="13:13" x14ac:dyDescent="0.25">
      <c r="M2094" s="21"/>
    </row>
    <row r="2095" spans="13:13" x14ac:dyDescent="0.25">
      <c r="M2095" s="21"/>
    </row>
    <row r="2096" spans="13:13" x14ac:dyDescent="0.25">
      <c r="M2096" s="21"/>
    </row>
    <row r="2097" spans="13:13" x14ac:dyDescent="0.25">
      <c r="M2097" s="21"/>
    </row>
    <row r="2098" spans="13:13" x14ac:dyDescent="0.25">
      <c r="M2098" s="21"/>
    </row>
    <row r="2099" spans="13:13" x14ac:dyDescent="0.25">
      <c r="M2099" s="21"/>
    </row>
    <row r="2100" spans="13:13" x14ac:dyDescent="0.25">
      <c r="M2100" s="21"/>
    </row>
    <row r="2101" spans="13:13" x14ac:dyDescent="0.25">
      <c r="M2101" s="21"/>
    </row>
    <row r="2102" spans="13:13" x14ac:dyDescent="0.25">
      <c r="M2102" s="21"/>
    </row>
    <row r="2103" spans="13:13" x14ac:dyDescent="0.25">
      <c r="M2103" s="21"/>
    </row>
    <row r="2104" spans="13:13" x14ac:dyDescent="0.25">
      <c r="M2104" s="21"/>
    </row>
    <row r="2105" spans="13:13" x14ac:dyDescent="0.25">
      <c r="M2105" s="21"/>
    </row>
    <row r="2106" spans="13:13" x14ac:dyDescent="0.25">
      <c r="M2106" s="21"/>
    </row>
    <row r="2107" spans="13:13" x14ac:dyDescent="0.25">
      <c r="M2107" s="21"/>
    </row>
    <row r="2108" spans="13:13" x14ac:dyDescent="0.25">
      <c r="M2108" s="21"/>
    </row>
    <row r="2109" spans="13:13" x14ac:dyDescent="0.25">
      <c r="M2109" s="21"/>
    </row>
    <row r="2110" spans="13:13" x14ac:dyDescent="0.25">
      <c r="M2110" s="21"/>
    </row>
    <row r="2111" spans="13:13" x14ac:dyDescent="0.25">
      <c r="M2111" s="21"/>
    </row>
    <row r="2112" spans="13:13" x14ac:dyDescent="0.25">
      <c r="M2112" s="21"/>
    </row>
    <row r="2113" spans="13:13" x14ac:dyDescent="0.25">
      <c r="M2113" s="21"/>
    </row>
    <row r="2114" spans="13:13" x14ac:dyDescent="0.25">
      <c r="M2114" s="21"/>
    </row>
    <row r="2115" spans="13:13" x14ac:dyDescent="0.25">
      <c r="M2115" s="21"/>
    </row>
    <row r="2116" spans="13:13" x14ac:dyDescent="0.25">
      <c r="M2116" s="21"/>
    </row>
    <row r="2117" spans="13:13" x14ac:dyDescent="0.25">
      <c r="M2117" s="21"/>
    </row>
    <row r="2118" spans="13:13" x14ac:dyDescent="0.25">
      <c r="M2118" s="21"/>
    </row>
    <row r="2119" spans="13:13" x14ac:dyDescent="0.25">
      <c r="M2119" s="21"/>
    </row>
    <row r="2120" spans="13:13" x14ac:dyDescent="0.25">
      <c r="M2120" s="21"/>
    </row>
    <row r="2121" spans="13:13" x14ac:dyDescent="0.25">
      <c r="M2121" s="21"/>
    </row>
    <row r="2122" spans="13:13" x14ac:dyDescent="0.25">
      <c r="M2122" s="21"/>
    </row>
    <row r="2123" spans="13:13" x14ac:dyDescent="0.25">
      <c r="M2123" s="21"/>
    </row>
    <row r="2124" spans="13:13" x14ac:dyDescent="0.25">
      <c r="M2124" s="21"/>
    </row>
    <row r="2125" spans="13:13" x14ac:dyDescent="0.25">
      <c r="M2125" s="21"/>
    </row>
    <row r="2126" spans="13:13" x14ac:dyDescent="0.25">
      <c r="M2126" s="21"/>
    </row>
    <row r="2127" spans="13:13" x14ac:dyDescent="0.25">
      <c r="M2127" s="21"/>
    </row>
    <row r="2128" spans="13:13" x14ac:dyDescent="0.25">
      <c r="M2128" s="21"/>
    </row>
    <row r="2129" spans="13:13" x14ac:dyDescent="0.25">
      <c r="M2129" s="21"/>
    </row>
    <row r="2130" spans="13:13" x14ac:dyDescent="0.25">
      <c r="M2130" s="21"/>
    </row>
    <row r="2131" spans="13:13" x14ac:dyDescent="0.25">
      <c r="M2131" s="21"/>
    </row>
    <row r="2132" spans="13:13" x14ac:dyDescent="0.25">
      <c r="M2132" s="21"/>
    </row>
    <row r="2133" spans="13:13" x14ac:dyDescent="0.25">
      <c r="M2133" s="21"/>
    </row>
    <row r="2134" spans="13:13" x14ac:dyDescent="0.25">
      <c r="M2134" s="21"/>
    </row>
    <row r="2135" spans="13:13" x14ac:dyDescent="0.25">
      <c r="M2135" s="21"/>
    </row>
    <row r="2136" spans="13:13" x14ac:dyDescent="0.25">
      <c r="M2136" s="21"/>
    </row>
    <row r="2137" spans="13:13" x14ac:dyDescent="0.25">
      <c r="M2137" s="21"/>
    </row>
    <row r="2138" spans="13:13" x14ac:dyDescent="0.25">
      <c r="M2138" s="21"/>
    </row>
    <row r="2139" spans="13:13" x14ac:dyDescent="0.25">
      <c r="M2139" s="21"/>
    </row>
    <row r="2140" spans="13:13" x14ac:dyDescent="0.25">
      <c r="M2140" s="21"/>
    </row>
    <row r="2141" spans="13:13" x14ac:dyDescent="0.25">
      <c r="M2141" s="21"/>
    </row>
    <row r="2142" spans="13:13" x14ac:dyDescent="0.25">
      <c r="M2142" s="21"/>
    </row>
    <row r="2143" spans="13:13" x14ac:dyDescent="0.25">
      <c r="M2143" s="21"/>
    </row>
    <row r="2144" spans="13:13" x14ac:dyDescent="0.25">
      <c r="M2144" s="21"/>
    </row>
    <row r="2145" spans="13:13" x14ac:dyDescent="0.25">
      <c r="M2145" s="21"/>
    </row>
    <row r="2146" spans="13:13" x14ac:dyDescent="0.25">
      <c r="M2146" s="21"/>
    </row>
    <row r="2147" spans="13:13" x14ac:dyDescent="0.25">
      <c r="M2147" s="21"/>
    </row>
    <row r="2148" spans="13:13" x14ac:dyDescent="0.25">
      <c r="M2148" s="21"/>
    </row>
    <row r="2149" spans="13:13" x14ac:dyDescent="0.25">
      <c r="M2149" s="21"/>
    </row>
    <row r="2150" spans="13:13" x14ac:dyDescent="0.25">
      <c r="M2150" s="21"/>
    </row>
    <row r="2151" spans="13:13" x14ac:dyDescent="0.25">
      <c r="M2151" s="21"/>
    </row>
    <row r="2152" spans="13:13" x14ac:dyDescent="0.25">
      <c r="M2152" s="21"/>
    </row>
    <row r="2153" spans="13:13" x14ac:dyDescent="0.25">
      <c r="M2153" s="21"/>
    </row>
    <row r="2154" spans="13:13" x14ac:dyDescent="0.25">
      <c r="M2154" s="21"/>
    </row>
    <row r="2155" spans="13:13" x14ac:dyDescent="0.25">
      <c r="M2155" s="21"/>
    </row>
    <row r="2156" spans="13:13" x14ac:dyDescent="0.25">
      <c r="M2156" s="21"/>
    </row>
    <row r="2157" spans="13:13" x14ac:dyDescent="0.25">
      <c r="M2157" s="21"/>
    </row>
    <row r="2158" spans="13:13" x14ac:dyDescent="0.25">
      <c r="M2158" s="21"/>
    </row>
    <row r="2159" spans="13:13" x14ac:dyDescent="0.25">
      <c r="M2159" s="21"/>
    </row>
    <row r="2160" spans="13:13" x14ac:dyDescent="0.25">
      <c r="M2160" s="21"/>
    </row>
    <row r="2161" spans="13:13" x14ac:dyDescent="0.25">
      <c r="M2161" s="21"/>
    </row>
    <row r="2162" spans="13:13" x14ac:dyDescent="0.25">
      <c r="M2162" s="21"/>
    </row>
    <row r="2163" spans="13:13" x14ac:dyDescent="0.25">
      <c r="M2163" s="21"/>
    </row>
    <row r="2164" spans="13:13" x14ac:dyDescent="0.25">
      <c r="M2164" s="21"/>
    </row>
    <row r="2165" spans="13:13" x14ac:dyDescent="0.25">
      <c r="M2165" s="21"/>
    </row>
    <row r="2166" spans="13:13" x14ac:dyDescent="0.25">
      <c r="M2166" s="21"/>
    </row>
    <row r="2167" spans="13:13" x14ac:dyDescent="0.25">
      <c r="M2167" s="21"/>
    </row>
    <row r="2168" spans="13:13" x14ac:dyDescent="0.25">
      <c r="M2168" s="21"/>
    </row>
    <row r="2169" spans="13:13" x14ac:dyDescent="0.25">
      <c r="M2169" s="21"/>
    </row>
    <row r="2170" spans="13:13" x14ac:dyDescent="0.25">
      <c r="M2170" s="21"/>
    </row>
    <row r="2171" spans="13:13" x14ac:dyDescent="0.25">
      <c r="M2171" s="21"/>
    </row>
    <row r="2172" spans="13:13" x14ac:dyDescent="0.25">
      <c r="M2172" s="21"/>
    </row>
    <row r="2173" spans="13:13" x14ac:dyDescent="0.25">
      <c r="M2173" s="21"/>
    </row>
    <row r="2174" spans="13:13" x14ac:dyDescent="0.25">
      <c r="M2174" s="21"/>
    </row>
    <row r="2175" spans="13:13" x14ac:dyDescent="0.25">
      <c r="M2175" s="21"/>
    </row>
    <row r="2176" spans="13:13" x14ac:dyDescent="0.25">
      <c r="M2176" s="21"/>
    </row>
    <row r="2177" spans="13:13" x14ac:dyDescent="0.25">
      <c r="M2177" s="21"/>
    </row>
    <row r="2178" spans="13:13" x14ac:dyDescent="0.25">
      <c r="M2178" s="21"/>
    </row>
    <row r="2179" spans="13:13" x14ac:dyDescent="0.25">
      <c r="M2179" s="21"/>
    </row>
    <row r="2180" spans="13:13" x14ac:dyDescent="0.25">
      <c r="M2180" s="21"/>
    </row>
    <row r="2181" spans="13:13" x14ac:dyDescent="0.25">
      <c r="M2181" s="21"/>
    </row>
    <row r="2182" spans="13:13" x14ac:dyDescent="0.25">
      <c r="M2182" s="21"/>
    </row>
    <row r="2183" spans="13:13" x14ac:dyDescent="0.25">
      <c r="M2183" s="21"/>
    </row>
    <row r="2184" spans="13:13" x14ac:dyDescent="0.25">
      <c r="M2184" s="21"/>
    </row>
    <row r="2185" spans="13:13" x14ac:dyDescent="0.25">
      <c r="M2185" s="21"/>
    </row>
    <row r="2186" spans="13:13" x14ac:dyDescent="0.25">
      <c r="M2186" s="21"/>
    </row>
    <row r="2187" spans="13:13" x14ac:dyDescent="0.25">
      <c r="M2187" s="21"/>
    </row>
    <row r="2188" spans="13:13" x14ac:dyDescent="0.25">
      <c r="M2188" s="21"/>
    </row>
    <row r="2189" spans="13:13" x14ac:dyDescent="0.25">
      <c r="M2189" s="21"/>
    </row>
    <row r="2190" spans="13:13" x14ac:dyDescent="0.25">
      <c r="M2190" s="21"/>
    </row>
    <row r="2191" spans="13:13" x14ac:dyDescent="0.25">
      <c r="M2191" s="21"/>
    </row>
    <row r="2192" spans="13:13" x14ac:dyDescent="0.25">
      <c r="M2192" s="21"/>
    </row>
    <row r="2193" spans="13:13" x14ac:dyDescent="0.25">
      <c r="M2193" s="21"/>
    </row>
    <row r="2194" spans="13:13" x14ac:dyDescent="0.25">
      <c r="M2194" s="21"/>
    </row>
    <row r="2195" spans="13:13" x14ac:dyDescent="0.25">
      <c r="M2195" s="21"/>
    </row>
    <row r="2196" spans="13:13" x14ac:dyDescent="0.25">
      <c r="M2196" s="21"/>
    </row>
    <row r="2197" spans="13:13" x14ac:dyDescent="0.25">
      <c r="M2197" s="21"/>
    </row>
    <row r="2198" spans="13:13" x14ac:dyDescent="0.25">
      <c r="M2198" s="21"/>
    </row>
    <row r="2199" spans="13:13" x14ac:dyDescent="0.25">
      <c r="M2199" s="21"/>
    </row>
    <row r="2200" spans="13:13" x14ac:dyDescent="0.25">
      <c r="M2200" s="21"/>
    </row>
    <row r="2201" spans="13:13" x14ac:dyDescent="0.25">
      <c r="M2201" s="21"/>
    </row>
    <row r="2202" spans="13:13" x14ac:dyDescent="0.25">
      <c r="M2202" s="21"/>
    </row>
    <row r="2203" spans="13:13" x14ac:dyDescent="0.25">
      <c r="M2203" s="21"/>
    </row>
    <row r="2204" spans="13:13" x14ac:dyDescent="0.25">
      <c r="M2204" s="21"/>
    </row>
    <row r="2205" spans="13:13" x14ac:dyDescent="0.25">
      <c r="M2205" s="21"/>
    </row>
    <row r="2206" spans="13:13" x14ac:dyDescent="0.25">
      <c r="M2206" s="21"/>
    </row>
    <row r="2207" spans="13:13" x14ac:dyDescent="0.25">
      <c r="M2207" s="21"/>
    </row>
    <row r="2208" spans="13:13" x14ac:dyDescent="0.25">
      <c r="M2208" s="21"/>
    </row>
    <row r="2209" spans="13:13" x14ac:dyDescent="0.25">
      <c r="M2209" s="21"/>
    </row>
    <row r="2210" spans="13:13" x14ac:dyDescent="0.25">
      <c r="M2210" s="21"/>
    </row>
    <row r="2211" spans="13:13" x14ac:dyDescent="0.25">
      <c r="M2211" s="21"/>
    </row>
    <row r="2212" spans="13:13" x14ac:dyDescent="0.25">
      <c r="M2212" s="21"/>
    </row>
    <row r="2213" spans="13:13" x14ac:dyDescent="0.25">
      <c r="M2213" s="21"/>
    </row>
    <row r="2214" spans="13:13" x14ac:dyDescent="0.25">
      <c r="M2214" s="21"/>
    </row>
    <row r="2215" spans="13:13" x14ac:dyDescent="0.25">
      <c r="M2215" s="21"/>
    </row>
    <row r="2216" spans="13:13" x14ac:dyDescent="0.25">
      <c r="M2216" s="21"/>
    </row>
    <row r="2217" spans="13:13" x14ac:dyDescent="0.25">
      <c r="M2217" s="21"/>
    </row>
    <row r="2218" spans="13:13" x14ac:dyDescent="0.25">
      <c r="M2218" s="21"/>
    </row>
    <row r="2219" spans="13:13" x14ac:dyDescent="0.25">
      <c r="M2219" s="21"/>
    </row>
    <row r="2220" spans="13:13" x14ac:dyDescent="0.25">
      <c r="M2220" s="21"/>
    </row>
    <row r="2221" spans="13:13" x14ac:dyDescent="0.25">
      <c r="M2221" s="21"/>
    </row>
    <row r="2222" spans="13:13" x14ac:dyDescent="0.25">
      <c r="M2222" s="21"/>
    </row>
    <row r="2223" spans="13:13" x14ac:dyDescent="0.25">
      <c r="M2223" s="21"/>
    </row>
    <row r="2224" spans="13:13" x14ac:dyDescent="0.25">
      <c r="M2224" s="21"/>
    </row>
    <row r="2225" spans="13:13" x14ac:dyDescent="0.25">
      <c r="M2225" s="21"/>
    </row>
    <row r="2226" spans="13:13" x14ac:dyDescent="0.25">
      <c r="M2226" s="21"/>
    </row>
    <row r="2227" spans="13:13" x14ac:dyDescent="0.25">
      <c r="M2227" s="21"/>
    </row>
    <row r="2228" spans="13:13" x14ac:dyDescent="0.25">
      <c r="M2228" s="21"/>
    </row>
    <row r="2229" spans="13:13" x14ac:dyDescent="0.25">
      <c r="M2229" s="21"/>
    </row>
    <row r="2230" spans="13:13" x14ac:dyDescent="0.25">
      <c r="M2230" s="21"/>
    </row>
    <row r="2231" spans="13:13" x14ac:dyDescent="0.25">
      <c r="M2231" s="21"/>
    </row>
    <row r="2232" spans="13:13" x14ac:dyDescent="0.25">
      <c r="M2232" s="21"/>
    </row>
    <row r="2233" spans="13:13" x14ac:dyDescent="0.25">
      <c r="M2233" s="21"/>
    </row>
    <row r="2234" spans="13:13" x14ac:dyDescent="0.25">
      <c r="M2234" s="21"/>
    </row>
    <row r="2235" spans="13:13" x14ac:dyDescent="0.25">
      <c r="M2235" s="21"/>
    </row>
    <row r="2236" spans="13:13" x14ac:dyDescent="0.25">
      <c r="M2236" s="21"/>
    </row>
    <row r="2237" spans="13:13" x14ac:dyDescent="0.25">
      <c r="M2237" s="21"/>
    </row>
    <row r="2238" spans="13:13" x14ac:dyDescent="0.25">
      <c r="M2238" s="21"/>
    </row>
    <row r="2239" spans="13:13" x14ac:dyDescent="0.25">
      <c r="M2239" s="21"/>
    </row>
    <row r="2240" spans="13:13" x14ac:dyDescent="0.25">
      <c r="M2240" s="21"/>
    </row>
    <row r="2241" spans="13:13" x14ac:dyDescent="0.25">
      <c r="M2241" s="21"/>
    </row>
    <row r="2242" spans="13:13" x14ac:dyDescent="0.25">
      <c r="M2242" s="21"/>
    </row>
    <row r="2243" spans="13:13" x14ac:dyDescent="0.25">
      <c r="M2243" s="21"/>
    </row>
    <row r="2244" spans="13:13" x14ac:dyDescent="0.25">
      <c r="M2244" s="21"/>
    </row>
    <row r="2245" spans="13:13" x14ac:dyDescent="0.25">
      <c r="M2245" s="21"/>
    </row>
    <row r="2246" spans="13:13" x14ac:dyDescent="0.25">
      <c r="M2246" s="21"/>
    </row>
    <row r="2247" spans="13:13" x14ac:dyDescent="0.25">
      <c r="M2247" s="21"/>
    </row>
    <row r="2248" spans="13:13" x14ac:dyDescent="0.25">
      <c r="M2248" s="21"/>
    </row>
    <row r="2249" spans="13:13" x14ac:dyDescent="0.25">
      <c r="M2249" s="21"/>
    </row>
    <row r="2250" spans="13:13" x14ac:dyDescent="0.25">
      <c r="M2250" s="21"/>
    </row>
    <row r="2251" spans="13:13" x14ac:dyDescent="0.25">
      <c r="M2251" s="21"/>
    </row>
    <row r="2252" spans="13:13" x14ac:dyDescent="0.25">
      <c r="M2252" s="21"/>
    </row>
    <row r="2253" spans="13:13" x14ac:dyDescent="0.25">
      <c r="M2253" s="21"/>
    </row>
    <row r="2254" spans="13:13" x14ac:dyDescent="0.25">
      <c r="M2254" s="21"/>
    </row>
    <row r="2255" spans="13:13" x14ac:dyDescent="0.25">
      <c r="M2255" s="21"/>
    </row>
    <row r="2256" spans="13:13" x14ac:dyDescent="0.25">
      <c r="M2256" s="21"/>
    </row>
    <row r="2257" spans="13:13" x14ac:dyDescent="0.25">
      <c r="M2257" s="21"/>
    </row>
    <row r="2258" spans="13:13" x14ac:dyDescent="0.25">
      <c r="M2258" s="21"/>
    </row>
    <row r="2259" spans="13:13" x14ac:dyDescent="0.25">
      <c r="M2259" s="21"/>
    </row>
    <row r="2260" spans="13:13" x14ac:dyDescent="0.25">
      <c r="M2260" s="21"/>
    </row>
    <row r="2261" spans="13:13" x14ac:dyDescent="0.25">
      <c r="M2261" s="21"/>
    </row>
    <row r="2262" spans="13:13" x14ac:dyDescent="0.25">
      <c r="M2262" s="21"/>
    </row>
    <row r="2263" spans="13:13" x14ac:dyDescent="0.25">
      <c r="M2263" s="21"/>
    </row>
    <row r="2264" spans="13:13" x14ac:dyDescent="0.25">
      <c r="M2264" s="21"/>
    </row>
    <row r="2265" spans="13:13" x14ac:dyDescent="0.25">
      <c r="M2265" s="21"/>
    </row>
    <row r="2266" spans="13:13" x14ac:dyDescent="0.25">
      <c r="M2266" s="21"/>
    </row>
    <row r="2267" spans="13:13" x14ac:dyDescent="0.25">
      <c r="M2267" s="21"/>
    </row>
    <row r="2268" spans="13:13" x14ac:dyDescent="0.25">
      <c r="M2268" s="21"/>
    </row>
    <row r="2269" spans="13:13" x14ac:dyDescent="0.25">
      <c r="M2269" s="21"/>
    </row>
    <row r="2270" spans="13:13" x14ac:dyDescent="0.25">
      <c r="M2270" s="21"/>
    </row>
    <row r="2271" spans="13:13" x14ac:dyDescent="0.25">
      <c r="M2271" s="21"/>
    </row>
    <row r="2272" spans="13:13" x14ac:dyDescent="0.25">
      <c r="M2272" s="21"/>
    </row>
    <row r="2273" spans="13:13" x14ac:dyDescent="0.25">
      <c r="M2273" s="21"/>
    </row>
    <row r="2274" spans="13:13" x14ac:dyDescent="0.25">
      <c r="M2274" s="21"/>
    </row>
    <row r="2275" spans="13:13" x14ac:dyDescent="0.25">
      <c r="M2275" s="21"/>
    </row>
    <row r="2276" spans="13:13" x14ac:dyDescent="0.25">
      <c r="M2276" s="21"/>
    </row>
    <row r="2277" spans="13:13" x14ac:dyDescent="0.25">
      <c r="M2277" s="21"/>
    </row>
    <row r="2278" spans="13:13" x14ac:dyDescent="0.25">
      <c r="M2278" s="21"/>
    </row>
    <row r="2279" spans="13:13" x14ac:dyDescent="0.25">
      <c r="M2279" s="21"/>
    </row>
    <row r="2280" spans="13:13" x14ac:dyDescent="0.25">
      <c r="M2280" s="21"/>
    </row>
    <row r="2281" spans="13:13" x14ac:dyDescent="0.25">
      <c r="M2281" s="21"/>
    </row>
    <row r="2282" spans="13:13" x14ac:dyDescent="0.25">
      <c r="M2282" s="21"/>
    </row>
    <row r="2283" spans="13:13" x14ac:dyDescent="0.25">
      <c r="M2283" s="21"/>
    </row>
    <row r="2284" spans="13:13" x14ac:dyDescent="0.25">
      <c r="M2284" s="21"/>
    </row>
    <row r="2285" spans="13:13" x14ac:dyDescent="0.25">
      <c r="M2285" s="21"/>
    </row>
    <row r="2286" spans="13:13" x14ac:dyDescent="0.25">
      <c r="M2286" s="21"/>
    </row>
    <row r="2287" spans="13:13" x14ac:dyDescent="0.25">
      <c r="M2287" s="21"/>
    </row>
    <row r="2288" spans="13:13" x14ac:dyDescent="0.25">
      <c r="M2288" s="21"/>
    </row>
    <row r="2289" spans="13:13" x14ac:dyDescent="0.25">
      <c r="M2289" s="21"/>
    </row>
    <row r="2290" spans="13:13" x14ac:dyDescent="0.25">
      <c r="M2290" s="21"/>
    </row>
    <row r="2291" spans="13:13" x14ac:dyDescent="0.25">
      <c r="M2291" s="21"/>
    </row>
    <row r="2292" spans="13:13" x14ac:dyDescent="0.25">
      <c r="M2292" s="21"/>
    </row>
    <row r="2293" spans="13:13" x14ac:dyDescent="0.25">
      <c r="M2293" s="21"/>
    </row>
    <row r="2294" spans="13:13" x14ac:dyDescent="0.25">
      <c r="M2294" s="21"/>
    </row>
    <row r="2295" spans="13:13" x14ac:dyDescent="0.25">
      <c r="M2295" s="21"/>
    </row>
    <row r="2296" spans="13:13" x14ac:dyDescent="0.25">
      <c r="M2296" s="21"/>
    </row>
    <row r="2297" spans="13:13" x14ac:dyDescent="0.25">
      <c r="M2297" s="21"/>
    </row>
    <row r="2298" spans="13:13" x14ac:dyDescent="0.25">
      <c r="M2298" s="21"/>
    </row>
    <row r="2299" spans="13:13" x14ac:dyDescent="0.25">
      <c r="M2299" s="21"/>
    </row>
    <row r="2300" spans="13:13" x14ac:dyDescent="0.25">
      <c r="M2300" s="21"/>
    </row>
    <row r="2301" spans="13:13" x14ac:dyDescent="0.25">
      <c r="M2301" s="21"/>
    </row>
    <row r="2302" spans="13:13" x14ac:dyDescent="0.25">
      <c r="M2302" s="21"/>
    </row>
    <row r="2303" spans="13:13" x14ac:dyDescent="0.25">
      <c r="M2303" s="21"/>
    </row>
    <row r="2304" spans="13:13" x14ac:dyDescent="0.25">
      <c r="M2304" s="21"/>
    </row>
    <row r="2305" spans="13:13" x14ac:dyDescent="0.25">
      <c r="M2305" s="21"/>
    </row>
    <row r="2306" spans="13:13" x14ac:dyDescent="0.25">
      <c r="M2306" s="21"/>
    </row>
    <row r="2307" spans="13:13" x14ac:dyDescent="0.25">
      <c r="M2307" s="21"/>
    </row>
    <row r="2308" spans="13:13" x14ac:dyDescent="0.25">
      <c r="M2308" s="21"/>
    </row>
    <row r="2309" spans="13:13" x14ac:dyDescent="0.25">
      <c r="M2309" s="21"/>
    </row>
    <row r="2310" spans="13:13" x14ac:dyDescent="0.25">
      <c r="M2310" s="21"/>
    </row>
    <row r="2311" spans="13:13" x14ac:dyDescent="0.25">
      <c r="M2311" s="21"/>
    </row>
    <row r="2312" spans="13:13" x14ac:dyDescent="0.25">
      <c r="M2312" s="21"/>
    </row>
    <row r="2313" spans="13:13" x14ac:dyDescent="0.25">
      <c r="M2313" s="21"/>
    </row>
    <row r="2314" spans="13:13" x14ac:dyDescent="0.25">
      <c r="M2314" s="21"/>
    </row>
    <row r="2315" spans="13:13" x14ac:dyDescent="0.25">
      <c r="M2315" s="21"/>
    </row>
    <row r="2316" spans="13:13" x14ac:dyDescent="0.25">
      <c r="M2316" s="21"/>
    </row>
    <row r="2317" spans="13:13" x14ac:dyDescent="0.25">
      <c r="M2317" s="21"/>
    </row>
    <row r="2318" spans="13:13" x14ac:dyDescent="0.25">
      <c r="M2318" s="21"/>
    </row>
    <row r="2319" spans="13:13" x14ac:dyDescent="0.25">
      <c r="M2319" s="21"/>
    </row>
    <row r="2320" spans="13:13" x14ac:dyDescent="0.25">
      <c r="M2320" s="21"/>
    </row>
    <row r="2321" spans="13:13" x14ac:dyDescent="0.25">
      <c r="M2321" s="21"/>
    </row>
    <row r="2322" spans="13:13" x14ac:dyDescent="0.25">
      <c r="M2322" s="21"/>
    </row>
    <row r="2323" spans="13:13" x14ac:dyDescent="0.25">
      <c r="M2323" s="21"/>
    </row>
    <row r="2324" spans="13:13" x14ac:dyDescent="0.25">
      <c r="M2324" s="21"/>
    </row>
    <row r="2325" spans="13:13" x14ac:dyDescent="0.25">
      <c r="M2325" s="21"/>
    </row>
    <row r="2326" spans="13:13" x14ac:dyDescent="0.25">
      <c r="M2326" s="21"/>
    </row>
    <row r="2327" spans="13:13" x14ac:dyDescent="0.25">
      <c r="M2327" s="21"/>
    </row>
    <row r="2328" spans="13:13" x14ac:dyDescent="0.25">
      <c r="M2328" s="21"/>
    </row>
    <row r="2329" spans="13:13" x14ac:dyDescent="0.25">
      <c r="M2329" s="21"/>
    </row>
    <row r="2330" spans="13:13" x14ac:dyDescent="0.25">
      <c r="M2330" s="21"/>
    </row>
    <row r="2331" spans="13:13" x14ac:dyDescent="0.25">
      <c r="M2331" s="21"/>
    </row>
    <row r="2332" spans="13:13" x14ac:dyDescent="0.25">
      <c r="M2332" s="21"/>
    </row>
    <row r="2333" spans="13:13" x14ac:dyDescent="0.25">
      <c r="M2333" s="21"/>
    </row>
    <row r="2334" spans="13:13" x14ac:dyDescent="0.25">
      <c r="M2334" s="21"/>
    </row>
    <row r="2335" spans="13:13" x14ac:dyDescent="0.25">
      <c r="M2335" s="21"/>
    </row>
    <row r="2336" spans="13:13" x14ac:dyDescent="0.25">
      <c r="M2336" s="21"/>
    </row>
    <row r="2337" spans="13:13" x14ac:dyDescent="0.25">
      <c r="M2337" s="21"/>
    </row>
    <row r="2338" spans="13:13" x14ac:dyDescent="0.25">
      <c r="M2338" s="21"/>
    </row>
    <row r="2339" spans="13:13" x14ac:dyDescent="0.25">
      <c r="M2339" s="21"/>
    </row>
    <row r="2340" spans="13:13" x14ac:dyDescent="0.25">
      <c r="M2340" s="21"/>
    </row>
    <row r="2341" spans="13:13" x14ac:dyDescent="0.25">
      <c r="M2341" s="21"/>
    </row>
    <row r="2342" spans="13:13" x14ac:dyDescent="0.25">
      <c r="M2342" s="21"/>
    </row>
    <row r="2343" spans="13:13" x14ac:dyDescent="0.25">
      <c r="M2343" s="21"/>
    </row>
    <row r="2344" spans="13:13" x14ac:dyDescent="0.25">
      <c r="M2344" s="21"/>
    </row>
    <row r="2345" spans="13:13" x14ac:dyDescent="0.25">
      <c r="M2345" s="21"/>
    </row>
    <row r="2346" spans="13:13" x14ac:dyDescent="0.25">
      <c r="M2346" s="21"/>
    </row>
    <row r="2347" spans="13:13" x14ac:dyDescent="0.25">
      <c r="M2347" s="21"/>
    </row>
    <row r="2348" spans="13:13" x14ac:dyDescent="0.25">
      <c r="M2348" s="21"/>
    </row>
    <row r="2349" spans="13:13" x14ac:dyDescent="0.25">
      <c r="M2349" s="21"/>
    </row>
    <row r="2350" spans="13:13" x14ac:dyDescent="0.25">
      <c r="M2350" s="21"/>
    </row>
    <row r="2351" spans="13:13" x14ac:dyDescent="0.25">
      <c r="M2351" s="21"/>
    </row>
    <row r="2352" spans="13:13" x14ac:dyDescent="0.25">
      <c r="M2352" s="21"/>
    </row>
    <row r="2353" spans="13:13" x14ac:dyDescent="0.25">
      <c r="M2353" s="21"/>
    </row>
    <row r="2354" spans="13:13" x14ac:dyDescent="0.25">
      <c r="M2354" s="21"/>
    </row>
    <row r="2355" spans="13:13" x14ac:dyDescent="0.25">
      <c r="M2355" s="21"/>
    </row>
    <row r="2356" spans="13:13" x14ac:dyDescent="0.25">
      <c r="M2356" s="21"/>
    </row>
    <row r="2357" spans="13:13" x14ac:dyDescent="0.25">
      <c r="M2357" s="21"/>
    </row>
    <row r="2358" spans="13:13" x14ac:dyDescent="0.25">
      <c r="M2358" s="21"/>
    </row>
    <row r="2359" spans="13:13" x14ac:dyDescent="0.25">
      <c r="M2359" s="21"/>
    </row>
    <row r="2360" spans="13:13" x14ac:dyDescent="0.25">
      <c r="M2360" s="21"/>
    </row>
    <row r="2361" spans="13:13" x14ac:dyDescent="0.25">
      <c r="M2361" s="21"/>
    </row>
    <row r="2362" spans="13:13" x14ac:dyDescent="0.25">
      <c r="M2362" s="21"/>
    </row>
    <row r="2363" spans="13:13" x14ac:dyDescent="0.25">
      <c r="M2363" s="21"/>
    </row>
    <row r="2364" spans="13:13" x14ac:dyDescent="0.25">
      <c r="M2364" s="21"/>
    </row>
    <row r="2365" spans="13:13" x14ac:dyDescent="0.25">
      <c r="M2365" s="21"/>
    </row>
    <row r="2366" spans="13:13" x14ac:dyDescent="0.25">
      <c r="M2366" s="21"/>
    </row>
    <row r="2367" spans="13:13" x14ac:dyDescent="0.25">
      <c r="M2367" s="21"/>
    </row>
    <row r="2368" spans="13:13" x14ac:dyDescent="0.25">
      <c r="M2368" s="21"/>
    </row>
    <row r="2369" spans="13:13" x14ac:dyDescent="0.25">
      <c r="M2369" s="21"/>
    </row>
    <row r="2370" spans="13:13" x14ac:dyDescent="0.25">
      <c r="M2370" s="21"/>
    </row>
    <row r="2371" spans="13:13" x14ac:dyDescent="0.25">
      <c r="M2371" s="21"/>
    </row>
    <row r="2372" spans="13:13" x14ac:dyDescent="0.25">
      <c r="M2372" s="21"/>
    </row>
    <row r="2373" spans="13:13" x14ac:dyDescent="0.25">
      <c r="M2373" s="21"/>
    </row>
    <row r="2374" spans="13:13" x14ac:dyDescent="0.25">
      <c r="M2374" s="21"/>
    </row>
    <row r="2375" spans="13:13" x14ac:dyDescent="0.25">
      <c r="M2375" s="21"/>
    </row>
    <row r="2376" spans="13:13" x14ac:dyDescent="0.25">
      <c r="M2376" s="21"/>
    </row>
    <row r="2377" spans="13:13" x14ac:dyDescent="0.25">
      <c r="M2377" s="21"/>
    </row>
    <row r="2378" spans="13:13" x14ac:dyDescent="0.25">
      <c r="M2378" s="21"/>
    </row>
    <row r="2379" spans="13:13" x14ac:dyDescent="0.25">
      <c r="M2379" s="21"/>
    </row>
    <row r="2380" spans="13:13" x14ac:dyDescent="0.25">
      <c r="M2380" s="21"/>
    </row>
    <row r="2381" spans="13:13" x14ac:dyDescent="0.25">
      <c r="M2381" s="21"/>
    </row>
    <row r="2382" spans="13:13" x14ac:dyDescent="0.25">
      <c r="M2382" s="21"/>
    </row>
    <row r="2383" spans="13:13" x14ac:dyDescent="0.25">
      <c r="M2383" s="21"/>
    </row>
    <row r="2384" spans="13:13" x14ac:dyDescent="0.25">
      <c r="M2384" s="21"/>
    </row>
    <row r="2385" spans="13:13" x14ac:dyDescent="0.25">
      <c r="M2385" s="21"/>
    </row>
    <row r="2386" spans="13:13" x14ac:dyDescent="0.25">
      <c r="M2386" s="21"/>
    </row>
    <row r="2387" spans="13:13" x14ac:dyDescent="0.25">
      <c r="M2387" s="21"/>
    </row>
    <row r="2388" spans="13:13" x14ac:dyDescent="0.25">
      <c r="M2388" s="21"/>
    </row>
    <row r="2389" spans="13:13" x14ac:dyDescent="0.25">
      <c r="M2389" s="21"/>
    </row>
    <row r="2390" spans="13:13" x14ac:dyDescent="0.25">
      <c r="M2390" s="21"/>
    </row>
    <row r="2391" spans="13:13" x14ac:dyDescent="0.25">
      <c r="M2391" s="21"/>
    </row>
    <row r="2392" spans="13:13" x14ac:dyDescent="0.25">
      <c r="M2392" s="21"/>
    </row>
    <row r="2393" spans="13:13" x14ac:dyDescent="0.25">
      <c r="M2393" s="21"/>
    </row>
    <row r="2394" spans="13:13" x14ac:dyDescent="0.25">
      <c r="M2394" s="21"/>
    </row>
    <row r="2395" spans="13:13" x14ac:dyDescent="0.25">
      <c r="M2395" s="21"/>
    </row>
    <row r="2396" spans="13:13" x14ac:dyDescent="0.25">
      <c r="M2396" s="21"/>
    </row>
    <row r="2397" spans="13:13" x14ac:dyDescent="0.25">
      <c r="M2397" s="21"/>
    </row>
    <row r="2398" spans="13:13" x14ac:dyDescent="0.25">
      <c r="M2398" s="21"/>
    </row>
    <row r="2399" spans="13:13" x14ac:dyDescent="0.25">
      <c r="M2399" s="21"/>
    </row>
    <row r="2400" spans="13:13" x14ac:dyDescent="0.25">
      <c r="M2400" s="21"/>
    </row>
    <row r="2401" spans="13:13" x14ac:dyDescent="0.25">
      <c r="M2401" s="21"/>
    </row>
    <row r="2402" spans="13:13" x14ac:dyDescent="0.25">
      <c r="M2402" s="21"/>
    </row>
    <row r="2403" spans="13:13" x14ac:dyDescent="0.25">
      <c r="M2403" s="21"/>
    </row>
    <row r="2404" spans="13:13" x14ac:dyDescent="0.25">
      <c r="M2404" s="21"/>
    </row>
    <row r="2405" spans="13:13" x14ac:dyDescent="0.25">
      <c r="M2405" s="21"/>
    </row>
    <row r="2406" spans="13:13" x14ac:dyDescent="0.25">
      <c r="M2406" s="21"/>
    </row>
    <row r="2407" spans="13:13" x14ac:dyDescent="0.25">
      <c r="M2407" s="21"/>
    </row>
    <row r="2408" spans="13:13" x14ac:dyDescent="0.25">
      <c r="M2408" s="21"/>
    </row>
    <row r="2409" spans="13:13" x14ac:dyDescent="0.25">
      <c r="M2409" s="21"/>
    </row>
    <row r="2410" spans="13:13" x14ac:dyDescent="0.25">
      <c r="M2410" s="21"/>
    </row>
    <row r="2411" spans="13:13" x14ac:dyDescent="0.25">
      <c r="M2411" s="21"/>
    </row>
    <row r="2412" spans="13:13" x14ac:dyDescent="0.25">
      <c r="M2412" s="21"/>
    </row>
    <row r="2413" spans="13:13" x14ac:dyDescent="0.25">
      <c r="M2413" s="21"/>
    </row>
    <row r="2414" spans="13:13" x14ac:dyDescent="0.25">
      <c r="M2414" s="21"/>
    </row>
    <row r="2415" spans="13:13" x14ac:dyDescent="0.25">
      <c r="M2415" s="21"/>
    </row>
    <row r="2416" spans="13:13" x14ac:dyDescent="0.25">
      <c r="M2416" s="21"/>
    </row>
    <row r="2417" spans="13:13" x14ac:dyDescent="0.25">
      <c r="M2417" s="21"/>
    </row>
    <row r="2418" spans="13:13" x14ac:dyDescent="0.25">
      <c r="M2418" s="21"/>
    </row>
    <row r="2419" spans="13:13" x14ac:dyDescent="0.25">
      <c r="M2419" s="21"/>
    </row>
    <row r="2420" spans="13:13" x14ac:dyDescent="0.25">
      <c r="M2420" s="21"/>
    </row>
    <row r="2421" spans="13:13" x14ac:dyDescent="0.25">
      <c r="M2421" s="21"/>
    </row>
    <row r="2422" spans="13:13" x14ac:dyDescent="0.25">
      <c r="M2422" s="21"/>
    </row>
    <row r="2423" spans="13:13" x14ac:dyDescent="0.25">
      <c r="M2423" s="21"/>
    </row>
    <row r="2424" spans="13:13" x14ac:dyDescent="0.25">
      <c r="M2424" s="21"/>
    </row>
    <row r="2425" spans="13:13" x14ac:dyDescent="0.25">
      <c r="M2425" s="21"/>
    </row>
    <row r="2426" spans="13:13" x14ac:dyDescent="0.25">
      <c r="M2426" s="21"/>
    </row>
    <row r="2427" spans="13:13" x14ac:dyDescent="0.25">
      <c r="M2427" s="21"/>
    </row>
    <row r="2428" spans="13:13" x14ac:dyDescent="0.25">
      <c r="M2428" s="21"/>
    </row>
    <row r="2429" spans="13:13" x14ac:dyDescent="0.25">
      <c r="M2429" s="21"/>
    </row>
    <row r="2430" spans="13:13" x14ac:dyDescent="0.25">
      <c r="M2430" s="21"/>
    </row>
    <row r="2431" spans="13:13" x14ac:dyDescent="0.25">
      <c r="M2431" s="21"/>
    </row>
    <row r="2432" spans="13:13" x14ac:dyDescent="0.25">
      <c r="M2432" s="21"/>
    </row>
    <row r="2433" spans="13:13" x14ac:dyDescent="0.25">
      <c r="M2433" s="21"/>
    </row>
    <row r="2434" spans="13:13" x14ac:dyDescent="0.25">
      <c r="M2434" s="21"/>
    </row>
    <row r="2435" spans="13:13" x14ac:dyDescent="0.25">
      <c r="M2435" s="21"/>
    </row>
    <row r="2436" spans="13:13" x14ac:dyDescent="0.25">
      <c r="M2436" s="21"/>
    </row>
    <row r="2437" spans="13:13" x14ac:dyDescent="0.25">
      <c r="M2437" s="21"/>
    </row>
    <row r="2438" spans="13:13" x14ac:dyDescent="0.25">
      <c r="M2438" s="21"/>
    </row>
    <row r="2439" spans="13:13" x14ac:dyDescent="0.25">
      <c r="M2439" s="21"/>
    </row>
    <row r="2440" spans="13:13" x14ac:dyDescent="0.25">
      <c r="M2440" s="21"/>
    </row>
    <row r="2441" spans="13:13" x14ac:dyDescent="0.25">
      <c r="M2441" s="21"/>
    </row>
    <row r="2442" spans="13:13" x14ac:dyDescent="0.25">
      <c r="M2442" s="21"/>
    </row>
    <row r="2443" spans="13:13" x14ac:dyDescent="0.25">
      <c r="M2443" s="21"/>
    </row>
    <row r="2444" spans="13:13" x14ac:dyDescent="0.25">
      <c r="M2444" s="21"/>
    </row>
    <row r="2445" spans="13:13" x14ac:dyDescent="0.25">
      <c r="M2445" s="21"/>
    </row>
    <row r="2446" spans="13:13" x14ac:dyDescent="0.25">
      <c r="M2446" s="21"/>
    </row>
    <row r="2447" spans="13:13" x14ac:dyDescent="0.25">
      <c r="M2447" s="21"/>
    </row>
    <row r="2448" spans="13:13" x14ac:dyDescent="0.25">
      <c r="M2448" s="21"/>
    </row>
    <row r="2449" spans="13:13" x14ac:dyDescent="0.25">
      <c r="M2449" s="21"/>
    </row>
    <row r="2450" spans="13:13" x14ac:dyDescent="0.25">
      <c r="M2450" s="21"/>
    </row>
    <row r="2451" spans="13:13" x14ac:dyDescent="0.25">
      <c r="M2451" s="21"/>
    </row>
    <row r="2452" spans="13:13" x14ac:dyDescent="0.25">
      <c r="M2452" s="21"/>
    </row>
    <row r="2453" spans="13:13" x14ac:dyDescent="0.25">
      <c r="M2453" s="21"/>
    </row>
    <row r="2454" spans="13:13" x14ac:dyDescent="0.25">
      <c r="M2454" s="21"/>
    </row>
    <row r="2455" spans="13:13" x14ac:dyDescent="0.25">
      <c r="M2455" s="21"/>
    </row>
    <row r="2456" spans="13:13" x14ac:dyDescent="0.25">
      <c r="M2456" s="21"/>
    </row>
    <row r="2457" spans="13:13" x14ac:dyDescent="0.25">
      <c r="M2457" s="21"/>
    </row>
    <row r="2458" spans="13:13" x14ac:dyDescent="0.25">
      <c r="M2458" s="21"/>
    </row>
    <row r="2459" spans="13:13" x14ac:dyDescent="0.25">
      <c r="M2459" s="21"/>
    </row>
    <row r="2460" spans="13:13" x14ac:dyDescent="0.25">
      <c r="M2460" s="21"/>
    </row>
    <row r="2461" spans="13:13" x14ac:dyDescent="0.25">
      <c r="M2461" s="21"/>
    </row>
    <row r="2462" spans="13:13" x14ac:dyDescent="0.25">
      <c r="M2462" s="21"/>
    </row>
    <row r="2463" spans="13:13" x14ac:dyDescent="0.25">
      <c r="M2463" s="21"/>
    </row>
    <row r="2464" spans="13:13" x14ac:dyDescent="0.25">
      <c r="M2464" s="21"/>
    </row>
    <row r="2465" spans="13:13" x14ac:dyDescent="0.25">
      <c r="M2465" s="21"/>
    </row>
    <row r="2466" spans="13:13" x14ac:dyDescent="0.25">
      <c r="M2466" s="21"/>
    </row>
    <row r="2467" spans="13:13" x14ac:dyDescent="0.25">
      <c r="M2467" s="21"/>
    </row>
    <row r="2468" spans="13:13" x14ac:dyDescent="0.25">
      <c r="M2468" s="21"/>
    </row>
    <row r="2469" spans="13:13" x14ac:dyDescent="0.25">
      <c r="M2469" s="21"/>
    </row>
    <row r="2470" spans="13:13" x14ac:dyDescent="0.25">
      <c r="M2470" s="21"/>
    </row>
    <row r="2471" spans="13:13" x14ac:dyDescent="0.25">
      <c r="M2471" s="21"/>
    </row>
    <row r="2472" spans="13:13" x14ac:dyDescent="0.25">
      <c r="M2472" s="21"/>
    </row>
    <row r="2473" spans="13:13" x14ac:dyDescent="0.25">
      <c r="M2473" s="21"/>
    </row>
    <row r="2474" spans="13:13" x14ac:dyDescent="0.25">
      <c r="M2474" s="21"/>
    </row>
    <row r="2475" spans="13:13" x14ac:dyDescent="0.25">
      <c r="M2475" s="21"/>
    </row>
    <row r="2476" spans="13:13" x14ac:dyDescent="0.25">
      <c r="M2476" s="21"/>
    </row>
    <row r="2477" spans="13:13" x14ac:dyDescent="0.25">
      <c r="M2477" s="21"/>
    </row>
    <row r="2478" spans="13:13" x14ac:dyDescent="0.25">
      <c r="M2478" s="21"/>
    </row>
    <row r="2479" spans="13:13" x14ac:dyDescent="0.25">
      <c r="M2479" s="21"/>
    </row>
    <row r="2480" spans="13:13" x14ac:dyDescent="0.25">
      <c r="M2480" s="21"/>
    </row>
    <row r="2481" spans="13:13" x14ac:dyDescent="0.25">
      <c r="M2481" s="21"/>
    </row>
    <row r="2482" spans="13:13" x14ac:dyDescent="0.25">
      <c r="M2482" s="21"/>
    </row>
    <row r="2483" spans="13:13" x14ac:dyDescent="0.25">
      <c r="M2483" s="21"/>
    </row>
    <row r="2484" spans="13:13" x14ac:dyDescent="0.25">
      <c r="M2484" s="21"/>
    </row>
    <row r="2485" spans="13:13" x14ac:dyDescent="0.25">
      <c r="M2485" s="21"/>
    </row>
    <row r="2486" spans="13:13" x14ac:dyDescent="0.25">
      <c r="M2486" s="21"/>
    </row>
    <row r="2487" spans="13:13" x14ac:dyDescent="0.25">
      <c r="M2487" s="21"/>
    </row>
    <row r="2488" spans="13:13" x14ac:dyDescent="0.25">
      <c r="M2488" s="21"/>
    </row>
    <row r="2489" spans="13:13" x14ac:dyDescent="0.25">
      <c r="M2489" s="21"/>
    </row>
    <row r="2490" spans="13:13" x14ac:dyDescent="0.25">
      <c r="M2490" s="21"/>
    </row>
    <row r="2491" spans="13:13" x14ac:dyDescent="0.25">
      <c r="M2491" s="21"/>
    </row>
    <row r="2492" spans="13:13" x14ac:dyDescent="0.25">
      <c r="M2492" s="21"/>
    </row>
    <row r="2493" spans="13:13" x14ac:dyDescent="0.25">
      <c r="M2493" s="21"/>
    </row>
    <row r="2494" spans="13:13" x14ac:dyDescent="0.25">
      <c r="M2494" s="21"/>
    </row>
    <row r="2495" spans="13:13" x14ac:dyDescent="0.25">
      <c r="M2495" s="21"/>
    </row>
    <row r="2496" spans="13:13" x14ac:dyDescent="0.25">
      <c r="M2496" s="21"/>
    </row>
    <row r="2497" spans="13:13" x14ac:dyDescent="0.25">
      <c r="M2497" s="21"/>
    </row>
    <row r="2498" spans="13:13" x14ac:dyDescent="0.25">
      <c r="M2498" s="21"/>
    </row>
    <row r="2499" spans="13:13" x14ac:dyDescent="0.25">
      <c r="M2499" s="21"/>
    </row>
    <row r="2500" spans="13:13" x14ac:dyDescent="0.25">
      <c r="M2500" s="21"/>
    </row>
    <row r="2501" spans="13:13" x14ac:dyDescent="0.25">
      <c r="M2501" s="21"/>
    </row>
    <row r="2502" spans="13:13" x14ac:dyDescent="0.25">
      <c r="M2502" s="21"/>
    </row>
    <row r="2503" spans="13:13" x14ac:dyDescent="0.25">
      <c r="M2503" s="21"/>
    </row>
    <row r="2504" spans="13:13" x14ac:dyDescent="0.25">
      <c r="M2504" s="21"/>
    </row>
    <row r="2505" spans="13:13" x14ac:dyDescent="0.25">
      <c r="M2505" s="21"/>
    </row>
    <row r="2506" spans="13:13" x14ac:dyDescent="0.25">
      <c r="M2506" s="21"/>
    </row>
    <row r="2507" spans="13:13" x14ac:dyDescent="0.25">
      <c r="M2507" s="21"/>
    </row>
    <row r="2508" spans="13:13" x14ac:dyDescent="0.25">
      <c r="M2508" s="21"/>
    </row>
    <row r="2509" spans="13:13" x14ac:dyDescent="0.25">
      <c r="M2509" s="21"/>
    </row>
    <row r="2510" spans="13:13" x14ac:dyDescent="0.25">
      <c r="M2510" s="21"/>
    </row>
    <row r="2511" spans="13:13" x14ac:dyDescent="0.25">
      <c r="M2511" s="21"/>
    </row>
    <row r="2512" spans="13:13" x14ac:dyDescent="0.25">
      <c r="M2512" s="21"/>
    </row>
    <row r="2513" spans="13:13" x14ac:dyDescent="0.25">
      <c r="M2513" s="21"/>
    </row>
    <row r="2514" spans="13:13" x14ac:dyDescent="0.25">
      <c r="M2514" s="21"/>
    </row>
    <row r="2515" spans="13:13" x14ac:dyDescent="0.25">
      <c r="M2515" s="21"/>
    </row>
    <row r="2516" spans="13:13" x14ac:dyDescent="0.25">
      <c r="M2516" s="21"/>
    </row>
    <row r="2517" spans="13:13" x14ac:dyDescent="0.25">
      <c r="M2517" s="21"/>
    </row>
    <row r="2518" spans="13:13" x14ac:dyDescent="0.25">
      <c r="M2518" s="21"/>
    </row>
    <row r="2519" spans="13:13" x14ac:dyDescent="0.25">
      <c r="M2519" s="21"/>
    </row>
    <row r="2520" spans="13:13" x14ac:dyDescent="0.25">
      <c r="M2520" s="21"/>
    </row>
    <row r="2521" spans="13:13" x14ac:dyDescent="0.25">
      <c r="M2521" s="21"/>
    </row>
    <row r="2522" spans="13:13" x14ac:dyDescent="0.25">
      <c r="M2522" s="21"/>
    </row>
    <row r="2523" spans="13:13" x14ac:dyDescent="0.25">
      <c r="M2523" s="21"/>
    </row>
    <row r="2524" spans="13:13" x14ac:dyDescent="0.25">
      <c r="M2524" s="21"/>
    </row>
    <row r="2525" spans="13:13" x14ac:dyDescent="0.25">
      <c r="M2525" s="21"/>
    </row>
    <row r="2526" spans="13:13" x14ac:dyDescent="0.25">
      <c r="M2526" s="21"/>
    </row>
    <row r="2527" spans="13:13" x14ac:dyDescent="0.25">
      <c r="M2527" s="21"/>
    </row>
    <row r="2528" spans="13:13" x14ac:dyDescent="0.25">
      <c r="M2528" s="21"/>
    </row>
    <row r="2529" spans="13:13" x14ac:dyDescent="0.25">
      <c r="M2529" s="21"/>
    </row>
    <row r="2530" spans="13:13" x14ac:dyDescent="0.25">
      <c r="M2530" s="21"/>
    </row>
    <row r="2531" spans="13:13" x14ac:dyDescent="0.25">
      <c r="M2531" s="21"/>
    </row>
    <row r="2532" spans="13:13" x14ac:dyDescent="0.25">
      <c r="M2532" s="21"/>
    </row>
    <row r="2533" spans="13:13" x14ac:dyDescent="0.25">
      <c r="M2533" s="21"/>
    </row>
    <row r="2534" spans="13:13" x14ac:dyDescent="0.25">
      <c r="M2534" s="21"/>
    </row>
    <row r="2535" spans="13:13" x14ac:dyDescent="0.25">
      <c r="M2535" s="21"/>
    </row>
    <row r="2536" spans="13:13" x14ac:dyDescent="0.25">
      <c r="M2536" s="21"/>
    </row>
    <row r="2537" spans="13:13" x14ac:dyDescent="0.25">
      <c r="M2537" s="21"/>
    </row>
    <row r="2538" spans="13:13" x14ac:dyDescent="0.25">
      <c r="M2538" s="21"/>
    </row>
    <row r="2539" spans="13:13" x14ac:dyDescent="0.25">
      <c r="M2539" s="21"/>
    </row>
    <row r="2540" spans="13:13" x14ac:dyDescent="0.25">
      <c r="M2540" s="21"/>
    </row>
    <row r="2541" spans="13:13" x14ac:dyDescent="0.25">
      <c r="M2541" s="21"/>
    </row>
    <row r="2542" spans="13:13" x14ac:dyDescent="0.25">
      <c r="M2542" s="21"/>
    </row>
    <row r="2543" spans="13:13" x14ac:dyDescent="0.25">
      <c r="M2543" s="21"/>
    </row>
    <row r="2544" spans="13:13" x14ac:dyDescent="0.25">
      <c r="M2544" s="21"/>
    </row>
    <row r="2545" spans="13:13" x14ac:dyDescent="0.25">
      <c r="M2545" s="21"/>
    </row>
    <row r="2546" spans="13:13" x14ac:dyDescent="0.25">
      <c r="M2546" s="21"/>
    </row>
    <row r="2547" spans="13:13" x14ac:dyDescent="0.25">
      <c r="M2547" s="21"/>
    </row>
    <row r="2548" spans="13:13" x14ac:dyDescent="0.25">
      <c r="M2548" s="21"/>
    </row>
    <row r="2549" spans="13:13" x14ac:dyDescent="0.25">
      <c r="M2549" s="21"/>
    </row>
    <row r="2550" spans="13:13" x14ac:dyDescent="0.25">
      <c r="M2550" s="21"/>
    </row>
    <row r="2551" spans="13:13" x14ac:dyDescent="0.25">
      <c r="M2551" s="21"/>
    </row>
    <row r="2552" spans="13:13" x14ac:dyDescent="0.25">
      <c r="M2552" s="21"/>
    </row>
    <row r="2553" spans="13:13" x14ac:dyDescent="0.25">
      <c r="M2553" s="21"/>
    </row>
    <row r="2554" spans="13:13" x14ac:dyDescent="0.25">
      <c r="M2554" s="21"/>
    </row>
    <row r="2555" spans="13:13" x14ac:dyDescent="0.25">
      <c r="M2555" s="21"/>
    </row>
    <row r="2556" spans="13:13" x14ac:dyDescent="0.25">
      <c r="M2556" s="21"/>
    </row>
    <row r="2557" spans="13:13" x14ac:dyDescent="0.25">
      <c r="M2557" s="21"/>
    </row>
    <row r="2558" spans="13:13" x14ac:dyDescent="0.25">
      <c r="M2558" s="21"/>
    </row>
    <row r="2559" spans="13:13" x14ac:dyDescent="0.25">
      <c r="M2559" s="21"/>
    </row>
    <row r="2560" spans="13:13" x14ac:dyDescent="0.25">
      <c r="M2560" s="21"/>
    </row>
    <row r="2561" spans="13:13" x14ac:dyDescent="0.25">
      <c r="M2561" s="21"/>
    </row>
    <row r="2562" spans="13:13" x14ac:dyDescent="0.25">
      <c r="M2562" s="21"/>
    </row>
    <row r="2563" spans="13:13" x14ac:dyDescent="0.25">
      <c r="M2563" s="21"/>
    </row>
    <row r="2564" spans="13:13" x14ac:dyDescent="0.25">
      <c r="M2564" s="21"/>
    </row>
    <row r="2565" spans="13:13" x14ac:dyDescent="0.25">
      <c r="M2565" s="21"/>
    </row>
    <row r="2566" spans="13:13" x14ac:dyDescent="0.25">
      <c r="M2566" s="21"/>
    </row>
    <row r="2567" spans="13:13" x14ac:dyDescent="0.25">
      <c r="M2567" s="21"/>
    </row>
    <row r="2568" spans="13:13" x14ac:dyDescent="0.25">
      <c r="M2568" s="21"/>
    </row>
    <row r="2569" spans="13:13" x14ac:dyDescent="0.25">
      <c r="M2569" s="21"/>
    </row>
    <row r="2570" spans="13:13" x14ac:dyDescent="0.25">
      <c r="M2570" s="21"/>
    </row>
    <row r="2571" spans="13:13" x14ac:dyDescent="0.25">
      <c r="M2571" s="21"/>
    </row>
    <row r="2572" spans="13:13" x14ac:dyDescent="0.25">
      <c r="M2572" s="21"/>
    </row>
    <row r="2573" spans="13:13" x14ac:dyDescent="0.25">
      <c r="M2573" s="21"/>
    </row>
    <row r="2574" spans="13:13" x14ac:dyDescent="0.25">
      <c r="M2574" s="21"/>
    </row>
    <row r="2575" spans="13:13" x14ac:dyDescent="0.25">
      <c r="M2575" s="21"/>
    </row>
    <row r="2576" spans="13:13" x14ac:dyDescent="0.25">
      <c r="M2576" s="21"/>
    </row>
    <row r="2577" spans="13:13" x14ac:dyDescent="0.25">
      <c r="M2577" s="21"/>
    </row>
    <row r="2578" spans="13:13" x14ac:dyDescent="0.25">
      <c r="M2578" s="21"/>
    </row>
    <row r="2579" spans="13:13" x14ac:dyDescent="0.25">
      <c r="M2579" s="21"/>
    </row>
    <row r="2580" spans="13:13" x14ac:dyDescent="0.25">
      <c r="M2580" s="21"/>
    </row>
    <row r="2581" spans="13:13" x14ac:dyDescent="0.25">
      <c r="M2581" s="21"/>
    </row>
    <row r="2582" spans="13:13" x14ac:dyDescent="0.25">
      <c r="M2582" s="21"/>
    </row>
    <row r="2583" spans="13:13" x14ac:dyDescent="0.25">
      <c r="M2583" s="21"/>
    </row>
    <row r="2584" spans="13:13" x14ac:dyDescent="0.25">
      <c r="M2584" s="21"/>
    </row>
    <row r="2585" spans="13:13" x14ac:dyDescent="0.25">
      <c r="M2585" s="21"/>
    </row>
    <row r="2586" spans="13:13" x14ac:dyDescent="0.25">
      <c r="M2586" s="21"/>
    </row>
    <row r="2587" spans="13:13" x14ac:dyDescent="0.25">
      <c r="M2587" s="21"/>
    </row>
    <row r="2588" spans="13:13" x14ac:dyDescent="0.25">
      <c r="M2588" s="21"/>
    </row>
    <row r="2589" spans="13:13" x14ac:dyDescent="0.25">
      <c r="M2589" s="21"/>
    </row>
    <row r="2590" spans="13:13" x14ac:dyDescent="0.25">
      <c r="M2590" s="21"/>
    </row>
    <row r="2591" spans="13:13" x14ac:dyDescent="0.25">
      <c r="M2591" s="21"/>
    </row>
    <row r="2592" spans="13:13" x14ac:dyDescent="0.25">
      <c r="M2592" s="21"/>
    </row>
    <row r="2593" spans="13:13" x14ac:dyDescent="0.25">
      <c r="M2593" s="21"/>
    </row>
    <row r="2594" spans="13:13" x14ac:dyDescent="0.25">
      <c r="M2594" s="21"/>
    </row>
    <row r="2595" spans="13:13" x14ac:dyDescent="0.25">
      <c r="M2595" s="21"/>
    </row>
    <row r="2596" spans="13:13" x14ac:dyDescent="0.25">
      <c r="M2596" s="21"/>
    </row>
    <row r="2597" spans="13:13" x14ac:dyDescent="0.25">
      <c r="M2597" s="21"/>
    </row>
    <row r="2598" spans="13:13" x14ac:dyDescent="0.25">
      <c r="M2598" s="21"/>
    </row>
    <row r="2599" spans="13:13" x14ac:dyDescent="0.25">
      <c r="M2599" s="21"/>
    </row>
    <row r="2600" spans="13:13" x14ac:dyDescent="0.25">
      <c r="M2600" s="21"/>
    </row>
    <row r="2601" spans="13:13" x14ac:dyDescent="0.25">
      <c r="M2601" s="21"/>
    </row>
    <row r="2602" spans="13:13" x14ac:dyDescent="0.25">
      <c r="M2602" s="21"/>
    </row>
    <row r="2603" spans="13:13" x14ac:dyDescent="0.25">
      <c r="M2603" s="21"/>
    </row>
    <row r="2604" spans="13:13" x14ac:dyDescent="0.25">
      <c r="M2604" s="21"/>
    </row>
    <row r="2605" spans="13:13" x14ac:dyDescent="0.25">
      <c r="M2605" s="21"/>
    </row>
    <row r="2606" spans="13:13" x14ac:dyDescent="0.25">
      <c r="M2606" s="21"/>
    </row>
    <row r="2607" spans="13:13" x14ac:dyDescent="0.25">
      <c r="M2607" s="21"/>
    </row>
    <row r="2608" spans="13:13" x14ac:dyDescent="0.25">
      <c r="M2608" s="21"/>
    </row>
    <row r="2609" spans="13:13" x14ac:dyDescent="0.25">
      <c r="M2609" s="21"/>
    </row>
    <row r="2610" spans="13:13" x14ac:dyDescent="0.25">
      <c r="M2610" s="21"/>
    </row>
    <row r="2611" spans="13:13" x14ac:dyDescent="0.25">
      <c r="M2611" s="21"/>
    </row>
    <row r="2612" spans="13:13" x14ac:dyDescent="0.25">
      <c r="M2612" s="21"/>
    </row>
    <row r="2613" spans="13:13" x14ac:dyDescent="0.25">
      <c r="M2613" s="21"/>
    </row>
    <row r="2614" spans="13:13" x14ac:dyDescent="0.25">
      <c r="M2614" s="21"/>
    </row>
    <row r="2615" spans="13:13" x14ac:dyDescent="0.25">
      <c r="M2615" s="21"/>
    </row>
    <row r="2616" spans="13:13" x14ac:dyDescent="0.25">
      <c r="M2616" s="21"/>
    </row>
    <row r="2617" spans="13:13" x14ac:dyDescent="0.25">
      <c r="M2617" s="21"/>
    </row>
    <row r="2618" spans="13:13" x14ac:dyDescent="0.25">
      <c r="M2618" s="21"/>
    </row>
    <row r="2619" spans="13:13" x14ac:dyDescent="0.25">
      <c r="M2619" s="21"/>
    </row>
    <row r="2620" spans="13:13" x14ac:dyDescent="0.25">
      <c r="M2620" s="21"/>
    </row>
    <row r="2621" spans="13:13" x14ac:dyDescent="0.25">
      <c r="M2621" s="21"/>
    </row>
    <row r="2622" spans="13:13" x14ac:dyDescent="0.25">
      <c r="M2622" s="21"/>
    </row>
    <row r="2623" spans="13:13" x14ac:dyDescent="0.25">
      <c r="M2623" s="21"/>
    </row>
    <row r="2624" spans="13:13" x14ac:dyDescent="0.25">
      <c r="M2624" s="21"/>
    </row>
    <row r="2625" spans="13:13" x14ac:dyDescent="0.25">
      <c r="M2625" s="21"/>
    </row>
    <row r="2626" spans="13:13" x14ac:dyDescent="0.25">
      <c r="M2626" s="21"/>
    </row>
    <row r="2627" spans="13:13" x14ac:dyDescent="0.25">
      <c r="M2627" s="21"/>
    </row>
    <row r="2628" spans="13:13" x14ac:dyDescent="0.25">
      <c r="M2628" s="21"/>
    </row>
    <row r="2629" spans="13:13" x14ac:dyDescent="0.25">
      <c r="M2629" s="21"/>
    </row>
    <row r="2630" spans="13:13" x14ac:dyDescent="0.25">
      <c r="M2630" s="21"/>
    </row>
    <row r="2631" spans="13:13" x14ac:dyDescent="0.25">
      <c r="M2631" s="21"/>
    </row>
    <row r="2632" spans="13:13" x14ac:dyDescent="0.25">
      <c r="M2632" s="21"/>
    </row>
    <row r="2633" spans="13:13" x14ac:dyDescent="0.25">
      <c r="M2633" s="21"/>
    </row>
    <row r="2634" spans="13:13" x14ac:dyDescent="0.25">
      <c r="M2634" s="21"/>
    </row>
    <row r="2635" spans="13:13" x14ac:dyDescent="0.25">
      <c r="M2635" s="21"/>
    </row>
    <row r="2636" spans="13:13" x14ac:dyDescent="0.25">
      <c r="M2636" s="21"/>
    </row>
    <row r="2637" spans="13:13" x14ac:dyDescent="0.25">
      <c r="M2637" s="21"/>
    </row>
    <row r="2638" spans="13:13" x14ac:dyDescent="0.25">
      <c r="M2638" s="21"/>
    </row>
    <row r="2639" spans="13:13" x14ac:dyDescent="0.25">
      <c r="M2639" s="21"/>
    </row>
    <row r="2640" spans="13:13" x14ac:dyDescent="0.25">
      <c r="M2640" s="21"/>
    </row>
    <row r="2641" spans="13:13" x14ac:dyDescent="0.25">
      <c r="M2641" s="21"/>
    </row>
    <row r="2642" spans="13:13" x14ac:dyDescent="0.25">
      <c r="M2642" s="21"/>
    </row>
    <row r="2643" spans="13:13" x14ac:dyDescent="0.25">
      <c r="M2643" s="21"/>
    </row>
    <row r="2644" spans="13:13" x14ac:dyDescent="0.25">
      <c r="M2644" s="21"/>
    </row>
    <row r="2645" spans="13:13" x14ac:dyDescent="0.25">
      <c r="M2645" s="21"/>
    </row>
    <row r="2646" spans="13:13" x14ac:dyDescent="0.25">
      <c r="M2646" s="21"/>
    </row>
    <row r="2647" spans="13:13" x14ac:dyDescent="0.25">
      <c r="M2647" s="21"/>
    </row>
    <row r="2648" spans="13:13" x14ac:dyDescent="0.25">
      <c r="M2648" s="21"/>
    </row>
    <row r="2649" spans="13:13" x14ac:dyDescent="0.25">
      <c r="M2649" s="21"/>
    </row>
    <row r="2650" spans="13:13" x14ac:dyDescent="0.25">
      <c r="M2650" s="21"/>
    </row>
    <row r="2651" spans="13:13" x14ac:dyDescent="0.25">
      <c r="M2651" s="21"/>
    </row>
    <row r="2652" spans="13:13" x14ac:dyDescent="0.25">
      <c r="M2652" s="21"/>
    </row>
    <row r="2653" spans="13:13" x14ac:dyDescent="0.25">
      <c r="M2653" s="21"/>
    </row>
    <row r="2654" spans="13:13" x14ac:dyDescent="0.25">
      <c r="M2654" s="21"/>
    </row>
    <row r="2655" spans="13:13" x14ac:dyDescent="0.25">
      <c r="M2655" s="21"/>
    </row>
    <row r="2656" spans="13:13" x14ac:dyDescent="0.25">
      <c r="M2656" s="21"/>
    </row>
    <row r="2657" spans="13:13" x14ac:dyDescent="0.25">
      <c r="M2657" s="21"/>
    </row>
    <row r="2658" spans="13:13" x14ac:dyDescent="0.25">
      <c r="M2658" s="21"/>
    </row>
    <row r="2659" spans="13:13" x14ac:dyDescent="0.25">
      <c r="M2659" s="21"/>
    </row>
    <row r="2660" spans="13:13" x14ac:dyDescent="0.25">
      <c r="M2660" s="21"/>
    </row>
    <row r="2661" spans="13:13" x14ac:dyDescent="0.25">
      <c r="M2661" s="21"/>
    </row>
    <row r="2662" spans="13:13" x14ac:dyDescent="0.25">
      <c r="M2662" s="21"/>
    </row>
    <row r="2663" spans="13:13" x14ac:dyDescent="0.25">
      <c r="M2663" s="21"/>
    </row>
    <row r="2664" spans="13:13" x14ac:dyDescent="0.25">
      <c r="M2664" s="21"/>
    </row>
    <row r="2665" spans="13:13" x14ac:dyDescent="0.25">
      <c r="M2665" s="21"/>
    </row>
    <row r="2666" spans="13:13" x14ac:dyDescent="0.25">
      <c r="M2666" s="21"/>
    </row>
    <row r="2667" spans="13:13" x14ac:dyDescent="0.25">
      <c r="M2667" s="21"/>
    </row>
    <row r="2668" spans="13:13" x14ac:dyDescent="0.25">
      <c r="M2668" s="21"/>
    </row>
    <row r="2669" spans="13:13" x14ac:dyDescent="0.25">
      <c r="M2669" s="21"/>
    </row>
    <row r="2670" spans="13:13" x14ac:dyDescent="0.25">
      <c r="M2670" s="21"/>
    </row>
    <row r="2671" spans="13:13" x14ac:dyDescent="0.25">
      <c r="M2671" s="21"/>
    </row>
    <row r="2672" spans="13:13" x14ac:dyDescent="0.25">
      <c r="M2672" s="21"/>
    </row>
    <row r="2673" spans="13:13" x14ac:dyDescent="0.25">
      <c r="M2673" s="21"/>
    </row>
    <row r="2674" spans="13:13" x14ac:dyDescent="0.25">
      <c r="M2674" s="21"/>
    </row>
    <row r="2675" spans="13:13" x14ac:dyDescent="0.25">
      <c r="M2675" s="21"/>
    </row>
    <row r="2676" spans="13:13" x14ac:dyDescent="0.25">
      <c r="M2676" s="21"/>
    </row>
    <row r="2677" spans="13:13" x14ac:dyDescent="0.25">
      <c r="M2677" s="21"/>
    </row>
    <row r="2678" spans="13:13" x14ac:dyDescent="0.25">
      <c r="M2678" s="21"/>
    </row>
    <row r="2679" spans="13:13" x14ac:dyDescent="0.25">
      <c r="M2679" s="21"/>
    </row>
    <row r="2680" spans="13:13" x14ac:dyDescent="0.25">
      <c r="M2680" s="21"/>
    </row>
    <row r="2681" spans="13:13" x14ac:dyDescent="0.25">
      <c r="M2681" s="21"/>
    </row>
    <row r="2682" spans="13:13" x14ac:dyDescent="0.25">
      <c r="M2682" s="21"/>
    </row>
    <row r="2683" spans="13:13" x14ac:dyDescent="0.25">
      <c r="M2683" s="21"/>
    </row>
    <row r="2684" spans="13:13" x14ac:dyDescent="0.25">
      <c r="M2684" s="21"/>
    </row>
    <row r="2685" spans="13:13" x14ac:dyDescent="0.25">
      <c r="M2685" s="21"/>
    </row>
    <row r="2686" spans="13:13" x14ac:dyDescent="0.25">
      <c r="M2686" s="21"/>
    </row>
    <row r="2687" spans="13:13" x14ac:dyDescent="0.25">
      <c r="M2687" s="21"/>
    </row>
    <row r="2688" spans="13:13" x14ac:dyDescent="0.25">
      <c r="M2688" s="21"/>
    </row>
    <row r="2689" spans="13:13" x14ac:dyDescent="0.25">
      <c r="M2689" s="21"/>
    </row>
    <row r="2690" spans="13:13" x14ac:dyDescent="0.25">
      <c r="M2690" s="21"/>
    </row>
    <row r="2691" spans="13:13" x14ac:dyDescent="0.25">
      <c r="M2691" s="21"/>
    </row>
    <row r="2692" spans="13:13" x14ac:dyDescent="0.25">
      <c r="M2692" s="21"/>
    </row>
    <row r="2693" spans="13:13" x14ac:dyDescent="0.25">
      <c r="M2693" s="21"/>
    </row>
    <row r="2694" spans="13:13" x14ac:dyDescent="0.25">
      <c r="M2694" s="21"/>
    </row>
    <row r="2695" spans="13:13" x14ac:dyDescent="0.25">
      <c r="M2695" s="21"/>
    </row>
    <row r="2696" spans="13:13" x14ac:dyDescent="0.25">
      <c r="M2696" s="21"/>
    </row>
    <row r="2697" spans="13:13" x14ac:dyDescent="0.25">
      <c r="M2697" s="21"/>
    </row>
    <row r="2698" spans="13:13" x14ac:dyDescent="0.25">
      <c r="M2698" s="21"/>
    </row>
    <row r="2699" spans="13:13" x14ac:dyDescent="0.25">
      <c r="M2699" s="21"/>
    </row>
    <row r="2700" spans="13:13" x14ac:dyDescent="0.25">
      <c r="M2700" s="21"/>
    </row>
    <row r="2701" spans="13:13" x14ac:dyDescent="0.25">
      <c r="M2701" s="21"/>
    </row>
    <row r="2702" spans="13:13" x14ac:dyDescent="0.25">
      <c r="M2702" s="21"/>
    </row>
    <row r="2703" spans="13:13" x14ac:dyDescent="0.25">
      <c r="M2703" s="21"/>
    </row>
    <row r="2704" spans="13:13" x14ac:dyDescent="0.25">
      <c r="M2704" s="21"/>
    </row>
    <row r="2705" spans="13:13" x14ac:dyDescent="0.25">
      <c r="M2705" s="21"/>
    </row>
    <row r="2706" spans="13:13" x14ac:dyDescent="0.25">
      <c r="M2706" s="21"/>
    </row>
    <row r="2707" spans="13:13" x14ac:dyDescent="0.25">
      <c r="M2707" s="21"/>
    </row>
    <row r="2708" spans="13:13" x14ac:dyDescent="0.25">
      <c r="M2708" s="21"/>
    </row>
    <row r="2709" spans="13:13" x14ac:dyDescent="0.25">
      <c r="M2709" s="21"/>
    </row>
    <row r="2710" spans="13:13" x14ac:dyDescent="0.25">
      <c r="M2710" s="21"/>
    </row>
    <row r="2711" spans="13:13" x14ac:dyDescent="0.25">
      <c r="M2711" s="21"/>
    </row>
    <row r="2712" spans="13:13" x14ac:dyDescent="0.25">
      <c r="M2712" s="21"/>
    </row>
    <row r="2713" spans="13:13" x14ac:dyDescent="0.25">
      <c r="M2713" s="21"/>
    </row>
    <row r="2714" spans="13:13" x14ac:dyDescent="0.25">
      <c r="M2714" s="21"/>
    </row>
    <row r="2715" spans="13:13" x14ac:dyDescent="0.25">
      <c r="M2715" s="21"/>
    </row>
    <row r="2716" spans="13:13" x14ac:dyDescent="0.25">
      <c r="M2716" s="21"/>
    </row>
    <row r="2717" spans="13:13" x14ac:dyDescent="0.25">
      <c r="M2717" s="21"/>
    </row>
    <row r="2718" spans="13:13" x14ac:dyDescent="0.25">
      <c r="M2718" s="21"/>
    </row>
    <row r="2719" spans="13:13" x14ac:dyDescent="0.25">
      <c r="M2719" s="21"/>
    </row>
    <row r="2720" spans="13:13" x14ac:dyDescent="0.25">
      <c r="M2720" s="21"/>
    </row>
    <row r="2721" spans="13:13" x14ac:dyDescent="0.25">
      <c r="M2721" s="21"/>
    </row>
    <row r="2722" spans="13:13" x14ac:dyDescent="0.25">
      <c r="M2722" s="21"/>
    </row>
    <row r="2723" spans="13:13" x14ac:dyDescent="0.25">
      <c r="M2723" s="21"/>
    </row>
    <row r="2724" spans="13:13" x14ac:dyDescent="0.25">
      <c r="M2724" s="21"/>
    </row>
    <row r="2725" spans="13:13" x14ac:dyDescent="0.25">
      <c r="M2725" s="21"/>
    </row>
    <row r="2726" spans="13:13" x14ac:dyDescent="0.25">
      <c r="M2726" s="21"/>
    </row>
    <row r="2727" spans="13:13" x14ac:dyDescent="0.25">
      <c r="M2727" s="21"/>
    </row>
    <row r="2728" spans="13:13" x14ac:dyDescent="0.25">
      <c r="M2728" s="21"/>
    </row>
    <row r="2729" spans="13:13" x14ac:dyDescent="0.25">
      <c r="M2729" s="21"/>
    </row>
    <row r="2730" spans="13:13" x14ac:dyDescent="0.25">
      <c r="M2730" s="21"/>
    </row>
    <row r="2731" spans="13:13" x14ac:dyDescent="0.25">
      <c r="M2731" s="21"/>
    </row>
    <row r="2732" spans="13:13" x14ac:dyDescent="0.25">
      <c r="M2732" s="21"/>
    </row>
    <row r="2733" spans="13:13" x14ac:dyDescent="0.25">
      <c r="M2733" s="21"/>
    </row>
    <row r="2734" spans="13:13" x14ac:dyDescent="0.25">
      <c r="M2734" s="21"/>
    </row>
    <row r="2735" spans="13:13" x14ac:dyDescent="0.25">
      <c r="M2735" s="21"/>
    </row>
    <row r="2736" spans="13:13" x14ac:dyDescent="0.25">
      <c r="M2736" s="21"/>
    </row>
    <row r="2737" spans="13:13" x14ac:dyDescent="0.25">
      <c r="M2737" s="21"/>
    </row>
    <row r="2738" spans="13:13" x14ac:dyDescent="0.25">
      <c r="M2738" s="21"/>
    </row>
    <row r="2739" spans="13:13" x14ac:dyDescent="0.25">
      <c r="M2739" s="21"/>
    </row>
    <row r="2740" spans="13:13" x14ac:dyDescent="0.25">
      <c r="M2740" s="21"/>
    </row>
    <row r="2741" spans="13:13" x14ac:dyDescent="0.25">
      <c r="M2741" s="21"/>
    </row>
    <row r="2742" spans="13:13" x14ac:dyDescent="0.25">
      <c r="M2742" s="21"/>
    </row>
    <row r="2743" spans="13:13" x14ac:dyDescent="0.25">
      <c r="M2743" s="21"/>
    </row>
    <row r="2744" spans="13:13" x14ac:dyDescent="0.25">
      <c r="M2744" s="21"/>
    </row>
    <row r="2745" spans="13:13" x14ac:dyDescent="0.25">
      <c r="M2745" s="21"/>
    </row>
    <row r="2746" spans="13:13" x14ac:dyDescent="0.25">
      <c r="M2746" s="21"/>
    </row>
    <row r="2747" spans="13:13" x14ac:dyDescent="0.25">
      <c r="M2747" s="21"/>
    </row>
    <row r="2748" spans="13:13" x14ac:dyDescent="0.25">
      <c r="M2748" s="21"/>
    </row>
    <row r="2749" spans="13:13" x14ac:dyDescent="0.25">
      <c r="M2749" s="21"/>
    </row>
    <row r="2750" spans="13:13" x14ac:dyDescent="0.25">
      <c r="M2750" s="21"/>
    </row>
    <row r="2751" spans="13:13" x14ac:dyDescent="0.25">
      <c r="M2751" s="21"/>
    </row>
    <row r="2752" spans="13:13" x14ac:dyDescent="0.25">
      <c r="M2752" s="21"/>
    </row>
    <row r="2753" spans="13:13" x14ac:dyDescent="0.25">
      <c r="M2753" s="21"/>
    </row>
    <row r="2754" spans="13:13" x14ac:dyDescent="0.25">
      <c r="M2754" s="21"/>
    </row>
    <row r="2755" spans="13:13" x14ac:dyDescent="0.25">
      <c r="M2755" s="21"/>
    </row>
    <row r="2756" spans="13:13" x14ac:dyDescent="0.25">
      <c r="M2756" s="21"/>
    </row>
    <row r="2757" spans="13:13" x14ac:dyDescent="0.25">
      <c r="M2757" s="21"/>
    </row>
    <row r="2758" spans="13:13" x14ac:dyDescent="0.25">
      <c r="M2758" s="21"/>
    </row>
    <row r="2759" spans="13:13" x14ac:dyDescent="0.25">
      <c r="M2759" s="21"/>
    </row>
    <row r="2760" spans="13:13" x14ac:dyDescent="0.25">
      <c r="M2760" s="21"/>
    </row>
    <row r="2761" spans="13:13" x14ac:dyDescent="0.25">
      <c r="M2761" s="21"/>
    </row>
    <row r="2762" spans="13:13" x14ac:dyDescent="0.25">
      <c r="M2762" s="21"/>
    </row>
    <row r="2763" spans="13:13" x14ac:dyDescent="0.25">
      <c r="M2763" s="21"/>
    </row>
    <row r="2764" spans="13:13" x14ac:dyDescent="0.25">
      <c r="M2764" s="21"/>
    </row>
    <row r="2765" spans="13:13" x14ac:dyDescent="0.25">
      <c r="M2765" s="21"/>
    </row>
    <row r="2766" spans="13:13" x14ac:dyDescent="0.25">
      <c r="M2766" s="21"/>
    </row>
    <row r="2767" spans="13:13" x14ac:dyDescent="0.25">
      <c r="M2767" s="21"/>
    </row>
    <row r="2768" spans="13:13" x14ac:dyDescent="0.25">
      <c r="M2768" s="21"/>
    </row>
    <row r="2769" spans="13:13" x14ac:dyDescent="0.25">
      <c r="M2769" s="21"/>
    </row>
    <row r="2770" spans="13:13" x14ac:dyDescent="0.25">
      <c r="M2770" s="21"/>
    </row>
    <row r="2771" spans="13:13" x14ac:dyDescent="0.25">
      <c r="M2771" s="21"/>
    </row>
    <row r="2772" spans="13:13" x14ac:dyDescent="0.25">
      <c r="M2772" s="21"/>
    </row>
    <row r="2773" spans="13:13" x14ac:dyDescent="0.25">
      <c r="M2773" s="21"/>
    </row>
    <row r="2774" spans="13:13" x14ac:dyDescent="0.25">
      <c r="M2774" s="21"/>
    </row>
    <row r="2775" spans="13:13" x14ac:dyDescent="0.25">
      <c r="M2775" s="21"/>
    </row>
    <row r="2776" spans="13:13" x14ac:dyDescent="0.25">
      <c r="M2776" s="21"/>
    </row>
    <row r="2777" spans="13:13" x14ac:dyDescent="0.25">
      <c r="M2777" s="21"/>
    </row>
    <row r="2778" spans="13:13" x14ac:dyDescent="0.25">
      <c r="M2778" s="21"/>
    </row>
    <row r="2779" spans="13:13" x14ac:dyDescent="0.25">
      <c r="M2779" s="21"/>
    </row>
    <row r="2780" spans="13:13" x14ac:dyDescent="0.25">
      <c r="M2780" s="21"/>
    </row>
    <row r="2781" spans="13:13" x14ac:dyDescent="0.25">
      <c r="M2781" s="21"/>
    </row>
    <row r="2782" spans="13:13" x14ac:dyDescent="0.25">
      <c r="M2782" s="21"/>
    </row>
    <row r="2783" spans="13:13" x14ac:dyDescent="0.25">
      <c r="M2783" s="21"/>
    </row>
    <row r="2784" spans="13:13" x14ac:dyDescent="0.25">
      <c r="M2784" s="21"/>
    </row>
    <row r="2785" spans="13:13" x14ac:dyDescent="0.25">
      <c r="M2785" s="21"/>
    </row>
    <row r="2786" spans="13:13" x14ac:dyDescent="0.25">
      <c r="M2786" s="21"/>
    </row>
    <row r="2787" spans="13:13" x14ac:dyDescent="0.25">
      <c r="M2787" s="21"/>
    </row>
    <row r="2788" spans="13:13" x14ac:dyDescent="0.25">
      <c r="M2788" s="21"/>
    </row>
    <row r="2789" spans="13:13" x14ac:dyDescent="0.25">
      <c r="M2789" s="21"/>
    </row>
    <row r="2790" spans="13:13" x14ac:dyDescent="0.25">
      <c r="M2790" s="21"/>
    </row>
    <row r="2791" spans="13:13" x14ac:dyDescent="0.25">
      <c r="M2791" s="21"/>
    </row>
    <row r="2792" spans="13:13" x14ac:dyDescent="0.25">
      <c r="M2792" s="21"/>
    </row>
    <row r="2793" spans="13:13" x14ac:dyDescent="0.25">
      <c r="M2793" s="21"/>
    </row>
    <row r="2794" spans="13:13" x14ac:dyDescent="0.25">
      <c r="M2794" s="21"/>
    </row>
    <row r="2795" spans="13:13" x14ac:dyDescent="0.25">
      <c r="M2795" s="21"/>
    </row>
    <row r="2796" spans="13:13" x14ac:dyDescent="0.25">
      <c r="M2796" s="21"/>
    </row>
    <row r="2797" spans="13:13" x14ac:dyDescent="0.25">
      <c r="M2797" s="21"/>
    </row>
    <row r="2798" spans="13:13" x14ac:dyDescent="0.25">
      <c r="M2798" s="21"/>
    </row>
    <row r="2799" spans="13:13" x14ac:dyDescent="0.25">
      <c r="M2799" s="21"/>
    </row>
    <row r="2800" spans="13:13" x14ac:dyDescent="0.25">
      <c r="M2800" s="21"/>
    </row>
    <row r="2801" spans="13:13" x14ac:dyDescent="0.25">
      <c r="M2801" s="21"/>
    </row>
    <row r="2802" spans="13:13" x14ac:dyDescent="0.25">
      <c r="M2802" s="21"/>
    </row>
    <row r="2803" spans="13:13" x14ac:dyDescent="0.25">
      <c r="M2803" s="21"/>
    </row>
    <row r="2804" spans="13:13" x14ac:dyDescent="0.25">
      <c r="M2804" s="21"/>
    </row>
    <row r="2805" spans="13:13" x14ac:dyDescent="0.25">
      <c r="M2805" s="21"/>
    </row>
    <row r="2806" spans="13:13" x14ac:dyDescent="0.25">
      <c r="M2806" s="21"/>
    </row>
    <row r="2807" spans="13:13" x14ac:dyDescent="0.25">
      <c r="M2807" s="21"/>
    </row>
    <row r="2808" spans="13:13" x14ac:dyDescent="0.25">
      <c r="M2808" s="21"/>
    </row>
    <row r="2809" spans="13:13" x14ac:dyDescent="0.25">
      <c r="M2809" s="21"/>
    </row>
    <row r="2810" spans="13:13" x14ac:dyDescent="0.25">
      <c r="M2810" s="21"/>
    </row>
    <row r="2811" spans="13:13" x14ac:dyDescent="0.25">
      <c r="M2811" s="21"/>
    </row>
    <row r="2812" spans="13:13" x14ac:dyDescent="0.25">
      <c r="M2812" s="21"/>
    </row>
    <row r="2813" spans="13:13" x14ac:dyDescent="0.25">
      <c r="M2813" s="21"/>
    </row>
    <row r="2814" spans="13:13" x14ac:dyDescent="0.25">
      <c r="M2814" s="21"/>
    </row>
    <row r="2815" spans="13:13" x14ac:dyDescent="0.25">
      <c r="M2815" s="21"/>
    </row>
    <row r="2816" spans="13:13" x14ac:dyDescent="0.25">
      <c r="M2816" s="21"/>
    </row>
    <row r="2817" spans="13:13" x14ac:dyDescent="0.25">
      <c r="M2817" s="21"/>
    </row>
    <row r="2818" spans="13:13" x14ac:dyDescent="0.25">
      <c r="M2818" s="21"/>
    </row>
    <row r="2819" spans="13:13" x14ac:dyDescent="0.25">
      <c r="M2819" s="21"/>
    </row>
    <row r="2820" spans="13:13" x14ac:dyDescent="0.25">
      <c r="M2820" s="21"/>
    </row>
    <row r="2821" spans="13:13" x14ac:dyDescent="0.25">
      <c r="M2821" s="21"/>
    </row>
    <row r="2822" spans="13:13" x14ac:dyDescent="0.25">
      <c r="M2822" s="21"/>
    </row>
    <row r="2823" spans="13:13" x14ac:dyDescent="0.25">
      <c r="M2823" s="21"/>
    </row>
    <row r="2824" spans="13:13" x14ac:dyDescent="0.25">
      <c r="M2824" s="21"/>
    </row>
    <row r="2825" spans="13:13" x14ac:dyDescent="0.25">
      <c r="M2825" s="21"/>
    </row>
    <row r="2826" spans="13:13" x14ac:dyDescent="0.25">
      <c r="M2826" s="21"/>
    </row>
    <row r="2827" spans="13:13" x14ac:dyDescent="0.25">
      <c r="M2827" s="21"/>
    </row>
    <row r="2828" spans="13:13" x14ac:dyDescent="0.25">
      <c r="M2828" s="21"/>
    </row>
    <row r="2829" spans="13:13" x14ac:dyDescent="0.25">
      <c r="M2829" s="21"/>
    </row>
    <row r="2830" spans="13:13" x14ac:dyDescent="0.25">
      <c r="M2830" s="21"/>
    </row>
    <row r="2831" spans="13:13" x14ac:dyDescent="0.25">
      <c r="M2831" s="21"/>
    </row>
    <row r="2832" spans="13:13" x14ac:dyDescent="0.25">
      <c r="M2832" s="21"/>
    </row>
    <row r="2833" spans="13:13" x14ac:dyDescent="0.25">
      <c r="M2833" s="21"/>
    </row>
    <row r="2834" spans="13:13" x14ac:dyDescent="0.25">
      <c r="M2834" s="21"/>
    </row>
    <row r="2835" spans="13:13" x14ac:dyDescent="0.25">
      <c r="M2835" s="21"/>
    </row>
    <row r="2836" spans="13:13" x14ac:dyDescent="0.25">
      <c r="M2836" s="21"/>
    </row>
    <row r="2837" spans="13:13" x14ac:dyDescent="0.25">
      <c r="M2837" s="21"/>
    </row>
    <row r="2838" spans="13:13" x14ac:dyDescent="0.25">
      <c r="M2838" s="21"/>
    </row>
    <row r="2839" spans="13:13" x14ac:dyDescent="0.25">
      <c r="M2839" s="21"/>
    </row>
    <row r="2840" spans="13:13" x14ac:dyDescent="0.25">
      <c r="M2840" s="21"/>
    </row>
    <row r="2841" spans="13:13" x14ac:dyDescent="0.25">
      <c r="M2841" s="21"/>
    </row>
    <row r="2842" spans="13:13" x14ac:dyDescent="0.25">
      <c r="M2842" s="21"/>
    </row>
    <row r="2843" spans="13:13" x14ac:dyDescent="0.25">
      <c r="M2843" s="21"/>
    </row>
    <row r="2844" spans="13:13" x14ac:dyDescent="0.25">
      <c r="M2844" s="21"/>
    </row>
    <row r="2845" spans="13:13" x14ac:dyDescent="0.25">
      <c r="M2845" s="21"/>
    </row>
    <row r="2846" spans="13:13" x14ac:dyDescent="0.25">
      <c r="M2846" s="21"/>
    </row>
    <row r="2847" spans="13:13" x14ac:dyDescent="0.25">
      <c r="M2847" s="21"/>
    </row>
    <row r="2848" spans="13:13" x14ac:dyDescent="0.25">
      <c r="M2848" s="21"/>
    </row>
    <row r="2849" spans="13:13" x14ac:dyDescent="0.25">
      <c r="M2849" s="21"/>
    </row>
    <row r="2850" spans="13:13" x14ac:dyDescent="0.25">
      <c r="M2850" s="21"/>
    </row>
    <row r="2851" spans="13:13" x14ac:dyDescent="0.25">
      <c r="M2851" s="21"/>
    </row>
    <row r="2852" spans="13:13" x14ac:dyDescent="0.25">
      <c r="M2852" s="21"/>
    </row>
    <row r="2853" spans="13:13" x14ac:dyDescent="0.25">
      <c r="M2853" s="21"/>
    </row>
    <row r="2854" spans="13:13" x14ac:dyDescent="0.25">
      <c r="M2854" s="21"/>
    </row>
    <row r="2855" spans="13:13" x14ac:dyDescent="0.25">
      <c r="M2855" s="21"/>
    </row>
    <row r="2856" spans="13:13" x14ac:dyDescent="0.25">
      <c r="M2856" s="21"/>
    </row>
    <row r="2857" spans="13:13" x14ac:dyDescent="0.25">
      <c r="M2857" s="21"/>
    </row>
    <row r="2858" spans="13:13" x14ac:dyDescent="0.25">
      <c r="M2858" s="21"/>
    </row>
    <row r="2859" spans="13:13" x14ac:dyDescent="0.25">
      <c r="M2859" s="21"/>
    </row>
    <row r="2860" spans="13:13" x14ac:dyDescent="0.25">
      <c r="M2860" s="21"/>
    </row>
    <row r="2861" spans="13:13" x14ac:dyDescent="0.25">
      <c r="M2861" s="21"/>
    </row>
    <row r="2862" spans="13:13" x14ac:dyDescent="0.25">
      <c r="M2862" s="21"/>
    </row>
    <row r="2863" spans="13:13" x14ac:dyDescent="0.25">
      <c r="M2863" s="21"/>
    </row>
    <row r="2864" spans="13:13" x14ac:dyDescent="0.25">
      <c r="M2864" s="21"/>
    </row>
    <row r="2865" spans="13:13" x14ac:dyDescent="0.25">
      <c r="M2865" s="21"/>
    </row>
    <row r="2866" spans="13:13" x14ac:dyDescent="0.25">
      <c r="M2866" s="21"/>
    </row>
    <row r="2867" spans="13:13" x14ac:dyDescent="0.25">
      <c r="M2867" s="21"/>
    </row>
    <row r="2868" spans="13:13" x14ac:dyDescent="0.25">
      <c r="M2868" s="21"/>
    </row>
    <row r="2869" spans="13:13" x14ac:dyDescent="0.25">
      <c r="M2869" s="21"/>
    </row>
    <row r="2870" spans="13:13" x14ac:dyDescent="0.25">
      <c r="M2870" s="21"/>
    </row>
    <row r="2871" spans="13:13" x14ac:dyDescent="0.25">
      <c r="M2871" s="21"/>
    </row>
    <row r="2872" spans="13:13" x14ac:dyDescent="0.25">
      <c r="M2872" s="21"/>
    </row>
    <row r="2873" spans="13:13" x14ac:dyDescent="0.25">
      <c r="M2873" s="21"/>
    </row>
    <row r="2874" spans="13:13" x14ac:dyDescent="0.25">
      <c r="M2874" s="21"/>
    </row>
    <row r="2875" spans="13:13" x14ac:dyDescent="0.25">
      <c r="M2875" s="21"/>
    </row>
    <row r="2876" spans="13:13" x14ac:dyDescent="0.25">
      <c r="M2876" s="21"/>
    </row>
    <row r="2877" spans="13:13" x14ac:dyDescent="0.25">
      <c r="M2877" s="21"/>
    </row>
    <row r="2878" spans="13:13" x14ac:dyDescent="0.25">
      <c r="M2878" s="21"/>
    </row>
    <row r="2879" spans="13:13" x14ac:dyDescent="0.25">
      <c r="M2879" s="21"/>
    </row>
    <row r="2880" spans="13:13" x14ac:dyDescent="0.25">
      <c r="M2880" s="21"/>
    </row>
    <row r="2881" spans="13:13" x14ac:dyDescent="0.25">
      <c r="M2881" s="21"/>
    </row>
    <row r="2882" spans="13:13" x14ac:dyDescent="0.25">
      <c r="M2882" s="21"/>
    </row>
    <row r="2883" spans="13:13" x14ac:dyDescent="0.25">
      <c r="M2883" s="21"/>
    </row>
    <row r="2884" spans="13:13" x14ac:dyDescent="0.25">
      <c r="M2884" s="21"/>
    </row>
    <row r="2885" spans="13:13" x14ac:dyDescent="0.25">
      <c r="M2885" s="21"/>
    </row>
    <row r="2886" spans="13:13" x14ac:dyDescent="0.25">
      <c r="M2886" s="21"/>
    </row>
    <row r="2887" spans="13:13" x14ac:dyDescent="0.25">
      <c r="M2887" s="21"/>
    </row>
    <row r="2888" spans="13:13" x14ac:dyDescent="0.25">
      <c r="M2888" s="21"/>
    </row>
    <row r="2889" spans="13:13" x14ac:dyDescent="0.25">
      <c r="M2889" s="21"/>
    </row>
    <row r="2890" spans="13:13" x14ac:dyDescent="0.25">
      <c r="M2890" s="21"/>
    </row>
    <row r="2891" spans="13:13" x14ac:dyDescent="0.25">
      <c r="M2891" s="21"/>
    </row>
    <row r="2892" spans="13:13" x14ac:dyDescent="0.25">
      <c r="M2892" s="21"/>
    </row>
    <row r="2893" spans="13:13" x14ac:dyDescent="0.25">
      <c r="M2893" s="21"/>
    </row>
    <row r="2894" spans="13:13" x14ac:dyDescent="0.25">
      <c r="M2894" s="21"/>
    </row>
    <row r="2895" spans="13:13" x14ac:dyDescent="0.25">
      <c r="M2895" s="21"/>
    </row>
    <row r="2896" spans="13:13" x14ac:dyDescent="0.25">
      <c r="M2896" s="21"/>
    </row>
    <row r="2897" spans="13:13" x14ac:dyDescent="0.25">
      <c r="M2897" s="21"/>
    </row>
    <row r="2898" spans="13:13" x14ac:dyDescent="0.25">
      <c r="M2898" s="21"/>
    </row>
    <row r="2899" spans="13:13" x14ac:dyDescent="0.25">
      <c r="M2899" s="21"/>
    </row>
    <row r="2900" spans="13:13" x14ac:dyDescent="0.25">
      <c r="M2900" s="21"/>
    </row>
    <row r="2901" spans="13:13" x14ac:dyDescent="0.25">
      <c r="M2901" s="21"/>
    </row>
    <row r="2902" spans="13:13" x14ac:dyDescent="0.25">
      <c r="M2902" s="21"/>
    </row>
    <row r="2903" spans="13:13" x14ac:dyDescent="0.25">
      <c r="M2903" s="21"/>
    </row>
    <row r="2904" spans="13:13" x14ac:dyDescent="0.25">
      <c r="M2904" s="21"/>
    </row>
    <row r="2905" spans="13:13" x14ac:dyDescent="0.25">
      <c r="M2905" s="21"/>
    </row>
    <row r="2906" spans="13:13" x14ac:dyDescent="0.25">
      <c r="M2906" s="21"/>
    </row>
    <row r="2907" spans="13:13" x14ac:dyDescent="0.25">
      <c r="M2907" s="21"/>
    </row>
    <row r="2908" spans="13:13" x14ac:dyDescent="0.25">
      <c r="M2908" s="21"/>
    </row>
    <row r="2909" spans="13:13" x14ac:dyDescent="0.25">
      <c r="M2909" s="21"/>
    </row>
    <row r="2910" spans="13:13" x14ac:dyDescent="0.25">
      <c r="M2910" s="21"/>
    </row>
    <row r="2911" spans="13:13" x14ac:dyDescent="0.25">
      <c r="M2911" s="21"/>
    </row>
    <row r="2912" spans="13:13" x14ac:dyDescent="0.25">
      <c r="M2912" s="21"/>
    </row>
    <row r="2913" spans="13:13" x14ac:dyDescent="0.25">
      <c r="M2913" s="21"/>
    </row>
    <row r="2914" spans="13:13" x14ac:dyDescent="0.25">
      <c r="M2914" s="21"/>
    </row>
    <row r="2915" spans="13:13" x14ac:dyDescent="0.25">
      <c r="M2915" s="21"/>
    </row>
    <row r="2916" spans="13:13" x14ac:dyDescent="0.25">
      <c r="M2916" s="21"/>
    </row>
    <row r="2917" spans="13:13" x14ac:dyDescent="0.25">
      <c r="M2917" s="21"/>
    </row>
    <row r="2918" spans="13:13" x14ac:dyDescent="0.25">
      <c r="M2918" s="21"/>
    </row>
    <row r="2919" spans="13:13" x14ac:dyDescent="0.25">
      <c r="M2919" s="21"/>
    </row>
    <row r="2920" spans="13:13" x14ac:dyDescent="0.25">
      <c r="M2920" s="21"/>
    </row>
    <row r="2921" spans="13:13" x14ac:dyDescent="0.25">
      <c r="M2921" s="21"/>
    </row>
    <row r="2922" spans="13:13" x14ac:dyDescent="0.25">
      <c r="M2922" s="21"/>
    </row>
    <row r="2923" spans="13:13" x14ac:dyDescent="0.25">
      <c r="M2923" s="21"/>
    </row>
    <row r="2924" spans="13:13" x14ac:dyDescent="0.25">
      <c r="M2924" s="21"/>
    </row>
    <row r="2925" spans="13:13" x14ac:dyDescent="0.25">
      <c r="M2925" s="21"/>
    </row>
    <row r="2926" spans="13:13" x14ac:dyDescent="0.25">
      <c r="M2926" s="21"/>
    </row>
    <row r="2927" spans="13:13" x14ac:dyDescent="0.25">
      <c r="M2927" s="21"/>
    </row>
    <row r="2928" spans="13:13" x14ac:dyDescent="0.25">
      <c r="M2928" s="21"/>
    </row>
    <row r="2929" spans="13:13" x14ac:dyDescent="0.25">
      <c r="M2929" s="21"/>
    </row>
    <row r="2930" spans="13:13" x14ac:dyDescent="0.25">
      <c r="M2930" s="21"/>
    </row>
    <row r="2931" spans="13:13" x14ac:dyDescent="0.25">
      <c r="M2931" s="21"/>
    </row>
    <row r="2932" spans="13:13" x14ac:dyDescent="0.25">
      <c r="M2932" s="21"/>
    </row>
    <row r="2933" spans="13:13" x14ac:dyDescent="0.25">
      <c r="M2933" s="21"/>
    </row>
    <row r="2934" spans="13:13" x14ac:dyDescent="0.25">
      <c r="M2934" s="21"/>
    </row>
    <row r="2935" spans="13:13" x14ac:dyDescent="0.25">
      <c r="M2935" s="21"/>
    </row>
    <row r="2936" spans="13:13" x14ac:dyDescent="0.25">
      <c r="M2936" s="21"/>
    </row>
    <row r="2937" spans="13:13" x14ac:dyDescent="0.25">
      <c r="M2937" s="21"/>
    </row>
    <row r="2938" spans="13:13" x14ac:dyDescent="0.25">
      <c r="M2938" s="21"/>
    </row>
    <row r="2939" spans="13:13" x14ac:dyDescent="0.25">
      <c r="M2939" s="21"/>
    </row>
    <row r="2940" spans="13:13" x14ac:dyDescent="0.25">
      <c r="M2940" s="21"/>
    </row>
    <row r="2941" spans="13:13" x14ac:dyDescent="0.25">
      <c r="M2941" s="21"/>
    </row>
    <row r="2942" spans="13:13" x14ac:dyDescent="0.25">
      <c r="M2942" s="21"/>
    </row>
    <row r="2943" spans="13:13" x14ac:dyDescent="0.25">
      <c r="M2943" s="21"/>
    </row>
    <row r="2944" spans="13:13" x14ac:dyDescent="0.25">
      <c r="M2944" s="21"/>
    </row>
    <row r="2945" spans="13:13" x14ac:dyDescent="0.25">
      <c r="M2945" s="21"/>
    </row>
    <row r="2946" spans="13:13" x14ac:dyDescent="0.25">
      <c r="M2946" s="21"/>
    </row>
    <row r="2947" spans="13:13" x14ac:dyDescent="0.25">
      <c r="M2947" s="21"/>
    </row>
    <row r="2948" spans="13:13" x14ac:dyDescent="0.25">
      <c r="M2948" s="21"/>
    </row>
    <row r="2949" spans="13:13" x14ac:dyDescent="0.25">
      <c r="M2949" s="21"/>
    </row>
    <row r="2950" spans="13:13" x14ac:dyDescent="0.25">
      <c r="M2950" s="21"/>
    </row>
    <row r="2951" spans="13:13" x14ac:dyDescent="0.25">
      <c r="M2951" s="21"/>
    </row>
    <row r="2952" spans="13:13" x14ac:dyDescent="0.25">
      <c r="M2952" s="21"/>
    </row>
    <row r="2953" spans="13:13" x14ac:dyDescent="0.25">
      <c r="M2953" s="21"/>
    </row>
    <row r="2954" spans="13:13" x14ac:dyDescent="0.25">
      <c r="M2954" s="21"/>
    </row>
    <row r="2955" spans="13:13" x14ac:dyDescent="0.25">
      <c r="M2955" s="21"/>
    </row>
    <row r="2956" spans="13:13" x14ac:dyDescent="0.25">
      <c r="M2956" s="21"/>
    </row>
    <row r="2957" spans="13:13" x14ac:dyDescent="0.25">
      <c r="M2957" s="21"/>
    </row>
    <row r="2958" spans="13:13" x14ac:dyDescent="0.25">
      <c r="M2958" s="21"/>
    </row>
    <row r="2959" spans="13:13" x14ac:dyDescent="0.25">
      <c r="M2959" s="21"/>
    </row>
    <row r="2960" spans="13:13" x14ac:dyDescent="0.25">
      <c r="M2960" s="21"/>
    </row>
    <row r="2961" spans="13:13" x14ac:dyDescent="0.25">
      <c r="M2961" s="21"/>
    </row>
    <row r="2962" spans="13:13" x14ac:dyDescent="0.25">
      <c r="M2962" s="21"/>
    </row>
    <row r="2963" spans="13:13" x14ac:dyDescent="0.25">
      <c r="M2963" s="21"/>
    </row>
    <row r="2964" spans="13:13" x14ac:dyDescent="0.25">
      <c r="M2964" s="21"/>
    </row>
    <row r="2965" spans="13:13" x14ac:dyDescent="0.25">
      <c r="M2965" s="21"/>
    </row>
    <row r="2966" spans="13:13" x14ac:dyDescent="0.25">
      <c r="M2966" s="21"/>
    </row>
    <row r="2967" spans="13:13" x14ac:dyDescent="0.25">
      <c r="M2967" s="21"/>
    </row>
    <row r="2968" spans="13:13" x14ac:dyDescent="0.25">
      <c r="M2968" s="21"/>
    </row>
    <row r="2969" spans="13:13" x14ac:dyDescent="0.25">
      <c r="M2969" s="21"/>
    </row>
    <row r="2970" spans="13:13" x14ac:dyDescent="0.25">
      <c r="M2970" s="21"/>
    </row>
    <row r="2971" spans="13:13" x14ac:dyDescent="0.25">
      <c r="M2971" s="21"/>
    </row>
    <row r="2972" spans="13:13" x14ac:dyDescent="0.25">
      <c r="M2972" s="21"/>
    </row>
    <row r="2973" spans="13:13" x14ac:dyDescent="0.25">
      <c r="M2973" s="21"/>
    </row>
    <row r="2974" spans="13:13" x14ac:dyDescent="0.25">
      <c r="M2974" s="21"/>
    </row>
    <row r="2975" spans="13:13" x14ac:dyDescent="0.25">
      <c r="M2975" s="21"/>
    </row>
    <row r="2976" spans="13:13" x14ac:dyDescent="0.25">
      <c r="M2976" s="21"/>
    </row>
    <row r="2977" spans="13:13" x14ac:dyDescent="0.25">
      <c r="M2977" s="21"/>
    </row>
    <row r="2978" spans="13:13" x14ac:dyDescent="0.25">
      <c r="M2978" s="21"/>
    </row>
    <row r="2979" spans="13:13" x14ac:dyDescent="0.25">
      <c r="M2979" s="21"/>
    </row>
    <row r="2980" spans="13:13" x14ac:dyDescent="0.25">
      <c r="M2980" s="21"/>
    </row>
    <row r="2981" spans="13:13" x14ac:dyDescent="0.25">
      <c r="M2981" s="21"/>
    </row>
    <row r="2982" spans="13:13" x14ac:dyDescent="0.25">
      <c r="M2982" s="21"/>
    </row>
    <row r="2983" spans="13:13" x14ac:dyDescent="0.25">
      <c r="M2983" s="21"/>
    </row>
    <row r="2984" spans="13:13" x14ac:dyDescent="0.25">
      <c r="M2984" s="21"/>
    </row>
    <row r="2985" spans="13:13" x14ac:dyDescent="0.25">
      <c r="M2985" s="21"/>
    </row>
    <row r="2986" spans="13:13" x14ac:dyDescent="0.25">
      <c r="M2986" s="21"/>
    </row>
    <row r="2987" spans="13:13" x14ac:dyDescent="0.25">
      <c r="M2987" s="21"/>
    </row>
    <row r="2988" spans="13:13" x14ac:dyDescent="0.25">
      <c r="M2988" s="21"/>
    </row>
    <row r="2989" spans="13:13" x14ac:dyDescent="0.25">
      <c r="M2989" s="21"/>
    </row>
    <row r="2990" spans="13:13" x14ac:dyDescent="0.25">
      <c r="M2990" s="21"/>
    </row>
    <row r="2991" spans="13:13" x14ac:dyDescent="0.25">
      <c r="M2991" s="21"/>
    </row>
    <row r="2992" spans="13:13" x14ac:dyDescent="0.25">
      <c r="M2992" s="21"/>
    </row>
    <row r="2993" spans="13:13" x14ac:dyDescent="0.25">
      <c r="M2993" s="21"/>
    </row>
    <row r="2994" spans="13:13" x14ac:dyDescent="0.25">
      <c r="M2994" s="21"/>
    </row>
    <row r="2995" spans="13:13" x14ac:dyDescent="0.25">
      <c r="M2995" s="21"/>
    </row>
    <row r="2996" spans="13:13" x14ac:dyDescent="0.25">
      <c r="M2996" s="21"/>
    </row>
    <row r="2997" spans="13:13" x14ac:dyDescent="0.25">
      <c r="M2997" s="21"/>
    </row>
    <row r="2998" spans="13:13" x14ac:dyDescent="0.25">
      <c r="M2998" s="21"/>
    </row>
    <row r="2999" spans="13:13" x14ac:dyDescent="0.25">
      <c r="M2999" s="21"/>
    </row>
    <row r="3000" spans="13:13" x14ac:dyDescent="0.25">
      <c r="M3000" s="21"/>
    </row>
    <row r="3001" spans="13:13" x14ac:dyDescent="0.25">
      <c r="M3001" s="21"/>
    </row>
    <row r="3002" spans="13:13" x14ac:dyDescent="0.25">
      <c r="M3002" s="21"/>
    </row>
    <row r="3003" spans="13:13" x14ac:dyDescent="0.25">
      <c r="M3003" s="21"/>
    </row>
    <row r="3004" spans="13:13" x14ac:dyDescent="0.25">
      <c r="M3004" s="21"/>
    </row>
    <row r="3005" spans="13:13" x14ac:dyDescent="0.25">
      <c r="M3005" s="21"/>
    </row>
    <row r="3006" spans="13:13" x14ac:dyDescent="0.25">
      <c r="M3006" s="21"/>
    </row>
    <row r="3007" spans="13:13" x14ac:dyDescent="0.25">
      <c r="M3007" s="21"/>
    </row>
    <row r="3008" spans="13:13" x14ac:dyDescent="0.25">
      <c r="M3008" s="21"/>
    </row>
    <row r="3009" spans="13:13" x14ac:dyDescent="0.25">
      <c r="M3009" s="21"/>
    </row>
    <row r="3010" spans="13:13" x14ac:dyDescent="0.25">
      <c r="M3010" s="21"/>
    </row>
    <row r="3011" spans="13:13" x14ac:dyDescent="0.25">
      <c r="M3011" s="21"/>
    </row>
    <row r="3012" spans="13:13" x14ac:dyDescent="0.25">
      <c r="M3012" s="21"/>
    </row>
    <row r="3013" spans="13:13" x14ac:dyDescent="0.25">
      <c r="M3013" s="21"/>
    </row>
    <row r="3014" spans="13:13" x14ac:dyDescent="0.25">
      <c r="M3014" s="21"/>
    </row>
    <row r="3015" spans="13:13" x14ac:dyDescent="0.25">
      <c r="M3015" s="21"/>
    </row>
    <row r="3016" spans="13:13" x14ac:dyDescent="0.25">
      <c r="M3016" s="21"/>
    </row>
    <row r="3017" spans="13:13" x14ac:dyDescent="0.25">
      <c r="M3017" s="21"/>
    </row>
    <row r="3018" spans="13:13" x14ac:dyDescent="0.25">
      <c r="M3018" s="21"/>
    </row>
    <row r="3019" spans="13:13" x14ac:dyDescent="0.25">
      <c r="M3019" s="21"/>
    </row>
    <row r="3020" spans="13:13" x14ac:dyDescent="0.25">
      <c r="M3020" s="21"/>
    </row>
    <row r="3021" spans="13:13" x14ac:dyDescent="0.25">
      <c r="M3021" s="21"/>
    </row>
    <row r="3022" spans="13:13" x14ac:dyDescent="0.25">
      <c r="M3022" s="21"/>
    </row>
    <row r="3023" spans="13:13" x14ac:dyDescent="0.25">
      <c r="M3023" s="21"/>
    </row>
    <row r="3024" spans="13:13" x14ac:dyDescent="0.25">
      <c r="M3024" s="21"/>
    </row>
    <row r="3025" spans="13:13" x14ac:dyDescent="0.25">
      <c r="M3025" s="21"/>
    </row>
    <row r="3026" spans="13:13" x14ac:dyDescent="0.25">
      <c r="M3026" s="21"/>
    </row>
    <row r="3027" spans="13:13" x14ac:dyDescent="0.25">
      <c r="M3027" s="21"/>
    </row>
    <row r="3028" spans="13:13" x14ac:dyDescent="0.25">
      <c r="M3028" s="21"/>
    </row>
    <row r="3029" spans="13:13" x14ac:dyDescent="0.25">
      <c r="M3029" s="21"/>
    </row>
    <row r="3030" spans="13:13" x14ac:dyDescent="0.25">
      <c r="M3030" s="21"/>
    </row>
    <row r="3031" spans="13:13" x14ac:dyDescent="0.25">
      <c r="M3031" s="21"/>
    </row>
    <row r="3032" spans="13:13" x14ac:dyDescent="0.25">
      <c r="M3032" s="21"/>
    </row>
    <row r="3033" spans="13:13" x14ac:dyDescent="0.25">
      <c r="M3033" s="21"/>
    </row>
    <row r="3034" spans="13:13" x14ac:dyDescent="0.25">
      <c r="M3034" s="21"/>
    </row>
    <row r="3035" spans="13:13" x14ac:dyDescent="0.25">
      <c r="M3035" s="21"/>
    </row>
    <row r="3036" spans="13:13" x14ac:dyDescent="0.25">
      <c r="M3036" s="21"/>
    </row>
    <row r="3037" spans="13:13" x14ac:dyDescent="0.25">
      <c r="M3037" s="21"/>
    </row>
    <row r="3038" spans="13:13" x14ac:dyDescent="0.25">
      <c r="M3038" s="21"/>
    </row>
    <row r="3039" spans="13:13" x14ac:dyDescent="0.25">
      <c r="M3039" s="21"/>
    </row>
    <row r="3040" spans="13:13" x14ac:dyDescent="0.25">
      <c r="M3040" s="21"/>
    </row>
    <row r="3041" spans="13:13" x14ac:dyDescent="0.25">
      <c r="M3041" s="21"/>
    </row>
    <row r="3042" spans="13:13" x14ac:dyDescent="0.25">
      <c r="M3042" s="21"/>
    </row>
    <row r="3043" spans="13:13" x14ac:dyDescent="0.25">
      <c r="M3043" s="21"/>
    </row>
    <row r="3044" spans="13:13" x14ac:dyDescent="0.25">
      <c r="M3044" s="21"/>
    </row>
    <row r="3045" spans="13:13" x14ac:dyDescent="0.25">
      <c r="M3045" s="21"/>
    </row>
    <row r="3046" spans="13:13" x14ac:dyDescent="0.25">
      <c r="M3046" s="21"/>
    </row>
    <row r="3047" spans="13:13" x14ac:dyDescent="0.25">
      <c r="M3047" s="21"/>
    </row>
    <row r="3048" spans="13:13" x14ac:dyDescent="0.25">
      <c r="M3048" s="21"/>
    </row>
    <row r="3049" spans="13:13" x14ac:dyDescent="0.25">
      <c r="M3049" s="21"/>
    </row>
    <row r="3050" spans="13:13" x14ac:dyDescent="0.25">
      <c r="M3050" s="21"/>
    </row>
    <row r="3051" spans="13:13" x14ac:dyDescent="0.25">
      <c r="M3051" s="21"/>
    </row>
    <row r="3052" spans="13:13" x14ac:dyDescent="0.25">
      <c r="M3052" s="21"/>
    </row>
    <row r="3053" spans="13:13" x14ac:dyDescent="0.25">
      <c r="M3053" s="21"/>
    </row>
    <row r="3054" spans="13:13" x14ac:dyDescent="0.25">
      <c r="M3054" s="21"/>
    </row>
    <row r="3055" spans="13:13" x14ac:dyDescent="0.25">
      <c r="M3055" s="21"/>
    </row>
    <row r="3056" spans="13:13" x14ac:dyDescent="0.25">
      <c r="M3056" s="21"/>
    </row>
    <row r="3057" spans="13:13" x14ac:dyDescent="0.25">
      <c r="M3057" s="21"/>
    </row>
    <row r="3058" spans="13:13" x14ac:dyDescent="0.25">
      <c r="M3058" s="21"/>
    </row>
    <row r="3059" spans="13:13" x14ac:dyDescent="0.25">
      <c r="M3059" s="21"/>
    </row>
    <row r="3060" spans="13:13" x14ac:dyDescent="0.25">
      <c r="M3060" s="21"/>
    </row>
    <row r="3061" spans="13:13" x14ac:dyDescent="0.25">
      <c r="M3061" s="21"/>
    </row>
    <row r="3062" spans="13:13" x14ac:dyDescent="0.25">
      <c r="M3062" s="21"/>
    </row>
    <row r="3063" spans="13:13" x14ac:dyDescent="0.25">
      <c r="M3063" s="21"/>
    </row>
    <row r="3064" spans="13:13" x14ac:dyDescent="0.25">
      <c r="M3064" s="21"/>
    </row>
    <row r="3065" spans="13:13" x14ac:dyDescent="0.25">
      <c r="M3065" s="21"/>
    </row>
    <row r="3066" spans="13:13" x14ac:dyDescent="0.25">
      <c r="M3066" s="21"/>
    </row>
    <row r="3067" spans="13:13" x14ac:dyDescent="0.25">
      <c r="M3067" s="21"/>
    </row>
    <row r="3068" spans="13:13" x14ac:dyDescent="0.25">
      <c r="M3068" s="21"/>
    </row>
    <row r="3069" spans="13:13" x14ac:dyDescent="0.25">
      <c r="M3069" s="21"/>
    </row>
    <row r="3070" spans="13:13" x14ac:dyDescent="0.25">
      <c r="M3070" s="21"/>
    </row>
    <row r="3071" spans="13:13" x14ac:dyDescent="0.25">
      <c r="M3071" s="21"/>
    </row>
    <row r="3072" spans="13:13" x14ac:dyDescent="0.25">
      <c r="M3072" s="21"/>
    </row>
    <row r="3073" spans="13:13" x14ac:dyDescent="0.25">
      <c r="M3073" s="21"/>
    </row>
    <row r="3074" spans="13:13" x14ac:dyDescent="0.25">
      <c r="M3074" s="21"/>
    </row>
    <row r="3075" spans="13:13" x14ac:dyDescent="0.25">
      <c r="M3075" s="21"/>
    </row>
    <row r="3076" spans="13:13" x14ac:dyDescent="0.25">
      <c r="M3076" s="21"/>
    </row>
    <row r="3077" spans="13:13" x14ac:dyDescent="0.25">
      <c r="M3077" s="21"/>
    </row>
    <row r="3078" spans="13:13" x14ac:dyDescent="0.25">
      <c r="M3078" s="21"/>
    </row>
    <row r="3079" spans="13:13" x14ac:dyDescent="0.25">
      <c r="M3079" s="21"/>
    </row>
    <row r="3080" spans="13:13" x14ac:dyDescent="0.25">
      <c r="M3080" s="21"/>
    </row>
    <row r="3081" spans="13:13" x14ac:dyDescent="0.25">
      <c r="M3081" s="21"/>
    </row>
    <row r="3082" spans="13:13" x14ac:dyDescent="0.25">
      <c r="M3082" s="21"/>
    </row>
    <row r="3083" spans="13:13" x14ac:dyDescent="0.25">
      <c r="M3083" s="21"/>
    </row>
    <row r="3084" spans="13:13" x14ac:dyDescent="0.25">
      <c r="M3084" s="21"/>
    </row>
    <row r="3085" spans="13:13" x14ac:dyDescent="0.25">
      <c r="M3085" s="21"/>
    </row>
    <row r="3086" spans="13:13" x14ac:dyDescent="0.25">
      <c r="M3086" s="21"/>
    </row>
    <row r="3087" spans="13:13" x14ac:dyDescent="0.25">
      <c r="M3087" s="21"/>
    </row>
    <row r="3088" spans="13:13" x14ac:dyDescent="0.25">
      <c r="M3088" s="21"/>
    </row>
    <row r="3089" spans="13:13" x14ac:dyDescent="0.25">
      <c r="M3089" s="21"/>
    </row>
    <row r="3090" spans="13:13" x14ac:dyDescent="0.25">
      <c r="M3090" s="21"/>
    </row>
    <row r="3091" spans="13:13" x14ac:dyDescent="0.25">
      <c r="M3091" s="21"/>
    </row>
    <row r="3092" spans="13:13" x14ac:dyDescent="0.25">
      <c r="M3092" s="21"/>
    </row>
    <row r="3093" spans="13:13" x14ac:dyDescent="0.25">
      <c r="M3093" s="21"/>
    </row>
    <row r="3094" spans="13:13" x14ac:dyDescent="0.25">
      <c r="M3094" s="21"/>
    </row>
    <row r="3095" spans="13:13" x14ac:dyDescent="0.25">
      <c r="M3095" s="21"/>
    </row>
    <row r="3096" spans="13:13" x14ac:dyDescent="0.25">
      <c r="M3096" s="21"/>
    </row>
    <row r="3097" spans="13:13" x14ac:dyDescent="0.25">
      <c r="M3097" s="21"/>
    </row>
    <row r="3098" spans="13:13" x14ac:dyDescent="0.25">
      <c r="M3098" s="21"/>
    </row>
    <row r="3099" spans="13:13" x14ac:dyDescent="0.25">
      <c r="M3099" s="21"/>
    </row>
    <row r="3100" spans="13:13" x14ac:dyDescent="0.25">
      <c r="M3100" s="21"/>
    </row>
    <row r="3101" spans="13:13" x14ac:dyDescent="0.25">
      <c r="M3101" s="21"/>
    </row>
    <row r="3102" spans="13:13" x14ac:dyDescent="0.25">
      <c r="M3102" s="21"/>
    </row>
    <row r="3103" spans="13:13" x14ac:dyDescent="0.25">
      <c r="M3103" s="21"/>
    </row>
    <row r="3104" spans="13:13" x14ac:dyDescent="0.25">
      <c r="M3104" s="21"/>
    </row>
    <row r="3105" spans="13:13" x14ac:dyDescent="0.25">
      <c r="M3105" s="21"/>
    </row>
    <row r="3106" spans="13:13" x14ac:dyDescent="0.25">
      <c r="M3106" s="21"/>
    </row>
    <row r="3107" spans="13:13" x14ac:dyDescent="0.25">
      <c r="M3107" s="21"/>
    </row>
    <row r="3108" spans="13:13" x14ac:dyDescent="0.25">
      <c r="M3108" s="21"/>
    </row>
    <row r="3109" spans="13:13" x14ac:dyDescent="0.25">
      <c r="M3109" s="21"/>
    </row>
    <row r="3110" spans="13:13" x14ac:dyDescent="0.25">
      <c r="M3110" s="21"/>
    </row>
    <row r="3111" spans="13:13" x14ac:dyDescent="0.25">
      <c r="M3111" s="21"/>
    </row>
    <row r="3112" spans="13:13" x14ac:dyDescent="0.25">
      <c r="M3112" s="21"/>
    </row>
    <row r="3113" spans="13:13" x14ac:dyDescent="0.25">
      <c r="M3113" s="21"/>
    </row>
    <row r="3114" spans="13:13" x14ac:dyDescent="0.25">
      <c r="M3114" s="21"/>
    </row>
    <row r="3115" spans="13:13" x14ac:dyDescent="0.25">
      <c r="M3115" s="21"/>
    </row>
    <row r="3116" spans="13:13" x14ac:dyDescent="0.25">
      <c r="M3116" s="21"/>
    </row>
    <row r="3117" spans="13:13" x14ac:dyDescent="0.25">
      <c r="M3117" s="21"/>
    </row>
    <row r="3118" spans="13:13" x14ac:dyDescent="0.25">
      <c r="M3118" s="21"/>
    </row>
    <row r="3119" spans="13:13" x14ac:dyDescent="0.25">
      <c r="M3119" s="21"/>
    </row>
    <row r="3120" spans="13:13" x14ac:dyDescent="0.25">
      <c r="M3120" s="21"/>
    </row>
    <row r="3121" spans="13:13" x14ac:dyDescent="0.25">
      <c r="M3121" s="21"/>
    </row>
    <row r="3122" spans="13:13" x14ac:dyDescent="0.25">
      <c r="M3122" s="21"/>
    </row>
    <row r="3123" spans="13:13" x14ac:dyDescent="0.25">
      <c r="M3123" s="21"/>
    </row>
    <row r="3124" spans="13:13" x14ac:dyDescent="0.25">
      <c r="M3124" s="21"/>
    </row>
    <row r="3125" spans="13:13" x14ac:dyDescent="0.25">
      <c r="M3125" s="21"/>
    </row>
    <row r="3126" spans="13:13" x14ac:dyDescent="0.25">
      <c r="M3126" s="21"/>
    </row>
    <row r="3127" spans="13:13" x14ac:dyDescent="0.25">
      <c r="M3127" s="21"/>
    </row>
    <row r="3128" spans="13:13" x14ac:dyDescent="0.25">
      <c r="M3128" s="21"/>
    </row>
    <row r="3129" spans="13:13" x14ac:dyDescent="0.25">
      <c r="M3129" s="21"/>
    </row>
    <row r="3130" spans="13:13" x14ac:dyDescent="0.25">
      <c r="M3130" s="21"/>
    </row>
    <row r="3131" spans="13:13" x14ac:dyDescent="0.25">
      <c r="M3131" s="21"/>
    </row>
    <row r="3132" spans="13:13" x14ac:dyDescent="0.25">
      <c r="M3132" s="21"/>
    </row>
    <row r="3133" spans="13:13" x14ac:dyDescent="0.25">
      <c r="M3133" s="21"/>
    </row>
    <row r="3134" spans="13:13" x14ac:dyDescent="0.25">
      <c r="M3134" s="21"/>
    </row>
    <row r="3135" spans="13:13" x14ac:dyDescent="0.25">
      <c r="M3135" s="21"/>
    </row>
    <row r="3136" spans="13:13" x14ac:dyDescent="0.25">
      <c r="M3136" s="21"/>
    </row>
    <row r="3137" spans="13:13" x14ac:dyDescent="0.25">
      <c r="M3137" s="21"/>
    </row>
    <row r="3138" spans="13:13" x14ac:dyDescent="0.25">
      <c r="M3138" s="21"/>
    </row>
    <row r="3139" spans="13:13" x14ac:dyDescent="0.25">
      <c r="M3139" s="21"/>
    </row>
    <row r="3140" spans="13:13" x14ac:dyDescent="0.25">
      <c r="M3140" s="21"/>
    </row>
    <row r="3141" spans="13:13" x14ac:dyDescent="0.25">
      <c r="M3141" s="21"/>
    </row>
    <row r="3142" spans="13:13" x14ac:dyDescent="0.25">
      <c r="M3142" s="21"/>
    </row>
    <row r="3143" spans="13:13" x14ac:dyDescent="0.25">
      <c r="M3143" s="21"/>
    </row>
    <row r="3144" spans="13:13" x14ac:dyDescent="0.25">
      <c r="M3144" s="21"/>
    </row>
    <row r="3145" spans="13:13" x14ac:dyDescent="0.25">
      <c r="M3145" s="21"/>
    </row>
    <row r="3146" spans="13:13" x14ac:dyDescent="0.25">
      <c r="M3146" s="21"/>
    </row>
    <row r="3147" spans="13:13" x14ac:dyDescent="0.25">
      <c r="M3147" s="21"/>
    </row>
    <row r="3148" spans="13:13" x14ac:dyDescent="0.25">
      <c r="M3148" s="21"/>
    </row>
    <row r="3149" spans="13:13" x14ac:dyDescent="0.25">
      <c r="M3149" s="21"/>
    </row>
    <row r="3150" spans="13:13" x14ac:dyDescent="0.25">
      <c r="M3150" s="21"/>
    </row>
    <row r="3151" spans="13:13" x14ac:dyDescent="0.25">
      <c r="M3151" s="21"/>
    </row>
    <row r="3152" spans="13:13" x14ac:dyDescent="0.25">
      <c r="M3152" s="21"/>
    </row>
    <row r="3153" spans="13:13" x14ac:dyDescent="0.25">
      <c r="M3153" s="21"/>
    </row>
    <row r="3154" spans="13:13" x14ac:dyDescent="0.25">
      <c r="M3154" s="21"/>
    </row>
    <row r="3155" spans="13:13" x14ac:dyDescent="0.25">
      <c r="M3155" s="21"/>
    </row>
    <row r="3156" spans="13:13" x14ac:dyDescent="0.25">
      <c r="M3156" s="21"/>
    </row>
    <row r="3157" spans="13:13" x14ac:dyDescent="0.25">
      <c r="M3157" s="21"/>
    </row>
    <row r="3158" spans="13:13" x14ac:dyDescent="0.25">
      <c r="M3158" s="21"/>
    </row>
    <row r="3159" spans="13:13" x14ac:dyDescent="0.25">
      <c r="M3159" s="21"/>
    </row>
    <row r="3160" spans="13:13" x14ac:dyDescent="0.25">
      <c r="M3160" s="21"/>
    </row>
    <row r="3161" spans="13:13" x14ac:dyDescent="0.25">
      <c r="M3161" s="21"/>
    </row>
    <row r="3162" spans="13:13" x14ac:dyDescent="0.25">
      <c r="M3162" s="21"/>
    </row>
    <row r="3163" spans="13:13" x14ac:dyDescent="0.25">
      <c r="M3163" s="21"/>
    </row>
    <row r="3164" spans="13:13" x14ac:dyDescent="0.25">
      <c r="M3164" s="21"/>
    </row>
    <row r="3165" spans="13:13" x14ac:dyDescent="0.25">
      <c r="M3165" s="21"/>
    </row>
    <row r="3166" spans="13:13" x14ac:dyDescent="0.25">
      <c r="M3166" s="21"/>
    </row>
    <row r="3167" spans="13:13" x14ac:dyDescent="0.25">
      <c r="M3167" s="21"/>
    </row>
    <row r="3168" spans="13:13" x14ac:dyDescent="0.25">
      <c r="M3168" s="21"/>
    </row>
    <row r="3169" spans="13:13" x14ac:dyDescent="0.25">
      <c r="M3169" s="21"/>
    </row>
    <row r="3170" spans="13:13" x14ac:dyDescent="0.25">
      <c r="M3170" s="21"/>
    </row>
    <row r="3171" spans="13:13" x14ac:dyDescent="0.25">
      <c r="M3171" s="21"/>
    </row>
    <row r="3172" spans="13:13" x14ac:dyDescent="0.25">
      <c r="M3172" s="21"/>
    </row>
    <row r="3173" spans="13:13" x14ac:dyDescent="0.25">
      <c r="M3173" s="21"/>
    </row>
    <row r="3174" spans="13:13" x14ac:dyDescent="0.25">
      <c r="M3174" s="21"/>
    </row>
    <row r="3175" spans="13:13" x14ac:dyDescent="0.25">
      <c r="M3175" s="21"/>
    </row>
    <row r="3176" spans="13:13" x14ac:dyDescent="0.25">
      <c r="M3176" s="21"/>
    </row>
    <row r="3177" spans="13:13" x14ac:dyDescent="0.25">
      <c r="M3177" s="21"/>
    </row>
    <row r="3178" spans="13:13" x14ac:dyDescent="0.25">
      <c r="M3178" s="21"/>
    </row>
    <row r="3179" spans="13:13" x14ac:dyDescent="0.25">
      <c r="M3179" s="21"/>
    </row>
    <row r="3180" spans="13:13" x14ac:dyDescent="0.25">
      <c r="M3180" s="21"/>
    </row>
    <row r="3181" spans="13:13" x14ac:dyDescent="0.25">
      <c r="M3181" s="21"/>
    </row>
    <row r="3182" spans="13:13" x14ac:dyDescent="0.25">
      <c r="M3182" s="21"/>
    </row>
    <row r="3183" spans="13:13" x14ac:dyDescent="0.25">
      <c r="M3183" s="21"/>
    </row>
    <row r="3184" spans="13:13" x14ac:dyDescent="0.25">
      <c r="M3184" s="21"/>
    </row>
    <row r="3185" spans="13:13" x14ac:dyDescent="0.25">
      <c r="M3185" s="21"/>
    </row>
    <row r="3186" spans="13:13" x14ac:dyDescent="0.25">
      <c r="M3186" s="21"/>
    </row>
    <row r="3187" spans="13:13" x14ac:dyDescent="0.25">
      <c r="M3187" s="21"/>
    </row>
    <row r="3188" spans="13:13" x14ac:dyDescent="0.25">
      <c r="M3188" s="21"/>
    </row>
    <row r="3189" spans="13:13" x14ac:dyDescent="0.25">
      <c r="M3189" s="21"/>
    </row>
    <row r="3190" spans="13:13" x14ac:dyDescent="0.25">
      <c r="M3190" s="21"/>
    </row>
    <row r="3191" spans="13:13" x14ac:dyDescent="0.25">
      <c r="M3191" s="21"/>
    </row>
    <row r="3192" spans="13:13" x14ac:dyDescent="0.25">
      <c r="M3192" s="21"/>
    </row>
    <row r="3193" spans="13:13" x14ac:dyDescent="0.25">
      <c r="M3193" s="21"/>
    </row>
    <row r="3194" spans="13:13" x14ac:dyDescent="0.25">
      <c r="M3194" s="21"/>
    </row>
    <row r="3195" spans="13:13" x14ac:dyDescent="0.25">
      <c r="M3195" s="21"/>
    </row>
    <row r="3196" spans="13:13" x14ac:dyDescent="0.25">
      <c r="M3196" s="21"/>
    </row>
    <row r="3197" spans="13:13" x14ac:dyDescent="0.25">
      <c r="M3197" s="21"/>
    </row>
    <row r="3198" spans="13:13" x14ac:dyDescent="0.25">
      <c r="M3198" s="21"/>
    </row>
    <row r="3199" spans="13:13" x14ac:dyDescent="0.25">
      <c r="M3199" s="21"/>
    </row>
    <row r="3200" spans="13:13" x14ac:dyDescent="0.25">
      <c r="M3200" s="21"/>
    </row>
    <row r="3201" spans="13:13" x14ac:dyDescent="0.25">
      <c r="M3201" s="21"/>
    </row>
    <row r="3202" spans="13:13" x14ac:dyDescent="0.25">
      <c r="M3202" s="21"/>
    </row>
    <row r="3203" spans="13:13" x14ac:dyDescent="0.25">
      <c r="M3203" s="21"/>
    </row>
    <row r="3204" spans="13:13" x14ac:dyDescent="0.25">
      <c r="M3204" s="21"/>
    </row>
    <row r="3205" spans="13:13" x14ac:dyDescent="0.25">
      <c r="M3205" s="21"/>
    </row>
    <row r="3206" spans="13:13" x14ac:dyDescent="0.25">
      <c r="M3206" s="21"/>
    </row>
    <row r="3207" spans="13:13" x14ac:dyDescent="0.25">
      <c r="M3207" s="21"/>
    </row>
    <row r="3208" spans="13:13" x14ac:dyDescent="0.25">
      <c r="M3208" s="21"/>
    </row>
    <row r="3209" spans="13:13" x14ac:dyDescent="0.25">
      <c r="M3209" s="21"/>
    </row>
    <row r="3210" spans="13:13" x14ac:dyDescent="0.25">
      <c r="M3210" s="21"/>
    </row>
    <row r="3211" spans="13:13" x14ac:dyDescent="0.25">
      <c r="M3211" s="21"/>
    </row>
    <row r="3212" spans="13:13" x14ac:dyDescent="0.25">
      <c r="M3212" s="21"/>
    </row>
    <row r="3213" spans="13:13" x14ac:dyDescent="0.25">
      <c r="M3213" s="21"/>
    </row>
    <row r="3214" spans="13:13" x14ac:dyDescent="0.25">
      <c r="M3214" s="21"/>
    </row>
    <row r="3215" spans="13:13" x14ac:dyDescent="0.25">
      <c r="M3215" s="21"/>
    </row>
    <row r="3216" spans="13:13" x14ac:dyDescent="0.25">
      <c r="M3216" s="21"/>
    </row>
    <row r="3217" spans="13:13" x14ac:dyDescent="0.25">
      <c r="M3217" s="21"/>
    </row>
    <row r="3218" spans="13:13" x14ac:dyDescent="0.25">
      <c r="M3218" s="21"/>
    </row>
    <row r="3219" spans="13:13" x14ac:dyDescent="0.25">
      <c r="M3219" s="21"/>
    </row>
    <row r="3220" spans="13:13" x14ac:dyDescent="0.25">
      <c r="M3220" s="21"/>
    </row>
    <row r="3221" spans="13:13" x14ac:dyDescent="0.25">
      <c r="M3221" s="21"/>
    </row>
    <row r="3222" spans="13:13" x14ac:dyDescent="0.25">
      <c r="M3222" s="21"/>
    </row>
    <row r="3223" spans="13:13" x14ac:dyDescent="0.25">
      <c r="M3223" s="21"/>
    </row>
    <row r="3224" spans="13:13" x14ac:dyDescent="0.25">
      <c r="M3224" s="21"/>
    </row>
    <row r="3225" spans="13:13" x14ac:dyDescent="0.25">
      <c r="M3225" s="21"/>
    </row>
    <row r="3226" spans="13:13" x14ac:dyDescent="0.25">
      <c r="M3226" s="21"/>
    </row>
    <row r="3227" spans="13:13" x14ac:dyDescent="0.25">
      <c r="M3227" s="21"/>
    </row>
    <row r="3228" spans="13:13" x14ac:dyDescent="0.25">
      <c r="M3228" s="21"/>
    </row>
    <row r="3229" spans="13:13" x14ac:dyDescent="0.25">
      <c r="M3229" s="21"/>
    </row>
    <row r="3230" spans="13:13" x14ac:dyDescent="0.25">
      <c r="M3230" s="21"/>
    </row>
    <row r="3231" spans="13:13" x14ac:dyDescent="0.25">
      <c r="M3231" s="21"/>
    </row>
    <row r="3232" spans="13:13" x14ac:dyDescent="0.25">
      <c r="M3232" s="21"/>
    </row>
    <row r="3233" spans="13:13" x14ac:dyDescent="0.25">
      <c r="M3233" s="21"/>
    </row>
    <row r="3234" spans="13:13" x14ac:dyDescent="0.25">
      <c r="M3234" s="21"/>
    </row>
    <row r="3235" spans="13:13" x14ac:dyDescent="0.25">
      <c r="M3235" s="21"/>
    </row>
    <row r="3236" spans="13:13" x14ac:dyDescent="0.25">
      <c r="M3236" s="21"/>
    </row>
    <row r="3237" spans="13:13" x14ac:dyDescent="0.25">
      <c r="M3237" s="21"/>
    </row>
    <row r="3238" spans="13:13" x14ac:dyDescent="0.25">
      <c r="M3238" s="21"/>
    </row>
    <row r="3239" spans="13:13" x14ac:dyDescent="0.25">
      <c r="M3239" s="21"/>
    </row>
    <row r="3240" spans="13:13" x14ac:dyDescent="0.25">
      <c r="M3240" s="21"/>
    </row>
    <row r="3241" spans="13:13" x14ac:dyDescent="0.25">
      <c r="M3241" s="21"/>
    </row>
    <row r="3242" spans="13:13" x14ac:dyDescent="0.25">
      <c r="M3242" s="21"/>
    </row>
    <row r="3243" spans="13:13" x14ac:dyDescent="0.25">
      <c r="M3243" s="21"/>
    </row>
    <row r="3244" spans="13:13" x14ac:dyDescent="0.25">
      <c r="M3244" s="21"/>
    </row>
    <row r="3245" spans="13:13" x14ac:dyDescent="0.25">
      <c r="M3245" s="21"/>
    </row>
    <row r="3246" spans="13:13" x14ac:dyDescent="0.25">
      <c r="M3246" s="21"/>
    </row>
    <row r="3247" spans="13:13" x14ac:dyDescent="0.25">
      <c r="M3247" s="21"/>
    </row>
    <row r="3248" spans="13:13" x14ac:dyDescent="0.25">
      <c r="M3248" s="21"/>
    </row>
    <row r="3249" spans="13:13" x14ac:dyDescent="0.25">
      <c r="M3249" s="21"/>
    </row>
    <row r="3250" spans="13:13" x14ac:dyDescent="0.25">
      <c r="M3250" s="21"/>
    </row>
    <row r="3251" spans="13:13" x14ac:dyDescent="0.25">
      <c r="M3251" s="21"/>
    </row>
    <row r="3252" spans="13:13" x14ac:dyDescent="0.25">
      <c r="M3252" s="21"/>
    </row>
    <row r="3253" spans="13:13" x14ac:dyDescent="0.25">
      <c r="M3253" s="21"/>
    </row>
    <row r="3254" spans="13:13" x14ac:dyDescent="0.25">
      <c r="M3254" s="21"/>
    </row>
    <row r="3255" spans="13:13" x14ac:dyDescent="0.25">
      <c r="M3255" s="21"/>
    </row>
    <row r="3256" spans="13:13" x14ac:dyDescent="0.25">
      <c r="M3256" s="21"/>
    </row>
    <row r="3257" spans="13:13" x14ac:dyDescent="0.25">
      <c r="M3257" s="21"/>
    </row>
    <row r="3258" spans="13:13" x14ac:dyDescent="0.25">
      <c r="M3258" s="21"/>
    </row>
    <row r="3259" spans="13:13" x14ac:dyDescent="0.25">
      <c r="M3259" s="21"/>
    </row>
    <row r="3260" spans="13:13" x14ac:dyDescent="0.25">
      <c r="M3260" s="21"/>
    </row>
    <row r="3261" spans="13:13" x14ac:dyDescent="0.25">
      <c r="M3261" s="21"/>
    </row>
    <row r="3262" spans="13:13" x14ac:dyDescent="0.25">
      <c r="M3262" s="21"/>
    </row>
    <row r="3263" spans="13:13" x14ac:dyDescent="0.25">
      <c r="M3263" s="21"/>
    </row>
    <row r="3264" spans="13:13" x14ac:dyDescent="0.25">
      <c r="M3264" s="21"/>
    </row>
    <row r="3265" spans="13:13" x14ac:dyDescent="0.25">
      <c r="M3265" s="21"/>
    </row>
    <row r="3266" spans="13:13" x14ac:dyDescent="0.25">
      <c r="M3266" s="21"/>
    </row>
    <row r="3267" spans="13:13" x14ac:dyDescent="0.25">
      <c r="M3267" s="21"/>
    </row>
    <row r="3268" spans="13:13" x14ac:dyDescent="0.25">
      <c r="M3268" s="21"/>
    </row>
    <row r="3269" spans="13:13" x14ac:dyDescent="0.25">
      <c r="M3269" s="21"/>
    </row>
    <row r="3270" spans="13:13" x14ac:dyDescent="0.25">
      <c r="M3270" s="21"/>
    </row>
    <row r="3271" spans="13:13" x14ac:dyDescent="0.25">
      <c r="M3271" s="21"/>
    </row>
    <row r="3272" spans="13:13" x14ac:dyDescent="0.25">
      <c r="M3272" s="21"/>
    </row>
    <row r="3273" spans="13:13" x14ac:dyDescent="0.25">
      <c r="M3273" s="21"/>
    </row>
    <row r="3274" spans="13:13" x14ac:dyDescent="0.25">
      <c r="M3274" s="21"/>
    </row>
    <row r="3275" spans="13:13" x14ac:dyDescent="0.25">
      <c r="M3275" s="21"/>
    </row>
    <row r="3276" spans="13:13" x14ac:dyDescent="0.25">
      <c r="M3276" s="21"/>
    </row>
    <row r="3277" spans="13:13" x14ac:dyDescent="0.25">
      <c r="M3277" s="21"/>
    </row>
    <row r="3278" spans="13:13" x14ac:dyDescent="0.25">
      <c r="M3278" s="21"/>
    </row>
    <row r="3279" spans="13:13" x14ac:dyDescent="0.25">
      <c r="M3279" s="21"/>
    </row>
    <row r="3280" spans="13:13" x14ac:dyDescent="0.25">
      <c r="M3280" s="21"/>
    </row>
    <row r="3281" spans="13:13" x14ac:dyDescent="0.25">
      <c r="M3281" s="21"/>
    </row>
    <row r="3282" spans="13:13" x14ac:dyDescent="0.25">
      <c r="M3282" s="21"/>
    </row>
    <row r="3283" spans="13:13" x14ac:dyDescent="0.25">
      <c r="M3283" s="21"/>
    </row>
    <row r="3284" spans="13:13" x14ac:dyDescent="0.25">
      <c r="M3284" s="21"/>
    </row>
    <row r="3285" spans="13:13" x14ac:dyDescent="0.25">
      <c r="M3285" s="21"/>
    </row>
    <row r="3286" spans="13:13" x14ac:dyDescent="0.25">
      <c r="M3286" s="21"/>
    </row>
    <row r="3287" spans="13:13" x14ac:dyDescent="0.25">
      <c r="M3287" s="21"/>
    </row>
    <row r="3288" spans="13:13" x14ac:dyDescent="0.25">
      <c r="M3288" s="21"/>
    </row>
    <row r="3289" spans="13:13" x14ac:dyDescent="0.25">
      <c r="M3289" s="21"/>
    </row>
    <row r="3290" spans="13:13" x14ac:dyDescent="0.25">
      <c r="M3290" s="21"/>
    </row>
    <row r="3291" spans="13:13" x14ac:dyDescent="0.25">
      <c r="M3291" s="21"/>
    </row>
    <row r="3292" spans="13:13" x14ac:dyDescent="0.25">
      <c r="M3292" s="21"/>
    </row>
    <row r="3293" spans="13:13" x14ac:dyDescent="0.25">
      <c r="M3293" s="21"/>
    </row>
    <row r="3294" spans="13:13" x14ac:dyDescent="0.25">
      <c r="M3294" s="21"/>
    </row>
    <row r="3295" spans="13:13" x14ac:dyDescent="0.25">
      <c r="M3295" s="21"/>
    </row>
    <row r="3296" spans="13:13" x14ac:dyDescent="0.25">
      <c r="M3296" s="21"/>
    </row>
    <row r="3297" spans="13:13" x14ac:dyDescent="0.25">
      <c r="M3297" s="21"/>
    </row>
    <row r="3298" spans="13:13" x14ac:dyDescent="0.25">
      <c r="M3298" s="21"/>
    </row>
    <row r="3299" spans="13:13" x14ac:dyDescent="0.25">
      <c r="M3299" s="21"/>
    </row>
    <row r="3300" spans="13:13" x14ac:dyDescent="0.25">
      <c r="M3300" s="21"/>
    </row>
    <row r="3301" spans="13:13" x14ac:dyDescent="0.25">
      <c r="M3301" s="21"/>
    </row>
    <row r="3302" spans="13:13" x14ac:dyDescent="0.25">
      <c r="M3302" s="21"/>
    </row>
    <row r="3303" spans="13:13" x14ac:dyDescent="0.25">
      <c r="M3303" s="21"/>
    </row>
    <row r="3304" spans="13:13" x14ac:dyDescent="0.25">
      <c r="M3304" s="21"/>
    </row>
    <row r="3305" spans="13:13" x14ac:dyDescent="0.25">
      <c r="M3305" s="21"/>
    </row>
    <row r="3306" spans="13:13" x14ac:dyDescent="0.25">
      <c r="M3306" s="21"/>
    </row>
    <row r="3307" spans="13:13" x14ac:dyDescent="0.25">
      <c r="M3307" s="21"/>
    </row>
    <row r="3308" spans="13:13" x14ac:dyDescent="0.25">
      <c r="M3308" s="21"/>
    </row>
    <row r="3309" spans="13:13" x14ac:dyDescent="0.25">
      <c r="M3309" s="21"/>
    </row>
    <row r="3310" spans="13:13" x14ac:dyDescent="0.25">
      <c r="M3310" s="21"/>
    </row>
    <row r="3311" spans="13:13" x14ac:dyDescent="0.25">
      <c r="M3311" s="21"/>
    </row>
    <row r="3312" spans="13:13" x14ac:dyDescent="0.25">
      <c r="M3312" s="21"/>
    </row>
    <row r="3313" spans="13:13" x14ac:dyDescent="0.25">
      <c r="M3313" s="21"/>
    </row>
    <row r="3314" spans="13:13" x14ac:dyDescent="0.25">
      <c r="M3314" s="21"/>
    </row>
    <row r="3315" spans="13:13" x14ac:dyDescent="0.25">
      <c r="M3315" s="21"/>
    </row>
    <row r="3316" spans="13:13" x14ac:dyDescent="0.25">
      <c r="M3316" s="21"/>
    </row>
    <row r="3317" spans="13:13" x14ac:dyDescent="0.25">
      <c r="M3317" s="21"/>
    </row>
    <row r="3318" spans="13:13" x14ac:dyDescent="0.25">
      <c r="M3318" s="21"/>
    </row>
    <row r="3319" spans="13:13" x14ac:dyDescent="0.25">
      <c r="M3319" s="21"/>
    </row>
    <row r="3320" spans="13:13" x14ac:dyDescent="0.25">
      <c r="M3320" s="21"/>
    </row>
    <row r="3321" spans="13:13" x14ac:dyDescent="0.25">
      <c r="M3321" s="21"/>
    </row>
    <row r="3322" spans="13:13" x14ac:dyDescent="0.25">
      <c r="M3322" s="21"/>
    </row>
    <row r="3323" spans="13:13" x14ac:dyDescent="0.25">
      <c r="M3323" s="21"/>
    </row>
    <row r="3324" spans="13:13" x14ac:dyDescent="0.25">
      <c r="M3324" s="21"/>
    </row>
    <row r="3325" spans="13:13" x14ac:dyDescent="0.25">
      <c r="M3325" s="21"/>
    </row>
    <row r="3326" spans="13:13" x14ac:dyDescent="0.25">
      <c r="M3326" s="21"/>
    </row>
    <row r="3327" spans="13:13" x14ac:dyDescent="0.25">
      <c r="M3327" s="21"/>
    </row>
    <row r="3328" spans="13:13" x14ac:dyDescent="0.25">
      <c r="M3328" s="21"/>
    </row>
    <row r="3329" spans="13:13" x14ac:dyDescent="0.25">
      <c r="M3329" s="21"/>
    </row>
    <row r="3330" spans="13:13" x14ac:dyDescent="0.25">
      <c r="M3330" s="21"/>
    </row>
    <row r="3331" spans="13:13" x14ac:dyDescent="0.25">
      <c r="M3331" s="21"/>
    </row>
    <row r="3332" spans="13:13" x14ac:dyDescent="0.25">
      <c r="M3332" s="21"/>
    </row>
    <row r="3333" spans="13:13" x14ac:dyDescent="0.25">
      <c r="M3333" s="21"/>
    </row>
    <row r="3334" spans="13:13" x14ac:dyDescent="0.25">
      <c r="M3334" s="21"/>
    </row>
    <row r="3335" spans="13:13" x14ac:dyDescent="0.25">
      <c r="M3335" s="21"/>
    </row>
    <row r="3336" spans="13:13" x14ac:dyDescent="0.25">
      <c r="M3336" s="21"/>
    </row>
    <row r="3337" spans="13:13" x14ac:dyDescent="0.25">
      <c r="M3337" s="21"/>
    </row>
    <row r="3338" spans="13:13" x14ac:dyDescent="0.25">
      <c r="M3338" s="21"/>
    </row>
    <row r="3339" spans="13:13" x14ac:dyDescent="0.25">
      <c r="M3339" s="21"/>
    </row>
    <row r="3340" spans="13:13" x14ac:dyDescent="0.25">
      <c r="M3340" s="21"/>
    </row>
    <row r="3341" spans="13:13" x14ac:dyDescent="0.25">
      <c r="M3341" s="21"/>
    </row>
    <row r="3342" spans="13:13" x14ac:dyDescent="0.25">
      <c r="M3342" s="21"/>
    </row>
    <row r="3343" spans="13:13" x14ac:dyDescent="0.25">
      <c r="M3343" s="21"/>
    </row>
    <row r="3344" spans="13:13" x14ac:dyDescent="0.25">
      <c r="M3344" s="21"/>
    </row>
    <row r="3345" spans="13:13" x14ac:dyDescent="0.25">
      <c r="M3345" s="21"/>
    </row>
    <row r="3346" spans="13:13" x14ac:dyDescent="0.25">
      <c r="M3346" s="21"/>
    </row>
    <row r="3347" spans="13:13" x14ac:dyDescent="0.25">
      <c r="M3347" s="21"/>
    </row>
    <row r="3348" spans="13:13" x14ac:dyDescent="0.25">
      <c r="M3348" s="21"/>
    </row>
    <row r="3349" spans="13:13" x14ac:dyDescent="0.25">
      <c r="M3349" s="21"/>
    </row>
    <row r="3350" spans="13:13" x14ac:dyDescent="0.25">
      <c r="M3350" s="21"/>
    </row>
    <row r="3351" spans="13:13" x14ac:dyDescent="0.25">
      <c r="M3351" s="21"/>
    </row>
    <row r="3352" spans="13:13" x14ac:dyDescent="0.25">
      <c r="M3352" s="21"/>
    </row>
    <row r="3353" spans="13:13" x14ac:dyDescent="0.25">
      <c r="M3353" s="21"/>
    </row>
    <row r="3354" spans="13:13" x14ac:dyDescent="0.25">
      <c r="M3354" s="21"/>
    </row>
    <row r="3355" spans="13:13" x14ac:dyDescent="0.25">
      <c r="M3355" s="21"/>
    </row>
    <row r="3356" spans="13:13" x14ac:dyDescent="0.25">
      <c r="M3356" s="21"/>
    </row>
    <row r="3357" spans="13:13" x14ac:dyDescent="0.25">
      <c r="M3357" s="21"/>
    </row>
    <row r="3358" spans="13:13" x14ac:dyDescent="0.25">
      <c r="M3358" s="21"/>
    </row>
    <row r="3359" spans="13:13" x14ac:dyDescent="0.25">
      <c r="M3359" s="21"/>
    </row>
    <row r="3360" spans="13:13" x14ac:dyDescent="0.25">
      <c r="M3360" s="21"/>
    </row>
    <row r="3361" spans="13:13" x14ac:dyDescent="0.25">
      <c r="M3361" s="21"/>
    </row>
    <row r="3362" spans="13:13" x14ac:dyDescent="0.25">
      <c r="M3362" s="21"/>
    </row>
    <row r="3363" spans="13:13" x14ac:dyDescent="0.25">
      <c r="M3363" s="21"/>
    </row>
    <row r="3364" spans="13:13" x14ac:dyDescent="0.25">
      <c r="M3364" s="21"/>
    </row>
    <row r="3365" spans="13:13" x14ac:dyDescent="0.25">
      <c r="M3365" s="21"/>
    </row>
    <row r="3366" spans="13:13" x14ac:dyDescent="0.25">
      <c r="M3366" s="21"/>
    </row>
    <row r="3367" spans="13:13" x14ac:dyDescent="0.25">
      <c r="M3367" s="21"/>
    </row>
    <row r="3368" spans="13:13" x14ac:dyDescent="0.25">
      <c r="M3368" s="21"/>
    </row>
    <row r="3369" spans="13:13" x14ac:dyDescent="0.25">
      <c r="M3369" s="21"/>
    </row>
    <row r="3370" spans="13:13" x14ac:dyDescent="0.25">
      <c r="M3370" s="21"/>
    </row>
    <row r="3371" spans="13:13" x14ac:dyDescent="0.25">
      <c r="M3371" s="21"/>
    </row>
    <row r="3372" spans="13:13" x14ac:dyDescent="0.25">
      <c r="M3372" s="21"/>
    </row>
    <row r="3373" spans="13:13" x14ac:dyDescent="0.25">
      <c r="M3373" s="21"/>
    </row>
    <row r="3374" spans="13:13" x14ac:dyDescent="0.25">
      <c r="M3374" s="21"/>
    </row>
    <row r="3375" spans="13:13" x14ac:dyDescent="0.25">
      <c r="M3375" s="21"/>
    </row>
    <row r="3376" spans="13:13" x14ac:dyDescent="0.25">
      <c r="M3376" s="21"/>
    </row>
    <row r="3377" spans="13:13" x14ac:dyDescent="0.25">
      <c r="M3377" s="21"/>
    </row>
    <row r="3378" spans="13:13" x14ac:dyDescent="0.25">
      <c r="M3378" s="21"/>
    </row>
    <row r="3379" spans="13:13" x14ac:dyDescent="0.25">
      <c r="M3379" s="21"/>
    </row>
    <row r="3380" spans="13:13" x14ac:dyDescent="0.25">
      <c r="M3380" s="21"/>
    </row>
    <row r="3381" spans="13:13" x14ac:dyDescent="0.25">
      <c r="M3381" s="21"/>
    </row>
    <row r="3382" spans="13:13" x14ac:dyDescent="0.25">
      <c r="M3382" s="21"/>
    </row>
    <row r="3383" spans="13:13" x14ac:dyDescent="0.25">
      <c r="M3383" s="21"/>
    </row>
    <row r="3384" spans="13:13" x14ac:dyDescent="0.25">
      <c r="M3384" s="21"/>
    </row>
    <row r="3385" spans="13:13" x14ac:dyDescent="0.25">
      <c r="M3385" s="21"/>
    </row>
    <row r="3386" spans="13:13" x14ac:dyDescent="0.25">
      <c r="M3386" s="21"/>
    </row>
    <row r="3387" spans="13:13" x14ac:dyDescent="0.25">
      <c r="M3387" s="21"/>
    </row>
    <row r="3388" spans="13:13" x14ac:dyDescent="0.25">
      <c r="M3388" s="21"/>
    </row>
    <row r="3389" spans="13:13" x14ac:dyDescent="0.25">
      <c r="M3389" s="21"/>
    </row>
    <row r="3390" spans="13:13" x14ac:dyDescent="0.25">
      <c r="M3390" s="21"/>
    </row>
    <row r="3391" spans="13:13" x14ac:dyDescent="0.25">
      <c r="M3391" s="21"/>
    </row>
    <row r="3392" spans="13:13" x14ac:dyDescent="0.25">
      <c r="M3392" s="21"/>
    </row>
    <row r="3393" spans="13:13" x14ac:dyDescent="0.25">
      <c r="M3393" s="21"/>
    </row>
    <row r="3394" spans="13:13" x14ac:dyDescent="0.25">
      <c r="M3394" s="21"/>
    </row>
    <row r="3395" spans="13:13" x14ac:dyDescent="0.25">
      <c r="M3395" s="21"/>
    </row>
    <row r="3396" spans="13:13" x14ac:dyDescent="0.25">
      <c r="M3396" s="21"/>
    </row>
    <row r="3397" spans="13:13" x14ac:dyDescent="0.25">
      <c r="M3397" s="21"/>
    </row>
    <row r="3398" spans="13:13" x14ac:dyDescent="0.25">
      <c r="M3398" s="21"/>
    </row>
    <row r="3399" spans="13:13" x14ac:dyDescent="0.25">
      <c r="M3399" s="21"/>
    </row>
    <row r="3400" spans="13:13" x14ac:dyDescent="0.25">
      <c r="M3400" s="21"/>
    </row>
    <row r="3401" spans="13:13" x14ac:dyDescent="0.25">
      <c r="M3401" s="21"/>
    </row>
    <row r="3402" spans="13:13" x14ac:dyDescent="0.25">
      <c r="M3402" s="21"/>
    </row>
    <row r="3403" spans="13:13" x14ac:dyDescent="0.25">
      <c r="M3403" s="21"/>
    </row>
    <row r="3404" spans="13:13" x14ac:dyDescent="0.25">
      <c r="M3404" s="21"/>
    </row>
    <row r="3405" spans="13:13" x14ac:dyDescent="0.25">
      <c r="M3405" s="21"/>
    </row>
    <row r="3406" spans="13:13" x14ac:dyDescent="0.25">
      <c r="M3406" s="21"/>
    </row>
    <row r="3407" spans="13:13" x14ac:dyDescent="0.25">
      <c r="M3407" s="21"/>
    </row>
    <row r="3408" spans="13:13" x14ac:dyDescent="0.25">
      <c r="M3408" s="21"/>
    </row>
    <row r="3409" spans="13:13" x14ac:dyDescent="0.25">
      <c r="M3409" s="21"/>
    </row>
    <row r="3410" spans="13:13" x14ac:dyDescent="0.25">
      <c r="M3410" s="21"/>
    </row>
    <row r="3411" spans="13:13" x14ac:dyDescent="0.25">
      <c r="M3411" s="21"/>
    </row>
    <row r="3412" spans="13:13" x14ac:dyDescent="0.25">
      <c r="M3412" s="21"/>
    </row>
    <row r="3413" spans="13:13" x14ac:dyDescent="0.25">
      <c r="M3413" s="21"/>
    </row>
    <row r="3414" spans="13:13" x14ac:dyDescent="0.25">
      <c r="M3414" s="21"/>
    </row>
    <row r="3415" spans="13:13" x14ac:dyDescent="0.25">
      <c r="M3415" s="21"/>
    </row>
    <row r="3416" spans="13:13" x14ac:dyDescent="0.25">
      <c r="M3416" s="21"/>
    </row>
    <row r="3417" spans="13:13" x14ac:dyDescent="0.25">
      <c r="M3417" s="21"/>
    </row>
    <row r="3418" spans="13:13" x14ac:dyDescent="0.25">
      <c r="M3418" s="21"/>
    </row>
    <row r="3419" spans="13:13" x14ac:dyDescent="0.25">
      <c r="M3419" s="21"/>
    </row>
    <row r="3420" spans="13:13" x14ac:dyDescent="0.25">
      <c r="M3420" s="21"/>
    </row>
    <row r="3421" spans="13:13" x14ac:dyDescent="0.25">
      <c r="M3421" s="21"/>
    </row>
    <row r="3422" spans="13:13" x14ac:dyDescent="0.25">
      <c r="M3422" s="21"/>
    </row>
    <row r="3423" spans="13:13" x14ac:dyDescent="0.25">
      <c r="M3423" s="21"/>
    </row>
    <row r="3424" spans="13:13" x14ac:dyDescent="0.25">
      <c r="M3424" s="21"/>
    </row>
    <row r="3425" spans="13:13" x14ac:dyDescent="0.25">
      <c r="M3425" s="21"/>
    </row>
    <row r="3426" spans="13:13" x14ac:dyDescent="0.25">
      <c r="M3426" s="21"/>
    </row>
    <row r="3427" spans="13:13" x14ac:dyDescent="0.25">
      <c r="M3427" s="21"/>
    </row>
    <row r="3428" spans="13:13" x14ac:dyDescent="0.25">
      <c r="M3428" s="21"/>
    </row>
    <row r="3429" spans="13:13" x14ac:dyDescent="0.25">
      <c r="M3429" s="21"/>
    </row>
    <row r="3430" spans="13:13" x14ac:dyDescent="0.25">
      <c r="M3430" s="21"/>
    </row>
    <row r="3431" spans="13:13" x14ac:dyDescent="0.25">
      <c r="M3431" s="21"/>
    </row>
    <row r="3432" spans="13:13" x14ac:dyDescent="0.25">
      <c r="M3432" s="21"/>
    </row>
    <row r="3433" spans="13:13" x14ac:dyDescent="0.25">
      <c r="M3433" s="21"/>
    </row>
    <row r="3434" spans="13:13" x14ac:dyDescent="0.25">
      <c r="M3434" s="21"/>
    </row>
    <row r="3435" spans="13:13" x14ac:dyDescent="0.25">
      <c r="M3435" s="21"/>
    </row>
    <row r="3436" spans="13:13" x14ac:dyDescent="0.25">
      <c r="M3436" s="21"/>
    </row>
    <row r="3437" spans="13:13" x14ac:dyDescent="0.25">
      <c r="M3437" s="21"/>
    </row>
    <row r="3438" spans="13:13" x14ac:dyDescent="0.25">
      <c r="M3438" s="21"/>
    </row>
    <row r="3439" spans="13:13" x14ac:dyDescent="0.25">
      <c r="M3439" s="21"/>
    </row>
    <row r="3440" spans="13:13" x14ac:dyDescent="0.25">
      <c r="M3440" s="21"/>
    </row>
    <row r="3441" spans="13:13" x14ac:dyDescent="0.25">
      <c r="M3441" s="21"/>
    </row>
    <row r="3442" spans="13:13" x14ac:dyDescent="0.25">
      <c r="M3442" s="21"/>
    </row>
    <row r="3443" spans="13:13" x14ac:dyDescent="0.25">
      <c r="M3443" s="21"/>
    </row>
    <row r="3444" spans="13:13" x14ac:dyDescent="0.25">
      <c r="M3444" s="21"/>
    </row>
    <row r="3445" spans="13:13" x14ac:dyDescent="0.25">
      <c r="M3445" s="21"/>
    </row>
    <row r="3446" spans="13:13" x14ac:dyDescent="0.25">
      <c r="M3446" s="21"/>
    </row>
    <row r="3447" spans="13:13" x14ac:dyDescent="0.25">
      <c r="M3447" s="21"/>
    </row>
    <row r="3448" spans="13:13" x14ac:dyDescent="0.25">
      <c r="M3448" s="21"/>
    </row>
    <row r="3449" spans="13:13" x14ac:dyDescent="0.25">
      <c r="M3449" s="21"/>
    </row>
    <row r="3450" spans="13:13" x14ac:dyDescent="0.25">
      <c r="M3450" s="21"/>
    </row>
    <row r="3451" spans="13:13" x14ac:dyDescent="0.25">
      <c r="M3451" s="21"/>
    </row>
    <row r="3452" spans="13:13" x14ac:dyDescent="0.25">
      <c r="M3452" s="21"/>
    </row>
    <row r="3453" spans="13:13" x14ac:dyDescent="0.25">
      <c r="M3453" s="21"/>
    </row>
    <row r="3454" spans="13:13" x14ac:dyDescent="0.25">
      <c r="M3454" s="21"/>
    </row>
    <row r="3455" spans="13:13" x14ac:dyDescent="0.25">
      <c r="M3455" s="21"/>
    </row>
    <row r="3456" spans="13:13" x14ac:dyDescent="0.25">
      <c r="M3456" s="21"/>
    </row>
    <row r="3457" spans="13:13" x14ac:dyDescent="0.25">
      <c r="M3457" s="21"/>
    </row>
    <row r="3458" spans="13:13" x14ac:dyDescent="0.25">
      <c r="M3458" s="21"/>
    </row>
    <row r="3459" spans="13:13" x14ac:dyDescent="0.25">
      <c r="M3459" s="21"/>
    </row>
    <row r="3460" spans="13:13" x14ac:dyDescent="0.25">
      <c r="M3460" s="21"/>
    </row>
    <row r="3461" spans="13:13" x14ac:dyDescent="0.25">
      <c r="M3461" s="21"/>
    </row>
    <row r="3462" spans="13:13" x14ac:dyDescent="0.25">
      <c r="M3462" s="21"/>
    </row>
    <row r="3463" spans="13:13" x14ac:dyDescent="0.25">
      <c r="M3463" s="21"/>
    </row>
    <row r="3464" spans="13:13" x14ac:dyDescent="0.25">
      <c r="M3464" s="21"/>
    </row>
    <row r="3465" spans="13:13" x14ac:dyDescent="0.25">
      <c r="M3465" s="21"/>
    </row>
    <row r="3466" spans="13:13" x14ac:dyDescent="0.25">
      <c r="M3466" s="21"/>
    </row>
    <row r="3467" spans="13:13" x14ac:dyDescent="0.25">
      <c r="M3467" s="21"/>
    </row>
    <row r="3468" spans="13:13" x14ac:dyDescent="0.25">
      <c r="M3468" s="21"/>
    </row>
    <row r="3469" spans="13:13" x14ac:dyDescent="0.25">
      <c r="M3469" s="21"/>
    </row>
    <row r="3470" spans="13:13" x14ac:dyDescent="0.25">
      <c r="M3470" s="21"/>
    </row>
    <row r="3471" spans="13:13" x14ac:dyDescent="0.25">
      <c r="M3471" s="21"/>
    </row>
    <row r="3472" spans="13:13" x14ac:dyDescent="0.25">
      <c r="M3472" s="21"/>
    </row>
    <row r="3473" spans="13:13" x14ac:dyDescent="0.25">
      <c r="M3473" s="21"/>
    </row>
    <row r="3474" spans="13:13" x14ac:dyDescent="0.25">
      <c r="M3474" s="21"/>
    </row>
    <row r="3475" spans="13:13" x14ac:dyDescent="0.25">
      <c r="M3475" s="21"/>
    </row>
    <row r="3476" spans="13:13" x14ac:dyDescent="0.25">
      <c r="M3476" s="21"/>
    </row>
    <row r="3477" spans="13:13" x14ac:dyDescent="0.25">
      <c r="M3477" s="21"/>
    </row>
    <row r="3478" spans="13:13" x14ac:dyDescent="0.25">
      <c r="M3478" s="21"/>
    </row>
    <row r="3479" spans="13:13" x14ac:dyDescent="0.25">
      <c r="M3479" s="21"/>
    </row>
    <row r="3480" spans="13:13" x14ac:dyDescent="0.25">
      <c r="M3480" s="21"/>
    </row>
    <row r="3481" spans="13:13" x14ac:dyDescent="0.25">
      <c r="M3481" s="21"/>
    </row>
    <row r="3482" spans="13:13" x14ac:dyDescent="0.25">
      <c r="M3482" s="21"/>
    </row>
    <row r="3483" spans="13:13" x14ac:dyDescent="0.25">
      <c r="M3483" s="21"/>
    </row>
    <row r="3484" spans="13:13" x14ac:dyDescent="0.25">
      <c r="M3484" s="21"/>
    </row>
    <row r="3485" spans="13:13" x14ac:dyDescent="0.25">
      <c r="M3485" s="21"/>
    </row>
    <row r="3486" spans="13:13" x14ac:dyDescent="0.25">
      <c r="M3486" s="21"/>
    </row>
    <row r="3487" spans="13:13" x14ac:dyDescent="0.25">
      <c r="M3487" s="21"/>
    </row>
    <row r="3488" spans="13:13" x14ac:dyDescent="0.25">
      <c r="M3488" s="21"/>
    </row>
    <row r="3489" spans="13:13" x14ac:dyDescent="0.25">
      <c r="M3489" s="21"/>
    </row>
    <row r="3490" spans="13:13" x14ac:dyDescent="0.25">
      <c r="M3490" s="21"/>
    </row>
    <row r="3491" spans="13:13" x14ac:dyDescent="0.25">
      <c r="M3491" s="21"/>
    </row>
    <row r="3492" spans="13:13" x14ac:dyDescent="0.25">
      <c r="M3492" s="21"/>
    </row>
    <row r="3493" spans="13:13" x14ac:dyDescent="0.25">
      <c r="M3493" s="21"/>
    </row>
    <row r="3494" spans="13:13" x14ac:dyDescent="0.25">
      <c r="M3494" s="21"/>
    </row>
    <row r="3495" spans="13:13" x14ac:dyDescent="0.25">
      <c r="M3495" s="21"/>
    </row>
    <row r="3496" spans="13:13" x14ac:dyDescent="0.25">
      <c r="M3496" s="21"/>
    </row>
    <row r="3497" spans="13:13" x14ac:dyDescent="0.25">
      <c r="M3497" s="21"/>
    </row>
    <row r="3498" spans="13:13" x14ac:dyDescent="0.25">
      <c r="M3498" s="21"/>
    </row>
    <row r="3499" spans="13:13" x14ac:dyDescent="0.25">
      <c r="M3499" s="21"/>
    </row>
    <row r="3500" spans="13:13" x14ac:dyDescent="0.25">
      <c r="M3500" s="21"/>
    </row>
    <row r="3501" spans="13:13" x14ac:dyDescent="0.25">
      <c r="M3501" s="21"/>
    </row>
    <row r="3502" spans="13:13" x14ac:dyDescent="0.25">
      <c r="M3502" s="21"/>
    </row>
    <row r="3503" spans="13:13" x14ac:dyDescent="0.25">
      <c r="M3503" s="21"/>
    </row>
    <row r="3504" spans="13:13" x14ac:dyDescent="0.25">
      <c r="M3504" s="21"/>
    </row>
    <row r="3505" spans="13:13" x14ac:dyDescent="0.25">
      <c r="M3505" s="21"/>
    </row>
    <row r="3506" spans="13:13" x14ac:dyDescent="0.25">
      <c r="M3506" s="21"/>
    </row>
    <row r="3507" spans="13:13" x14ac:dyDescent="0.25">
      <c r="M3507" s="21"/>
    </row>
    <row r="3508" spans="13:13" x14ac:dyDescent="0.25">
      <c r="M3508" s="21"/>
    </row>
    <row r="3509" spans="13:13" x14ac:dyDescent="0.25">
      <c r="M3509" s="21"/>
    </row>
    <row r="3510" spans="13:13" x14ac:dyDescent="0.25">
      <c r="M3510" s="21"/>
    </row>
    <row r="3511" spans="13:13" x14ac:dyDescent="0.25">
      <c r="M3511" s="21"/>
    </row>
    <row r="3512" spans="13:13" x14ac:dyDescent="0.25">
      <c r="M3512" s="21"/>
    </row>
    <row r="3513" spans="13:13" x14ac:dyDescent="0.25">
      <c r="M3513" s="21"/>
    </row>
    <row r="3514" spans="13:13" x14ac:dyDescent="0.25">
      <c r="M3514" s="21"/>
    </row>
    <row r="3515" spans="13:13" x14ac:dyDescent="0.25">
      <c r="M3515" s="21"/>
    </row>
    <row r="3516" spans="13:13" x14ac:dyDescent="0.25">
      <c r="M3516" s="21"/>
    </row>
    <row r="3517" spans="13:13" x14ac:dyDescent="0.25">
      <c r="M3517" s="21"/>
    </row>
    <row r="3518" spans="13:13" x14ac:dyDescent="0.25">
      <c r="M3518" s="21"/>
    </row>
    <row r="3519" spans="13:13" x14ac:dyDescent="0.25">
      <c r="M3519" s="21"/>
    </row>
    <row r="3520" spans="13:13" x14ac:dyDescent="0.25">
      <c r="M3520" s="21"/>
    </row>
    <row r="3521" spans="13:13" x14ac:dyDescent="0.25">
      <c r="M3521" s="21"/>
    </row>
    <row r="3522" spans="13:13" x14ac:dyDescent="0.25">
      <c r="M3522" s="21"/>
    </row>
    <row r="3523" spans="13:13" x14ac:dyDescent="0.25">
      <c r="M3523" s="21"/>
    </row>
    <row r="3524" spans="13:13" x14ac:dyDescent="0.25">
      <c r="M3524" s="21"/>
    </row>
    <row r="3525" spans="13:13" x14ac:dyDescent="0.25">
      <c r="M3525" s="21"/>
    </row>
    <row r="3526" spans="13:13" x14ac:dyDescent="0.25">
      <c r="M3526" s="21"/>
    </row>
    <row r="3527" spans="13:13" x14ac:dyDescent="0.25">
      <c r="M3527" s="21"/>
    </row>
    <row r="3528" spans="13:13" x14ac:dyDescent="0.25">
      <c r="M3528" s="21"/>
    </row>
    <row r="3529" spans="13:13" x14ac:dyDescent="0.25">
      <c r="M3529" s="21"/>
    </row>
    <row r="3530" spans="13:13" x14ac:dyDescent="0.25">
      <c r="M3530" s="21"/>
    </row>
    <row r="3531" spans="13:13" x14ac:dyDescent="0.25">
      <c r="M3531" s="21"/>
    </row>
    <row r="3532" spans="13:13" x14ac:dyDescent="0.25">
      <c r="M3532" s="21"/>
    </row>
    <row r="3533" spans="13:13" x14ac:dyDescent="0.25">
      <c r="M3533" s="21"/>
    </row>
    <row r="3534" spans="13:13" x14ac:dyDescent="0.25">
      <c r="M3534" s="21"/>
    </row>
    <row r="3535" spans="13:13" x14ac:dyDescent="0.25">
      <c r="M3535" s="21"/>
    </row>
    <row r="3536" spans="13:13" x14ac:dyDescent="0.25">
      <c r="M3536" s="21"/>
    </row>
    <row r="3537" spans="13:13" x14ac:dyDescent="0.25">
      <c r="M3537" s="21"/>
    </row>
    <row r="3538" spans="13:13" x14ac:dyDescent="0.25">
      <c r="M3538" s="21"/>
    </row>
    <row r="3539" spans="13:13" x14ac:dyDescent="0.25">
      <c r="M3539" s="21"/>
    </row>
    <row r="3540" spans="13:13" x14ac:dyDescent="0.25">
      <c r="M3540" s="21"/>
    </row>
    <row r="3541" spans="13:13" x14ac:dyDescent="0.25">
      <c r="M3541" s="21"/>
    </row>
    <row r="3542" spans="13:13" x14ac:dyDescent="0.25">
      <c r="M3542" s="21"/>
    </row>
    <row r="3543" spans="13:13" x14ac:dyDescent="0.25">
      <c r="M3543" s="21"/>
    </row>
    <row r="3544" spans="13:13" x14ac:dyDescent="0.25">
      <c r="M3544" s="21"/>
    </row>
    <row r="3545" spans="13:13" x14ac:dyDescent="0.25">
      <c r="M3545" s="21"/>
    </row>
    <row r="3546" spans="13:13" x14ac:dyDescent="0.25">
      <c r="M3546" s="21"/>
    </row>
    <row r="3547" spans="13:13" x14ac:dyDescent="0.25">
      <c r="M3547" s="21"/>
    </row>
    <row r="3548" spans="13:13" x14ac:dyDescent="0.25">
      <c r="M3548" s="21"/>
    </row>
    <row r="3549" spans="13:13" x14ac:dyDescent="0.25">
      <c r="M3549" s="21"/>
    </row>
    <row r="3550" spans="13:13" x14ac:dyDescent="0.25">
      <c r="M3550" s="21"/>
    </row>
    <row r="3551" spans="13:13" x14ac:dyDescent="0.25">
      <c r="M3551" s="21"/>
    </row>
    <row r="3552" spans="13:13" x14ac:dyDescent="0.25">
      <c r="M3552" s="21"/>
    </row>
    <row r="3553" spans="13:13" x14ac:dyDescent="0.25">
      <c r="M3553" s="21"/>
    </row>
    <row r="3554" spans="13:13" x14ac:dyDescent="0.25">
      <c r="M3554" s="21"/>
    </row>
    <row r="3555" spans="13:13" x14ac:dyDescent="0.25">
      <c r="M3555" s="21"/>
    </row>
    <row r="3556" spans="13:13" x14ac:dyDescent="0.25">
      <c r="M3556" s="21"/>
    </row>
    <row r="3557" spans="13:13" x14ac:dyDescent="0.25">
      <c r="M3557" s="21"/>
    </row>
    <row r="3558" spans="13:13" x14ac:dyDescent="0.25">
      <c r="M3558" s="21"/>
    </row>
    <row r="3559" spans="13:13" x14ac:dyDescent="0.25">
      <c r="M3559" s="21"/>
    </row>
    <row r="3560" spans="13:13" x14ac:dyDescent="0.25">
      <c r="M3560" s="21"/>
    </row>
    <row r="3561" spans="13:13" x14ac:dyDescent="0.25">
      <c r="M3561" s="21"/>
    </row>
    <row r="3562" spans="13:13" x14ac:dyDescent="0.25">
      <c r="M3562" s="21"/>
    </row>
    <row r="3563" spans="13:13" x14ac:dyDescent="0.25">
      <c r="M3563" s="21"/>
    </row>
    <row r="3564" spans="13:13" x14ac:dyDescent="0.25">
      <c r="M3564" s="21"/>
    </row>
    <row r="3565" spans="13:13" x14ac:dyDescent="0.25">
      <c r="M3565" s="21"/>
    </row>
    <row r="3566" spans="13:13" x14ac:dyDescent="0.25">
      <c r="M3566" s="21"/>
    </row>
    <row r="3567" spans="13:13" x14ac:dyDescent="0.25">
      <c r="M3567" s="21"/>
    </row>
    <row r="3568" spans="13:13" x14ac:dyDescent="0.25">
      <c r="M3568" s="21"/>
    </row>
    <row r="3569" spans="13:13" x14ac:dyDescent="0.25">
      <c r="M3569" s="21"/>
    </row>
    <row r="3570" spans="13:13" x14ac:dyDescent="0.25">
      <c r="M3570" s="21"/>
    </row>
    <row r="3571" spans="13:13" x14ac:dyDescent="0.25">
      <c r="M3571" s="21"/>
    </row>
    <row r="3572" spans="13:13" x14ac:dyDescent="0.25">
      <c r="M3572" s="21"/>
    </row>
    <row r="3573" spans="13:13" x14ac:dyDescent="0.25">
      <c r="M3573" s="21"/>
    </row>
    <row r="3574" spans="13:13" x14ac:dyDescent="0.25">
      <c r="M3574" s="21"/>
    </row>
    <row r="3575" spans="13:13" x14ac:dyDescent="0.25">
      <c r="M3575" s="21"/>
    </row>
    <row r="3576" spans="13:13" x14ac:dyDescent="0.25">
      <c r="M3576" s="21"/>
    </row>
    <row r="3577" spans="13:13" x14ac:dyDescent="0.25">
      <c r="M3577" s="21"/>
    </row>
    <row r="3578" spans="13:13" x14ac:dyDescent="0.25">
      <c r="M3578" s="21"/>
    </row>
    <row r="3579" spans="13:13" x14ac:dyDescent="0.25">
      <c r="M3579" s="21"/>
    </row>
    <row r="3580" spans="13:13" x14ac:dyDescent="0.25">
      <c r="M3580" s="21"/>
    </row>
    <row r="3581" spans="13:13" x14ac:dyDescent="0.25">
      <c r="M3581" s="21"/>
    </row>
    <row r="3582" spans="13:13" x14ac:dyDescent="0.25">
      <c r="M3582" s="21"/>
    </row>
    <row r="3583" spans="13:13" x14ac:dyDescent="0.25">
      <c r="M3583" s="21"/>
    </row>
    <row r="3584" spans="13:13" x14ac:dyDescent="0.25">
      <c r="M3584" s="21"/>
    </row>
    <row r="3585" spans="13:13" x14ac:dyDescent="0.25">
      <c r="M3585" s="21"/>
    </row>
    <row r="3586" spans="13:13" x14ac:dyDescent="0.25">
      <c r="M3586" s="21"/>
    </row>
    <row r="3587" spans="13:13" x14ac:dyDescent="0.25">
      <c r="M3587" s="21"/>
    </row>
    <row r="3588" spans="13:13" x14ac:dyDescent="0.25">
      <c r="M3588" s="21"/>
    </row>
    <row r="3589" spans="13:13" x14ac:dyDescent="0.25">
      <c r="M3589" s="21"/>
    </row>
    <row r="3590" spans="13:13" x14ac:dyDescent="0.25">
      <c r="M3590" s="21"/>
    </row>
    <row r="3591" spans="13:13" x14ac:dyDescent="0.25">
      <c r="M3591" s="21"/>
    </row>
    <row r="3592" spans="13:13" x14ac:dyDescent="0.25">
      <c r="M3592" s="21"/>
    </row>
    <row r="3593" spans="13:13" x14ac:dyDescent="0.25">
      <c r="M3593" s="21"/>
    </row>
    <row r="3594" spans="13:13" x14ac:dyDescent="0.25">
      <c r="M3594" s="21"/>
    </row>
    <row r="3595" spans="13:13" x14ac:dyDescent="0.25">
      <c r="M3595" s="21"/>
    </row>
    <row r="3596" spans="13:13" x14ac:dyDescent="0.25">
      <c r="M3596" s="21"/>
    </row>
    <row r="3597" spans="13:13" x14ac:dyDescent="0.25">
      <c r="M3597" s="21"/>
    </row>
    <row r="3598" spans="13:13" x14ac:dyDescent="0.25">
      <c r="M3598" s="21"/>
    </row>
    <row r="3599" spans="13:13" x14ac:dyDescent="0.25">
      <c r="M3599" s="21"/>
    </row>
    <row r="3600" spans="13:13" x14ac:dyDescent="0.25">
      <c r="M3600" s="21"/>
    </row>
    <row r="3601" spans="13:13" x14ac:dyDescent="0.25">
      <c r="M3601" s="21"/>
    </row>
    <row r="3602" spans="13:13" x14ac:dyDescent="0.25">
      <c r="M3602" s="21"/>
    </row>
    <row r="3603" spans="13:13" x14ac:dyDescent="0.25">
      <c r="M3603" s="21"/>
    </row>
    <row r="3604" spans="13:13" x14ac:dyDescent="0.25">
      <c r="M3604" s="21"/>
    </row>
    <row r="3605" spans="13:13" x14ac:dyDescent="0.25">
      <c r="M3605" s="21"/>
    </row>
    <row r="3606" spans="13:13" x14ac:dyDescent="0.25">
      <c r="M3606" s="21"/>
    </row>
    <row r="3607" spans="13:13" x14ac:dyDescent="0.25">
      <c r="M3607" s="21"/>
    </row>
    <row r="3608" spans="13:13" x14ac:dyDescent="0.25">
      <c r="M3608" s="21"/>
    </row>
    <row r="3609" spans="13:13" x14ac:dyDescent="0.25">
      <c r="M3609" s="21"/>
    </row>
    <row r="3610" spans="13:13" x14ac:dyDescent="0.25">
      <c r="M3610" s="21"/>
    </row>
    <row r="3611" spans="13:13" x14ac:dyDescent="0.25">
      <c r="M3611" s="21"/>
    </row>
    <row r="3612" spans="13:13" x14ac:dyDescent="0.25">
      <c r="M3612" s="21"/>
    </row>
    <row r="3613" spans="13:13" x14ac:dyDescent="0.25">
      <c r="M3613" s="21"/>
    </row>
    <row r="3614" spans="13:13" x14ac:dyDescent="0.25">
      <c r="M3614" s="21"/>
    </row>
    <row r="3615" spans="13:13" x14ac:dyDescent="0.25">
      <c r="M3615" s="21"/>
    </row>
    <row r="3616" spans="13:13" x14ac:dyDescent="0.25">
      <c r="M3616" s="21"/>
    </row>
    <row r="3617" spans="13:13" x14ac:dyDescent="0.25">
      <c r="M3617" s="21"/>
    </row>
    <row r="3618" spans="13:13" x14ac:dyDescent="0.25">
      <c r="M3618" s="21"/>
    </row>
    <row r="3619" spans="13:13" x14ac:dyDescent="0.25">
      <c r="M3619" s="21"/>
    </row>
    <row r="3620" spans="13:13" x14ac:dyDescent="0.25">
      <c r="M3620" s="21"/>
    </row>
    <row r="3621" spans="13:13" x14ac:dyDescent="0.25">
      <c r="M3621" s="21"/>
    </row>
    <row r="3622" spans="13:13" x14ac:dyDescent="0.25">
      <c r="M3622" s="21"/>
    </row>
    <row r="3623" spans="13:13" x14ac:dyDescent="0.25">
      <c r="M3623" s="21"/>
    </row>
    <row r="3624" spans="13:13" x14ac:dyDescent="0.25">
      <c r="M3624" s="21"/>
    </row>
    <row r="3625" spans="13:13" x14ac:dyDescent="0.25">
      <c r="M3625" s="21"/>
    </row>
    <row r="3626" spans="13:13" x14ac:dyDescent="0.25">
      <c r="M3626" s="21"/>
    </row>
    <row r="3627" spans="13:13" x14ac:dyDescent="0.25">
      <c r="M3627" s="21"/>
    </row>
    <row r="3628" spans="13:13" x14ac:dyDescent="0.25">
      <c r="M3628" s="21"/>
    </row>
    <row r="3629" spans="13:13" x14ac:dyDescent="0.25">
      <c r="M3629" s="21"/>
    </row>
    <row r="3630" spans="13:13" x14ac:dyDescent="0.25">
      <c r="M3630" s="21"/>
    </row>
    <row r="3631" spans="13:13" x14ac:dyDescent="0.25">
      <c r="M3631" s="21"/>
    </row>
    <row r="3632" spans="13:13" x14ac:dyDescent="0.25">
      <c r="M3632" s="21"/>
    </row>
    <row r="3633" spans="13:13" x14ac:dyDescent="0.25">
      <c r="M3633" s="21"/>
    </row>
    <row r="3634" spans="13:13" x14ac:dyDescent="0.25">
      <c r="M3634" s="21"/>
    </row>
    <row r="3635" spans="13:13" x14ac:dyDescent="0.25">
      <c r="M3635" s="21"/>
    </row>
    <row r="3636" spans="13:13" x14ac:dyDescent="0.25">
      <c r="M3636" s="21"/>
    </row>
    <row r="3637" spans="13:13" x14ac:dyDescent="0.25">
      <c r="M3637" s="21"/>
    </row>
    <row r="3638" spans="13:13" x14ac:dyDescent="0.25">
      <c r="M3638" s="21"/>
    </row>
    <row r="3639" spans="13:13" x14ac:dyDescent="0.25">
      <c r="M3639" s="21"/>
    </row>
    <row r="3640" spans="13:13" x14ac:dyDescent="0.25">
      <c r="M3640" s="21"/>
    </row>
    <row r="3641" spans="13:13" x14ac:dyDescent="0.25">
      <c r="M3641" s="21"/>
    </row>
    <row r="3642" spans="13:13" x14ac:dyDescent="0.25">
      <c r="M3642" s="21"/>
    </row>
    <row r="3643" spans="13:13" x14ac:dyDescent="0.25">
      <c r="M3643" s="21"/>
    </row>
    <row r="3644" spans="13:13" x14ac:dyDescent="0.25">
      <c r="M3644" s="21"/>
    </row>
    <row r="3645" spans="13:13" x14ac:dyDescent="0.25">
      <c r="M3645" s="21"/>
    </row>
    <row r="3646" spans="13:13" x14ac:dyDescent="0.25">
      <c r="M3646" s="21"/>
    </row>
    <row r="3647" spans="13:13" x14ac:dyDescent="0.25">
      <c r="M3647" s="21"/>
    </row>
    <row r="3648" spans="13:13" x14ac:dyDescent="0.25">
      <c r="M3648" s="21"/>
    </row>
    <row r="3649" spans="13:13" x14ac:dyDescent="0.25">
      <c r="M3649" s="21"/>
    </row>
    <row r="3650" spans="13:13" x14ac:dyDescent="0.25">
      <c r="M3650" s="21"/>
    </row>
    <row r="3651" spans="13:13" x14ac:dyDescent="0.25">
      <c r="M3651" s="21"/>
    </row>
    <row r="3652" spans="13:13" x14ac:dyDescent="0.25">
      <c r="M3652" s="21"/>
    </row>
    <row r="3653" spans="13:13" x14ac:dyDescent="0.25">
      <c r="M3653" s="21"/>
    </row>
    <row r="3654" spans="13:13" x14ac:dyDescent="0.25">
      <c r="M3654" s="21"/>
    </row>
    <row r="3655" spans="13:13" x14ac:dyDescent="0.25">
      <c r="M3655" s="21"/>
    </row>
    <row r="3656" spans="13:13" x14ac:dyDescent="0.25">
      <c r="M3656" s="21"/>
    </row>
    <row r="3657" spans="13:13" x14ac:dyDescent="0.25">
      <c r="M3657" s="21"/>
    </row>
    <row r="3658" spans="13:13" x14ac:dyDescent="0.25">
      <c r="M3658" s="21"/>
    </row>
    <row r="3659" spans="13:13" x14ac:dyDescent="0.25">
      <c r="M3659" s="21"/>
    </row>
    <row r="3660" spans="13:13" x14ac:dyDescent="0.25">
      <c r="M3660" s="21"/>
    </row>
    <row r="3661" spans="13:13" x14ac:dyDescent="0.25">
      <c r="M3661" s="21"/>
    </row>
    <row r="3662" spans="13:13" x14ac:dyDescent="0.25">
      <c r="M3662" s="21"/>
    </row>
    <row r="3663" spans="13:13" x14ac:dyDescent="0.25">
      <c r="M3663" s="21"/>
    </row>
    <row r="3664" spans="13:13" x14ac:dyDescent="0.25">
      <c r="M3664" s="21"/>
    </row>
    <row r="3665" spans="13:13" x14ac:dyDescent="0.25">
      <c r="M3665" s="21"/>
    </row>
    <row r="3666" spans="13:13" x14ac:dyDescent="0.25">
      <c r="M3666" s="21"/>
    </row>
    <row r="3667" spans="13:13" x14ac:dyDescent="0.25">
      <c r="M3667" s="21"/>
    </row>
    <row r="3668" spans="13:13" x14ac:dyDescent="0.25">
      <c r="M3668" s="21"/>
    </row>
    <row r="3669" spans="13:13" x14ac:dyDescent="0.25">
      <c r="M3669" s="21"/>
    </row>
    <row r="3670" spans="13:13" x14ac:dyDescent="0.25">
      <c r="M3670" s="21"/>
    </row>
    <row r="3671" spans="13:13" x14ac:dyDescent="0.25">
      <c r="M3671" s="21"/>
    </row>
    <row r="3672" spans="13:13" x14ac:dyDescent="0.25">
      <c r="M3672" s="21"/>
    </row>
    <row r="3673" spans="13:13" x14ac:dyDescent="0.25">
      <c r="M3673" s="21"/>
    </row>
    <row r="3674" spans="13:13" x14ac:dyDescent="0.25">
      <c r="M3674" s="21"/>
    </row>
    <row r="3675" spans="13:13" x14ac:dyDescent="0.25">
      <c r="M3675" s="21"/>
    </row>
    <row r="3676" spans="13:13" x14ac:dyDescent="0.25">
      <c r="M3676" s="21"/>
    </row>
    <row r="3677" spans="13:13" x14ac:dyDescent="0.25">
      <c r="M3677" s="21"/>
    </row>
    <row r="3678" spans="13:13" x14ac:dyDescent="0.25">
      <c r="M3678" s="21"/>
    </row>
    <row r="3679" spans="13:13" x14ac:dyDescent="0.25">
      <c r="M3679" s="21"/>
    </row>
    <row r="3680" spans="13:13" x14ac:dyDescent="0.25">
      <c r="M3680" s="21"/>
    </row>
    <row r="3681" spans="13:13" x14ac:dyDescent="0.25">
      <c r="M3681" s="21"/>
    </row>
    <row r="3682" spans="13:13" x14ac:dyDescent="0.25">
      <c r="M3682" s="21"/>
    </row>
    <row r="3683" spans="13:13" x14ac:dyDescent="0.25">
      <c r="M3683" s="21"/>
    </row>
    <row r="3684" spans="13:13" x14ac:dyDescent="0.25">
      <c r="M3684" s="21"/>
    </row>
    <row r="3685" spans="13:13" x14ac:dyDescent="0.25">
      <c r="M3685" s="21"/>
    </row>
    <row r="3686" spans="13:13" x14ac:dyDescent="0.25">
      <c r="M3686" s="21"/>
    </row>
    <row r="3687" spans="13:13" x14ac:dyDescent="0.25">
      <c r="M3687" s="21"/>
    </row>
    <row r="3688" spans="13:13" x14ac:dyDescent="0.25">
      <c r="M3688" s="21"/>
    </row>
    <row r="3689" spans="13:13" x14ac:dyDescent="0.25">
      <c r="M3689" s="21"/>
    </row>
    <row r="3690" spans="13:13" x14ac:dyDescent="0.25">
      <c r="M3690" s="21"/>
    </row>
    <row r="3691" spans="13:13" x14ac:dyDescent="0.25">
      <c r="M3691" s="21"/>
    </row>
    <row r="3692" spans="13:13" x14ac:dyDescent="0.25">
      <c r="M3692" s="21"/>
    </row>
    <row r="3693" spans="13:13" x14ac:dyDescent="0.25">
      <c r="M3693" s="21"/>
    </row>
    <row r="3694" spans="13:13" x14ac:dyDescent="0.25">
      <c r="M3694" s="21"/>
    </row>
    <row r="3695" spans="13:13" x14ac:dyDescent="0.25">
      <c r="M3695" s="21"/>
    </row>
    <row r="3696" spans="13:13" x14ac:dyDescent="0.25">
      <c r="M3696" s="21"/>
    </row>
    <row r="3697" spans="13:13" x14ac:dyDescent="0.25">
      <c r="M3697" s="21"/>
    </row>
    <row r="3698" spans="13:13" x14ac:dyDescent="0.25">
      <c r="M3698" s="21"/>
    </row>
    <row r="3699" spans="13:13" x14ac:dyDescent="0.25">
      <c r="M3699" s="21"/>
    </row>
    <row r="3700" spans="13:13" x14ac:dyDescent="0.25">
      <c r="M3700" s="21"/>
    </row>
    <row r="3701" spans="13:13" x14ac:dyDescent="0.25">
      <c r="M3701" s="21"/>
    </row>
    <row r="3702" spans="13:13" x14ac:dyDescent="0.25">
      <c r="M3702" s="21"/>
    </row>
    <row r="3703" spans="13:13" x14ac:dyDescent="0.25">
      <c r="M3703" s="21"/>
    </row>
    <row r="3704" spans="13:13" x14ac:dyDescent="0.25">
      <c r="M3704" s="21"/>
    </row>
    <row r="3705" spans="13:13" x14ac:dyDescent="0.25">
      <c r="M3705" s="21"/>
    </row>
    <row r="3706" spans="13:13" x14ac:dyDescent="0.25">
      <c r="M3706" s="21"/>
    </row>
    <row r="3707" spans="13:13" x14ac:dyDescent="0.25">
      <c r="M3707" s="21"/>
    </row>
    <row r="3708" spans="13:13" x14ac:dyDescent="0.25">
      <c r="M3708" s="21"/>
    </row>
    <row r="3709" spans="13:13" x14ac:dyDescent="0.25">
      <c r="M3709" s="21"/>
    </row>
    <row r="3710" spans="13:13" x14ac:dyDescent="0.25">
      <c r="M3710" s="21"/>
    </row>
    <row r="3711" spans="13:13" x14ac:dyDescent="0.25">
      <c r="M3711" s="21"/>
    </row>
    <row r="3712" spans="13:13" x14ac:dyDescent="0.25">
      <c r="M3712" s="21"/>
    </row>
    <row r="3713" spans="13:13" x14ac:dyDescent="0.25">
      <c r="M3713" s="21"/>
    </row>
    <row r="3714" spans="13:13" x14ac:dyDescent="0.25">
      <c r="M3714" s="21"/>
    </row>
    <row r="3715" spans="13:13" x14ac:dyDescent="0.25">
      <c r="M3715" s="21"/>
    </row>
    <row r="3716" spans="13:13" x14ac:dyDescent="0.25">
      <c r="M3716" s="21"/>
    </row>
    <row r="3717" spans="13:13" x14ac:dyDescent="0.25">
      <c r="M3717" s="21"/>
    </row>
    <row r="3718" spans="13:13" x14ac:dyDescent="0.25">
      <c r="M3718" s="21"/>
    </row>
    <row r="3719" spans="13:13" x14ac:dyDescent="0.25">
      <c r="M3719" s="21"/>
    </row>
    <row r="3720" spans="13:13" x14ac:dyDescent="0.25">
      <c r="M3720" s="21"/>
    </row>
    <row r="3721" spans="13:13" x14ac:dyDescent="0.25">
      <c r="M3721" s="21"/>
    </row>
    <row r="3722" spans="13:13" x14ac:dyDescent="0.25">
      <c r="M3722" s="21"/>
    </row>
    <row r="3723" spans="13:13" x14ac:dyDescent="0.25">
      <c r="M3723" s="21"/>
    </row>
    <row r="3724" spans="13:13" x14ac:dyDescent="0.25">
      <c r="M3724" s="21"/>
    </row>
    <row r="3725" spans="13:13" x14ac:dyDescent="0.25">
      <c r="M3725" s="21"/>
    </row>
    <row r="3726" spans="13:13" x14ac:dyDescent="0.25">
      <c r="M3726" s="21"/>
    </row>
    <row r="3727" spans="13:13" x14ac:dyDescent="0.25">
      <c r="M3727" s="21"/>
    </row>
    <row r="3728" spans="13:13" x14ac:dyDescent="0.25">
      <c r="M3728" s="21"/>
    </row>
    <row r="3729" spans="13:13" x14ac:dyDescent="0.25">
      <c r="M3729" s="21"/>
    </row>
    <row r="3730" spans="13:13" x14ac:dyDescent="0.25">
      <c r="M3730" s="21"/>
    </row>
    <row r="3731" spans="13:13" x14ac:dyDescent="0.25">
      <c r="M3731" s="21"/>
    </row>
    <row r="3732" spans="13:13" x14ac:dyDescent="0.25">
      <c r="M3732" s="21"/>
    </row>
    <row r="3733" spans="13:13" x14ac:dyDescent="0.25">
      <c r="M3733" s="21"/>
    </row>
    <row r="3734" spans="13:13" x14ac:dyDescent="0.25">
      <c r="M3734" s="21"/>
    </row>
    <row r="3735" spans="13:13" x14ac:dyDescent="0.25">
      <c r="M3735" s="21"/>
    </row>
    <row r="3736" spans="13:13" x14ac:dyDescent="0.25">
      <c r="M3736" s="21"/>
    </row>
    <row r="3737" spans="13:13" x14ac:dyDescent="0.25">
      <c r="M3737" s="21"/>
    </row>
    <row r="3738" spans="13:13" x14ac:dyDescent="0.25">
      <c r="M3738" s="21"/>
    </row>
    <row r="3739" spans="13:13" x14ac:dyDescent="0.25">
      <c r="M3739" s="21"/>
    </row>
    <row r="3740" spans="13:13" x14ac:dyDescent="0.25">
      <c r="M3740" s="21"/>
    </row>
    <row r="3741" spans="13:13" x14ac:dyDescent="0.25">
      <c r="M3741" s="21"/>
    </row>
    <row r="3742" spans="13:13" x14ac:dyDescent="0.25">
      <c r="M3742" s="21"/>
    </row>
    <row r="3743" spans="13:13" x14ac:dyDescent="0.25">
      <c r="M3743" s="21"/>
    </row>
    <row r="3744" spans="13:13" x14ac:dyDescent="0.25">
      <c r="M3744" s="21"/>
    </row>
    <row r="3745" spans="13:13" x14ac:dyDescent="0.25">
      <c r="M3745" s="21"/>
    </row>
    <row r="3746" spans="13:13" x14ac:dyDescent="0.25">
      <c r="M3746" s="21"/>
    </row>
    <row r="3747" spans="13:13" x14ac:dyDescent="0.25">
      <c r="M3747" s="21"/>
    </row>
    <row r="3748" spans="13:13" x14ac:dyDescent="0.25">
      <c r="M3748" s="21"/>
    </row>
    <row r="3749" spans="13:13" x14ac:dyDescent="0.25">
      <c r="M3749" s="21"/>
    </row>
    <row r="3750" spans="13:13" x14ac:dyDescent="0.25">
      <c r="M3750" s="21"/>
    </row>
    <row r="3751" spans="13:13" x14ac:dyDescent="0.25">
      <c r="M3751" s="21"/>
    </row>
    <row r="3752" spans="13:13" x14ac:dyDescent="0.25">
      <c r="M3752" s="21"/>
    </row>
    <row r="3753" spans="13:13" x14ac:dyDescent="0.25">
      <c r="M3753" s="21"/>
    </row>
    <row r="3754" spans="13:13" x14ac:dyDescent="0.25">
      <c r="M3754" s="21"/>
    </row>
    <row r="3755" spans="13:13" x14ac:dyDescent="0.25">
      <c r="M3755" s="21"/>
    </row>
    <row r="3756" spans="13:13" x14ac:dyDescent="0.25">
      <c r="M3756" s="21"/>
    </row>
    <row r="3757" spans="13:13" x14ac:dyDescent="0.25">
      <c r="M3757" s="21"/>
    </row>
    <row r="3758" spans="13:13" x14ac:dyDescent="0.25">
      <c r="M3758" s="21"/>
    </row>
    <row r="3759" spans="13:13" x14ac:dyDescent="0.25">
      <c r="M3759" s="21"/>
    </row>
    <row r="3760" spans="13:13" x14ac:dyDescent="0.25">
      <c r="M3760" s="21"/>
    </row>
    <row r="3761" spans="13:13" x14ac:dyDescent="0.25">
      <c r="M3761" s="21"/>
    </row>
    <row r="3762" spans="13:13" x14ac:dyDescent="0.25">
      <c r="M3762" s="21"/>
    </row>
    <row r="3763" spans="13:13" x14ac:dyDescent="0.25">
      <c r="M3763" s="21"/>
    </row>
    <row r="3764" spans="13:13" x14ac:dyDescent="0.25">
      <c r="M3764" s="21"/>
    </row>
    <row r="3765" spans="13:13" x14ac:dyDescent="0.25">
      <c r="M3765" s="21"/>
    </row>
    <row r="3766" spans="13:13" x14ac:dyDescent="0.25">
      <c r="M3766" s="21"/>
    </row>
    <row r="3767" spans="13:13" x14ac:dyDescent="0.25">
      <c r="M3767" s="21"/>
    </row>
    <row r="3768" spans="13:13" x14ac:dyDescent="0.25">
      <c r="M3768" s="21"/>
    </row>
    <row r="3769" spans="13:13" x14ac:dyDescent="0.25">
      <c r="M3769" s="21"/>
    </row>
    <row r="3770" spans="13:13" x14ac:dyDescent="0.25">
      <c r="M3770" s="21"/>
    </row>
    <row r="3771" spans="13:13" x14ac:dyDescent="0.25">
      <c r="M3771" s="21"/>
    </row>
    <row r="3772" spans="13:13" x14ac:dyDescent="0.25">
      <c r="M3772" s="21"/>
    </row>
    <row r="3773" spans="13:13" x14ac:dyDescent="0.25">
      <c r="M3773" s="21"/>
    </row>
    <row r="3774" spans="13:13" x14ac:dyDescent="0.25">
      <c r="M3774" s="21"/>
    </row>
    <row r="3775" spans="13:13" x14ac:dyDescent="0.25">
      <c r="M3775" s="21"/>
    </row>
    <row r="3776" spans="13:13" x14ac:dyDescent="0.25">
      <c r="M3776" s="21"/>
    </row>
    <row r="3777" spans="13:13" x14ac:dyDescent="0.25">
      <c r="M3777" s="21"/>
    </row>
    <row r="3778" spans="13:13" x14ac:dyDescent="0.25">
      <c r="M3778" s="21"/>
    </row>
    <row r="3779" spans="13:13" x14ac:dyDescent="0.25">
      <c r="M3779" s="21"/>
    </row>
    <row r="3780" spans="13:13" x14ac:dyDescent="0.25">
      <c r="M3780" s="21"/>
    </row>
    <row r="3781" spans="13:13" x14ac:dyDescent="0.25">
      <c r="M3781" s="21"/>
    </row>
    <row r="3782" spans="13:13" x14ac:dyDescent="0.25">
      <c r="M3782" s="21"/>
    </row>
    <row r="3783" spans="13:13" x14ac:dyDescent="0.25">
      <c r="M3783" s="21"/>
    </row>
    <row r="3784" spans="13:13" x14ac:dyDescent="0.25">
      <c r="M3784" s="21"/>
    </row>
    <row r="3785" spans="13:13" x14ac:dyDescent="0.25">
      <c r="M3785" s="21"/>
    </row>
    <row r="3786" spans="13:13" x14ac:dyDescent="0.25">
      <c r="M3786" s="21"/>
    </row>
    <row r="3787" spans="13:13" x14ac:dyDescent="0.25">
      <c r="M3787" s="21"/>
    </row>
    <row r="3788" spans="13:13" x14ac:dyDescent="0.25">
      <c r="M3788" s="21"/>
    </row>
    <row r="3789" spans="13:13" x14ac:dyDescent="0.25">
      <c r="M3789" s="21"/>
    </row>
    <row r="3790" spans="13:13" x14ac:dyDescent="0.25">
      <c r="M3790" s="21"/>
    </row>
    <row r="3791" spans="13:13" x14ac:dyDescent="0.25">
      <c r="M3791" s="21"/>
    </row>
    <row r="3792" spans="13:13" x14ac:dyDescent="0.25">
      <c r="M3792" s="21"/>
    </row>
    <row r="3793" spans="13:13" x14ac:dyDescent="0.25">
      <c r="M3793" s="21"/>
    </row>
    <row r="3794" spans="13:13" x14ac:dyDescent="0.25">
      <c r="M3794" s="21"/>
    </row>
    <row r="3795" spans="13:13" x14ac:dyDescent="0.25">
      <c r="M3795" s="21"/>
    </row>
    <row r="3796" spans="13:13" x14ac:dyDescent="0.25">
      <c r="M3796" s="21"/>
    </row>
    <row r="3797" spans="13:13" x14ac:dyDescent="0.25">
      <c r="M3797" s="21"/>
    </row>
    <row r="3798" spans="13:13" x14ac:dyDescent="0.25">
      <c r="M3798" s="21"/>
    </row>
    <row r="3799" spans="13:13" x14ac:dyDescent="0.25">
      <c r="M3799" s="21"/>
    </row>
    <row r="3800" spans="13:13" x14ac:dyDescent="0.25">
      <c r="M3800" s="21"/>
    </row>
    <row r="3801" spans="13:13" x14ac:dyDescent="0.25">
      <c r="M3801" s="21"/>
    </row>
    <row r="3802" spans="13:13" x14ac:dyDescent="0.25">
      <c r="M3802" s="21"/>
    </row>
    <row r="3803" spans="13:13" x14ac:dyDescent="0.25">
      <c r="M3803" s="21"/>
    </row>
    <row r="3804" spans="13:13" x14ac:dyDescent="0.25">
      <c r="M3804" s="21"/>
    </row>
    <row r="3805" spans="13:13" x14ac:dyDescent="0.25">
      <c r="M3805" s="21"/>
    </row>
    <row r="3806" spans="13:13" x14ac:dyDescent="0.25">
      <c r="M3806" s="21"/>
    </row>
    <row r="3807" spans="13:13" x14ac:dyDescent="0.25">
      <c r="M3807" s="21"/>
    </row>
    <row r="3808" spans="13:13" x14ac:dyDescent="0.25">
      <c r="M3808" s="21"/>
    </row>
    <row r="3809" spans="13:13" x14ac:dyDescent="0.25">
      <c r="M3809" s="21"/>
    </row>
    <row r="3810" spans="13:13" x14ac:dyDescent="0.25">
      <c r="M3810" s="21"/>
    </row>
    <row r="3811" spans="13:13" x14ac:dyDescent="0.25">
      <c r="M3811" s="21"/>
    </row>
    <row r="3812" spans="13:13" x14ac:dyDescent="0.25">
      <c r="M3812" s="21"/>
    </row>
    <row r="3813" spans="13:13" x14ac:dyDescent="0.25">
      <c r="M3813" s="21"/>
    </row>
    <row r="3814" spans="13:13" x14ac:dyDescent="0.25">
      <c r="M3814" s="21"/>
    </row>
    <row r="3815" spans="13:13" x14ac:dyDescent="0.25">
      <c r="M3815" s="21"/>
    </row>
    <row r="3816" spans="13:13" x14ac:dyDescent="0.25">
      <c r="M3816" s="21"/>
    </row>
    <row r="3817" spans="13:13" x14ac:dyDescent="0.25">
      <c r="M3817" s="21"/>
    </row>
    <row r="3818" spans="13:13" x14ac:dyDescent="0.25">
      <c r="M3818" s="21"/>
    </row>
    <row r="3819" spans="13:13" x14ac:dyDescent="0.25">
      <c r="M3819" s="21"/>
    </row>
    <row r="3820" spans="13:13" x14ac:dyDescent="0.25">
      <c r="M3820" s="21"/>
    </row>
    <row r="3821" spans="13:13" x14ac:dyDescent="0.25">
      <c r="M3821" s="21"/>
    </row>
    <row r="3822" spans="13:13" x14ac:dyDescent="0.25">
      <c r="M3822" s="21"/>
    </row>
    <row r="3823" spans="13:13" x14ac:dyDescent="0.25">
      <c r="M3823" s="21"/>
    </row>
    <row r="3824" spans="13:13" x14ac:dyDescent="0.25">
      <c r="M3824" s="21"/>
    </row>
    <row r="3825" spans="13:13" x14ac:dyDescent="0.25">
      <c r="M3825" s="21"/>
    </row>
    <row r="3826" spans="13:13" x14ac:dyDescent="0.25">
      <c r="M3826" s="21"/>
    </row>
    <row r="3827" spans="13:13" x14ac:dyDescent="0.25">
      <c r="M3827" s="21"/>
    </row>
    <row r="3828" spans="13:13" x14ac:dyDescent="0.25">
      <c r="M3828" s="21"/>
    </row>
    <row r="3829" spans="13:13" x14ac:dyDescent="0.25">
      <c r="M3829" s="21"/>
    </row>
    <row r="3830" spans="13:13" x14ac:dyDescent="0.25">
      <c r="M3830" s="21"/>
    </row>
    <row r="3831" spans="13:13" x14ac:dyDescent="0.25">
      <c r="M3831" s="21"/>
    </row>
    <row r="3832" spans="13:13" x14ac:dyDescent="0.25">
      <c r="M3832" s="21"/>
    </row>
    <row r="3833" spans="13:13" x14ac:dyDescent="0.25">
      <c r="M3833" s="21"/>
    </row>
    <row r="3834" spans="13:13" x14ac:dyDescent="0.25">
      <c r="M3834" s="21"/>
    </row>
    <row r="3835" spans="13:13" x14ac:dyDescent="0.25">
      <c r="M3835" s="21"/>
    </row>
    <row r="3836" spans="13:13" x14ac:dyDescent="0.25">
      <c r="M3836" s="21"/>
    </row>
    <row r="3837" spans="13:13" x14ac:dyDescent="0.25">
      <c r="M3837" s="21"/>
    </row>
    <row r="3838" spans="13:13" x14ac:dyDescent="0.25">
      <c r="M3838" s="21"/>
    </row>
    <row r="3839" spans="13:13" x14ac:dyDescent="0.25">
      <c r="M3839" s="21"/>
    </row>
    <row r="3840" spans="13:13" x14ac:dyDescent="0.25">
      <c r="M3840" s="21"/>
    </row>
    <row r="3841" spans="13:13" x14ac:dyDescent="0.25">
      <c r="M3841" s="21"/>
    </row>
    <row r="3842" spans="13:13" x14ac:dyDescent="0.25">
      <c r="M3842" s="21"/>
    </row>
    <row r="3843" spans="13:13" x14ac:dyDescent="0.25">
      <c r="M3843" s="21"/>
    </row>
    <row r="3844" spans="13:13" x14ac:dyDescent="0.25">
      <c r="M3844" s="21"/>
    </row>
    <row r="3845" spans="13:13" x14ac:dyDescent="0.25">
      <c r="M3845" s="21"/>
    </row>
    <row r="3846" spans="13:13" x14ac:dyDescent="0.25">
      <c r="M3846" s="21"/>
    </row>
    <row r="3847" spans="13:13" x14ac:dyDescent="0.25">
      <c r="M3847" s="21"/>
    </row>
    <row r="3848" spans="13:13" x14ac:dyDescent="0.25">
      <c r="M3848" s="21"/>
    </row>
    <row r="3849" spans="13:13" x14ac:dyDescent="0.25">
      <c r="M3849" s="21"/>
    </row>
    <row r="3850" spans="13:13" x14ac:dyDescent="0.25">
      <c r="M3850" s="21"/>
    </row>
    <row r="3851" spans="13:13" x14ac:dyDescent="0.25">
      <c r="M3851" s="21"/>
    </row>
    <row r="3852" spans="13:13" x14ac:dyDescent="0.25">
      <c r="M3852" s="21"/>
    </row>
    <row r="3853" spans="13:13" x14ac:dyDescent="0.25">
      <c r="M3853" s="21"/>
    </row>
    <row r="3854" spans="13:13" x14ac:dyDescent="0.25">
      <c r="M3854" s="21"/>
    </row>
    <row r="3855" spans="13:13" x14ac:dyDescent="0.25">
      <c r="M3855" s="21"/>
    </row>
    <row r="3856" spans="13:13" x14ac:dyDescent="0.25">
      <c r="M3856" s="21"/>
    </row>
    <row r="3857" spans="13:13" x14ac:dyDescent="0.25">
      <c r="M3857" s="21"/>
    </row>
    <row r="3858" spans="13:13" x14ac:dyDescent="0.25">
      <c r="M3858" s="21"/>
    </row>
    <row r="3859" spans="13:13" x14ac:dyDescent="0.25">
      <c r="M3859" s="21"/>
    </row>
    <row r="3860" spans="13:13" x14ac:dyDescent="0.25">
      <c r="M3860" s="21"/>
    </row>
    <row r="3861" spans="13:13" x14ac:dyDescent="0.25">
      <c r="M3861" s="21"/>
    </row>
    <row r="3862" spans="13:13" x14ac:dyDescent="0.25">
      <c r="M3862" s="21"/>
    </row>
    <row r="3863" spans="13:13" x14ac:dyDescent="0.25">
      <c r="M3863" s="21"/>
    </row>
    <row r="3864" spans="13:13" x14ac:dyDescent="0.25">
      <c r="M3864" s="21"/>
    </row>
    <row r="3865" spans="13:13" x14ac:dyDescent="0.25">
      <c r="M3865" s="21"/>
    </row>
    <row r="3866" spans="13:13" x14ac:dyDescent="0.25">
      <c r="M3866" s="21"/>
    </row>
    <row r="3867" spans="13:13" x14ac:dyDescent="0.25">
      <c r="M3867" s="21"/>
    </row>
    <row r="3868" spans="13:13" x14ac:dyDescent="0.25">
      <c r="M3868" s="21"/>
    </row>
    <row r="3869" spans="13:13" x14ac:dyDescent="0.25">
      <c r="M3869" s="21"/>
    </row>
    <row r="3870" spans="13:13" x14ac:dyDescent="0.25">
      <c r="M3870" s="21"/>
    </row>
    <row r="3871" spans="13:13" x14ac:dyDescent="0.25">
      <c r="M3871" s="21"/>
    </row>
    <row r="3872" spans="13:13" x14ac:dyDescent="0.25">
      <c r="M3872" s="21"/>
    </row>
    <row r="3873" spans="13:13" x14ac:dyDescent="0.25">
      <c r="M3873" s="21"/>
    </row>
    <row r="3874" spans="13:13" x14ac:dyDescent="0.25">
      <c r="M3874" s="21"/>
    </row>
    <row r="3875" spans="13:13" x14ac:dyDescent="0.25">
      <c r="M3875" s="21"/>
    </row>
    <row r="3876" spans="13:13" x14ac:dyDescent="0.25">
      <c r="M3876" s="21"/>
    </row>
    <row r="3877" spans="13:13" x14ac:dyDescent="0.25">
      <c r="M3877" s="21"/>
    </row>
    <row r="3878" spans="13:13" x14ac:dyDescent="0.25">
      <c r="M3878" s="21"/>
    </row>
    <row r="3879" spans="13:13" x14ac:dyDescent="0.25">
      <c r="M3879" s="21"/>
    </row>
    <row r="3880" spans="13:13" x14ac:dyDescent="0.25">
      <c r="M3880" s="21"/>
    </row>
    <row r="3881" spans="13:13" x14ac:dyDescent="0.25">
      <c r="M3881" s="21"/>
    </row>
    <row r="3882" spans="13:13" x14ac:dyDescent="0.25">
      <c r="M3882" s="21"/>
    </row>
    <row r="3883" spans="13:13" x14ac:dyDescent="0.25">
      <c r="M3883" s="21"/>
    </row>
    <row r="3884" spans="13:13" x14ac:dyDescent="0.25">
      <c r="M3884" s="21"/>
    </row>
    <row r="3885" spans="13:13" x14ac:dyDescent="0.25">
      <c r="M3885" s="21"/>
    </row>
    <row r="3886" spans="13:13" x14ac:dyDescent="0.25">
      <c r="M3886" s="21"/>
    </row>
    <row r="3887" spans="13:13" x14ac:dyDescent="0.25">
      <c r="M3887" s="21"/>
    </row>
    <row r="3888" spans="13:13" x14ac:dyDescent="0.25">
      <c r="M3888" s="21"/>
    </row>
    <row r="3889" spans="13:13" x14ac:dyDescent="0.25">
      <c r="M3889" s="21"/>
    </row>
    <row r="3890" spans="13:13" x14ac:dyDescent="0.25">
      <c r="M3890" s="21"/>
    </row>
    <row r="3891" spans="13:13" x14ac:dyDescent="0.25">
      <c r="M3891" s="21"/>
    </row>
    <row r="3892" spans="13:13" x14ac:dyDescent="0.25">
      <c r="M3892" s="21"/>
    </row>
    <row r="3893" spans="13:13" x14ac:dyDescent="0.25">
      <c r="M3893" s="21"/>
    </row>
    <row r="3894" spans="13:13" x14ac:dyDescent="0.25">
      <c r="M3894" s="21"/>
    </row>
    <row r="3895" spans="13:13" x14ac:dyDescent="0.25">
      <c r="M3895" s="21"/>
    </row>
    <row r="3896" spans="13:13" x14ac:dyDescent="0.25">
      <c r="M3896" s="21"/>
    </row>
    <row r="3897" spans="13:13" x14ac:dyDescent="0.25">
      <c r="M3897" s="21"/>
    </row>
    <row r="3898" spans="13:13" x14ac:dyDescent="0.25">
      <c r="M3898" s="21"/>
    </row>
    <row r="3899" spans="13:13" x14ac:dyDescent="0.25">
      <c r="M3899" s="21"/>
    </row>
    <row r="3900" spans="13:13" x14ac:dyDescent="0.25">
      <c r="M3900" s="21"/>
    </row>
    <row r="3901" spans="13:13" x14ac:dyDescent="0.25">
      <c r="M3901" s="21"/>
    </row>
    <row r="3902" spans="13:13" x14ac:dyDescent="0.25">
      <c r="M3902" s="21"/>
    </row>
    <row r="3903" spans="13:13" x14ac:dyDescent="0.25">
      <c r="M3903" s="21"/>
    </row>
    <row r="3904" spans="13:13" x14ac:dyDescent="0.25">
      <c r="M3904" s="21"/>
    </row>
    <row r="3905" spans="13:13" x14ac:dyDescent="0.25">
      <c r="M3905" s="21"/>
    </row>
    <row r="3906" spans="13:13" x14ac:dyDescent="0.25">
      <c r="M3906" s="21"/>
    </row>
    <row r="3907" spans="13:13" x14ac:dyDescent="0.25">
      <c r="M3907" s="21"/>
    </row>
    <row r="3908" spans="13:13" x14ac:dyDescent="0.25">
      <c r="M3908" s="21"/>
    </row>
    <row r="3909" spans="13:13" x14ac:dyDescent="0.25">
      <c r="M3909" s="21"/>
    </row>
    <row r="3910" spans="13:13" x14ac:dyDescent="0.25">
      <c r="M3910" s="21"/>
    </row>
    <row r="3911" spans="13:13" x14ac:dyDescent="0.25">
      <c r="M3911" s="21"/>
    </row>
    <row r="3912" spans="13:13" x14ac:dyDescent="0.25">
      <c r="M3912" s="21"/>
    </row>
    <row r="3913" spans="13:13" x14ac:dyDescent="0.25">
      <c r="M3913" s="21"/>
    </row>
    <row r="3914" spans="13:13" x14ac:dyDescent="0.25">
      <c r="M3914" s="21"/>
    </row>
    <row r="3915" spans="13:13" x14ac:dyDescent="0.25">
      <c r="M3915" s="21"/>
    </row>
    <row r="3916" spans="13:13" x14ac:dyDescent="0.25">
      <c r="M3916" s="21"/>
    </row>
    <row r="3917" spans="13:13" x14ac:dyDescent="0.25">
      <c r="M3917" s="21"/>
    </row>
    <row r="3918" spans="13:13" x14ac:dyDescent="0.25">
      <c r="M3918" s="21"/>
    </row>
    <row r="3919" spans="13:13" x14ac:dyDescent="0.25">
      <c r="M3919" s="21"/>
    </row>
    <row r="3920" spans="13:13" x14ac:dyDescent="0.25">
      <c r="M3920" s="21"/>
    </row>
    <row r="3921" spans="13:13" x14ac:dyDescent="0.25">
      <c r="M3921" s="21"/>
    </row>
    <row r="3922" spans="13:13" x14ac:dyDescent="0.25">
      <c r="M3922" s="21"/>
    </row>
    <row r="3923" spans="13:13" x14ac:dyDescent="0.25">
      <c r="M3923" s="21"/>
    </row>
    <row r="3924" spans="13:13" x14ac:dyDescent="0.25">
      <c r="M3924" s="21"/>
    </row>
    <row r="3925" spans="13:13" x14ac:dyDescent="0.25">
      <c r="M3925" s="21"/>
    </row>
    <row r="3926" spans="13:13" x14ac:dyDescent="0.25">
      <c r="M3926" s="21"/>
    </row>
    <row r="3927" spans="13:13" x14ac:dyDescent="0.25">
      <c r="M3927" s="21"/>
    </row>
    <row r="3928" spans="13:13" x14ac:dyDescent="0.25">
      <c r="M3928" s="21"/>
    </row>
    <row r="3929" spans="13:13" x14ac:dyDescent="0.25">
      <c r="M3929" s="21"/>
    </row>
    <row r="3930" spans="13:13" x14ac:dyDescent="0.25">
      <c r="M3930" s="21"/>
    </row>
    <row r="3931" spans="13:13" x14ac:dyDescent="0.25">
      <c r="M3931" s="21"/>
    </row>
    <row r="3932" spans="13:13" x14ac:dyDescent="0.25">
      <c r="M3932" s="21"/>
    </row>
    <row r="3933" spans="13:13" x14ac:dyDescent="0.25">
      <c r="M3933" s="21"/>
    </row>
    <row r="3934" spans="13:13" x14ac:dyDescent="0.25">
      <c r="M3934" s="21"/>
    </row>
    <row r="3935" spans="13:13" x14ac:dyDescent="0.25">
      <c r="M3935" s="21"/>
    </row>
    <row r="3936" spans="13:13" x14ac:dyDescent="0.25">
      <c r="M3936" s="21"/>
    </row>
    <row r="3937" spans="13:13" x14ac:dyDescent="0.25">
      <c r="M3937" s="21"/>
    </row>
    <row r="3938" spans="13:13" x14ac:dyDescent="0.25">
      <c r="M3938" s="21"/>
    </row>
    <row r="3939" spans="13:13" x14ac:dyDescent="0.25">
      <c r="M3939" s="21"/>
    </row>
    <row r="3940" spans="13:13" x14ac:dyDescent="0.25">
      <c r="M3940" s="21"/>
    </row>
    <row r="3941" spans="13:13" x14ac:dyDescent="0.25">
      <c r="M3941" s="21"/>
    </row>
    <row r="3942" spans="13:13" x14ac:dyDescent="0.25">
      <c r="M3942" s="21"/>
    </row>
    <row r="3943" spans="13:13" x14ac:dyDescent="0.25">
      <c r="M3943" s="21"/>
    </row>
    <row r="3944" spans="13:13" x14ac:dyDescent="0.25">
      <c r="M3944" s="21"/>
    </row>
    <row r="3945" spans="13:13" x14ac:dyDescent="0.25">
      <c r="M3945" s="21"/>
    </row>
    <row r="3946" spans="13:13" x14ac:dyDescent="0.25">
      <c r="M3946" s="21"/>
    </row>
    <row r="3947" spans="13:13" x14ac:dyDescent="0.25">
      <c r="M3947" s="21"/>
    </row>
    <row r="3948" spans="13:13" x14ac:dyDescent="0.25">
      <c r="M3948" s="21"/>
    </row>
    <row r="3949" spans="13:13" x14ac:dyDescent="0.25">
      <c r="M3949" s="21"/>
    </row>
    <row r="3950" spans="13:13" x14ac:dyDescent="0.25">
      <c r="M3950" s="21"/>
    </row>
    <row r="3951" spans="13:13" x14ac:dyDescent="0.25">
      <c r="M3951" s="21"/>
    </row>
    <row r="3952" spans="13:13" x14ac:dyDescent="0.25">
      <c r="M3952" s="21"/>
    </row>
    <row r="3953" spans="13:13" x14ac:dyDescent="0.25">
      <c r="M3953" s="21"/>
    </row>
    <row r="3954" spans="13:13" x14ac:dyDescent="0.25">
      <c r="M3954" s="21"/>
    </row>
    <row r="3955" spans="13:13" x14ac:dyDescent="0.25">
      <c r="M3955" s="21"/>
    </row>
    <row r="3956" spans="13:13" x14ac:dyDescent="0.25">
      <c r="M3956" s="21"/>
    </row>
    <row r="3957" spans="13:13" x14ac:dyDescent="0.25">
      <c r="M3957" s="21"/>
    </row>
    <row r="3958" spans="13:13" x14ac:dyDescent="0.25">
      <c r="M3958" s="21"/>
    </row>
    <row r="3959" spans="13:13" x14ac:dyDescent="0.25">
      <c r="M3959" s="21"/>
    </row>
    <row r="3960" spans="13:13" x14ac:dyDescent="0.25">
      <c r="M3960" s="21"/>
    </row>
    <row r="3961" spans="13:13" x14ac:dyDescent="0.25">
      <c r="M3961" s="21"/>
    </row>
    <row r="3962" spans="13:13" x14ac:dyDescent="0.25">
      <c r="M3962" s="21"/>
    </row>
    <row r="3963" spans="13:13" x14ac:dyDescent="0.25">
      <c r="M3963" s="21"/>
    </row>
    <row r="3964" spans="13:13" x14ac:dyDescent="0.25">
      <c r="M3964" s="21"/>
    </row>
    <row r="3965" spans="13:13" x14ac:dyDescent="0.25">
      <c r="M3965" s="21"/>
    </row>
    <row r="3966" spans="13:13" x14ac:dyDescent="0.25">
      <c r="M3966" s="21"/>
    </row>
    <row r="3967" spans="13:13" x14ac:dyDescent="0.25">
      <c r="M3967" s="21"/>
    </row>
    <row r="3968" spans="13:13" x14ac:dyDescent="0.25">
      <c r="M3968" s="21"/>
    </row>
    <row r="3969" spans="13:13" x14ac:dyDescent="0.25">
      <c r="M3969" s="21"/>
    </row>
    <row r="3970" spans="13:13" x14ac:dyDescent="0.25">
      <c r="M3970" s="21"/>
    </row>
    <row r="3971" spans="13:13" x14ac:dyDescent="0.25">
      <c r="M3971" s="21"/>
    </row>
    <row r="3972" spans="13:13" x14ac:dyDescent="0.25">
      <c r="M3972" s="21"/>
    </row>
    <row r="3973" spans="13:13" x14ac:dyDescent="0.25">
      <c r="M3973" s="21"/>
    </row>
    <row r="3974" spans="13:13" x14ac:dyDescent="0.25">
      <c r="M3974" s="21"/>
    </row>
    <row r="3975" spans="13:13" x14ac:dyDescent="0.25">
      <c r="M3975" s="21"/>
    </row>
    <row r="3976" spans="13:13" x14ac:dyDescent="0.25">
      <c r="M3976" s="21"/>
    </row>
    <row r="3977" spans="13:13" x14ac:dyDescent="0.25">
      <c r="M3977" s="21"/>
    </row>
    <row r="3978" spans="13:13" x14ac:dyDescent="0.25">
      <c r="M3978" s="21"/>
    </row>
    <row r="3979" spans="13:13" x14ac:dyDescent="0.25">
      <c r="M3979" s="21"/>
    </row>
    <row r="3980" spans="13:13" x14ac:dyDescent="0.25">
      <c r="M3980" s="21"/>
    </row>
    <row r="3981" spans="13:13" x14ac:dyDescent="0.25">
      <c r="M3981" s="21"/>
    </row>
    <row r="3982" spans="13:13" x14ac:dyDescent="0.25">
      <c r="M3982" s="21"/>
    </row>
    <row r="3983" spans="13:13" x14ac:dyDescent="0.25">
      <c r="M3983" s="21"/>
    </row>
    <row r="3984" spans="13:13" x14ac:dyDescent="0.25">
      <c r="M3984" s="21"/>
    </row>
    <row r="3985" spans="13:13" x14ac:dyDescent="0.25">
      <c r="M3985" s="21"/>
    </row>
    <row r="3986" spans="13:13" x14ac:dyDescent="0.25">
      <c r="M3986" s="21"/>
    </row>
    <row r="3987" spans="13:13" x14ac:dyDescent="0.25">
      <c r="M3987" s="21"/>
    </row>
    <row r="3988" spans="13:13" x14ac:dyDescent="0.25">
      <c r="M3988" s="21"/>
    </row>
    <row r="3989" spans="13:13" x14ac:dyDescent="0.25">
      <c r="M3989" s="21"/>
    </row>
    <row r="3990" spans="13:13" x14ac:dyDescent="0.25">
      <c r="M3990" s="21"/>
    </row>
    <row r="3991" spans="13:13" x14ac:dyDescent="0.25">
      <c r="M3991" s="21"/>
    </row>
    <row r="3992" spans="13:13" x14ac:dyDescent="0.25">
      <c r="M3992" s="21"/>
    </row>
    <row r="3993" spans="13:13" x14ac:dyDescent="0.25">
      <c r="M3993" s="21"/>
    </row>
    <row r="3994" spans="13:13" x14ac:dyDescent="0.25">
      <c r="M3994" s="21"/>
    </row>
    <row r="3995" spans="13:13" x14ac:dyDescent="0.25">
      <c r="M3995" s="21"/>
    </row>
    <row r="3996" spans="13:13" x14ac:dyDescent="0.25">
      <c r="M3996" s="21"/>
    </row>
    <row r="3997" spans="13:13" x14ac:dyDescent="0.25">
      <c r="M3997" s="21"/>
    </row>
    <row r="3998" spans="13:13" x14ac:dyDescent="0.25">
      <c r="M3998" s="21"/>
    </row>
    <row r="3999" spans="13:13" x14ac:dyDescent="0.25">
      <c r="M3999" s="21"/>
    </row>
    <row r="4000" spans="13:13" x14ac:dyDescent="0.25">
      <c r="M4000" s="21"/>
    </row>
    <row r="4001" spans="13:13" x14ac:dyDescent="0.25">
      <c r="M4001" s="21"/>
    </row>
    <row r="4002" spans="13:13" x14ac:dyDescent="0.25">
      <c r="M4002" s="21"/>
    </row>
    <row r="4003" spans="13:13" x14ac:dyDescent="0.25">
      <c r="M4003" s="21"/>
    </row>
    <row r="4004" spans="13:13" x14ac:dyDescent="0.25">
      <c r="M4004" s="21"/>
    </row>
    <row r="4005" spans="13:13" x14ac:dyDescent="0.25">
      <c r="M4005" s="21"/>
    </row>
    <row r="4006" spans="13:13" x14ac:dyDescent="0.25">
      <c r="M4006" s="21"/>
    </row>
    <row r="4007" spans="13:13" x14ac:dyDescent="0.25">
      <c r="M4007" s="21"/>
    </row>
    <row r="4008" spans="13:13" x14ac:dyDescent="0.25">
      <c r="M4008" s="21"/>
    </row>
    <row r="4009" spans="13:13" x14ac:dyDescent="0.25">
      <c r="M4009" s="21"/>
    </row>
    <row r="4010" spans="13:13" x14ac:dyDescent="0.25">
      <c r="M4010" s="21"/>
    </row>
    <row r="4011" spans="13:13" x14ac:dyDescent="0.25">
      <c r="M4011" s="21"/>
    </row>
    <row r="4012" spans="13:13" x14ac:dyDescent="0.25">
      <c r="M4012" s="21"/>
    </row>
    <row r="4013" spans="13:13" x14ac:dyDescent="0.25">
      <c r="M4013" s="21"/>
    </row>
    <row r="4014" spans="13:13" x14ac:dyDescent="0.25">
      <c r="M4014" s="21"/>
    </row>
    <row r="4015" spans="13:13" x14ac:dyDescent="0.25">
      <c r="M4015" s="21"/>
    </row>
    <row r="4016" spans="13:13" x14ac:dyDescent="0.25">
      <c r="M4016" s="21"/>
    </row>
    <row r="4017" spans="13:13" x14ac:dyDescent="0.25">
      <c r="M4017" s="21"/>
    </row>
    <row r="4018" spans="13:13" x14ac:dyDescent="0.25">
      <c r="M4018" s="21"/>
    </row>
    <row r="4019" spans="13:13" x14ac:dyDescent="0.25">
      <c r="M4019" s="21"/>
    </row>
    <row r="4020" spans="13:13" x14ac:dyDescent="0.25">
      <c r="M4020" s="21"/>
    </row>
    <row r="4021" spans="13:13" x14ac:dyDescent="0.25">
      <c r="M4021" s="21"/>
    </row>
    <row r="4022" spans="13:13" x14ac:dyDescent="0.25">
      <c r="M4022" s="21"/>
    </row>
    <row r="4023" spans="13:13" x14ac:dyDescent="0.25">
      <c r="M4023" s="21"/>
    </row>
    <row r="4024" spans="13:13" x14ac:dyDescent="0.25">
      <c r="M4024" s="21"/>
    </row>
    <row r="4025" spans="13:13" x14ac:dyDescent="0.25">
      <c r="M4025" s="21"/>
    </row>
    <row r="4026" spans="13:13" x14ac:dyDescent="0.25">
      <c r="M4026" s="21"/>
    </row>
    <row r="4027" spans="13:13" x14ac:dyDescent="0.25">
      <c r="M4027" s="21"/>
    </row>
    <row r="4028" spans="13:13" x14ac:dyDescent="0.25">
      <c r="M4028" s="21"/>
    </row>
    <row r="4029" spans="13:13" x14ac:dyDescent="0.25">
      <c r="M4029" s="21"/>
    </row>
    <row r="4030" spans="13:13" x14ac:dyDescent="0.25">
      <c r="M4030" s="21"/>
    </row>
    <row r="4031" spans="13:13" x14ac:dyDescent="0.25">
      <c r="M4031" s="21"/>
    </row>
    <row r="4032" spans="13:13" x14ac:dyDescent="0.25">
      <c r="M4032" s="21"/>
    </row>
    <row r="4033" spans="13:13" x14ac:dyDescent="0.25">
      <c r="M4033" s="21"/>
    </row>
    <row r="4034" spans="13:13" x14ac:dyDescent="0.25">
      <c r="M4034" s="21"/>
    </row>
    <row r="4035" spans="13:13" x14ac:dyDescent="0.25">
      <c r="M4035" s="21"/>
    </row>
    <row r="4036" spans="13:13" x14ac:dyDescent="0.25">
      <c r="M4036" s="21"/>
    </row>
    <row r="4037" spans="13:13" x14ac:dyDescent="0.25">
      <c r="M4037" s="21"/>
    </row>
    <row r="4038" spans="13:13" x14ac:dyDescent="0.25">
      <c r="M4038" s="21"/>
    </row>
    <row r="4039" spans="13:13" x14ac:dyDescent="0.25">
      <c r="M4039" s="21"/>
    </row>
    <row r="4040" spans="13:13" x14ac:dyDescent="0.25">
      <c r="M4040" s="21"/>
    </row>
    <row r="4041" spans="13:13" x14ac:dyDescent="0.25">
      <c r="M4041" s="21"/>
    </row>
    <row r="4042" spans="13:13" x14ac:dyDescent="0.25">
      <c r="M4042" s="21"/>
    </row>
    <row r="4043" spans="13:13" x14ac:dyDescent="0.25">
      <c r="M4043" s="21"/>
    </row>
    <row r="4044" spans="13:13" x14ac:dyDescent="0.25">
      <c r="M4044" s="21"/>
    </row>
    <row r="4045" spans="13:13" x14ac:dyDescent="0.25">
      <c r="M4045" s="21"/>
    </row>
    <row r="4046" spans="13:13" x14ac:dyDescent="0.25">
      <c r="M4046" s="21"/>
    </row>
    <row r="4047" spans="13:13" x14ac:dyDescent="0.25">
      <c r="M4047" s="21"/>
    </row>
    <row r="4048" spans="13:13" x14ac:dyDescent="0.25">
      <c r="M4048" s="21"/>
    </row>
    <row r="4049" spans="13:13" x14ac:dyDescent="0.25">
      <c r="M4049" s="21"/>
    </row>
    <row r="4050" spans="13:13" x14ac:dyDescent="0.25">
      <c r="M4050" s="21"/>
    </row>
    <row r="4051" spans="13:13" x14ac:dyDescent="0.25">
      <c r="M4051" s="21"/>
    </row>
    <row r="4052" spans="13:13" x14ac:dyDescent="0.25">
      <c r="M4052" s="21"/>
    </row>
    <row r="4053" spans="13:13" x14ac:dyDescent="0.25">
      <c r="M4053" s="21"/>
    </row>
    <row r="4054" spans="13:13" x14ac:dyDescent="0.25">
      <c r="M4054" s="21"/>
    </row>
    <row r="4055" spans="13:13" x14ac:dyDescent="0.25">
      <c r="M4055" s="21"/>
    </row>
    <row r="4056" spans="13:13" x14ac:dyDescent="0.25">
      <c r="M4056" s="21"/>
    </row>
    <row r="4057" spans="13:13" x14ac:dyDescent="0.25">
      <c r="M4057" s="21"/>
    </row>
    <row r="4058" spans="13:13" x14ac:dyDescent="0.25">
      <c r="M4058" s="21"/>
    </row>
    <row r="4059" spans="13:13" x14ac:dyDescent="0.25">
      <c r="M4059" s="21"/>
    </row>
    <row r="4060" spans="13:13" x14ac:dyDescent="0.25">
      <c r="M4060" s="21"/>
    </row>
    <row r="4061" spans="13:13" x14ac:dyDescent="0.25">
      <c r="M4061" s="21"/>
    </row>
    <row r="4062" spans="13:13" x14ac:dyDescent="0.25">
      <c r="M4062" s="21"/>
    </row>
    <row r="4063" spans="13:13" x14ac:dyDescent="0.25">
      <c r="M4063" s="21"/>
    </row>
    <row r="4064" spans="13:13" x14ac:dyDescent="0.25">
      <c r="M4064" s="21"/>
    </row>
    <row r="4065" spans="13:13" x14ac:dyDescent="0.25">
      <c r="M4065" s="21"/>
    </row>
    <row r="4066" spans="13:13" x14ac:dyDescent="0.25">
      <c r="M4066" s="21"/>
    </row>
    <row r="4067" spans="13:13" x14ac:dyDescent="0.25">
      <c r="M4067" s="21"/>
    </row>
    <row r="4068" spans="13:13" x14ac:dyDescent="0.25">
      <c r="M4068" s="21"/>
    </row>
    <row r="4069" spans="13:13" x14ac:dyDescent="0.25">
      <c r="M4069" s="21"/>
    </row>
    <row r="4070" spans="13:13" x14ac:dyDescent="0.25">
      <c r="M4070" s="21"/>
    </row>
    <row r="4071" spans="13:13" x14ac:dyDescent="0.25">
      <c r="M4071" s="21"/>
    </row>
    <row r="4072" spans="13:13" x14ac:dyDescent="0.25">
      <c r="M4072" s="21"/>
    </row>
    <row r="4073" spans="13:13" x14ac:dyDescent="0.25">
      <c r="M4073" s="21"/>
    </row>
    <row r="4074" spans="13:13" x14ac:dyDescent="0.25">
      <c r="M4074" s="21"/>
    </row>
    <row r="4075" spans="13:13" x14ac:dyDescent="0.25">
      <c r="M4075" s="21"/>
    </row>
    <row r="4076" spans="13:13" x14ac:dyDescent="0.25">
      <c r="M4076" s="21"/>
    </row>
    <row r="4077" spans="13:13" x14ac:dyDescent="0.25">
      <c r="M4077" s="21"/>
    </row>
    <row r="4078" spans="13:13" x14ac:dyDescent="0.25">
      <c r="M4078" s="21"/>
    </row>
    <row r="4079" spans="13:13" x14ac:dyDescent="0.25">
      <c r="M4079" s="21"/>
    </row>
    <row r="4080" spans="13:13" x14ac:dyDescent="0.25">
      <c r="M4080" s="21"/>
    </row>
    <row r="4081" spans="13:13" x14ac:dyDescent="0.25">
      <c r="M4081" s="21"/>
    </row>
    <row r="4082" spans="13:13" x14ac:dyDescent="0.25">
      <c r="M4082" s="21"/>
    </row>
    <row r="4083" spans="13:13" x14ac:dyDescent="0.25">
      <c r="M4083" s="21"/>
    </row>
    <row r="4084" spans="13:13" x14ac:dyDescent="0.25">
      <c r="M4084" s="21"/>
    </row>
    <row r="4085" spans="13:13" x14ac:dyDescent="0.25">
      <c r="M4085" s="21"/>
    </row>
    <row r="4086" spans="13:13" x14ac:dyDescent="0.25">
      <c r="M4086" s="21"/>
    </row>
    <row r="4087" spans="13:13" x14ac:dyDescent="0.25">
      <c r="M4087" s="21"/>
    </row>
    <row r="4088" spans="13:13" x14ac:dyDescent="0.25">
      <c r="M4088" s="21"/>
    </row>
    <row r="4089" spans="13:13" x14ac:dyDescent="0.25">
      <c r="M4089" s="21"/>
    </row>
    <row r="4090" spans="13:13" x14ac:dyDescent="0.25">
      <c r="M4090" s="21"/>
    </row>
    <row r="4091" spans="13:13" x14ac:dyDescent="0.25">
      <c r="M4091" s="21"/>
    </row>
    <row r="4092" spans="13:13" x14ac:dyDescent="0.25">
      <c r="M4092" s="21"/>
    </row>
    <row r="4093" spans="13:13" x14ac:dyDescent="0.25">
      <c r="M4093" s="21"/>
    </row>
    <row r="4094" spans="13:13" x14ac:dyDescent="0.25">
      <c r="M4094" s="21"/>
    </row>
    <row r="4095" spans="13:13" x14ac:dyDescent="0.25">
      <c r="M4095" s="21"/>
    </row>
    <row r="4096" spans="13:13" x14ac:dyDescent="0.25">
      <c r="M4096" s="21"/>
    </row>
    <row r="4097" spans="13:13" x14ac:dyDescent="0.25">
      <c r="M4097" s="21"/>
    </row>
    <row r="4098" spans="13:13" x14ac:dyDescent="0.25">
      <c r="M4098" s="21"/>
    </row>
    <row r="4099" spans="13:13" x14ac:dyDescent="0.25">
      <c r="M4099" s="21"/>
    </row>
    <row r="4100" spans="13:13" x14ac:dyDescent="0.25">
      <c r="M4100" s="21"/>
    </row>
    <row r="4101" spans="13:13" x14ac:dyDescent="0.25">
      <c r="M4101" s="21"/>
    </row>
    <row r="4102" spans="13:13" x14ac:dyDescent="0.25">
      <c r="M4102" s="21"/>
    </row>
    <row r="4103" spans="13:13" x14ac:dyDescent="0.25">
      <c r="M4103" s="21"/>
    </row>
    <row r="4104" spans="13:13" x14ac:dyDescent="0.25">
      <c r="M4104" s="21"/>
    </row>
    <row r="4105" spans="13:13" x14ac:dyDescent="0.25">
      <c r="M4105" s="21"/>
    </row>
    <row r="4106" spans="13:13" x14ac:dyDescent="0.25">
      <c r="M4106" s="21"/>
    </row>
    <row r="4107" spans="13:13" x14ac:dyDescent="0.25">
      <c r="M4107" s="21"/>
    </row>
    <row r="4108" spans="13:13" x14ac:dyDescent="0.25">
      <c r="M4108" s="21"/>
    </row>
    <row r="4109" spans="13:13" x14ac:dyDescent="0.25">
      <c r="M4109" s="21"/>
    </row>
    <row r="4110" spans="13:13" x14ac:dyDescent="0.25">
      <c r="M4110" s="21"/>
    </row>
    <row r="4111" spans="13:13" x14ac:dyDescent="0.25">
      <c r="M4111" s="21"/>
    </row>
    <row r="4112" spans="13:13" x14ac:dyDescent="0.25">
      <c r="M4112" s="21"/>
    </row>
    <row r="4113" spans="13:13" x14ac:dyDescent="0.25">
      <c r="M4113" s="21"/>
    </row>
    <row r="4114" spans="13:13" x14ac:dyDescent="0.25">
      <c r="M4114" s="21"/>
    </row>
    <row r="4115" spans="13:13" x14ac:dyDescent="0.25">
      <c r="M4115" s="21"/>
    </row>
    <row r="4116" spans="13:13" x14ac:dyDescent="0.25">
      <c r="M4116" s="21"/>
    </row>
    <row r="4117" spans="13:13" x14ac:dyDescent="0.25">
      <c r="M4117" s="21"/>
    </row>
    <row r="4118" spans="13:13" x14ac:dyDescent="0.25">
      <c r="M4118" s="21"/>
    </row>
    <row r="4119" spans="13:13" x14ac:dyDescent="0.25">
      <c r="M4119" s="21"/>
    </row>
    <row r="4120" spans="13:13" x14ac:dyDescent="0.25">
      <c r="M4120" s="21"/>
    </row>
    <row r="4121" spans="13:13" x14ac:dyDescent="0.25">
      <c r="M4121" s="21"/>
    </row>
    <row r="4122" spans="13:13" x14ac:dyDescent="0.25">
      <c r="M4122" s="21"/>
    </row>
    <row r="4123" spans="13:13" x14ac:dyDescent="0.25">
      <c r="M4123" s="21"/>
    </row>
    <row r="4124" spans="13:13" x14ac:dyDescent="0.25">
      <c r="M4124" s="21"/>
    </row>
    <row r="4125" spans="13:13" x14ac:dyDescent="0.25">
      <c r="M4125" s="21"/>
    </row>
    <row r="4126" spans="13:13" x14ac:dyDescent="0.25">
      <c r="M4126" s="21"/>
    </row>
    <row r="4127" spans="13:13" x14ac:dyDescent="0.25">
      <c r="M4127" s="21"/>
    </row>
    <row r="4128" spans="13:13" x14ac:dyDescent="0.25">
      <c r="M4128" s="21"/>
    </row>
    <row r="4129" spans="13:13" x14ac:dyDescent="0.25">
      <c r="M4129" s="21"/>
    </row>
    <row r="4130" spans="13:13" x14ac:dyDescent="0.25">
      <c r="M4130" s="21"/>
    </row>
    <row r="4131" spans="13:13" x14ac:dyDescent="0.25">
      <c r="M4131" s="21"/>
    </row>
    <row r="4132" spans="13:13" x14ac:dyDescent="0.25">
      <c r="M4132" s="21"/>
    </row>
    <row r="4133" spans="13:13" x14ac:dyDescent="0.25">
      <c r="M4133" s="21"/>
    </row>
    <row r="4134" spans="13:13" x14ac:dyDescent="0.25">
      <c r="M4134" s="21"/>
    </row>
    <row r="4135" spans="13:13" x14ac:dyDescent="0.25">
      <c r="M4135" s="21"/>
    </row>
    <row r="4136" spans="13:13" x14ac:dyDescent="0.25">
      <c r="M4136" s="21"/>
    </row>
    <row r="4137" spans="13:13" x14ac:dyDescent="0.25">
      <c r="M4137" s="21"/>
    </row>
    <row r="4138" spans="13:13" x14ac:dyDescent="0.25">
      <c r="M4138" s="21"/>
    </row>
    <row r="4139" spans="13:13" x14ac:dyDescent="0.25">
      <c r="M4139" s="21"/>
    </row>
    <row r="4140" spans="13:13" x14ac:dyDescent="0.25">
      <c r="M4140" s="21"/>
    </row>
    <row r="4141" spans="13:13" x14ac:dyDescent="0.25">
      <c r="M4141" s="21"/>
    </row>
    <row r="4142" spans="13:13" x14ac:dyDescent="0.25">
      <c r="M4142" s="21"/>
    </row>
    <row r="4143" spans="13:13" x14ac:dyDescent="0.25">
      <c r="M4143" s="21"/>
    </row>
    <row r="4144" spans="13:13" x14ac:dyDescent="0.25">
      <c r="M4144" s="21"/>
    </row>
    <row r="4145" spans="13:13" x14ac:dyDescent="0.25">
      <c r="M4145" s="21"/>
    </row>
    <row r="4146" spans="13:13" x14ac:dyDescent="0.25">
      <c r="M4146" s="21"/>
    </row>
    <row r="4147" spans="13:13" x14ac:dyDescent="0.25">
      <c r="M4147" s="21"/>
    </row>
    <row r="4148" spans="13:13" x14ac:dyDescent="0.25">
      <c r="M4148" s="21"/>
    </row>
    <row r="4149" spans="13:13" x14ac:dyDescent="0.25">
      <c r="M4149" s="21"/>
    </row>
    <row r="4150" spans="13:13" x14ac:dyDescent="0.25">
      <c r="M4150" s="21"/>
    </row>
    <row r="4151" spans="13:13" x14ac:dyDescent="0.25">
      <c r="M4151" s="21"/>
    </row>
    <row r="4152" spans="13:13" x14ac:dyDescent="0.25">
      <c r="M4152" s="21"/>
    </row>
    <row r="4153" spans="13:13" x14ac:dyDescent="0.25">
      <c r="M4153" s="21"/>
    </row>
    <row r="4154" spans="13:13" x14ac:dyDescent="0.25">
      <c r="M4154" s="21"/>
    </row>
    <row r="4155" spans="13:13" x14ac:dyDescent="0.25">
      <c r="M4155" s="21"/>
    </row>
    <row r="4156" spans="13:13" x14ac:dyDescent="0.25">
      <c r="M4156" s="21"/>
    </row>
    <row r="4157" spans="13:13" x14ac:dyDescent="0.25">
      <c r="M4157" s="21"/>
    </row>
    <row r="4158" spans="13:13" x14ac:dyDescent="0.25">
      <c r="M4158" s="21"/>
    </row>
    <row r="4159" spans="13:13" x14ac:dyDescent="0.25">
      <c r="M4159" s="21"/>
    </row>
    <row r="4160" spans="13:13" x14ac:dyDescent="0.25">
      <c r="M4160" s="21"/>
    </row>
    <row r="4161" spans="13:13" x14ac:dyDescent="0.25">
      <c r="M4161" s="21"/>
    </row>
    <row r="4162" spans="13:13" x14ac:dyDescent="0.25">
      <c r="M4162" s="21"/>
    </row>
    <row r="4163" spans="13:13" x14ac:dyDescent="0.25">
      <c r="M4163" s="21"/>
    </row>
    <row r="4164" spans="13:13" x14ac:dyDescent="0.25">
      <c r="M4164" s="21"/>
    </row>
    <row r="4165" spans="13:13" x14ac:dyDescent="0.25">
      <c r="M4165" s="21"/>
    </row>
    <row r="4166" spans="13:13" x14ac:dyDescent="0.25">
      <c r="M4166" s="21"/>
    </row>
    <row r="4167" spans="13:13" x14ac:dyDescent="0.25">
      <c r="M4167" s="21"/>
    </row>
    <row r="4168" spans="13:13" x14ac:dyDescent="0.25">
      <c r="M4168" s="21"/>
    </row>
    <row r="4169" spans="13:13" x14ac:dyDescent="0.25">
      <c r="M4169" s="21"/>
    </row>
    <row r="4170" spans="13:13" x14ac:dyDescent="0.25">
      <c r="M4170" s="21"/>
    </row>
    <row r="4171" spans="13:13" x14ac:dyDescent="0.25">
      <c r="M4171" s="21"/>
    </row>
    <row r="4172" spans="13:13" x14ac:dyDescent="0.25">
      <c r="M4172" s="21"/>
    </row>
    <row r="4173" spans="13:13" x14ac:dyDescent="0.25">
      <c r="M4173" s="21"/>
    </row>
    <row r="4174" spans="13:13" x14ac:dyDescent="0.25">
      <c r="M4174" s="21"/>
    </row>
    <row r="4175" spans="13:13" x14ac:dyDescent="0.25">
      <c r="M4175" s="21"/>
    </row>
    <row r="4176" spans="13:13" x14ac:dyDescent="0.25">
      <c r="M4176" s="21"/>
    </row>
    <row r="4177" spans="13:13" x14ac:dyDescent="0.25">
      <c r="M4177" s="21"/>
    </row>
    <row r="4178" spans="13:13" x14ac:dyDescent="0.25">
      <c r="M4178" s="21"/>
    </row>
    <row r="4179" spans="13:13" x14ac:dyDescent="0.25">
      <c r="M4179" s="21"/>
    </row>
    <row r="4180" spans="13:13" x14ac:dyDescent="0.25">
      <c r="M4180" s="21"/>
    </row>
    <row r="4181" spans="13:13" x14ac:dyDescent="0.25">
      <c r="M4181" s="21"/>
    </row>
    <row r="4182" spans="13:13" x14ac:dyDescent="0.25">
      <c r="M4182" s="21"/>
    </row>
    <row r="4183" spans="13:13" x14ac:dyDescent="0.25">
      <c r="M4183" s="21"/>
    </row>
    <row r="4184" spans="13:13" x14ac:dyDescent="0.25">
      <c r="M4184" s="21"/>
    </row>
    <row r="4185" spans="13:13" x14ac:dyDescent="0.25">
      <c r="M4185" s="21"/>
    </row>
    <row r="4186" spans="13:13" x14ac:dyDescent="0.25">
      <c r="M4186" s="21"/>
    </row>
    <row r="4187" spans="13:13" x14ac:dyDescent="0.25">
      <c r="M4187" s="21"/>
    </row>
    <row r="4188" spans="13:13" x14ac:dyDescent="0.25">
      <c r="M4188" s="21"/>
    </row>
    <row r="4189" spans="13:13" x14ac:dyDescent="0.25">
      <c r="M4189" s="21"/>
    </row>
    <row r="4190" spans="13:13" x14ac:dyDescent="0.25">
      <c r="M4190" s="21"/>
    </row>
    <row r="4191" spans="13:13" x14ac:dyDescent="0.25">
      <c r="M4191" s="21"/>
    </row>
    <row r="4192" spans="13:13" x14ac:dyDescent="0.25">
      <c r="M4192" s="21"/>
    </row>
    <row r="4193" spans="13:13" x14ac:dyDescent="0.25">
      <c r="M4193" s="21"/>
    </row>
    <row r="4194" spans="13:13" x14ac:dyDescent="0.25">
      <c r="M4194" s="21"/>
    </row>
    <row r="4195" spans="13:13" x14ac:dyDescent="0.25">
      <c r="M4195" s="21"/>
    </row>
    <row r="4196" spans="13:13" x14ac:dyDescent="0.25">
      <c r="M4196" s="21"/>
    </row>
    <row r="4197" spans="13:13" x14ac:dyDescent="0.25">
      <c r="M4197" s="21"/>
    </row>
    <row r="4198" spans="13:13" x14ac:dyDescent="0.25">
      <c r="M4198" s="21"/>
    </row>
    <row r="4199" spans="13:13" x14ac:dyDescent="0.25">
      <c r="M4199" s="21"/>
    </row>
    <row r="4200" spans="13:13" x14ac:dyDescent="0.25">
      <c r="M4200" s="21"/>
    </row>
    <row r="4201" spans="13:13" x14ac:dyDescent="0.25">
      <c r="M4201" s="21"/>
    </row>
    <row r="4202" spans="13:13" x14ac:dyDescent="0.25">
      <c r="M4202" s="21"/>
    </row>
    <row r="4203" spans="13:13" x14ac:dyDescent="0.25">
      <c r="M4203" s="21"/>
    </row>
    <row r="4204" spans="13:13" x14ac:dyDescent="0.25">
      <c r="M4204" s="21"/>
    </row>
    <row r="4205" spans="13:13" x14ac:dyDescent="0.25">
      <c r="M4205" s="21"/>
    </row>
    <row r="4206" spans="13:13" x14ac:dyDescent="0.25">
      <c r="M4206" s="21"/>
    </row>
    <row r="4207" spans="13:13" x14ac:dyDescent="0.25">
      <c r="M4207" s="21"/>
    </row>
    <row r="4208" spans="13:13" x14ac:dyDescent="0.25">
      <c r="M4208" s="21"/>
    </row>
    <row r="4209" spans="13:13" x14ac:dyDescent="0.25">
      <c r="M4209" s="21"/>
    </row>
    <row r="4210" spans="13:13" x14ac:dyDescent="0.25">
      <c r="M4210" s="21"/>
    </row>
    <row r="4211" spans="13:13" x14ac:dyDescent="0.25">
      <c r="M4211" s="21"/>
    </row>
    <row r="4212" spans="13:13" x14ac:dyDescent="0.25">
      <c r="M4212" s="21"/>
    </row>
    <row r="4213" spans="13:13" x14ac:dyDescent="0.25">
      <c r="M4213" s="21"/>
    </row>
    <row r="4214" spans="13:13" x14ac:dyDescent="0.25">
      <c r="M4214" s="21"/>
    </row>
    <row r="4215" spans="13:13" x14ac:dyDescent="0.25">
      <c r="M4215" s="21"/>
    </row>
    <row r="4216" spans="13:13" x14ac:dyDescent="0.25">
      <c r="M4216" s="21"/>
    </row>
    <row r="4217" spans="13:13" x14ac:dyDescent="0.25">
      <c r="M4217" s="21"/>
    </row>
    <row r="4218" spans="13:13" x14ac:dyDescent="0.25">
      <c r="M4218" s="21"/>
    </row>
    <row r="4219" spans="13:13" x14ac:dyDescent="0.25">
      <c r="M4219" s="21"/>
    </row>
    <row r="4220" spans="13:13" x14ac:dyDescent="0.25">
      <c r="M4220" s="21"/>
    </row>
    <row r="4221" spans="13:13" x14ac:dyDescent="0.25">
      <c r="M4221" s="21"/>
    </row>
    <row r="4222" spans="13:13" x14ac:dyDescent="0.25">
      <c r="M4222" s="21"/>
    </row>
    <row r="4223" spans="13:13" x14ac:dyDescent="0.25">
      <c r="M4223" s="21"/>
    </row>
    <row r="4224" spans="13:13" x14ac:dyDescent="0.25">
      <c r="M4224" s="21"/>
    </row>
    <row r="4225" spans="13:13" x14ac:dyDescent="0.25">
      <c r="M4225" s="21"/>
    </row>
    <row r="4226" spans="13:13" x14ac:dyDescent="0.25">
      <c r="M4226" s="21"/>
    </row>
    <row r="4227" spans="13:13" x14ac:dyDescent="0.25">
      <c r="M4227" s="21"/>
    </row>
    <row r="4228" spans="13:13" x14ac:dyDescent="0.25">
      <c r="M4228" s="21"/>
    </row>
    <row r="4229" spans="13:13" x14ac:dyDescent="0.25">
      <c r="M4229" s="21"/>
    </row>
    <row r="4230" spans="13:13" x14ac:dyDescent="0.25">
      <c r="M4230" s="21"/>
    </row>
    <row r="4231" spans="13:13" x14ac:dyDescent="0.25">
      <c r="M4231" s="21"/>
    </row>
    <row r="4232" spans="13:13" x14ac:dyDescent="0.25">
      <c r="M4232" s="21"/>
    </row>
    <row r="4233" spans="13:13" x14ac:dyDescent="0.25">
      <c r="M4233" s="21"/>
    </row>
    <row r="4234" spans="13:13" x14ac:dyDescent="0.25">
      <c r="M4234" s="21"/>
    </row>
    <row r="4235" spans="13:13" x14ac:dyDescent="0.25">
      <c r="M4235" s="21"/>
    </row>
    <row r="4236" spans="13:13" x14ac:dyDescent="0.25">
      <c r="M4236" s="21"/>
    </row>
    <row r="4237" spans="13:13" x14ac:dyDescent="0.25">
      <c r="M4237" s="21"/>
    </row>
    <row r="4238" spans="13:13" x14ac:dyDescent="0.25">
      <c r="M4238" s="21"/>
    </row>
    <row r="4239" spans="13:13" x14ac:dyDescent="0.25">
      <c r="M4239" s="21"/>
    </row>
    <row r="4240" spans="13:13" x14ac:dyDescent="0.25">
      <c r="M4240" s="21"/>
    </row>
    <row r="4241" spans="13:13" x14ac:dyDescent="0.25">
      <c r="M4241" s="21"/>
    </row>
    <row r="4242" spans="13:13" x14ac:dyDescent="0.25">
      <c r="M4242" s="21"/>
    </row>
    <row r="4243" spans="13:13" x14ac:dyDescent="0.25">
      <c r="M4243" s="21"/>
    </row>
    <row r="4244" spans="13:13" x14ac:dyDescent="0.25">
      <c r="M4244" s="21"/>
    </row>
    <row r="4245" spans="13:13" x14ac:dyDescent="0.25">
      <c r="M4245" s="21"/>
    </row>
    <row r="4246" spans="13:13" x14ac:dyDescent="0.25">
      <c r="M4246" s="21"/>
    </row>
    <row r="4247" spans="13:13" x14ac:dyDescent="0.25">
      <c r="M4247" s="21"/>
    </row>
    <row r="4248" spans="13:13" x14ac:dyDescent="0.25">
      <c r="M4248" s="21"/>
    </row>
    <row r="4249" spans="13:13" x14ac:dyDescent="0.25">
      <c r="M4249" s="21"/>
    </row>
    <row r="4250" spans="13:13" x14ac:dyDescent="0.25">
      <c r="M4250" s="21"/>
    </row>
    <row r="4251" spans="13:13" x14ac:dyDescent="0.25">
      <c r="M4251" s="21"/>
    </row>
    <row r="4252" spans="13:13" x14ac:dyDescent="0.25">
      <c r="M4252" s="21"/>
    </row>
    <row r="4253" spans="13:13" x14ac:dyDescent="0.25">
      <c r="M4253" s="21"/>
    </row>
    <row r="4254" spans="13:13" x14ac:dyDescent="0.25">
      <c r="M4254" s="21"/>
    </row>
    <row r="4255" spans="13:13" x14ac:dyDescent="0.25">
      <c r="M4255" s="21"/>
    </row>
    <row r="4256" spans="13:13" x14ac:dyDescent="0.25">
      <c r="M4256" s="21"/>
    </row>
    <row r="4257" spans="13:13" x14ac:dyDescent="0.25">
      <c r="M4257" s="21"/>
    </row>
    <row r="4258" spans="13:13" x14ac:dyDescent="0.25">
      <c r="M4258" s="21"/>
    </row>
    <row r="4259" spans="13:13" x14ac:dyDescent="0.25">
      <c r="M4259" s="21"/>
    </row>
    <row r="4260" spans="13:13" x14ac:dyDescent="0.25">
      <c r="M4260" s="21"/>
    </row>
    <row r="4261" spans="13:13" x14ac:dyDescent="0.25">
      <c r="M4261" s="21"/>
    </row>
    <row r="4262" spans="13:13" x14ac:dyDescent="0.25">
      <c r="M4262" s="21"/>
    </row>
    <row r="4263" spans="13:13" x14ac:dyDescent="0.25">
      <c r="M4263" s="21"/>
    </row>
    <row r="4264" spans="13:13" x14ac:dyDescent="0.25">
      <c r="M4264" s="21"/>
    </row>
    <row r="4265" spans="13:13" x14ac:dyDescent="0.25">
      <c r="M4265" s="21"/>
    </row>
    <row r="4266" spans="13:13" x14ac:dyDescent="0.25">
      <c r="M4266" s="21"/>
    </row>
    <row r="4267" spans="13:13" x14ac:dyDescent="0.25">
      <c r="M4267" s="21"/>
    </row>
    <row r="4268" spans="13:13" x14ac:dyDescent="0.25">
      <c r="M4268" s="21"/>
    </row>
    <row r="4269" spans="13:13" x14ac:dyDescent="0.25">
      <c r="M4269" s="21"/>
    </row>
    <row r="4270" spans="13:13" x14ac:dyDescent="0.25">
      <c r="M4270" s="21"/>
    </row>
    <row r="4271" spans="13:13" x14ac:dyDescent="0.25">
      <c r="M4271" s="21"/>
    </row>
    <row r="4272" spans="13:13" x14ac:dyDescent="0.25">
      <c r="M4272" s="21"/>
    </row>
    <row r="4273" spans="13:13" x14ac:dyDescent="0.25">
      <c r="M4273" s="21"/>
    </row>
    <row r="4274" spans="13:13" x14ac:dyDescent="0.25">
      <c r="M4274" s="21"/>
    </row>
    <row r="4275" spans="13:13" x14ac:dyDescent="0.25">
      <c r="M4275" s="21"/>
    </row>
    <row r="4276" spans="13:13" x14ac:dyDescent="0.25">
      <c r="M4276" s="21"/>
    </row>
    <row r="4277" spans="13:13" x14ac:dyDescent="0.25">
      <c r="M4277" s="21"/>
    </row>
    <row r="4278" spans="13:13" x14ac:dyDescent="0.25">
      <c r="M4278" s="21"/>
    </row>
    <row r="4279" spans="13:13" x14ac:dyDescent="0.25">
      <c r="M4279" s="21"/>
    </row>
    <row r="4280" spans="13:13" x14ac:dyDescent="0.25">
      <c r="M4280" s="21"/>
    </row>
    <row r="4281" spans="13:13" x14ac:dyDescent="0.25">
      <c r="M4281" s="21"/>
    </row>
    <row r="4282" spans="13:13" x14ac:dyDescent="0.25">
      <c r="M4282" s="21"/>
    </row>
    <row r="4283" spans="13:13" x14ac:dyDescent="0.25">
      <c r="M4283" s="21"/>
    </row>
    <row r="4284" spans="13:13" x14ac:dyDescent="0.25">
      <c r="M4284" s="21"/>
    </row>
    <row r="4285" spans="13:13" x14ac:dyDescent="0.25">
      <c r="M4285" s="21"/>
    </row>
    <row r="4286" spans="13:13" x14ac:dyDescent="0.25">
      <c r="M4286" s="21"/>
    </row>
    <row r="4287" spans="13:13" x14ac:dyDescent="0.25">
      <c r="M4287" s="21"/>
    </row>
    <row r="4288" spans="13:13" x14ac:dyDescent="0.25">
      <c r="M4288" s="21"/>
    </row>
    <row r="4289" spans="13:13" x14ac:dyDescent="0.25">
      <c r="M4289" s="21"/>
    </row>
    <row r="4290" spans="13:13" x14ac:dyDescent="0.25">
      <c r="M4290" s="21"/>
    </row>
    <row r="4291" spans="13:13" x14ac:dyDescent="0.25">
      <c r="M4291" s="21"/>
    </row>
    <row r="4292" spans="13:13" x14ac:dyDescent="0.25">
      <c r="M4292" s="21"/>
    </row>
    <row r="4293" spans="13:13" x14ac:dyDescent="0.25">
      <c r="M4293" s="21"/>
    </row>
    <row r="4294" spans="13:13" x14ac:dyDescent="0.25">
      <c r="M4294" s="21"/>
    </row>
    <row r="4295" spans="13:13" x14ac:dyDescent="0.25">
      <c r="M4295" s="21"/>
    </row>
    <row r="4296" spans="13:13" x14ac:dyDescent="0.25">
      <c r="M4296" s="21"/>
    </row>
    <row r="4297" spans="13:13" x14ac:dyDescent="0.25">
      <c r="M4297" s="21"/>
    </row>
    <row r="4298" spans="13:13" x14ac:dyDescent="0.25">
      <c r="M4298" s="21"/>
    </row>
    <row r="4299" spans="13:13" x14ac:dyDescent="0.25">
      <c r="M4299" s="21"/>
    </row>
    <row r="4300" spans="13:13" x14ac:dyDescent="0.25">
      <c r="M4300" s="21"/>
    </row>
    <row r="4301" spans="13:13" x14ac:dyDescent="0.25">
      <c r="M4301" s="21"/>
    </row>
    <row r="4302" spans="13:13" x14ac:dyDescent="0.25">
      <c r="M4302" s="21"/>
    </row>
    <row r="4303" spans="13:13" x14ac:dyDescent="0.25">
      <c r="M4303" s="21"/>
    </row>
    <row r="4304" spans="13:13" x14ac:dyDescent="0.25">
      <c r="M4304" s="21"/>
    </row>
    <row r="4305" spans="13:13" x14ac:dyDescent="0.25">
      <c r="M4305" s="21"/>
    </row>
    <row r="4306" spans="13:13" x14ac:dyDescent="0.25">
      <c r="M4306" s="21"/>
    </row>
    <row r="4307" spans="13:13" x14ac:dyDescent="0.25">
      <c r="M4307" s="21"/>
    </row>
    <row r="4308" spans="13:13" x14ac:dyDescent="0.25">
      <c r="M4308" s="21"/>
    </row>
    <row r="4309" spans="13:13" x14ac:dyDescent="0.25">
      <c r="M4309" s="21"/>
    </row>
    <row r="4310" spans="13:13" x14ac:dyDescent="0.25">
      <c r="M4310" s="21"/>
    </row>
    <row r="4311" spans="13:13" x14ac:dyDescent="0.25">
      <c r="M4311" s="21"/>
    </row>
    <row r="4312" spans="13:13" x14ac:dyDescent="0.25">
      <c r="M4312" s="21"/>
    </row>
    <row r="4313" spans="13:13" x14ac:dyDescent="0.25">
      <c r="M4313" s="21"/>
    </row>
    <row r="4314" spans="13:13" x14ac:dyDescent="0.25">
      <c r="M4314" s="21"/>
    </row>
    <row r="4315" spans="13:13" x14ac:dyDescent="0.25">
      <c r="M4315" s="21"/>
    </row>
    <row r="4316" spans="13:13" x14ac:dyDescent="0.25">
      <c r="M4316" s="21"/>
    </row>
    <row r="4317" spans="13:13" x14ac:dyDescent="0.25">
      <c r="M4317" s="21"/>
    </row>
    <row r="4318" spans="13:13" x14ac:dyDescent="0.25">
      <c r="M4318" s="21"/>
    </row>
    <row r="4319" spans="13:13" x14ac:dyDescent="0.25">
      <c r="M4319" s="21"/>
    </row>
    <row r="4320" spans="13:13" x14ac:dyDescent="0.25">
      <c r="M4320" s="21"/>
    </row>
    <row r="4321" spans="13:13" x14ac:dyDescent="0.25">
      <c r="M4321" s="21"/>
    </row>
    <row r="4322" spans="13:13" x14ac:dyDescent="0.25">
      <c r="M4322" s="21"/>
    </row>
    <row r="4323" spans="13:13" x14ac:dyDescent="0.25">
      <c r="M4323" s="21"/>
    </row>
    <row r="4324" spans="13:13" x14ac:dyDescent="0.25">
      <c r="M4324" s="21"/>
    </row>
    <row r="4325" spans="13:13" x14ac:dyDescent="0.25">
      <c r="M4325" s="21"/>
    </row>
    <row r="4326" spans="13:13" x14ac:dyDescent="0.25">
      <c r="M4326" s="21"/>
    </row>
    <row r="4327" spans="13:13" x14ac:dyDescent="0.25">
      <c r="M4327" s="21"/>
    </row>
    <row r="4328" spans="13:13" x14ac:dyDescent="0.25">
      <c r="M4328" s="21"/>
    </row>
    <row r="4329" spans="13:13" x14ac:dyDescent="0.25">
      <c r="M4329" s="21"/>
    </row>
    <row r="4330" spans="13:13" x14ac:dyDescent="0.25">
      <c r="M4330" s="21"/>
    </row>
    <row r="4331" spans="13:13" x14ac:dyDescent="0.25">
      <c r="M4331" s="21"/>
    </row>
    <row r="4332" spans="13:13" x14ac:dyDescent="0.25">
      <c r="M4332" s="21"/>
    </row>
    <row r="4333" spans="13:13" x14ac:dyDescent="0.25">
      <c r="M4333" s="21"/>
    </row>
    <row r="4334" spans="13:13" x14ac:dyDescent="0.25">
      <c r="M4334" s="21"/>
    </row>
    <row r="4335" spans="13:13" x14ac:dyDescent="0.25">
      <c r="M4335" s="21"/>
    </row>
    <row r="4336" spans="13:13" x14ac:dyDescent="0.25">
      <c r="M4336" s="21"/>
    </row>
    <row r="4337" spans="13:13" x14ac:dyDescent="0.25">
      <c r="M4337" s="21"/>
    </row>
    <row r="4338" spans="13:13" x14ac:dyDescent="0.25">
      <c r="M4338" s="21"/>
    </row>
    <row r="4339" spans="13:13" x14ac:dyDescent="0.25">
      <c r="M4339" s="21"/>
    </row>
    <row r="4340" spans="13:13" x14ac:dyDescent="0.25">
      <c r="M4340" s="21"/>
    </row>
    <row r="4341" spans="13:13" x14ac:dyDescent="0.25">
      <c r="M4341" s="21"/>
    </row>
    <row r="4342" spans="13:13" x14ac:dyDescent="0.25">
      <c r="M4342" s="21"/>
    </row>
    <row r="4343" spans="13:13" x14ac:dyDescent="0.25">
      <c r="M4343" s="21"/>
    </row>
    <row r="4344" spans="13:13" x14ac:dyDescent="0.25">
      <c r="M4344" s="21"/>
    </row>
    <row r="4345" spans="13:13" x14ac:dyDescent="0.25">
      <c r="M4345" s="21"/>
    </row>
    <row r="4346" spans="13:13" x14ac:dyDescent="0.25">
      <c r="M4346" s="21"/>
    </row>
    <row r="4347" spans="13:13" x14ac:dyDescent="0.25">
      <c r="M4347" s="21"/>
    </row>
    <row r="4348" spans="13:13" x14ac:dyDescent="0.25">
      <c r="M4348" s="21"/>
    </row>
    <row r="4349" spans="13:13" x14ac:dyDescent="0.25">
      <c r="M4349" s="21"/>
    </row>
    <row r="4350" spans="13:13" x14ac:dyDescent="0.25">
      <c r="M4350" s="21"/>
    </row>
    <row r="4351" spans="13:13" x14ac:dyDescent="0.25">
      <c r="M4351" s="21"/>
    </row>
    <row r="4352" spans="13:13" x14ac:dyDescent="0.25">
      <c r="M4352" s="21"/>
    </row>
    <row r="4353" spans="13:13" x14ac:dyDescent="0.25">
      <c r="M4353" s="21"/>
    </row>
    <row r="4354" spans="13:13" x14ac:dyDescent="0.25">
      <c r="M4354" s="21"/>
    </row>
    <row r="4355" spans="13:13" x14ac:dyDescent="0.25">
      <c r="M4355" s="21"/>
    </row>
    <row r="4356" spans="13:13" x14ac:dyDescent="0.25">
      <c r="M4356" s="21"/>
    </row>
    <row r="4357" spans="13:13" x14ac:dyDescent="0.25">
      <c r="M4357" s="21"/>
    </row>
    <row r="4358" spans="13:13" x14ac:dyDescent="0.25">
      <c r="M4358" s="21"/>
    </row>
    <row r="4359" spans="13:13" x14ac:dyDescent="0.25">
      <c r="M4359" s="21"/>
    </row>
    <row r="4360" spans="13:13" x14ac:dyDescent="0.25">
      <c r="M4360" s="21"/>
    </row>
    <row r="4361" spans="13:13" x14ac:dyDescent="0.25">
      <c r="M4361" s="21"/>
    </row>
    <row r="4362" spans="13:13" x14ac:dyDescent="0.25">
      <c r="M4362" s="21"/>
    </row>
    <row r="4363" spans="13:13" x14ac:dyDescent="0.25">
      <c r="M4363" s="21"/>
    </row>
    <row r="4364" spans="13:13" x14ac:dyDescent="0.25">
      <c r="M4364" s="21"/>
    </row>
    <row r="4365" spans="13:13" x14ac:dyDescent="0.25">
      <c r="M4365" s="21"/>
    </row>
    <row r="4366" spans="13:13" x14ac:dyDescent="0.25">
      <c r="M4366" s="21"/>
    </row>
    <row r="4367" spans="13:13" x14ac:dyDescent="0.25">
      <c r="M4367" s="21"/>
    </row>
    <row r="4368" spans="13:13" x14ac:dyDescent="0.25">
      <c r="M4368" s="21"/>
    </row>
    <row r="4369" spans="13:13" x14ac:dyDescent="0.25">
      <c r="M4369" s="21"/>
    </row>
    <row r="4370" spans="13:13" x14ac:dyDescent="0.25">
      <c r="M4370" s="21"/>
    </row>
    <row r="4371" spans="13:13" x14ac:dyDescent="0.25">
      <c r="M4371" s="21"/>
    </row>
    <row r="4372" spans="13:13" x14ac:dyDescent="0.25">
      <c r="M4372" s="21"/>
    </row>
    <row r="4373" spans="13:13" x14ac:dyDescent="0.25">
      <c r="M4373" s="21"/>
    </row>
    <row r="4374" spans="13:13" x14ac:dyDescent="0.25">
      <c r="M4374" s="21"/>
    </row>
    <row r="4375" spans="13:13" x14ac:dyDescent="0.25">
      <c r="M4375" s="21"/>
    </row>
    <row r="4376" spans="13:13" x14ac:dyDescent="0.25">
      <c r="M4376" s="21"/>
    </row>
    <row r="4377" spans="13:13" x14ac:dyDescent="0.25">
      <c r="M4377" s="21"/>
    </row>
    <row r="4378" spans="13:13" x14ac:dyDescent="0.25">
      <c r="M4378" s="21"/>
    </row>
    <row r="4379" spans="13:13" x14ac:dyDescent="0.25">
      <c r="M4379" s="21"/>
    </row>
    <row r="4380" spans="13:13" x14ac:dyDescent="0.25">
      <c r="M4380" s="21"/>
    </row>
    <row r="4381" spans="13:13" x14ac:dyDescent="0.25">
      <c r="M4381" s="21"/>
    </row>
    <row r="4382" spans="13:13" x14ac:dyDescent="0.25">
      <c r="M4382" s="21"/>
    </row>
    <row r="4383" spans="13:13" x14ac:dyDescent="0.25">
      <c r="M4383" s="21"/>
    </row>
    <row r="4384" spans="13:13" x14ac:dyDescent="0.25">
      <c r="M4384" s="21"/>
    </row>
    <row r="4385" spans="13:13" x14ac:dyDescent="0.25">
      <c r="M4385" s="21"/>
    </row>
    <row r="4386" spans="13:13" x14ac:dyDescent="0.25">
      <c r="M4386" s="21"/>
    </row>
    <row r="4387" spans="13:13" x14ac:dyDescent="0.25">
      <c r="M4387" s="21"/>
    </row>
    <row r="4388" spans="13:13" x14ac:dyDescent="0.25">
      <c r="M4388" s="21"/>
    </row>
    <row r="4389" spans="13:13" x14ac:dyDescent="0.25">
      <c r="M4389" s="21"/>
    </row>
    <row r="4390" spans="13:13" x14ac:dyDescent="0.25">
      <c r="M4390" s="21"/>
    </row>
    <row r="4391" spans="13:13" x14ac:dyDescent="0.25">
      <c r="M4391" s="21"/>
    </row>
    <row r="4392" spans="13:13" x14ac:dyDescent="0.25">
      <c r="M4392" s="21"/>
    </row>
    <row r="4393" spans="13:13" x14ac:dyDescent="0.25">
      <c r="M4393" s="21"/>
    </row>
    <row r="4394" spans="13:13" x14ac:dyDescent="0.25">
      <c r="M4394" s="21"/>
    </row>
    <row r="4395" spans="13:13" x14ac:dyDescent="0.25">
      <c r="M4395" s="21"/>
    </row>
    <row r="4396" spans="13:13" x14ac:dyDescent="0.25">
      <c r="M4396" s="21"/>
    </row>
    <row r="4397" spans="13:13" x14ac:dyDescent="0.25">
      <c r="M4397" s="21"/>
    </row>
    <row r="4398" spans="13:13" x14ac:dyDescent="0.25">
      <c r="M4398" s="21"/>
    </row>
    <row r="4399" spans="13:13" x14ac:dyDescent="0.25">
      <c r="M4399" s="21"/>
    </row>
    <row r="4400" spans="13:13" x14ac:dyDescent="0.25">
      <c r="M4400" s="21"/>
    </row>
    <row r="4401" spans="13:13" x14ac:dyDescent="0.25">
      <c r="M4401" s="21"/>
    </row>
    <row r="4402" spans="13:13" x14ac:dyDescent="0.25">
      <c r="M4402" s="21"/>
    </row>
    <row r="4403" spans="13:13" x14ac:dyDescent="0.25">
      <c r="M4403" s="21"/>
    </row>
    <row r="4404" spans="13:13" x14ac:dyDescent="0.25">
      <c r="M4404" s="21"/>
    </row>
    <row r="4405" spans="13:13" x14ac:dyDescent="0.25">
      <c r="M4405" s="21"/>
    </row>
    <row r="4406" spans="13:13" x14ac:dyDescent="0.25">
      <c r="M4406" s="21"/>
    </row>
    <row r="4407" spans="13:13" x14ac:dyDescent="0.25">
      <c r="M4407" s="21"/>
    </row>
    <row r="4408" spans="13:13" x14ac:dyDescent="0.25">
      <c r="M4408" s="21"/>
    </row>
    <row r="4409" spans="13:13" x14ac:dyDescent="0.25">
      <c r="M4409" s="21"/>
    </row>
    <row r="4410" spans="13:13" x14ac:dyDescent="0.25">
      <c r="M4410" s="21"/>
    </row>
    <row r="4411" spans="13:13" x14ac:dyDescent="0.25">
      <c r="M4411" s="21"/>
    </row>
    <row r="4412" spans="13:13" x14ac:dyDescent="0.25">
      <c r="M4412" s="21"/>
    </row>
    <row r="4413" spans="13:13" x14ac:dyDescent="0.25">
      <c r="M4413" s="21"/>
    </row>
    <row r="4414" spans="13:13" x14ac:dyDescent="0.25">
      <c r="M4414" s="21"/>
    </row>
    <row r="4415" spans="13:13" x14ac:dyDescent="0.25">
      <c r="M4415" s="21"/>
    </row>
    <row r="4416" spans="13:13" x14ac:dyDescent="0.25">
      <c r="M4416" s="21"/>
    </row>
    <row r="4417" spans="13:13" x14ac:dyDescent="0.25">
      <c r="M4417" s="21"/>
    </row>
    <row r="4418" spans="13:13" x14ac:dyDescent="0.25">
      <c r="M4418" s="21"/>
    </row>
    <row r="4419" spans="13:13" x14ac:dyDescent="0.25">
      <c r="M4419" s="21"/>
    </row>
    <row r="4420" spans="13:13" x14ac:dyDescent="0.25">
      <c r="M4420" s="21"/>
    </row>
    <row r="4421" spans="13:13" x14ac:dyDescent="0.25">
      <c r="M4421" s="21"/>
    </row>
    <row r="4422" spans="13:13" x14ac:dyDescent="0.25">
      <c r="M4422" s="21"/>
    </row>
    <row r="4423" spans="13:13" x14ac:dyDescent="0.25">
      <c r="M4423" s="21"/>
    </row>
    <row r="4424" spans="13:13" x14ac:dyDescent="0.25">
      <c r="M4424" s="21"/>
    </row>
    <row r="4425" spans="13:13" x14ac:dyDescent="0.25">
      <c r="M4425" s="21"/>
    </row>
    <row r="4426" spans="13:13" x14ac:dyDescent="0.25">
      <c r="M4426" s="21"/>
    </row>
    <row r="4427" spans="13:13" x14ac:dyDescent="0.25">
      <c r="M4427" s="21"/>
    </row>
    <row r="4428" spans="13:13" x14ac:dyDescent="0.25">
      <c r="M4428" s="21"/>
    </row>
    <row r="4429" spans="13:13" x14ac:dyDescent="0.25">
      <c r="M4429" s="21"/>
    </row>
    <row r="4430" spans="13:13" x14ac:dyDescent="0.25">
      <c r="M4430" s="21"/>
    </row>
    <row r="4431" spans="13:13" x14ac:dyDescent="0.25">
      <c r="M4431" s="21"/>
    </row>
    <row r="4432" spans="13:13" x14ac:dyDescent="0.25">
      <c r="M4432" s="21"/>
    </row>
    <row r="4433" spans="13:13" x14ac:dyDescent="0.25">
      <c r="M4433" s="21"/>
    </row>
    <row r="4434" spans="13:13" x14ac:dyDescent="0.25">
      <c r="M4434" s="21"/>
    </row>
    <row r="4435" spans="13:13" x14ac:dyDescent="0.25">
      <c r="M4435" s="21"/>
    </row>
    <row r="4436" spans="13:13" x14ac:dyDescent="0.25">
      <c r="M4436" s="21"/>
    </row>
    <row r="4437" spans="13:13" x14ac:dyDescent="0.25">
      <c r="M4437" s="21"/>
    </row>
    <row r="4438" spans="13:13" x14ac:dyDescent="0.25">
      <c r="M4438" s="21"/>
    </row>
    <row r="4439" spans="13:13" x14ac:dyDescent="0.25">
      <c r="M4439" s="21"/>
    </row>
    <row r="4440" spans="13:13" x14ac:dyDescent="0.25">
      <c r="M4440" s="21"/>
    </row>
    <row r="4441" spans="13:13" x14ac:dyDescent="0.25">
      <c r="M4441" s="21"/>
    </row>
    <row r="4442" spans="13:13" x14ac:dyDescent="0.25">
      <c r="M4442" s="21"/>
    </row>
    <row r="4443" spans="13:13" x14ac:dyDescent="0.25">
      <c r="M4443" s="21"/>
    </row>
    <row r="4444" spans="13:13" x14ac:dyDescent="0.25">
      <c r="M4444" s="21"/>
    </row>
    <row r="4445" spans="13:13" x14ac:dyDescent="0.25">
      <c r="M4445" s="21"/>
    </row>
    <row r="4446" spans="13:13" x14ac:dyDescent="0.25">
      <c r="M4446" s="21"/>
    </row>
    <row r="4447" spans="13:13" x14ac:dyDescent="0.25">
      <c r="M4447" s="21"/>
    </row>
    <row r="4448" spans="13:13" x14ac:dyDescent="0.25">
      <c r="M4448" s="21"/>
    </row>
    <row r="4449" spans="13:13" x14ac:dyDescent="0.25">
      <c r="M4449" s="21"/>
    </row>
    <row r="4450" spans="13:13" x14ac:dyDescent="0.25">
      <c r="M4450" s="21"/>
    </row>
    <row r="4451" spans="13:13" x14ac:dyDescent="0.25">
      <c r="M4451" s="21"/>
    </row>
    <row r="4452" spans="13:13" x14ac:dyDescent="0.25">
      <c r="M4452" s="21"/>
    </row>
    <row r="4453" spans="13:13" x14ac:dyDescent="0.25">
      <c r="M4453" s="21"/>
    </row>
    <row r="4454" spans="13:13" x14ac:dyDescent="0.25">
      <c r="M4454" s="21"/>
    </row>
    <row r="4455" spans="13:13" x14ac:dyDescent="0.25">
      <c r="M4455" s="21"/>
    </row>
    <row r="4456" spans="13:13" x14ac:dyDescent="0.25">
      <c r="M4456" s="21"/>
    </row>
    <row r="4457" spans="13:13" x14ac:dyDescent="0.25">
      <c r="M4457" s="21"/>
    </row>
    <row r="4458" spans="13:13" x14ac:dyDescent="0.25">
      <c r="M4458" s="21"/>
    </row>
    <row r="4459" spans="13:13" x14ac:dyDescent="0.25">
      <c r="M4459" s="21"/>
    </row>
    <row r="4460" spans="13:13" x14ac:dyDescent="0.25">
      <c r="M4460" s="21"/>
    </row>
    <row r="4461" spans="13:13" x14ac:dyDescent="0.25">
      <c r="M4461" s="21"/>
    </row>
    <row r="4462" spans="13:13" x14ac:dyDescent="0.25">
      <c r="M4462" s="21"/>
    </row>
    <row r="4463" spans="13:13" x14ac:dyDescent="0.25">
      <c r="M4463" s="21"/>
    </row>
    <row r="4464" spans="13:13" x14ac:dyDescent="0.25">
      <c r="M4464" s="21"/>
    </row>
    <row r="4465" spans="13:13" x14ac:dyDescent="0.25">
      <c r="M4465" s="21"/>
    </row>
    <row r="4466" spans="13:13" x14ac:dyDescent="0.25">
      <c r="M4466" s="21"/>
    </row>
    <row r="4467" spans="13:13" x14ac:dyDescent="0.25">
      <c r="M4467" s="21"/>
    </row>
    <row r="4468" spans="13:13" x14ac:dyDescent="0.25">
      <c r="M4468" s="21"/>
    </row>
    <row r="4469" spans="13:13" x14ac:dyDescent="0.25">
      <c r="M4469" s="21"/>
    </row>
    <row r="4470" spans="13:13" x14ac:dyDescent="0.25">
      <c r="M4470" s="21"/>
    </row>
    <row r="4471" spans="13:13" x14ac:dyDescent="0.25">
      <c r="M4471" s="21"/>
    </row>
    <row r="4472" spans="13:13" x14ac:dyDescent="0.25">
      <c r="M4472" s="21"/>
    </row>
    <row r="4473" spans="13:13" x14ac:dyDescent="0.25">
      <c r="M4473" s="21"/>
    </row>
    <row r="4474" spans="13:13" x14ac:dyDescent="0.25">
      <c r="M4474" s="21"/>
    </row>
    <row r="4475" spans="13:13" x14ac:dyDescent="0.25">
      <c r="M4475" s="21"/>
    </row>
    <row r="4476" spans="13:13" x14ac:dyDescent="0.25">
      <c r="M4476" s="21"/>
    </row>
    <row r="4477" spans="13:13" x14ac:dyDescent="0.25">
      <c r="M4477" s="21"/>
    </row>
    <row r="4478" spans="13:13" x14ac:dyDescent="0.25">
      <c r="M4478" s="21"/>
    </row>
    <row r="4479" spans="13:13" x14ac:dyDescent="0.25">
      <c r="M4479" s="21"/>
    </row>
    <row r="4480" spans="13:13" x14ac:dyDescent="0.25">
      <c r="M4480" s="21"/>
    </row>
    <row r="4481" spans="13:13" x14ac:dyDescent="0.25">
      <c r="M4481" s="21"/>
    </row>
    <row r="4482" spans="13:13" x14ac:dyDescent="0.25">
      <c r="M4482" s="21"/>
    </row>
    <row r="4483" spans="13:13" x14ac:dyDescent="0.25">
      <c r="M4483" s="21"/>
    </row>
    <row r="4484" spans="13:13" x14ac:dyDescent="0.25">
      <c r="M4484" s="21"/>
    </row>
    <row r="4485" spans="13:13" x14ac:dyDescent="0.25">
      <c r="M4485" s="21"/>
    </row>
    <row r="4486" spans="13:13" x14ac:dyDescent="0.25">
      <c r="M4486" s="21"/>
    </row>
    <row r="4487" spans="13:13" x14ac:dyDescent="0.25">
      <c r="M4487" s="21"/>
    </row>
    <row r="4488" spans="13:13" x14ac:dyDescent="0.25">
      <c r="M4488" s="21"/>
    </row>
    <row r="4489" spans="13:13" x14ac:dyDescent="0.25">
      <c r="M4489" s="21"/>
    </row>
    <row r="4490" spans="13:13" x14ac:dyDescent="0.25">
      <c r="M4490" s="21"/>
    </row>
    <row r="4491" spans="13:13" x14ac:dyDescent="0.25">
      <c r="M4491" s="21"/>
    </row>
    <row r="4492" spans="13:13" x14ac:dyDescent="0.25">
      <c r="M4492" s="21"/>
    </row>
    <row r="4493" spans="13:13" x14ac:dyDescent="0.25">
      <c r="M4493" s="21"/>
    </row>
    <row r="4494" spans="13:13" x14ac:dyDescent="0.25">
      <c r="M4494" s="21"/>
    </row>
    <row r="4495" spans="13:13" x14ac:dyDescent="0.25">
      <c r="M4495" s="21"/>
    </row>
    <row r="4496" spans="13:13" x14ac:dyDescent="0.25">
      <c r="M4496" s="21"/>
    </row>
    <row r="4497" spans="13:13" x14ac:dyDescent="0.25">
      <c r="M4497" s="21"/>
    </row>
    <row r="4498" spans="13:13" x14ac:dyDescent="0.25">
      <c r="M4498" s="21"/>
    </row>
    <row r="4499" spans="13:13" x14ac:dyDescent="0.25">
      <c r="M4499" s="21"/>
    </row>
    <row r="4500" spans="13:13" x14ac:dyDescent="0.25">
      <c r="M4500" s="21"/>
    </row>
    <row r="4501" spans="13:13" x14ac:dyDescent="0.25">
      <c r="M4501" s="21"/>
    </row>
    <row r="4502" spans="13:13" x14ac:dyDescent="0.25">
      <c r="M4502" s="21"/>
    </row>
    <row r="4503" spans="13:13" x14ac:dyDescent="0.25">
      <c r="M4503" s="21"/>
    </row>
    <row r="4504" spans="13:13" x14ac:dyDescent="0.25">
      <c r="M4504" s="21"/>
    </row>
    <row r="4505" spans="13:13" x14ac:dyDescent="0.25">
      <c r="M4505" s="21"/>
    </row>
    <row r="4506" spans="13:13" x14ac:dyDescent="0.25">
      <c r="M4506" s="21"/>
    </row>
    <row r="4507" spans="13:13" x14ac:dyDescent="0.25">
      <c r="M4507" s="21"/>
    </row>
    <row r="4508" spans="13:13" x14ac:dyDescent="0.25">
      <c r="M4508" s="21"/>
    </row>
    <row r="4509" spans="13:13" x14ac:dyDescent="0.25">
      <c r="M4509" s="21"/>
    </row>
    <row r="4510" spans="13:13" x14ac:dyDescent="0.25">
      <c r="M4510" s="21"/>
    </row>
    <row r="4511" spans="13:13" x14ac:dyDescent="0.25">
      <c r="M4511" s="21"/>
    </row>
    <row r="4512" spans="13:13" x14ac:dyDescent="0.25">
      <c r="M4512" s="21"/>
    </row>
    <row r="4513" spans="13:13" x14ac:dyDescent="0.25">
      <c r="M4513" s="21"/>
    </row>
    <row r="4514" spans="13:13" x14ac:dyDescent="0.25">
      <c r="M4514" s="21"/>
    </row>
    <row r="4515" spans="13:13" x14ac:dyDescent="0.25">
      <c r="M4515" s="21"/>
    </row>
    <row r="4516" spans="13:13" x14ac:dyDescent="0.25">
      <c r="M4516" s="21"/>
    </row>
    <row r="4517" spans="13:13" x14ac:dyDescent="0.25">
      <c r="M4517" s="21"/>
    </row>
    <row r="4518" spans="13:13" x14ac:dyDescent="0.25">
      <c r="M4518" s="21"/>
    </row>
    <row r="4519" spans="13:13" x14ac:dyDescent="0.25">
      <c r="M4519" s="21"/>
    </row>
    <row r="4520" spans="13:13" x14ac:dyDescent="0.25">
      <c r="M4520" s="21"/>
    </row>
    <row r="4521" spans="13:13" x14ac:dyDescent="0.25">
      <c r="M4521" s="21"/>
    </row>
    <row r="4522" spans="13:13" x14ac:dyDescent="0.25">
      <c r="M4522" s="21"/>
    </row>
    <row r="4523" spans="13:13" x14ac:dyDescent="0.25">
      <c r="M4523" s="21"/>
    </row>
    <row r="4524" spans="13:13" x14ac:dyDescent="0.25">
      <c r="M4524" s="21"/>
    </row>
    <row r="4525" spans="13:13" x14ac:dyDescent="0.25">
      <c r="M4525" s="21"/>
    </row>
    <row r="4526" spans="13:13" x14ac:dyDescent="0.25">
      <c r="M4526" s="21"/>
    </row>
    <row r="4527" spans="13:13" x14ac:dyDescent="0.25">
      <c r="M4527" s="21"/>
    </row>
    <row r="4528" spans="13:13" x14ac:dyDescent="0.25">
      <c r="M4528" s="21"/>
    </row>
    <row r="4529" spans="13:13" x14ac:dyDescent="0.25">
      <c r="M4529" s="21"/>
    </row>
    <row r="4530" spans="13:13" x14ac:dyDescent="0.25">
      <c r="M4530" s="21"/>
    </row>
    <row r="4531" spans="13:13" x14ac:dyDescent="0.25">
      <c r="M4531" s="21"/>
    </row>
    <row r="4532" spans="13:13" x14ac:dyDescent="0.25">
      <c r="M4532" s="21"/>
    </row>
    <row r="4533" spans="13:13" x14ac:dyDescent="0.25">
      <c r="M4533" s="21"/>
    </row>
    <row r="4534" spans="13:13" x14ac:dyDescent="0.25">
      <c r="M4534" s="21"/>
    </row>
    <row r="4535" spans="13:13" x14ac:dyDescent="0.25">
      <c r="M4535" s="21"/>
    </row>
    <row r="4536" spans="13:13" x14ac:dyDescent="0.25">
      <c r="M4536" s="21"/>
    </row>
    <row r="4537" spans="13:13" x14ac:dyDescent="0.25">
      <c r="M4537" s="21"/>
    </row>
    <row r="4538" spans="13:13" x14ac:dyDescent="0.25">
      <c r="M4538" s="21"/>
    </row>
    <row r="4539" spans="13:13" x14ac:dyDescent="0.25">
      <c r="M4539" s="21"/>
    </row>
    <row r="4540" spans="13:13" x14ac:dyDescent="0.25">
      <c r="M4540" s="21"/>
    </row>
    <row r="4541" spans="13:13" x14ac:dyDescent="0.25">
      <c r="M4541" s="21"/>
    </row>
    <row r="4542" spans="13:13" x14ac:dyDescent="0.25">
      <c r="M4542" s="21"/>
    </row>
    <row r="4543" spans="13:13" x14ac:dyDescent="0.25">
      <c r="M4543" s="21"/>
    </row>
    <row r="4544" spans="13:13" x14ac:dyDescent="0.25">
      <c r="M4544" s="21"/>
    </row>
    <row r="4545" spans="13:13" x14ac:dyDescent="0.25">
      <c r="M4545" s="21"/>
    </row>
    <row r="4546" spans="13:13" x14ac:dyDescent="0.25">
      <c r="M4546" s="21"/>
    </row>
    <row r="4547" spans="13:13" x14ac:dyDescent="0.25">
      <c r="M4547" s="21"/>
    </row>
    <row r="4548" spans="13:13" x14ac:dyDescent="0.25">
      <c r="M4548" s="21"/>
    </row>
    <row r="4549" spans="13:13" x14ac:dyDescent="0.25">
      <c r="M4549" s="21"/>
    </row>
    <row r="4550" spans="13:13" x14ac:dyDescent="0.25">
      <c r="M4550" s="21"/>
    </row>
    <row r="4551" spans="13:13" x14ac:dyDescent="0.25">
      <c r="M4551" s="21"/>
    </row>
    <row r="4552" spans="13:13" x14ac:dyDescent="0.25">
      <c r="M4552" s="21"/>
    </row>
    <row r="4553" spans="13:13" x14ac:dyDescent="0.25">
      <c r="M4553" s="21"/>
    </row>
    <row r="4554" spans="13:13" x14ac:dyDescent="0.25">
      <c r="M4554" s="21"/>
    </row>
    <row r="4555" spans="13:13" x14ac:dyDescent="0.25">
      <c r="M4555" s="21"/>
    </row>
    <row r="4556" spans="13:13" x14ac:dyDescent="0.25">
      <c r="M4556" s="21"/>
    </row>
    <row r="4557" spans="13:13" x14ac:dyDescent="0.25">
      <c r="M4557" s="21"/>
    </row>
    <row r="4558" spans="13:13" x14ac:dyDescent="0.25">
      <c r="M4558" s="21"/>
    </row>
    <row r="4559" spans="13:13" x14ac:dyDescent="0.25">
      <c r="M4559" s="21"/>
    </row>
    <row r="4560" spans="13:13" x14ac:dyDescent="0.25">
      <c r="M4560" s="21"/>
    </row>
    <row r="4561" spans="13:13" x14ac:dyDescent="0.25">
      <c r="M4561" s="21"/>
    </row>
    <row r="4562" spans="13:13" x14ac:dyDescent="0.25">
      <c r="M4562" s="21"/>
    </row>
    <row r="4563" spans="13:13" x14ac:dyDescent="0.25">
      <c r="M4563" s="21"/>
    </row>
    <row r="4564" spans="13:13" x14ac:dyDescent="0.25">
      <c r="M4564" s="21"/>
    </row>
    <row r="4565" spans="13:13" x14ac:dyDescent="0.25">
      <c r="M4565" s="21"/>
    </row>
    <row r="4566" spans="13:13" x14ac:dyDescent="0.25">
      <c r="M4566" s="21"/>
    </row>
    <row r="4567" spans="13:13" x14ac:dyDescent="0.25">
      <c r="M4567" s="21"/>
    </row>
    <row r="4568" spans="13:13" x14ac:dyDescent="0.25">
      <c r="M4568" s="21"/>
    </row>
    <row r="4569" spans="13:13" x14ac:dyDescent="0.25">
      <c r="M4569" s="21"/>
    </row>
    <row r="4570" spans="13:13" x14ac:dyDescent="0.25">
      <c r="M4570" s="21"/>
    </row>
    <row r="4571" spans="13:13" x14ac:dyDescent="0.25">
      <c r="M4571" s="21"/>
    </row>
    <row r="4572" spans="13:13" x14ac:dyDescent="0.25">
      <c r="M4572" s="21"/>
    </row>
    <row r="4573" spans="13:13" x14ac:dyDescent="0.25">
      <c r="M4573" s="21"/>
    </row>
    <row r="4574" spans="13:13" x14ac:dyDescent="0.25">
      <c r="M4574" s="21"/>
    </row>
    <row r="4575" spans="13:13" x14ac:dyDescent="0.25">
      <c r="M4575" s="21"/>
    </row>
    <row r="4576" spans="13:13" x14ac:dyDescent="0.25">
      <c r="M4576" s="21"/>
    </row>
    <row r="4577" spans="13:13" x14ac:dyDescent="0.25">
      <c r="M4577" s="21"/>
    </row>
    <row r="4578" spans="13:13" x14ac:dyDescent="0.25">
      <c r="M4578" s="21"/>
    </row>
    <row r="4579" spans="13:13" x14ac:dyDescent="0.25">
      <c r="M4579" s="21"/>
    </row>
    <row r="4580" spans="13:13" x14ac:dyDescent="0.25">
      <c r="M4580" s="21"/>
    </row>
    <row r="4581" spans="13:13" x14ac:dyDescent="0.25">
      <c r="M4581" s="21"/>
    </row>
    <row r="4582" spans="13:13" x14ac:dyDescent="0.25">
      <c r="M4582" s="21"/>
    </row>
    <row r="4583" spans="13:13" x14ac:dyDescent="0.25">
      <c r="M4583" s="21"/>
    </row>
    <row r="4584" spans="13:13" x14ac:dyDescent="0.25">
      <c r="M4584" s="21"/>
    </row>
    <row r="4585" spans="13:13" x14ac:dyDescent="0.25">
      <c r="M4585" s="21"/>
    </row>
    <row r="4586" spans="13:13" x14ac:dyDescent="0.25">
      <c r="M4586" s="21"/>
    </row>
    <row r="4587" spans="13:13" x14ac:dyDescent="0.25">
      <c r="M4587" s="21"/>
    </row>
    <row r="4588" spans="13:13" x14ac:dyDescent="0.25">
      <c r="M4588" s="21"/>
    </row>
    <row r="4589" spans="13:13" x14ac:dyDescent="0.25">
      <c r="M4589" s="21"/>
    </row>
    <row r="4590" spans="13:13" x14ac:dyDescent="0.25">
      <c r="M4590" s="21"/>
    </row>
    <row r="4591" spans="13:13" x14ac:dyDescent="0.25">
      <c r="M4591" s="21"/>
    </row>
    <row r="4592" spans="13:13" x14ac:dyDescent="0.25">
      <c r="M4592" s="21"/>
    </row>
    <row r="4593" spans="13:13" x14ac:dyDescent="0.25">
      <c r="M4593" s="21"/>
    </row>
    <row r="4594" spans="13:13" x14ac:dyDescent="0.25">
      <c r="M4594" s="21"/>
    </row>
    <row r="4595" spans="13:13" x14ac:dyDescent="0.25">
      <c r="M4595" s="21"/>
    </row>
    <row r="4596" spans="13:13" x14ac:dyDescent="0.25">
      <c r="M4596" s="21"/>
    </row>
    <row r="4597" spans="13:13" x14ac:dyDescent="0.25">
      <c r="M4597" s="21"/>
    </row>
    <row r="4598" spans="13:13" x14ac:dyDescent="0.25">
      <c r="M4598" s="21"/>
    </row>
    <row r="4599" spans="13:13" x14ac:dyDescent="0.25">
      <c r="M4599" s="21"/>
    </row>
    <row r="4600" spans="13:13" x14ac:dyDescent="0.25">
      <c r="M4600" s="21"/>
    </row>
    <row r="4601" spans="13:13" x14ac:dyDescent="0.25">
      <c r="M4601" s="21"/>
    </row>
    <row r="4602" spans="13:13" x14ac:dyDescent="0.25">
      <c r="M4602" s="21"/>
    </row>
    <row r="4603" spans="13:13" x14ac:dyDescent="0.25">
      <c r="M4603" s="21"/>
    </row>
    <row r="4604" spans="13:13" x14ac:dyDescent="0.25">
      <c r="M4604" s="21"/>
    </row>
    <row r="4605" spans="13:13" x14ac:dyDescent="0.25">
      <c r="M4605" s="21"/>
    </row>
    <row r="4606" spans="13:13" x14ac:dyDescent="0.25">
      <c r="M4606" s="21"/>
    </row>
    <row r="4607" spans="13:13" x14ac:dyDescent="0.25">
      <c r="M4607" s="21"/>
    </row>
    <row r="4608" spans="13:13" x14ac:dyDescent="0.25">
      <c r="M4608" s="21"/>
    </row>
    <row r="4609" spans="13:13" x14ac:dyDescent="0.25">
      <c r="M4609" s="21"/>
    </row>
    <row r="4610" spans="13:13" x14ac:dyDescent="0.25">
      <c r="M4610" s="21"/>
    </row>
    <row r="4611" spans="13:13" x14ac:dyDescent="0.25">
      <c r="M4611" s="21"/>
    </row>
    <row r="4612" spans="13:13" x14ac:dyDescent="0.25">
      <c r="M4612" s="21"/>
    </row>
    <row r="4613" spans="13:13" x14ac:dyDescent="0.25">
      <c r="M4613" s="21"/>
    </row>
    <row r="4614" spans="13:13" x14ac:dyDescent="0.25">
      <c r="M4614" s="21"/>
    </row>
    <row r="4615" spans="13:13" x14ac:dyDescent="0.25">
      <c r="M4615" s="21"/>
    </row>
    <row r="4616" spans="13:13" x14ac:dyDescent="0.25">
      <c r="M4616" s="21"/>
    </row>
    <row r="4617" spans="13:13" x14ac:dyDescent="0.25">
      <c r="M4617" s="21"/>
    </row>
    <row r="4618" spans="13:13" x14ac:dyDescent="0.25">
      <c r="M4618" s="21"/>
    </row>
    <row r="4619" spans="13:13" x14ac:dyDescent="0.25">
      <c r="M4619" s="21"/>
    </row>
    <row r="4620" spans="13:13" x14ac:dyDescent="0.25">
      <c r="M4620" s="21"/>
    </row>
    <row r="4621" spans="13:13" x14ac:dyDescent="0.25">
      <c r="M4621" s="21"/>
    </row>
    <row r="4622" spans="13:13" x14ac:dyDescent="0.25">
      <c r="M4622" s="21"/>
    </row>
    <row r="4623" spans="13:13" x14ac:dyDescent="0.25">
      <c r="M4623" s="21"/>
    </row>
    <row r="4624" spans="13:13" x14ac:dyDescent="0.25">
      <c r="M4624" s="21"/>
    </row>
    <row r="4625" spans="13:13" x14ac:dyDescent="0.25">
      <c r="M4625" s="21"/>
    </row>
    <row r="4626" spans="13:13" x14ac:dyDescent="0.25">
      <c r="M4626" s="21"/>
    </row>
    <row r="4627" spans="13:13" x14ac:dyDescent="0.25">
      <c r="M4627" s="21"/>
    </row>
    <row r="4628" spans="13:13" x14ac:dyDescent="0.25">
      <c r="M4628" s="21"/>
    </row>
    <row r="4629" spans="13:13" x14ac:dyDescent="0.25">
      <c r="M4629" s="21"/>
    </row>
    <row r="4630" spans="13:13" x14ac:dyDescent="0.25">
      <c r="M4630" s="21"/>
    </row>
    <row r="4631" spans="13:13" x14ac:dyDescent="0.25">
      <c r="M4631" s="21"/>
    </row>
    <row r="4632" spans="13:13" x14ac:dyDescent="0.25">
      <c r="M4632" s="21"/>
    </row>
    <row r="4633" spans="13:13" x14ac:dyDescent="0.25">
      <c r="M4633" s="21"/>
    </row>
    <row r="4634" spans="13:13" x14ac:dyDescent="0.25">
      <c r="M4634" s="21"/>
    </row>
    <row r="4635" spans="13:13" x14ac:dyDescent="0.25">
      <c r="M4635" s="21"/>
    </row>
    <row r="4636" spans="13:13" x14ac:dyDescent="0.25">
      <c r="M4636" s="21"/>
    </row>
    <row r="4637" spans="13:13" x14ac:dyDescent="0.25">
      <c r="M4637" s="21"/>
    </row>
    <row r="4638" spans="13:13" x14ac:dyDescent="0.25">
      <c r="M4638" s="21"/>
    </row>
    <row r="4639" spans="13:13" x14ac:dyDescent="0.25">
      <c r="M4639" s="21"/>
    </row>
    <row r="4640" spans="13:13" x14ac:dyDescent="0.25">
      <c r="M4640" s="21"/>
    </row>
    <row r="4641" spans="13:13" x14ac:dyDescent="0.25">
      <c r="M4641" s="21"/>
    </row>
    <row r="4642" spans="13:13" x14ac:dyDescent="0.25">
      <c r="M4642" s="21"/>
    </row>
    <row r="4643" spans="13:13" x14ac:dyDescent="0.25">
      <c r="M4643" s="21"/>
    </row>
    <row r="4644" spans="13:13" x14ac:dyDescent="0.25">
      <c r="M4644" s="21"/>
    </row>
    <row r="4645" spans="13:13" x14ac:dyDescent="0.25">
      <c r="M4645" s="21"/>
    </row>
    <row r="4646" spans="13:13" x14ac:dyDescent="0.25">
      <c r="M4646" s="21"/>
    </row>
    <row r="4647" spans="13:13" x14ac:dyDescent="0.25">
      <c r="M4647" s="21"/>
    </row>
    <row r="4648" spans="13:13" x14ac:dyDescent="0.25">
      <c r="M4648" s="21"/>
    </row>
    <row r="4649" spans="13:13" x14ac:dyDescent="0.25">
      <c r="M4649" s="21"/>
    </row>
    <row r="4650" spans="13:13" x14ac:dyDescent="0.25">
      <c r="M4650" s="21"/>
    </row>
    <row r="4651" spans="13:13" x14ac:dyDescent="0.25">
      <c r="M4651" s="21"/>
    </row>
    <row r="4652" spans="13:13" x14ac:dyDescent="0.25">
      <c r="M4652" s="21"/>
    </row>
    <row r="4653" spans="13:13" x14ac:dyDescent="0.25">
      <c r="M4653" s="21"/>
    </row>
    <row r="4654" spans="13:13" x14ac:dyDescent="0.25">
      <c r="M4654" s="21"/>
    </row>
    <row r="4655" spans="13:13" x14ac:dyDescent="0.25">
      <c r="M4655" s="21"/>
    </row>
    <row r="4656" spans="13:13" x14ac:dyDescent="0.25">
      <c r="M4656" s="21"/>
    </row>
    <row r="4657" spans="13:13" x14ac:dyDescent="0.25">
      <c r="M4657" s="21"/>
    </row>
    <row r="4658" spans="13:13" x14ac:dyDescent="0.25">
      <c r="M4658" s="21"/>
    </row>
    <row r="4659" spans="13:13" x14ac:dyDescent="0.25">
      <c r="M4659" s="21"/>
    </row>
    <row r="4660" spans="13:13" x14ac:dyDescent="0.25">
      <c r="M4660" s="21"/>
    </row>
    <row r="4661" spans="13:13" x14ac:dyDescent="0.25">
      <c r="M4661" s="21"/>
    </row>
    <row r="4662" spans="13:13" x14ac:dyDescent="0.25">
      <c r="M4662" s="21"/>
    </row>
    <row r="4663" spans="13:13" x14ac:dyDescent="0.25">
      <c r="M4663" s="21"/>
    </row>
    <row r="4664" spans="13:13" x14ac:dyDescent="0.25">
      <c r="M4664" s="21"/>
    </row>
    <row r="4665" spans="13:13" x14ac:dyDescent="0.25">
      <c r="M4665" s="21"/>
    </row>
    <row r="4666" spans="13:13" x14ac:dyDescent="0.25">
      <c r="M4666" s="21"/>
    </row>
    <row r="4667" spans="13:13" x14ac:dyDescent="0.25">
      <c r="M4667" s="21"/>
    </row>
    <row r="4668" spans="13:13" x14ac:dyDescent="0.25">
      <c r="M4668" s="21"/>
    </row>
    <row r="4669" spans="13:13" x14ac:dyDescent="0.25">
      <c r="M4669" s="21"/>
    </row>
    <row r="4670" spans="13:13" x14ac:dyDescent="0.25">
      <c r="M4670" s="21"/>
    </row>
    <row r="4671" spans="13:13" x14ac:dyDescent="0.25">
      <c r="M4671" s="21"/>
    </row>
    <row r="4672" spans="13:13" x14ac:dyDescent="0.25">
      <c r="M4672" s="21"/>
    </row>
    <row r="4673" spans="13:13" x14ac:dyDescent="0.25">
      <c r="M4673" s="21"/>
    </row>
    <row r="4674" spans="13:13" x14ac:dyDescent="0.25">
      <c r="M4674" s="21"/>
    </row>
    <row r="4675" spans="13:13" x14ac:dyDescent="0.25">
      <c r="M4675" s="21"/>
    </row>
    <row r="4676" spans="13:13" x14ac:dyDescent="0.25">
      <c r="M4676" s="21"/>
    </row>
    <row r="4677" spans="13:13" x14ac:dyDescent="0.25">
      <c r="M4677" s="21"/>
    </row>
    <row r="4678" spans="13:13" x14ac:dyDescent="0.25">
      <c r="M4678" s="21"/>
    </row>
    <row r="4679" spans="13:13" x14ac:dyDescent="0.25">
      <c r="M4679" s="21"/>
    </row>
    <row r="4680" spans="13:13" x14ac:dyDescent="0.25">
      <c r="M4680" s="21"/>
    </row>
    <row r="4681" spans="13:13" x14ac:dyDescent="0.25">
      <c r="M4681" s="21"/>
    </row>
    <row r="4682" spans="13:13" x14ac:dyDescent="0.25">
      <c r="M4682" s="21"/>
    </row>
    <row r="4683" spans="13:13" x14ac:dyDescent="0.25">
      <c r="M4683" s="21"/>
    </row>
    <row r="4684" spans="13:13" x14ac:dyDescent="0.25">
      <c r="M4684" s="21"/>
    </row>
    <row r="4685" spans="13:13" x14ac:dyDescent="0.25">
      <c r="M4685" s="21"/>
    </row>
    <row r="4686" spans="13:13" x14ac:dyDescent="0.25">
      <c r="M4686" s="21"/>
    </row>
    <row r="4687" spans="13:13" x14ac:dyDescent="0.25">
      <c r="M4687" s="21"/>
    </row>
    <row r="4688" spans="13:13" x14ac:dyDescent="0.25">
      <c r="M4688" s="21"/>
    </row>
    <row r="4689" spans="13:13" x14ac:dyDescent="0.25">
      <c r="M4689" s="21"/>
    </row>
    <row r="4690" spans="13:13" x14ac:dyDescent="0.25">
      <c r="M4690" s="21"/>
    </row>
    <row r="4691" spans="13:13" x14ac:dyDescent="0.25">
      <c r="M4691" s="21"/>
    </row>
    <row r="4692" spans="13:13" x14ac:dyDescent="0.25">
      <c r="M4692" s="21"/>
    </row>
    <row r="4693" spans="13:13" x14ac:dyDescent="0.25">
      <c r="M4693" s="21"/>
    </row>
    <row r="4694" spans="13:13" x14ac:dyDescent="0.25">
      <c r="M4694" s="21"/>
    </row>
    <row r="4695" spans="13:13" x14ac:dyDescent="0.25">
      <c r="M4695" s="21"/>
    </row>
    <row r="4696" spans="13:13" x14ac:dyDescent="0.25">
      <c r="M4696" s="21"/>
    </row>
    <row r="4697" spans="13:13" x14ac:dyDescent="0.25">
      <c r="M4697" s="21"/>
    </row>
    <row r="4698" spans="13:13" x14ac:dyDescent="0.25">
      <c r="M4698" s="21"/>
    </row>
    <row r="4699" spans="13:13" x14ac:dyDescent="0.25">
      <c r="M4699" s="21"/>
    </row>
    <row r="4700" spans="13:13" x14ac:dyDescent="0.25">
      <c r="M4700" s="21"/>
    </row>
    <row r="4701" spans="13:13" x14ac:dyDescent="0.25">
      <c r="M4701" s="21"/>
    </row>
    <row r="4702" spans="13:13" x14ac:dyDescent="0.25">
      <c r="M4702" s="21"/>
    </row>
    <row r="4703" spans="13:13" x14ac:dyDescent="0.25">
      <c r="M4703" s="21"/>
    </row>
    <row r="4704" spans="13:13" x14ac:dyDescent="0.25">
      <c r="M4704" s="21"/>
    </row>
    <row r="4705" spans="13:13" x14ac:dyDescent="0.25">
      <c r="M4705" s="21"/>
    </row>
    <row r="4706" spans="13:13" x14ac:dyDescent="0.25">
      <c r="M4706" s="21"/>
    </row>
    <row r="4707" spans="13:13" x14ac:dyDescent="0.25">
      <c r="M4707" s="21"/>
    </row>
    <row r="4708" spans="13:13" x14ac:dyDescent="0.25">
      <c r="M4708" s="21"/>
    </row>
    <row r="4709" spans="13:13" x14ac:dyDescent="0.25">
      <c r="M4709" s="21"/>
    </row>
    <row r="4710" spans="13:13" x14ac:dyDescent="0.25">
      <c r="M4710" s="21"/>
    </row>
    <row r="4711" spans="13:13" x14ac:dyDescent="0.25">
      <c r="M4711" s="21"/>
    </row>
    <row r="4712" spans="13:13" x14ac:dyDescent="0.25">
      <c r="M4712" s="21"/>
    </row>
    <row r="4713" spans="13:13" x14ac:dyDescent="0.25">
      <c r="M4713" s="21"/>
    </row>
    <row r="4714" spans="13:13" x14ac:dyDescent="0.25">
      <c r="M4714" s="21"/>
    </row>
    <row r="4715" spans="13:13" x14ac:dyDescent="0.25">
      <c r="M4715" s="21"/>
    </row>
    <row r="4716" spans="13:13" x14ac:dyDescent="0.25">
      <c r="M4716" s="21"/>
    </row>
    <row r="4717" spans="13:13" x14ac:dyDescent="0.25">
      <c r="M4717" s="21"/>
    </row>
    <row r="4718" spans="13:13" x14ac:dyDescent="0.25">
      <c r="M4718" s="21"/>
    </row>
    <row r="4719" spans="13:13" x14ac:dyDescent="0.25">
      <c r="M4719" s="21"/>
    </row>
    <row r="4720" spans="13:13" x14ac:dyDescent="0.25">
      <c r="M4720" s="21"/>
    </row>
    <row r="4721" spans="13:13" x14ac:dyDescent="0.25">
      <c r="M4721" s="21"/>
    </row>
    <row r="4722" spans="13:13" x14ac:dyDescent="0.25">
      <c r="M4722" s="21"/>
    </row>
    <row r="4723" spans="13:13" x14ac:dyDescent="0.25">
      <c r="M4723" s="21"/>
    </row>
    <row r="4724" spans="13:13" x14ac:dyDescent="0.25">
      <c r="M4724" s="21"/>
    </row>
    <row r="4725" spans="13:13" x14ac:dyDescent="0.25">
      <c r="M4725" s="21"/>
    </row>
    <row r="4726" spans="13:13" x14ac:dyDescent="0.25">
      <c r="M4726" s="21"/>
    </row>
    <row r="4727" spans="13:13" x14ac:dyDescent="0.25">
      <c r="M4727" s="21"/>
    </row>
    <row r="4728" spans="13:13" x14ac:dyDescent="0.25">
      <c r="M4728" s="21"/>
    </row>
    <row r="4729" spans="13:13" x14ac:dyDescent="0.25">
      <c r="M4729" s="21"/>
    </row>
    <row r="4730" spans="13:13" x14ac:dyDescent="0.25">
      <c r="M4730" s="21"/>
    </row>
    <row r="4731" spans="13:13" x14ac:dyDescent="0.25">
      <c r="M4731" s="21"/>
    </row>
    <row r="4732" spans="13:13" x14ac:dyDescent="0.25">
      <c r="M4732" s="21"/>
    </row>
    <row r="4733" spans="13:13" x14ac:dyDescent="0.25">
      <c r="M4733" s="21"/>
    </row>
    <row r="4734" spans="13:13" x14ac:dyDescent="0.25">
      <c r="M4734" s="21"/>
    </row>
    <row r="4735" spans="13:13" x14ac:dyDescent="0.25">
      <c r="M4735" s="21"/>
    </row>
    <row r="4736" spans="13:13" x14ac:dyDescent="0.25">
      <c r="M4736" s="21"/>
    </row>
    <row r="4737" spans="13:13" x14ac:dyDescent="0.25">
      <c r="M4737" s="21"/>
    </row>
    <row r="4738" spans="13:13" x14ac:dyDescent="0.25">
      <c r="M4738" s="21"/>
    </row>
    <row r="4739" spans="13:13" x14ac:dyDescent="0.25">
      <c r="M4739" s="21"/>
    </row>
    <row r="4740" spans="13:13" x14ac:dyDescent="0.25">
      <c r="M4740" s="21"/>
    </row>
    <row r="4741" spans="13:13" x14ac:dyDescent="0.25">
      <c r="M4741" s="21"/>
    </row>
    <row r="4742" spans="13:13" x14ac:dyDescent="0.25">
      <c r="M4742" s="21"/>
    </row>
    <row r="4743" spans="13:13" x14ac:dyDescent="0.25">
      <c r="M4743" s="21"/>
    </row>
    <row r="4744" spans="13:13" x14ac:dyDescent="0.25">
      <c r="M4744" s="21"/>
    </row>
    <row r="4745" spans="13:13" x14ac:dyDescent="0.25">
      <c r="M4745" s="21"/>
    </row>
    <row r="4746" spans="13:13" x14ac:dyDescent="0.25">
      <c r="M4746" s="21"/>
    </row>
    <row r="4747" spans="13:13" x14ac:dyDescent="0.25">
      <c r="M4747" s="21"/>
    </row>
    <row r="4748" spans="13:13" x14ac:dyDescent="0.25">
      <c r="M4748" s="21"/>
    </row>
    <row r="4749" spans="13:13" x14ac:dyDescent="0.25">
      <c r="M4749" s="21"/>
    </row>
    <row r="4750" spans="13:13" x14ac:dyDescent="0.25">
      <c r="M4750" s="21"/>
    </row>
    <row r="4751" spans="13:13" x14ac:dyDescent="0.25">
      <c r="M4751" s="21"/>
    </row>
    <row r="4752" spans="13:13" x14ac:dyDescent="0.25">
      <c r="M4752" s="21"/>
    </row>
    <row r="4753" spans="13:13" x14ac:dyDescent="0.25">
      <c r="M4753" s="21"/>
    </row>
    <row r="4754" spans="13:13" x14ac:dyDescent="0.25">
      <c r="M4754" s="21"/>
    </row>
    <row r="4755" spans="13:13" x14ac:dyDescent="0.25">
      <c r="M4755" s="21"/>
    </row>
    <row r="4756" spans="13:13" x14ac:dyDescent="0.25">
      <c r="M4756" s="21"/>
    </row>
    <row r="4757" spans="13:13" x14ac:dyDescent="0.25">
      <c r="M4757" s="21"/>
    </row>
    <row r="4758" spans="13:13" x14ac:dyDescent="0.25">
      <c r="M4758" s="21"/>
    </row>
    <row r="4759" spans="13:13" x14ac:dyDescent="0.25">
      <c r="M4759" s="21"/>
    </row>
    <row r="4760" spans="13:13" x14ac:dyDescent="0.25">
      <c r="M4760" s="21"/>
    </row>
    <row r="4761" spans="13:13" x14ac:dyDescent="0.25">
      <c r="M4761" s="21"/>
    </row>
    <row r="4762" spans="13:13" x14ac:dyDescent="0.25">
      <c r="M4762" s="21"/>
    </row>
    <row r="4763" spans="13:13" x14ac:dyDescent="0.25">
      <c r="M4763" s="21"/>
    </row>
    <row r="4764" spans="13:13" x14ac:dyDescent="0.25">
      <c r="M4764" s="21"/>
    </row>
    <row r="4765" spans="13:13" x14ac:dyDescent="0.25">
      <c r="M4765" s="21"/>
    </row>
    <row r="4766" spans="13:13" x14ac:dyDescent="0.25">
      <c r="M4766" s="21"/>
    </row>
    <row r="4767" spans="13:13" x14ac:dyDescent="0.25">
      <c r="M4767" s="21"/>
    </row>
    <row r="4768" spans="13:13" x14ac:dyDescent="0.25">
      <c r="M4768" s="21"/>
    </row>
    <row r="4769" spans="13:13" x14ac:dyDescent="0.25">
      <c r="M4769" s="21"/>
    </row>
    <row r="4770" spans="13:13" x14ac:dyDescent="0.25">
      <c r="M4770" s="21"/>
    </row>
    <row r="4771" spans="13:13" x14ac:dyDescent="0.25">
      <c r="M4771" s="21"/>
    </row>
    <row r="4772" spans="13:13" x14ac:dyDescent="0.25">
      <c r="M4772" s="21"/>
    </row>
    <row r="4773" spans="13:13" x14ac:dyDescent="0.25">
      <c r="M4773" s="21"/>
    </row>
    <row r="4774" spans="13:13" x14ac:dyDescent="0.25">
      <c r="M4774" s="21"/>
    </row>
    <row r="4775" spans="13:13" x14ac:dyDescent="0.25">
      <c r="M4775" s="21"/>
    </row>
    <row r="4776" spans="13:13" x14ac:dyDescent="0.25">
      <c r="M4776" s="21"/>
    </row>
    <row r="4777" spans="13:13" x14ac:dyDescent="0.25">
      <c r="M4777" s="21"/>
    </row>
    <row r="4778" spans="13:13" x14ac:dyDescent="0.25">
      <c r="M4778" s="21"/>
    </row>
    <row r="4779" spans="13:13" x14ac:dyDescent="0.25">
      <c r="M4779" s="21"/>
    </row>
    <row r="4780" spans="13:13" x14ac:dyDescent="0.25">
      <c r="M4780" s="21"/>
    </row>
    <row r="4781" spans="13:13" x14ac:dyDescent="0.25">
      <c r="M4781" s="21"/>
    </row>
    <row r="4782" spans="13:13" x14ac:dyDescent="0.25">
      <c r="M4782" s="21"/>
    </row>
    <row r="4783" spans="13:13" x14ac:dyDescent="0.25">
      <c r="M4783" s="21"/>
    </row>
    <row r="4784" spans="13:13" x14ac:dyDescent="0.25">
      <c r="M4784" s="21"/>
    </row>
    <row r="4785" spans="13:13" x14ac:dyDescent="0.25">
      <c r="M4785" s="21"/>
    </row>
    <row r="4786" spans="13:13" x14ac:dyDescent="0.25">
      <c r="M4786" s="21"/>
    </row>
    <row r="4787" spans="13:13" x14ac:dyDescent="0.25">
      <c r="M4787" s="21"/>
    </row>
    <row r="4788" spans="13:13" x14ac:dyDescent="0.25">
      <c r="M4788" s="21"/>
    </row>
    <row r="4789" spans="13:13" x14ac:dyDescent="0.25">
      <c r="M4789" s="21"/>
    </row>
    <row r="4790" spans="13:13" x14ac:dyDescent="0.25">
      <c r="M4790" s="21"/>
    </row>
    <row r="4791" spans="13:13" x14ac:dyDescent="0.25">
      <c r="M4791" s="21"/>
    </row>
    <row r="4792" spans="13:13" x14ac:dyDescent="0.25">
      <c r="M4792" s="21"/>
    </row>
    <row r="4793" spans="13:13" x14ac:dyDescent="0.25">
      <c r="M4793" s="21"/>
    </row>
    <row r="4794" spans="13:13" x14ac:dyDescent="0.25">
      <c r="M4794" s="21"/>
    </row>
    <row r="4795" spans="13:13" x14ac:dyDescent="0.25">
      <c r="M4795" s="21"/>
    </row>
    <row r="4796" spans="13:13" x14ac:dyDescent="0.25">
      <c r="M4796" s="21"/>
    </row>
    <row r="4797" spans="13:13" x14ac:dyDescent="0.25">
      <c r="M4797" s="21"/>
    </row>
    <row r="4798" spans="13:13" x14ac:dyDescent="0.25">
      <c r="M4798" s="21"/>
    </row>
    <row r="4799" spans="13:13" x14ac:dyDescent="0.25">
      <c r="M4799" s="21"/>
    </row>
    <row r="4800" spans="13:13" x14ac:dyDescent="0.25">
      <c r="M4800" s="21"/>
    </row>
    <row r="4801" spans="13:13" x14ac:dyDescent="0.25">
      <c r="M4801" s="21"/>
    </row>
    <row r="4802" spans="13:13" x14ac:dyDescent="0.25">
      <c r="M4802" s="21"/>
    </row>
    <row r="4803" spans="13:13" x14ac:dyDescent="0.25">
      <c r="M4803" s="21"/>
    </row>
    <row r="4804" spans="13:13" x14ac:dyDescent="0.25">
      <c r="M4804" s="21"/>
    </row>
    <row r="4805" spans="13:13" x14ac:dyDescent="0.25">
      <c r="M4805" s="21"/>
    </row>
    <row r="4806" spans="13:13" x14ac:dyDescent="0.25">
      <c r="M4806" s="21"/>
    </row>
    <row r="4807" spans="13:13" x14ac:dyDescent="0.25">
      <c r="M4807" s="21"/>
    </row>
    <row r="4808" spans="13:13" x14ac:dyDescent="0.25">
      <c r="M4808" s="21"/>
    </row>
    <row r="4809" spans="13:13" x14ac:dyDescent="0.25">
      <c r="M4809" s="21"/>
    </row>
    <row r="4810" spans="13:13" x14ac:dyDescent="0.25">
      <c r="M4810" s="21"/>
    </row>
    <row r="4811" spans="13:13" x14ac:dyDescent="0.25">
      <c r="M4811" s="21"/>
    </row>
    <row r="4812" spans="13:13" x14ac:dyDescent="0.25">
      <c r="M4812" s="21"/>
    </row>
    <row r="4813" spans="13:13" x14ac:dyDescent="0.25">
      <c r="M4813" s="21"/>
    </row>
    <row r="4814" spans="13:13" x14ac:dyDescent="0.25">
      <c r="M4814" s="21"/>
    </row>
    <row r="4815" spans="13:13" x14ac:dyDescent="0.25">
      <c r="M4815" s="21"/>
    </row>
    <row r="4816" spans="13:13" x14ac:dyDescent="0.25">
      <c r="M4816" s="21"/>
    </row>
    <row r="4817" spans="13:13" x14ac:dyDescent="0.25">
      <c r="M4817" s="21"/>
    </row>
    <row r="4818" spans="13:13" x14ac:dyDescent="0.25">
      <c r="M4818" s="21"/>
    </row>
    <row r="4819" spans="13:13" x14ac:dyDescent="0.25">
      <c r="M4819" s="21"/>
    </row>
    <row r="4820" spans="13:13" x14ac:dyDescent="0.25">
      <c r="M4820" s="21"/>
    </row>
    <row r="4821" spans="13:13" x14ac:dyDescent="0.25">
      <c r="M4821" s="21"/>
    </row>
    <row r="4822" spans="13:13" x14ac:dyDescent="0.25">
      <c r="M4822" s="21"/>
    </row>
    <row r="4823" spans="13:13" x14ac:dyDescent="0.25">
      <c r="M4823" s="21"/>
    </row>
    <row r="4824" spans="13:13" x14ac:dyDescent="0.25">
      <c r="M4824" s="21"/>
    </row>
    <row r="4825" spans="13:13" x14ac:dyDescent="0.25">
      <c r="M4825" s="21"/>
    </row>
    <row r="4826" spans="13:13" x14ac:dyDescent="0.25">
      <c r="M4826" s="21"/>
    </row>
    <row r="4827" spans="13:13" x14ac:dyDescent="0.25">
      <c r="M4827" s="21"/>
    </row>
    <row r="4828" spans="13:13" x14ac:dyDescent="0.25">
      <c r="M4828" s="21"/>
    </row>
    <row r="4829" spans="13:13" x14ac:dyDescent="0.25">
      <c r="M4829" s="21"/>
    </row>
    <row r="4830" spans="13:13" x14ac:dyDescent="0.25">
      <c r="M4830" s="21"/>
    </row>
    <row r="4831" spans="13:13" x14ac:dyDescent="0.25">
      <c r="M4831" s="21"/>
    </row>
    <row r="4832" spans="13:13" x14ac:dyDescent="0.25">
      <c r="M4832" s="21"/>
    </row>
    <row r="4833" spans="13:13" x14ac:dyDescent="0.25">
      <c r="M4833" s="21"/>
    </row>
    <row r="4834" spans="13:13" x14ac:dyDescent="0.25">
      <c r="M4834" s="21"/>
    </row>
    <row r="4835" spans="13:13" x14ac:dyDescent="0.25">
      <c r="M4835" s="21"/>
    </row>
    <row r="4836" spans="13:13" x14ac:dyDescent="0.25">
      <c r="M4836" s="21"/>
    </row>
    <row r="4837" spans="13:13" x14ac:dyDescent="0.25">
      <c r="M4837" s="21"/>
    </row>
    <row r="4838" spans="13:13" x14ac:dyDescent="0.25">
      <c r="M4838" s="21"/>
    </row>
    <row r="4839" spans="13:13" x14ac:dyDescent="0.25">
      <c r="M4839" s="21"/>
    </row>
    <row r="4840" spans="13:13" x14ac:dyDescent="0.25">
      <c r="M4840" s="21"/>
    </row>
    <row r="4841" spans="13:13" x14ac:dyDescent="0.25">
      <c r="M4841" s="21"/>
    </row>
    <row r="4842" spans="13:13" x14ac:dyDescent="0.25">
      <c r="M4842" s="21"/>
    </row>
    <row r="4843" spans="13:13" x14ac:dyDescent="0.25">
      <c r="M4843" s="21"/>
    </row>
    <row r="4844" spans="13:13" x14ac:dyDescent="0.25">
      <c r="M4844" s="21"/>
    </row>
    <row r="4845" spans="13:13" x14ac:dyDescent="0.25">
      <c r="M4845" s="21"/>
    </row>
    <row r="4846" spans="13:13" x14ac:dyDescent="0.25">
      <c r="M4846" s="21"/>
    </row>
    <row r="4847" spans="13:13" x14ac:dyDescent="0.25">
      <c r="M4847" s="21"/>
    </row>
    <row r="4848" spans="13:13" x14ac:dyDescent="0.25">
      <c r="M4848" s="21"/>
    </row>
    <row r="4849" spans="13:13" x14ac:dyDescent="0.25">
      <c r="M4849" s="21"/>
    </row>
    <row r="4850" spans="13:13" x14ac:dyDescent="0.25">
      <c r="M4850" s="21"/>
    </row>
    <row r="4851" spans="13:13" x14ac:dyDescent="0.25">
      <c r="M4851" s="21"/>
    </row>
    <row r="4852" spans="13:13" x14ac:dyDescent="0.25">
      <c r="M4852" s="21"/>
    </row>
    <row r="4853" spans="13:13" x14ac:dyDescent="0.25">
      <c r="M4853" s="21"/>
    </row>
    <row r="4854" spans="13:13" x14ac:dyDescent="0.25">
      <c r="M4854" s="21"/>
    </row>
    <row r="4855" spans="13:13" x14ac:dyDescent="0.25">
      <c r="M4855" s="21"/>
    </row>
    <row r="4856" spans="13:13" x14ac:dyDescent="0.25">
      <c r="M4856" s="21"/>
    </row>
    <row r="4857" spans="13:13" x14ac:dyDescent="0.25">
      <c r="M4857" s="21"/>
    </row>
    <row r="4858" spans="13:13" x14ac:dyDescent="0.25">
      <c r="M4858" s="21"/>
    </row>
    <row r="4859" spans="13:13" x14ac:dyDescent="0.25">
      <c r="M4859" s="21"/>
    </row>
    <row r="4860" spans="13:13" x14ac:dyDescent="0.25">
      <c r="M4860" s="21"/>
    </row>
    <row r="4861" spans="13:13" x14ac:dyDescent="0.25">
      <c r="M4861" s="21"/>
    </row>
    <row r="4862" spans="13:13" x14ac:dyDescent="0.25">
      <c r="M4862" s="21"/>
    </row>
    <row r="4863" spans="13:13" x14ac:dyDescent="0.25">
      <c r="M4863" s="21"/>
    </row>
    <row r="4864" spans="13:13" x14ac:dyDescent="0.25">
      <c r="M4864" s="21"/>
    </row>
    <row r="4865" spans="13:13" x14ac:dyDescent="0.25">
      <c r="M4865" s="21"/>
    </row>
    <row r="4866" spans="13:13" x14ac:dyDescent="0.25">
      <c r="M4866" s="21"/>
    </row>
    <row r="4867" spans="13:13" x14ac:dyDescent="0.25">
      <c r="M4867" s="21"/>
    </row>
    <row r="4868" spans="13:13" x14ac:dyDescent="0.25">
      <c r="M4868" s="21"/>
    </row>
    <row r="4869" spans="13:13" x14ac:dyDescent="0.25">
      <c r="M4869" s="21"/>
    </row>
    <row r="4870" spans="13:13" x14ac:dyDescent="0.25">
      <c r="M4870" s="21"/>
    </row>
    <row r="4871" spans="13:13" x14ac:dyDescent="0.25">
      <c r="M4871" s="21"/>
    </row>
    <row r="4872" spans="13:13" x14ac:dyDescent="0.25">
      <c r="M4872" s="21"/>
    </row>
    <row r="4873" spans="13:13" x14ac:dyDescent="0.25">
      <c r="M4873" s="21"/>
    </row>
    <row r="4874" spans="13:13" x14ac:dyDescent="0.25">
      <c r="M4874" s="21"/>
    </row>
    <row r="4875" spans="13:13" x14ac:dyDescent="0.25">
      <c r="M4875" s="21"/>
    </row>
    <row r="4876" spans="13:13" x14ac:dyDescent="0.25">
      <c r="M4876" s="21"/>
    </row>
    <row r="4877" spans="13:13" x14ac:dyDescent="0.25">
      <c r="M4877" s="21"/>
    </row>
    <row r="4878" spans="13:13" x14ac:dyDescent="0.25">
      <c r="M4878" s="21"/>
    </row>
    <row r="4879" spans="13:13" x14ac:dyDescent="0.25">
      <c r="M4879" s="21"/>
    </row>
    <row r="4880" spans="13:13" x14ac:dyDescent="0.25">
      <c r="M4880" s="21"/>
    </row>
    <row r="4881" spans="13:13" x14ac:dyDescent="0.25">
      <c r="M4881" s="21"/>
    </row>
    <row r="4882" spans="13:13" x14ac:dyDescent="0.25">
      <c r="M4882" s="21"/>
    </row>
    <row r="4883" spans="13:13" x14ac:dyDescent="0.25">
      <c r="M4883" s="21"/>
    </row>
    <row r="4884" spans="13:13" x14ac:dyDescent="0.25">
      <c r="M4884" s="21"/>
    </row>
    <row r="4885" spans="13:13" x14ac:dyDescent="0.25">
      <c r="M4885" s="21"/>
    </row>
    <row r="4886" spans="13:13" x14ac:dyDescent="0.25">
      <c r="M4886" s="21"/>
    </row>
    <row r="4887" spans="13:13" x14ac:dyDescent="0.25">
      <c r="M4887" s="21"/>
    </row>
    <row r="4888" spans="13:13" x14ac:dyDescent="0.25">
      <c r="M4888" s="21"/>
    </row>
    <row r="4889" spans="13:13" x14ac:dyDescent="0.25">
      <c r="M4889" s="21"/>
    </row>
    <row r="4890" spans="13:13" x14ac:dyDescent="0.25">
      <c r="M4890" s="21"/>
    </row>
    <row r="4891" spans="13:13" x14ac:dyDescent="0.25">
      <c r="M4891" s="21"/>
    </row>
    <row r="4892" spans="13:13" x14ac:dyDescent="0.25">
      <c r="M4892" s="21"/>
    </row>
    <row r="4893" spans="13:13" x14ac:dyDescent="0.25">
      <c r="M4893" s="21"/>
    </row>
    <row r="4894" spans="13:13" x14ac:dyDescent="0.25">
      <c r="M4894" s="21"/>
    </row>
    <row r="4895" spans="13:13" x14ac:dyDescent="0.25">
      <c r="M4895" s="21"/>
    </row>
    <row r="4896" spans="13:13" x14ac:dyDescent="0.25">
      <c r="M4896" s="21"/>
    </row>
    <row r="4897" spans="13:13" x14ac:dyDescent="0.25">
      <c r="M4897" s="21"/>
    </row>
    <row r="4898" spans="13:13" x14ac:dyDescent="0.25">
      <c r="M4898" s="21"/>
    </row>
    <row r="4899" spans="13:13" x14ac:dyDescent="0.25">
      <c r="M4899" s="21"/>
    </row>
    <row r="4900" spans="13:13" x14ac:dyDescent="0.25">
      <c r="M4900" s="21"/>
    </row>
    <row r="4901" spans="13:13" x14ac:dyDescent="0.25">
      <c r="M4901" s="21"/>
    </row>
    <row r="4902" spans="13:13" x14ac:dyDescent="0.25">
      <c r="M4902" s="21"/>
    </row>
    <row r="4903" spans="13:13" x14ac:dyDescent="0.25">
      <c r="M4903" s="21"/>
    </row>
    <row r="4904" spans="13:13" x14ac:dyDescent="0.25">
      <c r="M4904" s="21"/>
    </row>
    <row r="4905" spans="13:13" x14ac:dyDescent="0.25">
      <c r="M4905" s="21"/>
    </row>
    <row r="4906" spans="13:13" x14ac:dyDescent="0.25">
      <c r="M4906" s="21"/>
    </row>
    <row r="4907" spans="13:13" x14ac:dyDescent="0.25">
      <c r="M4907" s="21"/>
    </row>
    <row r="4908" spans="13:13" x14ac:dyDescent="0.25">
      <c r="M4908" s="21"/>
    </row>
    <row r="4909" spans="13:13" x14ac:dyDescent="0.25">
      <c r="M4909" s="21"/>
    </row>
    <row r="4910" spans="13:13" x14ac:dyDescent="0.25">
      <c r="M4910" s="21"/>
    </row>
    <row r="4911" spans="13:13" x14ac:dyDescent="0.25">
      <c r="M4911" s="21"/>
    </row>
    <row r="4912" spans="13:13" x14ac:dyDescent="0.25">
      <c r="M4912" s="21"/>
    </row>
    <row r="4913" spans="13:13" x14ac:dyDescent="0.25">
      <c r="M4913" s="21"/>
    </row>
    <row r="4914" spans="13:13" x14ac:dyDescent="0.25">
      <c r="M4914" s="21"/>
    </row>
    <row r="4915" spans="13:13" x14ac:dyDescent="0.25">
      <c r="M4915" s="21"/>
    </row>
    <row r="4916" spans="13:13" x14ac:dyDescent="0.25">
      <c r="M4916" s="21"/>
    </row>
    <row r="4917" spans="13:13" x14ac:dyDescent="0.25">
      <c r="M4917" s="21"/>
    </row>
    <row r="4918" spans="13:13" x14ac:dyDescent="0.25">
      <c r="M4918" s="21"/>
    </row>
    <row r="4919" spans="13:13" x14ac:dyDescent="0.25">
      <c r="M4919" s="21"/>
    </row>
    <row r="4920" spans="13:13" x14ac:dyDescent="0.25">
      <c r="M4920" s="21"/>
    </row>
    <row r="4921" spans="13:13" x14ac:dyDescent="0.25">
      <c r="M4921" s="21"/>
    </row>
    <row r="4922" spans="13:13" x14ac:dyDescent="0.25">
      <c r="M4922" s="21"/>
    </row>
    <row r="4923" spans="13:13" x14ac:dyDescent="0.25">
      <c r="M4923" s="21"/>
    </row>
    <row r="4924" spans="13:13" x14ac:dyDescent="0.25">
      <c r="M4924" s="21"/>
    </row>
    <row r="4925" spans="13:13" x14ac:dyDescent="0.25">
      <c r="M4925" s="21"/>
    </row>
    <row r="4926" spans="13:13" x14ac:dyDescent="0.25">
      <c r="M4926" s="21"/>
    </row>
    <row r="4927" spans="13:13" x14ac:dyDescent="0.25">
      <c r="M4927" s="21"/>
    </row>
    <row r="4928" spans="13:13" x14ac:dyDescent="0.25">
      <c r="M4928" s="21"/>
    </row>
    <row r="4929" spans="13:13" x14ac:dyDescent="0.25">
      <c r="M4929" s="21"/>
    </row>
    <row r="4930" spans="13:13" x14ac:dyDescent="0.25">
      <c r="M4930" s="21"/>
    </row>
    <row r="4931" spans="13:13" x14ac:dyDescent="0.25">
      <c r="M4931" s="21"/>
    </row>
    <row r="4932" spans="13:13" x14ac:dyDescent="0.25">
      <c r="M4932" s="21"/>
    </row>
    <row r="4933" spans="13:13" x14ac:dyDescent="0.25">
      <c r="M4933" s="21"/>
    </row>
    <row r="4934" spans="13:13" x14ac:dyDescent="0.25">
      <c r="M4934" s="21"/>
    </row>
    <row r="4935" spans="13:13" x14ac:dyDescent="0.25">
      <c r="M4935" s="21"/>
    </row>
    <row r="4936" spans="13:13" x14ac:dyDescent="0.25">
      <c r="M4936" s="21"/>
    </row>
    <row r="4937" spans="13:13" x14ac:dyDescent="0.25">
      <c r="M4937" s="21"/>
    </row>
    <row r="4938" spans="13:13" x14ac:dyDescent="0.25">
      <c r="M4938" s="21"/>
    </row>
    <row r="4939" spans="13:13" x14ac:dyDescent="0.25">
      <c r="M4939" s="21"/>
    </row>
    <row r="4940" spans="13:13" x14ac:dyDescent="0.25">
      <c r="M4940" s="21"/>
    </row>
    <row r="4941" spans="13:13" x14ac:dyDescent="0.25">
      <c r="M4941" s="21"/>
    </row>
    <row r="4942" spans="13:13" x14ac:dyDescent="0.25">
      <c r="M4942" s="21"/>
    </row>
    <row r="4943" spans="13:13" x14ac:dyDescent="0.25">
      <c r="M4943" s="21"/>
    </row>
    <row r="4944" spans="13:13" x14ac:dyDescent="0.25">
      <c r="M4944" s="21"/>
    </row>
    <row r="4945" spans="13:13" x14ac:dyDescent="0.25">
      <c r="M4945" s="21"/>
    </row>
    <row r="4946" spans="13:13" x14ac:dyDescent="0.25">
      <c r="M4946" s="21"/>
    </row>
    <row r="4947" spans="13:13" x14ac:dyDescent="0.25">
      <c r="M4947" s="21"/>
    </row>
    <row r="4948" spans="13:13" x14ac:dyDescent="0.25">
      <c r="M4948" s="21"/>
    </row>
    <row r="4949" spans="13:13" x14ac:dyDescent="0.25">
      <c r="M4949" s="21"/>
    </row>
    <row r="4950" spans="13:13" x14ac:dyDescent="0.25">
      <c r="M4950" s="21"/>
    </row>
    <row r="4951" spans="13:13" x14ac:dyDescent="0.25">
      <c r="M4951" s="21"/>
    </row>
    <row r="4952" spans="13:13" x14ac:dyDescent="0.25">
      <c r="M4952" s="21"/>
    </row>
    <row r="4953" spans="13:13" x14ac:dyDescent="0.25">
      <c r="M4953" s="21"/>
    </row>
    <row r="4954" spans="13:13" x14ac:dyDescent="0.25">
      <c r="M4954" s="21"/>
    </row>
    <row r="4955" spans="13:13" x14ac:dyDescent="0.25">
      <c r="M4955" s="21"/>
    </row>
    <row r="4956" spans="13:13" x14ac:dyDescent="0.25">
      <c r="M4956" s="21"/>
    </row>
    <row r="4957" spans="13:13" x14ac:dyDescent="0.25">
      <c r="M4957" s="21"/>
    </row>
    <row r="4958" spans="13:13" x14ac:dyDescent="0.25">
      <c r="M4958" s="21"/>
    </row>
    <row r="4959" spans="13:13" x14ac:dyDescent="0.25">
      <c r="M4959" s="21"/>
    </row>
    <row r="4960" spans="13:13" x14ac:dyDescent="0.25">
      <c r="M4960" s="21"/>
    </row>
    <row r="4961" spans="13:13" x14ac:dyDescent="0.25">
      <c r="M4961" s="21"/>
    </row>
    <row r="4962" spans="13:13" x14ac:dyDescent="0.25">
      <c r="M4962" s="21"/>
    </row>
    <row r="4963" spans="13:13" x14ac:dyDescent="0.25">
      <c r="M4963" s="21"/>
    </row>
    <row r="4964" spans="13:13" x14ac:dyDescent="0.25">
      <c r="M4964" s="21"/>
    </row>
    <row r="4965" spans="13:13" x14ac:dyDescent="0.25">
      <c r="M4965" s="21"/>
    </row>
    <row r="4966" spans="13:13" x14ac:dyDescent="0.25">
      <c r="M4966" s="21"/>
    </row>
    <row r="4967" spans="13:13" x14ac:dyDescent="0.25">
      <c r="M4967" s="21"/>
    </row>
    <row r="4968" spans="13:13" x14ac:dyDescent="0.25">
      <c r="M4968" s="21"/>
    </row>
    <row r="4969" spans="13:13" x14ac:dyDescent="0.25">
      <c r="M4969" s="21"/>
    </row>
    <row r="4970" spans="13:13" x14ac:dyDescent="0.25">
      <c r="M4970" s="21"/>
    </row>
    <row r="4971" spans="13:13" x14ac:dyDescent="0.25">
      <c r="M4971" s="21"/>
    </row>
    <row r="4972" spans="13:13" x14ac:dyDescent="0.25">
      <c r="M4972" s="21"/>
    </row>
    <row r="4973" spans="13:13" x14ac:dyDescent="0.25">
      <c r="M4973" s="21"/>
    </row>
    <row r="4974" spans="13:13" x14ac:dyDescent="0.25">
      <c r="M4974" s="21"/>
    </row>
    <row r="4975" spans="13:13" x14ac:dyDescent="0.25">
      <c r="M4975" s="21"/>
    </row>
    <row r="4976" spans="13:13" x14ac:dyDescent="0.25">
      <c r="M4976" s="21"/>
    </row>
    <row r="4977" spans="13:13" x14ac:dyDescent="0.25">
      <c r="M4977" s="21"/>
    </row>
    <row r="4978" spans="13:13" x14ac:dyDescent="0.25">
      <c r="M4978" s="21"/>
    </row>
    <row r="4979" spans="13:13" x14ac:dyDescent="0.25">
      <c r="M4979" s="21"/>
    </row>
    <row r="4980" spans="13:13" x14ac:dyDescent="0.25">
      <c r="M4980" s="21"/>
    </row>
    <row r="4981" spans="13:13" x14ac:dyDescent="0.25">
      <c r="M4981" s="21"/>
    </row>
    <row r="4982" spans="13:13" x14ac:dyDescent="0.25">
      <c r="M4982" s="21"/>
    </row>
    <row r="4983" spans="13:13" x14ac:dyDescent="0.25">
      <c r="M4983" s="21"/>
    </row>
    <row r="4984" spans="13:13" x14ac:dyDescent="0.25">
      <c r="M4984" s="21"/>
    </row>
    <row r="4985" spans="13:13" x14ac:dyDescent="0.25">
      <c r="M4985" s="21"/>
    </row>
    <row r="4986" spans="13:13" x14ac:dyDescent="0.25">
      <c r="M4986" s="21"/>
    </row>
    <row r="4987" spans="13:13" x14ac:dyDescent="0.25">
      <c r="M4987" s="21"/>
    </row>
    <row r="4988" spans="13:13" x14ac:dyDescent="0.25">
      <c r="M4988" s="21"/>
    </row>
    <row r="4989" spans="13:13" x14ac:dyDescent="0.25">
      <c r="M4989" s="21"/>
    </row>
    <row r="4990" spans="13:13" x14ac:dyDescent="0.25">
      <c r="M4990" s="21"/>
    </row>
    <row r="4991" spans="13:13" x14ac:dyDescent="0.25">
      <c r="M4991" s="21"/>
    </row>
    <row r="4992" spans="13:13" x14ac:dyDescent="0.25">
      <c r="M4992" s="21"/>
    </row>
    <row r="4993" spans="13:13" x14ac:dyDescent="0.25">
      <c r="M4993" s="21"/>
    </row>
    <row r="4994" spans="13:13" x14ac:dyDescent="0.25">
      <c r="M4994" s="21"/>
    </row>
    <row r="4995" spans="13:13" x14ac:dyDescent="0.25">
      <c r="M4995" s="21"/>
    </row>
    <row r="4996" spans="13:13" x14ac:dyDescent="0.25">
      <c r="M4996" s="21"/>
    </row>
    <row r="4997" spans="13:13" x14ac:dyDescent="0.25">
      <c r="M4997" s="21"/>
    </row>
    <row r="4998" spans="13:13" x14ac:dyDescent="0.25">
      <c r="M4998" s="21"/>
    </row>
    <row r="4999" spans="13:13" x14ac:dyDescent="0.25">
      <c r="M4999" s="21"/>
    </row>
    <row r="5000" spans="13:13" x14ac:dyDescent="0.25">
      <c r="M5000" s="21"/>
    </row>
    <row r="5001" spans="13:13" x14ac:dyDescent="0.25">
      <c r="M5001" s="21"/>
    </row>
    <row r="5002" spans="13:13" x14ac:dyDescent="0.25">
      <c r="M5002" s="21"/>
    </row>
    <row r="5003" spans="13:13" x14ac:dyDescent="0.25">
      <c r="M5003" s="21"/>
    </row>
    <row r="5004" spans="13:13" x14ac:dyDescent="0.25">
      <c r="M5004" s="21"/>
    </row>
    <row r="5005" spans="13:13" x14ac:dyDescent="0.25">
      <c r="M5005" s="21"/>
    </row>
    <row r="5006" spans="13:13" x14ac:dyDescent="0.25">
      <c r="M5006" s="21"/>
    </row>
    <row r="5007" spans="13:13" x14ac:dyDescent="0.25">
      <c r="M5007" s="21"/>
    </row>
    <row r="5008" spans="13:13" x14ac:dyDescent="0.25">
      <c r="M5008" s="21"/>
    </row>
    <row r="5009" spans="13:13" x14ac:dyDescent="0.25">
      <c r="M5009" s="21"/>
    </row>
    <row r="5010" spans="13:13" x14ac:dyDescent="0.25">
      <c r="M5010" s="21"/>
    </row>
    <row r="5011" spans="13:13" x14ac:dyDescent="0.25">
      <c r="M5011" s="21"/>
    </row>
    <row r="5012" spans="13:13" x14ac:dyDescent="0.25">
      <c r="M5012" s="21"/>
    </row>
    <row r="5013" spans="13:13" x14ac:dyDescent="0.25">
      <c r="M5013" s="21"/>
    </row>
    <row r="5014" spans="13:13" x14ac:dyDescent="0.25">
      <c r="M5014" s="21"/>
    </row>
    <row r="5015" spans="13:13" x14ac:dyDescent="0.25">
      <c r="M5015" s="21"/>
    </row>
    <row r="5016" spans="13:13" x14ac:dyDescent="0.25">
      <c r="M5016" s="21"/>
    </row>
    <row r="5017" spans="13:13" x14ac:dyDescent="0.25">
      <c r="M5017" s="21"/>
    </row>
    <row r="5018" spans="13:13" x14ac:dyDescent="0.25">
      <c r="M5018" s="21"/>
    </row>
    <row r="5019" spans="13:13" x14ac:dyDescent="0.25">
      <c r="M5019" s="21"/>
    </row>
    <row r="5020" spans="13:13" x14ac:dyDescent="0.25">
      <c r="M5020" s="21"/>
    </row>
    <row r="5021" spans="13:13" x14ac:dyDescent="0.25">
      <c r="M5021" s="21"/>
    </row>
    <row r="5022" spans="13:13" x14ac:dyDescent="0.25">
      <c r="M5022" s="21"/>
    </row>
    <row r="5023" spans="13:13" x14ac:dyDescent="0.25">
      <c r="M5023" s="21"/>
    </row>
    <row r="5024" spans="13:13" x14ac:dyDescent="0.25">
      <c r="M5024" s="21"/>
    </row>
    <row r="5025" spans="13:13" x14ac:dyDescent="0.25">
      <c r="M5025" s="21"/>
    </row>
    <row r="5026" spans="13:13" x14ac:dyDescent="0.25">
      <c r="M5026" s="21"/>
    </row>
    <row r="5027" spans="13:13" x14ac:dyDescent="0.25">
      <c r="M5027" s="21"/>
    </row>
    <row r="5028" spans="13:13" x14ac:dyDescent="0.25">
      <c r="M5028" s="21"/>
    </row>
    <row r="5029" spans="13:13" x14ac:dyDescent="0.25">
      <c r="M5029" s="21"/>
    </row>
    <row r="5030" spans="13:13" x14ac:dyDescent="0.25">
      <c r="M5030" s="21"/>
    </row>
    <row r="5031" spans="13:13" x14ac:dyDescent="0.25">
      <c r="M5031" s="21"/>
    </row>
    <row r="5032" spans="13:13" x14ac:dyDescent="0.25">
      <c r="M5032" s="21"/>
    </row>
    <row r="5033" spans="13:13" x14ac:dyDescent="0.25">
      <c r="M5033" s="21"/>
    </row>
    <row r="5034" spans="13:13" x14ac:dyDescent="0.25">
      <c r="M5034" s="21"/>
    </row>
    <row r="5035" spans="13:13" x14ac:dyDescent="0.25">
      <c r="M5035" s="21"/>
    </row>
    <row r="5036" spans="13:13" x14ac:dyDescent="0.25">
      <c r="M5036" s="21"/>
    </row>
    <row r="5037" spans="13:13" x14ac:dyDescent="0.25">
      <c r="M5037" s="21"/>
    </row>
    <row r="5038" spans="13:13" x14ac:dyDescent="0.25">
      <c r="M5038" s="21"/>
    </row>
    <row r="5039" spans="13:13" x14ac:dyDescent="0.25">
      <c r="M5039" s="21"/>
    </row>
    <row r="5040" spans="13:13" x14ac:dyDescent="0.25">
      <c r="M5040" s="21"/>
    </row>
    <row r="5041" spans="13:13" x14ac:dyDescent="0.25">
      <c r="M5041" s="21"/>
    </row>
    <row r="5042" spans="13:13" x14ac:dyDescent="0.25">
      <c r="M5042" s="21"/>
    </row>
    <row r="5043" spans="13:13" x14ac:dyDescent="0.25">
      <c r="M5043" s="21"/>
    </row>
    <row r="5044" spans="13:13" x14ac:dyDescent="0.25">
      <c r="M5044" s="21"/>
    </row>
    <row r="5045" spans="13:13" x14ac:dyDescent="0.25">
      <c r="M5045" s="21"/>
    </row>
    <row r="5046" spans="13:13" x14ac:dyDescent="0.25">
      <c r="M5046" s="21"/>
    </row>
    <row r="5047" spans="13:13" x14ac:dyDescent="0.25">
      <c r="M5047" s="21"/>
    </row>
    <row r="5048" spans="13:13" x14ac:dyDescent="0.25">
      <c r="M5048" s="21"/>
    </row>
    <row r="5049" spans="13:13" x14ac:dyDescent="0.25">
      <c r="M5049" s="21"/>
    </row>
    <row r="5050" spans="13:13" x14ac:dyDescent="0.25">
      <c r="M5050" s="21"/>
    </row>
    <row r="5051" spans="13:13" x14ac:dyDescent="0.25">
      <c r="M5051" s="21"/>
    </row>
    <row r="5052" spans="13:13" x14ac:dyDescent="0.25">
      <c r="M5052" s="21"/>
    </row>
    <row r="5053" spans="13:13" x14ac:dyDescent="0.25">
      <c r="M5053" s="21"/>
    </row>
    <row r="5054" spans="13:13" x14ac:dyDescent="0.25">
      <c r="M5054" s="21"/>
    </row>
    <row r="5055" spans="13:13" x14ac:dyDescent="0.25">
      <c r="M5055" s="21"/>
    </row>
    <row r="5056" spans="13:13" x14ac:dyDescent="0.25">
      <c r="M5056" s="21"/>
    </row>
    <row r="5057" spans="13:13" x14ac:dyDescent="0.25">
      <c r="M5057" s="21"/>
    </row>
    <row r="5058" spans="13:13" x14ac:dyDescent="0.25">
      <c r="M5058" s="21"/>
    </row>
    <row r="5059" spans="13:13" x14ac:dyDescent="0.25">
      <c r="M5059" s="21"/>
    </row>
    <row r="5060" spans="13:13" x14ac:dyDescent="0.25">
      <c r="M5060" s="21"/>
    </row>
    <row r="5061" spans="13:13" x14ac:dyDescent="0.25">
      <c r="M5061" s="21"/>
    </row>
    <row r="5062" spans="13:13" x14ac:dyDescent="0.25">
      <c r="M5062" s="21"/>
    </row>
    <row r="5063" spans="13:13" x14ac:dyDescent="0.25">
      <c r="M5063" s="21"/>
    </row>
    <row r="5064" spans="13:13" x14ac:dyDescent="0.25">
      <c r="M5064" s="21"/>
    </row>
    <row r="5065" spans="13:13" x14ac:dyDescent="0.25">
      <c r="M5065" s="21"/>
    </row>
    <row r="5066" spans="13:13" x14ac:dyDescent="0.25">
      <c r="M5066" s="21"/>
    </row>
    <row r="5067" spans="13:13" x14ac:dyDescent="0.25">
      <c r="M5067" s="21"/>
    </row>
    <row r="5068" spans="13:13" x14ac:dyDescent="0.25">
      <c r="M5068" s="21"/>
    </row>
    <row r="5069" spans="13:13" x14ac:dyDescent="0.25">
      <c r="M5069" s="21"/>
    </row>
    <row r="5070" spans="13:13" x14ac:dyDescent="0.25">
      <c r="M5070" s="21"/>
    </row>
    <row r="5071" spans="13:13" x14ac:dyDescent="0.25">
      <c r="M5071" s="21"/>
    </row>
    <row r="5072" spans="13:13" x14ac:dyDescent="0.25">
      <c r="M5072" s="21"/>
    </row>
    <row r="5073" spans="13:13" x14ac:dyDescent="0.25">
      <c r="M5073" s="21"/>
    </row>
    <row r="5074" spans="13:13" x14ac:dyDescent="0.25">
      <c r="M5074" s="21"/>
    </row>
    <row r="5075" spans="13:13" x14ac:dyDescent="0.25">
      <c r="M5075" s="21"/>
    </row>
    <row r="5076" spans="13:13" x14ac:dyDescent="0.25">
      <c r="M5076" s="21"/>
    </row>
    <row r="5077" spans="13:13" x14ac:dyDescent="0.25">
      <c r="M5077" s="21"/>
    </row>
    <row r="5078" spans="13:13" x14ac:dyDescent="0.25">
      <c r="M5078" s="21"/>
    </row>
    <row r="5079" spans="13:13" x14ac:dyDescent="0.25">
      <c r="M5079" s="21"/>
    </row>
    <row r="5080" spans="13:13" x14ac:dyDescent="0.25">
      <c r="M5080" s="21"/>
    </row>
    <row r="5081" spans="13:13" x14ac:dyDescent="0.25">
      <c r="M5081" s="21"/>
    </row>
    <row r="5082" spans="13:13" x14ac:dyDescent="0.25">
      <c r="M5082" s="21"/>
    </row>
    <row r="5083" spans="13:13" x14ac:dyDescent="0.25">
      <c r="M5083" s="21"/>
    </row>
    <row r="5084" spans="13:13" x14ac:dyDescent="0.25">
      <c r="M5084" s="21"/>
    </row>
    <row r="5085" spans="13:13" x14ac:dyDescent="0.25">
      <c r="M5085" s="21"/>
    </row>
    <row r="5086" spans="13:13" x14ac:dyDescent="0.25">
      <c r="M5086" s="21"/>
    </row>
    <row r="5087" spans="13:13" x14ac:dyDescent="0.25">
      <c r="M5087" s="21"/>
    </row>
    <row r="5088" spans="13:13" x14ac:dyDescent="0.25">
      <c r="M5088" s="21"/>
    </row>
    <row r="5089" spans="13:13" x14ac:dyDescent="0.25">
      <c r="M5089" s="21"/>
    </row>
    <row r="5090" spans="13:13" x14ac:dyDescent="0.25">
      <c r="M5090" s="21"/>
    </row>
    <row r="5091" spans="13:13" x14ac:dyDescent="0.25">
      <c r="M5091" s="21"/>
    </row>
    <row r="5092" spans="13:13" x14ac:dyDescent="0.25">
      <c r="M5092" s="21"/>
    </row>
    <row r="5093" spans="13:13" x14ac:dyDescent="0.25">
      <c r="M5093" s="21"/>
    </row>
    <row r="5094" spans="13:13" x14ac:dyDescent="0.25">
      <c r="M5094" s="21"/>
    </row>
    <row r="5095" spans="13:13" x14ac:dyDescent="0.25">
      <c r="M5095" s="21"/>
    </row>
    <row r="5096" spans="13:13" x14ac:dyDescent="0.25">
      <c r="M5096" s="21"/>
    </row>
    <row r="5097" spans="13:13" x14ac:dyDescent="0.25">
      <c r="M5097" s="21"/>
    </row>
    <row r="5098" spans="13:13" x14ac:dyDescent="0.25">
      <c r="M5098" s="21"/>
    </row>
    <row r="5099" spans="13:13" x14ac:dyDescent="0.25">
      <c r="M5099" s="21"/>
    </row>
    <row r="5100" spans="13:13" x14ac:dyDescent="0.25">
      <c r="M5100" s="21"/>
    </row>
    <row r="5101" spans="13:13" x14ac:dyDescent="0.25">
      <c r="M5101" s="21"/>
    </row>
    <row r="5102" spans="13:13" x14ac:dyDescent="0.25">
      <c r="M5102" s="21"/>
    </row>
    <row r="5103" spans="13:13" x14ac:dyDescent="0.25">
      <c r="M5103" s="21"/>
    </row>
    <row r="5104" spans="13:13" x14ac:dyDescent="0.25">
      <c r="M5104" s="21"/>
    </row>
    <row r="5105" spans="13:13" x14ac:dyDescent="0.25">
      <c r="M5105" s="21"/>
    </row>
    <row r="5106" spans="13:13" x14ac:dyDescent="0.25">
      <c r="M5106" s="21"/>
    </row>
    <row r="5107" spans="13:13" x14ac:dyDescent="0.25">
      <c r="M5107" s="21"/>
    </row>
    <row r="5108" spans="13:13" x14ac:dyDescent="0.25">
      <c r="M5108" s="21"/>
    </row>
    <row r="5109" spans="13:13" x14ac:dyDescent="0.25">
      <c r="M5109" s="21"/>
    </row>
    <row r="5110" spans="13:13" x14ac:dyDescent="0.25">
      <c r="M5110" s="21"/>
    </row>
    <row r="5111" spans="13:13" x14ac:dyDescent="0.25">
      <c r="M5111" s="21"/>
    </row>
    <row r="5112" spans="13:13" x14ac:dyDescent="0.25">
      <c r="M5112" s="21"/>
    </row>
    <row r="5113" spans="13:13" x14ac:dyDescent="0.25">
      <c r="M5113" s="21"/>
    </row>
    <row r="5114" spans="13:13" x14ac:dyDescent="0.25">
      <c r="M5114" s="21"/>
    </row>
    <row r="5115" spans="13:13" x14ac:dyDescent="0.25">
      <c r="M5115" s="21"/>
    </row>
    <row r="5116" spans="13:13" x14ac:dyDescent="0.25">
      <c r="M5116" s="21"/>
    </row>
    <row r="5117" spans="13:13" x14ac:dyDescent="0.25">
      <c r="M5117" s="21"/>
    </row>
    <row r="5118" spans="13:13" x14ac:dyDescent="0.25">
      <c r="M5118" s="21"/>
    </row>
    <row r="5119" spans="13:13" x14ac:dyDescent="0.25">
      <c r="M5119" s="21"/>
    </row>
    <row r="5120" spans="13:13" x14ac:dyDescent="0.25">
      <c r="M5120" s="21"/>
    </row>
    <row r="5121" spans="13:13" x14ac:dyDescent="0.25">
      <c r="M5121" s="21"/>
    </row>
    <row r="5122" spans="13:13" x14ac:dyDescent="0.25">
      <c r="M5122" s="21"/>
    </row>
    <row r="5123" spans="13:13" x14ac:dyDescent="0.25">
      <c r="M5123" s="21"/>
    </row>
    <row r="5124" spans="13:13" x14ac:dyDescent="0.25">
      <c r="M5124" s="21"/>
    </row>
    <row r="5125" spans="13:13" x14ac:dyDescent="0.25">
      <c r="M5125" s="21"/>
    </row>
    <row r="5126" spans="13:13" x14ac:dyDescent="0.25">
      <c r="M5126" s="21"/>
    </row>
    <row r="5127" spans="13:13" x14ac:dyDescent="0.25">
      <c r="M5127" s="21"/>
    </row>
    <row r="5128" spans="13:13" x14ac:dyDescent="0.25">
      <c r="M5128" s="21"/>
    </row>
    <row r="5129" spans="13:13" x14ac:dyDescent="0.25">
      <c r="M5129" s="21"/>
    </row>
    <row r="5130" spans="13:13" x14ac:dyDescent="0.25">
      <c r="M5130" s="21"/>
    </row>
    <row r="5131" spans="13:13" x14ac:dyDescent="0.25">
      <c r="M5131" s="21"/>
    </row>
    <row r="5132" spans="13:13" x14ac:dyDescent="0.25">
      <c r="M5132" s="21"/>
    </row>
    <row r="5133" spans="13:13" x14ac:dyDescent="0.25">
      <c r="M5133" s="21"/>
    </row>
    <row r="5134" spans="13:13" x14ac:dyDescent="0.25">
      <c r="M5134" s="21"/>
    </row>
    <row r="5135" spans="13:13" x14ac:dyDescent="0.25">
      <c r="M5135" s="21"/>
    </row>
    <row r="5136" spans="13:13" x14ac:dyDescent="0.25">
      <c r="M5136" s="21"/>
    </row>
    <row r="5137" spans="13:13" x14ac:dyDescent="0.25">
      <c r="M5137" s="21"/>
    </row>
    <row r="5138" spans="13:13" x14ac:dyDescent="0.25">
      <c r="M5138" s="21"/>
    </row>
    <row r="5139" spans="13:13" x14ac:dyDescent="0.25">
      <c r="M5139" s="21"/>
    </row>
    <row r="5140" spans="13:13" x14ac:dyDescent="0.25">
      <c r="M5140" s="21"/>
    </row>
    <row r="5141" spans="13:13" x14ac:dyDescent="0.25">
      <c r="M5141" s="21"/>
    </row>
    <row r="5142" spans="13:13" x14ac:dyDescent="0.25">
      <c r="M5142" s="21"/>
    </row>
    <row r="5143" spans="13:13" x14ac:dyDescent="0.25">
      <c r="M5143" s="21"/>
    </row>
    <row r="5144" spans="13:13" x14ac:dyDescent="0.25">
      <c r="M5144" s="21"/>
    </row>
    <row r="5145" spans="13:13" x14ac:dyDescent="0.25">
      <c r="M5145" s="21"/>
    </row>
    <row r="5146" spans="13:13" x14ac:dyDescent="0.25">
      <c r="M5146" s="21"/>
    </row>
    <row r="5147" spans="13:13" x14ac:dyDescent="0.25">
      <c r="M5147" s="21"/>
    </row>
    <row r="5148" spans="13:13" x14ac:dyDescent="0.25">
      <c r="M5148" s="21"/>
    </row>
    <row r="5149" spans="13:13" x14ac:dyDescent="0.25">
      <c r="M5149" s="21"/>
    </row>
    <row r="5150" spans="13:13" x14ac:dyDescent="0.25">
      <c r="M5150" s="21"/>
    </row>
    <row r="5151" spans="13:13" x14ac:dyDescent="0.25">
      <c r="M5151" s="21"/>
    </row>
    <row r="5152" spans="13:13" x14ac:dyDescent="0.25">
      <c r="M5152" s="21"/>
    </row>
    <row r="5153" spans="13:13" x14ac:dyDescent="0.25">
      <c r="M5153" s="21"/>
    </row>
    <row r="5154" spans="13:13" x14ac:dyDescent="0.25">
      <c r="M5154" s="21"/>
    </row>
    <row r="5155" spans="13:13" x14ac:dyDescent="0.25">
      <c r="M5155" s="21"/>
    </row>
    <row r="5156" spans="13:13" x14ac:dyDescent="0.25">
      <c r="M5156" s="21"/>
    </row>
    <row r="5157" spans="13:13" x14ac:dyDescent="0.25">
      <c r="M5157" s="21"/>
    </row>
    <row r="5158" spans="13:13" x14ac:dyDescent="0.25">
      <c r="M5158" s="21"/>
    </row>
    <row r="5159" spans="13:13" x14ac:dyDescent="0.25">
      <c r="M5159" s="21"/>
    </row>
    <row r="5160" spans="13:13" x14ac:dyDescent="0.25">
      <c r="M5160" s="21"/>
    </row>
    <row r="5161" spans="13:13" x14ac:dyDescent="0.25">
      <c r="M5161" s="21"/>
    </row>
    <row r="5162" spans="13:13" x14ac:dyDescent="0.25">
      <c r="M5162" s="21"/>
    </row>
    <row r="5163" spans="13:13" x14ac:dyDescent="0.25">
      <c r="M5163" s="21"/>
    </row>
    <row r="5164" spans="13:13" x14ac:dyDescent="0.25">
      <c r="M5164" s="21"/>
    </row>
    <row r="5165" spans="13:13" x14ac:dyDescent="0.25">
      <c r="M5165" s="21"/>
    </row>
    <row r="5166" spans="13:13" x14ac:dyDescent="0.25">
      <c r="M5166" s="21"/>
    </row>
    <row r="5167" spans="13:13" x14ac:dyDescent="0.25">
      <c r="M5167" s="21"/>
    </row>
    <row r="5168" spans="13:13" x14ac:dyDescent="0.25">
      <c r="M5168" s="21"/>
    </row>
    <row r="5169" spans="13:13" x14ac:dyDescent="0.25">
      <c r="M5169" s="21"/>
    </row>
    <row r="5170" spans="13:13" x14ac:dyDescent="0.25">
      <c r="M5170" s="21"/>
    </row>
    <row r="5171" spans="13:13" x14ac:dyDescent="0.25">
      <c r="M5171" s="21"/>
    </row>
    <row r="5172" spans="13:13" x14ac:dyDescent="0.25">
      <c r="M5172" s="21"/>
    </row>
    <row r="5173" spans="13:13" x14ac:dyDescent="0.25">
      <c r="M5173" s="21"/>
    </row>
    <row r="5174" spans="13:13" x14ac:dyDescent="0.25">
      <c r="M5174" s="21"/>
    </row>
    <row r="5175" spans="13:13" x14ac:dyDescent="0.25">
      <c r="M5175" s="21"/>
    </row>
    <row r="5176" spans="13:13" x14ac:dyDescent="0.25">
      <c r="M5176" s="21"/>
    </row>
    <row r="5177" spans="13:13" x14ac:dyDescent="0.25">
      <c r="M5177" s="21"/>
    </row>
    <row r="5178" spans="13:13" x14ac:dyDescent="0.25">
      <c r="M5178" s="21"/>
    </row>
    <row r="5179" spans="13:13" x14ac:dyDescent="0.25">
      <c r="M5179" s="21"/>
    </row>
    <row r="5180" spans="13:13" x14ac:dyDescent="0.25">
      <c r="M5180" s="21"/>
    </row>
    <row r="5181" spans="13:13" x14ac:dyDescent="0.25">
      <c r="M5181" s="21"/>
    </row>
    <row r="5182" spans="13:13" x14ac:dyDescent="0.25">
      <c r="M5182" s="21"/>
    </row>
    <row r="5183" spans="13:13" x14ac:dyDescent="0.25">
      <c r="M5183" s="21"/>
    </row>
    <row r="5184" spans="13:13" x14ac:dyDescent="0.25">
      <c r="M5184" s="21"/>
    </row>
    <row r="5185" spans="13:13" x14ac:dyDescent="0.25">
      <c r="M5185" s="21"/>
    </row>
    <row r="5186" spans="13:13" x14ac:dyDescent="0.25">
      <c r="M5186" s="21"/>
    </row>
    <row r="5187" spans="13:13" x14ac:dyDescent="0.25">
      <c r="M5187" s="21"/>
    </row>
    <row r="5188" spans="13:13" x14ac:dyDescent="0.25">
      <c r="M5188" s="21"/>
    </row>
    <row r="5189" spans="13:13" x14ac:dyDescent="0.25">
      <c r="M5189" s="21"/>
    </row>
    <row r="5190" spans="13:13" x14ac:dyDescent="0.25">
      <c r="M5190" s="21"/>
    </row>
    <row r="5191" spans="13:13" x14ac:dyDescent="0.25">
      <c r="M5191" s="21"/>
    </row>
    <row r="5192" spans="13:13" x14ac:dyDescent="0.25">
      <c r="M5192" s="21"/>
    </row>
    <row r="5193" spans="13:13" x14ac:dyDescent="0.25">
      <c r="M5193" s="21"/>
    </row>
    <row r="5194" spans="13:13" x14ac:dyDescent="0.25">
      <c r="M5194" s="21"/>
    </row>
    <row r="5195" spans="13:13" x14ac:dyDescent="0.25">
      <c r="M5195" s="21"/>
    </row>
    <row r="5196" spans="13:13" x14ac:dyDescent="0.25">
      <c r="M5196" s="21"/>
    </row>
    <row r="5197" spans="13:13" x14ac:dyDescent="0.25">
      <c r="M5197" s="21"/>
    </row>
    <row r="5198" spans="13:13" x14ac:dyDescent="0.25">
      <c r="M5198" s="21"/>
    </row>
    <row r="5199" spans="13:13" x14ac:dyDescent="0.25">
      <c r="M5199" s="21"/>
    </row>
    <row r="5200" spans="13:13" x14ac:dyDescent="0.25">
      <c r="M5200" s="21"/>
    </row>
    <row r="5201" spans="13:13" x14ac:dyDescent="0.25">
      <c r="M5201" s="21"/>
    </row>
    <row r="5202" spans="13:13" x14ac:dyDescent="0.25">
      <c r="M5202" s="21"/>
    </row>
    <row r="5203" spans="13:13" x14ac:dyDescent="0.25">
      <c r="M5203" s="21"/>
    </row>
    <row r="5204" spans="13:13" x14ac:dyDescent="0.25">
      <c r="M5204" s="21"/>
    </row>
    <row r="5205" spans="13:13" x14ac:dyDescent="0.25">
      <c r="M5205" s="21"/>
    </row>
    <row r="5206" spans="13:13" x14ac:dyDescent="0.25">
      <c r="M5206" s="21"/>
    </row>
    <row r="5207" spans="13:13" x14ac:dyDescent="0.25">
      <c r="M5207" s="21"/>
    </row>
    <row r="5208" spans="13:13" x14ac:dyDescent="0.25">
      <c r="M5208" s="21"/>
    </row>
    <row r="5209" spans="13:13" x14ac:dyDescent="0.25">
      <c r="M5209" s="21"/>
    </row>
    <row r="5210" spans="13:13" x14ac:dyDescent="0.25">
      <c r="M5210" s="21"/>
    </row>
    <row r="5211" spans="13:13" x14ac:dyDescent="0.25">
      <c r="M5211" s="21"/>
    </row>
    <row r="5212" spans="13:13" x14ac:dyDescent="0.25">
      <c r="M5212" s="21"/>
    </row>
    <row r="5213" spans="13:13" x14ac:dyDescent="0.25">
      <c r="M5213" s="21"/>
    </row>
    <row r="5214" spans="13:13" x14ac:dyDescent="0.25">
      <c r="M5214" s="21"/>
    </row>
    <row r="5215" spans="13:13" x14ac:dyDescent="0.25">
      <c r="M5215" s="21"/>
    </row>
    <row r="5216" spans="13:13" x14ac:dyDescent="0.25">
      <c r="M5216" s="21"/>
    </row>
    <row r="5217" spans="13:13" x14ac:dyDescent="0.25">
      <c r="M5217" s="21"/>
    </row>
    <row r="5218" spans="13:13" x14ac:dyDescent="0.25">
      <c r="M5218" s="21"/>
    </row>
    <row r="5219" spans="13:13" x14ac:dyDescent="0.25">
      <c r="M5219" s="21"/>
    </row>
    <row r="5220" spans="13:13" x14ac:dyDescent="0.25">
      <c r="M5220" s="21"/>
    </row>
    <row r="5221" spans="13:13" x14ac:dyDescent="0.25">
      <c r="M5221" s="21"/>
    </row>
    <row r="5222" spans="13:13" x14ac:dyDescent="0.25">
      <c r="M5222" s="21"/>
    </row>
    <row r="5223" spans="13:13" x14ac:dyDescent="0.25">
      <c r="M5223" s="21"/>
    </row>
    <row r="5224" spans="13:13" x14ac:dyDescent="0.25">
      <c r="M5224" s="21"/>
    </row>
    <row r="5225" spans="13:13" x14ac:dyDescent="0.25">
      <c r="M5225" s="21"/>
    </row>
    <row r="5226" spans="13:13" x14ac:dyDescent="0.25">
      <c r="M5226" s="21"/>
    </row>
    <row r="5227" spans="13:13" x14ac:dyDescent="0.25">
      <c r="M5227" s="21"/>
    </row>
    <row r="5228" spans="13:13" x14ac:dyDescent="0.25">
      <c r="M5228" s="21"/>
    </row>
    <row r="5229" spans="13:13" x14ac:dyDescent="0.25">
      <c r="M5229" s="21"/>
    </row>
    <row r="5230" spans="13:13" x14ac:dyDescent="0.25">
      <c r="M5230" s="21"/>
    </row>
    <row r="5231" spans="13:13" x14ac:dyDescent="0.25">
      <c r="M5231" s="21"/>
    </row>
    <row r="5232" spans="13:13" x14ac:dyDescent="0.25">
      <c r="M5232" s="21"/>
    </row>
    <row r="5233" spans="13:13" x14ac:dyDescent="0.25">
      <c r="M5233" s="21"/>
    </row>
    <row r="5234" spans="13:13" x14ac:dyDescent="0.25">
      <c r="M5234" s="21"/>
    </row>
    <row r="5235" spans="13:13" x14ac:dyDescent="0.25">
      <c r="M5235" s="21"/>
    </row>
    <row r="5236" spans="13:13" x14ac:dyDescent="0.25">
      <c r="M5236" s="21"/>
    </row>
    <row r="5237" spans="13:13" x14ac:dyDescent="0.25">
      <c r="M5237" s="21"/>
    </row>
    <row r="5238" spans="13:13" x14ac:dyDescent="0.25">
      <c r="M5238" s="21"/>
    </row>
    <row r="5239" spans="13:13" x14ac:dyDescent="0.25">
      <c r="M5239" s="21"/>
    </row>
    <row r="5240" spans="13:13" x14ac:dyDescent="0.25">
      <c r="M5240" s="21"/>
    </row>
    <row r="5241" spans="13:13" x14ac:dyDescent="0.25">
      <c r="M5241" s="21"/>
    </row>
    <row r="5242" spans="13:13" x14ac:dyDescent="0.25">
      <c r="M5242" s="21"/>
    </row>
    <row r="5243" spans="13:13" x14ac:dyDescent="0.25">
      <c r="M5243" s="21"/>
    </row>
    <row r="5244" spans="13:13" x14ac:dyDescent="0.25">
      <c r="M5244" s="21"/>
    </row>
    <row r="5245" spans="13:13" x14ac:dyDescent="0.25">
      <c r="M5245" s="21"/>
    </row>
    <row r="5246" spans="13:13" x14ac:dyDescent="0.25">
      <c r="M5246" s="21"/>
    </row>
    <row r="5247" spans="13:13" x14ac:dyDescent="0.25">
      <c r="M5247" s="21"/>
    </row>
    <row r="5248" spans="13:13" x14ac:dyDescent="0.25">
      <c r="M5248" s="21"/>
    </row>
    <row r="5249" spans="13:13" x14ac:dyDescent="0.25">
      <c r="M5249" s="21"/>
    </row>
    <row r="5250" spans="13:13" x14ac:dyDescent="0.25">
      <c r="M5250" s="21"/>
    </row>
    <row r="5251" spans="13:13" x14ac:dyDescent="0.25">
      <c r="M5251" s="21"/>
    </row>
    <row r="5252" spans="13:13" x14ac:dyDescent="0.25">
      <c r="M5252" s="21"/>
    </row>
    <row r="5253" spans="13:13" x14ac:dyDescent="0.25">
      <c r="M5253" s="21"/>
    </row>
    <row r="5254" spans="13:13" x14ac:dyDescent="0.25">
      <c r="M5254" s="21"/>
    </row>
    <row r="5255" spans="13:13" x14ac:dyDescent="0.25">
      <c r="M5255" s="21"/>
    </row>
    <row r="5256" spans="13:13" x14ac:dyDescent="0.25">
      <c r="M5256" s="21"/>
    </row>
    <row r="5257" spans="13:13" x14ac:dyDescent="0.25">
      <c r="M5257" s="21"/>
    </row>
    <row r="5258" spans="13:13" x14ac:dyDescent="0.25">
      <c r="M5258" s="21"/>
    </row>
    <row r="5259" spans="13:13" x14ac:dyDescent="0.25">
      <c r="M5259" s="21"/>
    </row>
    <row r="5260" spans="13:13" x14ac:dyDescent="0.25">
      <c r="M5260" s="21"/>
    </row>
    <row r="5261" spans="13:13" x14ac:dyDescent="0.25">
      <c r="M5261" s="21"/>
    </row>
    <row r="5262" spans="13:13" x14ac:dyDescent="0.25">
      <c r="M5262" s="21"/>
    </row>
    <row r="5263" spans="13:13" x14ac:dyDescent="0.25">
      <c r="M5263" s="21"/>
    </row>
    <row r="5264" spans="13:13" x14ac:dyDescent="0.25">
      <c r="M5264" s="21"/>
    </row>
    <row r="5265" spans="13:13" x14ac:dyDescent="0.25">
      <c r="M5265" s="21"/>
    </row>
    <row r="5266" spans="13:13" x14ac:dyDescent="0.25">
      <c r="M5266" s="21"/>
    </row>
    <row r="5267" spans="13:13" x14ac:dyDescent="0.25">
      <c r="M5267" s="21"/>
    </row>
    <row r="5268" spans="13:13" x14ac:dyDescent="0.25">
      <c r="M5268" s="21"/>
    </row>
    <row r="5269" spans="13:13" x14ac:dyDescent="0.25">
      <c r="M5269" s="21"/>
    </row>
    <row r="5270" spans="13:13" x14ac:dyDescent="0.25">
      <c r="M5270" s="21"/>
    </row>
    <row r="5271" spans="13:13" x14ac:dyDescent="0.25">
      <c r="M5271" s="21"/>
    </row>
    <row r="5272" spans="13:13" x14ac:dyDescent="0.25">
      <c r="M5272" s="21"/>
    </row>
    <row r="5273" spans="13:13" x14ac:dyDescent="0.25">
      <c r="M5273" s="21"/>
    </row>
    <row r="5274" spans="13:13" x14ac:dyDescent="0.25">
      <c r="M5274" s="21"/>
    </row>
    <row r="5275" spans="13:13" x14ac:dyDescent="0.25">
      <c r="M5275" s="21"/>
    </row>
    <row r="5276" spans="13:13" x14ac:dyDescent="0.25">
      <c r="M5276" s="21"/>
    </row>
    <row r="5277" spans="13:13" x14ac:dyDescent="0.25">
      <c r="M5277" s="21"/>
    </row>
    <row r="5278" spans="13:13" x14ac:dyDescent="0.25">
      <c r="M5278" s="21"/>
    </row>
    <row r="5279" spans="13:13" x14ac:dyDescent="0.25">
      <c r="M5279" s="21"/>
    </row>
    <row r="5280" spans="13:13" x14ac:dyDescent="0.25">
      <c r="M5280" s="21"/>
    </row>
    <row r="5281" spans="13:13" x14ac:dyDescent="0.25">
      <c r="M5281" s="21"/>
    </row>
    <row r="5282" spans="13:13" x14ac:dyDescent="0.25">
      <c r="M5282" s="21"/>
    </row>
    <row r="5283" spans="13:13" x14ac:dyDescent="0.25">
      <c r="M5283" s="21"/>
    </row>
    <row r="5284" spans="13:13" x14ac:dyDescent="0.25">
      <c r="M5284" s="21"/>
    </row>
    <row r="5285" spans="13:13" x14ac:dyDescent="0.25">
      <c r="M5285" s="21"/>
    </row>
    <row r="5286" spans="13:13" x14ac:dyDescent="0.25">
      <c r="M5286" s="21"/>
    </row>
    <row r="5287" spans="13:13" x14ac:dyDescent="0.25">
      <c r="M5287" s="21"/>
    </row>
    <row r="5288" spans="13:13" x14ac:dyDescent="0.25">
      <c r="M5288" s="21"/>
    </row>
    <row r="5289" spans="13:13" x14ac:dyDescent="0.25">
      <c r="M5289" s="21"/>
    </row>
    <row r="5290" spans="13:13" x14ac:dyDescent="0.25">
      <c r="M5290" s="21"/>
    </row>
    <row r="5291" spans="13:13" x14ac:dyDescent="0.25">
      <c r="M5291" s="21"/>
    </row>
    <row r="5292" spans="13:13" x14ac:dyDescent="0.25">
      <c r="M5292" s="21"/>
    </row>
    <row r="5293" spans="13:13" x14ac:dyDescent="0.25">
      <c r="M5293" s="21"/>
    </row>
    <row r="5294" spans="13:13" x14ac:dyDescent="0.25">
      <c r="M5294" s="21"/>
    </row>
    <row r="5295" spans="13:13" x14ac:dyDescent="0.25">
      <c r="M5295" s="21"/>
    </row>
    <row r="5296" spans="13:13" x14ac:dyDescent="0.25">
      <c r="M5296" s="21"/>
    </row>
    <row r="5297" spans="13:13" x14ac:dyDescent="0.25">
      <c r="M5297" s="21"/>
    </row>
    <row r="5298" spans="13:13" x14ac:dyDescent="0.25">
      <c r="M5298" s="21"/>
    </row>
    <row r="5299" spans="13:13" x14ac:dyDescent="0.25">
      <c r="M5299" s="21"/>
    </row>
    <row r="5300" spans="13:13" x14ac:dyDescent="0.25">
      <c r="M5300" s="21"/>
    </row>
    <row r="5301" spans="13:13" x14ac:dyDescent="0.25">
      <c r="M5301" s="21"/>
    </row>
    <row r="5302" spans="13:13" x14ac:dyDescent="0.25">
      <c r="M5302" s="21"/>
    </row>
    <row r="5303" spans="13:13" x14ac:dyDescent="0.25">
      <c r="M5303" s="21"/>
    </row>
    <row r="5304" spans="13:13" x14ac:dyDescent="0.25">
      <c r="M5304" s="21"/>
    </row>
    <row r="5305" spans="13:13" x14ac:dyDescent="0.25">
      <c r="M5305" s="21"/>
    </row>
    <row r="5306" spans="13:13" x14ac:dyDescent="0.25">
      <c r="M5306" s="21"/>
    </row>
    <row r="5307" spans="13:13" x14ac:dyDescent="0.25">
      <c r="M5307" s="21"/>
    </row>
    <row r="5308" spans="13:13" x14ac:dyDescent="0.25">
      <c r="M5308" s="21"/>
    </row>
    <row r="5309" spans="13:13" x14ac:dyDescent="0.25">
      <c r="M5309" s="21"/>
    </row>
    <row r="5310" spans="13:13" x14ac:dyDescent="0.25">
      <c r="M5310" s="21"/>
    </row>
    <row r="5311" spans="13:13" x14ac:dyDescent="0.25">
      <c r="M5311" s="21"/>
    </row>
    <row r="5312" spans="13:13" x14ac:dyDescent="0.25">
      <c r="M5312" s="21"/>
    </row>
    <row r="5313" spans="13:13" x14ac:dyDescent="0.25">
      <c r="M5313" s="21"/>
    </row>
    <row r="5314" spans="13:13" x14ac:dyDescent="0.25">
      <c r="M5314" s="21"/>
    </row>
    <row r="5315" spans="13:13" x14ac:dyDescent="0.25">
      <c r="M5315" s="21"/>
    </row>
    <row r="5316" spans="13:13" x14ac:dyDescent="0.25">
      <c r="M5316" s="21"/>
    </row>
    <row r="5317" spans="13:13" x14ac:dyDescent="0.25">
      <c r="M5317" s="21"/>
    </row>
    <row r="5318" spans="13:13" x14ac:dyDescent="0.25">
      <c r="M5318" s="21"/>
    </row>
    <row r="5319" spans="13:13" x14ac:dyDescent="0.25">
      <c r="M5319" s="21"/>
    </row>
    <row r="5320" spans="13:13" x14ac:dyDescent="0.25">
      <c r="M5320" s="21"/>
    </row>
    <row r="5321" spans="13:13" x14ac:dyDescent="0.25">
      <c r="M5321" s="21"/>
    </row>
    <row r="5322" spans="13:13" x14ac:dyDescent="0.25">
      <c r="M5322" s="21"/>
    </row>
    <row r="5323" spans="13:13" x14ac:dyDescent="0.25">
      <c r="M5323" s="21"/>
    </row>
    <row r="5324" spans="13:13" x14ac:dyDescent="0.25">
      <c r="M5324" s="21"/>
    </row>
    <row r="5325" spans="13:13" x14ac:dyDescent="0.25">
      <c r="M5325" s="21"/>
    </row>
    <row r="5326" spans="13:13" x14ac:dyDescent="0.25">
      <c r="M5326" s="21"/>
    </row>
    <row r="5327" spans="13:13" x14ac:dyDescent="0.25">
      <c r="M5327" s="21"/>
    </row>
    <row r="5328" spans="13:13" x14ac:dyDescent="0.25">
      <c r="M5328" s="21"/>
    </row>
    <row r="5329" spans="13:13" x14ac:dyDescent="0.25">
      <c r="M5329" s="21"/>
    </row>
    <row r="5330" spans="13:13" x14ac:dyDescent="0.25">
      <c r="M5330" s="21"/>
    </row>
    <row r="5331" spans="13:13" x14ac:dyDescent="0.25">
      <c r="M5331" s="21"/>
    </row>
    <row r="5332" spans="13:13" x14ac:dyDescent="0.25">
      <c r="M5332" s="21"/>
    </row>
    <row r="5333" spans="13:13" x14ac:dyDescent="0.25">
      <c r="M5333" s="21"/>
    </row>
    <row r="5334" spans="13:13" x14ac:dyDescent="0.25">
      <c r="M5334" s="21"/>
    </row>
    <row r="5335" spans="13:13" x14ac:dyDescent="0.25">
      <c r="M5335" s="21"/>
    </row>
    <row r="5336" spans="13:13" x14ac:dyDescent="0.25">
      <c r="M5336" s="21"/>
    </row>
    <row r="5337" spans="13:13" x14ac:dyDescent="0.25">
      <c r="M5337" s="21"/>
    </row>
    <row r="5338" spans="13:13" x14ac:dyDescent="0.25">
      <c r="M5338" s="21"/>
    </row>
    <row r="5339" spans="13:13" x14ac:dyDescent="0.25">
      <c r="M5339" s="21"/>
    </row>
    <row r="5340" spans="13:13" x14ac:dyDescent="0.25">
      <c r="M5340" s="21"/>
    </row>
    <row r="5341" spans="13:13" x14ac:dyDescent="0.25">
      <c r="M5341" s="21"/>
    </row>
    <row r="5342" spans="13:13" x14ac:dyDescent="0.25">
      <c r="M5342" s="21"/>
    </row>
    <row r="5343" spans="13:13" x14ac:dyDescent="0.25">
      <c r="M5343" s="21"/>
    </row>
    <row r="5344" spans="13:13" x14ac:dyDescent="0.25">
      <c r="M5344" s="21"/>
    </row>
    <row r="5345" spans="13:13" x14ac:dyDescent="0.25">
      <c r="M5345" s="21"/>
    </row>
    <row r="5346" spans="13:13" x14ac:dyDescent="0.25">
      <c r="M5346" s="21"/>
    </row>
    <row r="5347" spans="13:13" x14ac:dyDescent="0.25">
      <c r="M5347" s="21"/>
    </row>
    <row r="5348" spans="13:13" x14ac:dyDescent="0.25">
      <c r="M5348" s="21"/>
    </row>
    <row r="5349" spans="13:13" x14ac:dyDescent="0.25">
      <c r="M5349" s="21"/>
    </row>
    <row r="5350" spans="13:13" x14ac:dyDescent="0.25">
      <c r="M5350" s="21"/>
    </row>
    <row r="5351" spans="13:13" x14ac:dyDescent="0.25">
      <c r="M5351" s="21"/>
    </row>
    <row r="5352" spans="13:13" x14ac:dyDescent="0.25">
      <c r="M5352" s="21"/>
    </row>
    <row r="5353" spans="13:13" x14ac:dyDescent="0.25">
      <c r="M5353" s="21"/>
    </row>
    <row r="5354" spans="13:13" x14ac:dyDescent="0.25">
      <c r="M5354" s="21"/>
    </row>
    <row r="5355" spans="13:13" x14ac:dyDescent="0.25">
      <c r="M5355" s="21"/>
    </row>
    <row r="5356" spans="13:13" x14ac:dyDescent="0.25">
      <c r="M5356" s="21"/>
    </row>
    <row r="5357" spans="13:13" x14ac:dyDescent="0.25">
      <c r="M5357" s="21"/>
    </row>
    <row r="5358" spans="13:13" x14ac:dyDescent="0.25">
      <c r="M5358" s="21"/>
    </row>
    <row r="5359" spans="13:13" x14ac:dyDescent="0.25">
      <c r="M5359" s="21"/>
    </row>
    <row r="5360" spans="13:13" x14ac:dyDescent="0.25">
      <c r="M5360" s="21"/>
    </row>
    <row r="5361" spans="13:13" x14ac:dyDescent="0.25">
      <c r="M5361" s="21"/>
    </row>
    <row r="5362" spans="13:13" x14ac:dyDescent="0.25">
      <c r="M5362" s="21"/>
    </row>
    <row r="5363" spans="13:13" x14ac:dyDescent="0.25">
      <c r="M5363" s="21"/>
    </row>
    <row r="5364" spans="13:13" x14ac:dyDescent="0.25">
      <c r="M5364" s="21"/>
    </row>
    <row r="5365" spans="13:13" x14ac:dyDescent="0.25">
      <c r="M5365" s="21"/>
    </row>
    <row r="5366" spans="13:13" x14ac:dyDescent="0.25">
      <c r="M5366" s="21"/>
    </row>
    <row r="5367" spans="13:13" x14ac:dyDescent="0.25">
      <c r="M5367" s="21"/>
    </row>
    <row r="5368" spans="13:13" x14ac:dyDescent="0.25">
      <c r="M5368" s="21"/>
    </row>
    <row r="5369" spans="13:13" x14ac:dyDescent="0.25">
      <c r="M5369" s="21"/>
    </row>
    <row r="5370" spans="13:13" x14ac:dyDescent="0.25">
      <c r="M5370" s="21"/>
    </row>
    <row r="5371" spans="13:13" x14ac:dyDescent="0.25">
      <c r="M5371" s="21"/>
    </row>
    <row r="5372" spans="13:13" x14ac:dyDescent="0.25">
      <c r="M5372" s="21"/>
    </row>
    <row r="5373" spans="13:13" x14ac:dyDescent="0.25">
      <c r="M5373" s="21"/>
    </row>
    <row r="5374" spans="13:13" x14ac:dyDescent="0.25">
      <c r="M5374" s="21"/>
    </row>
    <row r="5375" spans="13:13" x14ac:dyDescent="0.25">
      <c r="M5375" s="21"/>
    </row>
    <row r="5376" spans="13:13" x14ac:dyDescent="0.25">
      <c r="M5376" s="21"/>
    </row>
    <row r="5377" spans="13:13" x14ac:dyDescent="0.25">
      <c r="M5377" s="21"/>
    </row>
    <row r="5378" spans="13:13" x14ac:dyDescent="0.25">
      <c r="M5378" s="21"/>
    </row>
    <row r="5379" spans="13:13" x14ac:dyDescent="0.25">
      <c r="M5379" s="21"/>
    </row>
    <row r="5380" spans="13:13" x14ac:dyDescent="0.25">
      <c r="M5380" s="21"/>
    </row>
    <row r="5381" spans="13:13" x14ac:dyDescent="0.25">
      <c r="M5381" s="21"/>
    </row>
    <row r="5382" spans="13:13" x14ac:dyDescent="0.25">
      <c r="M5382" s="21"/>
    </row>
    <row r="5383" spans="13:13" x14ac:dyDescent="0.25">
      <c r="M5383" s="21"/>
    </row>
    <row r="5384" spans="13:13" x14ac:dyDescent="0.25">
      <c r="M5384" s="21"/>
    </row>
    <row r="5385" spans="13:13" x14ac:dyDescent="0.25">
      <c r="M5385" s="21"/>
    </row>
    <row r="5386" spans="13:13" x14ac:dyDescent="0.25">
      <c r="M5386" s="21"/>
    </row>
    <row r="5387" spans="13:13" x14ac:dyDescent="0.25">
      <c r="M5387" s="21"/>
    </row>
    <row r="5388" spans="13:13" x14ac:dyDescent="0.25">
      <c r="M5388" s="21"/>
    </row>
    <row r="5389" spans="13:13" x14ac:dyDescent="0.25">
      <c r="M5389" s="21"/>
    </row>
    <row r="5390" spans="13:13" x14ac:dyDescent="0.25">
      <c r="M5390" s="21"/>
    </row>
    <row r="5391" spans="13:13" x14ac:dyDescent="0.25">
      <c r="M5391" s="21"/>
    </row>
    <row r="5392" spans="13:13" x14ac:dyDescent="0.25">
      <c r="M5392" s="21"/>
    </row>
    <row r="5393" spans="13:13" x14ac:dyDescent="0.25">
      <c r="M5393" s="21"/>
    </row>
    <row r="5394" spans="13:13" x14ac:dyDescent="0.25">
      <c r="M5394" s="21"/>
    </row>
    <row r="5395" spans="13:13" x14ac:dyDescent="0.25">
      <c r="M5395" s="21"/>
    </row>
    <row r="5396" spans="13:13" x14ac:dyDescent="0.25">
      <c r="M5396" s="21"/>
    </row>
    <row r="5397" spans="13:13" x14ac:dyDescent="0.25">
      <c r="M5397" s="21"/>
    </row>
    <row r="5398" spans="13:13" x14ac:dyDescent="0.25">
      <c r="M5398" s="21"/>
    </row>
    <row r="5399" spans="13:13" x14ac:dyDescent="0.25">
      <c r="M5399" s="21"/>
    </row>
    <row r="5400" spans="13:13" x14ac:dyDescent="0.25">
      <c r="M5400" s="21"/>
    </row>
    <row r="5401" spans="13:13" x14ac:dyDescent="0.25">
      <c r="M5401" s="21"/>
    </row>
    <row r="5402" spans="13:13" x14ac:dyDescent="0.25">
      <c r="M5402" s="21"/>
    </row>
    <row r="5403" spans="13:13" x14ac:dyDescent="0.25">
      <c r="M5403" s="21"/>
    </row>
    <row r="5404" spans="13:13" x14ac:dyDescent="0.25">
      <c r="M5404" s="21"/>
    </row>
    <row r="5405" spans="13:13" x14ac:dyDescent="0.25">
      <c r="M5405" s="21"/>
    </row>
    <row r="5406" spans="13:13" x14ac:dyDescent="0.25">
      <c r="M5406" s="21"/>
    </row>
    <row r="5407" spans="13:13" x14ac:dyDescent="0.25">
      <c r="M5407" s="21"/>
    </row>
    <row r="5408" spans="13:13" x14ac:dyDescent="0.25">
      <c r="M5408" s="21"/>
    </row>
    <row r="5409" spans="13:13" x14ac:dyDescent="0.25">
      <c r="M5409" s="21"/>
    </row>
    <row r="5410" spans="13:13" x14ac:dyDescent="0.25">
      <c r="M5410" s="21"/>
    </row>
    <row r="5411" spans="13:13" x14ac:dyDescent="0.25">
      <c r="M5411" s="21"/>
    </row>
    <row r="5412" spans="13:13" x14ac:dyDescent="0.25">
      <c r="M5412" s="21"/>
    </row>
    <row r="5413" spans="13:13" x14ac:dyDescent="0.25">
      <c r="M5413" s="21"/>
    </row>
    <row r="5414" spans="13:13" x14ac:dyDescent="0.25">
      <c r="M5414" s="21"/>
    </row>
    <row r="5415" spans="13:13" x14ac:dyDescent="0.25">
      <c r="M5415" s="21"/>
    </row>
    <row r="5416" spans="13:13" x14ac:dyDescent="0.25">
      <c r="M5416" s="21"/>
    </row>
    <row r="5417" spans="13:13" x14ac:dyDescent="0.25">
      <c r="M5417" s="21"/>
    </row>
    <row r="5418" spans="13:13" x14ac:dyDescent="0.25">
      <c r="M5418" s="21"/>
    </row>
    <row r="5419" spans="13:13" x14ac:dyDescent="0.25">
      <c r="M5419" s="21"/>
    </row>
    <row r="5420" spans="13:13" x14ac:dyDescent="0.25">
      <c r="M5420" s="21"/>
    </row>
    <row r="5421" spans="13:13" x14ac:dyDescent="0.25">
      <c r="M5421" s="21"/>
    </row>
    <row r="5422" spans="13:13" x14ac:dyDescent="0.25">
      <c r="M5422" s="21"/>
    </row>
    <row r="5423" spans="13:13" x14ac:dyDescent="0.25">
      <c r="M5423" s="21"/>
    </row>
    <row r="5424" spans="13:13" x14ac:dyDescent="0.25">
      <c r="M5424" s="21"/>
    </row>
    <row r="5425" spans="13:13" x14ac:dyDescent="0.25">
      <c r="M5425" s="21"/>
    </row>
    <row r="5426" spans="13:13" x14ac:dyDescent="0.25">
      <c r="M5426" s="21"/>
    </row>
    <row r="5427" spans="13:13" x14ac:dyDescent="0.25">
      <c r="M5427" s="21"/>
    </row>
    <row r="5428" spans="13:13" x14ac:dyDescent="0.25">
      <c r="M5428" s="21"/>
    </row>
    <row r="5429" spans="13:13" x14ac:dyDescent="0.25">
      <c r="M5429" s="21"/>
    </row>
    <row r="5430" spans="13:13" x14ac:dyDescent="0.25">
      <c r="M5430" s="21"/>
    </row>
    <row r="5431" spans="13:13" x14ac:dyDescent="0.25">
      <c r="M5431" s="21"/>
    </row>
    <row r="5432" spans="13:13" x14ac:dyDescent="0.25">
      <c r="M5432" s="21"/>
    </row>
    <row r="5433" spans="13:13" x14ac:dyDescent="0.25">
      <c r="M5433" s="21"/>
    </row>
    <row r="5434" spans="13:13" x14ac:dyDescent="0.25">
      <c r="M5434" s="21"/>
    </row>
    <row r="5435" spans="13:13" x14ac:dyDescent="0.25">
      <c r="M5435" s="21"/>
    </row>
    <row r="5436" spans="13:13" x14ac:dyDescent="0.25">
      <c r="M5436" s="21"/>
    </row>
    <row r="5437" spans="13:13" x14ac:dyDescent="0.25">
      <c r="M5437" s="21"/>
    </row>
    <row r="5438" spans="13:13" x14ac:dyDescent="0.25">
      <c r="M5438" s="21"/>
    </row>
    <row r="5439" spans="13:13" x14ac:dyDescent="0.25">
      <c r="M5439" s="21"/>
    </row>
    <row r="5440" spans="13:13" x14ac:dyDescent="0.25">
      <c r="M5440" s="21"/>
    </row>
    <row r="5441" spans="13:13" x14ac:dyDescent="0.25">
      <c r="M5441" s="21"/>
    </row>
    <row r="5442" spans="13:13" x14ac:dyDescent="0.25">
      <c r="M5442" s="21"/>
    </row>
    <row r="5443" spans="13:13" x14ac:dyDescent="0.25">
      <c r="M5443" s="21"/>
    </row>
    <row r="5444" spans="13:13" x14ac:dyDescent="0.25">
      <c r="M5444" s="21"/>
    </row>
    <row r="5445" spans="13:13" x14ac:dyDescent="0.25">
      <c r="M5445" s="21"/>
    </row>
    <row r="5446" spans="13:13" x14ac:dyDescent="0.25">
      <c r="M5446" s="21"/>
    </row>
    <row r="5447" spans="13:13" x14ac:dyDescent="0.25">
      <c r="M5447" s="21"/>
    </row>
    <row r="5448" spans="13:13" x14ac:dyDescent="0.25">
      <c r="M5448" s="21"/>
    </row>
    <row r="5449" spans="13:13" x14ac:dyDescent="0.25">
      <c r="M5449" s="21"/>
    </row>
    <row r="5450" spans="13:13" x14ac:dyDescent="0.25">
      <c r="M5450" s="21"/>
    </row>
    <row r="5451" spans="13:13" x14ac:dyDescent="0.25">
      <c r="M5451" s="21"/>
    </row>
    <row r="5452" spans="13:13" x14ac:dyDescent="0.25">
      <c r="M5452" s="21"/>
    </row>
    <row r="5453" spans="13:13" x14ac:dyDescent="0.25">
      <c r="M5453" s="21"/>
    </row>
    <row r="5454" spans="13:13" x14ac:dyDescent="0.25">
      <c r="M5454" s="21"/>
    </row>
    <row r="5455" spans="13:13" x14ac:dyDescent="0.25">
      <c r="M5455" s="21"/>
    </row>
    <row r="5456" spans="13:13" x14ac:dyDescent="0.25">
      <c r="M5456" s="21"/>
    </row>
    <row r="5457" spans="13:13" x14ac:dyDescent="0.25">
      <c r="M5457" s="21"/>
    </row>
    <row r="5458" spans="13:13" x14ac:dyDescent="0.25">
      <c r="M5458" s="21"/>
    </row>
    <row r="5459" spans="13:13" x14ac:dyDescent="0.25">
      <c r="M5459" s="21"/>
    </row>
    <row r="5460" spans="13:13" x14ac:dyDescent="0.25">
      <c r="M5460" s="21"/>
    </row>
    <row r="5461" spans="13:13" x14ac:dyDescent="0.25">
      <c r="M5461" s="21"/>
    </row>
    <row r="5462" spans="13:13" x14ac:dyDescent="0.25">
      <c r="M5462" s="21"/>
    </row>
    <row r="5463" spans="13:13" x14ac:dyDescent="0.25">
      <c r="M5463" s="21"/>
    </row>
    <row r="5464" spans="13:13" x14ac:dyDescent="0.25">
      <c r="M5464" s="21"/>
    </row>
    <row r="5465" spans="13:13" x14ac:dyDescent="0.25">
      <c r="M5465" s="21"/>
    </row>
    <row r="5466" spans="13:13" x14ac:dyDescent="0.25">
      <c r="M5466" s="21"/>
    </row>
    <row r="5467" spans="13:13" x14ac:dyDescent="0.25">
      <c r="M5467" s="21"/>
    </row>
    <row r="5468" spans="13:13" x14ac:dyDescent="0.25">
      <c r="M5468" s="21"/>
    </row>
    <row r="5469" spans="13:13" x14ac:dyDescent="0.25">
      <c r="M5469" s="21"/>
    </row>
    <row r="5470" spans="13:13" x14ac:dyDescent="0.25">
      <c r="M5470" s="21"/>
    </row>
    <row r="5471" spans="13:13" x14ac:dyDescent="0.25">
      <c r="M5471" s="21"/>
    </row>
    <row r="5472" spans="13:13" x14ac:dyDescent="0.25">
      <c r="M5472" s="21"/>
    </row>
    <row r="5473" spans="13:13" x14ac:dyDescent="0.25">
      <c r="M5473" s="21"/>
    </row>
    <row r="5474" spans="13:13" x14ac:dyDescent="0.25">
      <c r="M5474" s="21"/>
    </row>
    <row r="5475" spans="13:13" x14ac:dyDescent="0.25">
      <c r="M5475" s="21"/>
    </row>
    <row r="5476" spans="13:13" x14ac:dyDescent="0.25">
      <c r="M5476" s="21"/>
    </row>
    <row r="5477" spans="13:13" x14ac:dyDescent="0.25">
      <c r="M5477" s="21"/>
    </row>
    <row r="5478" spans="13:13" x14ac:dyDescent="0.25">
      <c r="M5478" s="21"/>
    </row>
    <row r="5479" spans="13:13" x14ac:dyDescent="0.25">
      <c r="M5479" s="21"/>
    </row>
    <row r="5480" spans="13:13" x14ac:dyDescent="0.25">
      <c r="M5480" s="21"/>
    </row>
    <row r="5481" spans="13:13" x14ac:dyDescent="0.25">
      <c r="M5481" s="21"/>
    </row>
    <row r="5482" spans="13:13" x14ac:dyDescent="0.25">
      <c r="M5482" s="21"/>
    </row>
    <row r="5483" spans="13:13" x14ac:dyDescent="0.25">
      <c r="M5483" s="21"/>
    </row>
    <row r="5484" spans="13:13" x14ac:dyDescent="0.25">
      <c r="M5484" s="21"/>
    </row>
    <row r="5485" spans="13:13" x14ac:dyDescent="0.25">
      <c r="M5485" s="21"/>
    </row>
    <row r="5486" spans="13:13" x14ac:dyDescent="0.25">
      <c r="M5486" s="21"/>
    </row>
    <row r="5487" spans="13:13" x14ac:dyDescent="0.25">
      <c r="M5487" s="21"/>
    </row>
    <row r="5488" spans="13:13" x14ac:dyDescent="0.25">
      <c r="M5488" s="21"/>
    </row>
    <row r="5489" spans="13:13" x14ac:dyDescent="0.25">
      <c r="M5489" s="21"/>
    </row>
    <row r="5490" spans="13:13" x14ac:dyDescent="0.25">
      <c r="M5490" s="21"/>
    </row>
    <row r="5491" spans="13:13" x14ac:dyDescent="0.25">
      <c r="M5491" s="21"/>
    </row>
    <row r="5492" spans="13:13" x14ac:dyDescent="0.25">
      <c r="M5492" s="21"/>
    </row>
    <row r="5493" spans="13:13" x14ac:dyDescent="0.25">
      <c r="M5493" s="21"/>
    </row>
    <row r="5494" spans="13:13" x14ac:dyDescent="0.25">
      <c r="M5494" s="21"/>
    </row>
    <row r="5495" spans="13:13" x14ac:dyDescent="0.25">
      <c r="M5495" s="21"/>
    </row>
    <row r="5496" spans="13:13" x14ac:dyDescent="0.25">
      <c r="M5496" s="21"/>
    </row>
    <row r="5497" spans="13:13" x14ac:dyDescent="0.25">
      <c r="M5497" s="21"/>
    </row>
    <row r="5498" spans="13:13" x14ac:dyDescent="0.25">
      <c r="M5498" s="21"/>
    </row>
    <row r="5499" spans="13:13" x14ac:dyDescent="0.25">
      <c r="M5499" s="21"/>
    </row>
    <row r="5500" spans="13:13" x14ac:dyDescent="0.25">
      <c r="M5500" s="21"/>
    </row>
    <row r="5501" spans="13:13" x14ac:dyDescent="0.25">
      <c r="M5501" s="21"/>
    </row>
    <row r="5502" spans="13:13" x14ac:dyDescent="0.25">
      <c r="M5502" s="21"/>
    </row>
    <row r="5503" spans="13:13" x14ac:dyDescent="0.25">
      <c r="M5503" s="21"/>
    </row>
    <row r="5504" spans="13:13" x14ac:dyDescent="0.25">
      <c r="M5504" s="21"/>
    </row>
    <row r="5505" spans="13:13" x14ac:dyDescent="0.25">
      <c r="M5505" s="21"/>
    </row>
    <row r="5506" spans="13:13" x14ac:dyDescent="0.25">
      <c r="M5506" s="21"/>
    </row>
    <row r="5507" spans="13:13" x14ac:dyDescent="0.25">
      <c r="M5507" s="21"/>
    </row>
    <row r="5508" spans="13:13" x14ac:dyDescent="0.25">
      <c r="M5508" s="21"/>
    </row>
    <row r="5509" spans="13:13" x14ac:dyDescent="0.25">
      <c r="M5509" s="21"/>
    </row>
    <row r="5510" spans="13:13" x14ac:dyDescent="0.25">
      <c r="M5510" s="21"/>
    </row>
    <row r="5511" spans="13:13" x14ac:dyDescent="0.25">
      <c r="M5511" s="21"/>
    </row>
    <row r="5512" spans="13:13" x14ac:dyDescent="0.25">
      <c r="M5512" s="21"/>
    </row>
    <row r="5513" spans="13:13" x14ac:dyDescent="0.25">
      <c r="M5513" s="21"/>
    </row>
    <row r="5514" spans="13:13" x14ac:dyDescent="0.25">
      <c r="M5514" s="21"/>
    </row>
    <row r="5515" spans="13:13" x14ac:dyDescent="0.25">
      <c r="M5515" s="21"/>
    </row>
    <row r="5516" spans="13:13" x14ac:dyDescent="0.25">
      <c r="M5516" s="21"/>
    </row>
    <row r="5517" spans="13:13" x14ac:dyDescent="0.25">
      <c r="M5517" s="21"/>
    </row>
    <row r="5518" spans="13:13" x14ac:dyDescent="0.25">
      <c r="M5518" s="21"/>
    </row>
    <row r="5519" spans="13:13" x14ac:dyDescent="0.25">
      <c r="M5519" s="21"/>
    </row>
    <row r="5520" spans="13:13" x14ac:dyDescent="0.25">
      <c r="M5520" s="21"/>
    </row>
    <row r="5521" spans="13:13" x14ac:dyDescent="0.25">
      <c r="M5521" s="21"/>
    </row>
    <row r="5522" spans="13:13" x14ac:dyDescent="0.25">
      <c r="M5522" s="21"/>
    </row>
    <row r="5523" spans="13:13" x14ac:dyDescent="0.25">
      <c r="M5523" s="21"/>
    </row>
    <row r="5524" spans="13:13" x14ac:dyDescent="0.25">
      <c r="M5524" s="21"/>
    </row>
    <row r="5525" spans="13:13" x14ac:dyDescent="0.25">
      <c r="M5525" s="21"/>
    </row>
    <row r="5526" spans="13:13" x14ac:dyDescent="0.25">
      <c r="M5526" s="21"/>
    </row>
    <row r="5527" spans="13:13" x14ac:dyDescent="0.25">
      <c r="M5527" s="21"/>
    </row>
    <row r="5528" spans="13:13" x14ac:dyDescent="0.25">
      <c r="M5528" s="21"/>
    </row>
    <row r="5529" spans="13:13" x14ac:dyDescent="0.25">
      <c r="M5529" s="21"/>
    </row>
    <row r="5530" spans="13:13" x14ac:dyDescent="0.25">
      <c r="M5530" s="21"/>
    </row>
    <row r="5531" spans="13:13" x14ac:dyDescent="0.25">
      <c r="M5531" s="21"/>
    </row>
    <row r="5532" spans="13:13" x14ac:dyDescent="0.25">
      <c r="M5532" s="21"/>
    </row>
    <row r="5533" spans="13:13" x14ac:dyDescent="0.25">
      <c r="M5533" s="21"/>
    </row>
    <row r="5534" spans="13:13" x14ac:dyDescent="0.25">
      <c r="M5534" s="21"/>
    </row>
    <row r="5535" spans="13:13" x14ac:dyDescent="0.25">
      <c r="M5535" s="21"/>
    </row>
    <row r="5536" spans="13:13" x14ac:dyDescent="0.25">
      <c r="M5536" s="21"/>
    </row>
    <row r="5537" spans="13:13" x14ac:dyDescent="0.25">
      <c r="M5537" s="21"/>
    </row>
    <row r="5538" spans="13:13" x14ac:dyDescent="0.25">
      <c r="M5538" s="21"/>
    </row>
    <row r="5539" spans="13:13" x14ac:dyDescent="0.25">
      <c r="M5539" s="21"/>
    </row>
    <row r="5540" spans="13:13" x14ac:dyDescent="0.25">
      <c r="M5540" s="21"/>
    </row>
    <row r="5541" spans="13:13" x14ac:dyDescent="0.25">
      <c r="M5541" s="21"/>
    </row>
    <row r="5542" spans="13:13" x14ac:dyDescent="0.25">
      <c r="M5542" s="21"/>
    </row>
    <row r="5543" spans="13:13" x14ac:dyDescent="0.25">
      <c r="M5543" s="21"/>
    </row>
    <row r="5544" spans="13:13" x14ac:dyDescent="0.25">
      <c r="M5544" s="21"/>
    </row>
    <row r="5545" spans="13:13" x14ac:dyDescent="0.25">
      <c r="M5545" s="21"/>
    </row>
    <row r="5546" spans="13:13" x14ac:dyDescent="0.25">
      <c r="M5546" s="21"/>
    </row>
    <row r="5547" spans="13:13" x14ac:dyDescent="0.25">
      <c r="M5547" s="21"/>
    </row>
    <row r="5548" spans="13:13" x14ac:dyDescent="0.25">
      <c r="M5548" s="21"/>
    </row>
    <row r="5549" spans="13:13" x14ac:dyDescent="0.25">
      <c r="M5549" s="21"/>
    </row>
    <row r="5550" spans="13:13" x14ac:dyDescent="0.25">
      <c r="M5550" s="21"/>
    </row>
    <row r="5551" spans="13:13" x14ac:dyDescent="0.25">
      <c r="M5551" s="21"/>
    </row>
    <row r="5552" spans="13:13" x14ac:dyDescent="0.25">
      <c r="M5552" s="21"/>
    </row>
    <row r="5553" spans="13:13" x14ac:dyDescent="0.25">
      <c r="M5553" s="21"/>
    </row>
    <row r="5554" spans="13:13" x14ac:dyDescent="0.25">
      <c r="M5554" s="21"/>
    </row>
    <row r="5555" spans="13:13" x14ac:dyDescent="0.25">
      <c r="M5555" s="21"/>
    </row>
    <row r="5556" spans="13:13" x14ac:dyDescent="0.25">
      <c r="M5556" s="21"/>
    </row>
    <row r="5557" spans="13:13" x14ac:dyDescent="0.25">
      <c r="M5557" s="21"/>
    </row>
    <row r="5558" spans="13:13" x14ac:dyDescent="0.25">
      <c r="M5558" s="21"/>
    </row>
    <row r="5559" spans="13:13" x14ac:dyDescent="0.25">
      <c r="M5559" s="21"/>
    </row>
    <row r="5560" spans="13:13" x14ac:dyDescent="0.25">
      <c r="M5560" s="21"/>
    </row>
    <row r="5561" spans="13:13" x14ac:dyDescent="0.25">
      <c r="M5561" s="21"/>
    </row>
    <row r="5562" spans="13:13" x14ac:dyDescent="0.25">
      <c r="M5562" s="21"/>
    </row>
    <row r="5563" spans="13:13" x14ac:dyDescent="0.25">
      <c r="M5563" s="21"/>
    </row>
    <row r="5564" spans="13:13" x14ac:dyDescent="0.25">
      <c r="M5564" s="21"/>
    </row>
    <row r="5565" spans="13:13" x14ac:dyDescent="0.25">
      <c r="M5565" s="21"/>
    </row>
    <row r="5566" spans="13:13" x14ac:dyDescent="0.25">
      <c r="M5566" s="21"/>
    </row>
    <row r="5567" spans="13:13" x14ac:dyDescent="0.25">
      <c r="M5567" s="21"/>
    </row>
    <row r="5568" spans="13:13" x14ac:dyDescent="0.25">
      <c r="M5568" s="21"/>
    </row>
    <row r="5569" spans="13:13" x14ac:dyDescent="0.25">
      <c r="M5569" s="21"/>
    </row>
    <row r="5570" spans="13:13" x14ac:dyDescent="0.25">
      <c r="M5570" s="21"/>
    </row>
    <row r="5571" spans="13:13" x14ac:dyDescent="0.25">
      <c r="M5571" s="21"/>
    </row>
    <row r="5572" spans="13:13" x14ac:dyDescent="0.25">
      <c r="M5572" s="21"/>
    </row>
    <row r="5573" spans="13:13" x14ac:dyDescent="0.25">
      <c r="M5573" s="21"/>
    </row>
    <row r="5574" spans="13:13" x14ac:dyDescent="0.25">
      <c r="M5574" s="21"/>
    </row>
    <row r="5575" spans="13:13" x14ac:dyDescent="0.25">
      <c r="M5575" s="21"/>
    </row>
    <row r="5576" spans="13:13" x14ac:dyDescent="0.25">
      <c r="M5576" s="21"/>
    </row>
    <row r="5577" spans="13:13" x14ac:dyDescent="0.25">
      <c r="M5577" s="21"/>
    </row>
    <row r="5578" spans="13:13" x14ac:dyDescent="0.25">
      <c r="M5578" s="21"/>
    </row>
    <row r="5579" spans="13:13" x14ac:dyDescent="0.25">
      <c r="M5579" s="21"/>
    </row>
    <row r="5580" spans="13:13" x14ac:dyDescent="0.25">
      <c r="M5580" s="21"/>
    </row>
    <row r="5581" spans="13:13" x14ac:dyDescent="0.25">
      <c r="M5581" s="21"/>
    </row>
    <row r="5582" spans="13:13" x14ac:dyDescent="0.25">
      <c r="M5582" s="21"/>
    </row>
    <row r="5583" spans="13:13" x14ac:dyDescent="0.25">
      <c r="M5583" s="21"/>
    </row>
    <row r="5584" spans="13:13" x14ac:dyDescent="0.25">
      <c r="M5584" s="21"/>
    </row>
    <row r="5585" spans="13:13" x14ac:dyDescent="0.25">
      <c r="M5585" s="21"/>
    </row>
    <row r="5586" spans="13:13" x14ac:dyDescent="0.25">
      <c r="M5586" s="21"/>
    </row>
    <row r="5587" spans="13:13" x14ac:dyDescent="0.25">
      <c r="M5587" s="21"/>
    </row>
    <row r="5588" spans="13:13" x14ac:dyDescent="0.25">
      <c r="M5588" s="21"/>
    </row>
    <row r="5589" spans="13:13" x14ac:dyDescent="0.25">
      <c r="M5589" s="21"/>
    </row>
    <row r="5590" spans="13:13" x14ac:dyDescent="0.25">
      <c r="M5590" s="21"/>
    </row>
    <row r="5591" spans="13:13" x14ac:dyDescent="0.25">
      <c r="M5591" s="21"/>
    </row>
    <row r="5592" spans="13:13" x14ac:dyDescent="0.25">
      <c r="M5592" s="21"/>
    </row>
    <row r="5593" spans="13:13" x14ac:dyDescent="0.25">
      <c r="M5593" s="21"/>
    </row>
    <row r="5594" spans="13:13" x14ac:dyDescent="0.25">
      <c r="M5594" s="21"/>
    </row>
    <row r="5595" spans="13:13" x14ac:dyDescent="0.25">
      <c r="M5595" s="21"/>
    </row>
    <row r="5596" spans="13:13" x14ac:dyDescent="0.25">
      <c r="M5596" s="21"/>
    </row>
    <row r="5597" spans="13:13" x14ac:dyDescent="0.25">
      <c r="M5597" s="21"/>
    </row>
    <row r="5598" spans="13:13" x14ac:dyDescent="0.25">
      <c r="M5598" s="21"/>
    </row>
    <row r="5599" spans="13:13" x14ac:dyDescent="0.25">
      <c r="M5599" s="21"/>
    </row>
    <row r="5600" spans="13:13" x14ac:dyDescent="0.25">
      <c r="M5600" s="21"/>
    </row>
    <row r="5601" spans="13:13" x14ac:dyDescent="0.25">
      <c r="M5601" s="21"/>
    </row>
    <row r="5602" spans="13:13" x14ac:dyDescent="0.25">
      <c r="M5602" s="21"/>
    </row>
    <row r="5603" spans="13:13" x14ac:dyDescent="0.25">
      <c r="M5603" s="21"/>
    </row>
    <row r="5604" spans="13:13" x14ac:dyDescent="0.25">
      <c r="M5604" s="21"/>
    </row>
    <row r="5605" spans="13:13" x14ac:dyDescent="0.25">
      <c r="M5605" s="21"/>
    </row>
    <row r="5606" spans="13:13" x14ac:dyDescent="0.25">
      <c r="M5606" s="21"/>
    </row>
    <row r="5607" spans="13:13" x14ac:dyDescent="0.25">
      <c r="M5607" s="21"/>
    </row>
    <row r="5608" spans="13:13" x14ac:dyDescent="0.25">
      <c r="M5608" s="21"/>
    </row>
    <row r="5609" spans="13:13" x14ac:dyDescent="0.25">
      <c r="M5609" s="21"/>
    </row>
    <row r="5610" spans="13:13" x14ac:dyDescent="0.25">
      <c r="M5610" s="21"/>
    </row>
    <row r="5611" spans="13:13" x14ac:dyDescent="0.25">
      <c r="M5611" s="21"/>
    </row>
    <row r="5612" spans="13:13" x14ac:dyDescent="0.25">
      <c r="M5612" s="21"/>
    </row>
    <row r="5613" spans="13:13" x14ac:dyDescent="0.25">
      <c r="M5613" s="21"/>
    </row>
    <row r="5614" spans="13:13" x14ac:dyDescent="0.25">
      <c r="M5614" s="21"/>
    </row>
    <row r="5615" spans="13:13" x14ac:dyDescent="0.25">
      <c r="M5615" s="21"/>
    </row>
    <row r="5616" spans="13:13" x14ac:dyDescent="0.25">
      <c r="M5616" s="21"/>
    </row>
    <row r="5617" spans="13:13" x14ac:dyDescent="0.25">
      <c r="M5617" s="21"/>
    </row>
    <row r="5618" spans="13:13" x14ac:dyDescent="0.25">
      <c r="M5618" s="21"/>
    </row>
    <row r="5619" spans="13:13" x14ac:dyDescent="0.25">
      <c r="M5619" s="21"/>
    </row>
    <row r="5620" spans="13:13" x14ac:dyDescent="0.25">
      <c r="M5620" s="21"/>
    </row>
    <row r="5621" spans="13:13" x14ac:dyDescent="0.25">
      <c r="M5621" s="21"/>
    </row>
    <row r="5622" spans="13:13" x14ac:dyDescent="0.25">
      <c r="M5622" s="21"/>
    </row>
    <row r="5623" spans="13:13" x14ac:dyDescent="0.25">
      <c r="M5623" s="21"/>
    </row>
    <row r="5624" spans="13:13" x14ac:dyDescent="0.25">
      <c r="M5624" s="21"/>
    </row>
    <row r="5625" spans="13:13" x14ac:dyDescent="0.25">
      <c r="M5625" s="21"/>
    </row>
    <row r="5626" spans="13:13" x14ac:dyDescent="0.25">
      <c r="M5626" s="21"/>
    </row>
    <row r="5627" spans="13:13" x14ac:dyDescent="0.25">
      <c r="M5627" s="21"/>
    </row>
    <row r="5628" spans="13:13" x14ac:dyDescent="0.25">
      <c r="M5628" s="21"/>
    </row>
    <row r="5629" spans="13:13" x14ac:dyDescent="0.25">
      <c r="M5629" s="21"/>
    </row>
    <row r="5630" spans="13:13" x14ac:dyDescent="0.25">
      <c r="M5630" s="21"/>
    </row>
    <row r="5631" spans="13:13" x14ac:dyDescent="0.25">
      <c r="M5631" s="21"/>
    </row>
    <row r="5632" spans="13:13" x14ac:dyDescent="0.25">
      <c r="M5632" s="21"/>
    </row>
    <row r="5633" spans="13:13" x14ac:dyDescent="0.25">
      <c r="M5633" s="21"/>
    </row>
    <row r="5634" spans="13:13" x14ac:dyDescent="0.25">
      <c r="M5634" s="21"/>
    </row>
    <row r="5635" spans="13:13" x14ac:dyDescent="0.25">
      <c r="M5635" s="21"/>
    </row>
    <row r="5636" spans="13:13" x14ac:dyDescent="0.25">
      <c r="M5636" s="21"/>
    </row>
    <row r="5637" spans="13:13" x14ac:dyDescent="0.25">
      <c r="M5637" s="21"/>
    </row>
    <row r="5638" spans="13:13" x14ac:dyDescent="0.25">
      <c r="M5638" s="21"/>
    </row>
    <row r="5639" spans="13:13" x14ac:dyDescent="0.25">
      <c r="M5639" s="21"/>
    </row>
    <row r="5640" spans="13:13" x14ac:dyDescent="0.25">
      <c r="M5640" s="21"/>
    </row>
    <row r="5641" spans="13:13" x14ac:dyDescent="0.25">
      <c r="M5641" s="21"/>
    </row>
    <row r="5642" spans="13:13" x14ac:dyDescent="0.25">
      <c r="M5642" s="21"/>
    </row>
    <row r="5643" spans="13:13" x14ac:dyDescent="0.25">
      <c r="M5643" s="21"/>
    </row>
    <row r="5644" spans="13:13" x14ac:dyDescent="0.25">
      <c r="M5644" s="21"/>
    </row>
    <row r="5645" spans="13:13" x14ac:dyDescent="0.25">
      <c r="M5645" s="21"/>
    </row>
    <row r="5646" spans="13:13" x14ac:dyDescent="0.25">
      <c r="M5646" s="21"/>
    </row>
    <row r="5647" spans="13:13" x14ac:dyDescent="0.25">
      <c r="M5647" s="21"/>
    </row>
    <row r="5648" spans="13:13" x14ac:dyDescent="0.25">
      <c r="M5648" s="21"/>
    </row>
    <row r="5649" spans="13:13" x14ac:dyDescent="0.25">
      <c r="M5649" s="21"/>
    </row>
    <row r="5650" spans="13:13" x14ac:dyDescent="0.25">
      <c r="M5650" s="21"/>
    </row>
    <row r="5651" spans="13:13" x14ac:dyDescent="0.25">
      <c r="M5651" s="21"/>
    </row>
    <row r="5652" spans="13:13" x14ac:dyDescent="0.25">
      <c r="M5652" s="21"/>
    </row>
    <row r="5653" spans="13:13" x14ac:dyDescent="0.25">
      <c r="M5653" s="21"/>
    </row>
    <row r="5654" spans="13:13" x14ac:dyDescent="0.25">
      <c r="M5654" s="21"/>
    </row>
    <row r="5655" spans="13:13" x14ac:dyDescent="0.25">
      <c r="M5655" s="21"/>
    </row>
    <row r="5656" spans="13:13" x14ac:dyDescent="0.25">
      <c r="M5656" s="21"/>
    </row>
    <row r="5657" spans="13:13" x14ac:dyDescent="0.25">
      <c r="M5657" s="21"/>
    </row>
    <row r="5658" spans="13:13" x14ac:dyDescent="0.25">
      <c r="M5658" s="21"/>
    </row>
    <row r="5659" spans="13:13" x14ac:dyDescent="0.25">
      <c r="M5659" s="21"/>
    </row>
    <row r="5660" spans="13:13" x14ac:dyDescent="0.25">
      <c r="M5660" s="21"/>
    </row>
    <row r="5661" spans="13:13" x14ac:dyDescent="0.25">
      <c r="M5661" s="21"/>
    </row>
    <row r="5662" spans="13:13" x14ac:dyDescent="0.25">
      <c r="M5662" s="21"/>
    </row>
    <row r="5663" spans="13:13" x14ac:dyDescent="0.25">
      <c r="M5663" s="21"/>
    </row>
    <row r="5664" spans="13:13" x14ac:dyDescent="0.25">
      <c r="M5664" s="21"/>
    </row>
    <row r="5665" spans="13:13" x14ac:dyDescent="0.25">
      <c r="M5665" s="21"/>
    </row>
    <row r="5666" spans="13:13" x14ac:dyDescent="0.25">
      <c r="M5666" s="21"/>
    </row>
    <row r="5667" spans="13:13" x14ac:dyDescent="0.25">
      <c r="M5667" s="21"/>
    </row>
    <row r="5668" spans="13:13" x14ac:dyDescent="0.25">
      <c r="M5668" s="21"/>
    </row>
    <row r="5669" spans="13:13" x14ac:dyDescent="0.25">
      <c r="M5669" s="21"/>
    </row>
    <row r="5670" spans="13:13" x14ac:dyDescent="0.25">
      <c r="M5670" s="21"/>
    </row>
    <row r="5671" spans="13:13" x14ac:dyDescent="0.25">
      <c r="M5671" s="21"/>
    </row>
    <row r="5672" spans="13:13" x14ac:dyDescent="0.25">
      <c r="M5672" s="21"/>
    </row>
    <row r="5673" spans="13:13" x14ac:dyDescent="0.25">
      <c r="M5673" s="21"/>
    </row>
    <row r="5674" spans="13:13" x14ac:dyDescent="0.25">
      <c r="M5674" s="21"/>
    </row>
    <row r="5675" spans="13:13" x14ac:dyDescent="0.25">
      <c r="M5675" s="21"/>
    </row>
    <row r="5676" spans="13:13" x14ac:dyDescent="0.25">
      <c r="M5676" s="21"/>
    </row>
    <row r="5677" spans="13:13" x14ac:dyDescent="0.25">
      <c r="M5677" s="21"/>
    </row>
    <row r="5678" spans="13:13" x14ac:dyDescent="0.25">
      <c r="M5678" s="21"/>
    </row>
    <row r="5679" spans="13:13" x14ac:dyDescent="0.25">
      <c r="M5679" s="21"/>
    </row>
    <row r="5680" spans="13:13" x14ac:dyDescent="0.25">
      <c r="M5680" s="21"/>
    </row>
    <row r="5681" spans="13:13" x14ac:dyDescent="0.25">
      <c r="M5681" s="21"/>
    </row>
    <row r="5682" spans="13:13" x14ac:dyDescent="0.25">
      <c r="M5682" s="21"/>
    </row>
    <row r="5683" spans="13:13" x14ac:dyDescent="0.25">
      <c r="M5683" s="21"/>
    </row>
    <row r="5684" spans="13:13" x14ac:dyDescent="0.25">
      <c r="M5684" s="21"/>
    </row>
    <row r="5685" spans="13:13" x14ac:dyDescent="0.25">
      <c r="M5685" s="21"/>
    </row>
    <row r="5686" spans="13:13" x14ac:dyDescent="0.25">
      <c r="M5686" s="21"/>
    </row>
    <row r="5687" spans="13:13" x14ac:dyDescent="0.25">
      <c r="M5687" s="21"/>
    </row>
    <row r="5688" spans="13:13" x14ac:dyDescent="0.25">
      <c r="M5688" s="21"/>
    </row>
    <row r="5689" spans="13:13" x14ac:dyDescent="0.25">
      <c r="M5689" s="21"/>
    </row>
    <row r="5690" spans="13:13" x14ac:dyDescent="0.25">
      <c r="M5690" s="21"/>
    </row>
    <row r="5691" spans="13:13" x14ac:dyDescent="0.25">
      <c r="M5691" s="21"/>
    </row>
    <row r="5692" spans="13:13" x14ac:dyDescent="0.25">
      <c r="M5692" s="21"/>
    </row>
    <row r="5693" spans="13:13" x14ac:dyDescent="0.25">
      <c r="M5693" s="21"/>
    </row>
    <row r="5694" spans="13:13" x14ac:dyDescent="0.25">
      <c r="M5694" s="21"/>
    </row>
    <row r="5695" spans="13:13" x14ac:dyDescent="0.25">
      <c r="M5695" s="21"/>
    </row>
    <row r="5696" spans="13:13" x14ac:dyDescent="0.25">
      <c r="M5696" s="21"/>
    </row>
    <row r="5697" spans="13:13" x14ac:dyDescent="0.25">
      <c r="M5697" s="21"/>
    </row>
    <row r="5698" spans="13:13" x14ac:dyDescent="0.25">
      <c r="M5698" s="21"/>
    </row>
    <row r="5699" spans="13:13" x14ac:dyDescent="0.25">
      <c r="M5699" s="21"/>
    </row>
    <row r="5700" spans="13:13" x14ac:dyDescent="0.25">
      <c r="M5700" s="21"/>
    </row>
    <row r="5701" spans="13:13" x14ac:dyDescent="0.25">
      <c r="M5701" s="21"/>
    </row>
    <row r="5702" spans="13:13" x14ac:dyDescent="0.25">
      <c r="M5702" s="21"/>
    </row>
    <row r="5703" spans="13:13" x14ac:dyDescent="0.25">
      <c r="M5703" s="21"/>
    </row>
    <row r="5704" spans="13:13" x14ac:dyDescent="0.25">
      <c r="M5704" s="21"/>
    </row>
    <row r="5705" spans="13:13" x14ac:dyDescent="0.25">
      <c r="M5705" s="21"/>
    </row>
    <row r="5706" spans="13:13" x14ac:dyDescent="0.25">
      <c r="M5706" s="21"/>
    </row>
    <row r="5707" spans="13:13" x14ac:dyDescent="0.25">
      <c r="M5707" s="21"/>
    </row>
    <row r="5708" spans="13:13" x14ac:dyDescent="0.25">
      <c r="M5708" s="21"/>
    </row>
    <row r="5709" spans="13:13" x14ac:dyDescent="0.25">
      <c r="M5709" s="21"/>
    </row>
    <row r="5710" spans="13:13" x14ac:dyDescent="0.25">
      <c r="M5710" s="21"/>
    </row>
    <row r="5711" spans="13:13" x14ac:dyDescent="0.25">
      <c r="M5711" s="21"/>
    </row>
    <row r="5712" spans="13:13" x14ac:dyDescent="0.25">
      <c r="M5712" s="21"/>
    </row>
    <row r="5713" spans="13:13" x14ac:dyDescent="0.25">
      <c r="M5713" s="21"/>
    </row>
    <row r="5714" spans="13:13" x14ac:dyDescent="0.25">
      <c r="M5714" s="21"/>
    </row>
    <row r="5715" spans="13:13" x14ac:dyDescent="0.25">
      <c r="M5715" s="21"/>
    </row>
    <row r="5716" spans="13:13" x14ac:dyDescent="0.25">
      <c r="M5716" s="21"/>
    </row>
    <row r="5717" spans="13:13" x14ac:dyDescent="0.25">
      <c r="M5717" s="21"/>
    </row>
    <row r="5718" spans="13:13" x14ac:dyDescent="0.25">
      <c r="M5718" s="21"/>
    </row>
    <row r="5719" spans="13:13" x14ac:dyDescent="0.25">
      <c r="M5719" s="21"/>
    </row>
    <row r="5720" spans="13:13" x14ac:dyDescent="0.25">
      <c r="M5720" s="21"/>
    </row>
    <row r="5721" spans="13:13" x14ac:dyDescent="0.25">
      <c r="M5721" s="21"/>
    </row>
    <row r="5722" spans="13:13" x14ac:dyDescent="0.25">
      <c r="M5722" s="21"/>
    </row>
    <row r="5723" spans="13:13" x14ac:dyDescent="0.25">
      <c r="M5723" s="21"/>
    </row>
    <row r="5724" spans="13:13" x14ac:dyDescent="0.25">
      <c r="M5724" s="21"/>
    </row>
    <row r="5725" spans="13:13" x14ac:dyDescent="0.25">
      <c r="M5725" s="21"/>
    </row>
    <row r="5726" spans="13:13" x14ac:dyDescent="0.25">
      <c r="M5726" s="21"/>
    </row>
    <row r="5727" spans="13:13" x14ac:dyDescent="0.25">
      <c r="M5727" s="21"/>
    </row>
    <row r="5728" spans="13:13" x14ac:dyDescent="0.25">
      <c r="M5728" s="21"/>
    </row>
    <row r="5729" spans="13:13" x14ac:dyDescent="0.25">
      <c r="M5729" s="21"/>
    </row>
    <row r="5730" spans="13:13" x14ac:dyDescent="0.25">
      <c r="M5730" s="21"/>
    </row>
    <row r="5731" spans="13:13" x14ac:dyDescent="0.25">
      <c r="M5731" s="21"/>
    </row>
    <row r="5732" spans="13:13" x14ac:dyDescent="0.25">
      <c r="M5732" s="21"/>
    </row>
    <row r="5733" spans="13:13" x14ac:dyDescent="0.25">
      <c r="M5733" s="21"/>
    </row>
    <row r="5734" spans="13:13" x14ac:dyDescent="0.25">
      <c r="M5734" s="21"/>
    </row>
    <row r="5735" spans="13:13" x14ac:dyDescent="0.25">
      <c r="M5735" s="21"/>
    </row>
    <row r="5736" spans="13:13" x14ac:dyDescent="0.25">
      <c r="M5736" s="21"/>
    </row>
    <row r="5737" spans="13:13" x14ac:dyDescent="0.25">
      <c r="M5737" s="21"/>
    </row>
    <row r="5738" spans="13:13" x14ac:dyDescent="0.25">
      <c r="M5738" s="21"/>
    </row>
    <row r="5739" spans="13:13" x14ac:dyDescent="0.25">
      <c r="M5739" s="21"/>
    </row>
    <row r="5740" spans="13:13" x14ac:dyDescent="0.25">
      <c r="M5740" s="21"/>
    </row>
    <row r="5741" spans="13:13" x14ac:dyDescent="0.25">
      <c r="M5741" s="21"/>
    </row>
    <row r="5742" spans="13:13" x14ac:dyDescent="0.25">
      <c r="M5742" s="21"/>
    </row>
    <row r="5743" spans="13:13" x14ac:dyDescent="0.25">
      <c r="M5743" s="21"/>
    </row>
    <row r="5744" spans="13:13" x14ac:dyDescent="0.25">
      <c r="M5744" s="21"/>
    </row>
    <row r="5745" spans="13:13" x14ac:dyDescent="0.25">
      <c r="M5745" s="21"/>
    </row>
    <row r="5746" spans="13:13" x14ac:dyDescent="0.25">
      <c r="M5746" s="21"/>
    </row>
    <row r="5747" spans="13:13" x14ac:dyDescent="0.25">
      <c r="M5747" s="21"/>
    </row>
    <row r="5748" spans="13:13" x14ac:dyDescent="0.25">
      <c r="M5748" s="21"/>
    </row>
    <row r="5749" spans="13:13" x14ac:dyDescent="0.25">
      <c r="M5749" s="21"/>
    </row>
    <row r="5750" spans="13:13" x14ac:dyDescent="0.25">
      <c r="M5750" s="21"/>
    </row>
    <row r="5751" spans="13:13" x14ac:dyDescent="0.25">
      <c r="M5751" s="21"/>
    </row>
    <row r="5752" spans="13:13" x14ac:dyDescent="0.25">
      <c r="M5752" s="21"/>
    </row>
    <row r="5753" spans="13:13" x14ac:dyDescent="0.25">
      <c r="M5753" s="21"/>
    </row>
    <row r="5754" spans="13:13" x14ac:dyDescent="0.25">
      <c r="M5754" s="21"/>
    </row>
    <row r="5755" spans="13:13" x14ac:dyDescent="0.25">
      <c r="M5755" s="21"/>
    </row>
    <row r="5756" spans="13:13" x14ac:dyDescent="0.25">
      <c r="M5756" s="21"/>
    </row>
    <row r="5757" spans="13:13" x14ac:dyDescent="0.25">
      <c r="M5757" s="21"/>
    </row>
    <row r="5758" spans="13:13" x14ac:dyDescent="0.25">
      <c r="M5758" s="21"/>
    </row>
    <row r="5759" spans="13:13" x14ac:dyDescent="0.25">
      <c r="M5759" s="21"/>
    </row>
    <row r="5760" spans="13:13" x14ac:dyDescent="0.25">
      <c r="M5760" s="21"/>
    </row>
    <row r="5761" spans="13:13" x14ac:dyDescent="0.25">
      <c r="M5761" s="21"/>
    </row>
    <row r="5762" spans="13:13" x14ac:dyDescent="0.25">
      <c r="M5762" s="21"/>
    </row>
    <row r="5763" spans="13:13" x14ac:dyDescent="0.25">
      <c r="M5763" s="21"/>
    </row>
    <row r="5764" spans="13:13" x14ac:dyDescent="0.25">
      <c r="M5764" s="21"/>
    </row>
    <row r="5765" spans="13:13" x14ac:dyDescent="0.25">
      <c r="M5765" s="21"/>
    </row>
    <row r="5766" spans="13:13" x14ac:dyDescent="0.25">
      <c r="M5766" s="21"/>
    </row>
    <row r="5767" spans="13:13" x14ac:dyDescent="0.25">
      <c r="M5767" s="21"/>
    </row>
    <row r="5768" spans="13:13" x14ac:dyDescent="0.25">
      <c r="M5768" s="21"/>
    </row>
    <row r="5769" spans="13:13" x14ac:dyDescent="0.25">
      <c r="M5769" s="21"/>
    </row>
    <row r="5770" spans="13:13" x14ac:dyDescent="0.25">
      <c r="M5770" s="21"/>
    </row>
    <row r="5771" spans="13:13" x14ac:dyDescent="0.25">
      <c r="M5771" s="21"/>
    </row>
    <row r="5772" spans="13:13" x14ac:dyDescent="0.25">
      <c r="M5772" s="21"/>
    </row>
    <row r="5773" spans="13:13" x14ac:dyDescent="0.25">
      <c r="M5773" s="21"/>
    </row>
    <row r="5774" spans="13:13" x14ac:dyDescent="0.25">
      <c r="M5774" s="21"/>
    </row>
    <row r="5775" spans="13:13" x14ac:dyDescent="0.25">
      <c r="M5775" s="21"/>
    </row>
    <row r="5776" spans="13:13" x14ac:dyDescent="0.25">
      <c r="M5776" s="21"/>
    </row>
    <row r="5777" spans="13:13" x14ac:dyDescent="0.25">
      <c r="M5777" s="21"/>
    </row>
    <row r="5778" spans="13:13" x14ac:dyDescent="0.25">
      <c r="M5778" s="21"/>
    </row>
    <row r="5779" spans="13:13" x14ac:dyDescent="0.25">
      <c r="M5779" s="21"/>
    </row>
    <row r="5780" spans="13:13" x14ac:dyDescent="0.25">
      <c r="M5780" s="21"/>
    </row>
    <row r="5781" spans="13:13" x14ac:dyDescent="0.25">
      <c r="M5781" s="21"/>
    </row>
    <row r="5782" spans="13:13" x14ac:dyDescent="0.25">
      <c r="M5782" s="21"/>
    </row>
    <row r="5783" spans="13:13" x14ac:dyDescent="0.25">
      <c r="M5783" s="21"/>
    </row>
    <row r="5784" spans="13:13" x14ac:dyDescent="0.25">
      <c r="M5784" s="21"/>
    </row>
    <row r="5785" spans="13:13" x14ac:dyDescent="0.25">
      <c r="M5785" s="21"/>
    </row>
    <row r="5786" spans="13:13" x14ac:dyDescent="0.25">
      <c r="M5786" s="21"/>
    </row>
    <row r="5787" spans="13:13" x14ac:dyDescent="0.25">
      <c r="M5787" s="21"/>
    </row>
    <row r="5788" spans="13:13" x14ac:dyDescent="0.25">
      <c r="M5788" s="21"/>
    </row>
    <row r="5789" spans="13:13" x14ac:dyDescent="0.25">
      <c r="M5789" s="21"/>
    </row>
    <row r="5790" spans="13:13" x14ac:dyDescent="0.25">
      <c r="M5790" s="21"/>
    </row>
    <row r="5791" spans="13:13" x14ac:dyDescent="0.25">
      <c r="M5791" s="21"/>
    </row>
    <row r="5792" spans="13:13" x14ac:dyDescent="0.25">
      <c r="M5792" s="21"/>
    </row>
    <row r="5793" spans="13:13" x14ac:dyDescent="0.25">
      <c r="M5793" s="21"/>
    </row>
    <row r="5794" spans="13:13" x14ac:dyDescent="0.25">
      <c r="M5794" s="21"/>
    </row>
    <row r="5795" spans="13:13" x14ac:dyDescent="0.25">
      <c r="M5795" s="21"/>
    </row>
    <row r="5796" spans="13:13" x14ac:dyDescent="0.25">
      <c r="M5796" s="21"/>
    </row>
    <row r="5797" spans="13:13" x14ac:dyDescent="0.25">
      <c r="M5797" s="21"/>
    </row>
    <row r="5798" spans="13:13" x14ac:dyDescent="0.25">
      <c r="M5798" s="21"/>
    </row>
    <row r="5799" spans="13:13" x14ac:dyDescent="0.25">
      <c r="M5799" s="21"/>
    </row>
    <row r="5800" spans="13:13" x14ac:dyDescent="0.25">
      <c r="M5800" s="21"/>
    </row>
    <row r="5801" spans="13:13" x14ac:dyDescent="0.25">
      <c r="M5801" s="21"/>
    </row>
    <row r="5802" spans="13:13" x14ac:dyDescent="0.25">
      <c r="M5802" s="21"/>
    </row>
    <row r="5803" spans="13:13" x14ac:dyDescent="0.25">
      <c r="M5803" s="21"/>
    </row>
    <row r="5804" spans="13:13" x14ac:dyDescent="0.25">
      <c r="M5804" s="21"/>
    </row>
    <row r="5805" spans="13:13" x14ac:dyDescent="0.25">
      <c r="M5805" s="21"/>
    </row>
    <row r="5806" spans="13:13" x14ac:dyDescent="0.25">
      <c r="M5806" s="21"/>
    </row>
    <row r="5807" spans="13:13" x14ac:dyDescent="0.25">
      <c r="M5807" s="21"/>
    </row>
    <row r="5808" spans="13:13" x14ac:dyDescent="0.25">
      <c r="M5808" s="21"/>
    </row>
    <row r="5809" spans="13:13" x14ac:dyDescent="0.25">
      <c r="M5809" s="21"/>
    </row>
    <row r="5810" spans="13:13" x14ac:dyDescent="0.25">
      <c r="M5810" s="21"/>
    </row>
    <row r="5811" spans="13:13" x14ac:dyDescent="0.25">
      <c r="M5811" s="21"/>
    </row>
    <row r="5812" spans="13:13" x14ac:dyDescent="0.25">
      <c r="M5812" s="21"/>
    </row>
    <row r="5813" spans="13:13" x14ac:dyDescent="0.25">
      <c r="M5813" s="21"/>
    </row>
    <row r="5814" spans="13:13" x14ac:dyDescent="0.25">
      <c r="M5814" s="21"/>
    </row>
    <row r="5815" spans="13:13" x14ac:dyDescent="0.25">
      <c r="M5815" s="21"/>
    </row>
    <row r="5816" spans="13:13" x14ac:dyDescent="0.25">
      <c r="M5816" s="21"/>
    </row>
    <row r="5817" spans="13:13" x14ac:dyDescent="0.25">
      <c r="M5817" s="21"/>
    </row>
    <row r="5818" spans="13:13" x14ac:dyDescent="0.25">
      <c r="M5818" s="21"/>
    </row>
    <row r="5819" spans="13:13" x14ac:dyDescent="0.25">
      <c r="M5819" s="21"/>
    </row>
    <row r="5820" spans="13:13" x14ac:dyDescent="0.25">
      <c r="M5820" s="21"/>
    </row>
    <row r="5821" spans="13:13" x14ac:dyDescent="0.25">
      <c r="M5821" s="21"/>
    </row>
    <row r="5822" spans="13:13" x14ac:dyDescent="0.25">
      <c r="M5822" s="21"/>
    </row>
    <row r="5823" spans="13:13" x14ac:dyDescent="0.25">
      <c r="M5823" s="21"/>
    </row>
    <row r="5824" spans="13:13" x14ac:dyDescent="0.25">
      <c r="M5824" s="21"/>
    </row>
    <row r="5825" spans="13:13" x14ac:dyDescent="0.25">
      <c r="M5825" s="21"/>
    </row>
    <row r="5826" spans="13:13" x14ac:dyDescent="0.25">
      <c r="M5826" s="21"/>
    </row>
    <row r="5827" spans="13:13" x14ac:dyDescent="0.25">
      <c r="M5827" s="21"/>
    </row>
    <row r="5828" spans="13:13" x14ac:dyDescent="0.25">
      <c r="M5828" s="21"/>
    </row>
    <row r="5829" spans="13:13" x14ac:dyDescent="0.25">
      <c r="M5829" s="21"/>
    </row>
    <row r="5830" spans="13:13" x14ac:dyDescent="0.25">
      <c r="M5830" s="21"/>
    </row>
    <row r="5831" spans="13:13" x14ac:dyDescent="0.25">
      <c r="M5831" s="21"/>
    </row>
    <row r="5832" spans="13:13" x14ac:dyDescent="0.25">
      <c r="M5832" s="21"/>
    </row>
    <row r="5833" spans="13:13" x14ac:dyDescent="0.25">
      <c r="M5833" s="21"/>
    </row>
    <row r="5834" spans="13:13" x14ac:dyDescent="0.25">
      <c r="M5834" s="21"/>
    </row>
    <row r="5835" spans="13:13" x14ac:dyDescent="0.25">
      <c r="M5835" s="21"/>
    </row>
    <row r="5836" spans="13:13" x14ac:dyDescent="0.25">
      <c r="M5836" s="21"/>
    </row>
    <row r="5837" spans="13:13" x14ac:dyDescent="0.25">
      <c r="M5837" s="21"/>
    </row>
    <row r="5838" spans="13:13" x14ac:dyDescent="0.25">
      <c r="M5838" s="21"/>
    </row>
    <row r="5839" spans="13:13" x14ac:dyDescent="0.25">
      <c r="M5839" s="21"/>
    </row>
    <row r="5840" spans="13:13" x14ac:dyDescent="0.25">
      <c r="M5840" s="21"/>
    </row>
    <row r="5841" spans="13:13" x14ac:dyDescent="0.25">
      <c r="M5841" s="21"/>
    </row>
    <row r="5842" spans="13:13" x14ac:dyDescent="0.25">
      <c r="M5842" s="21"/>
    </row>
    <row r="5843" spans="13:13" x14ac:dyDescent="0.25">
      <c r="M5843" s="21"/>
    </row>
    <row r="5844" spans="13:13" x14ac:dyDescent="0.25">
      <c r="M5844" s="21"/>
    </row>
    <row r="5845" spans="13:13" x14ac:dyDescent="0.25">
      <c r="M5845" s="21"/>
    </row>
    <row r="5846" spans="13:13" x14ac:dyDescent="0.25">
      <c r="M5846" s="21"/>
    </row>
    <row r="5847" spans="13:13" x14ac:dyDescent="0.25">
      <c r="M5847" s="21"/>
    </row>
    <row r="5848" spans="13:13" x14ac:dyDescent="0.25">
      <c r="M5848" s="21"/>
    </row>
    <row r="5849" spans="13:13" x14ac:dyDescent="0.25">
      <c r="M5849" s="21"/>
    </row>
    <row r="5850" spans="13:13" x14ac:dyDescent="0.25">
      <c r="M5850" s="21"/>
    </row>
    <row r="5851" spans="13:13" x14ac:dyDescent="0.25">
      <c r="M5851" s="21"/>
    </row>
    <row r="5852" spans="13:13" x14ac:dyDescent="0.25">
      <c r="M5852" s="21"/>
    </row>
    <row r="5853" spans="13:13" x14ac:dyDescent="0.25">
      <c r="M5853" s="21"/>
    </row>
    <row r="5854" spans="13:13" x14ac:dyDescent="0.25">
      <c r="M5854" s="21"/>
    </row>
    <row r="5855" spans="13:13" x14ac:dyDescent="0.25">
      <c r="M5855" s="21"/>
    </row>
    <row r="5856" spans="13:13" x14ac:dyDescent="0.25">
      <c r="M5856" s="21"/>
    </row>
    <row r="5857" spans="13:13" x14ac:dyDescent="0.25">
      <c r="M5857" s="21"/>
    </row>
    <row r="5858" spans="13:13" x14ac:dyDescent="0.25">
      <c r="M5858" s="21"/>
    </row>
    <row r="5859" spans="13:13" x14ac:dyDescent="0.25">
      <c r="M5859" s="21"/>
    </row>
    <row r="5860" spans="13:13" x14ac:dyDescent="0.25">
      <c r="M5860" s="21"/>
    </row>
    <row r="5861" spans="13:13" x14ac:dyDescent="0.25">
      <c r="M5861" s="21"/>
    </row>
    <row r="5862" spans="13:13" x14ac:dyDescent="0.25">
      <c r="M5862" s="21"/>
    </row>
    <row r="5863" spans="13:13" x14ac:dyDescent="0.25">
      <c r="M5863" s="21"/>
    </row>
    <row r="5864" spans="13:13" x14ac:dyDescent="0.25">
      <c r="M5864" s="21"/>
    </row>
    <row r="5865" spans="13:13" x14ac:dyDescent="0.25">
      <c r="M5865" s="21"/>
    </row>
    <row r="5866" spans="13:13" x14ac:dyDescent="0.25">
      <c r="M5866" s="21"/>
    </row>
    <row r="5867" spans="13:13" x14ac:dyDescent="0.25">
      <c r="M5867" s="21"/>
    </row>
    <row r="5868" spans="13:13" x14ac:dyDescent="0.25">
      <c r="M5868" s="21"/>
    </row>
    <row r="5869" spans="13:13" x14ac:dyDescent="0.25">
      <c r="M5869" s="21"/>
    </row>
    <row r="5870" spans="13:13" x14ac:dyDescent="0.25">
      <c r="M5870" s="21"/>
    </row>
    <row r="5871" spans="13:13" x14ac:dyDescent="0.25">
      <c r="M5871" s="21"/>
    </row>
    <row r="5872" spans="13:13" x14ac:dyDescent="0.25">
      <c r="M5872" s="21"/>
    </row>
    <row r="5873" spans="13:13" x14ac:dyDescent="0.25">
      <c r="M5873" s="21"/>
    </row>
    <row r="5874" spans="13:13" x14ac:dyDescent="0.25">
      <c r="M5874" s="21"/>
    </row>
    <row r="5875" spans="13:13" x14ac:dyDescent="0.25">
      <c r="M5875" s="21"/>
    </row>
    <row r="5876" spans="13:13" x14ac:dyDescent="0.25">
      <c r="M5876" s="21"/>
    </row>
    <row r="5877" spans="13:13" x14ac:dyDescent="0.25">
      <c r="M5877" s="21"/>
    </row>
    <row r="5878" spans="13:13" x14ac:dyDescent="0.25">
      <c r="M5878" s="21"/>
    </row>
    <row r="5879" spans="13:13" x14ac:dyDescent="0.25">
      <c r="M5879" s="21"/>
    </row>
    <row r="5880" spans="13:13" x14ac:dyDescent="0.25">
      <c r="M5880" s="21"/>
    </row>
    <row r="5881" spans="13:13" x14ac:dyDescent="0.25">
      <c r="M5881" s="21"/>
    </row>
    <row r="5882" spans="13:13" x14ac:dyDescent="0.25">
      <c r="M5882" s="21"/>
    </row>
    <row r="5883" spans="13:13" x14ac:dyDescent="0.25">
      <c r="M5883" s="21"/>
    </row>
    <row r="5884" spans="13:13" x14ac:dyDescent="0.25">
      <c r="M5884" s="21"/>
    </row>
    <row r="5885" spans="13:13" x14ac:dyDescent="0.25">
      <c r="M5885" s="21"/>
    </row>
    <row r="5886" spans="13:13" x14ac:dyDescent="0.25">
      <c r="M5886" s="21"/>
    </row>
    <row r="5887" spans="13:13" x14ac:dyDescent="0.25">
      <c r="M5887" s="21"/>
    </row>
    <row r="5888" spans="13:13" x14ac:dyDescent="0.25">
      <c r="M5888" s="21"/>
    </row>
    <row r="5889" spans="13:13" x14ac:dyDescent="0.25">
      <c r="M5889" s="21"/>
    </row>
    <row r="5890" spans="13:13" x14ac:dyDescent="0.25">
      <c r="M5890" s="21"/>
    </row>
    <row r="5891" spans="13:13" x14ac:dyDescent="0.25">
      <c r="M5891" s="21"/>
    </row>
    <row r="5892" spans="13:13" x14ac:dyDescent="0.25">
      <c r="M5892" s="21"/>
    </row>
    <row r="5893" spans="13:13" x14ac:dyDescent="0.25">
      <c r="M5893" s="21"/>
    </row>
    <row r="5894" spans="13:13" x14ac:dyDescent="0.25">
      <c r="M5894" s="21"/>
    </row>
    <row r="5895" spans="13:13" x14ac:dyDescent="0.25">
      <c r="M5895" s="21"/>
    </row>
    <row r="5896" spans="13:13" x14ac:dyDescent="0.25">
      <c r="M5896" s="21"/>
    </row>
    <row r="5897" spans="13:13" x14ac:dyDescent="0.25">
      <c r="M5897" s="21"/>
    </row>
    <row r="5898" spans="13:13" x14ac:dyDescent="0.25">
      <c r="M5898" s="21"/>
    </row>
    <row r="5899" spans="13:13" x14ac:dyDescent="0.25">
      <c r="M5899" s="21"/>
    </row>
    <row r="5900" spans="13:13" x14ac:dyDescent="0.25">
      <c r="M5900" s="21"/>
    </row>
    <row r="5901" spans="13:13" x14ac:dyDescent="0.25">
      <c r="M5901" s="21"/>
    </row>
    <row r="5902" spans="13:13" x14ac:dyDescent="0.25">
      <c r="M5902" s="21"/>
    </row>
    <row r="5903" spans="13:13" x14ac:dyDescent="0.25">
      <c r="M5903" s="21"/>
    </row>
    <row r="5904" spans="13:13" x14ac:dyDescent="0.25">
      <c r="M5904" s="21"/>
    </row>
    <row r="5905" spans="13:13" x14ac:dyDescent="0.25">
      <c r="M5905" s="21"/>
    </row>
    <row r="5906" spans="13:13" x14ac:dyDescent="0.25">
      <c r="M5906" s="21"/>
    </row>
    <row r="5907" spans="13:13" x14ac:dyDescent="0.25">
      <c r="M5907" s="21"/>
    </row>
    <row r="5908" spans="13:13" x14ac:dyDescent="0.25">
      <c r="M5908" s="21"/>
    </row>
    <row r="5909" spans="13:13" x14ac:dyDescent="0.25">
      <c r="M5909" s="21"/>
    </row>
    <row r="5910" spans="13:13" x14ac:dyDescent="0.25">
      <c r="M5910" s="21"/>
    </row>
    <row r="5911" spans="13:13" x14ac:dyDescent="0.25">
      <c r="M5911" s="21"/>
    </row>
    <row r="5912" spans="13:13" x14ac:dyDescent="0.25">
      <c r="M5912" s="21"/>
    </row>
    <row r="5913" spans="13:13" x14ac:dyDescent="0.25">
      <c r="M5913" s="21"/>
    </row>
    <row r="5914" spans="13:13" x14ac:dyDescent="0.25">
      <c r="M5914" s="21"/>
    </row>
    <row r="5915" spans="13:13" x14ac:dyDescent="0.25">
      <c r="M5915" s="21"/>
    </row>
    <row r="5916" spans="13:13" x14ac:dyDescent="0.25">
      <c r="M5916" s="21"/>
    </row>
    <row r="5917" spans="13:13" x14ac:dyDescent="0.25">
      <c r="M5917" s="21"/>
    </row>
    <row r="5918" spans="13:13" x14ac:dyDescent="0.25">
      <c r="M5918" s="21"/>
    </row>
    <row r="5919" spans="13:13" x14ac:dyDescent="0.25">
      <c r="M5919" s="21"/>
    </row>
    <row r="5920" spans="13:13" x14ac:dyDescent="0.25">
      <c r="M5920" s="21"/>
    </row>
    <row r="5921" spans="13:13" x14ac:dyDescent="0.25">
      <c r="M5921" s="21"/>
    </row>
    <row r="5922" spans="13:13" x14ac:dyDescent="0.25">
      <c r="M5922" s="21"/>
    </row>
    <row r="5923" spans="13:13" x14ac:dyDescent="0.25">
      <c r="M5923" s="21"/>
    </row>
    <row r="5924" spans="13:13" x14ac:dyDescent="0.25">
      <c r="M5924" s="21"/>
    </row>
    <row r="5925" spans="13:13" x14ac:dyDescent="0.25">
      <c r="M5925" s="21"/>
    </row>
    <row r="5926" spans="13:13" x14ac:dyDescent="0.25">
      <c r="M5926" s="21"/>
    </row>
    <row r="5927" spans="13:13" x14ac:dyDescent="0.25">
      <c r="M5927" s="21"/>
    </row>
    <row r="5928" spans="13:13" x14ac:dyDescent="0.25">
      <c r="M5928" s="21"/>
    </row>
    <row r="5929" spans="13:13" x14ac:dyDescent="0.25">
      <c r="M5929" s="21"/>
    </row>
    <row r="5930" spans="13:13" x14ac:dyDescent="0.25">
      <c r="M5930" s="21"/>
    </row>
    <row r="5931" spans="13:13" x14ac:dyDescent="0.25">
      <c r="M5931" s="21"/>
    </row>
    <row r="5932" spans="13:13" x14ac:dyDescent="0.25">
      <c r="M5932" s="21"/>
    </row>
    <row r="5933" spans="13:13" x14ac:dyDescent="0.25">
      <c r="M5933" s="21"/>
    </row>
    <row r="5934" spans="13:13" x14ac:dyDescent="0.25">
      <c r="M5934" s="21"/>
    </row>
    <row r="5935" spans="13:13" x14ac:dyDescent="0.25">
      <c r="M5935" s="21"/>
    </row>
    <row r="5936" spans="13:13" x14ac:dyDescent="0.25">
      <c r="M5936" s="21"/>
    </row>
    <row r="5937" spans="13:13" x14ac:dyDescent="0.25">
      <c r="M5937" s="21"/>
    </row>
    <row r="5938" spans="13:13" x14ac:dyDescent="0.25">
      <c r="M5938" s="21"/>
    </row>
    <row r="5939" spans="13:13" x14ac:dyDescent="0.25">
      <c r="M5939" s="21"/>
    </row>
    <row r="5940" spans="13:13" x14ac:dyDescent="0.25">
      <c r="M5940" s="21"/>
    </row>
    <row r="5941" spans="13:13" x14ac:dyDescent="0.25">
      <c r="M5941" s="21"/>
    </row>
    <row r="5942" spans="13:13" x14ac:dyDescent="0.25">
      <c r="M5942" s="21"/>
    </row>
    <row r="5943" spans="13:13" x14ac:dyDescent="0.25">
      <c r="M5943" s="21"/>
    </row>
    <row r="5944" spans="13:13" x14ac:dyDescent="0.25">
      <c r="M5944" s="21"/>
    </row>
    <row r="5945" spans="13:13" x14ac:dyDescent="0.25">
      <c r="M5945" s="21"/>
    </row>
    <row r="5946" spans="13:13" x14ac:dyDescent="0.25">
      <c r="M5946" s="21"/>
    </row>
    <row r="5947" spans="13:13" x14ac:dyDescent="0.25">
      <c r="M5947" s="21"/>
    </row>
    <row r="5948" spans="13:13" x14ac:dyDescent="0.25">
      <c r="M5948" s="21"/>
    </row>
    <row r="5949" spans="13:13" x14ac:dyDescent="0.25">
      <c r="M5949" s="21"/>
    </row>
    <row r="5950" spans="13:13" x14ac:dyDescent="0.25">
      <c r="M5950" s="21"/>
    </row>
    <row r="5951" spans="13:13" x14ac:dyDescent="0.25">
      <c r="M5951" s="21"/>
    </row>
    <row r="5952" spans="13:13" x14ac:dyDescent="0.25">
      <c r="M5952" s="21"/>
    </row>
    <row r="5953" spans="13:13" x14ac:dyDescent="0.25">
      <c r="M5953" s="21"/>
    </row>
    <row r="5954" spans="13:13" x14ac:dyDescent="0.25">
      <c r="M5954" s="21"/>
    </row>
    <row r="5955" spans="13:13" x14ac:dyDescent="0.25">
      <c r="M5955" s="21"/>
    </row>
    <row r="5956" spans="13:13" x14ac:dyDescent="0.25">
      <c r="M5956" s="21"/>
    </row>
    <row r="5957" spans="13:13" x14ac:dyDescent="0.25">
      <c r="M5957" s="21"/>
    </row>
    <row r="5958" spans="13:13" x14ac:dyDescent="0.25">
      <c r="M5958" s="21"/>
    </row>
    <row r="5959" spans="13:13" x14ac:dyDescent="0.25">
      <c r="M5959" s="21"/>
    </row>
    <row r="5960" spans="13:13" x14ac:dyDescent="0.25">
      <c r="M5960" s="21"/>
    </row>
    <row r="5961" spans="13:13" x14ac:dyDescent="0.25">
      <c r="M5961" s="21"/>
    </row>
    <row r="5962" spans="13:13" x14ac:dyDescent="0.25">
      <c r="M5962" s="21"/>
    </row>
    <row r="5963" spans="13:13" x14ac:dyDescent="0.25">
      <c r="M5963" s="21"/>
    </row>
    <row r="5964" spans="13:13" x14ac:dyDescent="0.25">
      <c r="M5964" s="21"/>
    </row>
    <row r="5965" spans="13:13" x14ac:dyDescent="0.25">
      <c r="M5965" s="21"/>
    </row>
    <row r="5966" spans="13:13" x14ac:dyDescent="0.25">
      <c r="M5966" s="21"/>
    </row>
    <row r="5967" spans="13:13" x14ac:dyDescent="0.25">
      <c r="M5967" s="21"/>
    </row>
    <row r="5968" spans="13:13" x14ac:dyDescent="0.25">
      <c r="M5968" s="21"/>
    </row>
    <row r="5969" spans="13:13" x14ac:dyDescent="0.25">
      <c r="M5969" s="21"/>
    </row>
    <row r="5970" spans="13:13" x14ac:dyDescent="0.25">
      <c r="M5970" s="21"/>
    </row>
    <row r="5971" spans="13:13" x14ac:dyDescent="0.25">
      <c r="M5971" s="21"/>
    </row>
    <row r="5972" spans="13:13" x14ac:dyDescent="0.25">
      <c r="M5972" s="21"/>
    </row>
    <row r="5973" spans="13:13" x14ac:dyDescent="0.25">
      <c r="M5973" s="21"/>
    </row>
    <row r="5974" spans="13:13" x14ac:dyDescent="0.25">
      <c r="M5974" s="21"/>
    </row>
    <row r="5975" spans="13:13" x14ac:dyDescent="0.25">
      <c r="M5975" s="21"/>
    </row>
    <row r="5976" spans="13:13" x14ac:dyDescent="0.25">
      <c r="M5976" s="21"/>
    </row>
    <row r="5977" spans="13:13" x14ac:dyDescent="0.25">
      <c r="M5977" s="21"/>
    </row>
    <row r="5978" spans="13:13" x14ac:dyDescent="0.25">
      <c r="M5978" s="21"/>
    </row>
    <row r="5979" spans="13:13" x14ac:dyDescent="0.25">
      <c r="M5979" s="21"/>
    </row>
    <row r="5980" spans="13:13" x14ac:dyDescent="0.25">
      <c r="M5980" s="21"/>
    </row>
    <row r="5981" spans="13:13" x14ac:dyDescent="0.25">
      <c r="M5981" s="21"/>
    </row>
    <row r="5982" spans="13:13" x14ac:dyDescent="0.25">
      <c r="M5982" s="21"/>
    </row>
    <row r="5983" spans="13:13" x14ac:dyDescent="0.25">
      <c r="M5983" s="21"/>
    </row>
    <row r="5984" spans="13:13" x14ac:dyDescent="0.25">
      <c r="M5984" s="21"/>
    </row>
    <row r="5985" spans="13:13" x14ac:dyDescent="0.25">
      <c r="M5985" s="21"/>
    </row>
    <row r="5986" spans="13:13" x14ac:dyDescent="0.25">
      <c r="M5986" s="21"/>
    </row>
    <row r="5987" spans="13:13" x14ac:dyDescent="0.25">
      <c r="M5987" s="21"/>
    </row>
    <row r="5988" spans="13:13" x14ac:dyDescent="0.25">
      <c r="M5988" s="21"/>
    </row>
    <row r="5989" spans="13:13" x14ac:dyDescent="0.25">
      <c r="M5989" s="21"/>
    </row>
    <row r="5990" spans="13:13" x14ac:dyDescent="0.25">
      <c r="M5990" s="21"/>
    </row>
    <row r="5991" spans="13:13" x14ac:dyDescent="0.25">
      <c r="M5991" s="21"/>
    </row>
    <row r="5992" spans="13:13" x14ac:dyDescent="0.25">
      <c r="M5992" s="21"/>
    </row>
    <row r="5993" spans="13:13" x14ac:dyDescent="0.25">
      <c r="M5993" s="21"/>
    </row>
    <row r="5994" spans="13:13" x14ac:dyDescent="0.25">
      <c r="M5994" s="21"/>
    </row>
    <row r="5995" spans="13:13" x14ac:dyDescent="0.25">
      <c r="M5995" s="21"/>
    </row>
    <row r="5996" spans="13:13" x14ac:dyDescent="0.25">
      <c r="M5996" s="21"/>
    </row>
    <row r="5997" spans="13:13" x14ac:dyDescent="0.25">
      <c r="M5997" s="21"/>
    </row>
    <row r="5998" spans="13:13" x14ac:dyDescent="0.25">
      <c r="M5998" s="21"/>
    </row>
    <row r="5999" spans="13:13" x14ac:dyDescent="0.25">
      <c r="M5999" s="21"/>
    </row>
    <row r="6000" spans="13:13" x14ac:dyDescent="0.25">
      <c r="M6000" s="21"/>
    </row>
    <row r="6001" spans="13:13" x14ac:dyDescent="0.25">
      <c r="M6001" s="21"/>
    </row>
    <row r="6002" spans="13:13" x14ac:dyDescent="0.25">
      <c r="M6002" s="21"/>
    </row>
    <row r="6003" spans="13:13" x14ac:dyDescent="0.25">
      <c r="M6003" s="21"/>
    </row>
    <row r="6004" spans="13:13" x14ac:dyDescent="0.25">
      <c r="M6004" s="21"/>
    </row>
    <row r="6005" spans="13:13" x14ac:dyDescent="0.25">
      <c r="M6005" s="21"/>
    </row>
    <row r="6006" spans="13:13" x14ac:dyDescent="0.25">
      <c r="M6006" s="21"/>
    </row>
    <row r="6007" spans="13:13" x14ac:dyDescent="0.25">
      <c r="M6007" s="21"/>
    </row>
    <row r="6008" spans="13:13" x14ac:dyDescent="0.25">
      <c r="M6008" s="21"/>
    </row>
    <row r="6009" spans="13:13" x14ac:dyDescent="0.25">
      <c r="M6009" s="21"/>
    </row>
    <row r="6010" spans="13:13" x14ac:dyDescent="0.25">
      <c r="M6010" s="21"/>
    </row>
    <row r="6011" spans="13:13" x14ac:dyDescent="0.25">
      <c r="M6011" s="21"/>
    </row>
    <row r="6012" spans="13:13" x14ac:dyDescent="0.25">
      <c r="M6012" s="21"/>
    </row>
    <row r="6013" spans="13:13" x14ac:dyDescent="0.25">
      <c r="M6013" s="21"/>
    </row>
    <row r="6014" spans="13:13" x14ac:dyDescent="0.25">
      <c r="M6014" s="21"/>
    </row>
    <row r="6015" spans="13:13" x14ac:dyDescent="0.25">
      <c r="M6015" s="21"/>
    </row>
    <row r="6016" spans="13:13" x14ac:dyDescent="0.25">
      <c r="M6016" s="21"/>
    </row>
    <row r="6017" spans="13:13" x14ac:dyDescent="0.25">
      <c r="M6017" s="21"/>
    </row>
    <row r="6018" spans="13:13" x14ac:dyDescent="0.25">
      <c r="M6018" s="21"/>
    </row>
    <row r="6019" spans="13:13" x14ac:dyDescent="0.25">
      <c r="M6019" s="21"/>
    </row>
    <row r="6020" spans="13:13" x14ac:dyDescent="0.25">
      <c r="M6020" s="21"/>
    </row>
    <row r="6021" spans="13:13" x14ac:dyDescent="0.25">
      <c r="M6021" s="21"/>
    </row>
    <row r="6022" spans="13:13" x14ac:dyDescent="0.25">
      <c r="M6022" s="21"/>
    </row>
    <row r="6023" spans="13:13" x14ac:dyDescent="0.25">
      <c r="M6023" s="21"/>
    </row>
    <row r="6024" spans="13:13" x14ac:dyDescent="0.25">
      <c r="M6024" s="21"/>
    </row>
    <row r="6025" spans="13:13" x14ac:dyDescent="0.25">
      <c r="M6025" s="21"/>
    </row>
    <row r="6026" spans="13:13" x14ac:dyDescent="0.25">
      <c r="M6026" s="21"/>
    </row>
    <row r="6027" spans="13:13" x14ac:dyDescent="0.25">
      <c r="M6027" s="21"/>
    </row>
    <row r="6028" spans="13:13" x14ac:dyDescent="0.25">
      <c r="M6028" s="21"/>
    </row>
    <row r="6029" spans="13:13" x14ac:dyDescent="0.25">
      <c r="M6029" s="21"/>
    </row>
    <row r="6030" spans="13:13" x14ac:dyDescent="0.25">
      <c r="M6030" s="21"/>
    </row>
    <row r="6031" spans="13:13" x14ac:dyDescent="0.25">
      <c r="M6031" s="21"/>
    </row>
    <row r="6032" spans="13:13" x14ac:dyDescent="0.25">
      <c r="M6032" s="21"/>
    </row>
    <row r="6033" spans="13:13" x14ac:dyDescent="0.25">
      <c r="M6033" s="21"/>
    </row>
    <row r="6034" spans="13:13" x14ac:dyDescent="0.25">
      <c r="M6034" s="21"/>
    </row>
    <row r="6035" spans="13:13" x14ac:dyDescent="0.25">
      <c r="M6035" s="21"/>
    </row>
    <row r="6036" spans="13:13" x14ac:dyDescent="0.25">
      <c r="M6036" s="21"/>
    </row>
    <row r="6037" spans="13:13" x14ac:dyDescent="0.25">
      <c r="M6037" s="21"/>
    </row>
    <row r="6038" spans="13:13" x14ac:dyDescent="0.25">
      <c r="M6038" s="21"/>
    </row>
    <row r="6039" spans="13:13" x14ac:dyDescent="0.25">
      <c r="M6039" s="21"/>
    </row>
    <row r="6040" spans="13:13" x14ac:dyDescent="0.25">
      <c r="M6040" s="21"/>
    </row>
    <row r="6041" spans="13:13" x14ac:dyDescent="0.25">
      <c r="M6041" s="21"/>
    </row>
    <row r="6042" spans="13:13" x14ac:dyDescent="0.25">
      <c r="M6042" s="21"/>
    </row>
    <row r="6043" spans="13:13" x14ac:dyDescent="0.25">
      <c r="M6043" s="21"/>
    </row>
    <row r="6044" spans="13:13" x14ac:dyDescent="0.25">
      <c r="M6044" s="21"/>
    </row>
    <row r="6045" spans="13:13" x14ac:dyDescent="0.25">
      <c r="M6045" s="21"/>
    </row>
    <row r="6046" spans="13:13" x14ac:dyDescent="0.25">
      <c r="M6046" s="21"/>
    </row>
    <row r="6047" spans="13:13" x14ac:dyDescent="0.25">
      <c r="M6047" s="21"/>
    </row>
    <row r="6048" spans="13:13" x14ac:dyDescent="0.25">
      <c r="M6048" s="21"/>
    </row>
    <row r="6049" spans="13:13" x14ac:dyDescent="0.25">
      <c r="M6049" s="21"/>
    </row>
    <row r="6050" spans="13:13" x14ac:dyDescent="0.25">
      <c r="M6050" s="21"/>
    </row>
    <row r="6051" spans="13:13" x14ac:dyDescent="0.25">
      <c r="M6051" s="21"/>
    </row>
    <row r="6052" spans="13:13" x14ac:dyDescent="0.25">
      <c r="M6052" s="21"/>
    </row>
    <row r="6053" spans="13:13" x14ac:dyDescent="0.25">
      <c r="M6053" s="21"/>
    </row>
    <row r="6054" spans="13:13" x14ac:dyDescent="0.25">
      <c r="M6054" s="21"/>
    </row>
    <row r="6055" spans="13:13" x14ac:dyDescent="0.25">
      <c r="M6055" s="21"/>
    </row>
    <row r="6056" spans="13:13" x14ac:dyDescent="0.25">
      <c r="M6056" s="21"/>
    </row>
    <row r="6057" spans="13:13" x14ac:dyDescent="0.25">
      <c r="M6057" s="21"/>
    </row>
    <row r="6058" spans="13:13" x14ac:dyDescent="0.25">
      <c r="M6058" s="21"/>
    </row>
    <row r="6059" spans="13:13" x14ac:dyDescent="0.25">
      <c r="M6059" s="21"/>
    </row>
    <row r="6060" spans="13:13" x14ac:dyDescent="0.25">
      <c r="M6060" s="21"/>
    </row>
    <row r="6061" spans="13:13" x14ac:dyDescent="0.25">
      <c r="M6061" s="21"/>
    </row>
    <row r="6062" spans="13:13" x14ac:dyDescent="0.25">
      <c r="M6062" s="21"/>
    </row>
    <row r="6063" spans="13:13" x14ac:dyDescent="0.25">
      <c r="M6063" s="21"/>
    </row>
    <row r="6064" spans="13:13" x14ac:dyDescent="0.25">
      <c r="M6064" s="21"/>
    </row>
    <row r="6065" spans="13:13" x14ac:dyDescent="0.25">
      <c r="M6065" s="21"/>
    </row>
    <row r="6066" spans="13:13" x14ac:dyDescent="0.25">
      <c r="M6066" s="21"/>
    </row>
    <row r="6067" spans="13:13" x14ac:dyDescent="0.25">
      <c r="M6067" s="21"/>
    </row>
    <row r="6068" spans="13:13" x14ac:dyDescent="0.25">
      <c r="M6068" s="21"/>
    </row>
    <row r="6069" spans="13:13" x14ac:dyDescent="0.25">
      <c r="M6069" s="21"/>
    </row>
    <row r="6070" spans="13:13" x14ac:dyDescent="0.25">
      <c r="M6070" s="21"/>
    </row>
    <row r="6071" spans="13:13" x14ac:dyDescent="0.25">
      <c r="M6071" s="21"/>
    </row>
    <row r="6072" spans="13:13" x14ac:dyDescent="0.25">
      <c r="M6072" s="21"/>
    </row>
    <row r="6073" spans="13:13" x14ac:dyDescent="0.25">
      <c r="M6073" s="21"/>
    </row>
    <row r="6074" spans="13:13" x14ac:dyDescent="0.25">
      <c r="M6074" s="21"/>
    </row>
    <row r="6075" spans="13:13" x14ac:dyDescent="0.25">
      <c r="M6075" s="21"/>
    </row>
    <row r="6076" spans="13:13" x14ac:dyDescent="0.25">
      <c r="M6076" s="21"/>
    </row>
    <row r="6077" spans="13:13" x14ac:dyDescent="0.25">
      <c r="M6077" s="21"/>
    </row>
    <row r="6078" spans="13:13" x14ac:dyDescent="0.25">
      <c r="M6078" s="21"/>
    </row>
    <row r="6079" spans="13:13" x14ac:dyDescent="0.25">
      <c r="M6079" s="21"/>
    </row>
    <row r="6080" spans="13:13" x14ac:dyDescent="0.25">
      <c r="M6080" s="21"/>
    </row>
    <row r="6081" spans="13:13" x14ac:dyDescent="0.25">
      <c r="M6081" s="21"/>
    </row>
    <row r="6082" spans="13:13" x14ac:dyDescent="0.25">
      <c r="M6082" s="21"/>
    </row>
    <row r="6083" spans="13:13" x14ac:dyDescent="0.25">
      <c r="M6083" s="21"/>
    </row>
    <row r="6084" spans="13:13" x14ac:dyDescent="0.25">
      <c r="M6084" s="21"/>
    </row>
    <row r="6085" spans="13:13" x14ac:dyDescent="0.25">
      <c r="M6085" s="21"/>
    </row>
    <row r="6086" spans="13:13" x14ac:dyDescent="0.25">
      <c r="M6086" s="21"/>
    </row>
    <row r="6087" spans="13:13" x14ac:dyDescent="0.25">
      <c r="M6087" s="21"/>
    </row>
    <row r="6088" spans="13:13" x14ac:dyDescent="0.25">
      <c r="M6088" s="21"/>
    </row>
    <row r="6089" spans="13:13" x14ac:dyDescent="0.25">
      <c r="M6089" s="21"/>
    </row>
    <row r="6090" spans="13:13" x14ac:dyDescent="0.25">
      <c r="M6090" s="21"/>
    </row>
    <row r="6091" spans="13:13" x14ac:dyDescent="0.25">
      <c r="M6091" s="21"/>
    </row>
    <row r="6092" spans="13:13" x14ac:dyDescent="0.25">
      <c r="M6092" s="21"/>
    </row>
    <row r="6093" spans="13:13" x14ac:dyDescent="0.25">
      <c r="M6093" s="21"/>
    </row>
    <row r="6094" spans="13:13" x14ac:dyDescent="0.25">
      <c r="M6094" s="21"/>
    </row>
    <row r="6095" spans="13:13" x14ac:dyDescent="0.25">
      <c r="M6095" s="21"/>
    </row>
    <row r="6096" spans="13:13" x14ac:dyDescent="0.25">
      <c r="M6096" s="21"/>
    </row>
    <row r="6097" spans="13:13" x14ac:dyDescent="0.25">
      <c r="M6097" s="21"/>
    </row>
    <row r="6098" spans="13:13" x14ac:dyDescent="0.25">
      <c r="M6098" s="21"/>
    </row>
    <row r="6099" spans="13:13" x14ac:dyDescent="0.25">
      <c r="M6099" s="21"/>
    </row>
    <row r="6100" spans="13:13" x14ac:dyDescent="0.25">
      <c r="M6100" s="21"/>
    </row>
    <row r="6101" spans="13:13" x14ac:dyDescent="0.25">
      <c r="M6101" s="21"/>
    </row>
    <row r="6102" spans="13:13" x14ac:dyDescent="0.25">
      <c r="M6102" s="21"/>
    </row>
    <row r="6103" spans="13:13" x14ac:dyDescent="0.25">
      <c r="M6103" s="21"/>
    </row>
    <row r="6104" spans="13:13" x14ac:dyDescent="0.25">
      <c r="M6104" s="21"/>
    </row>
    <row r="6105" spans="13:13" x14ac:dyDescent="0.25">
      <c r="M6105" s="21"/>
    </row>
    <row r="6106" spans="13:13" x14ac:dyDescent="0.25">
      <c r="M6106" s="21"/>
    </row>
    <row r="6107" spans="13:13" x14ac:dyDescent="0.25">
      <c r="M6107" s="21"/>
    </row>
    <row r="6108" spans="13:13" x14ac:dyDescent="0.25">
      <c r="M6108" s="21"/>
    </row>
    <row r="6109" spans="13:13" x14ac:dyDescent="0.25">
      <c r="M6109" s="21"/>
    </row>
    <row r="6110" spans="13:13" x14ac:dyDescent="0.25">
      <c r="M6110" s="21"/>
    </row>
    <row r="6111" spans="13:13" x14ac:dyDescent="0.25">
      <c r="M6111" s="21"/>
    </row>
    <row r="6112" spans="13:13" x14ac:dyDescent="0.25">
      <c r="M6112" s="21"/>
    </row>
    <row r="6113" spans="13:13" x14ac:dyDescent="0.25">
      <c r="M6113" s="21"/>
    </row>
    <row r="6114" spans="13:13" x14ac:dyDescent="0.25">
      <c r="M6114" s="21"/>
    </row>
    <row r="6115" spans="13:13" x14ac:dyDescent="0.25">
      <c r="M6115" s="21"/>
    </row>
    <row r="6116" spans="13:13" x14ac:dyDescent="0.25">
      <c r="M6116" s="21"/>
    </row>
    <row r="6117" spans="13:13" x14ac:dyDescent="0.25">
      <c r="M6117" s="21"/>
    </row>
    <row r="6118" spans="13:13" x14ac:dyDescent="0.25">
      <c r="M6118" s="21"/>
    </row>
    <row r="6119" spans="13:13" x14ac:dyDescent="0.25">
      <c r="M6119" s="21"/>
    </row>
    <row r="6120" spans="13:13" x14ac:dyDescent="0.25">
      <c r="M6120" s="21"/>
    </row>
    <row r="6121" spans="13:13" x14ac:dyDescent="0.25">
      <c r="M6121" s="21"/>
    </row>
    <row r="6122" spans="13:13" x14ac:dyDescent="0.25">
      <c r="M6122" s="21"/>
    </row>
    <row r="6123" spans="13:13" x14ac:dyDescent="0.25">
      <c r="M6123" s="21"/>
    </row>
    <row r="6124" spans="13:13" x14ac:dyDescent="0.25">
      <c r="M6124" s="21"/>
    </row>
    <row r="6125" spans="13:13" x14ac:dyDescent="0.25">
      <c r="M6125" s="21"/>
    </row>
    <row r="6126" spans="13:13" x14ac:dyDescent="0.25">
      <c r="M6126" s="21"/>
    </row>
    <row r="6127" spans="13:13" x14ac:dyDescent="0.25">
      <c r="M6127" s="21"/>
    </row>
    <row r="6128" spans="13:13" x14ac:dyDescent="0.25">
      <c r="M6128" s="21"/>
    </row>
    <row r="6129" spans="13:13" x14ac:dyDescent="0.25">
      <c r="M6129" s="21"/>
    </row>
    <row r="6130" spans="13:13" x14ac:dyDescent="0.25">
      <c r="M6130" s="21"/>
    </row>
    <row r="6131" spans="13:13" x14ac:dyDescent="0.25">
      <c r="M6131" s="21"/>
    </row>
    <row r="6132" spans="13:13" x14ac:dyDescent="0.25">
      <c r="M6132" s="21"/>
    </row>
    <row r="6133" spans="13:13" x14ac:dyDescent="0.25">
      <c r="M6133" s="21"/>
    </row>
    <row r="6134" spans="13:13" x14ac:dyDescent="0.25">
      <c r="M6134" s="21"/>
    </row>
    <row r="6135" spans="13:13" x14ac:dyDescent="0.25">
      <c r="M6135" s="21"/>
    </row>
    <row r="6136" spans="13:13" x14ac:dyDescent="0.25">
      <c r="M6136" s="21"/>
    </row>
    <row r="6137" spans="13:13" x14ac:dyDescent="0.25">
      <c r="M6137" s="21"/>
    </row>
    <row r="6138" spans="13:13" x14ac:dyDescent="0.25">
      <c r="M6138" s="21"/>
    </row>
    <row r="6139" spans="13:13" x14ac:dyDescent="0.25">
      <c r="M6139" s="21"/>
    </row>
    <row r="6140" spans="13:13" x14ac:dyDescent="0.25">
      <c r="M6140" s="21"/>
    </row>
    <row r="6141" spans="13:13" x14ac:dyDescent="0.25">
      <c r="M6141" s="21"/>
    </row>
    <row r="6142" spans="13:13" x14ac:dyDescent="0.25">
      <c r="M6142" s="21"/>
    </row>
    <row r="6143" spans="13:13" x14ac:dyDescent="0.25">
      <c r="M6143" s="21"/>
    </row>
    <row r="6144" spans="13:13" x14ac:dyDescent="0.25">
      <c r="M6144" s="21"/>
    </row>
    <row r="6145" spans="13:13" x14ac:dyDescent="0.25">
      <c r="M6145" s="21"/>
    </row>
    <row r="6146" spans="13:13" x14ac:dyDescent="0.25">
      <c r="M6146" s="21"/>
    </row>
    <row r="6147" spans="13:13" x14ac:dyDescent="0.25">
      <c r="M6147" s="21"/>
    </row>
    <row r="6148" spans="13:13" x14ac:dyDescent="0.25">
      <c r="M6148" s="21"/>
    </row>
    <row r="6149" spans="13:13" x14ac:dyDescent="0.25">
      <c r="M6149" s="21"/>
    </row>
    <row r="6150" spans="13:13" x14ac:dyDescent="0.25">
      <c r="M6150" s="21"/>
    </row>
    <row r="6151" spans="13:13" x14ac:dyDescent="0.25">
      <c r="M6151" s="21"/>
    </row>
    <row r="6152" spans="13:13" x14ac:dyDescent="0.25">
      <c r="M6152" s="21"/>
    </row>
    <row r="6153" spans="13:13" x14ac:dyDescent="0.25">
      <c r="M6153" s="21"/>
    </row>
    <row r="6154" spans="13:13" x14ac:dyDescent="0.25">
      <c r="M6154" s="21"/>
    </row>
    <row r="6155" spans="13:13" x14ac:dyDescent="0.25">
      <c r="M6155" s="21"/>
    </row>
    <row r="6156" spans="13:13" x14ac:dyDescent="0.25">
      <c r="M6156" s="21"/>
    </row>
    <row r="6157" spans="13:13" x14ac:dyDescent="0.25">
      <c r="M6157" s="21"/>
    </row>
    <row r="6158" spans="13:13" x14ac:dyDescent="0.25">
      <c r="M6158" s="21"/>
    </row>
    <row r="6159" spans="13:13" x14ac:dyDescent="0.25">
      <c r="M6159" s="21"/>
    </row>
    <row r="6160" spans="13:13" x14ac:dyDescent="0.25">
      <c r="M6160" s="21"/>
    </row>
    <row r="6161" spans="13:13" x14ac:dyDescent="0.25">
      <c r="M6161" s="21"/>
    </row>
    <row r="6162" spans="13:13" x14ac:dyDescent="0.25">
      <c r="M6162" s="21"/>
    </row>
    <row r="6163" spans="13:13" x14ac:dyDescent="0.25">
      <c r="M6163" s="21"/>
    </row>
    <row r="6164" spans="13:13" x14ac:dyDescent="0.25">
      <c r="M6164" s="21"/>
    </row>
    <row r="6165" spans="13:13" x14ac:dyDescent="0.25">
      <c r="M6165" s="21"/>
    </row>
    <row r="6166" spans="13:13" x14ac:dyDescent="0.25">
      <c r="M6166" s="21"/>
    </row>
    <row r="6167" spans="13:13" x14ac:dyDescent="0.25">
      <c r="M6167" s="21"/>
    </row>
    <row r="6168" spans="13:13" x14ac:dyDescent="0.25">
      <c r="M6168" s="21"/>
    </row>
    <row r="6169" spans="13:13" x14ac:dyDescent="0.25">
      <c r="M6169" s="21"/>
    </row>
    <row r="6170" spans="13:13" x14ac:dyDescent="0.25">
      <c r="M6170" s="21"/>
    </row>
    <row r="6171" spans="13:13" x14ac:dyDescent="0.25">
      <c r="M6171" s="21"/>
    </row>
    <row r="6172" spans="13:13" x14ac:dyDescent="0.25">
      <c r="M6172" s="21"/>
    </row>
    <row r="6173" spans="13:13" x14ac:dyDescent="0.25">
      <c r="M6173" s="21"/>
    </row>
    <row r="6174" spans="13:13" x14ac:dyDescent="0.25">
      <c r="M6174" s="21"/>
    </row>
    <row r="6175" spans="13:13" x14ac:dyDescent="0.25">
      <c r="M6175" s="21"/>
    </row>
    <row r="6176" spans="13:13" x14ac:dyDescent="0.25">
      <c r="M6176" s="21"/>
    </row>
    <row r="6177" spans="13:13" x14ac:dyDescent="0.25">
      <c r="M6177" s="21"/>
    </row>
    <row r="6178" spans="13:13" x14ac:dyDescent="0.25">
      <c r="M6178" s="21"/>
    </row>
    <row r="6179" spans="13:13" x14ac:dyDescent="0.25">
      <c r="M6179" s="21"/>
    </row>
    <row r="6180" spans="13:13" x14ac:dyDescent="0.25">
      <c r="M6180" s="21"/>
    </row>
    <row r="6181" spans="13:13" x14ac:dyDescent="0.25">
      <c r="M6181" s="21"/>
    </row>
    <row r="6182" spans="13:13" x14ac:dyDescent="0.25">
      <c r="M6182" s="21"/>
    </row>
    <row r="6183" spans="13:13" x14ac:dyDescent="0.25">
      <c r="M6183" s="21"/>
    </row>
    <row r="6184" spans="13:13" x14ac:dyDescent="0.25">
      <c r="M6184" s="21"/>
    </row>
    <row r="6185" spans="13:13" x14ac:dyDescent="0.25">
      <c r="M6185" s="21"/>
    </row>
    <row r="6186" spans="13:13" x14ac:dyDescent="0.25">
      <c r="M6186" s="21"/>
    </row>
    <row r="6187" spans="13:13" x14ac:dyDescent="0.25">
      <c r="M6187" s="21"/>
    </row>
    <row r="6188" spans="13:13" x14ac:dyDescent="0.25">
      <c r="M6188" s="21"/>
    </row>
    <row r="6189" spans="13:13" x14ac:dyDescent="0.25">
      <c r="M6189" s="21"/>
    </row>
    <row r="6190" spans="13:13" x14ac:dyDescent="0.25">
      <c r="M6190" s="21"/>
    </row>
    <row r="6191" spans="13:13" x14ac:dyDescent="0.25">
      <c r="M6191" s="21"/>
    </row>
    <row r="6192" spans="13:13" x14ac:dyDescent="0.25">
      <c r="M6192" s="21"/>
    </row>
    <row r="6193" spans="13:13" x14ac:dyDescent="0.25">
      <c r="M6193" s="21"/>
    </row>
    <row r="6194" spans="13:13" x14ac:dyDescent="0.25">
      <c r="M6194" s="21"/>
    </row>
    <row r="6195" spans="13:13" x14ac:dyDescent="0.25">
      <c r="M6195" s="21"/>
    </row>
    <row r="6196" spans="13:13" x14ac:dyDescent="0.25">
      <c r="M6196" s="21"/>
    </row>
    <row r="6197" spans="13:13" x14ac:dyDescent="0.25">
      <c r="M6197" s="21"/>
    </row>
    <row r="6198" spans="13:13" x14ac:dyDescent="0.25">
      <c r="M6198" s="21"/>
    </row>
    <row r="6199" spans="13:13" x14ac:dyDescent="0.25">
      <c r="M6199" s="21"/>
    </row>
    <row r="6200" spans="13:13" x14ac:dyDescent="0.25">
      <c r="M6200" s="21"/>
    </row>
    <row r="6201" spans="13:13" x14ac:dyDescent="0.25">
      <c r="M6201" s="21"/>
    </row>
    <row r="6202" spans="13:13" x14ac:dyDescent="0.25">
      <c r="M6202" s="21"/>
    </row>
    <row r="6203" spans="13:13" x14ac:dyDescent="0.25">
      <c r="M6203" s="21"/>
    </row>
    <row r="6204" spans="13:13" x14ac:dyDescent="0.25">
      <c r="M6204" s="21"/>
    </row>
    <row r="6205" spans="13:13" x14ac:dyDescent="0.25">
      <c r="M6205" s="21"/>
    </row>
    <row r="6206" spans="13:13" x14ac:dyDescent="0.25">
      <c r="M6206" s="21"/>
    </row>
    <row r="6207" spans="13:13" x14ac:dyDescent="0.25">
      <c r="M6207" s="21"/>
    </row>
    <row r="6208" spans="13:13" x14ac:dyDescent="0.25">
      <c r="M6208" s="21"/>
    </row>
    <row r="6209" spans="13:13" x14ac:dyDescent="0.25">
      <c r="M6209" s="21"/>
    </row>
    <row r="6210" spans="13:13" x14ac:dyDescent="0.25">
      <c r="M6210" s="21"/>
    </row>
    <row r="6211" spans="13:13" x14ac:dyDescent="0.25">
      <c r="M6211" s="21"/>
    </row>
    <row r="6212" spans="13:13" x14ac:dyDescent="0.25">
      <c r="M6212" s="21"/>
    </row>
    <row r="6213" spans="13:13" x14ac:dyDescent="0.25">
      <c r="M6213" s="21"/>
    </row>
    <row r="6214" spans="13:13" x14ac:dyDescent="0.25">
      <c r="M6214" s="21"/>
    </row>
    <row r="6215" spans="13:13" x14ac:dyDescent="0.25">
      <c r="M6215" s="21"/>
    </row>
    <row r="6216" spans="13:13" x14ac:dyDescent="0.25">
      <c r="M6216" s="21"/>
    </row>
    <row r="6217" spans="13:13" x14ac:dyDescent="0.25">
      <c r="M6217" s="21"/>
    </row>
    <row r="6218" spans="13:13" x14ac:dyDescent="0.25">
      <c r="M6218" s="21"/>
    </row>
    <row r="6219" spans="13:13" x14ac:dyDescent="0.25">
      <c r="M6219" s="21"/>
    </row>
    <row r="6220" spans="13:13" x14ac:dyDescent="0.25">
      <c r="M6220" s="21"/>
    </row>
    <row r="6221" spans="13:13" x14ac:dyDescent="0.25">
      <c r="M6221" s="21"/>
    </row>
    <row r="6222" spans="13:13" x14ac:dyDescent="0.25">
      <c r="M6222" s="21"/>
    </row>
    <row r="6223" spans="13:13" x14ac:dyDescent="0.25">
      <c r="M6223" s="21"/>
    </row>
    <row r="6224" spans="13:13" x14ac:dyDescent="0.25">
      <c r="M6224" s="21"/>
    </row>
    <row r="6225" spans="13:13" x14ac:dyDescent="0.25">
      <c r="M6225" s="21"/>
    </row>
    <row r="6226" spans="13:13" x14ac:dyDescent="0.25">
      <c r="M6226" s="21"/>
    </row>
    <row r="6227" spans="13:13" x14ac:dyDescent="0.25">
      <c r="M6227" s="21"/>
    </row>
    <row r="6228" spans="13:13" x14ac:dyDescent="0.25">
      <c r="M6228" s="21"/>
    </row>
    <row r="6229" spans="13:13" x14ac:dyDescent="0.25">
      <c r="M6229" s="21"/>
    </row>
    <row r="6230" spans="13:13" x14ac:dyDescent="0.25">
      <c r="M6230" s="21"/>
    </row>
    <row r="6231" spans="13:13" x14ac:dyDescent="0.25">
      <c r="M6231" s="21"/>
    </row>
    <row r="6232" spans="13:13" x14ac:dyDescent="0.25">
      <c r="M6232" s="21"/>
    </row>
    <row r="6233" spans="13:13" x14ac:dyDescent="0.25">
      <c r="M6233" s="21"/>
    </row>
    <row r="6234" spans="13:13" x14ac:dyDescent="0.25">
      <c r="M6234" s="21"/>
    </row>
    <row r="6235" spans="13:13" x14ac:dyDescent="0.25">
      <c r="M6235" s="21"/>
    </row>
    <row r="6236" spans="13:13" x14ac:dyDescent="0.25">
      <c r="M6236" s="21"/>
    </row>
    <row r="6237" spans="13:13" x14ac:dyDescent="0.25">
      <c r="M6237" s="21"/>
    </row>
    <row r="6238" spans="13:13" x14ac:dyDescent="0.25">
      <c r="M6238" s="21"/>
    </row>
    <row r="6239" spans="13:13" x14ac:dyDescent="0.25">
      <c r="M6239" s="21"/>
    </row>
    <row r="6240" spans="13:13" x14ac:dyDescent="0.25">
      <c r="M6240" s="21"/>
    </row>
    <row r="6241" spans="13:13" x14ac:dyDescent="0.25">
      <c r="M6241" s="21"/>
    </row>
    <row r="6242" spans="13:13" x14ac:dyDescent="0.25">
      <c r="M6242" s="21"/>
    </row>
    <row r="6243" spans="13:13" x14ac:dyDescent="0.25">
      <c r="M6243" s="21"/>
    </row>
    <row r="6244" spans="13:13" x14ac:dyDescent="0.25">
      <c r="M6244" s="21"/>
    </row>
    <row r="6245" spans="13:13" x14ac:dyDescent="0.25">
      <c r="M6245" s="21"/>
    </row>
    <row r="6246" spans="13:13" x14ac:dyDescent="0.25">
      <c r="M6246" s="21"/>
    </row>
    <row r="6247" spans="13:13" x14ac:dyDescent="0.25">
      <c r="M6247" s="21"/>
    </row>
    <row r="6248" spans="13:13" x14ac:dyDescent="0.25">
      <c r="M6248" s="21"/>
    </row>
    <row r="6249" spans="13:13" x14ac:dyDescent="0.25">
      <c r="M6249" s="21"/>
    </row>
    <row r="6250" spans="13:13" x14ac:dyDescent="0.25">
      <c r="M6250" s="21"/>
    </row>
    <row r="6251" spans="13:13" x14ac:dyDescent="0.25">
      <c r="M6251" s="21"/>
    </row>
    <row r="6252" spans="13:13" x14ac:dyDescent="0.25">
      <c r="M6252" s="21"/>
    </row>
    <row r="6253" spans="13:13" x14ac:dyDescent="0.25">
      <c r="M6253" s="21"/>
    </row>
    <row r="6254" spans="13:13" x14ac:dyDescent="0.25">
      <c r="M6254" s="21"/>
    </row>
    <row r="6255" spans="13:13" x14ac:dyDescent="0.25">
      <c r="M6255" s="21"/>
    </row>
    <row r="6256" spans="13:13" x14ac:dyDescent="0.25">
      <c r="M6256" s="21"/>
    </row>
    <row r="6257" spans="13:13" x14ac:dyDescent="0.25">
      <c r="M6257" s="21"/>
    </row>
    <row r="6258" spans="13:13" x14ac:dyDescent="0.25">
      <c r="M6258" s="21"/>
    </row>
    <row r="6259" spans="13:13" x14ac:dyDescent="0.25">
      <c r="M6259" s="21"/>
    </row>
    <row r="6260" spans="13:13" x14ac:dyDescent="0.25">
      <c r="M6260" s="21"/>
    </row>
    <row r="6261" spans="13:13" x14ac:dyDescent="0.25">
      <c r="M6261" s="21"/>
    </row>
    <row r="6262" spans="13:13" x14ac:dyDescent="0.25">
      <c r="M6262" s="21"/>
    </row>
    <row r="6263" spans="13:13" x14ac:dyDescent="0.25">
      <c r="M6263" s="21"/>
    </row>
    <row r="6264" spans="13:13" x14ac:dyDescent="0.25">
      <c r="M6264" s="21"/>
    </row>
    <row r="6265" spans="13:13" x14ac:dyDescent="0.25">
      <c r="M6265" s="21"/>
    </row>
    <row r="6266" spans="13:13" x14ac:dyDescent="0.25">
      <c r="M6266" s="21"/>
    </row>
    <row r="6267" spans="13:13" x14ac:dyDescent="0.25">
      <c r="M6267" s="21"/>
    </row>
    <row r="6268" spans="13:13" x14ac:dyDescent="0.25">
      <c r="M6268" s="21"/>
    </row>
    <row r="6269" spans="13:13" x14ac:dyDescent="0.25">
      <c r="M6269" s="21"/>
    </row>
    <row r="6270" spans="13:13" x14ac:dyDescent="0.25">
      <c r="M6270" s="21"/>
    </row>
    <row r="6271" spans="13:13" x14ac:dyDescent="0.25">
      <c r="M6271" s="21"/>
    </row>
    <row r="6272" spans="13:13" x14ac:dyDescent="0.25">
      <c r="M6272" s="21"/>
    </row>
    <row r="6273" spans="13:13" x14ac:dyDescent="0.25">
      <c r="M6273" s="21"/>
    </row>
    <row r="6274" spans="13:13" x14ac:dyDescent="0.25">
      <c r="M6274" s="21"/>
    </row>
    <row r="6275" spans="13:13" x14ac:dyDescent="0.25">
      <c r="M6275" s="21"/>
    </row>
    <row r="6276" spans="13:13" x14ac:dyDescent="0.25">
      <c r="M6276" s="21"/>
    </row>
    <row r="6277" spans="13:13" x14ac:dyDescent="0.25">
      <c r="M6277" s="21"/>
    </row>
    <row r="6278" spans="13:13" x14ac:dyDescent="0.25">
      <c r="M6278" s="21"/>
    </row>
    <row r="6279" spans="13:13" x14ac:dyDescent="0.25">
      <c r="M6279" s="21"/>
    </row>
    <row r="6280" spans="13:13" x14ac:dyDescent="0.25">
      <c r="M6280" s="21"/>
    </row>
    <row r="6281" spans="13:13" x14ac:dyDescent="0.25">
      <c r="M6281" s="21"/>
    </row>
    <row r="6282" spans="13:13" x14ac:dyDescent="0.25">
      <c r="M6282" s="21"/>
    </row>
    <row r="6283" spans="13:13" x14ac:dyDescent="0.25">
      <c r="M6283" s="21"/>
    </row>
    <row r="6284" spans="13:13" x14ac:dyDescent="0.25">
      <c r="M6284" s="21"/>
    </row>
    <row r="6285" spans="13:13" x14ac:dyDescent="0.25">
      <c r="M6285" s="21"/>
    </row>
    <row r="6286" spans="13:13" x14ac:dyDescent="0.25">
      <c r="M6286" s="21"/>
    </row>
    <row r="6287" spans="13:13" x14ac:dyDescent="0.25">
      <c r="M6287" s="21"/>
    </row>
    <row r="6288" spans="13:13" x14ac:dyDescent="0.25">
      <c r="M6288" s="21"/>
    </row>
    <row r="6289" spans="13:13" x14ac:dyDescent="0.25">
      <c r="M6289" s="21"/>
    </row>
    <row r="6290" spans="13:13" x14ac:dyDescent="0.25">
      <c r="M6290" s="21"/>
    </row>
    <row r="6291" spans="13:13" x14ac:dyDescent="0.25">
      <c r="M6291" s="21"/>
    </row>
    <row r="6292" spans="13:13" x14ac:dyDescent="0.25">
      <c r="M6292" s="21"/>
    </row>
    <row r="6293" spans="13:13" x14ac:dyDescent="0.25">
      <c r="M6293" s="21"/>
    </row>
    <row r="6294" spans="13:13" x14ac:dyDescent="0.25">
      <c r="M6294" s="21"/>
    </row>
    <row r="6295" spans="13:13" x14ac:dyDescent="0.25">
      <c r="M6295" s="21"/>
    </row>
    <row r="6296" spans="13:13" x14ac:dyDescent="0.25">
      <c r="M6296" s="21"/>
    </row>
    <row r="6297" spans="13:13" x14ac:dyDescent="0.25">
      <c r="M6297" s="21"/>
    </row>
    <row r="6298" spans="13:13" x14ac:dyDescent="0.25">
      <c r="M6298" s="21"/>
    </row>
    <row r="6299" spans="13:13" x14ac:dyDescent="0.25">
      <c r="M6299" s="21"/>
    </row>
    <row r="6300" spans="13:13" x14ac:dyDescent="0.25">
      <c r="M6300" s="21"/>
    </row>
    <row r="6301" spans="13:13" x14ac:dyDescent="0.25">
      <c r="M6301" s="21"/>
    </row>
    <row r="6302" spans="13:13" x14ac:dyDescent="0.25">
      <c r="M6302" s="21"/>
    </row>
    <row r="6303" spans="13:13" x14ac:dyDescent="0.25">
      <c r="M6303" s="21"/>
    </row>
    <row r="6304" spans="13:13" x14ac:dyDescent="0.25">
      <c r="M6304" s="21"/>
    </row>
    <row r="6305" spans="13:13" x14ac:dyDescent="0.25">
      <c r="M6305" s="21"/>
    </row>
    <row r="6306" spans="13:13" x14ac:dyDescent="0.25">
      <c r="M6306" s="21"/>
    </row>
    <row r="6307" spans="13:13" x14ac:dyDescent="0.25">
      <c r="M6307" s="21"/>
    </row>
    <row r="6308" spans="13:13" x14ac:dyDescent="0.25">
      <c r="M6308" s="21"/>
    </row>
    <row r="6309" spans="13:13" x14ac:dyDescent="0.25">
      <c r="M6309" s="21"/>
    </row>
    <row r="6310" spans="13:13" x14ac:dyDescent="0.25">
      <c r="M6310" s="21"/>
    </row>
    <row r="6311" spans="13:13" x14ac:dyDescent="0.25">
      <c r="M6311" s="21"/>
    </row>
    <row r="6312" spans="13:13" x14ac:dyDescent="0.25">
      <c r="M6312" s="21"/>
    </row>
    <row r="6313" spans="13:13" x14ac:dyDescent="0.25">
      <c r="M6313" s="21"/>
    </row>
    <row r="6314" spans="13:13" x14ac:dyDescent="0.25">
      <c r="M6314" s="21"/>
    </row>
    <row r="6315" spans="13:13" x14ac:dyDescent="0.25">
      <c r="M6315" s="21"/>
    </row>
    <row r="6316" spans="13:13" x14ac:dyDescent="0.25">
      <c r="M6316" s="21"/>
    </row>
    <row r="6317" spans="13:13" x14ac:dyDescent="0.25">
      <c r="M6317" s="21"/>
    </row>
    <row r="6318" spans="13:13" x14ac:dyDescent="0.25">
      <c r="M6318" s="21"/>
    </row>
    <row r="6319" spans="13:13" x14ac:dyDescent="0.25">
      <c r="M6319" s="21"/>
    </row>
    <row r="6320" spans="13:13" x14ac:dyDescent="0.25">
      <c r="M6320" s="21"/>
    </row>
    <row r="6321" spans="13:13" x14ac:dyDescent="0.25">
      <c r="M6321" s="21"/>
    </row>
    <row r="6322" spans="13:13" x14ac:dyDescent="0.25">
      <c r="M6322" s="21"/>
    </row>
    <row r="6323" spans="13:13" x14ac:dyDescent="0.25">
      <c r="M6323" s="21"/>
    </row>
    <row r="6324" spans="13:13" x14ac:dyDescent="0.25">
      <c r="M6324" s="21"/>
    </row>
    <row r="6325" spans="13:13" x14ac:dyDescent="0.25">
      <c r="M6325" s="21"/>
    </row>
    <row r="6326" spans="13:13" x14ac:dyDescent="0.25">
      <c r="M6326" s="21"/>
    </row>
    <row r="6327" spans="13:13" x14ac:dyDescent="0.25">
      <c r="M6327" s="21"/>
    </row>
    <row r="6328" spans="13:13" x14ac:dyDescent="0.25">
      <c r="M6328" s="21"/>
    </row>
    <row r="6329" spans="13:13" x14ac:dyDescent="0.25">
      <c r="M6329" s="21"/>
    </row>
    <row r="6330" spans="13:13" x14ac:dyDescent="0.25">
      <c r="M6330" s="21"/>
    </row>
    <row r="6331" spans="13:13" x14ac:dyDescent="0.25">
      <c r="M6331" s="21"/>
    </row>
    <row r="6332" spans="13:13" x14ac:dyDescent="0.25">
      <c r="M6332" s="21"/>
    </row>
    <row r="6333" spans="13:13" x14ac:dyDescent="0.25">
      <c r="M6333" s="21"/>
    </row>
    <row r="6334" spans="13:13" x14ac:dyDescent="0.25">
      <c r="M6334" s="21"/>
    </row>
    <row r="6335" spans="13:13" x14ac:dyDescent="0.25">
      <c r="M6335" s="21"/>
    </row>
    <row r="6336" spans="13:13" x14ac:dyDescent="0.25">
      <c r="M6336" s="21"/>
    </row>
    <row r="6337" spans="13:13" x14ac:dyDescent="0.25">
      <c r="M6337" s="21"/>
    </row>
    <row r="6338" spans="13:13" x14ac:dyDescent="0.25">
      <c r="M6338" s="21"/>
    </row>
    <row r="6339" spans="13:13" x14ac:dyDescent="0.25">
      <c r="M6339" s="21"/>
    </row>
    <row r="6340" spans="13:13" x14ac:dyDescent="0.25">
      <c r="M6340" s="21"/>
    </row>
    <row r="6341" spans="13:13" x14ac:dyDescent="0.25">
      <c r="M6341" s="21"/>
    </row>
    <row r="6342" spans="13:13" x14ac:dyDescent="0.25">
      <c r="M6342" s="21"/>
    </row>
    <row r="6343" spans="13:13" x14ac:dyDescent="0.25">
      <c r="M6343" s="21"/>
    </row>
    <row r="6344" spans="13:13" x14ac:dyDescent="0.25">
      <c r="M6344" s="21"/>
    </row>
    <row r="6345" spans="13:13" x14ac:dyDescent="0.25">
      <c r="M6345" s="21"/>
    </row>
    <row r="6346" spans="13:13" x14ac:dyDescent="0.25">
      <c r="M6346" s="21"/>
    </row>
    <row r="6347" spans="13:13" x14ac:dyDescent="0.25">
      <c r="M6347" s="21"/>
    </row>
    <row r="6348" spans="13:13" x14ac:dyDescent="0.25">
      <c r="M6348" s="21"/>
    </row>
    <row r="6349" spans="13:13" x14ac:dyDescent="0.25">
      <c r="M6349" s="21"/>
    </row>
    <row r="6350" spans="13:13" x14ac:dyDescent="0.25">
      <c r="M6350" s="21"/>
    </row>
    <row r="6351" spans="13:13" x14ac:dyDescent="0.25">
      <c r="M6351" s="21"/>
    </row>
    <row r="6352" spans="13:13" x14ac:dyDescent="0.25">
      <c r="M6352" s="21"/>
    </row>
    <row r="6353" spans="13:13" x14ac:dyDescent="0.25">
      <c r="M6353" s="21"/>
    </row>
    <row r="6354" spans="13:13" x14ac:dyDescent="0.25">
      <c r="M6354" s="21"/>
    </row>
    <row r="6355" spans="13:13" x14ac:dyDescent="0.25">
      <c r="M6355" s="21"/>
    </row>
    <row r="6356" spans="13:13" x14ac:dyDescent="0.25">
      <c r="M6356" s="21"/>
    </row>
    <row r="6357" spans="13:13" x14ac:dyDescent="0.25">
      <c r="M6357" s="21"/>
    </row>
    <row r="6358" spans="13:13" x14ac:dyDescent="0.25">
      <c r="M6358" s="21"/>
    </row>
    <row r="6359" spans="13:13" x14ac:dyDescent="0.25">
      <c r="M6359" s="21"/>
    </row>
    <row r="6360" spans="13:13" x14ac:dyDescent="0.25">
      <c r="M6360" s="21"/>
    </row>
    <row r="6361" spans="13:13" x14ac:dyDescent="0.25">
      <c r="M6361" s="21"/>
    </row>
    <row r="6362" spans="13:13" x14ac:dyDescent="0.25">
      <c r="M6362" s="21"/>
    </row>
    <row r="6363" spans="13:13" x14ac:dyDescent="0.25">
      <c r="M6363" s="21"/>
    </row>
    <row r="6364" spans="13:13" x14ac:dyDescent="0.25">
      <c r="M6364" s="21"/>
    </row>
    <row r="6365" spans="13:13" x14ac:dyDescent="0.25">
      <c r="M6365" s="21"/>
    </row>
    <row r="6366" spans="13:13" x14ac:dyDescent="0.25">
      <c r="M6366" s="21"/>
    </row>
    <row r="6367" spans="13:13" x14ac:dyDescent="0.25">
      <c r="M6367" s="21"/>
    </row>
    <row r="6368" spans="13:13" x14ac:dyDescent="0.25">
      <c r="M6368" s="21"/>
    </row>
    <row r="6369" spans="13:13" x14ac:dyDescent="0.25">
      <c r="M6369" s="21"/>
    </row>
    <row r="6370" spans="13:13" x14ac:dyDescent="0.25">
      <c r="M6370" s="21"/>
    </row>
    <row r="6371" spans="13:13" x14ac:dyDescent="0.25">
      <c r="M6371" s="21"/>
    </row>
    <row r="6372" spans="13:13" x14ac:dyDescent="0.25">
      <c r="M6372" s="21"/>
    </row>
    <row r="6373" spans="13:13" x14ac:dyDescent="0.25">
      <c r="M6373" s="21"/>
    </row>
    <row r="6374" spans="13:13" x14ac:dyDescent="0.25">
      <c r="M6374" s="21"/>
    </row>
    <row r="6375" spans="13:13" x14ac:dyDescent="0.25">
      <c r="M6375" s="21"/>
    </row>
    <row r="6376" spans="13:13" x14ac:dyDescent="0.25">
      <c r="M6376" s="21"/>
    </row>
    <row r="6377" spans="13:13" x14ac:dyDescent="0.25">
      <c r="M6377" s="21"/>
    </row>
    <row r="6378" spans="13:13" x14ac:dyDescent="0.25">
      <c r="M6378" s="21"/>
    </row>
    <row r="6379" spans="13:13" x14ac:dyDescent="0.25">
      <c r="M6379" s="21"/>
    </row>
    <row r="6380" spans="13:13" x14ac:dyDescent="0.25">
      <c r="M6380" s="21"/>
    </row>
    <row r="6381" spans="13:13" x14ac:dyDescent="0.25">
      <c r="M6381" s="21"/>
    </row>
    <row r="6382" spans="13:13" x14ac:dyDescent="0.25">
      <c r="M6382" s="21"/>
    </row>
    <row r="6383" spans="13:13" x14ac:dyDescent="0.25">
      <c r="M6383" s="21"/>
    </row>
    <row r="6384" spans="13:13" x14ac:dyDescent="0.25">
      <c r="M6384" s="21"/>
    </row>
    <row r="6385" spans="13:13" x14ac:dyDescent="0.25">
      <c r="M6385" s="21"/>
    </row>
    <row r="6386" spans="13:13" x14ac:dyDescent="0.25">
      <c r="M6386" s="21"/>
    </row>
    <row r="6387" spans="13:13" x14ac:dyDescent="0.25">
      <c r="M6387" s="21"/>
    </row>
    <row r="6388" spans="13:13" x14ac:dyDescent="0.25">
      <c r="M6388" s="21"/>
    </row>
    <row r="6389" spans="13:13" x14ac:dyDescent="0.25">
      <c r="M6389" s="21"/>
    </row>
    <row r="6390" spans="13:13" x14ac:dyDescent="0.25">
      <c r="M6390" s="21"/>
    </row>
    <row r="6391" spans="13:13" x14ac:dyDescent="0.25">
      <c r="M6391" s="21"/>
    </row>
    <row r="6392" spans="13:13" x14ac:dyDescent="0.25">
      <c r="M6392" s="21"/>
    </row>
    <row r="6393" spans="13:13" x14ac:dyDescent="0.25">
      <c r="M6393" s="21"/>
    </row>
    <row r="6394" spans="13:13" x14ac:dyDescent="0.25">
      <c r="M6394" s="21"/>
    </row>
    <row r="6395" spans="13:13" x14ac:dyDescent="0.25">
      <c r="M6395" s="21"/>
    </row>
    <row r="6396" spans="13:13" x14ac:dyDescent="0.25">
      <c r="M6396" s="21"/>
    </row>
    <row r="6397" spans="13:13" x14ac:dyDescent="0.25">
      <c r="M6397" s="21"/>
    </row>
    <row r="6398" spans="13:13" x14ac:dyDescent="0.25">
      <c r="M6398" s="21"/>
    </row>
    <row r="6399" spans="13:13" x14ac:dyDescent="0.25">
      <c r="M6399" s="21"/>
    </row>
    <row r="6400" spans="13:13" x14ac:dyDescent="0.25">
      <c r="M6400" s="21"/>
    </row>
    <row r="6401" spans="13:13" x14ac:dyDescent="0.25">
      <c r="M6401" s="21"/>
    </row>
    <row r="6402" spans="13:13" x14ac:dyDescent="0.25">
      <c r="M6402" s="21"/>
    </row>
    <row r="6403" spans="13:13" x14ac:dyDescent="0.25">
      <c r="M6403" s="21"/>
    </row>
    <row r="6404" spans="13:13" x14ac:dyDescent="0.25">
      <c r="M6404" s="21"/>
    </row>
    <row r="6405" spans="13:13" x14ac:dyDescent="0.25">
      <c r="M6405" s="21"/>
    </row>
    <row r="6406" spans="13:13" x14ac:dyDescent="0.25">
      <c r="M6406" s="21"/>
    </row>
    <row r="6407" spans="13:13" x14ac:dyDescent="0.25">
      <c r="M6407" s="21"/>
    </row>
    <row r="6408" spans="13:13" x14ac:dyDescent="0.25">
      <c r="M6408" s="21"/>
    </row>
    <row r="6409" spans="13:13" x14ac:dyDescent="0.25">
      <c r="M6409" s="21"/>
    </row>
    <row r="6410" spans="13:13" x14ac:dyDescent="0.25">
      <c r="M6410" s="21"/>
    </row>
    <row r="6411" spans="13:13" x14ac:dyDescent="0.25">
      <c r="M6411" s="21"/>
    </row>
    <row r="6412" spans="13:13" x14ac:dyDescent="0.25">
      <c r="M6412" s="21"/>
    </row>
    <row r="6413" spans="13:13" x14ac:dyDescent="0.25">
      <c r="M6413" s="21"/>
    </row>
    <row r="6414" spans="13:13" x14ac:dyDescent="0.25">
      <c r="M6414" s="21"/>
    </row>
    <row r="6415" spans="13:13" x14ac:dyDescent="0.25">
      <c r="M6415" s="21"/>
    </row>
    <row r="6416" spans="13:13" x14ac:dyDescent="0.25">
      <c r="M6416" s="21"/>
    </row>
    <row r="6417" spans="13:13" x14ac:dyDescent="0.25">
      <c r="M6417" s="21"/>
    </row>
    <row r="6418" spans="13:13" x14ac:dyDescent="0.25">
      <c r="M6418" s="21"/>
    </row>
    <row r="6419" spans="13:13" x14ac:dyDescent="0.25">
      <c r="M6419" s="21"/>
    </row>
    <row r="6420" spans="13:13" x14ac:dyDescent="0.25">
      <c r="M6420" s="21"/>
    </row>
    <row r="6421" spans="13:13" x14ac:dyDescent="0.25">
      <c r="M6421" s="21"/>
    </row>
    <row r="6422" spans="13:13" x14ac:dyDescent="0.25">
      <c r="M6422" s="21"/>
    </row>
    <row r="6423" spans="13:13" x14ac:dyDescent="0.25">
      <c r="M6423" s="21"/>
    </row>
    <row r="6424" spans="13:13" x14ac:dyDescent="0.25">
      <c r="M6424" s="21"/>
    </row>
    <row r="6425" spans="13:13" x14ac:dyDescent="0.25">
      <c r="M6425" s="21"/>
    </row>
    <row r="6426" spans="13:13" x14ac:dyDescent="0.25">
      <c r="M6426" s="21"/>
    </row>
    <row r="6427" spans="13:13" x14ac:dyDescent="0.25">
      <c r="M6427" s="21"/>
    </row>
    <row r="6428" spans="13:13" x14ac:dyDescent="0.25">
      <c r="M6428" s="21"/>
    </row>
    <row r="6429" spans="13:13" x14ac:dyDescent="0.25">
      <c r="M6429" s="21"/>
    </row>
    <row r="6430" spans="13:13" x14ac:dyDescent="0.25">
      <c r="M6430" s="21"/>
    </row>
    <row r="6431" spans="13:13" x14ac:dyDescent="0.25">
      <c r="M6431" s="21"/>
    </row>
    <row r="6432" spans="13:13" x14ac:dyDescent="0.25">
      <c r="M6432" s="21"/>
    </row>
    <row r="6433" spans="13:13" x14ac:dyDescent="0.25">
      <c r="M6433" s="21"/>
    </row>
    <row r="6434" spans="13:13" x14ac:dyDescent="0.25">
      <c r="M6434" s="21"/>
    </row>
    <row r="6435" spans="13:13" x14ac:dyDescent="0.25">
      <c r="M6435" s="21"/>
    </row>
    <row r="6436" spans="13:13" x14ac:dyDescent="0.25">
      <c r="M6436" s="21"/>
    </row>
    <row r="6437" spans="13:13" x14ac:dyDescent="0.25">
      <c r="M6437" s="21"/>
    </row>
    <row r="6438" spans="13:13" x14ac:dyDescent="0.25">
      <c r="M6438" s="21"/>
    </row>
    <row r="6439" spans="13:13" x14ac:dyDescent="0.25">
      <c r="M6439" s="21"/>
    </row>
    <row r="6440" spans="13:13" x14ac:dyDescent="0.25">
      <c r="M6440" s="21"/>
    </row>
    <row r="6441" spans="13:13" x14ac:dyDescent="0.25">
      <c r="M6441" s="21"/>
    </row>
    <row r="6442" spans="13:13" x14ac:dyDescent="0.25">
      <c r="M6442" s="21"/>
    </row>
    <row r="6443" spans="13:13" x14ac:dyDescent="0.25">
      <c r="M6443" s="21"/>
    </row>
    <row r="6444" spans="13:13" x14ac:dyDescent="0.25">
      <c r="M6444" s="21"/>
    </row>
    <row r="6445" spans="13:13" x14ac:dyDescent="0.25">
      <c r="M6445" s="21"/>
    </row>
    <row r="6446" spans="13:13" x14ac:dyDescent="0.25">
      <c r="M6446" s="21"/>
    </row>
    <row r="6447" spans="13:13" x14ac:dyDescent="0.25">
      <c r="M6447" s="21"/>
    </row>
    <row r="6448" spans="13:13" x14ac:dyDescent="0.25">
      <c r="M6448" s="21"/>
    </row>
    <row r="6449" spans="13:13" x14ac:dyDescent="0.25">
      <c r="M6449" s="21"/>
    </row>
    <row r="6450" spans="13:13" x14ac:dyDescent="0.25">
      <c r="M6450" s="21"/>
    </row>
    <row r="6451" spans="13:13" x14ac:dyDescent="0.25">
      <c r="M6451" s="21"/>
    </row>
    <row r="6452" spans="13:13" x14ac:dyDescent="0.25">
      <c r="M6452" s="21"/>
    </row>
    <row r="6453" spans="13:13" x14ac:dyDescent="0.25">
      <c r="M6453" s="21"/>
    </row>
    <row r="6454" spans="13:13" x14ac:dyDescent="0.25">
      <c r="M6454" s="21"/>
    </row>
    <row r="6455" spans="13:13" x14ac:dyDescent="0.25">
      <c r="M6455" s="21"/>
    </row>
    <row r="6456" spans="13:13" x14ac:dyDescent="0.25">
      <c r="M6456" s="21"/>
    </row>
    <row r="6457" spans="13:13" x14ac:dyDescent="0.25">
      <c r="M6457" s="21"/>
    </row>
    <row r="6458" spans="13:13" x14ac:dyDescent="0.25">
      <c r="M6458" s="21"/>
    </row>
    <row r="6459" spans="13:13" x14ac:dyDescent="0.25">
      <c r="M6459" s="21"/>
    </row>
    <row r="6460" spans="13:13" x14ac:dyDescent="0.25">
      <c r="M6460" s="21"/>
    </row>
    <row r="6461" spans="13:13" x14ac:dyDescent="0.25">
      <c r="M6461" s="21"/>
    </row>
    <row r="6462" spans="13:13" x14ac:dyDescent="0.25">
      <c r="M6462" s="21"/>
    </row>
    <row r="6463" spans="13:13" x14ac:dyDescent="0.25">
      <c r="M6463" s="21"/>
    </row>
    <row r="6464" spans="13:13" x14ac:dyDescent="0.25">
      <c r="M6464" s="21"/>
    </row>
    <row r="6465" spans="13:13" x14ac:dyDescent="0.25">
      <c r="M6465" s="21"/>
    </row>
    <row r="6466" spans="13:13" x14ac:dyDescent="0.25">
      <c r="M6466" s="21"/>
    </row>
    <row r="6467" spans="13:13" x14ac:dyDescent="0.25">
      <c r="M6467" s="21"/>
    </row>
    <row r="6468" spans="13:13" x14ac:dyDescent="0.25">
      <c r="M6468" s="21"/>
    </row>
    <row r="6469" spans="13:13" x14ac:dyDescent="0.25">
      <c r="M6469" s="21"/>
    </row>
    <row r="6470" spans="13:13" x14ac:dyDescent="0.25">
      <c r="M6470" s="21"/>
    </row>
    <row r="6471" spans="13:13" x14ac:dyDescent="0.25">
      <c r="M6471" s="21"/>
    </row>
    <row r="6472" spans="13:13" x14ac:dyDescent="0.25">
      <c r="M6472" s="21"/>
    </row>
    <row r="6473" spans="13:13" x14ac:dyDescent="0.25">
      <c r="M6473" s="21"/>
    </row>
    <row r="6474" spans="13:13" x14ac:dyDescent="0.25">
      <c r="M6474" s="21"/>
    </row>
    <row r="6475" spans="13:13" x14ac:dyDescent="0.25">
      <c r="M6475" s="21"/>
    </row>
    <row r="6476" spans="13:13" x14ac:dyDescent="0.25">
      <c r="M6476" s="21"/>
    </row>
    <row r="6477" spans="13:13" x14ac:dyDescent="0.25">
      <c r="M6477" s="21"/>
    </row>
    <row r="6478" spans="13:13" x14ac:dyDescent="0.25">
      <c r="M6478" s="21"/>
    </row>
    <row r="6479" spans="13:13" x14ac:dyDescent="0.25">
      <c r="M6479" s="21"/>
    </row>
    <row r="6480" spans="13:13" x14ac:dyDescent="0.25">
      <c r="M6480" s="21"/>
    </row>
    <row r="6481" spans="13:13" x14ac:dyDescent="0.25">
      <c r="M6481" s="21"/>
    </row>
    <row r="6482" spans="13:13" x14ac:dyDescent="0.25">
      <c r="M6482" s="21"/>
    </row>
    <row r="6483" spans="13:13" x14ac:dyDescent="0.25">
      <c r="M6483" s="21"/>
    </row>
    <row r="6484" spans="13:13" x14ac:dyDescent="0.25">
      <c r="M6484" s="21"/>
    </row>
    <row r="6485" spans="13:13" x14ac:dyDescent="0.25">
      <c r="M6485" s="21"/>
    </row>
    <row r="6486" spans="13:13" x14ac:dyDescent="0.25">
      <c r="M6486" s="21"/>
    </row>
    <row r="6487" spans="13:13" x14ac:dyDescent="0.25">
      <c r="M6487" s="21"/>
    </row>
    <row r="6488" spans="13:13" x14ac:dyDescent="0.25">
      <c r="M6488" s="21"/>
    </row>
    <row r="6489" spans="13:13" x14ac:dyDescent="0.25">
      <c r="M6489" s="21"/>
    </row>
    <row r="6490" spans="13:13" x14ac:dyDescent="0.25">
      <c r="M6490" s="21"/>
    </row>
    <row r="6491" spans="13:13" x14ac:dyDescent="0.25">
      <c r="M6491" s="21"/>
    </row>
    <row r="6492" spans="13:13" x14ac:dyDescent="0.25">
      <c r="M6492" s="21"/>
    </row>
    <row r="6493" spans="13:13" x14ac:dyDescent="0.25">
      <c r="M6493" s="21"/>
    </row>
    <row r="6494" spans="13:13" x14ac:dyDescent="0.25">
      <c r="M6494" s="21"/>
    </row>
    <row r="6495" spans="13:13" x14ac:dyDescent="0.25">
      <c r="M6495" s="21"/>
    </row>
    <row r="6496" spans="13:13" x14ac:dyDescent="0.25">
      <c r="M6496" s="21"/>
    </row>
    <row r="6497" spans="13:13" x14ac:dyDescent="0.25">
      <c r="M6497" s="21"/>
    </row>
    <row r="6498" spans="13:13" x14ac:dyDescent="0.25">
      <c r="M6498" s="21"/>
    </row>
    <row r="6499" spans="13:13" x14ac:dyDescent="0.25">
      <c r="M6499" s="21"/>
    </row>
    <row r="6500" spans="13:13" x14ac:dyDescent="0.25">
      <c r="M6500" s="21"/>
    </row>
    <row r="6501" spans="13:13" x14ac:dyDescent="0.25">
      <c r="M6501" s="21"/>
    </row>
    <row r="6502" spans="13:13" x14ac:dyDescent="0.25">
      <c r="M6502" s="21"/>
    </row>
    <row r="6503" spans="13:13" x14ac:dyDescent="0.25">
      <c r="M6503" s="21"/>
    </row>
    <row r="6504" spans="13:13" x14ac:dyDescent="0.25">
      <c r="M6504" s="21"/>
    </row>
    <row r="6505" spans="13:13" x14ac:dyDescent="0.25">
      <c r="M6505" s="21"/>
    </row>
    <row r="6506" spans="13:13" x14ac:dyDescent="0.25">
      <c r="M6506" s="21"/>
    </row>
    <row r="6507" spans="13:13" x14ac:dyDescent="0.25">
      <c r="M6507" s="21"/>
    </row>
    <row r="6508" spans="13:13" x14ac:dyDescent="0.25">
      <c r="M6508" s="21"/>
    </row>
    <row r="6509" spans="13:13" x14ac:dyDescent="0.25">
      <c r="M6509" s="21"/>
    </row>
    <row r="6510" spans="13:13" x14ac:dyDescent="0.25">
      <c r="M6510" s="21"/>
    </row>
    <row r="6511" spans="13:13" x14ac:dyDescent="0.25">
      <c r="M6511" s="21"/>
    </row>
    <row r="6512" spans="13:13" x14ac:dyDescent="0.25">
      <c r="M6512" s="21"/>
    </row>
    <row r="6513" spans="13:13" x14ac:dyDescent="0.25">
      <c r="M6513" s="21"/>
    </row>
    <row r="6514" spans="13:13" x14ac:dyDescent="0.25">
      <c r="M6514" s="21"/>
    </row>
    <row r="6515" spans="13:13" x14ac:dyDescent="0.25">
      <c r="M6515" s="21"/>
    </row>
    <row r="6516" spans="13:13" x14ac:dyDescent="0.25">
      <c r="M6516" s="21"/>
    </row>
    <row r="6517" spans="13:13" x14ac:dyDescent="0.25">
      <c r="M6517" s="21"/>
    </row>
    <row r="6518" spans="13:13" x14ac:dyDescent="0.25">
      <c r="M6518" s="21"/>
    </row>
    <row r="6519" spans="13:13" x14ac:dyDescent="0.25">
      <c r="M6519" s="21"/>
    </row>
    <row r="6520" spans="13:13" x14ac:dyDescent="0.25">
      <c r="M6520" s="21"/>
    </row>
    <row r="6521" spans="13:13" x14ac:dyDescent="0.25">
      <c r="M6521" s="21"/>
    </row>
    <row r="6522" spans="13:13" x14ac:dyDescent="0.25">
      <c r="M6522" s="21"/>
    </row>
    <row r="6523" spans="13:13" x14ac:dyDescent="0.25">
      <c r="M6523" s="21"/>
    </row>
    <row r="6524" spans="13:13" x14ac:dyDescent="0.25">
      <c r="M6524" s="21"/>
    </row>
    <row r="6525" spans="13:13" x14ac:dyDescent="0.25">
      <c r="M6525" s="21"/>
    </row>
    <row r="6526" spans="13:13" x14ac:dyDescent="0.25">
      <c r="M6526" s="21"/>
    </row>
    <row r="6527" spans="13:13" x14ac:dyDescent="0.25">
      <c r="M6527" s="21"/>
    </row>
    <row r="6528" spans="13:13" x14ac:dyDescent="0.25">
      <c r="M6528" s="21"/>
    </row>
    <row r="6529" spans="13:13" x14ac:dyDescent="0.25">
      <c r="M6529" s="21"/>
    </row>
    <row r="6530" spans="13:13" x14ac:dyDescent="0.25">
      <c r="M6530" s="21"/>
    </row>
    <row r="6531" spans="13:13" x14ac:dyDescent="0.25">
      <c r="M6531" s="21"/>
    </row>
    <row r="6532" spans="13:13" x14ac:dyDescent="0.25">
      <c r="M6532" s="21"/>
    </row>
    <row r="6533" spans="13:13" x14ac:dyDescent="0.25">
      <c r="M6533" s="21"/>
    </row>
    <row r="6534" spans="13:13" x14ac:dyDescent="0.25">
      <c r="M6534" s="21"/>
    </row>
    <row r="6535" spans="13:13" x14ac:dyDescent="0.25">
      <c r="M6535" s="21"/>
    </row>
    <row r="6536" spans="13:13" x14ac:dyDescent="0.25">
      <c r="M6536" s="21"/>
    </row>
    <row r="6537" spans="13:13" x14ac:dyDescent="0.25">
      <c r="M6537" s="21"/>
    </row>
    <row r="6538" spans="13:13" x14ac:dyDescent="0.25">
      <c r="M6538" s="21"/>
    </row>
    <row r="6539" spans="13:13" x14ac:dyDescent="0.25">
      <c r="M6539" s="21"/>
    </row>
    <row r="6540" spans="13:13" x14ac:dyDescent="0.25">
      <c r="M6540" s="21"/>
    </row>
    <row r="6541" spans="13:13" x14ac:dyDescent="0.25">
      <c r="M6541" s="21"/>
    </row>
    <row r="6542" spans="13:13" x14ac:dyDescent="0.25">
      <c r="M6542" s="21"/>
    </row>
    <row r="6543" spans="13:13" x14ac:dyDescent="0.25">
      <c r="M6543" s="21"/>
    </row>
    <row r="6544" spans="13:13" x14ac:dyDescent="0.25">
      <c r="M6544" s="21"/>
    </row>
    <row r="6545" spans="13:13" x14ac:dyDescent="0.25">
      <c r="M6545" s="21"/>
    </row>
    <row r="6546" spans="13:13" x14ac:dyDescent="0.25">
      <c r="M6546" s="21"/>
    </row>
    <row r="6547" spans="13:13" x14ac:dyDescent="0.25">
      <c r="M6547" s="21"/>
    </row>
    <row r="6548" spans="13:13" x14ac:dyDescent="0.25">
      <c r="M6548" s="21"/>
    </row>
    <row r="6549" spans="13:13" x14ac:dyDescent="0.25">
      <c r="M6549" s="21"/>
    </row>
    <row r="6550" spans="13:13" x14ac:dyDescent="0.25">
      <c r="M6550" s="21"/>
    </row>
    <row r="6551" spans="13:13" x14ac:dyDescent="0.25">
      <c r="M6551" s="21"/>
    </row>
    <row r="6552" spans="13:13" x14ac:dyDescent="0.25">
      <c r="M6552" s="21"/>
    </row>
    <row r="6553" spans="13:13" x14ac:dyDescent="0.25">
      <c r="M6553" s="21"/>
    </row>
    <row r="6554" spans="13:13" x14ac:dyDescent="0.25">
      <c r="M6554" s="21"/>
    </row>
    <row r="6555" spans="13:13" x14ac:dyDescent="0.25">
      <c r="M6555" s="21"/>
    </row>
    <row r="6556" spans="13:13" x14ac:dyDescent="0.25">
      <c r="M6556" s="21"/>
    </row>
    <row r="6557" spans="13:13" x14ac:dyDescent="0.25">
      <c r="M6557" s="21"/>
    </row>
    <row r="6558" spans="13:13" x14ac:dyDescent="0.25">
      <c r="M6558" s="21"/>
    </row>
    <row r="6559" spans="13:13" x14ac:dyDescent="0.25">
      <c r="M6559" s="21"/>
    </row>
    <row r="6560" spans="13:13" x14ac:dyDescent="0.25">
      <c r="M6560" s="21"/>
    </row>
    <row r="6561" spans="13:13" x14ac:dyDescent="0.25">
      <c r="M6561" s="21"/>
    </row>
    <row r="6562" spans="13:13" x14ac:dyDescent="0.25">
      <c r="M6562" s="21"/>
    </row>
    <row r="6563" spans="13:13" x14ac:dyDescent="0.25">
      <c r="M6563" s="21"/>
    </row>
    <row r="6564" spans="13:13" x14ac:dyDescent="0.25">
      <c r="M6564" s="21"/>
    </row>
    <row r="6565" spans="13:13" x14ac:dyDescent="0.25">
      <c r="M6565" s="21"/>
    </row>
    <row r="6566" spans="13:13" x14ac:dyDescent="0.25">
      <c r="M6566" s="21"/>
    </row>
    <row r="6567" spans="13:13" x14ac:dyDescent="0.25">
      <c r="M6567" s="21"/>
    </row>
    <row r="6568" spans="13:13" x14ac:dyDescent="0.25">
      <c r="M6568" s="21"/>
    </row>
    <row r="6569" spans="13:13" x14ac:dyDescent="0.25">
      <c r="M6569" s="21"/>
    </row>
    <row r="6570" spans="13:13" x14ac:dyDescent="0.25">
      <c r="M6570" s="21"/>
    </row>
    <row r="6571" spans="13:13" x14ac:dyDescent="0.25">
      <c r="M6571" s="21"/>
    </row>
    <row r="6572" spans="13:13" x14ac:dyDescent="0.25">
      <c r="M6572" s="21"/>
    </row>
    <row r="6573" spans="13:13" x14ac:dyDescent="0.25">
      <c r="M6573" s="21"/>
    </row>
    <row r="6574" spans="13:13" x14ac:dyDescent="0.25">
      <c r="M6574" s="21"/>
    </row>
    <row r="6575" spans="13:13" x14ac:dyDescent="0.25">
      <c r="M6575" s="21"/>
    </row>
    <row r="6576" spans="13:13" x14ac:dyDescent="0.25">
      <c r="M6576" s="21"/>
    </row>
    <row r="6577" spans="13:13" x14ac:dyDescent="0.25">
      <c r="M6577" s="21"/>
    </row>
    <row r="6578" spans="13:13" x14ac:dyDescent="0.25">
      <c r="M6578" s="21"/>
    </row>
    <row r="6579" spans="13:13" x14ac:dyDescent="0.25">
      <c r="M6579" s="21"/>
    </row>
    <row r="6580" spans="13:13" x14ac:dyDescent="0.25">
      <c r="M6580" s="21"/>
    </row>
    <row r="6581" spans="13:13" x14ac:dyDescent="0.25">
      <c r="M6581" s="21"/>
    </row>
    <row r="6582" spans="13:13" x14ac:dyDescent="0.25">
      <c r="M6582" s="21"/>
    </row>
    <row r="6583" spans="13:13" x14ac:dyDescent="0.25">
      <c r="M6583" s="21"/>
    </row>
    <row r="6584" spans="13:13" x14ac:dyDescent="0.25">
      <c r="M6584" s="21"/>
    </row>
    <row r="6585" spans="13:13" x14ac:dyDescent="0.25">
      <c r="M6585" s="21"/>
    </row>
    <row r="6586" spans="13:13" x14ac:dyDescent="0.25">
      <c r="M6586" s="21"/>
    </row>
    <row r="6587" spans="13:13" x14ac:dyDescent="0.25">
      <c r="M6587" s="21"/>
    </row>
    <row r="6588" spans="13:13" x14ac:dyDescent="0.25">
      <c r="M6588" s="21"/>
    </row>
    <row r="6589" spans="13:13" x14ac:dyDescent="0.25">
      <c r="M6589" s="21"/>
    </row>
    <row r="6590" spans="13:13" x14ac:dyDescent="0.25">
      <c r="M6590" s="21"/>
    </row>
    <row r="6591" spans="13:13" x14ac:dyDescent="0.25">
      <c r="M6591" s="21"/>
    </row>
    <row r="6592" spans="13:13" x14ac:dyDescent="0.25">
      <c r="M6592" s="21"/>
    </row>
    <row r="6593" spans="13:13" x14ac:dyDescent="0.25">
      <c r="M6593" s="21"/>
    </row>
    <row r="6594" spans="13:13" x14ac:dyDescent="0.25">
      <c r="M6594" s="21"/>
    </row>
    <row r="6595" spans="13:13" x14ac:dyDescent="0.25">
      <c r="M6595" s="21"/>
    </row>
    <row r="6596" spans="13:13" x14ac:dyDescent="0.25">
      <c r="M6596" s="21"/>
    </row>
    <row r="6597" spans="13:13" x14ac:dyDescent="0.25">
      <c r="M6597" s="21"/>
    </row>
    <row r="6598" spans="13:13" x14ac:dyDescent="0.25">
      <c r="M6598" s="21"/>
    </row>
    <row r="6599" spans="13:13" x14ac:dyDescent="0.25">
      <c r="M6599" s="21"/>
    </row>
    <row r="6600" spans="13:13" x14ac:dyDescent="0.25">
      <c r="M6600" s="21"/>
    </row>
    <row r="6601" spans="13:13" x14ac:dyDescent="0.25">
      <c r="M6601" s="21"/>
    </row>
    <row r="6602" spans="13:13" x14ac:dyDescent="0.25">
      <c r="M6602" s="21"/>
    </row>
    <row r="6603" spans="13:13" x14ac:dyDescent="0.25">
      <c r="M6603" s="21"/>
    </row>
    <row r="6604" spans="13:13" x14ac:dyDescent="0.25">
      <c r="M6604" s="21"/>
    </row>
    <row r="6605" spans="13:13" x14ac:dyDescent="0.25">
      <c r="M6605" s="21"/>
    </row>
    <row r="6606" spans="13:13" x14ac:dyDescent="0.25">
      <c r="M6606" s="21"/>
    </row>
    <row r="6607" spans="13:13" x14ac:dyDescent="0.25">
      <c r="M6607" s="21"/>
    </row>
    <row r="6608" spans="13:13" x14ac:dyDescent="0.25">
      <c r="M6608" s="21"/>
    </row>
    <row r="6609" spans="13:13" x14ac:dyDescent="0.25">
      <c r="M6609" s="21"/>
    </row>
    <row r="6610" spans="13:13" x14ac:dyDescent="0.25">
      <c r="M6610" s="21"/>
    </row>
    <row r="6611" spans="13:13" x14ac:dyDescent="0.25">
      <c r="M6611" s="21"/>
    </row>
    <row r="6612" spans="13:13" x14ac:dyDescent="0.25">
      <c r="M6612" s="21"/>
    </row>
    <row r="6613" spans="13:13" x14ac:dyDescent="0.25">
      <c r="M6613" s="21"/>
    </row>
    <row r="6614" spans="13:13" x14ac:dyDescent="0.25">
      <c r="M6614" s="21"/>
    </row>
    <row r="6615" spans="13:13" x14ac:dyDescent="0.25">
      <c r="M6615" s="21"/>
    </row>
    <row r="6616" spans="13:13" x14ac:dyDescent="0.25">
      <c r="M6616" s="21"/>
    </row>
    <row r="6617" spans="13:13" x14ac:dyDescent="0.25">
      <c r="M6617" s="21"/>
    </row>
    <row r="6618" spans="13:13" x14ac:dyDescent="0.25">
      <c r="M6618" s="21"/>
    </row>
    <row r="6619" spans="13:13" x14ac:dyDescent="0.25">
      <c r="M6619" s="21"/>
    </row>
    <row r="6620" spans="13:13" x14ac:dyDescent="0.25">
      <c r="M6620" s="21"/>
    </row>
    <row r="6621" spans="13:13" x14ac:dyDescent="0.25">
      <c r="M6621" s="21"/>
    </row>
    <row r="6622" spans="13:13" x14ac:dyDescent="0.25">
      <c r="M6622" s="21"/>
    </row>
    <row r="6623" spans="13:13" x14ac:dyDescent="0.25">
      <c r="M6623" s="21"/>
    </row>
    <row r="6624" spans="13:13" x14ac:dyDescent="0.25">
      <c r="M6624" s="21"/>
    </row>
    <row r="6625" spans="13:13" x14ac:dyDescent="0.25">
      <c r="M6625" s="21"/>
    </row>
    <row r="6626" spans="13:13" x14ac:dyDescent="0.25">
      <c r="M6626" s="21"/>
    </row>
    <row r="6627" spans="13:13" x14ac:dyDescent="0.25">
      <c r="M6627" s="21"/>
    </row>
    <row r="6628" spans="13:13" x14ac:dyDescent="0.25">
      <c r="M6628" s="21"/>
    </row>
    <row r="6629" spans="13:13" x14ac:dyDescent="0.25">
      <c r="M6629" s="21"/>
    </row>
    <row r="6630" spans="13:13" x14ac:dyDescent="0.25">
      <c r="M6630" s="21"/>
    </row>
    <row r="6631" spans="13:13" x14ac:dyDescent="0.25">
      <c r="M6631" s="21"/>
    </row>
    <row r="6632" spans="13:13" x14ac:dyDescent="0.25">
      <c r="M6632" s="21"/>
    </row>
    <row r="6633" spans="13:13" x14ac:dyDescent="0.25">
      <c r="M6633" s="21"/>
    </row>
    <row r="6634" spans="13:13" x14ac:dyDescent="0.25">
      <c r="M6634" s="21"/>
    </row>
    <row r="6635" spans="13:13" x14ac:dyDescent="0.25">
      <c r="M6635" s="21"/>
    </row>
    <row r="6636" spans="13:13" x14ac:dyDescent="0.25">
      <c r="M6636" s="21"/>
    </row>
    <row r="6637" spans="13:13" x14ac:dyDescent="0.25">
      <c r="M6637" s="21"/>
    </row>
    <row r="6638" spans="13:13" x14ac:dyDescent="0.25">
      <c r="M6638" s="21"/>
    </row>
    <row r="6639" spans="13:13" x14ac:dyDescent="0.25">
      <c r="M6639" s="21"/>
    </row>
    <row r="6640" spans="13:13" x14ac:dyDescent="0.25">
      <c r="M6640" s="21"/>
    </row>
    <row r="6641" spans="13:13" x14ac:dyDescent="0.25">
      <c r="M6641" s="21"/>
    </row>
    <row r="6642" spans="13:13" x14ac:dyDescent="0.25">
      <c r="M6642" s="21"/>
    </row>
    <row r="6643" spans="13:13" x14ac:dyDescent="0.25">
      <c r="M6643" s="21"/>
    </row>
    <row r="6644" spans="13:13" x14ac:dyDescent="0.25">
      <c r="M6644" s="21"/>
    </row>
    <row r="6645" spans="13:13" x14ac:dyDescent="0.25">
      <c r="M6645" s="21"/>
    </row>
    <row r="6646" spans="13:13" x14ac:dyDescent="0.25">
      <c r="M6646" s="21"/>
    </row>
    <row r="6647" spans="13:13" x14ac:dyDescent="0.25">
      <c r="M6647" s="21"/>
    </row>
    <row r="6648" spans="13:13" x14ac:dyDescent="0.25">
      <c r="M6648" s="21"/>
    </row>
    <row r="6649" spans="13:13" x14ac:dyDescent="0.25">
      <c r="M6649" s="21"/>
    </row>
    <row r="6650" spans="13:13" x14ac:dyDescent="0.25">
      <c r="M6650" s="21"/>
    </row>
    <row r="6651" spans="13:13" x14ac:dyDescent="0.25">
      <c r="M6651" s="21"/>
    </row>
    <row r="6652" spans="13:13" x14ac:dyDescent="0.25">
      <c r="M6652" s="21"/>
    </row>
    <row r="6653" spans="13:13" x14ac:dyDescent="0.25">
      <c r="M6653" s="21"/>
    </row>
    <row r="6654" spans="13:13" x14ac:dyDescent="0.25">
      <c r="M6654" s="21"/>
    </row>
    <row r="6655" spans="13:13" x14ac:dyDescent="0.25">
      <c r="M6655" s="21"/>
    </row>
    <row r="6656" spans="13:13" x14ac:dyDescent="0.25">
      <c r="M6656" s="21"/>
    </row>
    <row r="6657" spans="13:13" x14ac:dyDescent="0.25">
      <c r="M6657" s="21"/>
    </row>
    <row r="6658" spans="13:13" x14ac:dyDescent="0.25">
      <c r="M6658" s="21"/>
    </row>
    <row r="6659" spans="13:13" x14ac:dyDescent="0.25">
      <c r="M6659" s="21"/>
    </row>
    <row r="6660" spans="13:13" x14ac:dyDescent="0.25">
      <c r="M6660" s="21"/>
    </row>
    <row r="6661" spans="13:13" x14ac:dyDescent="0.25">
      <c r="M6661" s="21"/>
    </row>
    <row r="6662" spans="13:13" x14ac:dyDescent="0.25">
      <c r="M6662" s="21"/>
    </row>
    <row r="6663" spans="13:13" x14ac:dyDescent="0.25">
      <c r="M6663" s="21"/>
    </row>
    <row r="6664" spans="13:13" x14ac:dyDescent="0.25">
      <c r="M6664" s="21"/>
    </row>
    <row r="6665" spans="13:13" x14ac:dyDescent="0.25">
      <c r="M6665" s="21"/>
    </row>
    <row r="6666" spans="13:13" x14ac:dyDescent="0.25">
      <c r="M6666" s="21"/>
    </row>
    <row r="6667" spans="13:13" x14ac:dyDescent="0.25">
      <c r="M6667" s="21"/>
    </row>
    <row r="6668" spans="13:13" x14ac:dyDescent="0.25">
      <c r="M6668" s="21"/>
    </row>
    <row r="6669" spans="13:13" x14ac:dyDescent="0.25">
      <c r="M6669" s="21"/>
    </row>
    <row r="6670" spans="13:13" x14ac:dyDescent="0.25">
      <c r="M6670" s="21"/>
    </row>
    <row r="6671" spans="13:13" x14ac:dyDescent="0.25">
      <c r="M6671" s="21"/>
    </row>
    <row r="6672" spans="13:13" x14ac:dyDescent="0.25">
      <c r="M6672" s="21"/>
    </row>
    <row r="6673" spans="13:13" x14ac:dyDescent="0.25">
      <c r="M6673" s="21"/>
    </row>
    <row r="6674" spans="13:13" x14ac:dyDescent="0.25">
      <c r="M6674" s="21"/>
    </row>
    <row r="6675" spans="13:13" x14ac:dyDescent="0.25">
      <c r="M6675" s="21"/>
    </row>
    <row r="6676" spans="13:13" x14ac:dyDescent="0.25">
      <c r="M6676" s="21"/>
    </row>
    <row r="6677" spans="13:13" x14ac:dyDescent="0.25">
      <c r="M6677" s="21"/>
    </row>
    <row r="6678" spans="13:13" x14ac:dyDescent="0.25">
      <c r="M6678" s="21"/>
    </row>
    <row r="6679" spans="13:13" x14ac:dyDescent="0.25">
      <c r="M6679" s="21"/>
    </row>
    <row r="6680" spans="13:13" x14ac:dyDescent="0.25">
      <c r="M6680" s="21"/>
    </row>
    <row r="6681" spans="13:13" x14ac:dyDescent="0.25">
      <c r="M6681" s="21"/>
    </row>
    <row r="6682" spans="13:13" x14ac:dyDescent="0.25">
      <c r="M6682" s="21"/>
    </row>
    <row r="6683" spans="13:13" x14ac:dyDescent="0.25">
      <c r="M6683" s="21"/>
    </row>
    <row r="6684" spans="13:13" x14ac:dyDescent="0.25">
      <c r="M6684" s="21"/>
    </row>
    <row r="6685" spans="13:13" x14ac:dyDescent="0.25">
      <c r="M6685" s="21"/>
    </row>
    <row r="6686" spans="13:13" x14ac:dyDescent="0.25">
      <c r="M6686" s="21"/>
    </row>
    <row r="6687" spans="13:13" x14ac:dyDescent="0.25">
      <c r="M6687" s="21"/>
    </row>
    <row r="6688" spans="13:13" x14ac:dyDescent="0.25">
      <c r="M6688" s="21"/>
    </row>
    <row r="6689" spans="13:13" x14ac:dyDescent="0.25">
      <c r="M6689" s="21"/>
    </row>
    <row r="6690" spans="13:13" x14ac:dyDescent="0.25">
      <c r="M6690" s="21"/>
    </row>
    <row r="6691" spans="13:13" x14ac:dyDescent="0.25">
      <c r="M6691" s="21"/>
    </row>
    <row r="6692" spans="13:13" x14ac:dyDescent="0.25">
      <c r="M6692" s="21"/>
    </row>
    <row r="6693" spans="13:13" x14ac:dyDescent="0.25">
      <c r="M6693" s="21"/>
    </row>
    <row r="6694" spans="13:13" x14ac:dyDescent="0.25">
      <c r="M6694" s="21"/>
    </row>
    <row r="6695" spans="13:13" x14ac:dyDescent="0.25">
      <c r="M6695" s="21"/>
    </row>
    <row r="6696" spans="13:13" x14ac:dyDescent="0.25">
      <c r="M6696" s="21"/>
    </row>
    <row r="6697" spans="13:13" x14ac:dyDescent="0.25">
      <c r="M6697" s="21"/>
    </row>
    <row r="6698" spans="13:13" x14ac:dyDescent="0.25">
      <c r="M6698" s="21"/>
    </row>
    <row r="6699" spans="13:13" x14ac:dyDescent="0.25">
      <c r="M6699" s="21"/>
    </row>
    <row r="6700" spans="13:13" x14ac:dyDescent="0.25">
      <c r="M6700" s="21"/>
    </row>
    <row r="6701" spans="13:13" x14ac:dyDescent="0.25">
      <c r="M6701" s="21"/>
    </row>
    <row r="6702" spans="13:13" x14ac:dyDescent="0.25">
      <c r="M6702" s="21"/>
    </row>
    <row r="6703" spans="13:13" x14ac:dyDescent="0.25">
      <c r="M6703" s="21"/>
    </row>
    <row r="6704" spans="13:13" x14ac:dyDescent="0.25">
      <c r="M6704" s="21"/>
    </row>
    <row r="6705" spans="13:13" x14ac:dyDescent="0.25">
      <c r="M6705" s="21"/>
    </row>
    <row r="6706" spans="13:13" x14ac:dyDescent="0.25">
      <c r="M6706" s="21"/>
    </row>
    <row r="6707" spans="13:13" x14ac:dyDescent="0.25">
      <c r="M6707" s="21"/>
    </row>
    <row r="6708" spans="13:13" x14ac:dyDescent="0.25">
      <c r="M6708" s="21"/>
    </row>
    <row r="6709" spans="13:13" x14ac:dyDescent="0.25">
      <c r="M6709" s="21"/>
    </row>
    <row r="6710" spans="13:13" x14ac:dyDescent="0.25">
      <c r="M6710" s="21"/>
    </row>
    <row r="6711" spans="13:13" x14ac:dyDescent="0.25">
      <c r="M6711" s="21"/>
    </row>
    <row r="6712" spans="13:13" x14ac:dyDescent="0.25">
      <c r="M6712" s="21"/>
    </row>
    <row r="6713" spans="13:13" x14ac:dyDescent="0.25">
      <c r="M6713" s="21"/>
    </row>
    <row r="6714" spans="13:13" x14ac:dyDescent="0.25">
      <c r="M6714" s="21"/>
    </row>
    <row r="6715" spans="13:13" x14ac:dyDescent="0.25">
      <c r="M6715" s="21"/>
    </row>
    <row r="6716" spans="13:13" x14ac:dyDescent="0.25">
      <c r="M6716" s="21"/>
    </row>
    <row r="6717" spans="13:13" x14ac:dyDescent="0.25">
      <c r="M6717" s="21"/>
    </row>
    <row r="6718" spans="13:13" x14ac:dyDescent="0.25">
      <c r="M6718" s="21"/>
    </row>
    <row r="6719" spans="13:13" x14ac:dyDescent="0.25">
      <c r="M6719" s="21"/>
    </row>
    <row r="6720" spans="13:13" x14ac:dyDescent="0.25">
      <c r="M6720" s="21"/>
    </row>
    <row r="6721" spans="13:13" x14ac:dyDescent="0.25">
      <c r="M6721" s="21"/>
    </row>
    <row r="6722" spans="13:13" x14ac:dyDescent="0.25">
      <c r="M6722" s="21"/>
    </row>
    <row r="6723" spans="13:13" x14ac:dyDescent="0.25">
      <c r="M6723" s="21"/>
    </row>
    <row r="6724" spans="13:13" x14ac:dyDescent="0.25">
      <c r="M6724" s="21"/>
    </row>
    <row r="6725" spans="13:13" x14ac:dyDescent="0.25">
      <c r="M6725" s="21"/>
    </row>
    <row r="6726" spans="13:13" x14ac:dyDescent="0.25">
      <c r="M6726" s="21"/>
    </row>
    <row r="6727" spans="13:13" x14ac:dyDescent="0.25">
      <c r="M6727" s="21"/>
    </row>
    <row r="6728" spans="13:13" x14ac:dyDescent="0.25">
      <c r="M6728" s="21"/>
    </row>
    <row r="6729" spans="13:13" x14ac:dyDescent="0.25">
      <c r="M6729" s="21"/>
    </row>
    <row r="6730" spans="13:13" x14ac:dyDescent="0.25">
      <c r="M6730" s="21"/>
    </row>
    <row r="6731" spans="13:13" x14ac:dyDescent="0.25">
      <c r="M6731" s="21"/>
    </row>
    <row r="6732" spans="13:13" x14ac:dyDescent="0.25">
      <c r="M6732" s="21"/>
    </row>
    <row r="6733" spans="13:13" x14ac:dyDescent="0.25">
      <c r="M6733" s="21"/>
    </row>
    <row r="6734" spans="13:13" x14ac:dyDescent="0.25">
      <c r="M6734" s="21"/>
    </row>
    <row r="6735" spans="13:13" x14ac:dyDescent="0.25">
      <c r="M6735" s="21"/>
    </row>
    <row r="6736" spans="13:13" x14ac:dyDescent="0.25">
      <c r="M6736" s="21"/>
    </row>
    <row r="6737" spans="13:13" x14ac:dyDescent="0.25">
      <c r="M6737" s="21"/>
    </row>
    <row r="6738" spans="13:13" x14ac:dyDescent="0.25">
      <c r="M6738" s="21"/>
    </row>
    <row r="6739" spans="13:13" x14ac:dyDescent="0.25">
      <c r="M6739" s="21"/>
    </row>
    <row r="6740" spans="13:13" x14ac:dyDescent="0.25">
      <c r="M6740" s="21"/>
    </row>
    <row r="6741" spans="13:13" x14ac:dyDescent="0.25">
      <c r="M6741" s="21"/>
    </row>
    <row r="6742" spans="13:13" x14ac:dyDescent="0.25">
      <c r="M6742" s="21"/>
    </row>
    <row r="6743" spans="13:13" x14ac:dyDescent="0.25">
      <c r="M6743" s="21"/>
    </row>
    <row r="6744" spans="13:13" x14ac:dyDescent="0.25">
      <c r="M6744" s="21"/>
    </row>
    <row r="6745" spans="13:13" x14ac:dyDescent="0.25">
      <c r="M6745" s="21"/>
    </row>
    <row r="6746" spans="13:13" x14ac:dyDescent="0.25">
      <c r="M6746" s="21"/>
    </row>
    <row r="6747" spans="13:13" x14ac:dyDescent="0.25">
      <c r="M6747" s="21"/>
    </row>
    <row r="6748" spans="13:13" x14ac:dyDescent="0.25">
      <c r="M6748" s="21"/>
    </row>
    <row r="6749" spans="13:13" x14ac:dyDescent="0.25">
      <c r="M6749" s="21"/>
    </row>
    <row r="6750" spans="13:13" x14ac:dyDescent="0.25">
      <c r="M6750" s="21"/>
    </row>
    <row r="6751" spans="13:13" x14ac:dyDescent="0.25">
      <c r="M6751" s="21"/>
    </row>
    <row r="6752" spans="13:13" x14ac:dyDescent="0.25">
      <c r="M6752" s="21"/>
    </row>
    <row r="6753" spans="13:13" x14ac:dyDescent="0.25">
      <c r="M6753" s="21"/>
    </row>
    <row r="6754" spans="13:13" x14ac:dyDescent="0.25">
      <c r="M6754" s="21"/>
    </row>
    <row r="6755" spans="13:13" x14ac:dyDescent="0.25">
      <c r="M6755" s="21"/>
    </row>
    <row r="6756" spans="13:13" x14ac:dyDescent="0.25">
      <c r="M6756" s="21"/>
    </row>
    <row r="6757" spans="13:13" x14ac:dyDescent="0.25">
      <c r="M6757" s="21"/>
    </row>
    <row r="6758" spans="13:13" x14ac:dyDescent="0.25">
      <c r="M6758" s="21"/>
    </row>
    <row r="6759" spans="13:13" x14ac:dyDescent="0.25">
      <c r="M6759" s="21"/>
    </row>
    <row r="6760" spans="13:13" x14ac:dyDescent="0.25">
      <c r="M6760" s="21"/>
    </row>
    <row r="6761" spans="13:13" x14ac:dyDescent="0.25">
      <c r="M6761" s="21"/>
    </row>
    <row r="6762" spans="13:13" x14ac:dyDescent="0.25">
      <c r="M6762" s="21"/>
    </row>
    <row r="6763" spans="13:13" x14ac:dyDescent="0.25">
      <c r="M6763" s="21"/>
    </row>
    <row r="6764" spans="13:13" x14ac:dyDescent="0.25">
      <c r="M6764" s="21"/>
    </row>
    <row r="6765" spans="13:13" x14ac:dyDescent="0.25">
      <c r="M6765" s="21"/>
    </row>
    <row r="6766" spans="13:13" x14ac:dyDescent="0.25">
      <c r="M6766" s="21"/>
    </row>
    <row r="6767" spans="13:13" x14ac:dyDescent="0.25">
      <c r="M6767" s="21"/>
    </row>
    <row r="6768" spans="13:13" x14ac:dyDescent="0.25">
      <c r="M6768" s="21"/>
    </row>
    <row r="6769" spans="13:13" x14ac:dyDescent="0.25">
      <c r="M6769" s="21"/>
    </row>
    <row r="6770" spans="13:13" x14ac:dyDescent="0.25">
      <c r="M6770" s="21"/>
    </row>
    <row r="6771" spans="13:13" x14ac:dyDescent="0.25">
      <c r="M6771" s="21"/>
    </row>
    <row r="6772" spans="13:13" x14ac:dyDescent="0.25">
      <c r="M6772" s="21"/>
    </row>
    <row r="6773" spans="13:13" x14ac:dyDescent="0.25">
      <c r="M6773" s="21"/>
    </row>
    <row r="6774" spans="13:13" x14ac:dyDescent="0.25">
      <c r="M6774" s="21"/>
    </row>
    <row r="6775" spans="13:13" x14ac:dyDescent="0.25">
      <c r="M6775" s="21"/>
    </row>
    <row r="6776" spans="13:13" x14ac:dyDescent="0.25">
      <c r="M6776" s="21"/>
    </row>
    <row r="6777" spans="13:13" x14ac:dyDescent="0.25">
      <c r="M6777" s="21"/>
    </row>
    <row r="6778" spans="13:13" x14ac:dyDescent="0.25">
      <c r="M6778" s="21"/>
    </row>
    <row r="6779" spans="13:13" x14ac:dyDescent="0.25">
      <c r="M6779" s="21"/>
    </row>
    <row r="6780" spans="13:13" x14ac:dyDescent="0.25">
      <c r="M6780" s="21"/>
    </row>
    <row r="6781" spans="13:13" x14ac:dyDescent="0.25">
      <c r="M6781" s="21"/>
    </row>
    <row r="6782" spans="13:13" x14ac:dyDescent="0.25">
      <c r="M6782" s="21"/>
    </row>
    <row r="6783" spans="13:13" x14ac:dyDescent="0.25">
      <c r="M6783" s="21"/>
    </row>
    <row r="6784" spans="13:13" x14ac:dyDescent="0.25">
      <c r="M6784" s="21"/>
    </row>
    <row r="6785" spans="13:13" x14ac:dyDescent="0.25">
      <c r="M6785" s="21"/>
    </row>
    <row r="6786" spans="13:13" x14ac:dyDescent="0.25">
      <c r="M6786" s="21"/>
    </row>
    <row r="6787" spans="13:13" x14ac:dyDescent="0.25">
      <c r="M6787" s="21"/>
    </row>
    <row r="6788" spans="13:13" x14ac:dyDescent="0.25">
      <c r="M6788" s="21"/>
    </row>
    <row r="6789" spans="13:13" x14ac:dyDescent="0.25">
      <c r="M6789" s="21"/>
    </row>
    <row r="6790" spans="13:13" x14ac:dyDescent="0.25">
      <c r="M6790" s="21"/>
    </row>
    <row r="6791" spans="13:13" x14ac:dyDescent="0.25">
      <c r="M6791" s="21"/>
    </row>
    <row r="6792" spans="13:13" x14ac:dyDescent="0.25">
      <c r="M6792" s="21"/>
    </row>
    <row r="6793" spans="13:13" x14ac:dyDescent="0.25">
      <c r="M6793" s="21"/>
    </row>
    <row r="6794" spans="13:13" x14ac:dyDescent="0.25">
      <c r="M6794" s="21"/>
    </row>
    <row r="6795" spans="13:13" x14ac:dyDescent="0.25">
      <c r="M6795" s="21"/>
    </row>
    <row r="6796" spans="13:13" x14ac:dyDescent="0.25">
      <c r="M6796" s="21"/>
    </row>
    <row r="6797" spans="13:13" x14ac:dyDescent="0.25">
      <c r="M6797" s="21"/>
    </row>
    <row r="6798" spans="13:13" x14ac:dyDescent="0.25">
      <c r="M6798" s="21"/>
    </row>
    <row r="6799" spans="13:13" x14ac:dyDescent="0.25">
      <c r="M6799" s="21"/>
    </row>
    <row r="6800" spans="13:13" x14ac:dyDescent="0.25">
      <c r="M6800" s="21"/>
    </row>
    <row r="6801" spans="13:13" x14ac:dyDescent="0.25">
      <c r="M6801" s="21"/>
    </row>
    <row r="6802" spans="13:13" x14ac:dyDescent="0.25">
      <c r="M6802" s="21"/>
    </row>
    <row r="6803" spans="13:13" x14ac:dyDescent="0.25">
      <c r="M6803" s="21"/>
    </row>
    <row r="6804" spans="13:13" x14ac:dyDescent="0.25">
      <c r="M6804" s="21"/>
    </row>
    <row r="6805" spans="13:13" x14ac:dyDescent="0.25">
      <c r="M6805" s="21"/>
    </row>
    <row r="6806" spans="13:13" x14ac:dyDescent="0.25">
      <c r="M6806" s="21"/>
    </row>
    <row r="6807" spans="13:13" x14ac:dyDescent="0.25">
      <c r="M6807" s="21"/>
    </row>
    <row r="6808" spans="13:13" x14ac:dyDescent="0.25">
      <c r="M6808" s="21"/>
    </row>
    <row r="6809" spans="13:13" x14ac:dyDescent="0.25">
      <c r="M6809" s="21"/>
    </row>
    <row r="6810" spans="13:13" x14ac:dyDescent="0.25">
      <c r="M6810" s="21"/>
    </row>
    <row r="6811" spans="13:13" x14ac:dyDescent="0.25">
      <c r="M6811" s="21"/>
    </row>
    <row r="6812" spans="13:13" x14ac:dyDescent="0.25">
      <c r="M6812" s="21"/>
    </row>
    <row r="6813" spans="13:13" x14ac:dyDescent="0.25">
      <c r="M6813" s="21"/>
    </row>
    <row r="6814" spans="13:13" x14ac:dyDescent="0.25">
      <c r="M6814" s="21"/>
    </row>
    <row r="6815" spans="13:13" x14ac:dyDescent="0.25">
      <c r="M6815" s="21"/>
    </row>
    <row r="6816" spans="13:13" x14ac:dyDescent="0.25">
      <c r="M6816" s="21"/>
    </row>
    <row r="6817" spans="13:13" x14ac:dyDescent="0.25">
      <c r="M6817" s="21"/>
    </row>
    <row r="6818" spans="13:13" x14ac:dyDescent="0.25">
      <c r="M6818" s="21"/>
    </row>
    <row r="6819" spans="13:13" x14ac:dyDescent="0.25">
      <c r="M6819" s="21"/>
    </row>
    <row r="6820" spans="13:13" x14ac:dyDescent="0.25">
      <c r="M6820" s="21"/>
    </row>
    <row r="6821" spans="13:13" x14ac:dyDescent="0.25">
      <c r="M6821" s="21"/>
    </row>
    <row r="6822" spans="13:13" x14ac:dyDescent="0.25">
      <c r="M6822" s="21"/>
    </row>
    <row r="6823" spans="13:13" x14ac:dyDescent="0.25">
      <c r="M6823" s="21"/>
    </row>
    <row r="6824" spans="13:13" x14ac:dyDescent="0.25">
      <c r="M6824" s="21"/>
    </row>
    <row r="6825" spans="13:13" x14ac:dyDescent="0.25">
      <c r="M6825" s="21"/>
    </row>
    <row r="6826" spans="13:13" x14ac:dyDescent="0.25">
      <c r="M6826" s="21"/>
    </row>
    <row r="6827" spans="13:13" x14ac:dyDescent="0.25">
      <c r="M6827" s="21"/>
    </row>
    <row r="6828" spans="13:13" x14ac:dyDescent="0.25">
      <c r="M6828" s="21"/>
    </row>
    <row r="6829" spans="13:13" x14ac:dyDescent="0.25">
      <c r="M6829" s="21"/>
    </row>
    <row r="6830" spans="13:13" x14ac:dyDescent="0.25">
      <c r="M6830" s="21"/>
    </row>
    <row r="6831" spans="13:13" x14ac:dyDescent="0.25">
      <c r="M6831" s="21"/>
    </row>
    <row r="6832" spans="13:13" x14ac:dyDescent="0.25">
      <c r="M6832" s="21"/>
    </row>
    <row r="6833" spans="13:13" x14ac:dyDescent="0.25">
      <c r="M6833" s="21"/>
    </row>
    <row r="6834" spans="13:13" x14ac:dyDescent="0.25">
      <c r="M6834" s="21"/>
    </row>
    <row r="6835" spans="13:13" x14ac:dyDescent="0.25">
      <c r="M6835" s="21"/>
    </row>
    <row r="6836" spans="13:13" x14ac:dyDescent="0.25">
      <c r="M6836" s="21"/>
    </row>
    <row r="6837" spans="13:13" x14ac:dyDescent="0.25">
      <c r="M6837" s="21"/>
    </row>
    <row r="6838" spans="13:13" x14ac:dyDescent="0.25">
      <c r="M6838" s="21"/>
    </row>
    <row r="6839" spans="13:13" x14ac:dyDescent="0.25">
      <c r="M6839" s="21"/>
    </row>
    <row r="6840" spans="13:13" x14ac:dyDescent="0.25">
      <c r="M6840" s="21"/>
    </row>
    <row r="6841" spans="13:13" x14ac:dyDescent="0.25">
      <c r="M6841" s="21"/>
    </row>
    <row r="6842" spans="13:13" x14ac:dyDescent="0.25">
      <c r="M6842" s="21"/>
    </row>
    <row r="6843" spans="13:13" x14ac:dyDescent="0.25">
      <c r="M6843" s="21"/>
    </row>
    <row r="6844" spans="13:13" x14ac:dyDescent="0.25">
      <c r="M6844" s="21"/>
    </row>
    <row r="6845" spans="13:13" x14ac:dyDescent="0.25">
      <c r="M6845" s="21"/>
    </row>
    <row r="6846" spans="13:13" x14ac:dyDescent="0.25">
      <c r="M6846" s="21"/>
    </row>
    <row r="6847" spans="13:13" x14ac:dyDescent="0.25">
      <c r="M6847" s="21"/>
    </row>
    <row r="6848" spans="13:13" x14ac:dyDescent="0.25">
      <c r="M6848" s="21"/>
    </row>
    <row r="6849" spans="13:13" x14ac:dyDescent="0.25">
      <c r="M6849" s="21"/>
    </row>
    <row r="6850" spans="13:13" x14ac:dyDescent="0.25">
      <c r="M6850" s="21"/>
    </row>
    <row r="6851" spans="13:13" x14ac:dyDescent="0.25">
      <c r="M6851" s="21"/>
    </row>
    <row r="6852" spans="13:13" x14ac:dyDescent="0.25">
      <c r="M6852" s="21"/>
    </row>
    <row r="6853" spans="13:13" x14ac:dyDescent="0.25">
      <c r="M6853" s="21"/>
    </row>
    <row r="6854" spans="13:13" x14ac:dyDescent="0.25">
      <c r="M6854" s="21"/>
    </row>
    <row r="6855" spans="13:13" x14ac:dyDescent="0.25">
      <c r="M6855" s="21"/>
    </row>
    <row r="6856" spans="13:13" x14ac:dyDescent="0.25">
      <c r="M6856" s="21"/>
    </row>
    <row r="6857" spans="13:13" x14ac:dyDescent="0.25">
      <c r="M6857" s="21"/>
    </row>
    <row r="6858" spans="13:13" x14ac:dyDescent="0.25">
      <c r="M6858" s="21"/>
    </row>
    <row r="6859" spans="13:13" x14ac:dyDescent="0.25">
      <c r="M6859" s="21"/>
    </row>
    <row r="6860" spans="13:13" x14ac:dyDescent="0.25">
      <c r="M6860" s="21"/>
    </row>
    <row r="6861" spans="13:13" x14ac:dyDescent="0.25">
      <c r="M6861" s="21"/>
    </row>
    <row r="6862" spans="13:13" x14ac:dyDescent="0.25">
      <c r="M6862" s="21"/>
    </row>
    <row r="6863" spans="13:13" x14ac:dyDescent="0.25">
      <c r="M6863" s="21"/>
    </row>
    <row r="6864" spans="13:13" x14ac:dyDescent="0.25">
      <c r="M6864" s="21"/>
    </row>
    <row r="6865" spans="13:13" x14ac:dyDescent="0.25">
      <c r="M6865" s="21"/>
    </row>
    <row r="6866" spans="13:13" x14ac:dyDescent="0.25">
      <c r="M6866" s="21"/>
    </row>
    <row r="6867" spans="13:13" x14ac:dyDescent="0.25">
      <c r="M6867" s="21"/>
    </row>
    <row r="6868" spans="13:13" x14ac:dyDescent="0.25">
      <c r="M6868" s="21"/>
    </row>
    <row r="6869" spans="13:13" x14ac:dyDescent="0.25">
      <c r="M6869" s="21"/>
    </row>
    <row r="6870" spans="13:13" x14ac:dyDescent="0.25">
      <c r="M6870" s="21"/>
    </row>
    <row r="6871" spans="13:13" x14ac:dyDescent="0.25">
      <c r="M6871" s="21"/>
    </row>
    <row r="6872" spans="13:13" x14ac:dyDescent="0.25">
      <c r="M6872" s="21"/>
    </row>
    <row r="6873" spans="13:13" x14ac:dyDescent="0.25">
      <c r="M6873" s="21"/>
    </row>
    <row r="6874" spans="13:13" x14ac:dyDescent="0.25">
      <c r="M6874" s="21"/>
    </row>
    <row r="6875" spans="13:13" x14ac:dyDescent="0.25">
      <c r="M6875" s="21"/>
    </row>
    <row r="6876" spans="13:13" x14ac:dyDescent="0.25">
      <c r="M6876" s="21"/>
    </row>
    <row r="6877" spans="13:13" x14ac:dyDescent="0.25">
      <c r="M6877" s="21"/>
    </row>
    <row r="6878" spans="13:13" x14ac:dyDescent="0.25">
      <c r="M6878" s="21"/>
    </row>
    <row r="6879" spans="13:13" x14ac:dyDescent="0.25">
      <c r="M6879" s="21"/>
    </row>
    <row r="6880" spans="13:13" x14ac:dyDescent="0.25">
      <c r="M6880" s="21"/>
    </row>
    <row r="6881" spans="13:13" x14ac:dyDescent="0.25">
      <c r="M6881" s="21"/>
    </row>
    <row r="6882" spans="13:13" x14ac:dyDescent="0.25">
      <c r="M6882" s="21"/>
    </row>
    <row r="6883" spans="13:13" x14ac:dyDescent="0.25">
      <c r="M6883" s="21"/>
    </row>
    <row r="6884" spans="13:13" x14ac:dyDescent="0.25">
      <c r="M6884" s="21"/>
    </row>
    <row r="6885" spans="13:13" x14ac:dyDescent="0.25">
      <c r="M6885" s="21"/>
    </row>
    <row r="6886" spans="13:13" x14ac:dyDescent="0.25">
      <c r="M6886" s="21"/>
    </row>
    <row r="6887" spans="13:13" x14ac:dyDescent="0.25">
      <c r="M6887" s="21"/>
    </row>
    <row r="6888" spans="13:13" x14ac:dyDescent="0.25">
      <c r="M6888" s="21"/>
    </row>
    <row r="6889" spans="13:13" x14ac:dyDescent="0.25">
      <c r="M6889" s="21"/>
    </row>
    <row r="6890" spans="13:13" x14ac:dyDescent="0.25">
      <c r="M6890" s="21"/>
    </row>
    <row r="6891" spans="13:13" x14ac:dyDescent="0.25">
      <c r="M6891" s="21"/>
    </row>
    <row r="6892" spans="13:13" x14ac:dyDescent="0.25">
      <c r="M6892" s="21"/>
    </row>
    <row r="6893" spans="13:13" x14ac:dyDescent="0.25">
      <c r="M6893" s="21"/>
    </row>
    <row r="6894" spans="13:13" x14ac:dyDescent="0.25">
      <c r="M6894" s="21"/>
    </row>
    <row r="6895" spans="13:13" x14ac:dyDescent="0.25">
      <c r="M6895" s="21"/>
    </row>
    <row r="6896" spans="13:13" x14ac:dyDescent="0.25">
      <c r="M6896" s="21"/>
    </row>
    <row r="6897" spans="13:13" x14ac:dyDescent="0.25">
      <c r="M6897" s="21"/>
    </row>
    <row r="6898" spans="13:13" x14ac:dyDescent="0.25">
      <c r="M6898" s="21"/>
    </row>
    <row r="6899" spans="13:13" x14ac:dyDescent="0.25">
      <c r="M6899" s="21"/>
    </row>
    <row r="6900" spans="13:13" x14ac:dyDescent="0.25">
      <c r="M6900" s="21"/>
    </row>
    <row r="6901" spans="13:13" x14ac:dyDescent="0.25">
      <c r="M6901" s="21"/>
    </row>
    <row r="6902" spans="13:13" x14ac:dyDescent="0.25">
      <c r="M6902" s="21"/>
    </row>
    <row r="6903" spans="13:13" x14ac:dyDescent="0.25">
      <c r="M6903" s="21"/>
    </row>
    <row r="6904" spans="13:13" x14ac:dyDescent="0.25">
      <c r="M6904" s="21"/>
    </row>
    <row r="6905" spans="13:13" x14ac:dyDescent="0.25">
      <c r="M6905" s="21"/>
    </row>
    <row r="6906" spans="13:13" x14ac:dyDescent="0.25">
      <c r="M6906" s="21"/>
    </row>
    <row r="6907" spans="13:13" x14ac:dyDescent="0.25">
      <c r="M6907" s="21"/>
    </row>
    <row r="6908" spans="13:13" x14ac:dyDescent="0.25">
      <c r="M6908" s="21"/>
    </row>
    <row r="6909" spans="13:13" x14ac:dyDescent="0.25">
      <c r="M6909" s="21"/>
    </row>
    <row r="6910" spans="13:13" x14ac:dyDescent="0.25">
      <c r="M6910" s="21"/>
    </row>
    <row r="6911" spans="13:13" x14ac:dyDescent="0.25">
      <c r="M6911" s="21"/>
    </row>
    <row r="6912" spans="13:13" x14ac:dyDescent="0.25">
      <c r="M6912" s="21"/>
    </row>
    <row r="6913" spans="13:13" x14ac:dyDescent="0.25">
      <c r="M6913" s="21"/>
    </row>
    <row r="6914" spans="13:13" x14ac:dyDescent="0.25">
      <c r="M6914" s="21"/>
    </row>
    <row r="6915" spans="13:13" x14ac:dyDescent="0.25">
      <c r="M6915" s="21"/>
    </row>
    <row r="6916" spans="13:13" x14ac:dyDescent="0.25">
      <c r="M6916" s="21"/>
    </row>
    <row r="6917" spans="13:13" x14ac:dyDescent="0.25">
      <c r="M6917" s="21"/>
    </row>
    <row r="6918" spans="13:13" x14ac:dyDescent="0.25">
      <c r="M6918" s="21"/>
    </row>
    <row r="6919" spans="13:13" x14ac:dyDescent="0.25">
      <c r="M6919" s="21"/>
    </row>
    <row r="6920" spans="13:13" x14ac:dyDescent="0.25">
      <c r="M6920" s="21"/>
    </row>
    <row r="6921" spans="13:13" x14ac:dyDescent="0.25">
      <c r="M6921" s="21"/>
    </row>
    <row r="6922" spans="13:13" x14ac:dyDescent="0.25">
      <c r="M6922" s="21"/>
    </row>
    <row r="6923" spans="13:13" x14ac:dyDescent="0.25">
      <c r="M6923" s="21"/>
    </row>
    <row r="6924" spans="13:13" x14ac:dyDescent="0.25">
      <c r="M6924" s="21"/>
    </row>
    <row r="6925" spans="13:13" x14ac:dyDescent="0.25">
      <c r="M6925" s="21"/>
    </row>
    <row r="6926" spans="13:13" x14ac:dyDescent="0.25">
      <c r="M6926" s="21"/>
    </row>
    <row r="6927" spans="13:13" x14ac:dyDescent="0.25">
      <c r="M6927" s="21"/>
    </row>
    <row r="6928" spans="13:13" x14ac:dyDescent="0.25">
      <c r="M6928" s="21"/>
    </row>
    <row r="6929" spans="13:13" x14ac:dyDescent="0.25">
      <c r="M6929" s="21"/>
    </row>
    <row r="6930" spans="13:13" x14ac:dyDescent="0.25">
      <c r="M6930" s="21"/>
    </row>
    <row r="6931" spans="13:13" x14ac:dyDescent="0.25">
      <c r="M6931" s="21"/>
    </row>
    <row r="6932" spans="13:13" x14ac:dyDescent="0.25">
      <c r="M6932" s="21"/>
    </row>
    <row r="6933" spans="13:13" x14ac:dyDescent="0.25">
      <c r="M6933" s="21"/>
    </row>
    <row r="6934" spans="13:13" x14ac:dyDescent="0.25">
      <c r="M6934" s="21"/>
    </row>
    <row r="6935" spans="13:13" x14ac:dyDescent="0.25">
      <c r="M6935" s="21"/>
    </row>
    <row r="6936" spans="13:13" x14ac:dyDescent="0.25">
      <c r="M6936" s="21"/>
    </row>
    <row r="6937" spans="13:13" x14ac:dyDescent="0.25">
      <c r="M6937" s="21"/>
    </row>
    <row r="6938" spans="13:13" x14ac:dyDescent="0.25">
      <c r="M6938" s="21"/>
    </row>
    <row r="6939" spans="13:13" x14ac:dyDescent="0.25">
      <c r="M6939" s="21"/>
    </row>
    <row r="6940" spans="13:13" x14ac:dyDescent="0.25">
      <c r="M6940" s="21"/>
    </row>
    <row r="6941" spans="13:13" x14ac:dyDescent="0.25">
      <c r="M6941" s="21"/>
    </row>
    <row r="6942" spans="13:13" x14ac:dyDescent="0.25">
      <c r="M6942" s="21"/>
    </row>
    <row r="6943" spans="13:13" x14ac:dyDescent="0.25">
      <c r="M6943" s="21"/>
    </row>
    <row r="6944" spans="13:13" x14ac:dyDescent="0.25">
      <c r="M6944" s="21"/>
    </row>
    <row r="6945" spans="13:13" x14ac:dyDescent="0.25">
      <c r="M6945" s="21"/>
    </row>
    <row r="6946" spans="13:13" x14ac:dyDescent="0.25">
      <c r="M6946" s="21"/>
    </row>
    <row r="6947" spans="13:13" x14ac:dyDescent="0.25">
      <c r="M6947" s="21"/>
    </row>
    <row r="6948" spans="13:13" x14ac:dyDescent="0.25">
      <c r="M6948" s="21"/>
    </row>
    <row r="6949" spans="13:13" x14ac:dyDescent="0.25">
      <c r="M6949" s="21"/>
    </row>
    <row r="6950" spans="13:13" x14ac:dyDescent="0.25">
      <c r="M6950" s="21"/>
    </row>
    <row r="6951" spans="13:13" x14ac:dyDescent="0.25">
      <c r="M6951" s="21"/>
    </row>
    <row r="6952" spans="13:13" x14ac:dyDescent="0.25">
      <c r="M6952" s="21"/>
    </row>
    <row r="6953" spans="13:13" x14ac:dyDescent="0.25">
      <c r="M6953" s="21"/>
    </row>
    <row r="6954" spans="13:13" x14ac:dyDescent="0.25">
      <c r="M6954" s="21"/>
    </row>
    <row r="6955" spans="13:13" x14ac:dyDescent="0.25">
      <c r="M6955" s="21"/>
    </row>
    <row r="6956" spans="13:13" x14ac:dyDescent="0.25">
      <c r="M6956" s="21"/>
    </row>
    <row r="6957" spans="13:13" x14ac:dyDescent="0.25">
      <c r="M6957" s="21"/>
    </row>
    <row r="6958" spans="13:13" x14ac:dyDescent="0.25">
      <c r="M6958" s="21"/>
    </row>
    <row r="6959" spans="13:13" x14ac:dyDescent="0.25">
      <c r="M6959" s="21"/>
    </row>
    <row r="6960" spans="13:13" x14ac:dyDescent="0.25">
      <c r="M6960" s="21"/>
    </row>
    <row r="6961" spans="13:13" x14ac:dyDescent="0.25">
      <c r="M6961" s="21"/>
    </row>
    <row r="6962" spans="13:13" x14ac:dyDescent="0.25">
      <c r="M6962" s="21"/>
    </row>
    <row r="6963" spans="13:13" x14ac:dyDescent="0.25">
      <c r="M6963" s="21"/>
    </row>
    <row r="6964" spans="13:13" x14ac:dyDescent="0.25">
      <c r="M6964" s="21"/>
    </row>
    <row r="6965" spans="13:13" x14ac:dyDescent="0.25">
      <c r="M6965" s="21"/>
    </row>
    <row r="6966" spans="13:13" x14ac:dyDescent="0.25">
      <c r="M6966" s="21"/>
    </row>
    <row r="6967" spans="13:13" x14ac:dyDescent="0.25">
      <c r="M6967" s="21"/>
    </row>
    <row r="6968" spans="13:13" x14ac:dyDescent="0.25">
      <c r="M6968" s="21"/>
    </row>
    <row r="6969" spans="13:13" x14ac:dyDescent="0.25">
      <c r="M6969" s="21"/>
    </row>
    <row r="6970" spans="13:13" x14ac:dyDescent="0.25">
      <c r="M6970" s="21"/>
    </row>
    <row r="6971" spans="13:13" x14ac:dyDescent="0.25">
      <c r="M6971" s="21"/>
    </row>
    <row r="6972" spans="13:13" x14ac:dyDescent="0.25">
      <c r="M6972" s="21"/>
    </row>
    <row r="6973" spans="13:13" x14ac:dyDescent="0.25">
      <c r="M6973" s="21"/>
    </row>
    <row r="6974" spans="13:13" x14ac:dyDescent="0.25">
      <c r="M6974" s="21"/>
    </row>
    <row r="6975" spans="13:13" x14ac:dyDescent="0.25">
      <c r="M6975" s="21"/>
    </row>
    <row r="6976" spans="13:13" x14ac:dyDescent="0.25">
      <c r="M6976" s="21"/>
    </row>
    <row r="6977" spans="13:13" x14ac:dyDescent="0.25">
      <c r="M6977" s="21"/>
    </row>
    <row r="6978" spans="13:13" x14ac:dyDescent="0.25">
      <c r="M6978" s="21"/>
    </row>
    <row r="6979" spans="13:13" x14ac:dyDescent="0.25">
      <c r="M6979" s="21"/>
    </row>
    <row r="6980" spans="13:13" x14ac:dyDescent="0.25">
      <c r="M6980" s="21"/>
    </row>
    <row r="6981" spans="13:13" x14ac:dyDescent="0.25">
      <c r="M6981" s="21"/>
    </row>
    <row r="6982" spans="13:13" x14ac:dyDescent="0.25">
      <c r="M6982" s="21"/>
    </row>
    <row r="6983" spans="13:13" x14ac:dyDescent="0.25">
      <c r="M6983" s="21"/>
    </row>
    <row r="6984" spans="13:13" x14ac:dyDescent="0.25">
      <c r="M6984" s="21"/>
    </row>
    <row r="6985" spans="13:13" x14ac:dyDescent="0.25">
      <c r="M6985" s="21"/>
    </row>
    <row r="6986" spans="13:13" x14ac:dyDescent="0.25">
      <c r="M6986" s="21"/>
    </row>
    <row r="6987" spans="13:13" x14ac:dyDescent="0.25">
      <c r="M6987" s="21"/>
    </row>
    <row r="6988" spans="13:13" x14ac:dyDescent="0.25">
      <c r="M6988" s="21"/>
    </row>
    <row r="6989" spans="13:13" x14ac:dyDescent="0.25">
      <c r="M6989" s="21"/>
    </row>
    <row r="6990" spans="13:13" x14ac:dyDescent="0.25">
      <c r="M6990" s="21"/>
    </row>
    <row r="6991" spans="13:13" x14ac:dyDescent="0.25">
      <c r="M6991" s="21"/>
    </row>
    <row r="6992" spans="13:13" x14ac:dyDescent="0.25">
      <c r="M6992" s="21"/>
    </row>
    <row r="6993" spans="13:13" x14ac:dyDescent="0.25">
      <c r="M6993" s="21"/>
    </row>
    <row r="6994" spans="13:13" x14ac:dyDescent="0.25">
      <c r="M6994" s="21"/>
    </row>
    <row r="6995" spans="13:13" x14ac:dyDescent="0.25">
      <c r="M6995" s="21"/>
    </row>
    <row r="6996" spans="13:13" x14ac:dyDescent="0.25">
      <c r="M6996" s="21"/>
    </row>
    <row r="6997" spans="13:13" x14ac:dyDescent="0.25">
      <c r="M6997" s="21"/>
    </row>
    <row r="6998" spans="13:13" x14ac:dyDescent="0.25">
      <c r="M6998" s="21"/>
    </row>
    <row r="6999" spans="13:13" x14ac:dyDescent="0.25">
      <c r="M6999" s="21"/>
    </row>
    <row r="7000" spans="13:13" x14ac:dyDescent="0.25">
      <c r="M7000" s="21"/>
    </row>
    <row r="7001" spans="13:13" x14ac:dyDescent="0.25">
      <c r="M7001" s="21"/>
    </row>
    <row r="7002" spans="13:13" x14ac:dyDescent="0.25">
      <c r="M7002" s="21"/>
    </row>
    <row r="7003" spans="13:13" x14ac:dyDescent="0.25">
      <c r="M7003" s="21"/>
    </row>
    <row r="7004" spans="13:13" x14ac:dyDescent="0.25">
      <c r="M7004" s="21"/>
    </row>
    <row r="7005" spans="13:13" x14ac:dyDescent="0.25">
      <c r="M7005" s="21"/>
    </row>
    <row r="7006" spans="13:13" x14ac:dyDescent="0.25">
      <c r="M7006" s="21"/>
    </row>
    <row r="7007" spans="13:13" x14ac:dyDescent="0.25">
      <c r="M7007" s="21"/>
    </row>
    <row r="7008" spans="13:13" x14ac:dyDescent="0.25">
      <c r="M7008" s="21"/>
    </row>
    <row r="7009" spans="13:13" x14ac:dyDescent="0.25">
      <c r="M7009" s="21"/>
    </row>
    <row r="7010" spans="13:13" x14ac:dyDescent="0.25">
      <c r="M7010" s="21"/>
    </row>
    <row r="7011" spans="13:13" x14ac:dyDescent="0.25">
      <c r="M7011" s="21"/>
    </row>
    <row r="7012" spans="13:13" x14ac:dyDescent="0.25">
      <c r="M7012" s="21"/>
    </row>
    <row r="7013" spans="13:13" x14ac:dyDescent="0.25">
      <c r="M7013" s="21"/>
    </row>
    <row r="7014" spans="13:13" x14ac:dyDescent="0.25">
      <c r="M7014" s="21"/>
    </row>
    <row r="7015" spans="13:13" x14ac:dyDescent="0.25">
      <c r="M7015" s="21"/>
    </row>
    <row r="7016" spans="13:13" x14ac:dyDescent="0.25">
      <c r="M7016" s="21"/>
    </row>
    <row r="7017" spans="13:13" x14ac:dyDescent="0.25">
      <c r="M7017" s="21"/>
    </row>
    <row r="7018" spans="13:13" x14ac:dyDescent="0.25">
      <c r="M7018" s="21"/>
    </row>
    <row r="7019" spans="13:13" x14ac:dyDescent="0.25">
      <c r="M7019" s="21"/>
    </row>
    <row r="7020" spans="13:13" x14ac:dyDescent="0.25">
      <c r="M7020" s="21"/>
    </row>
    <row r="7021" spans="13:13" x14ac:dyDescent="0.25">
      <c r="M7021" s="21"/>
    </row>
    <row r="7022" spans="13:13" x14ac:dyDescent="0.25">
      <c r="M7022" s="21"/>
    </row>
    <row r="7023" spans="13:13" x14ac:dyDescent="0.25">
      <c r="M7023" s="21"/>
    </row>
    <row r="7024" spans="13:13" x14ac:dyDescent="0.25">
      <c r="M7024" s="21"/>
    </row>
    <row r="7025" spans="13:13" x14ac:dyDescent="0.25">
      <c r="M7025" s="21"/>
    </row>
    <row r="7026" spans="13:13" x14ac:dyDescent="0.25">
      <c r="M7026" s="21"/>
    </row>
    <row r="7027" spans="13:13" x14ac:dyDescent="0.25">
      <c r="M7027" s="21"/>
    </row>
    <row r="7028" spans="13:13" x14ac:dyDescent="0.25">
      <c r="M7028" s="21"/>
    </row>
    <row r="7029" spans="13:13" x14ac:dyDescent="0.25">
      <c r="M7029" s="21"/>
    </row>
    <row r="7030" spans="13:13" x14ac:dyDescent="0.25">
      <c r="M7030" s="21"/>
    </row>
    <row r="7031" spans="13:13" x14ac:dyDescent="0.25">
      <c r="M7031" s="21"/>
    </row>
    <row r="7032" spans="13:13" x14ac:dyDescent="0.25">
      <c r="M7032" s="21"/>
    </row>
    <row r="7033" spans="13:13" x14ac:dyDescent="0.25">
      <c r="M7033" s="21"/>
    </row>
    <row r="7034" spans="13:13" x14ac:dyDescent="0.25">
      <c r="M7034" s="21"/>
    </row>
    <row r="7035" spans="13:13" x14ac:dyDescent="0.25">
      <c r="M7035" s="21"/>
    </row>
    <row r="7036" spans="13:13" x14ac:dyDescent="0.25">
      <c r="M7036" s="21"/>
    </row>
    <row r="7037" spans="13:13" x14ac:dyDescent="0.25">
      <c r="M7037" s="21"/>
    </row>
    <row r="7038" spans="13:13" x14ac:dyDescent="0.25">
      <c r="M7038" s="21"/>
    </row>
    <row r="7039" spans="13:13" x14ac:dyDescent="0.25">
      <c r="M7039" s="21"/>
    </row>
    <row r="7040" spans="13:13" x14ac:dyDescent="0.25">
      <c r="M7040" s="21"/>
    </row>
    <row r="7041" spans="13:13" x14ac:dyDescent="0.25">
      <c r="M7041" s="21"/>
    </row>
    <row r="7042" spans="13:13" x14ac:dyDescent="0.25">
      <c r="M7042" s="21"/>
    </row>
    <row r="7043" spans="13:13" x14ac:dyDescent="0.25">
      <c r="M7043" s="21"/>
    </row>
    <row r="7044" spans="13:13" x14ac:dyDescent="0.25">
      <c r="M7044" s="21"/>
    </row>
    <row r="7045" spans="13:13" x14ac:dyDescent="0.25">
      <c r="M7045" s="21"/>
    </row>
    <row r="7046" spans="13:13" x14ac:dyDescent="0.25">
      <c r="M7046" s="21"/>
    </row>
    <row r="7047" spans="13:13" x14ac:dyDescent="0.25">
      <c r="M7047" s="21"/>
    </row>
    <row r="7048" spans="13:13" x14ac:dyDescent="0.25">
      <c r="M7048" s="21"/>
    </row>
    <row r="7049" spans="13:13" x14ac:dyDescent="0.25">
      <c r="M7049" s="21"/>
    </row>
    <row r="7050" spans="13:13" x14ac:dyDescent="0.25">
      <c r="M7050" s="21"/>
    </row>
    <row r="7051" spans="13:13" x14ac:dyDescent="0.25">
      <c r="M7051" s="21"/>
    </row>
    <row r="7052" spans="13:13" x14ac:dyDescent="0.25">
      <c r="M7052" s="21"/>
    </row>
    <row r="7053" spans="13:13" x14ac:dyDescent="0.25">
      <c r="M7053" s="21"/>
    </row>
    <row r="7054" spans="13:13" x14ac:dyDescent="0.25">
      <c r="M7054" s="21"/>
    </row>
    <row r="7055" spans="13:13" x14ac:dyDescent="0.25">
      <c r="M7055" s="21"/>
    </row>
    <row r="7056" spans="13:13" x14ac:dyDescent="0.25">
      <c r="M7056" s="21"/>
    </row>
    <row r="7057" spans="13:13" x14ac:dyDescent="0.25">
      <c r="M7057" s="21"/>
    </row>
    <row r="7058" spans="13:13" x14ac:dyDescent="0.25">
      <c r="M7058" s="21"/>
    </row>
    <row r="7059" spans="13:13" x14ac:dyDescent="0.25">
      <c r="M7059" s="21"/>
    </row>
    <row r="7060" spans="13:13" x14ac:dyDescent="0.25">
      <c r="M7060" s="21"/>
    </row>
    <row r="7061" spans="13:13" x14ac:dyDescent="0.25">
      <c r="M7061" s="21"/>
    </row>
    <row r="7062" spans="13:13" x14ac:dyDescent="0.25">
      <c r="M7062" s="21"/>
    </row>
    <row r="7063" spans="13:13" x14ac:dyDescent="0.25">
      <c r="M7063" s="21"/>
    </row>
    <row r="7064" spans="13:13" x14ac:dyDescent="0.25">
      <c r="M7064" s="21"/>
    </row>
    <row r="7065" spans="13:13" x14ac:dyDescent="0.25">
      <c r="M7065" s="21"/>
    </row>
    <row r="7066" spans="13:13" x14ac:dyDescent="0.25">
      <c r="M7066" s="21"/>
    </row>
    <row r="7067" spans="13:13" x14ac:dyDescent="0.25">
      <c r="M7067" s="21"/>
    </row>
    <row r="7068" spans="13:13" x14ac:dyDescent="0.25">
      <c r="M7068" s="21"/>
    </row>
    <row r="7069" spans="13:13" x14ac:dyDescent="0.25">
      <c r="M7069" s="21"/>
    </row>
    <row r="7070" spans="13:13" x14ac:dyDescent="0.25">
      <c r="M7070" s="21"/>
    </row>
    <row r="7071" spans="13:13" x14ac:dyDescent="0.25">
      <c r="M7071" s="21"/>
    </row>
    <row r="7072" spans="13:13" x14ac:dyDescent="0.25">
      <c r="M7072" s="21"/>
    </row>
    <row r="7073" spans="13:13" x14ac:dyDescent="0.25">
      <c r="M7073" s="21"/>
    </row>
    <row r="7074" spans="13:13" x14ac:dyDescent="0.25">
      <c r="M7074" s="21"/>
    </row>
    <row r="7075" spans="13:13" x14ac:dyDescent="0.25">
      <c r="M7075" s="21"/>
    </row>
    <row r="7076" spans="13:13" x14ac:dyDescent="0.25">
      <c r="M7076" s="21"/>
    </row>
    <row r="7077" spans="13:13" x14ac:dyDescent="0.25">
      <c r="M7077" s="21"/>
    </row>
    <row r="7078" spans="13:13" x14ac:dyDescent="0.25">
      <c r="M7078" s="21"/>
    </row>
    <row r="7079" spans="13:13" x14ac:dyDescent="0.25">
      <c r="M7079" s="21"/>
    </row>
    <row r="7080" spans="13:13" x14ac:dyDescent="0.25">
      <c r="M7080" s="21"/>
    </row>
    <row r="7081" spans="13:13" x14ac:dyDescent="0.25">
      <c r="M7081" s="21"/>
    </row>
    <row r="7082" spans="13:13" x14ac:dyDescent="0.25">
      <c r="M7082" s="21"/>
    </row>
    <row r="7083" spans="13:13" x14ac:dyDescent="0.25">
      <c r="M7083" s="21"/>
    </row>
    <row r="7084" spans="13:13" x14ac:dyDescent="0.25">
      <c r="M7084" s="21"/>
    </row>
    <row r="7085" spans="13:13" x14ac:dyDescent="0.25">
      <c r="M7085" s="21"/>
    </row>
    <row r="7086" spans="13:13" x14ac:dyDescent="0.25">
      <c r="M7086" s="21"/>
    </row>
    <row r="7087" spans="13:13" x14ac:dyDescent="0.25">
      <c r="M7087" s="21"/>
    </row>
    <row r="7088" spans="13:13" x14ac:dyDescent="0.25">
      <c r="M7088" s="21"/>
    </row>
    <row r="7089" spans="13:13" x14ac:dyDescent="0.25">
      <c r="M7089" s="21"/>
    </row>
    <row r="7090" spans="13:13" x14ac:dyDescent="0.25">
      <c r="M7090" s="21"/>
    </row>
    <row r="7091" spans="13:13" x14ac:dyDescent="0.25">
      <c r="M7091" s="21"/>
    </row>
    <row r="7092" spans="13:13" x14ac:dyDescent="0.25">
      <c r="M7092" s="21"/>
    </row>
    <row r="7093" spans="13:13" x14ac:dyDescent="0.25">
      <c r="M7093" s="21"/>
    </row>
    <row r="7094" spans="13:13" x14ac:dyDescent="0.25">
      <c r="M7094" s="21"/>
    </row>
    <row r="7095" spans="13:13" x14ac:dyDescent="0.25">
      <c r="M7095" s="21"/>
    </row>
    <row r="7096" spans="13:13" x14ac:dyDescent="0.25">
      <c r="M7096" s="21"/>
    </row>
    <row r="7097" spans="13:13" x14ac:dyDescent="0.25">
      <c r="M7097" s="21"/>
    </row>
    <row r="7098" spans="13:13" x14ac:dyDescent="0.25">
      <c r="M7098" s="21"/>
    </row>
    <row r="7099" spans="13:13" x14ac:dyDescent="0.25">
      <c r="M7099" s="21"/>
    </row>
    <row r="7100" spans="13:13" x14ac:dyDescent="0.25">
      <c r="M7100" s="21"/>
    </row>
    <row r="7101" spans="13:13" x14ac:dyDescent="0.25">
      <c r="M7101" s="21"/>
    </row>
    <row r="7102" spans="13:13" x14ac:dyDescent="0.25">
      <c r="M7102" s="21"/>
    </row>
    <row r="7103" spans="13:13" x14ac:dyDescent="0.25">
      <c r="M7103" s="21"/>
    </row>
    <row r="7104" spans="13:13" x14ac:dyDescent="0.25">
      <c r="M7104" s="21"/>
    </row>
    <row r="7105" spans="13:13" x14ac:dyDescent="0.25">
      <c r="M7105" s="21"/>
    </row>
    <row r="7106" spans="13:13" x14ac:dyDescent="0.25">
      <c r="M7106" s="21"/>
    </row>
    <row r="7107" spans="13:13" x14ac:dyDescent="0.25">
      <c r="M7107" s="21"/>
    </row>
    <row r="7108" spans="13:13" x14ac:dyDescent="0.25">
      <c r="M7108" s="21"/>
    </row>
    <row r="7109" spans="13:13" x14ac:dyDescent="0.25">
      <c r="M7109" s="21"/>
    </row>
    <row r="7110" spans="13:13" x14ac:dyDescent="0.25">
      <c r="M7110" s="21"/>
    </row>
    <row r="7111" spans="13:13" x14ac:dyDescent="0.25">
      <c r="M7111" s="21"/>
    </row>
    <row r="7112" spans="13:13" x14ac:dyDescent="0.25">
      <c r="M7112" s="21"/>
    </row>
    <row r="7113" spans="13:13" x14ac:dyDescent="0.25">
      <c r="M7113" s="21"/>
    </row>
    <row r="7114" spans="13:13" x14ac:dyDescent="0.25">
      <c r="M7114" s="21"/>
    </row>
    <row r="7115" spans="13:13" x14ac:dyDescent="0.25">
      <c r="M7115" s="21"/>
    </row>
    <row r="7116" spans="13:13" x14ac:dyDescent="0.25">
      <c r="M7116" s="21"/>
    </row>
    <row r="7117" spans="13:13" x14ac:dyDescent="0.25">
      <c r="M7117" s="21"/>
    </row>
    <row r="7118" spans="13:13" x14ac:dyDescent="0.25">
      <c r="M7118" s="21"/>
    </row>
    <row r="7119" spans="13:13" x14ac:dyDescent="0.25">
      <c r="M7119" s="21"/>
    </row>
    <row r="7120" spans="13:13" x14ac:dyDescent="0.25">
      <c r="M7120" s="21"/>
    </row>
    <row r="7121" spans="13:13" x14ac:dyDescent="0.25">
      <c r="M7121" s="21"/>
    </row>
    <row r="7122" spans="13:13" x14ac:dyDescent="0.25">
      <c r="M7122" s="21"/>
    </row>
    <row r="7123" spans="13:13" x14ac:dyDescent="0.25">
      <c r="M7123" s="21"/>
    </row>
    <row r="7124" spans="13:13" x14ac:dyDescent="0.25">
      <c r="M7124" s="21"/>
    </row>
    <row r="7125" spans="13:13" x14ac:dyDescent="0.25">
      <c r="M7125" s="21"/>
    </row>
    <row r="7126" spans="13:13" x14ac:dyDescent="0.25">
      <c r="M7126" s="21"/>
    </row>
    <row r="7127" spans="13:13" x14ac:dyDescent="0.25">
      <c r="M7127" s="21"/>
    </row>
    <row r="7128" spans="13:13" x14ac:dyDescent="0.25">
      <c r="M7128" s="21"/>
    </row>
    <row r="7129" spans="13:13" x14ac:dyDescent="0.25">
      <c r="M7129" s="21"/>
    </row>
    <row r="7130" spans="13:13" x14ac:dyDescent="0.25">
      <c r="M7130" s="21"/>
    </row>
    <row r="7131" spans="13:13" x14ac:dyDescent="0.25">
      <c r="M7131" s="21"/>
    </row>
    <row r="7132" spans="13:13" x14ac:dyDescent="0.25">
      <c r="M7132" s="21"/>
    </row>
    <row r="7133" spans="13:13" x14ac:dyDescent="0.25">
      <c r="M7133" s="21"/>
    </row>
    <row r="7134" spans="13:13" x14ac:dyDescent="0.25">
      <c r="M7134" s="21"/>
    </row>
    <row r="7135" spans="13:13" x14ac:dyDescent="0.25">
      <c r="M7135" s="21"/>
    </row>
    <row r="7136" spans="13:13" x14ac:dyDescent="0.25">
      <c r="M7136" s="21"/>
    </row>
    <row r="7137" spans="13:13" x14ac:dyDescent="0.25">
      <c r="M7137" s="21"/>
    </row>
    <row r="7138" spans="13:13" x14ac:dyDescent="0.25">
      <c r="M7138" s="21"/>
    </row>
    <row r="7139" spans="13:13" x14ac:dyDescent="0.25">
      <c r="M7139" s="21"/>
    </row>
    <row r="7140" spans="13:13" x14ac:dyDescent="0.25">
      <c r="M7140" s="21"/>
    </row>
    <row r="7141" spans="13:13" x14ac:dyDescent="0.25">
      <c r="M7141" s="21"/>
    </row>
    <row r="7142" spans="13:13" x14ac:dyDescent="0.25">
      <c r="M7142" s="21"/>
    </row>
    <row r="7143" spans="13:13" x14ac:dyDescent="0.25">
      <c r="M7143" s="21"/>
    </row>
    <row r="7144" spans="13:13" x14ac:dyDescent="0.25">
      <c r="M7144" s="21"/>
    </row>
    <row r="7145" spans="13:13" x14ac:dyDescent="0.25">
      <c r="M7145" s="21"/>
    </row>
    <row r="7146" spans="13:13" x14ac:dyDescent="0.25">
      <c r="M7146" s="21"/>
    </row>
    <row r="7147" spans="13:13" x14ac:dyDescent="0.25">
      <c r="M7147" s="21"/>
    </row>
    <row r="7148" spans="13:13" x14ac:dyDescent="0.25">
      <c r="M7148" s="21"/>
    </row>
    <row r="7149" spans="13:13" x14ac:dyDescent="0.25">
      <c r="M7149" s="21"/>
    </row>
    <row r="7150" spans="13:13" x14ac:dyDescent="0.25">
      <c r="M7150" s="21"/>
    </row>
    <row r="7151" spans="13:13" x14ac:dyDescent="0.25">
      <c r="M7151" s="21"/>
    </row>
    <row r="7152" spans="13:13" x14ac:dyDescent="0.25">
      <c r="M7152" s="21"/>
    </row>
    <row r="7153" spans="13:13" x14ac:dyDescent="0.25">
      <c r="M7153" s="21"/>
    </row>
    <row r="7154" spans="13:13" x14ac:dyDescent="0.25">
      <c r="M7154" s="21"/>
    </row>
    <row r="7155" spans="13:13" x14ac:dyDescent="0.25">
      <c r="M7155" s="21"/>
    </row>
    <row r="7156" spans="13:13" x14ac:dyDescent="0.25">
      <c r="M7156" s="21"/>
    </row>
    <row r="7157" spans="13:13" x14ac:dyDescent="0.25">
      <c r="M7157" s="21"/>
    </row>
    <row r="7158" spans="13:13" x14ac:dyDescent="0.25">
      <c r="M7158" s="21"/>
    </row>
    <row r="7159" spans="13:13" x14ac:dyDescent="0.25">
      <c r="M7159" s="21"/>
    </row>
    <row r="7160" spans="13:13" x14ac:dyDescent="0.25">
      <c r="M7160" s="21"/>
    </row>
    <row r="7161" spans="13:13" x14ac:dyDescent="0.25">
      <c r="M7161" s="21"/>
    </row>
    <row r="7162" spans="13:13" x14ac:dyDescent="0.25">
      <c r="M7162" s="21"/>
    </row>
    <row r="7163" spans="13:13" x14ac:dyDescent="0.25">
      <c r="M7163" s="21"/>
    </row>
    <row r="7164" spans="13:13" x14ac:dyDescent="0.25">
      <c r="M7164" s="21"/>
    </row>
    <row r="7165" spans="13:13" x14ac:dyDescent="0.25">
      <c r="M7165" s="21"/>
    </row>
    <row r="7166" spans="13:13" x14ac:dyDescent="0.25">
      <c r="M7166" s="21"/>
    </row>
    <row r="7167" spans="13:13" x14ac:dyDescent="0.25">
      <c r="M7167" s="21"/>
    </row>
    <row r="7168" spans="13:13" x14ac:dyDescent="0.25">
      <c r="M7168" s="21"/>
    </row>
    <row r="7169" spans="13:13" x14ac:dyDescent="0.25">
      <c r="M7169" s="21"/>
    </row>
    <row r="7170" spans="13:13" x14ac:dyDescent="0.25">
      <c r="M7170" s="21"/>
    </row>
    <row r="7171" spans="13:13" x14ac:dyDescent="0.25">
      <c r="M7171" s="21"/>
    </row>
    <row r="7172" spans="13:13" x14ac:dyDescent="0.25">
      <c r="M7172" s="21"/>
    </row>
    <row r="7173" spans="13:13" x14ac:dyDescent="0.25">
      <c r="M7173" s="21"/>
    </row>
    <row r="7174" spans="13:13" x14ac:dyDescent="0.25">
      <c r="M7174" s="21"/>
    </row>
    <row r="7175" spans="13:13" x14ac:dyDescent="0.25">
      <c r="M7175" s="21"/>
    </row>
    <row r="7176" spans="13:13" x14ac:dyDescent="0.25">
      <c r="M7176" s="21"/>
    </row>
    <row r="7177" spans="13:13" x14ac:dyDescent="0.25">
      <c r="M7177" s="21"/>
    </row>
    <row r="7178" spans="13:13" x14ac:dyDescent="0.25">
      <c r="M7178" s="21"/>
    </row>
    <row r="7179" spans="13:13" x14ac:dyDescent="0.25">
      <c r="M7179" s="21"/>
    </row>
    <row r="7180" spans="13:13" x14ac:dyDescent="0.25">
      <c r="M7180" s="21"/>
    </row>
    <row r="7181" spans="13:13" x14ac:dyDescent="0.25">
      <c r="M7181" s="21"/>
    </row>
    <row r="7182" spans="13:13" x14ac:dyDescent="0.25">
      <c r="M7182" s="21"/>
    </row>
    <row r="7183" spans="13:13" x14ac:dyDescent="0.25">
      <c r="M7183" s="21"/>
    </row>
    <row r="7184" spans="13:13" x14ac:dyDescent="0.25">
      <c r="M7184" s="21"/>
    </row>
    <row r="7185" spans="13:13" x14ac:dyDescent="0.25">
      <c r="M7185" s="21"/>
    </row>
    <row r="7186" spans="13:13" x14ac:dyDescent="0.25">
      <c r="M7186" s="21"/>
    </row>
    <row r="7187" spans="13:13" x14ac:dyDescent="0.25">
      <c r="M7187" s="21"/>
    </row>
    <row r="7188" spans="13:13" x14ac:dyDescent="0.25">
      <c r="M7188" s="21"/>
    </row>
    <row r="7189" spans="13:13" x14ac:dyDescent="0.25">
      <c r="M7189" s="21"/>
    </row>
    <row r="7190" spans="13:13" x14ac:dyDescent="0.25">
      <c r="M7190" s="21"/>
    </row>
    <row r="7191" spans="13:13" x14ac:dyDescent="0.25">
      <c r="M7191" s="21"/>
    </row>
    <row r="7192" spans="13:13" x14ac:dyDescent="0.25">
      <c r="M7192" s="21"/>
    </row>
    <row r="7193" spans="13:13" x14ac:dyDescent="0.25">
      <c r="M7193" s="21"/>
    </row>
    <row r="7194" spans="13:13" x14ac:dyDescent="0.25">
      <c r="M7194" s="21"/>
    </row>
    <row r="7195" spans="13:13" x14ac:dyDescent="0.25">
      <c r="M7195" s="21"/>
    </row>
    <row r="7196" spans="13:13" x14ac:dyDescent="0.25">
      <c r="M7196" s="21"/>
    </row>
    <row r="7197" spans="13:13" x14ac:dyDescent="0.25">
      <c r="M7197" s="21"/>
    </row>
    <row r="7198" spans="13:13" x14ac:dyDescent="0.25">
      <c r="M7198" s="21"/>
    </row>
    <row r="7199" spans="13:13" x14ac:dyDescent="0.25">
      <c r="M7199" s="21"/>
    </row>
    <row r="7200" spans="13:13" x14ac:dyDescent="0.25">
      <c r="M7200" s="21"/>
    </row>
    <row r="7201" spans="13:13" x14ac:dyDescent="0.25">
      <c r="M7201" s="21"/>
    </row>
    <row r="7202" spans="13:13" x14ac:dyDescent="0.25">
      <c r="M7202" s="21"/>
    </row>
    <row r="7203" spans="13:13" x14ac:dyDescent="0.25">
      <c r="M7203" s="21"/>
    </row>
    <row r="7204" spans="13:13" x14ac:dyDescent="0.25">
      <c r="M7204" s="21"/>
    </row>
    <row r="7205" spans="13:13" x14ac:dyDescent="0.25">
      <c r="M7205" s="21"/>
    </row>
    <row r="7206" spans="13:13" x14ac:dyDescent="0.25">
      <c r="M7206" s="21"/>
    </row>
    <row r="7207" spans="13:13" x14ac:dyDescent="0.25">
      <c r="M7207" s="21"/>
    </row>
    <row r="7208" spans="13:13" x14ac:dyDescent="0.25">
      <c r="M7208" s="21"/>
    </row>
    <row r="7209" spans="13:13" x14ac:dyDescent="0.25">
      <c r="M7209" s="21"/>
    </row>
    <row r="7210" spans="13:13" x14ac:dyDescent="0.25">
      <c r="M7210" s="21"/>
    </row>
    <row r="7211" spans="13:13" x14ac:dyDescent="0.25">
      <c r="M7211" s="21"/>
    </row>
    <row r="7212" spans="13:13" x14ac:dyDescent="0.25">
      <c r="M7212" s="21"/>
    </row>
    <row r="7213" spans="13:13" x14ac:dyDescent="0.25">
      <c r="M7213" s="21"/>
    </row>
    <row r="7214" spans="13:13" x14ac:dyDescent="0.25">
      <c r="M7214" s="21"/>
    </row>
    <row r="7215" spans="13:13" x14ac:dyDescent="0.25">
      <c r="M7215" s="21"/>
    </row>
    <row r="7216" spans="13:13" x14ac:dyDescent="0.25">
      <c r="M7216" s="21"/>
    </row>
    <row r="7217" spans="13:13" x14ac:dyDescent="0.25">
      <c r="M7217" s="21"/>
    </row>
    <row r="7218" spans="13:13" x14ac:dyDescent="0.25">
      <c r="M7218" s="21"/>
    </row>
    <row r="7219" spans="13:13" x14ac:dyDescent="0.25">
      <c r="M7219" s="21"/>
    </row>
    <row r="7220" spans="13:13" x14ac:dyDescent="0.25">
      <c r="M7220" s="21"/>
    </row>
    <row r="7221" spans="13:13" x14ac:dyDescent="0.25">
      <c r="M7221" s="21"/>
    </row>
    <row r="7222" spans="13:13" x14ac:dyDescent="0.25">
      <c r="M7222" s="21"/>
    </row>
    <row r="7223" spans="13:13" x14ac:dyDescent="0.25">
      <c r="M7223" s="21"/>
    </row>
    <row r="7224" spans="13:13" x14ac:dyDescent="0.25">
      <c r="M7224" s="21"/>
    </row>
    <row r="7225" spans="13:13" x14ac:dyDescent="0.25">
      <c r="M7225" s="21"/>
    </row>
    <row r="7226" spans="13:13" x14ac:dyDescent="0.25">
      <c r="M7226" s="21"/>
    </row>
    <row r="7227" spans="13:13" x14ac:dyDescent="0.25">
      <c r="M7227" s="21"/>
    </row>
    <row r="7228" spans="13:13" x14ac:dyDescent="0.25">
      <c r="M7228" s="21"/>
    </row>
    <row r="7229" spans="13:13" x14ac:dyDescent="0.25">
      <c r="M7229" s="21"/>
    </row>
    <row r="7230" spans="13:13" x14ac:dyDescent="0.25">
      <c r="M7230" s="21"/>
    </row>
    <row r="7231" spans="13:13" x14ac:dyDescent="0.25">
      <c r="M7231" s="21"/>
    </row>
    <row r="7232" spans="13:13" x14ac:dyDescent="0.25">
      <c r="M7232" s="21"/>
    </row>
    <row r="7233" spans="13:13" x14ac:dyDescent="0.25">
      <c r="M7233" s="21"/>
    </row>
    <row r="7234" spans="13:13" x14ac:dyDescent="0.25">
      <c r="M7234" s="21"/>
    </row>
    <row r="7235" spans="13:13" x14ac:dyDescent="0.25">
      <c r="M7235" s="21"/>
    </row>
    <row r="7236" spans="13:13" x14ac:dyDescent="0.25">
      <c r="M7236" s="21"/>
    </row>
    <row r="7237" spans="13:13" x14ac:dyDescent="0.25">
      <c r="M7237" s="21"/>
    </row>
    <row r="7238" spans="13:13" x14ac:dyDescent="0.25">
      <c r="M7238" s="21"/>
    </row>
    <row r="7239" spans="13:13" x14ac:dyDescent="0.25">
      <c r="M7239" s="21"/>
    </row>
    <row r="7240" spans="13:13" x14ac:dyDescent="0.25">
      <c r="M7240" s="21"/>
    </row>
    <row r="7241" spans="13:13" x14ac:dyDescent="0.25">
      <c r="M7241" s="21"/>
    </row>
    <row r="7242" spans="13:13" x14ac:dyDescent="0.25">
      <c r="M7242" s="21"/>
    </row>
    <row r="7243" spans="13:13" x14ac:dyDescent="0.25">
      <c r="M7243" s="21"/>
    </row>
    <row r="7244" spans="13:13" x14ac:dyDescent="0.25">
      <c r="M7244" s="21"/>
    </row>
    <row r="7245" spans="13:13" x14ac:dyDescent="0.25">
      <c r="M7245" s="21"/>
    </row>
    <row r="7246" spans="13:13" x14ac:dyDescent="0.25">
      <c r="M7246" s="21"/>
    </row>
    <row r="7247" spans="13:13" x14ac:dyDescent="0.25">
      <c r="M7247" s="21"/>
    </row>
    <row r="7248" spans="13:13" x14ac:dyDescent="0.25">
      <c r="M7248" s="21"/>
    </row>
    <row r="7249" spans="13:13" x14ac:dyDescent="0.25">
      <c r="M7249" s="21"/>
    </row>
    <row r="7250" spans="13:13" x14ac:dyDescent="0.25">
      <c r="M7250" s="21"/>
    </row>
    <row r="7251" spans="13:13" x14ac:dyDescent="0.25">
      <c r="M7251" s="21"/>
    </row>
    <row r="7252" spans="13:13" x14ac:dyDescent="0.25">
      <c r="M7252" s="21"/>
    </row>
    <row r="7253" spans="13:13" x14ac:dyDescent="0.25">
      <c r="M7253" s="21"/>
    </row>
    <row r="7254" spans="13:13" x14ac:dyDescent="0.25">
      <c r="M7254" s="21"/>
    </row>
    <row r="7255" spans="13:13" x14ac:dyDescent="0.25">
      <c r="M7255" s="21"/>
    </row>
    <row r="7256" spans="13:13" x14ac:dyDescent="0.25">
      <c r="M7256" s="21"/>
    </row>
    <row r="7257" spans="13:13" x14ac:dyDescent="0.25">
      <c r="M7257" s="21"/>
    </row>
    <row r="7258" spans="13:13" x14ac:dyDescent="0.25">
      <c r="M7258" s="21"/>
    </row>
    <row r="7259" spans="13:13" x14ac:dyDescent="0.25">
      <c r="M7259" s="21"/>
    </row>
    <row r="7260" spans="13:13" x14ac:dyDescent="0.25">
      <c r="M7260" s="21"/>
    </row>
    <row r="7261" spans="13:13" x14ac:dyDescent="0.25">
      <c r="M7261" s="21"/>
    </row>
    <row r="7262" spans="13:13" x14ac:dyDescent="0.25">
      <c r="M7262" s="21"/>
    </row>
    <row r="7263" spans="13:13" x14ac:dyDescent="0.25">
      <c r="M7263" s="21"/>
    </row>
    <row r="7264" spans="13:13" x14ac:dyDescent="0.25">
      <c r="M7264" s="21"/>
    </row>
    <row r="7265" spans="13:13" x14ac:dyDescent="0.25">
      <c r="M7265" s="21"/>
    </row>
    <row r="7266" spans="13:13" x14ac:dyDescent="0.25">
      <c r="M7266" s="21"/>
    </row>
    <row r="7267" spans="13:13" x14ac:dyDescent="0.25">
      <c r="M7267" s="21"/>
    </row>
    <row r="7268" spans="13:13" x14ac:dyDescent="0.25">
      <c r="M7268" s="21"/>
    </row>
    <row r="7269" spans="13:13" x14ac:dyDescent="0.25">
      <c r="M7269" s="21"/>
    </row>
    <row r="7270" spans="13:13" x14ac:dyDescent="0.25">
      <c r="M7270" s="21"/>
    </row>
    <row r="7271" spans="13:13" x14ac:dyDescent="0.25">
      <c r="M7271" s="21"/>
    </row>
    <row r="7272" spans="13:13" x14ac:dyDescent="0.25">
      <c r="M7272" s="21"/>
    </row>
    <row r="7273" spans="13:13" x14ac:dyDescent="0.25">
      <c r="M7273" s="21"/>
    </row>
    <row r="7274" spans="13:13" x14ac:dyDescent="0.25">
      <c r="M7274" s="21"/>
    </row>
    <row r="7275" spans="13:13" x14ac:dyDescent="0.25">
      <c r="M7275" s="21"/>
    </row>
    <row r="7276" spans="13:13" x14ac:dyDescent="0.25">
      <c r="M7276" s="21"/>
    </row>
    <row r="7277" spans="13:13" x14ac:dyDescent="0.25">
      <c r="M7277" s="21"/>
    </row>
    <row r="7278" spans="13:13" x14ac:dyDescent="0.25">
      <c r="M7278" s="21"/>
    </row>
    <row r="7279" spans="13:13" x14ac:dyDescent="0.25">
      <c r="M7279" s="21"/>
    </row>
    <row r="7280" spans="13:13" x14ac:dyDescent="0.25">
      <c r="M7280" s="21"/>
    </row>
    <row r="7281" spans="13:13" x14ac:dyDescent="0.25">
      <c r="M7281" s="21"/>
    </row>
    <row r="7282" spans="13:13" x14ac:dyDescent="0.25">
      <c r="M7282" s="21"/>
    </row>
    <row r="7283" spans="13:13" x14ac:dyDescent="0.25">
      <c r="M7283" s="21"/>
    </row>
    <row r="7284" spans="13:13" x14ac:dyDescent="0.25">
      <c r="M7284" s="21"/>
    </row>
    <row r="7285" spans="13:13" x14ac:dyDescent="0.25">
      <c r="M7285" s="21"/>
    </row>
    <row r="7286" spans="13:13" x14ac:dyDescent="0.25">
      <c r="M7286" s="21"/>
    </row>
    <row r="7287" spans="13:13" x14ac:dyDescent="0.25">
      <c r="M7287" s="21"/>
    </row>
    <row r="7288" spans="13:13" x14ac:dyDescent="0.25">
      <c r="M7288" s="21"/>
    </row>
    <row r="7289" spans="13:13" x14ac:dyDescent="0.25">
      <c r="M7289" s="21"/>
    </row>
    <row r="7290" spans="13:13" x14ac:dyDescent="0.25">
      <c r="M7290" s="21"/>
    </row>
    <row r="7291" spans="13:13" x14ac:dyDescent="0.25">
      <c r="M7291" s="21"/>
    </row>
    <row r="7292" spans="13:13" x14ac:dyDescent="0.25">
      <c r="M7292" s="21"/>
    </row>
    <row r="7293" spans="13:13" x14ac:dyDescent="0.25">
      <c r="M7293" s="21"/>
    </row>
    <row r="7294" spans="13:13" x14ac:dyDescent="0.25">
      <c r="M7294" s="21"/>
    </row>
    <row r="7295" spans="13:13" x14ac:dyDescent="0.25">
      <c r="M7295" s="21"/>
    </row>
    <row r="7296" spans="13:13" x14ac:dyDescent="0.25">
      <c r="M7296" s="21"/>
    </row>
    <row r="7297" spans="13:13" x14ac:dyDescent="0.25">
      <c r="M7297" s="21"/>
    </row>
    <row r="7298" spans="13:13" x14ac:dyDescent="0.25">
      <c r="M7298" s="21"/>
    </row>
    <row r="7299" spans="13:13" x14ac:dyDescent="0.25">
      <c r="M7299" s="21"/>
    </row>
    <row r="7300" spans="13:13" x14ac:dyDescent="0.25">
      <c r="M7300" s="21"/>
    </row>
    <row r="7301" spans="13:13" x14ac:dyDescent="0.25">
      <c r="M7301" s="21"/>
    </row>
    <row r="7302" spans="13:13" x14ac:dyDescent="0.25">
      <c r="M7302" s="21"/>
    </row>
    <row r="7303" spans="13:13" x14ac:dyDescent="0.25">
      <c r="M7303" s="21"/>
    </row>
    <row r="7304" spans="13:13" x14ac:dyDescent="0.25">
      <c r="M7304" s="21"/>
    </row>
    <row r="7305" spans="13:13" x14ac:dyDescent="0.25">
      <c r="M7305" s="21"/>
    </row>
    <row r="7306" spans="13:13" x14ac:dyDescent="0.25">
      <c r="M7306" s="21"/>
    </row>
    <row r="7307" spans="13:13" x14ac:dyDescent="0.25">
      <c r="M7307" s="21"/>
    </row>
    <row r="7308" spans="13:13" x14ac:dyDescent="0.25">
      <c r="M7308" s="21"/>
    </row>
    <row r="7309" spans="13:13" x14ac:dyDescent="0.25">
      <c r="M7309" s="21"/>
    </row>
    <row r="7310" spans="13:13" x14ac:dyDescent="0.25">
      <c r="M7310" s="21"/>
    </row>
    <row r="7311" spans="13:13" x14ac:dyDescent="0.25">
      <c r="M7311" s="21"/>
    </row>
    <row r="7312" spans="13:13" x14ac:dyDescent="0.25">
      <c r="M7312" s="21"/>
    </row>
    <row r="7313" spans="13:13" x14ac:dyDescent="0.25">
      <c r="M7313" s="21"/>
    </row>
    <row r="7314" spans="13:13" x14ac:dyDescent="0.25">
      <c r="M7314" s="21"/>
    </row>
    <row r="7315" spans="13:13" x14ac:dyDescent="0.25">
      <c r="M7315" s="21"/>
    </row>
    <row r="7316" spans="13:13" x14ac:dyDescent="0.25">
      <c r="M7316" s="21"/>
    </row>
    <row r="7317" spans="13:13" x14ac:dyDescent="0.25">
      <c r="M7317" s="21"/>
    </row>
    <row r="7318" spans="13:13" x14ac:dyDescent="0.25">
      <c r="M7318" s="21"/>
    </row>
    <row r="7319" spans="13:13" x14ac:dyDescent="0.25">
      <c r="M7319" s="21"/>
    </row>
    <row r="7320" spans="13:13" x14ac:dyDescent="0.25">
      <c r="M7320" s="21"/>
    </row>
    <row r="7321" spans="13:13" x14ac:dyDescent="0.25">
      <c r="M7321" s="21"/>
    </row>
    <row r="7322" spans="13:13" x14ac:dyDescent="0.25">
      <c r="M7322" s="21"/>
    </row>
    <row r="7323" spans="13:13" x14ac:dyDescent="0.25">
      <c r="M7323" s="21"/>
    </row>
    <row r="7324" spans="13:13" x14ac:dyDescent="0.25">
      <c r="M7324" s="21"/>
    </row>
    <row r="7325" spans="13:13" x14ac:dyDescent="0.25">
      <c r="M7325" s="21"/>
    </row>
    <row r="7326" spans="13:13" x14ac:dyDescent="0.25">
      <c r="M7326" s="21"/>
    </row>
    <row r="7327" spans="13:13" x14ac:dyDescent="0.25">
      <c r="M7327" s="21"/>
    </row>
    <row r="7328" spans="13:13" x14ac:dyDescent="0.25">
      <c r="M7328" s="21"/>
    </row>
    <row r="7329" spans="13:13" x14ac:dyDescent="0.25">
      <c r="M7329" s="21"/>
    </row>
    <row r="7330" spans="13:13" x14ac:dyDescent="0.25">
      <c r="M7330" s="21"/>
    </row>
    <row r="7331" spans="13:13" x14ac:dyDescent="0.25">
      <c r="M7331" s="21"/>
    </row>
    <row r="7332" spans="13:13" x14ac:dyDescent="0.25">
      <c r="M7332" s="21"/>
    </row>
    <row r="7333" spans="13:13" x14ac:dyDescent="0.25">
      <c r="M7333" s="21"/>
    </row>
    <row r="7334" spans="13:13" x14ac:dyDescent="0.25">
      <c r="M7334" s="21"/>
    </row>
    <row r="7335" spans="13:13" x14ac:dyDescent="0.25">
      <c r="M7335" s="21"/>
    </row>
    <row r="7336" spans="13:13" x14ac:dyDescent="0.25">
      <c r="M7336" s="21"/>
    </row>
    <row r="7337" spans="13:13" x14ac:dyDescent="0.25">
      <c r="M7337" s="21"/>
    </row>
    <row r="7338" spans="13:13" x14ac:dyDescent="0.25">
      <c r="M7338" s="21"/>
    </row>
    <row r="7339" spans="13:13" x14ac:dyDescent="0.25">
      <c r="M7339" s="21"/>
    </row>
    <row r="7340" spans="13:13" x14ac:dyDescent="0.25">
      <c r="M7340" s="21"/>
    </row>
    <row r="7341" spans="13:13" x14ac:dyDescent="0.25">
      <c r="M7341" s="21"/>
    </row>
    <row r="7342" spans="13:13" x14ac:dyDescent="0.25">
      <c r="M7342" s="21"/>
    </row>
    <row r="7343" spans="13:13" x14ac:dyDescent="0.25">
      <c r="M7343" s="21"/>
    </row>
    <row r="7344" spans="13:13" x14ac:dyDescent="0.25">
      <c r="M7344" s="21"/>
    </row>
    <row r="7345" spans="13:13" x14ac:dyDescent="0.25">
      <c r="M7345" s="21"/>
    </row>
    <row r="7346" spans="13:13" x14ac:dyDescent="0.25">
      <c r="M7346" s="21"/>
    </row>
    <row r="7347" spans="13:13" x14ac:dyDescent="0.25">
      <c r="M7347" s="21"/>
    </row>
    <row r="7348" spans="13:13" x14ac:dyDescent="0.25">
      <c r="M7348" s="21"/>
    </row>
    <row r="7349" spans="13:13" x14ac:dyDescent="0.25">
      <c r="M7349" s="21"/>
    </row>
    <row r="7350" spans="13:13" x14ac:dyDescent="0.25">
      <c r="M7350" s="21"/>
    </row>
    <row r="7351" spans="13:13" x14ac:dyDescent="0.25">
      <c r="M7351" s="21"/>
    </row>
    <row r="7352" spans="13:13" x14ac:dyDescent="0.25">
      <c r="M7352" s="21"/>
    </row>
    <row r="7353" spans="13:13" x14ac:dyDescent="0.25">
      <c r="M7353" s="21"/>
    </row>
    <row r="7354" spans="13:13" x14ac:dyDescent="0.25">
      <c r="M7354" s="21"/>
    </row>
    <row r="7355" spans="13:13" x14ac:dyDescent="0.25">
      <c r="M7355" s="21"/>
    </row>
    <row r="7356" spans="13:13" x14ac:dyDescent="0.25">
      <c r="M7356" s="21"/>
    </row>
    <row r="7357" spans="13:13" x14ac:dyDescent="0.25">
      <c r="M7357" s="21"/>
    </row>
    <row r="7358" spans="13:13" x14ac:dyDescent="0.25">
      <c r="M7358" s="21"/>
    </row>
    <row r="7359" spans="13:13" x14ac:dyDescent="0.25">
      <c r="M7359" s="21"/>
    </row>
    <row r="7360" spans="13:13" x14ac:dyDescent="0.25">
      <c r="M7360" s="21"/>
    </row>
    <row r="7361" spans="13:13" x14ac:dyDescent="0.25">
      <c r="M7361" s="21"/>
    </row>
    <row r="7362" spans="13:13" x14ac:dyDescent="0.25">
      <c r="M7362" s="21"/>
    </row>
    <row r="7363" spans="13:13" x14ac:dyDescent="0.25">
      <c r="M7363" s="21"/>
    </row>
    <row r="7364" spans="13:13" x14ac:dyDescent="0.25">
      <c r="M7364" s="21"/>
    </row>
    <row r="7365" spans="13:13" x14ac:dyDescent="0.25">
      <c r="M7365" s="21"/>
    </row>
    <row r="7366" spans="13:13" x14ac:dyDescent="0.25">
      <c r="M7366" s="21"/>
    </row>
    <row r="7367" spans="13:13" x14ac:dyDescent="0.25">
      <c r="M7367" s="21"/>
    </row>
    <row r="7368" spans="13:13" x14ac:dyDescent="0.25">
      <c r="M7368" s="21"/>
    </row>
    <row r="7369" spans="13:13" x14ac:dyDescent="0.25">
      <c r="M7369" s="21"/>
    </row>
    <row r="7370" spans="13:13" x14ac:dyDescent="0.25">
      <c r="M7370" s="21"/>
    </row>
    <row r="7371" spans="13:13" x14ac:dyDescent="0.25">
      <c r="M7371" s="21"/>
    </row>
    <row r="7372" spans="13:13" x14ac:dyDescent="0.25">
      <c r="M7372" s="21"/>
    </row>
    <row r="7373" spans="13:13" x14ac:dyDescent="0.25">
      <c r="M7373" s="21"/>
    </row>
    <row r="7374" spans="13:13" x14ac:dyDescent="0.25">
      <c r="M7374" s="21"/>
    </row>
    <row r="7375" spans="13:13" x14ac:dyDescent="0.25">
      <c r="M7375" s="21"/>
    </row>
    <row r="7376" spans="13:13" x14ac:dyDescent="0.25">
      <c r="M7376" s="21"/>
    </row>
    <row r="7377" spans="13:13" x14ac:dyDescent="0.25">
      <c r="M7377" s="21"/>
    </row>
    <row r="7378" spans="13:13" x14ac:dyDescent="0.25">
      <c r="M7378" s="21"/>
    </row>
    <row r="7379" spans="13:13" x14ac:dyDescent="0.25">
      <c r="M7379" s="21"/>
    </row>
    <row r="7380" spans="13:13" x14ac:dyDescent="0.25">
      <c r="M7380" s="21"/>
    </row>
    <row r="7381" spans="13:13" x14ac:dyDescent="0.25">
      <c r="M7381" s="21"/>
    </row>
    <row r="7382" spans="13:13" x14ac:dyDescent="0.25">
      <c r="M7382" s="21"/>
    </row>
    <row r="7383" spans="13:13" x14ac:dyDescent="0.25">
      <c r="M7383" s="21"/>
    </row>
    <row r="7384" spans="13:13" x14ac:dyDescent="0.25">
      <c r="M7384" s="21"/>
    </row>
    <row r="7385" spans="13:13" x14ac:dyDescent="0.25">
      <c r="M7385" s="21"/>
    </row>
    <row r="7386" spans="13:13" x14ac:dyDescent="0.25">
      <c r="M7386" s="21"/>
    </row>
    <row r="7387" spans="13:13" x14ac:dyDescent="0.25">
      <c r="M7387" s="21"/>
    </row>
    <row r="7388" spans="13:13" x14ac:dyDescent="0.25">
      <c r="M7388" s="21"/>
    </row>
    <row r="7389" spans="13:13" x14ac:dyDescent="0.25">
      <c r="M7389" s="21"/>
    </row>
    <row r="7390" spans="13:13" x14ac:dyDescent="0.25">
      <c r="M7390" s="21"/>
    </row>
    <row r="7391" spans="13:13" x14ac:dyDescent="0.25">
      <c r="M7391" s="21"/>
    </row>
    <row r="7392" spans="13:13" x14ac:dyDescent="0.25">
      <c r="M7392" s="21"/>
    </row>
    <row r="7393" spans="13:13" x14ac:dyDescent="0.25">
      <c r="M7393" s="21"/>
    </row>
    <row r="7394" spans="13:13" x14ac:dyDescent="0.25">
      <c r="M7394" s="21"/>
    </row>
    <row r="7395" spans="13:13" x14ac:dyDescent="0.25">
      <c r="M7395" s="21"/>
    </row>
    <row r="7396" spans="13:13" x14ac:dyDescent="0.25">
      <c r="M7396" s="21"/>
    </row>
    <row r="7397" spans="13:13" x14ac:dyDescent="0.25">
      <c r="M7397" s="21"/>
    </row>
    <row r="7398" spans="13:13" x14ac:dyDescent="0.25">
      <c r="M7398" s="21"/>
    </row>
    <row r="7399" spans="13:13" x14ac:dyDescent="0.25">
      <c r="M7399" s="21"/>
    </row>
    <row r="7400" spans="13:13" x14ac:dyDescent="0.25">
      <c r="M7400" s="21"/>
    </row>
    <row r="7401" spans="13:13" x14ac:dyDescent="0.25">
      <c r="M7401" s="21"/>
    </row>
    <row r="7402" spans="13:13" x14ac:dyDescent="0.25">
      <c r="M7402" s="21"/>
    </row>
    <row r="7403" spans="13:13" x14ac:dyDescent="0.25">
      <c r="M7403" s="21"/>
    </row>
    <row r="7404" spans="13:13" x14ac:dyDescent="0.25">
      <c r="M7404" s="21"/>
    </row>
    <row r="7405" spans="13:13" x14ac:dyDescent="0.25">
      <c r="M7405" s="21"/>
    </row>
    <row r="7406" spans="13:13" x14ac:dyDescent="0.25">
      <c r="M7406" s="21"/>
    </row>
    <row r="7407" spans="13:13" x14ac:dyDescent="0.25">
      <c r="M7407" s="21"/>
    </row>
    <row r="7408" spans="13:13" x14ac:dyDescent="0.25">
      <c r="M7408" s="21"/>
    </row>
    <row r="7409" spans="13:13" x14ac:dyDescent="0.25">
      <c r="M7409" s="21"/>
    </row>
    <row r="7410" spans="13:13" x14ac:dyDescent="0.25">
      <c r="M7410" s="21"/>
    </row>
    <row r="7411" spans="13:13" x14ac:dyDescent="0.25">
      <c r="M7411" s="21"/>
    </row>
    <row r="7412" spans="13:13" x14ac:dyDescent="0.25">
      <c r="M7412" s="21"/>
    </row>
    <row r="7413" spans="13:13" x14ac:dyDescent="0.25">
      <c r="M7413" s="21"/>
    </row>
    <row r="7414" spans="13:13" x14ac:dyDescent="0.25">
      <c r="M7414" s="21"/>
    </row>
    <row r="7415" spans="13:13" x14ac:dyDescent="0.25">
      <c r="M7415" s="21"/>
    </row>
    <row r="7416" spans="13:13" x14ac:dyDescent="0.25">
      <c r="M7416" s="21"/>
    </row>
    <row r="7417" spans="13:13" x14ac:dyDescent="0.25">
      <c r="M7417" s="21"/>
    </row>
    <row r="7418" spans="13:13" x14ac:dyDescent="0.25">
      <c r="M7418" s="21"/>
    </row>
    <row r="7419" spans="13:13" x14ac:dyDescent="0.25">
      <c r="M7419" s="21"/>
    </row>
    <row r="7420" spans="13:13" x14ac:dyDescent="0.25">
      <c r="M7420" s="21"/>
    </row>
    <row r="7421" spans="13:13" x14ac:dyDescent="0.25">
      <c r="M7421" s="21"/>
    </row>
    <row r="7422" spans="13:13" x14ac:dyDescent="0.25">
      <c r="M7422" s="21"/>
    </row>
    <row r="7423" spans="13:13" x14ac:dyDescent="0.25">
      <c r="M7423" s="21"/>
    </row>
    <row r="7424" spans="13:13" x14ac:dyDescent="0.25">
      <c r="M7424" s="21"/>
    </row>
    <row r="7425" spans="13:13" x14ac:dyDescent="0.25">
      <c r="M7425" s="21"/>
    </row>
    <row r="7426" spans="13:13" x14ac:dyDescent="0.25">
      <c r="M7426" s="21"/>
    </row>
    <row r="7427" spans="13:13" x14ac:dyDescent="0.25">
      <c r="M7427" s="21"/>
    </row>
    <row r="7428" spans="13:13" x14ac:dyDescent="0.25">
      <c r="M7428" s="21"/>
    </row>
    <row r="7429" spans="13:13" x14ac:dyDescent="0.25">
      <c r="M7429" s="21"/>
    </row>
    <row r="7430" spans="13:13" x14ac:dyDescent="0.25">
      <c r="M7430" s="21"/>
    </row>
    <row r="7431" spans="13:13" x14ac:dyDescent="0.25">
      <c r="M7431" s="21"/>
    </row>
    <row r="7432" spans="13:13" x14ac:dyDescent="0.25">
      <c r="M7432" s="21"/>
    </row>
    <row r="7433" spans="13:13" x14ac:dyDescent="0.25">
      <c r="M7433" s="21"/>
    </row>
    <row r="7434" spans="13:13" x14ac:dyDescent="0.25">
      <c r="M7434" s="21"/>
    </row>
    <row r="7435" spans="13:13" x14ac:dyDescent="0.25">
      <c r="M7435" s="21"/>
    </row>
    <row r="7436" spans="13:13" x14ac:dyDescent="0.25">
      <c r="M7436" s="21"/>
    </row>
    <row r="7437" spans="13:13" x14ac:dyDescent="0.25">
      <c r="M7437" s="21"/>
    </row>
    <row r="7438" spans="13:13" x14ac:dyDescent="0.25">
      <c r="M7438" s="21"/>
    </row>
    <row r="7439" spans="13:13" x14ac:dyDescent="0.25">
      <c r="M7439" s="21"/>
    </row>
    <row r="7440" spans="13:13" x14ac:dyDescent="0.25">
      <c r="M7440" s="21"/>
    </row>
    <row r="7441" spans="13:13" x14ac:dyDescent="0.25">
      <c r="M7441" s="21"/>
    </row>
    <row r="7442" spans="13:13" x14ac:dyDescent="0.25">
      <c r="M7442" s="21"/>
    </row>
    <row r="7443" spans="13:13" x14ac:dyDescent="0.25">
      <c r="M7443" s="21"/>
    </row>
    <row r="7444" spans="13:13" x14ac:dyDescent="0.25">
      <c r="M7444" s="21"/>
    </row>
    <row r="7445" spans="13:13" x14ac:dyDescent="0.25">
      <c r="M7445" s="21"/>
    </row>
    <row r="7446" spans="13:13" x14ac:dyDescent="0.25">
      <c r="M7446" s="21"/>
    </row>
    <row r="7447" spans="13:13" x14ac:dyDescent="0.25">
      <c r="M7447" s="21"/>
    </row>
    <row r="7448" spans="13:13" x14ac:dyDescent="0.25">
      <c r="M7448" s="21"/>
    </row>
    <row r="7449" spans="13:13" x14ac:dyDescent="0.25">
      <c r="M7449" s="21"/>
    </row>
    <row r="7450" spans="13:13" x14ac:dyDescent="0.25">
      <c r="M7450" s="21"/>
    </row>
    <row r="7451" spans="13:13" x14ac:dyDescent="0.25">
      <c r="M7451" s="21"/>
    </row>
    <row r="7452" spans="13:13" x14ac:dyDescent="0.25">
      <c r="M7452" s="21"/>
    </row>
    <row r="7453" spans="13:13" x14ac:dyDescent="0.25">
      <c r="M7453" s="21"/>
    </row>
    <row r="7454" spans="13:13" x14ac:dyDescent="0.25">
      <c r="M7454" s="21"/>
    </row>
    <row r="7455" spans="13:13" x14ac:dyDescent="0.25">
      <c r="M7455" s="21"/>
    </row>
    <row r="7456" spans="13:13" x14ac:dyDescent="0.25">
      <c r="M7456" s="21"/>
    </row>
    <row r="7457" spans="13:13" x14ac:dyDescent="0.25">
      <c r="M7457" s="21"/>
    </row>
    <row r="7458" spans="13:13" x14ac:dyDescent="0.25">
      <c r="M7458" s="21"/>
    </row>
    <row r="7459" spans="13:13" x14ac:dyDescent="0.25">
      <c r="M7459" s="21"/>
    </row>
    <row r="7460" spans="13:13" x14ac:dyDescent="0.25">
      <c r="M7460" s="21"/>
    </row>
    <row r="7461" spans="13:13" x14ac:dyDescent="0.25">
      <c r="M7461" s="21"/>
    </row>
    <row r="7462" spans="13:13" x14ac:dyDescent="0.25">
      <c r="M7462" s="21"/>
    </row>
    <row r="7463" spans="13:13" x14ac:dyDescent="0.25">
      <c r="M7463" s="21"/>
    </row>
    <row r="7464" spans="13:13" x14ac:dyDescent="0.25">
      <c r="M7464" s="21"/>
    </row>
    <row r="7465" spans="13:13" x14ac:dyDescent="0.25">
      <c r="M7465" s="21"/>
    </row>
    <row r="7466" spans="13:13" x14ac:dyDescent="0.25">
      <c r="M7466" s="21"/>
    </row>
    <row r="7467" spans="13:13" x14ac:dyDescent="0.25">
      <c r="M7467" s="21"/>
    </row>
    <row r="7468" spans="13:13" x14ac:dyDescent="0.25">
      <c r="M7468" s="21"/>
    </row>
    <row r="7469" spans="13:13" x14ac:dyDescent="0.25">
      <c r="M7469" s="21"/>
    </row>
    <row r="7470" spans="13:13" x14ac:dyDescent="0.25">
      <c r="M7470" s="21"/>
    </row>
    <row r="7471" spans="13:13" x14ac:dyDescent="0.25">
      <c r="M7471" s="21"/>
    </row>
    <row r="7472" spans="13:13" x14ac:dyDescent="0.25">
      <c r="M7472" s="21"/>
    </row>
    <row r="7473" spans="13:13" x14ac:dyDescent="0.25">
      <c r="M7473" s="21"/>
    </row>
    <row r="7474" spans="13:13" x14ac:dyDescent="0.25">
      <c r="M7474" s="21"/>
    </row>
    <row r="7475" spans="13:13" x14ac:dyDescent="0.25">
      <c r="M7475" s="21"/>
    </row>
    <row r="7476" spans="13:13" x14ac:dyDescent="0.25">
      <c r="M7476" s="21"/>
    </row>
    <row r="7477" spans="13:13" x14ac:dyDescent="0.25">
      <c r="M7477" s="21"/>
    </row>
    <row r="7478" spans="13:13" x14ac:dyDescent="0.25">
      <c r="M7478" s="21"/>
    </row>
    <row r="7479" spans="13:13" x14ac:dyDescent="0.25">
      <c r="M7479" s="21"/>
    </row>
    <row r="7480" spans="13:13" x14ac:dyDescent="0.25">
      <c r="M7480" s="21"/>
    </row>
    <row r="7481" spans="13:13" x14ac:dyDescent="0.25">
      <c r="M7481" s="21"/>
    </row>
    <row r="7482" spans="13:13" x14ac:dyDescent="0.25">
      <c r="M7482" s="21"/>
    </row>
    <row r="7483" spans="13:13" x14ac:dyDescent="0.25">
      <c r="M7483" s="21"/>
    </row>
    <row r="7484" spans="13:13" x14ac:dyDescent="0.25">
      <c r="M7484" s="21"/>
    </row>
    <row r="7485" spans="13:13" x14ac:dyDescent="0.25">
      <c r="M7485" s="21"/>
    </row>
    <row r="7486" spans="13:13" x14ac:dyDescent="0.25">
      <c r="M7486" s="21"/>
    </row>
    <row r="7487" spans="13:13" x14ac:dyDescent="0.25">
      <c r="M7487" s="21"/>
    </row>
    <row r="7488" spans="13:13" x14ac:dyDescent="0.25">
      <c r="M7488" s="21"/>
    </row>
    <row r="7489" spans="13:13" x14ac:dyDescent="0.25">
      <c r="M7489" s="21"/>
    </row>
    <row r="7490" spans="13:13" x14ac:dyDescent="0.25">
      <c r="M7490" s="21"/>
    </row>
    <row r="7491" spans="13:13" x14ac:dyDescent="0.25">
      <c r="M7491" s="21"/>
    </row>
    <row r="7492" spans="13:13" x14ac:dyDescent="0.25">
      <c r="M7492" s="21"/>
    </row>
    <row r="7493" spans="13:13" x14ac:dyDescent="0.25">
      <c r="M7493" s="21"/>
    </row>
    <row r="7494" spans="13:13" x14ac:dyDescent="0.25">
      <c r="M7494" s="21"/>
    </row>
    <row r="7495" spans="13:13" x14ac:dyDescent="0.25">
      <c r="M7495" s="21"/>
    </row>
    <row r="7496" spans="13:13" x14ac:dyDescent="0.25">
      <c r="M7496" s="21"/>
    </row>
    <row r="7497" spans="13:13" x14ac:dyDescent="0.25">
      <c r="M7497" s="21"/>
    </row>
    <row r="7498" spans="13:13" x14ac:dyDescent="0.25">
      <c r="M7498" s="21"/>
    </row>
    <row r="7499" spans="13:13" x14ac:dyDescent="0.25">
      <c r="M7499" s="21"/>
    </row>
    <row r="7500" spans="13:13" x14ac:dyDescent="0.25">
      <c r="M7500" s="21"/>
    </row>
    <row r="7501" spans="13:13" x14ac:dyDescent="0.25">
      <c r="M7501" s="21"/>
    </row>
    <row r="7502" spans="13:13" x14ac:dyDescent="0.25">
      <c r="M7502" s="21"/>
    </row>
    <row r="7503" spans="13:13" x14ac:dyDescent="0.25">
      <c r="M7503" s="21"/>
    </row>
    <row r="7504" spans="13:13" x14ac:dyDescent="0.25">
      <c r="M7504" s="21"/>
    </row>
    <row r="7505" spans="13:13" x14ac:dyDescent="0.25">
      <c r="M7505" s="21"/>
    </row>
    <row r="7506" spans="13:13" x14ac:dyDescent="0.25">
      <c r="M7506" s="21"/>
    </row>
    <row r="7507" spans="13:13" x14ac:dyDescent="0.25">
      <c r="M7507" s="21"/>
    </row>
    <row r="7508" spans="13:13" x14ac:dyDescent="0.25">
      <c r="M7508" s="21"/>
    </row>
    <row r="7509" spans="13:13" x14ac:dyDescent="0.25">
      <c r="M7509" s="21"/>
    </row>
    <row r="7510" spans="13:13" x14ac:dyDescent="0.25">
      <c r="M7510" s="21"/>
    </row>
    <row r="7511" spans="13:13" x14ac:dyDescent="0.25">
      <c r="M7511" s="21"/>
    </row>
    <row r="7512" spans="13:13" x14ac:dyDescent="0.25">
      <c r="M7512" s="21"/>
    </row>
    <row r="7513" spans="13:13" x14ac:dyDescent="0.25">
      <c r="M7513" s="21"/>
    </row>
    <row r="7514" spans="13:13" x14ac:dyDescent="0.25">
      <c r="M7514" s="21"/>
    </row>
    <row r="7515" spans="13:13" x14ac:dyDescent="0.25">
      <c r="M7515" s="21"/>
    </row>
    <row r="7516" spans="13:13" x14ac:dyDescent="0.25">
      <c r="M7516" s="21"/>
    </row>
    <row r="7517" spans="13:13" x14ac:dyDescent="0.25">
      <c r="M7517" s="21"/>
    </row>
    <row r="7518" spans="13:13" x14ac:dyDescent="0.25">
      <c r="M7518" s="21"/>
    </row>
    <row r="7519" spans="13:13" x14ac:dyDescent="0.25">
      <c r="M7519" s="21"/>
    </row>
    <row r="7520" spans="13:13" x14ac:dyDescent="0.25">
      <c r="M7520" s="21"/>
    </row>
    <row r="7521" spans="13:13" x14ac:dyDescent="0.25">
      <c r="M7521" s="21"/>
    </row>
    <row r="7522" spans="13:13" x14ac:dyDescent="0.25">
      <c r="M7522" s="21"/>
    </row>
    <row r="7523" spans="13:13" x14ac:dyDescent="0.25">
      <c r="M7523" s="21"/>
    </row>
    <row r="7524" spans="13:13" x14ac:dyDescent="0.25">
      <c r="M7524" s="21"/>
    </row>
    <row r="7525" spans="13:13" x14ac:dyDescent="0.25">
      <c r="M7525" s="21"/>
    </row>
    <row r="7526" spans="13:13" x14ac:dyDescent="0.25">
      <c r="M7526" s="21"/>
    </row>
    <row r="7527" spans="13:13" x14ac:dyDescent="0.25">
      <c r="M7527" s="21"/>
    </row>
    <row r="7528" spans="13:13" x14ac:dyDescent="0.25">
      <c r="M7528" s="21"/>
    </row>
    <row r="7529" spans="13:13" x14ac:dyDescent="0.25">
      <c r="M7529" s="21"/>
    </row>
    <row r="7530" spans="13:13" x14ac:dyDescent="0.25">
      <c r="M7530" s="21"/>
    </row>
    <row r="7531" spans="13:13" x14ac:dyDescent="0.25">
      <c r="M7531" s="21"/>
    </row>
    <row r="7532" spans="13:13" x14ac:dyDescent="0.25">
      <c r="M7532" s="21"/>
    </row>
    <row r="7533" spans="13:13" x14ac:dyDescent="0.25">
      <c r="M7533" s="21"/>
    </row>
    <row r="7534" spans="13:13" x14ac:dyDescent="0.25">
      <c r="M7534" s="21"/>
    </row>
    <row r="7535" spans="13:13" x14ac:dyDescent="0.25">
      <c r="M7535" s="21"/>
    </row>
    <row r="7536" spans="13:13" x14ac:dyDescent="0.25">
      <c r="M7536" s="21"/>
    </row>
    <row r="7537" spans="13:13" x14ac:dyDescent="0.25">
      <c r="M7537" s="21"/>
    </row>
    <row r="7538" spans="13:13" x14ac:dyDescent="0.25">
      <c r="M7538" s="21"/>
    </row>
    <row r="7539" spans="13:13" x14ac:dyDescent="0.25">
      <c r="M7539" s="21"/>
    </row>
    <row r="7540" spans="13:13" x14ac:dyDescent="0.25">
      <c r="M7540" s="21"/>
    </row>
    <row r="7541" spans="13:13" x14ac:dyDescent="0.25">
      <c r="M7541" s="21"/>
    </row>
    <row r="7542" spans="13:13" x14ac:dyDescent="0.25">
      <c r="M7542" s="21"/>
    </row>
    <row r="7543" spans="13:13" x14ac:dyDescent="0.25">
      <c r="M7543" s="21"/>
    </row>
    <row r="7544" spans="13:13" x14ac:dyDescent="0.25">
      <c r="M7544" s="21"/>
    </row>
    <row r="7545" spans="13:13" x14ac:dyDescent="0.25">
      <c r="M7545" s="21"/>
    </row>
    <row r="7546" spans="13:13" x14ac:dyDescent="0.25">
      <c r="M7546" s="21"/>
    </row>
    <row r="7547" spans="13:13" x14ac:dyDescent="0.25">
      <c r="M7547" s="21"/>
    </row>
    <row r="7548" spans="13:13" x14ac:dyDescent="0.25">
      <c r="M7548" s="21"/>
    </row>
    <row r="7549" spans="13:13" x14ac:dyDescent="0.25">
      <c r="M7549" s="21"/>
    </row>
    <row r="7550" spans="13:13" x14ac:dyDescent="0.25">
      <c r="M7550" s="21"/>
    </row>
    <row r="7551" spans="13:13" x14ac:dyDescent="0.25">
      <c r="M7551" s="21"/>
    </row>
    <row r="7552" spans="13:13" x14ac:dyDescent="0.25">
      <c r="M7552" s="21"/>
    </row>
    <row r="7553" spans="13:13" x14ac:dyDescent="0.25">
      <c r="M7553" s="21"/>
    </row>
    <row r="7554" spans="13:13" x14ac:dyDescent="0.25">
      <c r="M7554" s="21"/>
    </row>
    <row r="7555" spans="13:13" x14ac:dyDescent="0.25">
      <c r="M7555" s="21"/>
    </row>
    <row r="7556" spans="13:13" x14ac:dyDescent="0.25">
      <c r="M7556" s="21"/>
    </row>
    <row r="7557" spans="13:13" x14ac:dyDescent="0.25">
      <c r="M7557" s="21"/>
    </row>
    <row r="7558" spans="13:13" x14ac:dyDescent="0.25">
      <c r="M7558" s="21"/>
    </row>
    <row r="7559" spans="13:13" x14ac:dyDescent="0.25">
      <c r="M7559" s="21"/>
    </row>
    <row r="7560" spans="13:13" x14ac:dyDescent="0.25">
      <c r="M7560" s="21"/>
    </row>
    <row r="7561" spans="13:13" x14ac:dyDescent="0.25">
      <c r="M7561" s="21"/>
    </row>
    <row r="7562" spans="13:13" x14ac:dyDescent="0.25">
      <c r="M7562" s="21"/>
    </row>
    <row r="7563" spans="13:13" x14ac:dyDescent="0.25">
      <c r="M7563" s="21"/>
    </row>
    <row r="7564" spans="13:13" x14ac:dyDescent="0.25">
      <c r="M7564" s="21"/>
    </row>
    <row r="7565" spans="13:13" x14ac:dyDescent="0.25">
      <c r="M7565" s="21"/>
    </row>
    <row r="7566" spans="13:13" x14ac:dyDescent="0.25">
      <c r="M7566" s="21"/>
    </row>
    <row r="7567" spans="13:13" x14ac:dyDescent="0.25">
      <c r="M7567" s="21"/>
    </row>
    <row r="7568" spans="13:13" x14ac:dyDescent="0.25">
      <c r="M7568" s="21"/>
    </row>
    <row r="7569" spans="13:13" x14ac:dyDescent="0.25">
      <c r="M7569" s="21"/>
    </row>
    <row r="7570" spans="13:13" x14ac:dyDescent="0.25">
      <c r="M7570" s="21"/>
    </row>
    <row r="7571" spans="13:13" x14ac:dyDescent="0.25">
      <c r="M7571" s="21"/>
    </row>
    <row r="7572" spans="13:13" x14ac:dyDescent="0.25">
      <c r="M7572" s="21"/>
    </row>
    <row r="7573" spans="13:13" x14ac:dyDescent="0.25">
      <c r="M7573" s="21"/>
    </row>
    <row r="7574" spans="13:13" x14ac:dyDescent="0.25">
      <c r="M7574" s="21"/>
    </row>
    <row r="7575" spans="13:13" x14ac:dyDescent="0.25">
      <c r="M7575" s="21"/>
    </row>
    <row r="7576" spans="13:13" x14ac:dyDescent="0.25">
      <c r="M7576" s="21"/>
    </row>
    <row r="7577" spans="13:13" x14ac:dyDescent="0.25">
      <c r="M7577" s="21"/>
    </row>
    <row r="7578" spans="13:13" x14ac:dyDescent="0.25">
      <c r="M7578" s="21"/>
    </row>
    <row r="7579" spans="13:13" x14ac:dyDescent="0.25">
      <c r="M7579" s="21"/>
    </row>
    <row r="7580" spans="13:13" x14ac:dyDescent="0.25">
      <c r="M7580" s="21"/>
    </row>
    <row r="7581" spans="13:13" x14ac:dyDescent="0.25">
      <c r="M7581" s="21"/>
    </row>
    <row r="7582" spans="13:13" x14ac:dyDescent="0.25">
      <c r="M7582" s="21"/>
    </row>
    <row r="7583" spans="13:13" x14ac:dyDescent="0.25">
      <c r="M7583" s="21"/>
    </row>
    <row r="7584" spans="13:13" x14ac:dyDescent="0.25">
      <c r="M7584" s="21"/>
    </row>
    <row r="7585" spans="13:13" x14ac:dyDescent="0.25">
      <c r="M7585" s="21"/>
    </row>
    <row r="7586" spans="13:13" x14ac:dyDescent="0.25">
      <c r="M7586" s="21"/>
    </row>
    <row r="7587" spans="13:13" x14ac:dyDescent="0.25">
      <c r="M7587" s="21"/>
    </row>
    <row r="7588" spans="13:13" x14ac:dyDescent="0.25">
      <c r="M7588" s="21"/>
    </row>
    <row r="7589" spans="13:13" x14ac:dyDescent="0.25">
      <c r="M7589" s="21"/>
    </row>
    <row r="7590" spans="13:13" x14ac:dyDescent="0.25">
      <c r="M7590" s="21"/>
    </row>
    <row r="7591" spans="13:13" x14ac:dyDescent="0.25">
      <c r="M7591" s="21"/>
    </row>
    <row r="7592" spans="13:13" x14ac:dyDescent="0.25">
      <c r="M7592" s="21"/>
    </row>
    <row r="7593" spans="13:13" x14ac:dyDescent="0.25">
      <c r="M7593" s="21"/>
    </row>
    <row r="7594" spans="13:13" x14ac:dyDescent="0.25">
      <c r="M7594" s="21"/>
    </row>
    <row r="7595" spans="13:13" x14ac:dyDescent="0.25">
      <c r="M7595" s="21"/>
    </row>
    <row r="7596" spans="13:13" x14ac:dyDescent="0.25">
      <c r="M7596" s="21"/>
    </row>
    <row r="7597" spans="13:13" x14ac:dyDescent="0.25">
      <c r="M7597" s="21"/>
    </row>
    <row r="7598" spans="13:13" x14ac:dyDescent="0.25">
      <c r="M7598" s="21"/>
    </row>
    <row r="7599" spans="13:13" x14ac:dyDescent="0.25">
      <c r="M7599" s="21"/>
    </row>
    <row r="7600" spans="13:13" x14ac:dyDescent="0.25">
      <c r="M7600" s="21"/>
    </row>
    <row r="7601" spans="13:13" x14ac:dyDescent="0.25">
      <c r="M7601" s="21"/>
    </row>
    <row r="7602" spans="13:13" x14ac:dyDescent="0.25">
      <c r="M7602" s="21"/>
    </row>
    <row r="7603" spans="13:13" x14ac:dyDescent="0.25">
      <c r="M7603" s="21"/>
    </row>
    <row r="7604" spans="13:13" x14ac:dyDescent="0.25">
      <c r="M7604" s="21"/>
    </row>
    <row r="7605" spans="13:13" x14ac:dyDescent="0.25">
      <c r="M7605" s="21"/>
    </row>
    <row r="7606" spans="13:13" x14ac:dyDescent="0.25">
      <c r="M7606" s="21"/>
    </row>
    <row r="7607" spans="13:13" x14ac:dyDescent="0.25">
      <c r="M7607" s="21"/>
    </row>
    <row r="7608" spans="13:13" x14ac:dyDescent="0.25">
      <c r="M7608" s="21"/>
    </row>
    <row r="7609" spans="13:13" x14ac:dyDescent="0.25">
      <c r="M7609" s="21"/>
    </row>
    <row r="7610" spans="13:13" x14ac:dyDescent="0.25">
      <c r="M7610" s="21"/>
    </row>
    <row r="7611" spans="13:13" x14ac:dyDescent="0.25">
      <c r="M7611" s="21"/>
    </row>
    <row r="7612" spans="13:13" x14ac:dyDescent="0.25">
      <c r="M7612" s="21"/>
    </row>
    <row r="7613" spans="13:13" x14ac:dyDescent="0.25">
      <c r="M7613" s="21"/>
    </row>
    <row r="7614" spans="13:13" x14ac:dyDescent="0.25">
      <c r="M7614" s="21"/>
    </row>
    <row r="7615" spans="13:13" x14ac:dyDescent="0.25">
      <c r="M7615" s="21"/>
    </row>
    <row r="7616" spans="13:13" x14ac:dyDescent="0.25">
      <c r="M7616" s="21"/>
    </row>
    <row r="7617" spans="13:13" x14ac:dyDescent="0.25">
      <c r="M7617" s="21"/>
    </row>
    <row r="7618" spans="13:13" x14ac:dyDescent="0.25">
      <c r="M7618" s="21"/>
    </row>
    <row r="7619" spans="13:13" x14ac:dyDescent="0.25">
      <c r="M7619" s="21"/>
    </row>
    <row r="7620" spans="13:13" x14ac:dyDescent="0.25">
      <c r="M7620" s="21"/>
    </row>
    <row r="7621" spans="13:13" x14ac:dyDescent="0.25">
      <c r="M7621" s="21"/>
    </row>
    <row r="7622" spans="13:13" x14ac:dyDescent="0.25">
      <c r="M7622" s="21"/>
    </row>
    <row r="7623" spans="13:13" x14ac:dyDescent="0.25">
      <c r="M7623" s="21"/>
    </row>
    <row r="7624" spans="13:13" x14ac:dyDescent="0.25">
      <c r="M7624" s="21"/>
    </row>
    <row r="7625" spans="13:13" x14ac:dyDescent="0.25">
      <c r="M7625" s="21"/>
    </row>
    <row r="7626" spans="13:13" x14ac:dyDescent="0.25">
      <c r="M7626" s="21"/>
    </row>
    <row r="7627" spans="13:13" x14ac:dyDescent="0.25">
      <c r="M7627" s="21"/>
    </row>
    <row r="7628" spans="13:13" x14ac:dyDescent="0.25">
      <c r="M7628" s="21"/>
    </row>
    <row r="7629" spans="13:13" x14ac:dyDescent="0.25">
      <c r="M7629" s="21"/>
    </row>
    <row r="7630" spans="13:13" x14ac:dyDescent="0.25">
      <c r="M7630" s="21"/>
    </row>
    <row r="7631" spans="13:13" x14ac:dyDescent="0.25">
      <c r="M7631" s="21"/>
    </row>
    <row r="7632" spans="13:13" x14ac:dyDescent="0.25">
      <c r="M7632" s="21"/>
    </row>
    <row r="7633" spans="13:13" x14ac:dyDescent="0.25">
      <c r="M7633" s="21"/>
    </row>
    <row r="7634" spans="13:13" x14ac:dyDescent="0.25">
      <c r="M7634" s="21"/>
    </row>
    <row r="7635" spans="13:13" x14ac:dyDescent="0.25">
      <c r="M7635" s="21"/>
    </row>
    <row r="7636" spans="13:13" x14ac:dyDescent="0.25">
      <c r="M7636" s="21"/>
    </row>
    <row r="7637" spans="13:13" x14ac:dyDescent="0.25">
      <c r="M7637" s="21"/>
    </row>
    <row r="7638" spans="13:13" x14ac:dyDescent="0.25">
      <c r="M7638" s="21"/>
    </row>
    <row r="7639" spans="13:13" x14ac:dyDescent="0.25">
      <c r="M7639" s="21"/>
    </row>
    <row r="7640" spans="13:13" x14ac:dyDescent="0.25">
      <c r="M7640" s="21"/>
    </row>
    <row r="7641" spans="13:13" x14ac:dyDescent="0.25">
      <c r="M7641" s="21"/>
    </row>
    <row r="7642" spans="13:13" x14ac:dyDescent="0.25">
      <c r="M7642" s="21"/>
    </row>
    <row r="7643" spans="13:13" x14ac:dyDescent="0.25">
      <c r="M7643" s="21"/>
    </row>
    <row r="7644" spans="13:13" x14ac:dyDescent="0.25">
      <c r="M7644" s="21"/>
    </row>
    <row r="7645" spans="13:13" x14ac:dyDescent="0.25">
      <c r="M7645" s="21"/>
    </row>
    <row r="7646" spans="13:13" x14ac:dyDescent="0.25">
      <c r="M7646" s="21"/>
    </row>
    <row r="7647" spans="13:13" x14ac:dyDescent="0.25">
      <c r="M7647" s="21"/>
    </row>
    <row r="7648" spans="13:13" x14ac:dyDescent="0.25">
      <c r="M7648" s="21"/>
    </row>
    <row r="7649" spans="13:13" x14ac:dyDescent="0.25">
      <c r="M7649" s="21"/>
    </row>
    <row r="7650" spans="13:13" x14ac:dyDescent="0.25">
      <c r="M7650" s="21"/>
    </row>
    <row r="7651" spans="13:13" x14ac:dyDescent="0.25">
      <c r="M7651" s="21"/>
    </row>
    <row r="7652" spans="13:13" x14ac:dyDescent="0.25">
      <c r="M7652" s="21"/>
    </row>
    <row r="7653" spans="13:13" x14ac:dyDescent="0.25">
      <c r="M7653" s="21"/>
    </row>
    <row r="7654" spans="13:13" x14ac:dyDescent="0.25">
      <c r="M7654" s="21"/>
    </row>
    <row r="7655" spans="13:13" x14ac:dyDescent="0.25">
      <c r="M7655" s="21"/>
    </row>
    <row r="7656" spans="13:13" x14ac:dyDescent="0.25">
      <c r="M7656" s="21"/>
    </row>
    <row r="7657" spans="13:13" x14ac:dyDescent="0.25">
      <c r="M7657" s="21"/>
    </row>
    <row r="7658" spans="13:13" x14ac:dyDescent="0.25">
      <c r="M7658" s="21"/>
    </row>
    <row r="7659" spans="13:13" x14ac:dyDescent="0.25">
      <c r="M7659" s="21"/>
    </row>
    <row r="7660" spans="13:13" x14ac:dyDescent="0.25">
      <c r="M7660" s="21"/>
    </row>
    <row r="7661" spans="13:13" x14ac:dyDescent="0.25">
      <c r="M7661" s="21"/>
    </row>
    <row r="7662" spans="13:13" x14ac:dyDescent="0.25">
      <c r="M7662" s="21"/>
    </row>
    <row r="7663" spans="13:13" x14ac:dyDescent="0.25">
      <c r="M7663" s="21"/>
    </row>
    <row r="7664" spans="13:13" x14ac:dyDescent="0.25">
      <c r="M7664" s="21"/>
    </row>
    <row r="7665" spans="13:13" x14ac:dyDescent="0.25">
      <c r="M7665" s="21"/>
    </row>
    <row r="7666" spans="13:13" x14ac:dyDescent="0.25">
      <c r="M7666" s="21"/>
    </row>
    <row r="7667" spans="13:13" x14ac:dyDescent="0.25">
      <c r="M7667" s="21"/>
    </row>
    <row r="7668" spans="13:13" x14ac:dyDescent="0.25">
      <c r="M7668" s="21"/>
    </row>
    <row r="7669" spans="13:13" x14ac:dyDescent="0.25">
      <c r="M7669" s="21"/>
    </row>
    <row r="7670" spans="13:13" x14ac:dyDescent="0.25">
      <c r="M7670" s="21"/>
    </row>
    <row r="7671" spans="13:13" x14ac:dyDescent="0.25">
      <c r="M7671" s="21"/>
    </row>
    <row r="7672" spans="13:13" x14ac:dyDescent="0.25">
      <c r="M7672" s="21"/>
    </row>
    <row r="7673" spans="13:13" x14ac:dyDescent="0.25">
      <c r="M7673" s="21"/>
    </row>
    <row r="7674" spans="13:13" x14ac:dyDescent="0.25">
      <c r="M7674" s="21"/>
    </row>
    <row r="7675" spans="13:13" x14ac:dyDescent="0.25">
      <c r="M7675" s="21"/>
    </row>
    <row r="7676" spans="13:13" x14ac:dyDescent="0.25">
      <c r="M7676" s="21"/>
    </row>
    <row r="7677" spans="13:13" x14ac:dyDescent="0.25">
      <c r="M7677" s="21"/>
    </row>
    <row r="7678" spans="13:13" x14ac:dyDescent="0.25">
      <c r="M7678" s="21"/>
    </row>
    <row r="7679" spans="13:13" x14ac:dyDescent="0.25">
      <c r="M7679" s="21"/>
    </row>
    <row r="7680" spans="13:13" x14ac:dyDescent="0.25">
      <c r="M7680" s="21"/>
    </row>
    <row r="7681" spans="13:13" x14ac:dyDescent="0.25">
      <c r="M7681" s="21"/>
    </row>
    <row r="7682" spans="13:13" x14ac:dyDescent="0.25">
      <c r="M7682" s="21"/>
    </row>
    <row r="7683" spans="13:13" x14ac:dyDescent="0.25">
      <c r="M7683" s="21"/>
    </row>
    <row r="7684" spans="13:13" x14ac:dyDescent="0.25">
      <c r="M7684" s="21"/>
    </row>
    <row r="7685" spans="13:13" x14ac:dyDescent="0.25">
      <c r="M7685" s="21"/>
    </row>
    <row r="7686" spans="13:13" x14ac:dyDescent="0.25">
      <c r="M7686" s="21"/>
    </row>
    <row r="7687" spans="13:13" x14ac:dyDescent="0.25">
      <c r="M7687" s="21"/>
    </row>
    <row r="7688" spans="13:13" x14ac:dyDescent="0.25">
      <c r="M7688" s="21"/>
    </row>
    <row r="7689" spans="13:13" x14ac:dyDescent="0.25">
      <c r="M7689" s="21"/>
    </row>
    <row r="7690" spans="13:13" x14ac:dyDescent="0.25">
      <c r="M7690" s="21"/>
    </row>
    <row r="7691" spans="13:13" x14ac:dyDescent="0.25">
      <c r="M7691" s="21"/>
    </row>
    <row r="7692" spans="13:13" x14ac:dyDescent="0.25">
      <c r="M7692" s="21"/>
    </row>
    <row r="7693" spans="13:13" x14ac:dyDescent="0.25">
      <c r="M7693" s="21"/>
    </row>
    <row r="7694" spans="13:13" x14ac:dyDescent="0.25">
      <c r="M7694" s="21"/>
    </row>
    <row r="7695" spans="13:13" x14ac:dyDescent="0.25">
      <c r="M7695" s="21"/>
    </row>
    <row r="7696" spans="13:13" x14ac:dyDescent="0.25">
      <c r="M7696" s="21"/>
    </row>
    <row r="7697" spans="13:13" x14ac:dyDescent="0.25">
      <c r="M7697" s="21"/>
    </row>
    <row r="7698" spans="13:13" x14ac:dyDescent="0.25">
      <c r="M7698" s="21"/>
    </row>
    <row r="7699" spans="13:13" x14ac:dyDescent="0.25">
      <c r="M7699" s="21"/>
    </row>
    <row r="7700" spans="13:13" x14ac:dyDescent="0.25">
      <c r="M7700" s="21"/>
    </row>
    <row r="7701" spans="13:13" x14ac:dyDescent="0.25">
      <c r="M7701" s="21"/>
    </row>
    <row r="7702" spans="13:13" x14ac:dyDescent="0.25">
      <c r="M7702" s="21"/>
    </row>
    <row r="7703" spans="13:13" x14ac:dyDescent="0.25">
      <c r="M7703" s="21"/>
    </row>
    <row r="7704" spans="13:13" x14ac:dyDescent="0.25">
      <c r="M7704" s="21"/>
    </row>
    <row r="7705" spans="13:13" x14ac:dyDescent="0.25">
      <c r="M7705" s="21"/>
    </row>
    <row r="7706" spans="13:13" x14ac:dyDescent="0.25">
      <c r="M7706" s="21"/>
    </row>
    <row r="7707" spans="13:13" x14ac:dyDescent="0.25">
      <c r="M7707" s="21"/>
    </row>
    <row r="7708" spans="13:13" x14ac:dyDescent="0.25">
      <c r="M7708" s="21"/>
    </row>
    <row r="7709" spans="13:13" x14ac:dyDescent="0.25">
      <c r="M7709" s="21"/>
    </row>
    <row r="7710" spans="13:13" x14ac:dyDescent="0.25">
      <c r="M7710" s="21"/>
    </row>
    <row r="7711" spans="13:13" x14ac:dyDescent="0.25">
      <c r="M7711" s="21"/>
    </row>
    <row r="7712" spans="13:13" x14ac:dyDescent="0.25">
      <c r="M7712" s="21"/>
    </row>
    <row r="7713" spans="13:13" x14ac:dyDescent="0.25">
      <c r="M7713" s="21"/>
    </row>
    <row r="7714" spans="13:13" x14ac:dyDescent="0.25">
      <c r="M7714" s="21"/>
    </row>
    <row r="7715" spans="13:13" x14ac:dyDescent="0.25">
      <c r="M7715" s="21"/>
    </row>
    <row r="7716" spans="13:13" x14ac:dyDescent="0.25">
      <c r="M7716" s="21"/>
    </row>
    <row r="7717" spans="13:13" x14ac:dyDescent="0.25">
      <c r="M7717" s="21"/>
    </row>
    <row r="7718" spans="13:13" x14ac:dyDescent="0.25">
      <c r="M7718" s="21"/>
    </row>
    <row r="7719" spans="13:13" x14ac:dyDescent="0.25">
      <c r="M7719" s="21"/>
    </row>
    <row r="7720" spans="13:13" x14ac:dyDescent="0.25">
      <c r="M7720" s="21"/>
    </row>
    <row r="7721" spans="13:13" x14ac:dyDescent="0.25">
      <c r="M7721" s="21"/>
    </row>
    <row r="7722" spans="13:13" x14ac:dyDescent="0.25">
      <c r="M7722" s="21"/>
    </row>
    <row r="7723" spans="13:13" x14ac:dyDescent="0.25">
      <c r="M7723" s="21"/>
    </row>
    <row r="7724" spans="13:13" x14ac:dyDescent="0.25">
      <c r="M7724" s="21"/>
    </row>
    <row r="7725" spans="13:13" x14ac:dyDescent="0.25">
      <c r="M7725" s="21"/>
    </row>
    <row r="7726" spans="13:13" x14ac:dyDescent="0.25">
      <c r="M7726" s="21"/>
    </row>
    <row r="7727" spans="13:13" x14ac:dyDescent="0.25">
      <c r="M7727" s="21"/>
    </row>
    <row r="7728" spans="13:13" x14ac:dyDescent="0.25">
      <c r="M7728" s="21"/>
    </row>
    <row r="7729" spans="13:13" x14ac:dyDescent="0.25">
      <c r="M7729" s="21"/>
    </row>
    <row r="7730" spans="13:13" x14ac:dyDescent="0.25">
      <c r="M7730" s="21"/>
    </row>
    <row r="7731" spans="13:13" x14ac:dyDescent="0.25">
      <c r="M7731" s="21"/>
    </row>
    <row r="7732" spans="13:13" x14ac:dyDescent="0.25">
      <c r="M7732" s="21"/>
    </row>
    <row r="7733" spans="13:13" x14ac:dyDescent="0.25">
      <c r="M7733" s="21"/>
    </row>
    <row r="7734" spans="13:13" x14ac:dyDescent="0.25">
      <c r="M7734" s="21"/>
    </row>
    <row r="7735" spans="13:13" x14ac:dyDescent="0.25">
      <c r="M7735" s="21"/>
    </row>
    <row r="7736" spans="13:13" x14ac:dyDescent="0.25">
      <c r="M7736" s="21"/>
    </row>
    <row r="7737" spans="13:13" x14ac:dyDescent="0.25">
      <c r="M7737" s="21"/>
    </row>
    <row r="7738" spans="13:13" x14ac:dyDescent="0.25">
      <c r="M7738" s="21"/>
    </row>
    <row r="7739" spans="13:13" x14ac:dyDescent="0.25">
      <c r="M7739" s="21"/>
    </row>
    <row r="7740" spans="13:13" x14ac:dyDescent="0.25">
      <c r="M7740" s="21"/>
    </row>
    <row r="7741" spans="13:13" x14ac:dyDescent="0.25">
      <c r="M7741" s="21"/>
    </row>
    <row r="7742" spans="13:13" x14ac:dyDescent="0.25">
      <c r="M7742" s="21"/>
    </row>
    <row r="7743" spans="13:13" x14ac:dyDescent="0.25">
      <c r="M7743" s="21"/>
    </row>
    <row r="7744" spans="13:13" x14ac:dyDescent="0.25">
      <c r="M7744" s="21"/>
    </row>
    <row r="7745" spans="13:13" x14ac:dyDescent="0.25">
      <c r="M7745" s="21"/>
    </row>
    <row r="7746" spans="13:13" x14ac:dyDescent="0.25">
      <c r="M7746" s="21"/>
    </row>
    <row r="7747" spans="13:13" x14ac:dyDescent="0.25">
      <c r="M7747" s="21"/>
    </row>
    <row r="7748" spans="13:13" x14ac:dyDescent="0.25">
      <c r="M7748" s="21"/>
    </row>
    <row r="7749" spans="13:13" x14ac:dyDescent="0.25">
      <c r="M7749" s="21"/>
    </row>
    <row r="7750" spans="13:13" x14ac:dyDescent="0.25">
      <c r="M7750" s="21"/>
    </row>
    <row r="7751" spans="13:13" x14ac:dyDescent="0.25">
      <c r="M7751" s="21"/>
    </row>
    <row r="7752" spans="13:13" x14ac:dyDescent="0.25">
      <c r="M7752" s="21"/>
    </row>
    <row r="7753" spans="13:13" x14ac:dyDescent="0.25">
      <c r="M7753" s="21"/>
    </row>
    <row r="7754" spans="13:13" x14ac:dyDescent="0.25">
      <c r="M7754" s="21"/>
    </row>
    <row r="7755" spans="13:13" x14ac:dyDescent="0.25">
      <c r="M7755" s="21"/>
    </row>
    <row r="7756" spans="13:13" x14ac:dyDescent="0.25">
      <c r="M7756" s="21"/>
    </row>
    <row r="7757" spans="13:13" x14ac:dyDescent="0.25">
      <c r="M7757" s="21"/>
    </row>
    <row r="7758" spans="13:13" x14ac:dyDescent="0.25">
      <c r="M7758" s="21"/>
    </row>
    <row r="7759" spans="13:13" x14ac:dyDescent="0.25">
      <c r="M7759" s="21"/>
    </row>
    <row r="7760" spans="13:13" x14ac:dyDescent="0.25">
      <c r="M7760" s="21"/>
    </row>
    <row r="7761" spans="13:13" x14ac:dyDescent="0.25">
      <c r="M7761" s="21"/>
    </row>
    <row r="7762" spans="13:13" x14ac:dyDescent="0.25">
      <c r="M7762" s="21"/>
    </row>
    <row r="7763" spans="13:13" x14ac:dyDescent="0.25">
      <c r="M7763" s="21"/>
    </row>
    <row r="7764" spans="13:13" x14ac:dyDescent="0.25">
      <c r="M7764" s="21"/>
    </row>
    <row r="7765" spans="13:13" x14ac:dyDescent="0.25">
      <c r="M7765" s="21"/>
    </row>
    <row r="7766" spans="13:13" x14ac:dyDescent="0.25">
      <c r="M7766" s="21"/>
    </row>
    <row r="7767" spans="13:13" x14ac:dyDescent="0.25">
      <c r="M7767" s="21"/>
    </row>
    <row r="7768" spans="13:13" x14ac:dyDescent="0.25">
      <c r="M7768" s="21"/>
    </row>
    <row r="7769" spans="13:13" x14ac:dyDescent="0.25">
      <c r="M7769" s="21"/>
    </row>
    <row r="7770" spans="13:13" x14ac:dyDescent="0.25">
      <c r="M7770" s="21"/>
    </row>
    <row r="7771" spans="13:13" x14ac:dyDescent="0.25">
      <c r="M7771" s="21"/>
    </row>
    <row r="7772" spans="13:13" x14ac:dyDescent="0.25">
      <c r="M7772" s="21"/>
    </row>
    <row r="7773" spans="13:13" x14ac:dyDescent="0.25">
      <c r="M7773" s="21"/>
    </row>
    <row r="7774" spans="13:13" x14ac:dyDescent="0.25">
      <c r="M7774" s="21"/>
    </row>
    <row r="7775" spans="13:13" x14ac:dyDescent="0.25">
      <c r="M7775" s="21"/>
    </row>
    <row r="7776" spans="13:13" x14ac:dyDescent="0.25">
      <c r="M7776" s="21"/>
    </row>
    <row r="7777" spans="13:13" x14ac:dyDescent="0.25">
      <c r="M7777" s="21"/>
    </row>
    <row r="7778" spans="13:13" x14ac:dyDescent="0.25">
      <c r="M7778" s="21"/>
    </row>
    <row r="7779" spans="13:13" x14ac:dyDescent="0.25">
      <c r="M7779" s="21"/>
    </row>
    <row r="7780" spans="13:13" x14ac:dyDescent="0.25">
      <c r="M7780" s="21"/>
    </row>
    <row r="7781" spans="13:13" x14ac:dyDescent="0.25">
      <c r="M7781" s="21"/>
    </row>
    <row r="7782" spans="13:13" x14ac:dyDescent="0.25">
      <c r="M7782" s="21"/>
    </row>
    <row r="7783" spans="13:13" x14ac:dyDescent="0.25">
      <c r="M7783" s="21"/>
    </row>
    <row r="7784" spans="13:13" x14ac:dyDescent="0.25">
      <c r="M7784" s="21"/>
    </row>
    <row r="7785" spans="13:13" x14ac:dyDescent="0.25">
      <c r="M7785" s="21"/>
    </row>
    <row r="7786" spans="13:13" x14ac:dyDescent="0.25">
      <c r="M7786" s="21"/>
    </row>
    <row r="7787" spans="13:13" x14ac:dyDescent="0.25">
      <c r="M7787" s="21"/>
    </row>
    <row r="7788" spans="13:13" x14ac:dyDescent="0.25">
      <c r="M7788" s="21"/>
    </row>
    <row r="7789" spans="13:13" x14ac:dyDescent="0.25">
      <c r="M7789" s="21"/>
    </row>
    <row r="7790" spans="13:13" x14ac:dyDescent="0.25">
      <c r="M7790" s="21"/>
    </row>
    <row r="7791" spans="13:13" x14ac:dyDescent="0.25">
      <c r="M7791" s="21"/>
    </row>
    <row r="7792" spans="13:13" x14ac:dyDescent="0.25">
      <c r="M7792" s="21"/>
    </row>
    <row r="7793" spans="13:13" x14ac:dyDescent="0.25">
      <c r="M7793" s="21"/>
    </row>
    <row r="7794" spans="13:13" x14ac:dyDescent="0.25">
      <c r="M7794" s="21"/>
    </row>
    <row r="7795" spans="13:13" x14ac:dyDescent="0.25">
      <c r="M7795" s="21"/>
    </row>
    <row r="7796" spans="13:13" x14ac:dyDescent="0.25">
      <c r="M7796" s="21"/>
    </row>
    <row r="7797" spans="13:13" x14ac:dyDescent="0.25">
      <c r="M7797" s="21"/>
    </row>
    <row r="7798" spans="13:13" x14ac:dyDescent="0.25">
      <c r="M7798" s="21"/>
    </row>
    <row r="7799" spans="13:13" x14ac:dyDescent="0.25">
      <c r="M7799" s="21"/>
    </row>
    <row r="7800" spans="13:13" x14ac:dyDescent="0.25">
      <c r="M7800" s="21"/>
    </row>
    <row r="7801" spans="13:13" x14ac:dyDescent="0.25">
      <c r="M7801" s="21"/>
    </row>
    <row r="7802" spans="13:13" x14ac:dyDescent="0.25">
      <c r="M7802" s="21"/>
    </row>
    <row r="7803" spans="13:13" x14ac:dyDescent="0.25">
      <c r="M7803" s="21"/>
    </row>
    <row r="7804" spans="13:13" x14ac:dyDescent="0.25">
      <c r="M7804" s="21"/>
    </row>
    <row r="7805" spans="13:13" x14ac:dyDescent="0.25">
      <c r="M7805" s="21"/>
    </row>
    <row r="7806" spans="13:13" x14ac:dyDescent="0.25">
      <c r="M7806" s="21"/>
    </row>
    <row r="7807" spans="13:13" x14ac:dyDescent="0.25">
      <c r="M7807" s="21"/>
    </row>
    <row r="7808" spans="13:13" x14ac:dyDescent="0.25">
      <c r="M7808" s="21"/>
    </row>
    <row r="7809" spans="13:13" x14ac:dyDescent="0.25">
      <c r="M7809" s="21"/>
    </row>
    <row r="7810" spans="13:13" x14ac:dyDescent="0.25">
      <c r="M7810" s="21"/>
    </row>
    <row r="7811" spans="13:13" x14ac:dyDescent="0.25">
      <c r="M7811" s="21"/>
    </row>
    <row r="7812" spans="13:13" x14ac:dyDescent="0.25">
      <c r="M7812" s="21"/>
    </row>
    <row r="7813" spans="13:13" x14ac:dyDescent="0.25">
      <c r="M7813" s="21"/>
    </row>
    <row r="7814" spans="13:13" x14ac:dyDescent="0.25">
      <c r="M7814" s="21"/>
    </row>
    <row r="7815" spans="13:13" x14ac:dyDescent="0.25">
      <c r="M7815" s="21"/>
    </row>
    <row r="7816" spans="13:13" x14ac:dyDescent="0.25">
      <c r="M7816" s="21"/>
    </row>
    <row r="7817" spans="13:13" x14ac:dyDescent="0.25">
      <c r="M7817" s="21"/>
    </row>
    <row r="7818" spans="13:13" x14ac:dyDescent="0.25">
      <c r="M7818" s="21"/>
    </row>
    <row r="7819" spans="13:13" x14ac:dyDescent="0.25">
      <c r="M7819" s="21"/>
    </row>
    <row r="7820" spans="13:13" x14ac:dyDescent="0.25">
      <c r="M7820" s="21"/>
    </row>
    <row r="7821" spans="13:13" x14ac:dyDescent="0.25">
      <c r="M7821" s="21"/>
    </row>
    <row r="7822" spans="13:13" x14ac:dyDescent="0.25">
      <c r="M7822" s="21"/>
    </row>
    <row r="7823" spans="13:13" x14ac:dyDescent="0.25">
      <c r="M7823" s="21"/>
    </row>
    <row r="7824" spans="13:13" x14ac:dyDescent="0.25">
      <c r="M7824" s="21"/>
    </row>
    <row r="7825" spans="13:13" x14ac:dyDescent="0.25">
      <c r="M7825" s="21"/>
    </row>
    <row r="7826" spans="13:13" x14ac:dyDescent="0.25">
      <c r="M7826" s="21"/>
    </row>
    <row r="7827" spans="13:13" x14ac:dyDescent="0.25">
      <c r="M7827" s="21"/>
    </row>
    <row r="7828" spans="13:13" x14ac:dyDescent="0.25">
      <c r="M7828" s="21"/>
    </row>
    <row r="7829" spans="13:13" x14ac:dyDescent="0.25">
      <c r="M7829" s="21"/>
    </row>
    <row r="7830" spans="13:13" x14ac:dyDescent="0.25">
      <c r="M7830" s="21"/>
    </row>
    <row r="7831" spans="13:13" x14ac:dyDescent="0.25">
      <c r="M7831" s="21"/>
    </row>
    <row r="7832" spans="13:13" x14ac:dyDescent="0.25">
      <c r="M7832" s="21"/>
    </row>
    <row r="7833" spans="13:13" x14ac:dyDescent="0.25">
      <c r="M7833" s="21"/>
    </row>
    <row r="7834" spans="13:13" x14ac:dyDescent="0.25">
      <c r="M7834" s="21"/>
    </row>
    <row r="7835" spans="13:13" x14ac:dyDescent="0.25">
      <c r="M7835" s="21"/>
    </row>
    <row r="7836" spans="13:13" x14ac:dyDescent="0.25">
      <c r="M7836" s="21"/>
    </row>
    <row r="7837" spans="13:13" x14ac:dyDescent="0.25">
      <c r="M7837" s="21"/>
    </row>
    <row r="7838" spans="13:13" x14ac:dyDescent="0.25">
      <c r="M7838" s="21"/>
    </row>
    <row r="7839" spans="13:13" x14ac:dyDescent="0.25">
      <c r="M7839" s="21"/>
    </row>
    <row r="7840" spans="13:13" x14ac:dyDescent="0.25">
      <c r="M7840" s="21"/>
    </row>
    <row r="7841" spans="13:13" x14ac:dyDescent="0.25">
      <c r="M7841" s="21"/>
    </row>
    <row r="7842" spans="13:13" x14ac:dyDescent="0.25">
      <c r="M7842" s="21"/>
    </row>
    <row r="7843" spans="13:13" x14ac:dyDescent="0.25">
      <c r="M7843" s="21"/>
    </row>
    <row r="7844" spans="13:13" x14ac:dyDescent="0.25">
      <c r="M7844" s="21"/>
    </row>
    <row r="7845" spans="13:13" x14ac:dyDescent="0.25">
      <c r="M7845" s="21"/>
    </row>
    <row r="7846" spans="13:13" x14ac:dyDescent="0.25">
      <c r="M7846" s="21"/>
    </row>
    <row r="7847" spans="13:13" x14ac:dyDescent="0.25">
      <c r="M7847" s="21"/>
    </row>
    <row r="7848" spans="13:13" x14ac:dyDescent="0.25">
      <c r="M7848" s="21"/>
    </row>
    <row r="7849" spans="13:13" x14ac:dyDescent="0.25">
      <c r="M7849" s="21"/>
    </row>
    <row r="7850" spans="13:13" x14ac:dyDescent="0.25">
      <c r="M7850" s="21"/>
    </row>
    <row r="7851" spans="13:13" x14ac:dyDescent="0.25">
      <c r="M7851" s="21"/>
    </row>
    <row r="7852" spans="13:13" x14ac:dyDescent="0.25">
      <c r="M7852" s="21"/>
    </row>
    <row r="7853" spans="13:13" x14ac:dyDescent="0.25">
      <c r="M7853" s="21"/>
    </row>
    <row r="7854" spans="13:13" x14ac:dyDescent="0.25">
      <c r="M7854" s="21"/>
    </row>
    <row r="7855" spans="13:13" x14ac:dyDescent="0.25">
      <c r="M7855" s="21"/>
    </row>
    <row r="7856" spans="13:13" x14ac:dyDescent="0.25">
      <c r="M7856" s="21"/>
    </row>
    <row r="7857" spans="13:13" x14ac:dyDescent="0.25">
      <c r="M7857" s="21"/>
    </row>
    <row r="7858" spans="13:13" x14ac:dyDescent="0.25">
      <c r="M7858" s="21"/>
    </row>
    <row r="7859" spans="13:13" x14ac:dyDescent="0.25">
      <c r="M7859" s="21"/>
    </row>
    <row r="7860" spans="13:13" x14ac:dyDescent="0.25">
      <c r="M7860" s="21"/>
    </row>
    <row r="7861" spans="13:13" x14ac:dyDescent="0.25">
      <c r="M7861" s="21"/>
    </row>
    <row r="7862" spans="13:13" x14ac:dyDescent="0.25">
      <c r="M7862" s="21"/>
    </row>
    <row r="7863" spans="13:13" x14ac:dyDescent="0.25">
      <c r="M7863" s="21"/>
    </row>
    <row r="7864" spans="13:13" x14ac:dyDescent="0.25">
      <c r="M7864" s="21"/>
    </row>
    <row r="7865" spans="13:13" x14ac:dyDescent="0.25">
      <c r="M7865" s="21"/>
    </row>
    <row r="7866" spans="13:13" x14ac:dyDescent="0.25">
      <c r="M7866" s="21"/>
    </row>
    <row r="7867" spans="13:13" x14ac:dyDescent="0.25">
      <c r="M7867" s="21"/>
    </row>
    <row r="7868" spans="13:13" x14ac:dyDescent="0.25">
      <c r="M7868" s="21"/>
    </row>
    <row r="7869" spans="13:13" x14ac:dyDescent="0.25">
      <c r="M7869" s="21"/>
    </row>
    <row r="7870" spans="13:13" x14ac:dyDescent="0.25">
      <c r="M7870" s="21"/>
    </row>
    <row r="7871" spans="13:13" x14ac:dyDescent="0.25">
      <c r="M7871" s="21"/>
    </row>
    <row r="7872" spans="13:13" x14ac:dyDescent="0.25">
      <c r="M7872" s="21"/>
    </row>
    <row r="7873" spans="13:13" x14ac:dyDescent="0.25">
      <c r="M7873" s="21"/>
    </row>
    <row r="7874" spans="13:13" x14ac:dyDescent="0.25">
      <c r="M7874" s="21"/>
    </row>
    <row r="7875" spans="13:13" x14ac:dyDescent="0.25">
      <c r="M7875" s="21"/>
    </row>
    <row r="7876" spans="13:13" x14ac:dyDescent="0.25">
      <c r="M7876" s="21"/>
    </row>
    <row r="7877" spans="13:13" x14ac:dyDescent="0.25">
      <c r="M7877" s="21"/>
    </row>
    <row r="7878" spans="13:13" x14ac:dyDescent="0.25">
      <c r="M7878" s="21"/>
    </row>
    <row r="7879" spans="13:13" x14ac:dyDescent="0.25">
      <c r="M7879" s="21"/>
    </row>
    <row r="7880" spans="13:13" x14ac:dyDescent="0.25">
      <c r="M7880" s="21"/>
    </row>
    <row r="7881" spans="13:13" x14ac:dyDescent="0.25">
      <c r="M7881" s="21"/>
    </row>
    <row r="7882" spans="13:13" x14ac:dyDescent="0.25">
      <c r="M7882" s="21"/>
    </row>
    <row r="7883" spans="13:13" x14ac:dyDescent="0.25">
      <c r="M7883" s="21"/>
    </row>
    <row r="7884" spans="13:13" x14ac:dyDescent="0.25">
      <c r="M7884" s="21"/>
    </row>
    <row r="7885" spans="13:13" x14ac:dyDescent="0.25">
      <c r="M7885" s="21"/>
    </row>
    <row r="7886" spans="13:13" x14ac:dyDescent="0.25">
      <c r="M7886" s="21"/>
    </row>
    <row r="7887" spans="13:13" x14ac:dyDescent="0.25">
      <c r="M7887" s="21"/>
    </row>
    <row r="7888" spans="13:13" x14ac:dyDescent="0.25">
      <c r="M7888" s="21"/>
    </row>
    <row r="7889" spans="13:13" x14ac:dyDescent="0.25">
      <c r="M7889" s="21"/>
    </row>
    <row r="7890" spans="13:13" x14ac:dyDescent="0.25">
      <c r="M7890" s="21"/>
    </row>
    <row r="7891" spans="13:13" x14ac:dyDescent="0.25">
      <c r="M7891" s="21"/>
    </row>
    <row r="7892" spans="13:13" x14ac:dyDescent="0.25">
      <c r="M7892" s="21"/>
    </row>
    <row r="7893" spans="13:13" x14ac:dyDescent="0.25">
      <c r="M7893" s="21"/>
    </row>
    <row r="7894" spans="13:13" x14ac:dyDescent="0.25">
      <c r="M7894" s="21"/>
    </row>
    <row r="7895" spans="13:13" x14ac:dyDescent="0.25">
      <c r="M7895" s="21"/>
    </row>
    <row r="7896" spans="13:13" x14ac:dyDescent="0.25">
      <c r="M7896" s="21"/>
    </row>
    <row r="7897" spans="13:13" x14ac:dyDescent="0.25">
      <c r="M7897" s="21"/>
    </row>
    <row r="7898" spans="13:13" x14ac:dyDescent="0.25">
      <c r="M7898" s="21"/>
    </row>
    <row r="7899" spans="13:13" x14ac:dyDescent="0.25">
      <c r="M7899" s="21"/>
    </row>
    <row r="7900" spans="13:13" x14ac:dyDescent="0.25">
      <c r="M7900" s="21"/>
    </row>
    <row r="7901" spans="13:13" x14ac:dyDescent="0.25">
      <c r="M7901" s="21"/>
    </row>
    <row r="7902" spans="13:13" x14ac:dyDescent="0.25">
      <c r="M7902" s="21"/>
    </row>
    <row r="7903" spans="13:13" x14ac:dyDescent="0.25">
      <c r="M7903" s="21"/>
    </row>
    <row r="7904" spans="13:13" x14ac:dyDescent="0.25">
      <c r="M7904" s="21"/>
    </row>
    <row r="7905" spans="13:13" x14ac:dyDescent="0.25">
      <c r="M7905" s="21"/>
    </row>
    <row r="7906" spans="13:13" x14ac:dyDescent="0.25">
      <c r="M7906" s="21"/>
    </row>
    <row r="7907" spans="13:13" x14ac:dyDescent="0.25">
      <c r="M7907" s="21"/>
    </row>
    <row r="7908" spans="13:13" x14ac:dyDescent="0.25">
      <c r="M7908" s="21"/>
    </row>
    <row r="7909" spans="13:13" x14ac:dyDescent="0.25">
      <c r="M7909" s="21"/>
    </row>
    <row r="7910" spans="13:13" x14ac:dyDescent="0.25">
      <c r="M7910" s="21"/>
    </row>
    <row r="7911" spans="13:13" x14ac:dyDescent="0.25">
      <c r="M7911" s="21"/>
    </row>
    <row r="7912" spans="13:13" x14ac:dyDescent="0.25">
      <c r="M7912" s="21"/>
    </row>
    <row r="7913" spans="13:13" x14ac:dyDescent="0.25">
      <c r="M7913" s="21"/>
    </row>
    <row r="7914" spans="13:13" x14ac:dyDescent="0.25">
      <c r="M7914" s="21"/>
    </row>
    <row r="7915" spans="13:13" x14ac:dyDescent="0.25">
      <c r="M7915" s="21"/>
    </row>
    <row r="7916" spans="13:13" x14ac:dyDescent="0.25">
      <c r="M7916" s="21"/>
    </row>
    <row r="7917" spans="13:13" x14ac:dyDescent="0.25">
      <c r="M7917" s="21"/>
    </row>
    <row r="7918" spans="13:13" x14ac:dyDescent="0.25">
      <c r="M7918" s="21"/>
    </row>
    <row r="7919" spans="13:13" x14ac:dyDescent="0.25">
      <c r="M7919" s="21"/>
    </row>
    <row r="7920" spans="13:13" x14ac:dyDescent="0.25">
      <c r="M7920" s="21"/>
    </row>
    <row r="7921" spans="13:13" x14ac:dyDescent="0.25">
      <c r="M7921" s="21"/>
    </row>
    <row r="7922" spans="13:13" x14ac:dyDescent="0.25">
      <c r="M7922" s="21"/>
    </row>
    <row r="7923" spans="13:13" x14ac:dyDescent="0.25">
      <c r="M7923" s="21"/>
    </row>
    <row r="7924" spans="13:13" x14ac:dyDescent="0.25">
      <c r="M7924" s="21"/>
    </row>
    <row r="7925" spans="13:13" x14ac:dyDescent="0.25">
      <c r="M7925" s="21"/>
    </row>
    <row r="7926" spans="13:13" x14ac:dyDescent="0.25">
      <c r="M7926" s="21"/>
    </row>
    <row r="7927" spans="13:13" x14ac:dyDescent="0.25">
      <c r="M7927" s="21"/>
    </row>
    <row r="7928" spans="13:13" x14ac:dyDescent="0.25">
      <c r="M7928" s="21"/>
    </row>
    <row r="7929" spans="13:13" x14ac:dyDescent="0.25">
      <c r="M7929" s="21"/>
    </row>
    <row r="7930" spans="13:13" x14ac:dyDescent="0.25">
      <c r="M7930" s="21"/>
    </row>
    <row r="7931" spans="13:13" x14ac:dyDescent="0.25">
      <c r="M7931" s="21"/>
    </row>
    <row r="7932" spans="13:13" x14ac:dyDescent="0.25">
      <c r="M7932" s="21"/>
    </row>
    <row r="7933" spans="13:13" x14ac:dyDescent="0.25">
      <c r="M7933" s="21"/>
    </row>
    <row r="7934" spans="13:13" x14ac:dyDescent="0.25">
      <c r="M7934" s="21"/>
    </row>
    <row r="7935" spans="13:13" x14ac:dyDescent="0.25">
      <c r="M7935" s="21"/>
    </row>
    <row r="7936" spans="13:13" x14ac:dyDescent="0.25">
      <c r="M7936" s="21"/>
    </row>
    <row r="7937" spans="13:13" x14ac:dyDescent="0.25">
      <c r="M7937" s="21"/>
    </row>
    <row r="7938" spans="13:13" x14ac:dyDescent="0.25">
      <c r="M7938" s="21"/>
    </row>
    <row r="7939" spans="13:13" x14ac:dyDescent="0.25">
      <c r="M7939" s="21"/>
    </row>
    <row r="7940" spans="13:13" x14ac:dyDescent="0.25">
      <c r="M7940" s="21"/>
    </row>
    <row r="7941" spans="13:13" x14ac:dyDescent="0.25">
      <c r="M7941" s="21"/>
    </row>
    <row r="7942" spans="13:13" x14ac:dyDescent="0.25">
      <c r="M7942" s="21"/>
    </row>
    <row r="7943" spans="13:13" x14ac:dyDescent="0.25">
      <c r="M7943" s="21"/>
    </row>
    <row r="7944" spans="13:13" x14ac:dyDescent="0.25">
      <c r="M7944" s="21"/>
    </row>
    <row r="7945" spans="13:13" x14ac:dyDescent="0.25">
      <c r="M7945" s="21"/>
    </row>
    <row r="7946" spans="13:13" x14ac:dyDescent="0.25">
      <c r="M7946" s="21"/>
    </row>
    <row r="7947" spans="13:13" x14ac:dyDescent="0.25">
      <c r="M7947" s="21"/>
    </row>
    <row r="7948" spans="13:13" x14ac:dyDescent="0.25">
      <c r="M7948" s="21"/>
    </row>
    <row r="7949" spans="13:13" x14ac:dyDescent="0.25">
      <c r="M7949" s="21"/>
    </row>
    <row r="7950" spans="13:13" x14ac:dyDescent="0.25">
      <c r="M7950" s="21"/>
    </row>
    <row r="7951" spans="13:13" x14ac:dyDescent="0.25">
      <c r="M7951" s="21"/>
    </row>
    <row r="7952" spans="13:13" x14ac:dyDescent="0.25">
      <c r="M7952" s="21"/>
    </row>
    <row r="7953" spans="13:13" x14ac:dyDescent="0.25">
      <c r="M7953" s="21"/>
    </row>
    <row r="7954" spans="13:13" x14ac:dyDescent="0.25">
      <c r="M7954" s="21"/>
    </row>
    <row r="7955" spans="13:13" x14ac:dyDescent="0.25">
      <c r="M7955" s="21"/>
    </row>
    <row r="7956" spans="13:13" x14ac:dyDescent="0.25">
      <c r="M7956" s="21"/>
    </row>
    <row r="7957" spans="13:13" x14ac:dyDescent="0.25">
      <c r="M7957" s="21"/>
    </row>
    <row r="7958" spans="13:13" x14ac:dyDescent="0.25">
      <c r="M7958" s="21"/>
    </row>
    <row r="7959" spans="13:13" x14ac:dyDescent="0.25">
      <c r="M7959" s="21"/>
    </row>
    <row r="7960" spans="13:13" x14ac:dyDescent="0.25">
      <c r="M7960" s="21"/>
    </row>
    <row r="7961" spans="13:13" x14ac:dyDescent="0.25">
      <c r="M7961" s="21"/>
    </row>
    <row r="7962" spans="13:13" x14ac:dyDescent="0.25">
      <c r="M7962" s="21"/>
    </row>
    <row r="7963" spans="13:13" x14ac:dyDescent="0.25">
      <c r="M7963" s="21"/>
    </row>
    <row r="7964" spans="13:13" x14ac:dyDescent="0.25">
      <c r="M7964" s="21"/>
    </row>
    <row r="7965" spans="13:13" x14ac:dyDescent="0.25">
      <c r="M7965" s="21"/>
    </row>
    <row r="7966" spans="13:13" x14ac:dyDescent="0.25">
      <c r="M7966" s="21"/>
    </row>
    <row r="7967" spans="13:13" x14ac:dyDescent="0.25">
      <c r="M7967" s="21"/>
    </row>
    <row r="7968" spans="13:13" x14ac:dyDescent="0.25">
      <c r="M7968" s="21"/>
    </row>
    <row r="7969" spans="13:13" x14ac:dyDescent="0.25">
      <c r="M7969" s="21"/>
    </row>
    <row r="7970" spans="13:13" x14ac:dyDescent="0.25">
      <c r="M7970" s="21"/>
    </row>
    <row r="7971" spans="13:13" x14ac:dyDescent="0.25">
      <c r="M7971" s="21"/>
    </row>
    <row r="7972" spans="13:13" x14ac:dyDescent="0.25">
      <c r="M7972" s="21"/>
    </row>
    <row r="7973" spans="13:13" x14ac:dyDescent="0.25">
      <c r="M7973" s="21"/>
    </row>
    <row r="7974" spans="13:13" x14ac:dyDescent="0.25">
      <c r="M7974" s="21"/>
    </row>
    <row r="7975" spans="13:13" x14ac:dyDescent="0.25">
      <c r="M7975" s="21"/>
    </row>
    <row r="7976" spans="13:13" x14ac:dyDescent="0.25">
      <c r="M7976" s="21"/>
    </row>
    <row r="7977" spans="13:13" x14ac:dyDescent="0.25">
      <c r="M7977" s="21"/>
    </row>
    <row r="7978" spans="13:13" x14ac:dyDescent="0.25">
      <c r="M7978" s="21"/>
    </row>
    <row r="7979" spans="13:13" x14ac:dyDescent="0.25">
      <c r="M7979" s="21"/>
    </row>
    <row r="7980" spans="13:13" x14ac:dyDescent="0.25">
      <c r="M7980" s="21"/>
    </row>
    <row r="7981" spans="13:13" x14ac:dyDescent="0.25">
      <c r="M7981" s="21"/>
    </row>
    <row r="7982" spans="13:13" x14ac:dyDescent="0.25">
      <c r="M7982" s="21"/>
    </row>
    <row r="7983" spans="13:13" x14ac:dyDescent="0.25">
      <c r="M7983" s="21"/>
    </row>
    <row r="7984" spans="13:13" x14ac:dyDescent="0.25">
      <c r="M7984" s="21"/>
    </row>
    <row r="7985" spans="13:13" x14ac:dyDescent="0.25">
      <c r="M7985" s="21"/>
    </row>
    <row r="7986" spans="13:13" x14ac:dyDescent="0.25">
      <c r="M7986" s="21"/>
    </row>
    <row r="7987" spans="13:13" x14ac:dyDescent="0.25">
      <c r="M7987" s="21"/>
    </row>
    <row r="7988" spans="13:13" x14ac:dyDescent="0.25">
      <c r="M7988" s="21"/>
    </row>
    <row r="7989" spans="13:13" x14ac:dyDescent="0.25">
      <c r="M7989" s="21"/>
    </row>
    <row r="7990" spans="13:13" x14ac:dyDescent="0.25">
      <c r="M7990" s="21"/>
    </row>
    <row r="7991" spans="13:13" x14ac:dyDescent="0.25">
      <c r="M7991" s="21"/>
    </row>
    <row r="7992" spans="13:13" x14ac:dyDescent="0.25">
      <c r="M7992" s="21"/>
    </row>
    <row r="7993" spans="13:13" x14ac:dyDescent="0.25">
      <c r="M7993" s="21"/>
    </row>
    <row r="7994" spans="13:13" x14ac:dyDescent="0.25">
      <c r="M7994" s="21"/>
    </row>
    <row r="7995" spans="13:13" x14ac:dyDescent="0.25">
      <c r="M7995" s="21"/>
    </row>
    <row r="7996" spans="13:13" x14ac:dyDescent="0.25">
      <c r="M7996" s="21"/>
    </row>
    <row r="7997" spans="13:13" x14ac:dyDescent="0.25">
      <c r="M7997" s="21"/>
    </row>
    <row r="7998" spans="13:13" x14ac:dyDescent="0.25">
      <c r="M7998" s="21"/>
    </row>
    <row r="7999" spans="13:13" x14ac:dyDescent="0.25">
      <c r="M7999" s="21"/>
    </row>
    <row r="8000" spans="13:13" x14ac:dyDescent="0.25">
      <c r="M8000" s="21"/>
    </row>
    <row r="8001" spans="13:13" x14ac:dyDescent="0.25">
      <c r="M8001" s="21"/>
    </row>
    <row r="8002" spans="13:13" x14ac:dyDescent="0.25">
      <c r="M8002" s="21"/>
    </row>
    <row r="8003" spans="13:13" x14ac:dyDescent="0.25">
      <c r="M8003" s="21"/>
    </row>
    <row r="8004" spans="13:13" x14ac:dyDescent="0.25">
      <c r="M8004" s="21"/>
    </row>
    <row r="8005" spans="13:13" x14ac:dyDescent="0.25">
      <c r="M8005" s="21"/>
    </row>
    <row r="8006" spans="13:13" x14ac:dyDescent="0.25">
      <c r="M8006" s="21"/>
    </row>
    <row r="8007" spans="13:13" x14ac:dyDescent="0.25">
      <c r="M8007" s="21"/>
    </row>
    <row r="8008" spans="13:13" x14ac:dyDescent="0.25">
      <c r="M8008" s="21"/>
    </row>
    <row r="8009" spans="13:13" x14ac:dyDescent="0.25">
      <c r="M8009" s="21"/>
    </row>
    <row r="8010" spans="13:13" x14ac:dyDescent="0.25">
      <c r="M8010" s="21"/>
    </row>
    <row r="8011" spans="13:13" x14ac:dyDescent="0.25">
      <c r="M8011" s="21"/>
    </row>
    <row r="8012" spans="13:13" x14ac:dyDescent="0.25">
      <c r="M8012" s="21"/>
    </row>
    <row r="8013" spans="13:13" x14ac:dyDescent="0.25">
      <c r="M8013" s="21"/>
    </row>
    <row r="8014" spans="13:13" x14ac:dyDescent="0.25">
      <c r="M8014" s="21"/>
    </row>
    <row r="8015" spans="13:13" x14ac:dyDescent="0.25">
      <c r="M8015" s="21"/>
    </row>
    <row r="8016" spans="13:13" x14ac:dyDescent="0.25">
      <c r="M8016" s="21"/>
    </row>
    <row r="8017" spans="13:13" x14ac:dyDescent="0.25">
      <c r="M8017" s="21"/>
    </row>
    <row r="8018" spans="13:13" x14ac:dyDescent="0.25">
      <c r="M8018" s="21"/>
    </row>
    <row r="8019" spans="13:13" x14ac:dyDescent="0.25">
      <c r="M8019" s="21"/>
    </row>
    <row r="8020" spans="13:13" x14ac:dyDescent="0.25">
      <c r="M8020" s="21"/>
    </row>
    <row r="8021" spans="13:13" x14ac:dyDescent="0.25">
      <c r="M8021" s="21"/>
    </row>
    <row r="8022" spans="13:13" x14ac:dyDescent="0.25">
      <c r="M8022" s="21"/>
    </row>
    <row r="8023" spans="13:13" x14ac:dyDescent="0.25">
      <c r="M8023" s="21"/>
    </row>
    <row r="8024" spans="13:13" x14ac:dyDescent="0.25">
      <c r="M8024" s="21"/>
    </row>
    <row r="8025" spans="13:13" x14ac:dyDescent="0.25">
      <c r="M8025" s="21"/>
    </row>
    <row r="8026" spans="13:13" x14ac:dyDescent="0.25">
      <c r="M8026" s="21"/>
    </row>
    <row r="8027" spans="13:13" x14ac:dyDescent="0.25">
      <c r="M8027" s="21"/>
    </row>
    <row r="8028" spans="13:13" x14ac:dyDescent="0.25">
      <c r="M8028" s="21"/>
    </row>
    <row r="8029" spans="13:13" x14ac:dyDescent="0.25">
      <c r="M8029" s="21"/>
    </row>
    <row r="8030" spans="13:13" x14ac:dyDescent="0.25">
      <c r="M8030" s="21"/>
    </row>
    <row r="8031" spans="13:13" x14ac:dyDescent="0.25">
      <c r="M8031" s="21"/>
    </row>
    <row r="8032" spans="13:13" x14ac:dyDescent="0.25">
      <c r="M8032" s="21"/>
    </row>
    <row r="8033" spans="13:13" x14ac:dyDescent="0.25">
      <c r="M8033" s="21"/>
    </row>
    <row r="8034" spans="13:13" x14ac:dyDescent="0.25">
      <c r="M8034" s="21"/>
    </row>
    <row r="8035" spans="13:13" x14ac:dyDescent="0.25">
      <c r="M8035" s="21"/>
    </row>
    <row r="8036" spans="13:13" x14ac:dyDescent="0.25">
      <c r="M8036" s="21"/>
    </row>
    <row r="8037" spans="13:13" x14ac:dyDescent="0.25">
      <c r="M8037" s="21"/>
    </row>
    <row r="8038" spans="13:13" x14ac:dyDescent="0.25">
      <c r="M8038" s="21"/>
    </row>
    <row r="8039" spans="13:13" x14ac:dyDescent="0.25">
      <c r="M8039" s="21"/>
    </row>
    <row r="8040" spans="13:13" x14ac:dyDescent="0.25">
      <c r="M8040" s="21"/>
    </row>
    <row r="8041" spans="13:13" x14ac:dyDescent="0.25">
      <c r="M8041" s="21"/>
    </row>
    <row r="8042" spans="13:13" x14ac:dyDescent="0.25">
      <c r="M8042" s="21"/>
    </row>
    <row r="8043" spans="13:13" x14ac:dyDescent="0.25">
      <c r="M8043" s="21"/>
    </row>
    <row r="8044" spans="13:13" x14ac:dyDescent="0.25">
      <c r="M8044" s="21"/>
    </row>
    <row r="8045" spans="13:13" x14ac:dyDescent="0.25">
      <c r="M8045" s="21"/>
    </row>
    <row r="8046" spans="13:13" x14ac:dyDescent="0.25">
      <c r="M8046" s="21"/>
    </row>
    <row r="8047" spans="13:13" x14ac:dyDescent="0.25">
      <c r="M8047" s="21"/>
    </row>
    <row r="8048" spans="13:13" x14ac:dyDescent="0.25">
      <c r="M8048" s="21"/>
    </row>
    <row r="8049" spans="13:13" x14ac:dyDescent="0.25">
      <c r="M8049" s="21"/>
    </row>
    <row r="8050" spans="13:13" x14ac:dyDescent="0.25">
      <c r="M8050" s="21"/>
    </row>
    <row r="8051" spans="13:13" x14ac:dyDescent="0.25">
      <c r="M8051" s="21"/>
    </row>
    <row r="8052" spans="13:13" x14ac:dyDescent="0.25">
      <c r="M8052" s="21"/>
    </row>
    <row r="8053" spans="13:13" x14ac:dyDescent="0.25">
      <c r="M8053" s="21"/>
    </row>
    <row r="8054" spans="13:13" x14ac:dyDescent="0.25">
      <c r="M8054" s="21"/>
    </row>
    <row r="8055" spans="13:13" x14ac:dyDescent="0.25">
      <c r="M8055" s="21"/>
    </row>
    <row r="8056" spans="13:13" x14ac:dyDescent="0.25">
      <c r="M8056" s="21"/>
    </row>
    <row r="8057" spans="13:13" x14ac:dyDescent="0.25">
      <c r="M8057" s="21"/>
    </row>
    <row r="8058" spans="13:13" x14ac:dyDescent="0.25">
      <c r="M8058" s="21"/>
    </row>
    <row r="8059" spans="13:13" x14ac:dyDescent="0.25">
      <c r="M8059" s="21"/>
    </row>
    <row r="8060" spans="13:13" x14ac:dyDescent="0.25">
      <c r="M8060" s="21"/>
    </row>
    <row r="8061" spans="13:13" x14ac:dyDescent="0.25">
      <c r="M8061" s="21"/>
    </row>
    <row r="8062" spans="13:13" x14ac:dyDescent="0.25">
      <c r="M8062" s="21"/>
    </row>
    <row r="8063" spans="13:13" x14ac:dyDescent="0.25">
      <c r="M8063" s="21"/>
    </row>
    <row r="8064" spans="13:13" x14ac:dyDescent="0.25">
      <c r="M8064" s="21"/>
    </row>
    <row r="8065" spans="13:13" x14ac:dyDescent="0.25">
      <c r="M8065" s="21"/>
    </row>
    <row r="8066" spans="13:13" x14ac:dyDescent="0.25">
      <c r="M8066" s="21"/>
    </row>
    <row r="8067" spans="13:13" x14ac:dyDescent="0.25">
      <c r="M8067" s="21"/>
    </row>
    <row r="8068" spans="13:13" x14ac:dyDescent="0.25">
      <c r="M8068" s="21"/>
    </row>
    <row r="8069" spans="13:13" x14ac:dyDescent="0.25">
      <c r="M8069" s="21"/>
    </row>
    <row r="8070" spans="13:13" x14ac:dyDescent="0.25">
      <c r="M8070" s="21"/>
    </row>
    <row r="8071" spans="13:13" x14ac:dyDescent="0.25">
      <c r="M8071" s="21"/>
    </row>
    <row r="8072" spans="13:13" x14ac:dyDescent="0.25">
      <c r="M8072" s="21"/>
    </row>
    <row r="8073" spans="13:13" x14ac:dyDescent="0.25">
      <c r="M8073" s="21"/>
    </row>
    <row r="8074" spans="13:13" x14ac:dyDescent="0.25">
      <c r="M8074" s="21"/>
    </row>
    <row r="8075" spans="13:13" x14ac:dyDescent="0.25">
      <c r="M8075" s="21"/>
    </row>
    <row r="8076" spans="13:13" x14ac:dyDescent="0.25">
      <c r="M8076" s="21"/>
    </row>
    <row r="8077" spans="13:13" x14ac:dyDescent="0.25">
      <c r="M8077" s="21"/>
    </row>
    <row r="8078" spans="13:13" x14ac:dyDescent="0.25">
      <c r="M8078" s="21"/>
    </row>
    <row r="8079" spans="13:13" x14ac:dyDescent="0.25">
      <c r="M8079" s="21"/>
    </row>
    <row r="8080" spans="13:13" x14ac:dyDescent="0.25">
      <c r="M8080" s="21"/>
    </row>
    <row r="8081" spans="13:13" x14ac:dyDescent="0.25">
      <c r="M8081" s="21"/>
    </row>
    <row r="8082" spans="13:13" x14ac:dyDescent="0.25">
      <c r="M8082" s="21"/>
    </row>
    <row r="8083" spans="13:13" x14ac:dyDescent="0.25">
      <c r="M8083" s="21"/>
    </row>
    <row r="8084" spans="13:13" x14ac:dyDescent="0.25">
      <c r="M8084" s="21"/>
    </row>
    <row r="8085" spans="13:13" x14ac:dyDescent="0.25">
      <c r="M8085" s="21"/>
    </row>
    <row r="8086" spans="13:13" x14ac:dyDescent="0.25">
      <c r="M8086" s="21"/>
    </row>
    <row r="8087" spans="13:13" x14ac:dyDescent="0.25">
      <c r="M8087" s="21"/>
    </row>
    <row r="8088" spans="13:13" x14ac:dyDescent="0.25">
      <c r="M8088" s="21"/>
    </row>
    <row r="8089" spans="13:13" x14ac:dyDescent="0.25">
      <c r="M8089" s="21"/>
    </row>
    <row r="8090" spans="13:13" x14ac:dyDescent="0.25">
      <c r="M8090" s="21"/>
    </row>
    <row r="8091" spans="13:13" x14ac:dyDescent="0.25">
      <c r="M8091" s="21"/>
    </row>
    <row r="8092" spans="13:13" x14ac:dyDescent="0.25">
      <c r="M8092" s="21"/>
    </row>
    <row r="8093" spans="13:13" x14ac:dyDescent="0.25">
      <c r="M8093" s="21"/>
    </row>
    <row r="8094" spans="13:13" x14ac:dyDescent="0.25">
      <c r="M8094" s="21"/>
    </row>
    <row r="8095" spans="13:13" x14ac:dyDescent="0.25">
      <c r="M8095" s="21"/>
    </row>
    <row r="8096" spans="13:13" x14ac:dyDescent="0.25">
      <c r="M8096" s="21"/>
    </row>
    <row r="8097" spans="13:13" x14ac:dyDescent="0.25">
      <c r="M8097" s="21"/>
    </row>
    <row r="8098" spans="13:13" x14ac:dyDescent="0.25">
      <c r="M8098" s="21"/>
    </row>
    <row r="8099" spans="13:13" x14ac:dyDescent="0.25">
      <c r="M8099" s="21"/>
    </row>
    <row r="8100" spans="13:13" x14ac:dyDescent="0.25">
      <c r="M8100" s="21"/>
    </row>
    <row r="8101" spans="13:13" x14ac:dyDescent="0.25">
      <c r="M8101" s="21"/>
    </row>
    <row r="8102" spans="13:13" x14ac:dyDescent="0.25">
      <c r="M8102" s="21"/>
    </row>
    <row r="8103" spans="13:13" x14ac:dyDescent="0.25">
      <c r="M8103" s="21"/>
    </row>
    <row r="8104" spans="13:13" x14ac:dyDescent="0.25">
      <c r="M8104" s="21"/>
    </row>
    <row r="8105" spans="13:13" x14ac:dyDescent="0.25">
      <c r="M8105" s="21"/>
    </row>
    <row r="8106" spans="13:13" x14ac:dyDescent="0.25">
      <c r="M8106" s="21"/>
    </row>
    <row r="8107" spans="13:13" x14ac:dyDescent="0.25">
      <c r="M8107" s="21"/>
    </row>
    <row r="8108" spans="13:13" x14ac:dyDescent="0.25">
      <c r="M8108" s="21"/>
    </row>
    <row r="8109" spans="13:13" x14ac:dyDescent="0.25">
      <c r="M8109" s="21"/>
    </row>
    <row r="8110" spans="13:13" x14ac:dyDescent="0.25">
      <c r="M8110" s="21"/>
    </row>
    <row r="8111" spans="13:13" x14ac:dyDescent="0.25">
      <c r="M8111" s="21"/>
    </row>
    <row r="8112" spans="13:13" x14ac:dyDescent="0.25">
      <c r="M8112" s="21"/>
    </row>
    <row r="8113" spans="13:13" x14ac:dyDescent="0.25">
      <c r="M8113" s="21"/>
    </row>
    <row r="8114" spans="13:13" x14ac:dyDescent="0.25">
      <c r="M8114" s="21"/>
    </row>
    <row r="8115" spans="13:13" x14ac:dyDescent="0.25">
      <c r="M8115" s="21"/>
    </row>
    <row r="8116" spans="13:13" x14ac:dyDescent="0.25">
      <c r="M8116" s="21"/>
    </row>
    <row r="8117" spans="13:13" x14ac:dyDescent="0.25">
      <c r="M8117" s="21"/>
    </row>
    <row r="8118" spans="13:13" x14ac:dyDescent="0.25">
      <c r="M8118" s="21"/>
    </row>
    <row r="8119" spans="13:13" x14ac:dyDescent="0.25">
      <c r="M8119" s="21"/>
    </row>
    <row r="8120" spans="13:13" x14ac:dyDescent="0.25">
      <c r="M8120" s="21"/>
    </row>
    <row r="8121" spans="13:13" x14ac:dyDescent="0.25">
      <c r="M8121" s="21"/>
    </row>
    <row r="8122" spans="13:13" x14ac:dyDescent="0.25">
      <c r="M8122" s="21"/>
    </row>
    <row r="8123" spans="13:13" x14ac:dyDescent="0.25">
      <c r="M8123" s="21"/>
    </row>
    <row r="8124" spans="13:13" x14ac:dyDescent="0.25">
      <c r="M8124" s="21"/>
    </row>
    <row r="8125" spans="13:13" x14ac:dyDescent="0.25">
      <c r="M8125" s="21"/>
    </row>
    <row r="8126" spans="13:13" x14ac:dyDescent="0.25">
      <c r="M8126" s="21"/>
    </row>
    <row r="8127" spans="13:13" x14ac:dyDescent="0.25">
      <c r="M8127" s="21"/>
    </row>
    <row r="8128" spans="13:13" x14ac:dyDescent="0.25">
      <c r="M8128" s="21"/>
    </row>
    <row r="8129" spans="13:13" x14ac:dyDescent="0.25">
      <c r="M8129" s="21"/>
    </row>
    <row r="8130" spans="13:13" x14ac:dyDescent="0.25">
      <c r="M8130" s="21"/>
    </row>
    <row r="8131" spans="13:13" x14ac:dyDescent="0.25">
      <c r="M8131" s="21"/>
    </row>
    <row r="8132" spans="13:13" x14ac:dyDescent="0.25">
      <c r="M8132" s="21"/>
    </row>
    <row r="8133" spans="13:13" x14ac:dyDescent="0.25">
      <c r="M8133" s="21"/>
    </row>
    <row r="8134" spans="13:13" x14ac:dyDescent="0.25">
      <c r="M8134" s="21"/>
    </row>
    <row r="8135" spans="13:13" x14ac:dyDescent="0.25">
      <c r="M8135" s="21"/>
    </row>
    <row r="8136" spans="13:13" x14ac:dyDescent="0.25">
      <c r="M8136" s="21"/>
    </row>
    <row r="8137" spans="13:13" x14ac:dyDescent="0.25">
      <c r="M8137" s="21"/>
    </row>
    <row r="8138" spans="13:13" x14ac:dyDescent="0.25">
      <c r="M8138" s="21"/>
    </row>
    <row r="8139" spans="13:13" x14ac:dyDescent="0.25">
      <c r="M8139" s="21"/>
    </row>
    <row r="8140" spans="13:13" x14ac:dyDescent="0.25">
      <c r="M8140" s="21"/>
    </row>
    <row r="8141" spans="13:13" x14ac:dyDescent="0.25">
      <c r="M8141" s="21"/>
    </row>
    <row r="8142" spans="13:13" x14ac:dyDescent="0.25">
      <c r="M8142" s="21"/>
    </row>
    <row r="8143" spans="13:13" x14ac:dyDescent="0.25">
      <c r="M8143" s="21"/>
    </row>
    <row r="8144" spans="13:13" x14ac:dyDescent="0.25">
      <c r="M8144" s="21"/>
    </row>
    <row r="8145" spans="13:13" x14ac:dyDescent="0.25">
      <c r="M8145" s="21"/>
    </row>
    <row r="8146" spans="13:13" x14ac:dyDescent="0.25">
      <c r="M8146" s="21"/>
    </row>
    <row r="8147" spans="13:13" x14ac:dyDescent="0.25">
      <c r="M8147" s="21"/>
    </row>
    <row r="8148" spans="13:13" x14ac:dyDescent="0.25">
      <c r="M8148" s="21"/>
    </row>
    <row r="8149" spans="13:13" x14ac:dyDescent="0.25">
      <c r="M8149" s="21"/>
    </row>
    <row r="8150" spans="13:13" x14ac:dyDescent="0.25">
      <c r="M8150" s="21"/>
    </row>
    <row r="8151" spans="13:13" x14ac:dyDescent="0.25">
      <c r="M8151" s="21"/>
    </row>
    <row r="8152" spans="13:13" x14ac:dyDescent="0.25">
      <c r="M8152" s="21"/>
    </row>
    <row r="8153" spans="13:13" x14ac:dyDescent="0.25">
      <c r="M8153" s="21"/>
    </row>
    <row r="8154" spans="13:13" x14ac:dyDescent="0.25">
      <c r="M8154" s="21"/>
    </row>
    <row r="8155" spans="13:13" x14ac:dyDescent="0.25">
      <c r="M8155" s="21"/>
    </row>
    <row r="8156" spans="13:13" x14ac:dyDescent="0.25">
      <c r="M8156" s="21"/>
    </row>
    <row r="8157" spans="13:13" x14ac:dyDescent="0.25">
      <c r="M8157" s="21"/>
    </row>
    <row r="8158" spans="13:13" x14ac:dyDescent="0.25">
      <c r="M8158" s="21"/>
    </row>
    <row r="8159" spans="13:13" x14ac:dyDescent="0.25">
      <c r="M8159" s="21"/>
    </row>
    <row r="8160" spans="13:13" x14ac:dyDescent="0.25">
      <c r="M8160" s="21"/>
    </row>
    <row r="8161" spans="13:13" x14ac:dyDescent="0.25">
      <c r="M8161" s="21"/>
    </row>
    <row r="8162" spans="13:13" x14ac:dyDescent="0.25">
      <c r="M8162" s="21"/>
    </row>
    <row r="8163" spans="13:13" x14ac:dyDescent="0.25">
      <c r="M8163" s="21"/>
    </row>
    <row r="8164" spans="13:13" x14ac:dyDescent="0.25">
      <c r="M8164" s="21"/>
    </row>
    <row r="8165" spans="13:13" x14ac:dyDescent="0.25">
      <c r="M8165" s="21"/>
    </row>
    <row r="8166" spans="13:13" x14ac:dyDescent="0.25">
      <c r="M8166" s="21"/>
    </row>
    <row r="8167" spans="13:13" x14ac:dyDescent="0.25">
      <c r="M8167" s="21"/>
    </row>
    <row r="8168" spans="13:13" x14ac:dyDescent="0.25">
      <c r="M8168" s="21"/>
    </row>
    <row r="8169" spans="13:13" x14ac:dyDescent="0.25">
      <c r="M8169" s="21"/>
    </row>
    <row r="8170" spans="13:13" x14ac:dyDescent="0.25">
      <c r="M8170" s="21"/>
    </row>
    <row r="8171" spans="13:13" x14ac:dyDescent="0.25">
      <c r="M8171" s="21"/>
    </row>
    <row r="8172" spans="13:13" x14ac:dyDescent="0.25">
      <c r="M8172" s="21"/>
    </row>
    <row r="8173" spans="13:13" x14ac:dyDescent="0.25">
      <c r="M8173" s="21"/>
    </row>
    <row r="8174" spans="13:13" x14ac:dyDescent="0.25">
      <c r="M8174" s="21"/>
    </row>
    <row r="8175" spans="13:13" x14ac:dyDescent="0.25">
      <c r="M8175" s="21"/>
    </row>
    <row r="8176" spans="13:13" x14ac:dyDescent="0.25">
      <c r="M8176" s="21"/>
    </row>
    <row r="8177" spans="13:13" x14ac:dyDescent="0.25">
      <c r="M8177" s="21"/>
    </row>
    <row r="8178" spans="13:13" x14ac:dyDescent="0.25">
      <c r="M8178" s="21"/>
    </row>
    <row r="8179" spans="13:13" x14ac:dyDescent="0.25">
      <c r="M8179" s="21"/>
    </row>
    <row r="8180" spans="13:13" x14ac:dyDescent="0.25">
      <c r="M8180" s="21"/>
    </row>
    <row r="8181" spans="13:13" x14ac:dyDescent="0.25">
      <c r="M8181" s="21"/>
    </row>
    <row r="8182" spans="13:13" x14ac:dyDescent="0.25">
      <c r="M8182" s="21"/>
    </row>
    <row r="8183" spans="13:13" x14ac:dyDescent="0.25">
      <c r="M8183" s="21"/>
    </row>
    <row r="8184" spans="13:13" x14ac:dyDescent="0.25">
      <c r="M8184" s="21"/>
    </row>
    <row r="8185" spans="13:13" x14ac:dyDescent="0.25">
      <c r="M8185" s="21"/>
    </row>
    <row r="8186" spans="13:13" x14ac:dyDescent="0.25">
      <c r="M8186" s="21"/>
    </row>
    <row r="8187" spans="13:13" x14ac:dyDescent="0.25">
      <c r="M8187" s="21"/>
    </row>
    <row r="8188" spans="13:13" x14ac:dyDescent="0.25">
      <c r="M8188" s="21"/>
    </row>
    <row r="8189" spans="13:13" x14ac:dyDescent="0.25">
      <c r="M8189" s="21"/>
    </row>
    <row r="8190" spans="13:13" x14ac:dyDescent="0.25">
      <c r="M8190" s="21"/>
    </row>
    <row r="8191" spans="13:13" x14ac:dyDescent="0.25">
      <c r="M8191" s="21"/>
    </row>
    <row r="8192" spans="13:13" x14ac:dyDescent="0.25">
      <c r="M8192" s="21"/>
    </row>
    <row r="8193" spans="13:13" x14ac:dyDescent="0.25">
      <c r="M8193" s="21"/>
    </row>
    <row r="8194" spans="13:13" x14ac:dyDescent="0.25">
      <c r="M8194" s="21"/>
    </row>
    <row r="8195" spans="13:13" x14ac:dyDescent="0.25">
      <c r="M8195" s="21"/>
    </row>
    <row r="8196" spans="13:13" x14ac:dyDescent="0.25">
      <c r="M8196" s="21"/>
    </row>
    <row r="8197" spans="13:13" x14ac:dyDescent="0.25">
      <c r="M8197" s="21"/>
    </row>
    <row r="8198" spans="13:13" x14ac:dyDescent="0.25">
      <c r="M8198" s="21"/>
    </row>
    <row r="8199" spans="13:13" x14ac:dyDescent="0.25">
      <c r="M8199" s="21"/>
    </row>
    <row r="8200" spans="13:13" x14ac:dyDescent="0.25">
      <c r="M8200" s="21"/>
    </row>
    <row r="8201" spans="13:13" x14ac:dyDescent="0.25">
      <c r="M8201" s="21"/>
    </row>
    <row r="8202" spans="13:13" x14ac:dyDescent="0.25">
      <c r="M8202" s="21"/>
    </row>
    <row r="8203" spans="13:13" x14ac:dyDescent="0.25">
      <c r="M8203" s="21"/>
    </row>
    <row r="8204" spans="13:13" x14ac:dyDescent="0.25">
      <c r="M8204" s="21"/>
    </row>
    <row r="8205" spans="13:13" x14ac:dyDescent="0.25">
      <c r="M8205" s="21"/>
    </row>
    <row r="8206" spans="13:13" x14ac:dyDescent="0.25">
      <c r="M8206" s="21"/>
    </row>
    <row r="8207" spans="13:13" x14ac:dyDescent="0.25">
      <c r="M8207" s="21"/>
    </row>
    <row r="8208" spans="13:13" x14ac:dyDescent="0.25">
      <c r="M8208" s="21"/>
    </row>
    <row r="8209" spans="13:13" x14ac:dyDescent="0.25">
      <c r="M8209" s="21"/>
    </row>
    <row r="8210" spans="13:13" x14ac:dyDescent="0.25">
      <c r="M8210" s="21"/>
    </row>
    <row r="8211" spans="13:13" x14ac:dyDescent="0.25">
      <c r="M8211" s="21"/>
    </row>
    <row r="8212" spans="13:13" x14ac:dyDescent="0.25">
      <c r="M8212" s="21"/>
    </row>
    <row r="8213" spans="13:13" x14ac:dyDescent="0.25">
      <c r="M8213" s="21"/>
    </row>
    <row r="8214" spans="13:13" x14ac:dyDescent="0.25">
      <c r="M8214" s="21"/>
    </row>
    <row r="8215" spans="13:13" x14ac:dyDescent="0.25">
      <c r="M8215" s="21"/>
    </row>
    <row r="8216" spans="13:13" x14ac:dyDescent="0.25">
      <c r="M8216" s="21"/>
    </row>
    <row r="8217" spans="13:13" x14ac:dyDescent="0.25">
      <c r="M8217" s="21"/>
    </row>
    <row r="8218" spans="13:13" x14ac:dyDescent="0.25">
      <c r="M8218" s="21"/>
    </row>
    <row r="8219" spans="13:13" x14ac:dyDescent="0.25">
      <c r="M8219" s="21"/>
    </row>
    <row r="8220" spans="13:13" x14ac:dyDescent="0.25">
      <c r="M8220" s="21"/>
    </row>
    <row r="8221" spans="13:13" x14ac:dyDescent="0.25">
      <c r="M8221" s="21"/>
    </row>
    <row r="8222" spans="13:13" x14ac:dyDescent="0.25">
      <c r="M8222" s="21"/>
    </row>
    <row r="8223" spans="13:13" x14ac:dyDescent="0.25">
      <c r="M8223" s="21"/>
    </row>
    <row r="8224" spans="13:13" x14ac:dyDescent="0.25">
      <c r="M8224" s="21"/>
    </row>
    <row r="8225" spans="13:13" x14ac:dyDescent="0.25">
      <c r="M8225" s="21"/>
    </row>
    <row r="8226" spans="13:13" x14ac:dyDescent="0.25">
      <c r="M8226" s="21"/>
    </row>
    <row r="8227" spans="13:13" x14ac:dyDescent="0.25">
      <c r="M8227" s="21"/>
    </row>
    <row r="8228" spans="13:13" x14ac:dyDescent="0.25">
      <c r="M8228" s="21"/>
    </row>
    <row r="8229" spans="13:13" x14ac:dyDescent="0.25">
      <c r="M8229" s="21"/>
    </row>
    <row r="8230" spans="13:13" x14ac:dyDescent="0.25">
      <c r="M8230" s="21"/>
    </row>
    <row r="8231" spans="13:13" x14ac:dyDescent="0.25">
      <c r="M8231" s="21"/>
    </row>
    <row r="8232" spans="13:13" x14ac:dyDescent="0.25">
      <c r="M8232" s="21"/>
    </row>
    <row r="8233" spans="13:13" x14ac:dyDescent="0.25">
      <c r="M8233" s="21"/>
    </row>
    <row r="8234" spans="13:13" x14ac:dyDescent="0.25">
      <c r="M8234" s="21"/>
    </row>
    <row r="8235" spans="13:13" x14ac:dyDescent="0.25">
      <c r="M8235" s="21"/>
    </row>
    <row r="8236" spans="13:13" x14ac:dyDescent="0.25">
      <c r="M8236" s="21"/>
    </row>
    <row r="8237" spans="13:13" x14ac:dyDescent="0.25">
      <c r="M8237" s="21"/>
    </row>
    <row r="8238" spans="13:13" x14ac:dyDescent="0.25">
      <c r="M8238" s="21"/>
    </row>
    <row r="8239" spans="13:13" x14ac:dyDescent="0.25">
      <c r="M8239" s="21"/>
    </row>
    <row r="8240" spans="13:13" x14ac:dyDescent="0.25">
      <c r="M8240" s="21"/>
    </row>
    <row r="8241" spans="13:13" x14ac:dyDescent="0.25">
      <c r="M8241" s="21"/>
    </row>
    <row r="8242" spans="13:13" x14ac:dyDescent="0.25">
      <c r="M8242" s="21"/>
    </row>
    <row r="8243" spans="13:13" x14ac:dyDescent="0.25">
      <c r="M8243" s="21"/>
    </row>
    <row r="8244" spans="13:13" x14ac:dyDescent="0.25">
      <c r="M8244" s="21"/>
    </row>
    <row r="8245" spans="13:13" x14ac:dyDescent="0.25">
      <c r="M8245" s="21"/>
    </row>
    <row r="8246" spans="13:13" x14ac:dyDescent="0.25">
      <c r="M8246" s="21"/>
    </row>
    <row r="8247" spans="13:13" x14ac:dyDescent="0.25">
      <c r="M8247" s="21"/>
    </row>
    <row r="8248" spans="13:13" x14ac:dyDescent="0.25">
      <c r="M8248" s="21"/>
    </row>
    <row r="8249" spans="13:13" x14ac:dyDescent="0.25">
      <c r="M8249" s="21"/>
    </row>
    <row r="8250" spans="13:13" x14ac:dyDescent="0.25">
      <c r="M8250" s="21"/>
    </row>
    <row r="8251" spans="13:13" x14ac:dyDescent="0.25">
      <c r="M8251" s="21"/>
    </row>
    <row r="8252" spans="13:13" x14ac:dyDescent="0.25">
      <c r="M8252" s="21"/>
    </row>
    <row r="8253" spans="13:13" x14ac:dyDescent="0.25">
      <c r="M8253" s="21"/>
    </row>
    <row r="8254" spans="13:13" x14ac:dyDescent="0.25">
      <c r="M8254" s="21"/>
    </row>
    <row r="8255" spans="13:13" x14ac:dyDescent="0.25">
      <c r="M8255" s="21"/>
    </row>
    <row r="8256" spans="13:13" x14ac:dyDescent="0.25">
      <c r="M8256" s="21"/>
    </row>
    <row r="8257" spans="13:13" x14ac:dyDescent="0.25">
      <c r="M8257" s="21"/>
    </row>
    <row r="8258" spans="13:13" x14ac:dyDescent="0.25">
      <c r="M8258" s="21"/>
    </row>
    <row r="8259" spans="13:13" x14ac:dyDescent="0.25">
      <c r="M8259" s="21"/>
    </row>
    <row r="8260" spans="13:13" x14ac:dyDescent="0.25">
      <c r="M8260" s="21"/>
    </row>
    <row r="8261" spans="13:13" x14ac:dyDescent="0.25">
      <c r="M8261" s="21"/>
    </row>
    <row r="8262" spans="13:13" x14ac:dyDescent="0.25">
      <c r="M8262" s="21"/>
    </row>
    <row r="8263" spans="13:13" x14ac:dyDescent="0.25">
      <c r="M8263" s="21"/>
    </row>
    <row r="8264" spans="13:13" x14ac:dyDescent="0.25">
      <c r="M8264" s="21"/>
    </row>
    <row r="8265" spans="13:13" x14ac:dyDescent="0.25">
      <c r="M8265" s="21"/>
    </row>
    <row r="8266" spans="13:13" x14ac:dyDescent="0.25">
      <c r="M8266" s="21"/>
    </row>
    <row r="8267" spans="13:13" x14ac:dyDescent="0.25">
      <c r="M8267" s="21"/>
    </row>
    <row r="8268" spans="13:13" x14ac:dyDescent="0.25">
      <c r="M8268" s="21"/>
    </row>
    <row r="8269" spans="13:13" x14ac:dyDescent="0.25">
      <c r="M8269" s="21"/>
    </row>
    <row r="8270" spans="13:13" x14ac:dyDescent="0.25">
      <c r="M8270" s="21"/>
    </row>
    <row r="8271" spans="13:13" x14ac:dyDescent="0.25">
      <c r="M8271" s="21"/>
    </row>
    <row r="8272" spans="13:13" x14ac:dyDescent="0.25">
      <c r="M8272" s="21"/>
    </row>
    <row r="8273" spans="13:13" x14ac:dyDescent="0.25">
      <c r="M8273" s="21"/>
    </row>
    <row r="8274" spans="13:13" x14ac:dyDescent="0.25">
      <c r="M8274" s="21"/>
    </row>
    <row r="8275" spans="13:13" x14ac:dyDescent="0.25">
      <c r="M8275" s="21"/>
    </row>
    <row r="8276" spans="13:13" x14ac:dyDescent="0.25">
      <c r="M8276" s="21"/>
    </row>
    <row r="8277" spans="13:13" x14ac:dyDescent="0.25">
      <c r="M8277" s="21"/>
    </row>
    <row r="8278" spans="13:13" x14ac:dyDescent="0.25">
      <c r="M8278" s="21"/>
    </row>
    <row r="8279" spans="13:13" x14ac:dyDescent="0.25">
      <c r="M8279" s="21"/>
    </row>
    <row r="8280" spans="13:13" x14ac:dyDescent="0.25">
      <c r="M8280" s="21"/>
    </row>
    <row r="8281" spans="13:13" x14ac:dyDescent="0.25">
      <c r="M8281" s="21"/>
    </row>
    <row r="8282" spans="13:13" x14ac:dyDescent="0.25">
      <c r="M8282" s="21"/>
    </row>
    <row r="8283" spans="13:13" x14ac:dyDescent="0.25">
      <c r="M8283" s="21"/>
    </row>
    <row r="8284" spans="13:13" x14ac:dyDescent="0.25">
      <c r="M8284" s="21"/>
    </row>
    <row r="8285" spans="13:13" x14ac:dyDescent="0.25">
      <c r="M8285" s="21"/>
    </row>
    <row r="8286" spans="13:13" x14ac:dyDescent="0.25">
      <c r="M8286" s="21"/>
    </row>
    <row r="8287" spans="13:13" x14ac:dyDescent="0.25">
      <c r="M8287" s="21"/>
    </row>
    <row r="8288" spans="13:13" x14ac:dyDescent="0.25">
      <c r="M8288" s="21"/>
    </row>
    <row r="8289" spans="13:13" x14ac:dyDescent="0.25">
      <c r="M8289" s="21"/>
    </row>
    <row r="8290" spans="13:13" x14ac:dyDescent="0.25">
      <c r="M8290" s="21"/>
    </row>
    <row r="8291" spans="13:13" x14ac:dyDescent="0.25">
      <c r="M8291" s="21"/>
    </row>
    <row r="8292" spans="13:13" x14ac:dyDescent="0.25">
      <c r="M8292" s="21"/>
    </row>
    <row r="8293" spans="13:13" x14ac:dyDescent="0.25">
      <c r="M8293" s="21"/>
    </row>
    <row r="8294" spans="13:13" x14ac:dyDescent="0.25">
      <c r="M8294" s="21"/>
    </row>
    <row r="8295" spans="13:13" x14ac:dyDescent="0.25">
      <c r="M8295" s="21"/>
    </row>
    <row r="8296" spans="13:13" x14ac:dyDescent="0.25">
      <c r="M8296" s="21"/>
    </row>
    <row r="8297" spans="13:13" x14ac:dyDescent="0.25">
      <c r="M8297" s="21"/>
    </row>
    <row r="8298" spans="13:13" x14ac:dyDescent="0.25">
      <c r="M8298" s="21"/>
    </row>
    <row r="8299" spans="13:13" x14ac:dyDescent="0.25">
      <c r="M8299" s="21"/>
    </row>
    <row r="8300" spans="13:13" x14ac:dyDescent="0.25">
      <c r="M8300" s="21"/>
    </row>
    <row r="8301" spans="13:13" x14ac:dyDescent="0.25">
      <c r="M8301" s="21"/>
    </row>
    <row r="8302" spans="13:13" x14ac:dyDescent="0.25">
      <c r="M8302" s="21"/>
    </row>
    <row r="8303" spans="13:13" x14ac:dyDescent="0.25">
      <c r="M8303" s="21"/>
    </row>
    <row r="8304" spans="13:13" x14ac:dyDescent="0.25">
      <c r="M8304" s="21"/>
    </row>
    <row r="8305" spans="13:13" x14ac:dyDescent="0.25">
      <c r="M8305" s="21"/>
    </row>
    <row r="8306" spans="13:13" x14ac:dyDescent="0.25">
      <c r="M8306" s="21"/>
    </row>
    <row r="8307" spans="13:13" x14ac:dyDescent="0.25">
      <c r="M8307" s="21"/>
    </row>
    <row r="8308" spans="13:13" x14ac:dyDescent="0.25">
      <c r="M8308" s="21"/>
    </row>
    <row r="8309" spans="13:13" x14ac:dyDescent="0.25">
      <c r="M8309" s="21"/>
    </row>
    <row r="8310" spans="13:13" x14ac:dyDescent="0.25">
      <c r="M8310" s="21"/>
    </row>
    <row r="8311" spans="13:13" x14ac:dyDescent="0.25">
      <c r="M8311" s="21"/>
    </row>
    <row r="8312" spans="13:13" x14ac:dyDescent="0.25">
      <c r="M8312" s="21"/>
    </row>
    <row r="8313" spans="13:13" x14ac:dyDescent="0.25">
      <c r="M8313" s="21"/>
    </row>
    <row r="8314" spans="13:13" x14ac:dyDescent="0.25">
      <c r="M8314" s="21"/>
    </row>
    <row r="8315" spans="13:13" x14ac:dyDescent="0.25">
      <c r="M8315" s="21"/>
    </row>
    <row r="8316" spans="13:13" x14ac:dyDescent="0.25">
      <c r="M8316" s="21"/>
    </row>
    <row r="8317" spans="13:13" x14ac:dyDescent="0.25">
      <c r="M8317" s="21"/>
    </row>
    <row r="8318" spans="13:13" x14ac:dyDescent="0.25">
      <c r="M8318" s="21"/>
    </row>
    <row r="8319" spans="13:13" x14ac:dyDescent="0.25">
      <c r="M8319" s="21"/>
    </row>
    <row r="8320" spans="13:13" x14ac:dyDescent="0.25">
      <c r="M8320" s="21"/>
    </row>
    <row r="8321" spans="13:13" x14ac:dyDescent="0.25">
      <c r="M8321" s="21"/>
    </row>
    <row r="8322" spans="13:13" x14ac:dyDescent="0.25">
      <c r="M8322" s="21"/>
    </row>
    <row r="8323" spans="13:13" x14ac:dyDescent="0.25">
      <c r="M8323" s="21"/>
    </row>
    <row r="8324" spans="13:13" x14ac:dyDescent="0.25">
      <c r="M8324" s="21"/>
    </row>
    <row r="8325" spans="13:13" x14ac:dyDescent="0.25">
      <c r="M8325" s="21"/>
    </row>
    <row r="8326" spans="13:13" x14ac:dyDescent="0.25">
      <c r="M8326" s="21"/>
    </row>
    <row r="8327" spans="13:13" x14ac:dyDescent="0.25">
      <c r="M8327" s="21"/>
    </row>
    <row r="8328" spans="13:13" x14ac:dyDescent="0.25">
      <c r="M8328" s="21"/>
    </row>
    <row r="8329" spans="13:13" x14ac:dyDescent="0.25">
      <c r="M8329" s="21"/>
    </row>
    <row r="8330" spans="13:13" x14ac:dyDescent="0.25">
      <c r="M8330" s="21"/>
    </row>
    <row r="8331" spans="13:13" x14ac:dyDescent="0.25">
      <c r="M8331" s="21"/>
    </row>
    <row r="8332" spans="13:13" x14ac:dyDescent="0.25">
      <c r="M8332" s="21"/>
    </row>
    <row r="8333" spans="13:13" x14ac:dyDescent="0.25">
      <c r="M8333" s="21"/>
    </row>
    <row r="8334" spans="13:13" x14ac:dyDescent="0.25">
      <c r="M8334" s="21"/>
    </row>
    <row r="8335" spans="13:13" x14ac:dyDescent="0.25">
      <c r="M8335" s="21"/>
    </row>
    <row r="8336" spans="13:13" x14ac:dyDescent="0.25">
      <c r="M8336" s="21"/>
    </row>
    <row r="8337" spans="13:13" x14ac:dyDescent="0.25">
      <c r="M8337" s="21"/>
    </row>
    <row r="8338" spans="13:13" x14ac:dyDescent="0.25">
      <c r="M8338" s="21"/>
    </row>
    <row r="8339" spans="13:13" x14ac:dyDescent="0.25">
      <c r="M8339" s="21"/>
    </row>
    <row r="8340" spans="13:13" x14ac:dyDescent="0.25">
      <c r="M8340" s="21"/>
    </row>
    <row r="8341" spans="13:13" x14ac:dyDescent="0.25">
      <c r="M8341" s="21"/>
    </row>
    <row r="8342" spans="13:13" x14ac:dyDescent="0.25">
      <c r="M8342" s="21"/>
    </row>
    <row r="8343" spans="13:13" x14ac:dyDescent="0.25">
      <c r="M8343" s="21"/>
    </row>
    <row r="8344" spans="13:13" x14ac:dyDescent="0.25">
      <c r="M8344" s="21"/>
    </row>
    <row r="8345" spans="13:13" x14ac:dyDescent="0.25">
      <c r="M8345" s="21"/>
    </row>
    <row r="8346" spans="13:13" x14ac:dyDescent="0.25">
      <c r="M8346" s="21"/>
    </row>
    <row r="8347" spans="13:13" x14ac:dyDescent="0.25">
      <c r="M8347" s="21"/>
    </row>
    <row r="8348" spans="13:13" x14ac:dyDescent="0.25">
      <c r="M8348" s="21"/>
    </row>
    <row r="8349" spans="13:13" x14ac:dyDescent="0.25">
      <c r="M8349" s="21"/>
    </row>
    <row r="8350" spans="13:13" x14ac:dyDescent="0.25">
      <c r="M8350" s="21"/>
    </row>
    <row r="8351" spans="13:13" x14ac:dyDescent="0.25">
      <c r="M8351" s="21"/>
    </row>
    <row r="8352" spans="13:13" x14ac:dyDescent="0.25">
      <c r="M8352" s="21"/>
    </row>
    <row r="8353" spans="13:13" x14ac:dyDescent="0.25">
      <c r="M8353" s="21"/>
    </row>
    <row r="8354" spans="13:13" x14ac:dyDescent="0.25">
      <c r="M8354" s="21"/>
    </row>
    <row r="8355" spans="13:13" x14ac:dyDescent="0.25">
      <c r="M8355" s="21"/>
    </row>
    <row r="8356" spans="13:13" x14ac:dyDescent="0.25">
      <c r="M8356" s="21"/>
    </row>
    <row r="8357" spans="13:13" x14ac:dyDescent="0.25">
      <c r="M8357" s="21"/>
    </row>
    <row r="8358" spans="13:13" x14ac:dyDescent="0.25">
      <c r="M8358" s="21"/>
    </row>
    <row r="8359" spans="13:13" x14ac:dyDescent="0.25">
      <c r="M8359" s="21"/>
    </row>
    <row r="8360" spans="13:13" x14ac:dyDescent="0.25">
      <c r="M8360" s="21"/>
    </row>
    <row r="8361" spans="13:13" x14ac:dyDescent="0.25">
      <c r="M8361" s="21"/>
    </row>
    <row r="8362" spans="13:13" x14ac:dyDescent="0.25">
      <c r="M8362" s="21"/>
    </row>
    <row r="8363" spans="13:13" x14ac:dyDescent="0.25">
      <c r="M8363" s="21"/>
    </row>
    <row r="8364" spans="13:13" x14ac:dyDescent="0.25">
      <c r="M8364" s="21"/>
    </row>
    <row r="8365" spans="13:13" x14ac:dyDescent="0.25">
      <c r="M8365" s="21"/>
    </row>
    <row r="8366" spans="13:13" x14ac:dyDescent="0.25">
      <c r="M8366" s="21"/>
    </row>
    <row r="8367" spans="13:13" x14ac:dyDescent="0.25">
      <c r="M8367" s="21"/>
    </row>
    <row r="8368" spans="13:13" x14ac:dyDescent="0.25">
      <c r="M8368" s="21"/>
    </row>
    <row r="8369" spans="13:13" x14ac:dyDescent="0.25">
      <c r="M8369" s="21"/>
    </row>
    <row r="8370" spans="13:13" x14ac:dyDescent="0.25">
      <c r="M8370" s="21"/>
    </row>
    <row r="8371" spans="13:13" x14ac:dyDescent="0.25">
      <c r="M8371" s="21"/>
    </row>
    <row r="8372" spans="13:13" x14ac:dyDescent="0.25">
      <c r="M8372" s="21"/>
    </row>
    <row r="8373" spans="13:13" x14ac:dyDescent="0.25">
      <c r="M8373" s="21"/>
    </row>
    <row r="8374" spans="13:13" x14ac:dyDescent="0.25">
      <c r="M8374" s="21"/>
    </row>
    <row r="8375" spans="13:13" x14ac:dyDescent="0.25">
      <c r="M8375" s="21"/>
    </row>
    <row r="8376" spans="13:13" x14ac:dyDescent="0.25">
      <c r="M8376" s="21"/>
    </row>
    <row r="8377" spans="13:13" x14ac:dyDescent="0.25">
      <c r="M8377" s="21"/>
    </row>
    <row r="8378" spans="13:13" x14ac:dyDescent="0.25">
      <c r="M8378" s="21"/>
    </row>
    <row r="8379" spans="13:13" x14ac:dyDescent="0.25">
      <c r="M8379" s="21"/>
    </row>
    <row r="8380" spans="13:13" x14ac:dyDescent="0.25">
      <c r="M8380" s="21"/>
    </row>
    <row r="8381" spans="13:13" x14ac:dyDescent="0.25">
      <c r="M8381" s="21"/>
    </row>
    <row r="8382" spans="13:13" x14ac:dyDescent="0.25">
      <c r="M8382" s="21"/>
    </row>
    <row r="8383" spans="13:13" x14ac:dyDescent="0.25">
      <c r="M8383" s="21"/>
    </row>
    <row r="8384" spans="13:13" x14ac:dyDescent="0.25">
      <c r="M8384" s="21"/>
    </row>
    <row r="8385" spans="13:13" x14ac:dyDescent="0.25">
      <c r="M8385" s="21"/>
    </row>
    <row r="8386" spans="13:13" x14ac:dyDescent="0.25">
      <c r="M8386" s="21"/>
    </row>
    <row r="8387" spans="13:13" x14ac:dyDescent="0.25">
      <c r="M8387" s="21"/>
    </row>
    <row r="8388" spans="13:13" x14ac:dyDescent="0.25">
      <c r="M8388" s="21"/>
    </row>
    <row r="8389" spans="13:13" x14ac:dyDescent="0.25">
      <c r="M8389" s="21"/>
    </row>
    <row r="8390" spans="13:13" x14ac:dyDescent="0.25">
      <c r="M8390" s="21"/>
    </row>
    <row r="8391" spans="13:13" x14ac:dyDescent="0.25">
      <c r="M8391" s="21"/>
    </row>
    <row r="8392" spans="13:13" x14ac:dyDescent="0.25">
      <c r="M8392" s="21"/>
    </row>
    <row r="8393" spans="13:13" x14ac:dyDescent="0.25">
      <c r="M8393" s="21"/>
    </row>
    <row r="8394" spans="13:13" x14ac:dyDescent="0.25">
      <c r="M8394" s="21"/>
    </row>
    <row r="8395" spans="13:13" x14ac:dyDescent="0.25">
      <c r="M8395" s="21"/>
    </row>
    <row r="8396" spans="13:13" x14ac:dyDescent="0.25">
      <c r="M8396" s="21"/>
    </row>
    <row r="8397" spans="13:13" x14ac:dyDescent="0.25">
      <c r="M8397" s="21"/>
    </row>
    <row r="8398" spans="13:13" x14ac:dyDescent="0.25">
      <c r="M8398" s="21"/>
    </row>
    <row r="8399" spans="13:13" x14ac:dyDescent="0.25">
      <c r="M8399" s="21"/>
    </row>
    <row r="8400" spans="13:13" x14ac:dyDescent="0.25">
      <c r="M8400" s="21"/>
    </row>
    <row r="8401" spans="13:13" x14ac:dyDescent="0.25">
      <c r="M8401" s="21"/>
    </row>
    <row r="8402" spans="13:13" x14ac:dyDescent="0.25">
      <c r="M8402" s="21"/>
    </row>
    <row r="8403" spans="13:13" x14ac:dyDescent="0.25">
      <c r="M8403" s="21"/>
    </row>
    <row r="8404" spans="13:13" x14ac:dyDescent="0.25">
      <c r="M8404" s="21"/>
    </row>
    <row r="8405" spans="13:13" x14ac:dyDescent="0.25">
      <c r="M8405" s="21"/>
    </row>
    <row r="8406" spans="13:13" x14ac:dyDescent="0.25">
      <c r="M8406" s="21"/>
    </row>
    <row r="8407" spans="13:13" x14ac:dyDescent="0.25">
      <c r="M8407" s="21"/>
    </row>
    <row r="8408" spans="13:13" x14ac:dyDescent="0.25">
      <c r="M8408" s="21"/>
    </row>
    <row r="8409" spans="13:13" x14ac:dyDescent="0.25">
      <c r="M8409" s="21"/>
    </row>
    <row r="8410" spans="13:13" x14ac:dyDescent="0.25">
      <c r="M8410" s="21"/>
    </row>
    <row r="8411" spans="13:13" x14ac:dyDescent="0.25">
      <c r="M8411" s="21"/>
    </row>
    <row r="8412" spans="13:13" x14ac:dyDescent="0.25">
      <c r="M8412" s="21"/>
    </row>
    <row r="8413" spans="13:13" x14ac:dyDescent="0.25">
      <c r="M8413" s="21"/>
    </row>
    <row r="8414" spans="13:13" x14ac:dyDescent="0.25">
      <c r="M8414" s="21"/>
    </row>
    <row r="8415" spans="13:13" x14ac:dyDescent="0.25">
      <c r="M8415" s="21"/>
    </row>
    <row r="8416" spans="13:13" x14ac:dyDescent="0.25">
      <c r="M8416" s="21"/>
    </row>
    <row r="8417" spans="13:13" x14ac:dyDescent="0.25">
      <c r="M8417" s="21"/>
    </row>
    <row r="8418" spans="13:13" x14ac:dyDescent="0.25">
      <c r="M8418" s="21"/>
    </row>
    <row r="8419" spans="13:13" x14ac:dyDescent="0.25">
      <c r="M8419" s="21"/>
    </row>
    <row r="8420" spans="13:13" x14ac:dyDescent="0.25">
      <c r="M8420" s="21"/>
    </row>
    <row r="8421" spans="13:13" x14ac:dyDescent="0.25">
      <c r="M8421" s="21"/>
    </row>
    <row r="8422" spans="13:13" x14ac:dyDescent="0.25">
      <c r="M8422" s="21"/>
    </row>
    <row r="8423" spans="13:13" x14ac:dyDescent="0.25">
      <c r="M8423" s="21"/>
    </row>
    <row r="8424" spans="13:13" x14ac:dyDescent="0.25">
      <c r="M8424" s="21"/>
    </row>
    <row r="8425" spans="13:13" x14ac:dyDescent="0.25">
      <c r="M8425" s="21"/>
    </row>
    <row r="8426" spans="13:13" x14ac:dyDescent="0.25">
      <c r="M8426" s="21"/>
    </row>
    <row r="8427" spans="13:13" x14ac:dyDescent="0.25">
      <c r="M8427" s="21"/>
    </row>
    <row r="8428" spans="13:13" x14ac:dyDescent="0.25">
      <c r="M8428" s="21"/>
    </row>
    <row r="8429" spans="13:13" x14ac:dyDescent="0.25">
      <c r="M8429" s="21"/>
    </row>
    <row r="8430" spans="13:13" x14ac:dyDescent="0.25">
      <c r="M8430" s="21"/>
    </row>
    <row r="8431" spans="13:13" x14ac:dyDescent="0.25">
      <c r="M8431" s="21"/>
    </row>
    <row r="8432" spans="13:13" x14ac:dyDescent="0.25">
      <c r="M8432" s="21"/>
    </row>
    <row r="8433" spans="13:13" x14ac:dyDescent="0.25">
      <c r="M8433" s="21"/>
    </row>
    <row r="8434" spans="13:13" x14ac:dyDescent="0.25">
      <c r="M8434" s="21"/>
    </row>
    <row r="8435" spans="13:13" x14ac:dyDescent="0.25">
      <c r="M8435" s="21"/>
    </row>
    <row r="8436" spans="13:13" x14ac:dyDescent="0.25">
      <c r="M8436" s="21"/>
    </row>
    <row r="8437" spans="13:13" x14ac:dyDescent="0.25">
      <c r="M8437" s="21"/>
    </row>
    <row r="8438" spans="13:13" x14ac:dyDescent="0.25">
      <c r="M8438" s="21"/>
    </row>
    <row r="8439" spans="13:13" x14ac:dyDescent="0.25">
      <c r="M8439" s="21"/>
    </row>
    <row r="8440" spans="13:13" x14ac:dyDescent="0.25">
      <c r="M8440" s="21"/>
    </row>
    <row r="8441" spans="13:13" x14ac:dyDescent="0.25">
      <c r="M8441" s="21"/>
    </row>
    <row r="8442" spans="13:13" x14ac:dyDescent="0.25">
      <c r="M8442" s="21"/>
    </row>
    <row r="8443" spans="13:13" x14ac:dyDescent="0.25">
      <c r="M8443" s="21"/>
    </row>
    <row r="8444" spans="13:13" x14ac:dyDescent="0.25">
      <c r="M8444" s="21"/>
    </row>
    <row r="8445" spans="13:13" x14ac:dyDescent="0.25">
      <c r="M8445" s="21"/>
    </row>
    <row r="8446" spans="13:13" x14ac:dyDescent="0.25">
      <c r="M8446" s="21"/>
    </row>
    <row r="8447" spans="13:13" x14ac:dyDescent="0.25">
      <c r="M8447" s="21"/>
    </row>
    <row r="8448" spans="13:13" x14ac:dyDescent="0.25">
      <c r="M8448" s="21"/>
    </row>
    <row r="8449" spans="13:13" x14ac:dyDescent="0.25">
      <c r="M8449" s="21"/>
    </row>
    <row r="8450" spans="13:13" x14ac:dyDescent="0.25">
      <c r="M8450" s="21"/>
    </row>
    <row r="8451" spans="13:13" x14ac:dyDescent="0.25">
      <c r="M8451" s="21"/>
    </row>
    <row r="8452" spans="13:13" x14ac:dyDescent="0.25">
      <c r="M8452" s="21"/>
    </row>
    <row r="8453" spans="13:13" x14ac:dyDescent="0.25">
      <c r="M8453" s="21"/>
    </row>
    <row r="8454" spans="13:13" x14ac:dyDescent="0.25">
      <c r="M8454" s="21"/>
    </row>
    <row r="8455" spans="13:13" x14ac:dyDescent="0.25">
      <c r="M8455" s="21"/>
    </row>
    <row r="8456" spans="13:13" x14ac:dyDescent="0.25">
      <c r="M8456" s="21"/>
    </row>
    <row r="8457" spans="13:13" x14ac:dyDescent="0.25">
      <c r="M8457" s="21"/>
    </row>
    <row r="8458" spans="13:13" x14ac:dyDescent="0.25">
      <c r="M8458" s="21"/>
    </row>
    <row r="8459" spans="13:13" x14ac:dyDescent="0.25">
      <c r="M8459" s="21"/>
    </row>
    <row r="8460" spans="13:13" x14ac:dyDescent="0.25">
      <c r="M8460" s="21"/>
    </row>
    <row r="8461" spans="13:13" x14ac:dyDescent="0.25">
      <c r="M8461" s="21"/>
    </row>
    <row r="8462" spans="13:13" x14ac:dyDescent="0.25">
      <c r="M8462" s="21"/>
    </row>
    <row r="8463" spans="13:13" x14ac:dyDescent="0.25">
      <c r="M8463" s="21"/>
    </row>
    <row r="8464" spans="13:13" x14ac:dyDescent="0.25">
      <c r="M8464" s="21"/>
    </row>
    <row r="8465" spans="13:13" x14ac:dyDescent="0.25">
      <c r="M8465" s="21"/>
    </row>
    <row r="8466" spans="13:13" x14ac:dyDescent="0.25">
      <c r="M8466" s="21"/>
    </row>
    <row r="8467" spans="13:13" x14ac:dyDescent="0.25">
      <c r="M8467" s="21"/>
    </row>
    <row r="8468" spans="13:13" x14ac:dyDescent="0.25">
      <c r="M8468" s="21"/>
    </row>
    <row r="8469" spans="13:13" x14ac:dyDescent="0.25">
      <c r="M8469" s="21"/>
    </row>
    <row r="8470" spans="13:13" x14ac:dyDescent="0.25">
      <c r="M8470" s="21"/>
    </row>
    <row r="8471" spans="13:13" x14ac:dyDescent="0.25">
      <c r="M8471" s="21"/>
    </row>
    <row r="8472" spans="13:13" x14ac:dyDescent="0.25">
      <c r="M8472" s="21"/>
    </row>
    <row r="8473" spans="13:13" x14ac:dyDescent="0.25">
      <c r="M8473" s="21"/>
    </row>
    <row r="8474" spans="13:13" x14ac:dyDescent="0.25">
      <c r="M8474" s="21"/>
    </row>
    <row r="8475" spans="13:13" x14ac:dyDescent="0.25">
      <c r="M8475" s="21"/>
    </row>
    <row r="8476" spans="13:13" x14ac:dyDescent="0.25">
      <c r="M8476" s="21"/>
    </row>
    <row r="8477" spans="13:13" x14ac:dyDescent="0.25">
      <c r="M8477" s="21"/>
    </row>
    <row r="8478" spans="13:13" x14ac:dyDescent="0.25">
      <c r="M8478" s="21"/>
    </row>
    <row r="8479" spans="13:13" x14ac:dyDescent="0.25">
      <c r="M8479" s="21"/>
    </row>
    <row r="8480" spans="13:13" x14ac:dyDescent="0.25">
      <c r="M8480" s="21"/>
    </row>
    <row r="8481" spans="13:13" x14ac:dyDescent="0.25">
      <c r="M8481" s="21"/>
    </row>
    <row r="8482" spans="13:13" x14ac:dyDescent="0.25">
      <c r="M8482" s="21"/>
    </row>
    <row r="8483" spans="13:13" x14ac:dyDescent="0.25">
      <c r="M8483" s="21"/>
    </row>
    <row r="8484" spans="13:13" x14ac:dyDescent="0.25">
      <c r="M8484" s="21"/>
    </row>
    <row r="8485" spans="13:13" x14ac:dyDescent="0.25">
      <c r="M8485" s="21"/>
    </row>
    <row r="8486" spans="13:13" x14ac:dyDescent="0.25">
      <c r="M8486" s="21"/>
    </row>
    <row r="8487" spans="13:13" x14ac:dyDescent="0.25">
      <c r="M8487" s="21"/>
    </row>
    <row r="8488" spans="13:13" x14ac:dyDescent="0.25">
      <c r="M8488" s="21"/>
    </row>
    <row r="8489" spans="13:13" x14ac:dyDescent="0.25">
      <c r="M8489" s="21"/>
    </row>
    <row r="8490" spans="13:13" x14ac:dyDescent="0.25">
      <c r="M8490" s="21"/>
    </row>
    <row r="8491" spans="13:13" x14ac:dyDescent="0.25">
      <c r="M8491" s="21"/>
    </row>
    <row r="8492" spans="13:13" x14ac:dyDescent="0.25">
      <c r="M8492" s="21"/>
    </row>
    <row r="8493" spans="13:13" x14ac:dyDescent="0.25">
      <c r="M8493" s="21"/>
    </row>
    <row r="8494" spans="13:13" x14ac:dyDescent="0.25">
      <c r="M8494" s="21"/>
    </row>
    <row r="8495" spans="13:13" x14ac:dyDescent="0.25">
      <c r="M8495" s="21"/>
    </row>
    <row r="8496" spans="13:13" x14ac:dyDescent="0.25">
      <c r="M8496" s="21"/>
    </row>
    <row r="8497" spans="13:13" x14ac:dyDescent="0.25">
      <c r="M8497" s="21"/>
    </row>
    <row r="8498" spans="13:13" x14ac:dyDescent="0.25">
      <c r="M8498" s="21"/>
    </row>
    <row r="8499" spans="13:13" x14ac:dyDescent="0.25">
      <c r="M8499" s="21"/>
    </row>
    <row r="8500" spans="13:13" x14ac:dyDescent="0.25">
      <c r="M8500" s="21"/>
    </row>
    <row r="8501" spans="13:13" x14ac:dyDescent="0.25">
      <c r="M8501" s="21"/>
    </row>
    <row r="8502" spans="13:13" x14ac:dyDescent="0.25">
      <c r="M8502" s="21"/>
    </row>
    <row r="8503" spans="13:13" x14ac:dyDescent="0.25">
      <c r="M8503" s="21"/>
    </row>
    <row r="8504" spans="13:13" x14ac:dyDescent="0.25">
      <c r="M8504" s="21"/>
    </row>
    <row r="8505" spans="13:13" x14ac:dyDescent="0.25">
      <c r="M8505" s="21"/>
    </row>
    <row r="8506" spans="13:13" x14ac:dyDescent="0.25">
      <c r="M8506" s="21"/>
    </row>
    <row r="8507" spans="13:13" x14ac:dyDescent="0.25">
      <c r="M8507" s="21"/>
    </row>
    <row r="8508" spans="13:13" x14ac:dyDescent="0.25">
      <c r="M8508" s="21"/>
    </row>
    <row r="8509" spans="13:13" x14ac:dyDescent="0.25">
      <c r="M8509" s="21"/>
    </row>
    <row r="8510" spans="13:13" x14ac:dyDescent="0.25">
      <c r="M8510" s="21"/>
    </row>
    <row r="8511" spans="13:13" x14ac:dyDescent="0.25">
      <c r="M8511" s="21"/>
    </row>
    <row r="8512" spans="13:13" x14ac:dyDescent="0.25">
      <c r="M8512" s="21"/>
    </row>
    <row r="8513" spans="13:13" x14ac:dyDescent="0.25">
      <c r="M8513" s="21"/>
    </row>
    <row r="8514" spans="13:13" x14ac:dyDescent="0.25">
      <c r="M8514" s="21"/>
    </row>
    <row r="8515" spans="13:13" x14ac:dyDescent="0.25">
      <c r="M8515" s="21"/>
    </row>
    <row r="8516" spans="13:13" x14ac:dyDescent="0.25">
      <c r="M8516" s="21"/>
    </row>
    <row r="8517" spans="13:13" x14ac:dyDescent="0.25">
      <c r="M8517" s="21"/>
    </row>
    <row r="8518" spans="13:13" x14ac:dyDescent="0.25">
      <c r="M8518" s="21"/>
    </row>
    <row r="8519" spans="13:13" x14ac:dyDescent="0.25">
      <c r="M8519" s="21"/>
    </row>
    <row r="8520" spans="13:13" x14ac:dyDescent="0.25">
      <c r="M8520" s="21"/>
    </row>
    <row r="8521" spans="13:13" x14ac:dyDescent="0.25">
      <c r="M8521" s="21"/>
    </row>
    <row r="8522" spans="13:13" x14ac:dyDescent="0.25">
      <c r="M8522" s="21"/>
    </row>
    <row r="8523" spans="13:13" x14ac:dyDescent="0.25">
      <c r="M8523" s="21"/>
    </row>
    <row r="8524" spans="13:13" x14ac:dyDescent="0.25">
      <c r="M8524" s="21"/>
    </row>
    <row r="8525" spans="13:13" x14ac:dyDescent="0.25">
      <c r="M8525" s="21"/>
    </row>
    <row r="8526" spans="13:13" x14ac:dyDescent="0.25">
      <c r="M8526" s="21"/>
    </row>
    <row r="8527" spans="13:13" x14ac:dyDescent="0.25">
      <c r="M8527" s="21"/>
    </row>
    <row r="8528" spans="13:13" x14ac:dyDescent="0.25">
      <c r="M8528" s="21"/>
    </row>
    <row r="8529" spans="13:13" x14ac:dyDescent="0.25">
      <c r="M8529" s="21"/>
    </row>
    <row r="8530" spans="13:13" x14ac:dyDescent="0.25">
      <c r="M8530" s="21"/>
    </row>
    <row r="8531" spans="13:13" x14ac:dyDescent="0.25">
      <c r="M8531" s="21"/>
    </row>
    <row r="8532" spans="13:13" x14ac:dyDescent="0.25">
      <c r="M8532" s="21"/>
    </row>
    <row r="8533" spans="13:13" x14ac:dyDescent="0.25">
      <c r="M8533" s="21"/>
    </row>
    <row r="8534" spans="13:13" x14ac:dyDescent="0.25">
      <c r="M8534" s="21"/>
    </row>
    <row r="8535" spans="13:13" x14ac:dyDescent="0.25">
      <c r="M8535" s="21"/>
    </row>
    <row r="8536" spans="13:13" x14ac:dyDescent="0.25">
      <c r="M8536" s="21"/>
    </row>
    <row r="8537" spans="13:13" x14ac:dyDescent="0.25">
      <c r="M8537" s="21"/>
    </row>
    <row r="8538" spans="13:13" x14ac:dyDescent="0.25">
      <c r="M8538" s="21"/>
    </row>
    <row r="8539" spans="13:13" x14ac:dyDescent="0.25">
      <c r="M8539" s="21"/>
    </row>
    <row r="8540" spans="13:13" x14ac:dyDescent="0.25">
      <c r="M8540" s="21"/>
    </row>
    <row r="8541" spans="13:13" x14ac:dyDescent="0.25">
      <c r="M8541" s="21"/>
    </row>
    <row r="8542" spans="13:13" x14ac:dyDescent="0.25">
      <c r="M8542" s="21"/>
    </row>
    <row r="8543" spans="13:13" x14ac:dyDescent="0.25">
      <c r="M8543" s="21"/>
    </row>
    <row r="8544" spans="13:13" x14ac:dyDescent="0.25">
      <c r="M8544" s="21"/>
    </row>
    <row r="8545" spans="13:13" x14ac:dyDescent="0.25">
      <c r="M8545" s="21"/>
    </row>
    <row r="8546" spans="13:13" x14ac:dyDescent="0.25">
      <c r="M8546" s="21"/>
    </row>
    <row r="8547" spans="13:13" x14ac:dyDescent="0.25">
      <c r="M8547" s="21"/>
    </row>
    <row r="8548" spans="13:13" x14ac:dyDescent="0.25">
      <c r="M8548" s="21"/>
    </row>
    <row r="8549" spans="13:13" x14ac:dyDescent="0.25">
      <c r="M8549" s="21"/>
    </row>
    <row r="8550" spans="13:13" x14ac:dyDescent="0.25">
      <c r="M8550" s="21"/>
    </row>
    <row r="8551" spans="13:13" x14ac:dyDescent="0.25">
      <c r="M8551" s="21"/>
    </row>
    <row r="8552" spans="13:13" x14ac:dyDescent="0.25">
      <c r="M8552" s="21"/>
    </row>
    <row r="8553" spans="13:13" x14ac:dyDescent="0.25">
      <c r="M8553" s="21"/>
    </row>
    <row r="8554" spans="13:13" x14ac:dyDescent="0.25">
      <c r="M8554" s="21"/>
    </row>
    <row r="8555" spans="13:13" x14ac:dyDescent="0.25">
      <c r="M8555" s="21"/>
    </row>
    <row r="8556" spans="13:13" x14ac:dyDescent="0.25">
      <c r="M8556" s="21"/>
    </row>
    <row r="8557" spans="13:13" x14ac:dyDescent="0.25">
      <c r="M8557" s="21"/>
    </row>
    <row r="8558" spans="13:13" x14ac:dyDescent="0.25">
      <c r="M8558" s="21"/>
    </row>
    <row r="8559" spans="13:13" x14ac:dyDescent="0.25">
      <c r="M8559" s="21"/>
    </row>
    <row r="8560" spans="13:13" x14ac:dyDescent="0.25">
      <c r="M8560" s="21"/>
    </row>
    <row r="8561" spans="13:13" x14ac:dyDescent="0.25">
      <c r="M8561" s="21"/>
    </row>
    <row r="8562" spans="13:13" x14ac:dyDescent="0.25">
      <c r="M8562" s="21"/>
    </row>
    <row r="8563" spans="13:13" x14ac:dyDescent="0.25">
      <c r="M8563" s="21"/>
    </row>
    <row r="8564" spans="13:13" x14ac:dyDescent="0.25">
      <c r="M8564" s="21"/>
    </row>
    <row r="8565" spans="13:13" x14ac:dyDescent="0.25">
      <c r="M8565" s="21"/>
    </row>
    <row r="8566" spans="13:13" x14ac:dyDescent="0.25">
      <c r="M8566" s="21"/>
    </row>
    <row r="8567" spans="13:13" x14ac:dyDescent="0.25">
      <c r="M8567" s="21"/>
    </row>
    <row r="8568" spans="13:13" x14ac:dyDescent="0.25">
      <c r="M8568" s="21"/>
    </row>
    <row r="8569" spans="13:13" x14ac:dyDescent="0.25">
      <c r="M8569" s="21"/>
    </row>
    <row r="8570" spans="13:13" x14ac:dyDescent="0.25">
      <c r="M8570" s="21"/>
    </row>
    <row r="8571" spans="13:13" x14ac:dyDescent="0.25">
      <c r="M8571" s="21"/>
    </row>
    <row r="8572" spans="13:13" x14ac:dyDescent="0.25">
      <c r="M8572" s="21"/>
    </row>
    <row r="8573" spans="13:13" x14ac:dyDescent="0.25">
      <c r="M8573" s="21"/>
    </row>
    <row r="8574" spans="13:13" x14ac:dyDescent="0.25">
      <c r="M8574" s="21"/>
    </row>
    <row r="8575" spans="13:13" x14ac:dyDescent="0.25">
      <c r="M8575" s="21"/>
    </row>
    <row r="8576" spans="13:13" x14ac:dyDescent="0.25">
      <c r="M8576" s="21"/>
    </row>
    <row r="8577" spans="13:13" x14ac:dyDescent="0.25">
      <c r="M8577" s="21"/>
    </row>
    <row r="8578" spans="13:13" x14ac:dyDescent="0.25">
      <c r="M8578" s="21"/>
    </row>
    <row r="8579" spans="13:13" x14ac:dyDescent="0.25">
      <c r="M8579" s="21"/>
    </row>
    <row r="8580" spans="13:13" x14ac:dyDescent="0.25">
      <c r="M8580" s="21"/>
    </row>
    <row r="8581" spans="13:13" x14ac:dyDescent="0.25">
      <c r="M8581" s="21"/>
    </row>
    <row r="8582" spans="13:13" x14ac:dyDescent="0.25">
      <c r="M8582" s="21"/>
    </row>
    <row r="8583" spans="13:13" x14ac:dyDescent="0.25">
      <c r="M8583" s="21"/>
    </row>
    <row r="8584" spans="13:13" x14ac:dyDescent="0.25">
      <c r="M8584" s="21"/>
    </row>
    <row r="8585" spans="13:13" x14ac:dyDescent="0.25">
      <c r="M8585" s="21"/>
    </row>
    <row r="8586" spans="13:13" x14ac:dyDescent="0.25">
      <c r="M8586" s="21"/>
    </row>
    <row r="8587" spans="13:13" x14ac:dyDescent="0.25">
      <c r="M8587" s="21"/>
    </row>
    <row r="8588" spans="13:13" x14ac:dyDescent="0.25">
      <c r="M8588" s="21"/>
    </row>
    <row r="8589" spans="13:13" x14ac:dyDescent="0.25">
      <c r="M8589" s="21"/>
    </row>
    <row r="8590" spans="13:13" x14ac:dyDescent="0.25">
      <c r="M8590" s="21"/>
    </row>
    <row r="8591" spans="13:13" x14ac:dyDescent="0.25">
      <c r="M8591" s="21"/>
    </row>
    <row r="8592" spans="13:13" x14ac:dyDescent="0.25">
      <c r="M8592" s="21"/>
    </row>
    <row r="8593" spans="13:13" x14ac:dyDescent="0.25">
      <c r="M8593" s="21"/>
    </row>
    <row r="8594" spans="13:13" x14ac:dyDescent="0.25">
      <c r="M8594" s="21"/>
    </row>
    <row r="8595" spans="13:13" x14ac:dyDescent="0.25">
      <c r="M8595" s="21"/>
    </row>
    <row r="8596" spans="13:13" x14ac:dyDescent="0.25">
      <c r="M8596" s="21"/>
    </row>
    <row r="8597" spans="13:13" x14ac:dyDescent="0.25">
      <c r="M8597" s="21"/>
    </row>
    <row r="8598" spans="13:13" x14ac:dyDescent="0.25">
      <c r="M8598" s="21"/>
    </row>
    <row r="8599" spans="13:13" x14ac:dyDescent="0.25">
      <c r="M8599" s="21"/>
    </row>
    <row r="8600" spans="13:13" x14ac:dyDescent="0.25">
      <c r="M8600" s="21"/>
    </row>
    <row r="8601" spans="13:13" x14ac:dyDescent="0.25">
      <c r="M8601" s="21"/>
    </row>
    <row r="8602" spans="13:13" x14ac:dyDescent="0.25">
      <c r="M8602" s="21"/>
    </row>
    <row r="8603" spans="13:13" x14ac:dyDescent="0.25">
      <c r="M8603" s="21"/>
    </row>
    <row r="8604" spans="13:13" x14ac:dyDescent="0.25">
      <c r="M8604" s="21"/>
    </row>
    <row r="8605" spans="13:13" x14ac:dyDescent="0.25">
      <c r="M8605" s="21"/>
    </row>
    <row r="8606" spans="13:13" x14ac:dyDescent="0.25">
      <c r="M8606" s="21"/>
    </row>
    <row r="8607" spans="13:13" x14ac:dyDescent="0.25">
      <c r="M8607" s="21"/>
    </row>
    <row r="8608" spans="13:13" x14ac:dyDescent="0.25">
      <c r="M8608" s="21"/>
    </row>
    <row r="8609" spans="13:13" x14ac:dyDescent="0.25">
      <c r="M8609" s="21"/>
    </row>
    <row r="8610" spans="13:13" x14ac:dyDescent="0.25">
      <c r="M8610" s="21"/>
    </row>
    <row r="8611" spans="13:13" x14ac:dyDescent="0.25">
      <c r="M8611" s="21"/>
    </row>
    <row r="8612" spans="13:13" x14ac:dyDescent="0.25">
      <c r="M8612" s="21"/>
    </row>
    <row r="8613" spans="13:13" x14ac:dyDescent="0.25">
      <c r="M8613" s="21"/>
    </row>
    <row r="8614" spans="13:13" x14ac:dyDescent="0.25">
      <c r="M8614" s="21"/>
    </row>
    <row r="8615" spans="13:13" x14ac:dyDescent="0.25">
      <c r="M8615" s="21"/>
    </row>
    <row r="8616" spans="13:13" x14ac:dyDescent="0.25">
      <c r="M8616" s="21"/>
    </row>
    <row r="8617" spans="13:13" x14ac:dyDescent="0.25">
      <c r="M8617" s="21"/>
    </row>
    <row r="8618" spans="13:13" x14ac:dyDescent="0.25">
      <c r="M8618" s="21"/>
    </row>
    <row r="8619" spans="13:13" x14ac:dyDescent="0.25">
      <c r="M8619" s="21"/>
    </row>
    <row r="8620" spans="13:13" x14ac:dyDescent="0.25">
      <c r="M8620" s="21"/>
    </row>
    <row r="8621" spans="13:13" x14ac:dyDescent="0.25">
      <c r="M8621" s="21"/>
    </row>
    <row r="8622" spans="13:13" x14ac:dyDescent="0.25">
      <c r="M8622" s="21"/>
    </row>
    <row r="8623" spans="13:13" x14ac:dyDescent="0.25">
      <c r="M8623" s="21"/>
    </row>
    <row r="8624" spans="13:13" x14ac:dyDescent="0.25">
      <c r="M8624" s="21"/>
    </row>
    <row r="8625" spans="13:13" x14ac:dyDescent="0.25">
      <c r="M8625" s="21"/>
    </row>
    <row r="8626" spans="13:13" x14ac:dyDescent="0.25">
      <c r="M8626" s="21"/>
    </row>
    <row r="8627" spans="13:13" x14ac:dyDescent="0.25">
      <c r="M8627" s="21"/>
    </row>
    <row r="8628" spans="13:13" x14ac:dyDescent="0.25">
      <c r="M8628" s="21"/>
    </row>
    <row r="8629" spans="13:13" x14ac:dyDescent="0.25">
      <c r="M8629" s="21"/>
    </row>
    <row r="8630" spans="13:13" x14ac:dyDescent="0.25">
      <c r="M8630" s="21"/>
    </row>
    <row r="8631" spans="13:13" x14ac:dyDescent="0.25">
      <c r="M8631" s="21"/>
    </row>
    <row r="8632" spans="13:13" x14ac:dyDescent="0.25">
      <c r="M8632" s="21"/>
    </row>
    <row r="8633" spans="13:13" x14ac:dyDescent="0.25">
      <c r="M8633" s="21"/>
    </row>
    <row r="8634" spans="13:13" x14ac:dyDescent="0.25">
      <c r="M8634" s="21"/>
    </row>
    <row r="8635" spans="13:13" x14ac:dyDescent="0.25">
      <c r="M8635" s="21"/>
    </row>
    <row r="8636" spans="13:13" x14ac:dyDescent="0.25">
      <c r="M8636" s="21"/>
    </row>
    <row r="8637" spans="13:13" x14ac:dyDescent="0.25">
      <c r="M8637" s="21"/>
    </row>
    <row r="8638" spans="13:13" x14ac:dyDescent="0.25">
      <c r="M8638" s="21"/>
    </row>
    <row r="8639" spans="13:13" x14ac:dyDescent="0.25">
      <c r="M8639" s="21"/>
    </row>
    <row r="8640" spans="13:13" x14ac:dyDescent="0.25">
      <c r="M8640" s="21"/>
    </row>
    <row r="8641" spans="13:13" x14ac:dyDescent="0.25">
      <c r="M8641" s="21"/>
    </row>
    <row r="8642" spans="13:13" x14ac:dyDescent="0.25">
      <c r="M8642" s="21"/>
    </row>
    <row r="8643" spans="13:13" x14ac:dyDescent="0.25">
      <c r="M8643" s="21"/>
    </row>
    <row r="8644" spans="13:13" x14ac:dyDescent="0.25">
      <c r="M8644" s="21"/>
    </row>
    <row r="8645" spans="13:13" x14ac:dyDescent="0.25">
      <c r="M8645" s="21"/>
    </row>
    <row r="8646" spans="13:13" x14ac:dyDescent="0.25">
      <c r="M8646" s="21"/>
    </row>
    <row r="8647" spans="13:13" x14ac:dyDescent="0.25">
      <c r="M8647" s="21"/>
    </row>
    <row r="8648" spans="13:13" x14ac:dyDescent="0.25">
      <c r="M8648" s="21"/>
    </row>
    <row r="8649" spans="13:13" x14ac:dyDescent="0.25">
      <c r="M8649" s="21"/>
    </row>
    <row r="8650" spans="13:13" x14ac:dyDescent="0.25">
      <c r="M8650" s="21"/>
    </row>
    <row r="8651" spans="13:13" x14ac:dyDescent="0.25">
      <c r="M8651" s="21"/>
    </row>
    <row r="8652" spans="13:13" x14ac:dyDescent="0.25">
      <c r="M8652" s="21"/>
    </row>
    <row r="8653" spans="13:13" x14ac:dyDescent="0.25">
      <c r="M8653" s="21"/>
    </row>
    <row r="8654" spans="13:13" x14ac:dyDescent="0.25">
      <c r="M8654" s="21"/>
    </row>
    <row r="8655" spans="13:13" x14ac:dyDescent="0.25">
      <c r="M8655" s="21"/>
    </row>
    <row r="8656" spans="13:13" x14ac:dyDescent="0.25">
      <c r="M8656" s="21"/>
    </row>
    <row r="8657" spans="13:13" x14ac:dyDescent="0.25">
      <c r="M8657" s="21"/>
    </row>
    <row r="8658" spans="13:13" x14ac:dyDescent="0.25">
      <c r="M8658" s="21"/>
    </row>
    <row r="8659" spans="13:13" x14ac:dyDescent="0.25">
      <c r="M8659" s="21"/>
    </row>
    <row r="8660" spans="13:13" x14ac:dyDescent="0.25">
      <c r="M8660" s="21"/>
    </row>
    <row r="8661" spans="13:13" x14ac:dyDescent="0.25">
      <c r="M8661" s="21"/>
    </row>
    <row r="8662" spans="13:13" x14ac:dyDescent="0.25">
      <c r="M8662" s="21"/>
    </row>
    <row r="8663" spans="13:13" x14ac:dyDescent="0.25">
      <c r="M8663" s="21"/>
    </row>
    <row r="8664" spans="13:13" x14ac:dyDescent="0.25">
      <c r="M8664" s="21"/>
    </row>
    <row r="8665" spans="13:13" x14ac:dyDescent="0.25">
      <c r="M8665" s="21"/>
    </row>
    <row r="8666" spans="13:13" x14ac:dyDescent="0.25">
      <c r="M8666" s="21"/>
    </row>
    <row r="8667" spans="13:13" x14ac:dyDescent="0.25">
      <c r="M8667" s="21"/>
    </row>
    <row r="8668" spans="13:13" x14ac:dyDescent="0.25">
      <c r="M8668" s="21"/>
    </row>
    <row r="8669" spans="13:13" x14ac:dyDescent="0.25">
      <c r="M8669" s="21"/>
    </row>
    <row r="8670" spans="13:13" x14ac:dyDescent="0.25">
      <c r="M8670" s="21"/>
    </row>
    <row r="8671" spans="13:13" x14ac:dyDescent="0.25">
      <c r="M8671" s="21"/>
    </row>
    <row r="8672" spans="13:13" x14ac:dyDescent="0.25">
      <c r="M8672" s="21"/>
    </row>
    <row r="8673" spans="13:13" x14ac:dyDescent="0.25">
      <c r="M8673" s="21"/>
    </row>
    <row r="8674" spans="13:13" x14ac:dyDescent="0.25">
      <c r="M8674" s="21"/>
    </row>
    <row r="8675" spans="13:13" x14ac:dyDescent="0.25">
      <c r="M8675" s="21"/>
    </row>
    <row r="8676" spans="13:13" x14ac:dyDescent="0.25">
      <c r="M8676" s="21"/>
    </row>
    <row r="8677" spans="13:13" x14ac:dyDescent="0.25">
      <c r="M8677" s="21"/>
    </row>
    <row r="8678" spans="13:13" x14ac:dyDescent="0.25">
      <c r="M8678" s="21"/>
    </row>
    <row r="8679" spans="13:13" x14ac:dyDescent="0.25">
      <c r="M8679" s="21"/>
    </row>
    <row r="8680" spans="13:13" x14ac:dyDescent="0.25">
      <c r="M8680" s="21"/>
    </row>
    <row r="8681" spans="13:13" x14ac:dyDescent="0.25">
      <c r="M8681" s="21"/>
    </row>
    <row r="8682" spans="13:13" x14ac:dyDescent="0.25">
      <c r="M8682" s="21"/>
    </row>
    <row r="8683" spans="13:13" x14ac:dyDescent="0.25">
      <c r="M8683" s="21"/>
    </row>
    <row r="8684" spans="13:13" x14ac:dyDescent="0.25">
      <c r="M8684" s="21"/>
    </row>
    <row r="8685" spans="13:13" x14ac:dyDescent="0.25">
      <c r="M8685" s="21"/>
    </row>
    <row r="8686" spans="13:13" x14ac:dyDescent="0.25">
      <c r="M8686" s="21"/>
    </row>
    <row r="8687" spans="13:13" x14ac:dyDescent="0.25">
      <c r="M8687" s="21"/>
    </row>
    <row r="8688" spans="13:13" x14ac:dyDescent="0.25">
      <c r="M8688" s="21"/>
    </row>
    <row r="8689" spans="13:13" x14ac:dyDescent="0.25">
      <c r="M8689" s="21"/>
    </row>
    <row r="8690" spans="13:13" x14ac:dyDescent="0.25">
      <c r="M8690" s="21"/>
    </row>
    <row r="8691" spans="13:13" x14ac:dyDescent="0.25">
      <c r="M8691" s="21"/>
    </row>
    <row r="8692" spans="13:13" x14ac:dyDescent="0.25">
      <c r="M8692" s="21"/>
    </row>
    <row r="8693" spans="13:13" x14ac:dyDescent="0.25">
      <c r="M8693" s="21"/>
    </row>
    <row r="8694" spans="13:13" x14ac:dyDescent="0.25">
      <c r="M8694" s="21"/>
    </row>
    <row r="8695" spans="13:13" x14ac:dyDescent="0.25">
      <c r="M8695" s="21"/>
    </row>
    <row r="8696" spans="13:13" x14ac:dyDescent="0.25">
      <c r="M8696" s="21"/>
    </row>
    <row r="8697" spans="13:13" x14ac:dyDescent="0.25">
      <c r="M8697" s="21"/>
    </row>
    <row r="8698" spans="13:13" x14ac:dyDescent="0.25">
      <c r="M8698" s="21"/>
    </row>
    <row r="8699" spans="13:13" x14ac:dyDescent="0.25">
      <c r="M8699" s="21"/>
    </row>
    <row r="8700" spans="13:13" x14ac:dyDescent="0.25">
      <c r="M8700" s="21"/>
    </row>
    <row r="8701" spans="13:13" x14ac:dyDescent="0.25">
      <c r="M8701" s="21"/>
    </row>
    <row r="8702" spans="13:13" x14ac:dyDescent="0.25">
      <c r="M8702" s="21"/>
    </row>
    <row r="8703" spans="13:13" x14ac:dyDescent="0.25">
      <c r="M8703" s="21"/>
    </row>
    <row r="8704" spans="13:13" x14ac:dyDescent="0.25">
      <c r="M8704" s="21"/>
    </row>
    <row r="8705" spans="13:13" x14ac:dyDescent="0.25">
      <c r="M8705" s="21"/>
    </row>
    <row r="8706" spans="13:13" x14ac:dyDescent="0.25">
      <c r="M8706" s="21"/>
    </row>
    <row r="8707" spans="13:13" x14ac:dyDescent="0.25">
      <c r="M8707" s="21"/>
    </row>
    <row r="8708" spans="13:13" x14ac:dyDescent="0.25">
      <c r="M8708" s="21"/>
    </row>
    <row r="8709" spans="13:13" x14ac:dyDescent="0.25">
      <c r="M8709" s="21"/>
    </row>
    <row r="8710" spans="13:13" x14ac:dyDescent="0.25">
      <c r="M8710" s="21"/>
    </row>
    <row r="8711" spans="13:13" x14ac:dyDescent="0.25">
      <c r="M8711" s="21"/>
    </row>
    <row r="8712" spans="13:13" x14ac:dyDescent="0.25">
      <c r="M8712" s="21"/>
    </row>
    <row r="8713" spans="13:13" x14ac:dyDescent="0.25">
      <c r="M8713" s="21"/>
    </row>
    <row r="8714" spans="13:13" x14ac:dyDescent="0.25">
      <c r="M8714" s="21"/>
    </row>
    <row r="8715" spans="13:13" x14ac:dyDescent="0.25">
      <c r="M8715" s="21"/>
    </row>
    <row r="8716" spans="13:13" x14ac:dyDescent="0.25">
      <c r="M8716" s="21"/>
    </row>
    <row r="8717" spans="13:13" x14ac:dyDescent="0.25">
      <c r="M8717" s="21"/>
    </row>
    <row r="8718" spans="13:13" x14ac:dyDescent="0.25">
      <c r="M8718" s="21"/>
    </row>
    <row r="8719" spans="13:13" x14ac:dyDescent="0.25">
      <c r="M8719" s="21"/>
    </row>
    <row r="8720" spans="13:13" x14ac:dyDescent="0.25">
      <c r="M8720" s="21"/>
    </row>
    <row r="8721" spans="13:13" x14ac:dyDescent="0.25">
      <c r="M8721" s="21"/>
    </row>
    <row r="8722" spans="13:13" x14ac:dyDescent="0.25">
      <c r="M8722" s="21"/>
    </row>
    <row r="8723" spans="13:13" x14ac:dyDescent="0.25">
      <c r="M8723" s="21"/>
    </row>
    <row r="8724" spans="13:13" x14ac:dyDescent="0.25">
      <c r="M8724" s="21"/>
    </row>
    <row r="8725" spans="13:13" x14ac:dyDescent="0.25">
      <c r="M8725" s="21"/>
    </row>
    <row r="8726" spans="13:13" x14ac:dyDescent="0.25">
      <c r="M8726" s="21"/>
    </row>
    <row r="8727" spans="13:13" x14ac:dyDescent="0.25">
      <c r="M8727" s="21"/>
    </row>
    <row r="8728" spans="13:13" x14ac:dyDescent="0.25">
      <c r="M8728" s="21"/>
    </row>
    <row r="8729" spans="13:13" x14ac:dyDescent="0.25">
      <c r="M8729" s="21"/>
    </row>
    <row r="8730" spans="13:13" x14ac:dyDescent="0.25">
      <c r="M8730" s="21"/>
    </row>
    <row r="8731" spans="13:13" x14ac:dyDescent="0.25">
      <c r="M8731" s="21"/>
    </row>
    <row r="8732" spans="13:13" x14ac:dyDescent="0.25">
      <c r="M8732" s="21"/>
    </row>
    <row r="8733" spans="13:13" x14ac:dyDescent="0.25">
      <c r="M8733" s="21"/>
    </row>
    <row r="8734" spans="13:13" x14ac:dyDescent="0.25">
      <c r="M8734" s="21"/>
    </row>
    <row r="8735" spans="13:13" x14ac:dyDescent="0.25">
      <c r="M8735" s="21"/>
    </row>
    <row r="8736" spans="13:13" x14ac:dyDescent="0.25">
      <c r="M8736" s="21"/>
    </row>
    <row r="8737" spans="13:13" x14ac:dyDescent="0.25">
      <c r="M8737" s="21"/>
    </row>
    <row r="8738" spans="13:13" x14ac:dyDescent="0.25">
      <c r="M8738" s="21"/>
    </row>
    <row r="8739" spans="13:13" x14ac:dyDescent="0.25">
      <c r="M8739" s="21"/>
    </row>
    <row r="8740" spans="13:13" x14ac:dyDescent="0.25">
      <c r="M8740" s="21"/>
    </row>
    <row r="8741" spans="13:13" x14ac:dyDescent="0.25">
      <c r="M8741" s="21"/>
    </row>
    <row r="8742" spans="13:13" x14ac:dyDescent="0.25">
      <c r="M8742" s="21"/>
    </row>
    <row r="8743" spans="13:13" x14ac:dyDescent="0.25">
      <c r="M8743" s="21"/>
    </row>
    <row r="8744" spans="13:13" x14ac:dyDescent="0.25">
      <c r="M8744" s="21"/>
    </row>
    <row r="8745" spans="13:13" x14ac:dyDescent="0.25">
      <c r="M8745" s="21"/>
    </row>
    <row r="8746" spans="13:13" x14ac:dyDescent="0.25">
      <c r="M8746" s="21"/>
    </row>
    <row r="8747" spans="13:13" x14ac:dyDescent="0.25">
      <c r="M8747" s="21"/>
    </row>
    <row r="8748" spans="13:13" x14ac:dyDescent="0.25">
      <c r="M8748" s="21"/>
    </row>
    <row r="8749" spans="13:13" x14ac:dyDescent="0.25">
      <c r="M8749" s="21"/>
    </row>
    <row r="8750" spans="13:13" x14ac:dyDescent="0.25">
      <c r="M8750" s="21"/>
    </row>
    <row r="8751" spans="13:13" x14ac:dyDescent="0.25">
      <c r="M8751" s="21"/>
    </row>
    <row r="8752" spans="13:13" x14ac:dyDescent="0.25">
      <c r="M8752" s="21"/>
    </row>
    <row r="8753" spans="13:13" x14ac:dyDescent="0.25">
      <c r="M8753" s="21"/>
    </row>
    <row r="8754" spans="13:13" x14ac:dyDescent="0.25">
      <c r="M8754" s="21"/>
    </row>
    <row r="8755" spans="13:13" x14ac:dyDescent="0.25">
      <c r="M8755" s="21"/>
    </row>
    <row r="8756" spans="13:13" x14ac:dyDescent="0.25">
      <c r="M8756" s="21"/>
    </row>
    <row r="8757" spans="13:13" x14ac:dyDescent="0.25">
      <c r="M8757" s="21"/>
    </row>
    <row r="8758" spans="13:13" x14ac:dyDescent="0.25">
      <c r="M8758" s="21"/>
    </row>
    <row r="8759" spans="13:13" x14ac:dyDescent="0.25">
      <c r="M8759" s="21"/>
    </row>
    <row r="8760" spans="13:13" x14ac:dyDescent="0.25">
      <c r="M8760" s="21"/>
    </row>
    <row r="8761" spans="13:13" x14ac:dyDescent="0.25">
      <c r="M8761" s="21"/>
    </row>
    <row r="8762" spans="13:13" x14ac:dyDescent="0.25">
      <c r="M8762" s="21"/>
    </row>
    <row r="8763" spans="13:13" x14ac:dyDescent="0.25">
      <c r="M8763" s="21"/>
    </row>
    <row r="8764" spans="13:13" x14ac:dyDescent="0.25">
      <c r="M8764" s="21"/>
    </row>
    <row r="8765" spans="13:13" x14ac:dyDescent="0.25">
      <c r="M8765" s="21"/>
    </row>
    <row r="8766" spans="13:13" x14ac:dyDescent="0.25">
      <c r="M8766" s="21"/>
    </row>
    <row r="8767" spans="13:13" x14ac:dyDescent="0.25">
      <c r="M8767" s="21"/>
    </row>
    <row r="8768" spans="13:13" x14ac:dyDescent="0.25">
      <c r="M8768" s="21"/>
    </row>
    <row r="8769" spans="13:13" x14ac:dyDescent="0.25">
      <c r="M8769" s="21"/>
    </row>
    <row r="8770" spans="13:13" x14ac:dyDescent="0.25">
      <c r="M8770" s="21"/>
    </row>
    <row r="8771" spans="13:13" x14ac:dyDescent="0.25">
      <c r="M8771" s="21"/>
    </row>
    <row r="8772" spans="13:13" x14ac:dyDescent="0.25">
      <c r="M8772" s="21"/>
    </row>
    <row r="8773" spans="13:13" x14ac:dyDescent="0.25">
      <c r="M8773" s="21"/>
    </row>
    <row r="8774" spans="13:13" x14ac:dyDescent="0.25">
      <c r="M8774" s="21"/>
    </row>
    <row r="8775" spans="13:13" x14ac:dyDescent="0.25">
      <c r="M8775" s="21"/>
    </row>
    <row r="8776" spans="13:13" x14ac:dyDescent="0.25">
      <c r="M8776" s="21"/>
    </row>
    <row r="8777" spans="13:13" x14ac:dyDescent="0.25">
      <c r="M8777" s="21"/>
    </row>
    <row r="8778" spans="13:13" x14ac:dyDescent="0.25">
      <c r="M8778" s="21"/>
    </row>
    <row r="8779" spans="13:13" x14ac:dyDescent="0.25">
      <c r="M8779" s="21"/>
    </row>
    <row r="8780" spans="13:13" x14ac:dyDescent="0.25">
      <c r="M8780" s="21"/>
    </row>
    <row r="8781" spans="13:13" x14ac:dyDescent="0.25">
      <c r="M8781" s="21"/>
    </row>
    <row r="8782" spans="13:13" x14ac:dyDescent="0.25">
      <c r="M8782" s="21"/>
    </row>
    <row r="8783" spans="13:13" x14ac:dyDescent="0.25">
      <c r="M8783" s="21"/>
    </row>
    <row r="8784" spans="13:13" x14ac:dyDescent="0.25">
      <c r="M8784" s="21"/>
    </row>
    <row r="8785" spans="13:13" x14ac:dyDescent="0.25">
      <c r="M8785" s="21"/>
    </row>
    <row r="8786" spans="13:13" x14ac:dyDescent="0.25">
      <c r="M8786" s="21"/>
    </row>
    <row r="8787" spans="13:13" x14ac:dyDescent="0.25">
      <c r="M8787" s="21"/>
    </row>
    <row r="8788" spans="13:13" x14ac:dyDescent="0.25">
      <c r="M8788" s="21"/>
    </row>
    <row r="8789" spans="13:13" x14ac:dyDescent="0.25">
      <c r="M8789" s="21"/>
    </row>
    <row r="8790" spans="13:13" x14ac:dyDescent="0.25">
      <c r="M8790" s="21"/>
    </row>
    <row r="8791" spans="13:13" x14ac:dyDescent="0.25">
      <c r="M8791" s="21"/>
    </row>
    <row r="8792" spans="13:13" x14ac:dyDescent="0.25">
      <c r="M8792" s="21"/>
    </row>
    <row r="8793" spans="13:13" x14ac:dyDescent="0.25">
      <c r="M8793" s="21"/>
    </row>
    <row r="8794" spans="13:13" x14ac:dyDescent="0.25">
      <c r="M8794" s="21"/>
    </row>
    <row r="8795" spans="13:13" x14ac:dyDescent="0.25">
      <c r="M8795" s="21"/>
    </row>
    <row r="8796" spans="13:13" x14ac:dyDescent="0.25">
      <c r="M8796" s="21"/>
    </row>
    <row r="8797" spans="13:13" x14ac:dyDescent="0.25">
      <c r="M8797" s="21"/>
    </row>
    <row r="8798" spans="13:13" x14ac:dyDescent="0.25">
      <c r="M8798" s="21"/>
    </row>
    <row r="8799" spans="13:13" x14ac:dyDescent="0.25">
      <c r="M8799" s="21"/>
    </row>
    <row r="8800" spans="13:13" x14ac:dyDescent="0.25">
      <c r="M8800" s="21"/>
    </row>
    <row r="8801" spans="13:13" x14ac:dyDescent="0.25">
      <c r="M8801" s="21"/>
    </row>
    <row r="8802" spans="13:13" x14ac:dyDescent="0.25">
      <c r="M8802" s="21"/>
    </row>
    <row r="8803" spans="13:13" x14ac:dyDescent="0.25">
      <c r="M8803" s="21"/>
    </row>
    <row r="8804" spans="13:13" x14ac:dyDescent="0.25">
      <c r="M8804" s="21"/>
    </row>
    <row r="8805" spans="13:13" x14ac:dyDescent="0.25">
      <c r="M8805" s="21"/>
    </row>
    <row r="8806" spans="13:13" x14ac:dyDescent="0.25">
      <c r="M8806" s="21"/>
    </row>
    <row r="8807" spans="13:13" x14ac:dyDescent="0.25">
      <c r="M8807" s="21"/>
    </row>
    <row r="8808" spans="13:13" x14ac:dyDescent="0.25">
      <c r="M8808" s="21"/>
    </row>
    <row r="8809" spans="13:13" x14ac:dyDescent="0.25">
      <c r="M8809" s="21"/>
    </row>
    <row r="8810" spans="13:13" x14ac:dyDescent="0.25">
      <c r="M8810" s="21"/>
    </row>
    <row r="8811" spans="13:13" x14ac:dyDescent="0.25">
      <c r="M8811" s="21"/>
    </row>
    <row r="8812" spans="13:13" x14ac:dyDescent="0.25">
      <c r="M8812" s="21"/>
    </row>
    <row r="8813" spans="13:13" x14ac:dyDescent="0.25">
      <c r="M8813" s="21"/>
    </row>
    <row r="8814" spans="13:13" x14ac:dyDescent="0.25">
      <c r="M8814" s="21"/>
    </row>
    <row r="8815" spans="13:13" x14ac:dyDescent="0.25">
      <c r="M8815" s="21"/>
    </row>
    <row r="8816" spans="13:13" x14ac:dyDescent="0.25">
      <c r="M8816" s="21"/>
    </row>
    <row r="8817" spans="13:13" x14ac:dyDescent="0.25">
      <c r="M8817" s="21"/>
    </row>
    <row r="8818" spans="13:13" x14ac:dyDescent="0.25">
      <c r="M8818" s="21"/>
    </row>
    <row r="8819" spans="13:13" x14ac:dyDescent="0.25">
      <c r="M8819" s="21"/>
    </row>
    <row r="8820" spans="13:13" x14ac:dyDescent="0.25">
      <c r="M8820" s="21"/>
    </row>
    <row r="8821" spans="13:13" x14ac:dyDescent="0.25">
      <c r="M8821" s="21"/>
    </row>
    <row r="8822" spans="13:13" x14ac:dyDescent="0.25">
      <c r="M8822" s="21"/>
    </row>
    <row r="8823" spans="13:13" x14ac:dyDescent="0.25">
      <c r="M8823" s="21"/>
    </row>
    <row r="8824" spans="13:13" x14ac:dyDescent="0.25">
      <c r="M8824" s="21"/>
    </row>
    <row r="8825" spans="13:13" x14ac:dyDescent="0.25">
      <c r="M8825" s="21"/>
    </row>
    <row r="8826" spans="13:13" x14ac:dyDescent="0.25">
      <c r="M8826" s="21"/>
    </row>
    <row r="8827" spans="13:13" x14ac:dyDescent="0.25">
      <c r="M8827" s="21"/>
    </row>
    <row r="8828" spans="13:13" x14ac:dyDescent="0.25">
      <c r="M8828" s="21"/>
    </row>
    <row r="8829" spans="13:13" x14ac:dyDescent="0.25">
      <c r="M8829" s="21"/>
    </row>
    <row r="8830" spans="13:13" x14ac:dyDescent="0.25">
      <c r="M8830" s="21"/>
    </row>
    <row r="8831" spans="13:13" x14ac:dyDescent="0.25">
      <c r="M8831" s="21"/>
    </row>
    <row r="8832" spans="13:13" x14ac:dyDescent="0.25">
      <c r="M8832" s="21"/>
    </row>
    <row r="8833" spans="13:13" x14ac:dyDescent="0.25">
      <c r="M8833" s="21"/>
    </row>
    <row r="8834" spans="13:13" x14ac:dyDescent="0.25">
      <c r="M8834" s="21"/>
    </row>
    <row r="8835" spans="13:13" x14ac:dyDescent="0.25">
      <c r="M8835" s="21"/>
    </row>
    <row r="8836" spans="13:13" x14ac:dyDescent="0.25">
      <c r="M8836" s="21"/>
    </row>
    <row r="8837" spans="13:13" x14ac:dyDescent="0.25">
      <c r="M8837" s="21"/>
    </row>
    <row r="8838" spans="13:13" x14ac:dyDescent="0.25">
      <c r="M8838" s="21"/>
    </row>
    <row r="8839" spans="13:13" x14ac:dyDescent="0.25">
      <c r="M8839" s="21"/>
    </row>
    <row r="8840" spans="13:13" x14ac:dyDescent="0.25">
      <c r="M8840" s="21"/>
    </row>
    <row r="8841" spans="13:13" x14ac:dyDescent="0.25">
      <c r="M8841" s="21"/>
    </row>
    <row r="8842" spans="13:13" x14ac:dyDescent="0.25">
      <c r="M8842" s="21"/>
    </row>
    <row r="8843" spans="13:13" x14ac:dyDescent="0.25">
      <c r="M8843" s="21"/>
    </row>
    <row r="8844" spans="13:13" x14ac:dyDescent="0.25">
      <c r="M8844" s="21"/>
    </row>
    <row r="8845" spans="13:13" x14ac:dyDescent="0.25">
      <c r="M8845" s="21"/>
    </row>
    <row r="8846" spans="13:13" x14ac:dyDescent="0.25">
      <c r="M8846" s="21"/>
    </row>
    <row r="8847" spans="13:13" x14ac:dyDescent="0.25">
      <c r="M8847" s="21"/>
    </row>
    <row r="8848" spans="13:13" x14ac:dyDescent="0.25">
      <c r="M8848" s="21"/>
    </row>
    <row r="8849" spans="13:13" x14ac:dyDescent="0.25">
      <c r="M8849" s="21"/>
    </row>
    <row r="8850" spans="13:13" x14ac:dyDescent="0.25">
      <c r="M8850" s="21"/>
    </row>
    <row r="8851" spans="13:13" x14ac:dyDescent="0.25">
      <c r="M8851" s="21"/>
    </row>
    <row r="8852" spans="13:13" x14ac:dyDescent="0.25">
      <c r="M8852" s="21"/>
    </row>
    <row r="8853" spans="13:13" x14ac:dyDescent="0.25">
      <c r="M8853" s="21"/>
    </row>
    <row r="8854" spans="13:13" x14ac:dyDescent="0.25">
      <c r="M8854" s="21"/>
    </row>
    <row r="8855" spans="13:13" x14ac:dyDescent="0.25">
      <c r="M8855" s="21"/>
    </row>
    <row r="8856" spans="13:13" x14ac:dyDescent="0.25">
      <c r="M8856" s="21"/>
    </row>
    <row r="8857" spans="13:13" x14ac:dyDescent="0.25">
      <c r="M8857" s="21"/>
    </row>
    <row r="8858" spans="13:13" x14ac:dyDescent="0.25">
      <c r="M8858" s="21"/>
    </row>
    <row r="8859" spans="13:13" x14ac:dyDescent="0.25">
      <c r="M8859" s="21"/>
    </row>
    <row r="8860" spans="13:13" x14ac:dyDescent="0.25">
      <c r="M8860" s="21"/>
    </row>
    <row r="8861" spans="13:13" x14ac:dyDescent="0.25">
      <c r="M8861" s="21"/>
    </row>
    <row r="8862" spans="13:13" x14ac:dyDescent="0.25">
      <c r="M8862" s="21"/>
    </row>
    <row r="8863" spans="13:13" x14ac:dyDescent="0.25">
      <c r="M8863" s="21"/>
    </row>
    <row r="8864" spans="13:13" x14ac:dyDescent="0.25">
      <c r="M8864" s="21"/>
    </row>
    <row r="8865" spans="13:13" x14ac:dyDescent="0.25">
      <c r="M8865" s="21"/>
    </row>
    <row r="8866" spans="13:13" x14ac:dyDescent="0.25">
      <c r="M8866" s="21"/>
    </row>
    <row r="8867" spans="13:13" x14ac:dyDescent="0.25">
      <c r="M8867" s="21"/>
    </row>
    <row r="8868" spans="13:13" x14ac:dyDescent="0.25">
      <c r="M8868" s="21"/>
    </row>
    <row r="8869" spans="13:13" x14ac:dyDescent="0.25">
      <c r="M8869" s="21"/>
    </row>
    <row r="8870" spans="13:13" x14ac:dyDescent="0.25">
      <c r="M8870" s="21"/>
    </row>
    <row r="8871" spans="13:13" x14ac:dyDescent="0.25">
      <c r="M8871" s="21"/>
    </row>
    <row r="8872" spans="13:13" x14ac:dyDescent="0.25">
      <c r="M8872" s="21"/>
    </row>
    <row r="8873" spans="13:13" x14ac:dyDescent="0.25">
      <c r="M8873" s="21"/>
    </row>
    <row r="8874" spans="13:13" x14ac:dyDescent="0.25">
      <c r="M8874" s="21"/>
    </row>
    <row r="8875" spans="13:13" x14ac:dyDescent="0.25">
      <c r="M8875" s="21"/>
    </row>
    <row r="8876" spans="13:13" x14ac:dyDescent="0.25">
      <c r="M8876" s="21"/>
    </row>
    <row r="8877" spans="13:13" x14ac:dyDescent="0.25">
      <c r="M8877" s="21"/>
    </row>
    <row r="8878" spans="13:13" x14ac:dyDescent="0.25">
      <c r="M8878" s="21"/>
    </row>
    <row r="8879" spans="13:13" x14ac:dyDescent="0.25">
      <c r="M8879" s="21"/>
    </row>
    <row r="8880" spans="13:13" x14ac:dyDescent="0.25">
      <c r="M8880" s="21"/>
    </row>
    <row r="8881" spans="13:13" x14ac:dyDescent="0.25">
      <c r="M8881" s="21"/>
    </row>
    <row r="8882" spans="13:13" x14ac:dyDescent="0.25">
      <c r="M8882" s="21"/>
    </row>
    <row r="8883" spans="13:13" x14ac:dyDescent="0.25">
      <c r="M8883" s="21"/>
    </row>
    <row r="8884" spans="13:13" x14ac:dyDescent="0.25">
      <c r="M8884" s="21"/>
    </row>
    <row r="8885" spans="13:13" x14ac:dyDescent="0.25">
      <c r="M8885" s="21"/>
    </row>
    <row r="8886" spans="13:13" x14ac:dyDescent="0.25">
      <c r="M8886" s="21"/>
    </row>
    <row r="8887" spans="13:13" x14ac:dyDescent="0.25">
      <c r="M8887" s="21"/>
    </row>
    <row r="8888" spans="13:13" x14ac:dyDescent="0.25">
      <c r="M8888" s="21"/>
    </row>
    <row r="8889" spans="13:13" x14ac:dyDescent="0.25">
      <c r="M8889" s="21"/>
    </row>
    <row r="8890" spans="13:13" x14ac:dyDescent="0.25">
      <c r="M8890" s="21"/>
    </row>
    <row r="8891" spans="13:13" x14ac:dyDescent="0.25">
      <c r="M8891" s="21"/>
    </row>
    <row r="8892" spans="13:13" x14ac:dyDescent="0.25">
      <c r="M8892" s="21"/>
    </row>
    <row r="8893" spans="13:13" x14ac:dyDescent="0.25">
      <c r="M8893" s="21"/>
    </row>
    <row r="8894" spans="13:13" x14ac:dyDescent="0.25">
      <c r="M8894" s="21"/>
    </row>
    <row r="8895" spans="13:13" x14ac:dyDescent="0.25">
      <c r="M8895" s="21"/>
    </row>
    <row r="8896" spans="13:13" x14ac:dyDescent="0.25">
      <c r="M8896" s="21"/>
    </row>
    <row r="8897" spans="13:13" x14ac:dyDescent="0.25">
      <c r="M8897" s="21"/>
    </row>
    <row r="8898" spans="13:13" x14ac:dyDescent="0.25">
      <c r="M8898" s="21"/>
    </row>
    <row r="8899" spans="13:13" x14ac:dyDescent="0.25">
      <c r="M8899" s="21"/>
    </row>
    <row r="8900" spans="13:13" x14ac:dyDescent="0.25">
      <c r="M8900" s="21"/>
    </row>
    <row r="8901" spans="13:13" x14ac:dyDescent="0.25">
      <c r="M8901" s="21"/>
    </row>
    <row r="8902" spans="13:13" x14ac:dyDescent="0.25">
      <c r="M8902" s="21"/>
    </row>
    <row r="8903" spans="13:13" x14ac:dyDescent="0.25">
      <c r="M8903" s="21"/>
    </row>
    <row r="8904" spans="13:13" x14ac:dyDescent="0.25">
      <c r="M8904" s="21"/>
    </row>
    <row r="8905" spans="13:13" x14ac:dyDescent="0.25">
      <c r="M8905" s="21"/>
    </row>
    <row r="8906" spans="13:13" x14ac:dyDescent="0.25">
      <c r="M8906" s="21"/>
    </row>
    <row r="8907" spans="13:13" x14ac:dyDescent="0.25">
      <c r="M8907" s="21"/>
    </row>
    <row r="8908" spans="13:13" x14ac:dyDescent="0.25">
      <c r="M8908" s="21"/>
    </row>
    <row r="8909" spans="13:13" x14ac:dyDescent="0.25">
      <c r="M8909" s="21"/>
    </row>
    <row r="8910" spans="13:13" x14ac:dyDescent="0.25">
      <c r="M8910" s="21"/>
    </row>
    <row r="8911" spans="13:13" x14ac:dyDescent="0.25">
      <c r="M8911" s="21"/>
    </row>
    <row r="8912" spans="13:13" x14ac:dyDescent="0.25">
      <c r="M8912" s="21"/>
    </row>
    <row r="8913" spans="13:13" x14ac:dyDescent="0.25">
      <c r="M8913" s="21"/>
    </row>
    <row r="8914" spans="13:13" x14ac:dyDescent="0.25">
      <c r="M8914" s="21"/>
    </row>
    <row r="8915" spans="13:13" x14ac:dyDescent="0.25">
      <c r="M8915" s="21"/>
    </row>
    <row r="8916" spans="13:13" x14ac:dyDescent="0.25">
      <c r="M8916" s="21"/>
    </row>
    <row r="8917" spans="13:13" x14ac:dyDescent="0.25">
      <c r="M8917" s="21"/>
    </row>
    <row r="8918" spans="13:13" x14ac:dyDescent="0.25">
      <c r="M8918" s="21"/>
    </row>
    <row r="8919" spans="13:13" x14ac:dyDescent="0.25">
      <c r="M8919" s="21"/>
    </row>
    <row r="8920" spans="13:13" x14ac:dyDescent="0.25">
      <c r="M8920" s="21"/>
    </row>
    <row r="8921" spans="13:13" x14ac:dyDescent="0.25">
      <c r="M8921" s="21"/>
    </row>
    <row r="8922" spans="13:13" x14ac:dyDescent="0.25">
      <c r="M8922" s="21"/>
    </row>
    <row r="8923" spans="13:13" x14ac:dyDescent="0.25">
      <c r="M8923" s="21"/>
    </row>
    <row r="8924" spans="13:13" x14ac:dyDescent="0.25">
      <c r="M8924" s="21"/>
    </row>
    <row r="8925" spans="13:13" x14ac:dyDescent="0.25">
      <c r="M8925" s="21"/>
    </row>
    <row r="8926" spans="13:13" x14ac:dyDescent="0.25">
      <c r="M8926" s="21"/>
    </row>
    <row r="8927" spans="13:13" x14ac:dyDescent="0.25">
      <c r="M8927" s="21"/>
    </row>
    <row r="8928" spans="13:13" x14ac:dyDescent="0.25">
      <c r="M8928" s="21"/>
    </row>
    <row r="8929" spans="13:13" x14ac:dyDescent="0.25">
      <c r="M8929" s="21"/>
    </row>
    <row r="8930" spans="13:13" x14ac:dyDescent="0.25">
      <c r="M8930" s="21"/>
    </row>
    <row r="8931" spans="13:13" x14ac:dyDescent="0.25">
      <c r="M8931" s="21"/>
    </row>
    <row r="8932" spans="13:13" x14ac:dyDescent="0.25">
      <c r="M8932" s="21"/>
    </row>
    <row r="8933" spans="13:13" x14ac:dyDescent="0.25">
      <c r="M8933" s="21"/>
    </row>
    <row r="8934" spans="13:13" x14ac:dyDescent="0.25">
      <c r="M8934" s="21"/>
    </row>
    <row r="8935" spans="13:13" x14ac:dyDescent="0.25">
      <c r="M8935" s="21"/>
    </row>
    <row r="8936" spans="13:13" x14ac:dyDescent="0.25">
      <c r="M8936" s="21"/>
    </row>
    <row r="8937" spans="13:13" x14ac:dyDescent="0.25">
      <c r="M8937" s="21"/>
    </row>
    <row r="8938" spans="13:13" x14ac:dyDescent="0.25">
      <c r="M8938" s="21"/>
    </row>
    <row r="8939" spans="13:13" x14ac:dyDescent="0.25">
      <c r="M8939" s="21"/>
    </row>
    <row r="8940" spans="13:13" x14ac:dyDescent="0.25">
      <c r="M8940" s="21"/>
    </row>
    <row r="8941" spans="13:13" x14ac:dyDescent="0.25">
      <c r="M8941" s="21"/>
    </row>
    <row r="8942" spans="13:13" x14ac:dyDescent="0.25">
      <c r="M8942" s="21"/>
    </row>
    <row r="8943" spans="13:13" x14ac:dyDescent="0.25">
      <c r="M8943" s="21"/>
    </row>
    <row r="8944" spans="13:13" x14ac:dyDescent="0.25">
      <c r="M8944" s="21"/>
    </row>
    <row r="8945" spans="13:13" x14ac:dyDescent="0.25">
      <c r="M8945" s="21"/>
    </row>
    <row r="8946" spans="13:13" x14ac:dyDescent="0.25">
      <c r="M8946" s="21"/>
    </row>
    <row r="8947" spans="13:13" x14ac:dyDescent="0.25">
      <c r="M8947" s="21"/>
    </row>
    <row r="8948" spans="13:13" x14ac:dyDescent="0.25">
      <c r="M8948" s="21"/>
    </row>
    <row r="8949" spans="13:13" x14ac:dyDescent="0.25">
      <c r="M8949" s="21"/>
    </row>
    <row r="8950" spans="13:13" x14ac:dyDescent="0.25">
      <c r="M8950" s="21"/>
    </row>
    <row r="8951" spans="13:13" x14ac:dyDescent="0.25">
      <c r="M8951" s="21"/>
    </row>
    <row r="8952" spans="13:13" x14ac:dyDescent="0.25">
      <c r="M8952" s="21"/>
    </row>
    <row r="8953" spans="13:13" x14ac:dyDescent="0.25">
      <c r="M8953" s="21"/>
    </row>
    <row r="8954" spans="13:13" x14ac:dyDescent="0.25">
      <c r="M8954" s="21"/>
    </row>
    <row r="8955" spans="13:13" x14ac:dyDescent="0.25">
      <c r="M8955" s="21"/>
    </row>
    <row r="8956" spans="13:13" x14ac:dyDescent="0.25">
      <c r="M8956" s="21"/>
    </row>
    <row r="8957" spans="13:13" x14ac:dyDescent="0.25">
      <c r="M8957" s="21"/>
    </row>
    <row r="8958" spans="13:13" x14ac:dyDescent="0.25">
      <c r="M8958" s="21"/>
    </row>
    <row r="8959" spans="13:13" x14ac:dyDescent="0.25">
      <c r="M8959" s="21"/>
    </row>
    <row r="8960" spans="13:13" x14ac:dyDescent="0.25">
      <c r="M8960" s="21"/>
    </row>
    <row r="8961" spans="13:13" x14ac:dyDescent="0.25">
      <c r="M8961" s="21"/>
    </row>
    <row r="8962" spans="13:13" x14ac:dyDescent="0.25">
      <c r="M8962" s="21"/>
    </row>
    <row r="8963" spans="13:13" x14ac:dyDescent="0.25">
      <c r="M8963" s="21"/>
    </row>
    <row r="8964" spans="13:13" x14ac:dyDescent="0.25">
      <c r="M8964" s="21"/>
    </row>
    <row r="8965" spans="13:13" x14ac:dyDescent="0.25">
      <c r="M8965" s="21"/>
    </row>
    <row r="8966" spans="13:13" x14ac:dyDescent="0.25">
      <c r="M8966" s="21"/>
    </row>
    <row r="8967" spans="13:13" x14ac:dyDescent="0.25">
      <c r="M8967" s="21"/>
    </row>
    <row r="8968" spans="13:13" x14ac:dyDescent="0.25">
      <c r="M8968" s="21"/>
    </row>
    <row r="8969" spans="13:13" x14ac:dyDescent="0.25">
      <c r="M8969" s="21"/>
    </row>
    <row r="8970" spans="13:13" x14ac:dyDescent="0.25">
      <c r="M8970" s="21"/>
    </row>
    <row r="8971" spans="13:13" x14ac:dyDescent="0.25">
      <c r="M8971" s="21"/>
    </row>
    <row r="8972" spans="13:13" x14ac:dyDescent="0.25">
      <c r="M8972" s="21"/>
    </row>
    <row r="8973" spans="13:13" x14ac:dyDescent="0.25">
      <c r="M8973" s="21"/>
    </row>
    <row r="8974" spans="13:13" x14ac:dyDescent="0.25">
      <c r="M8974" s="21"/>
    </row>
    <row r="8975" spans="13:13" x14ac:dyDescent="0.25">
      <c r="M8975" s="21"/>
    </row>
    <row r="8976" spans="13:13" x14ac:dyDescent="0.25">
      <c r="M8976" s="21"/>
    </row>
    <row r="8977" spans="13:13" x14ac:dyDescent="0.25">
      <c r="M8977" s="21"/>
    </row>
    <row r="8978" spans="13:13" x14ac:dyDescent="0.25">
      <c r="M8978" s="21"/>
    </row>
    <row r="8979" spans="13:13" x14ac:dyDescent="0.25">
      <c r="M8979" s="21"/>
    </row>
    <row r="8980" spans="13:13" x14ac:dyDescent="0.25">
      <c r="M8980" s="21"/>
    </row>
    <row r="8981" spans="13:13" x14ac:dyDescent="0.25">
      <c r="M8981" s="21"/>
    </row>
    <row r="8982" spans="13:13" x14ac:dyDescent="0.25">
      <c r="M8982" s="21"/>
    </row>
    <row r="8983" spans="13:13" x14ac:dyDescent="0.25">
      <c r="M8983" s="21"/>
    </row>
    <row r="8984" spans="13:13" x14ac:dyDescent="0.25">
      <c r="M8984" s="21"/>
    </row>
    <row r="8985" spans="13:13" x14ac:dyDescent="0.25">
      <c r="M8985" s="21"/>
    </row>
    <row r="8986" spans="13:13" x14ac:dyDescent="0.25">
      <c r="M8986" s="21"/>
    </row>
    <row r="8987" spans="13:13" x14ac:dyDescent="0.25">
      <c r="M8987" s="21"/>
    </row>
    <row r="8988" spans="13:13" x14ac:dyDescent="0.25">
      <c r="M8988" s="21"/>
    </row>
    <row r="8989" spans="13:13" x14ac:dyDescent="0.25">
      <c r="M8989" s="21"/>
    </row>
    <row r="8990" spans="13:13" x14ac:dyDescent="0.25">
      <c r="M8990" s="21"/>
    </row>
    <row r="8991" spans="13:13" x14ac:dyDescent="0.25">
      <c r="M8991" s="21"/>
    </row>
    <row r="8992" spans="13:13" x14ac:dyDescent="0.25">
      <c r="M8992" s="21"/>
    </row>
    <row r="8993" spans="13:13" x14ac:dyDescent="0.25">
      <c r="M8993" s="21"/>
    </row>
    <row r="8994" spans="13:13" x14ac:dyDescent="0.25">
      <c r="M8994" s="21"/>
    </row>
    <row r="8995" spans="13:13" x14ac:dyDescent="0.25">
      <c r="M8995" s="21"/>
    </row>
    <row r="8996" spans="13:13" x14ac:dyDescent="0.25">
      <c r="M8996" s="21"/>
    </row>
    <row r="8997" spans="13:13" x14ac:dyDescent="0.25">
      <c r="M8997" s="21"/>
    </row>
    <row r="8998" spans="13:13" x14ac:dyDescent="0.25">
      <c r="M8998" s="21"/>
    </row>
    <row r="8999" spans="13:13" x14ac:dyDescent="0.25">
      <c r="M8999" s="21"/>
    </row>
    <row r="9000" spans="13:13" x14ac:dyDescent="0.25">
      <c r="M9000" s="21"/>
    </row>
    <row r="9001" spans="13:13" x14ac:dyDescent="0.25">
      <c r="M9001" s="21"/>
    </row>
    <row r="9002" spans="13:13" x14ac:dyDescent="0.25">
      <c r="M9002" s="21"/>
    </row>
    <row r="9003" spans="13:13" x14ac:dyDescent="0.25">
      <c r="M9003" s="21"/>
    </row>
    <row r="9004" spans="13:13" x14ac:dyDescent="0.25">
      <c r="M9004" s="21"/>
    </row>
    <row r="9005" spans="13:13" x14ac:dyDescent="0.25">
      <c r="M9005" s="21"/>
    </row>
    <row r="9006" spans="13:13" x14ac:dyDescent="0.25">
      <c r="M9006" s="21"/>
    </row>
    <row r="9007" spans="13:13" x14ac:dyDescent="0.25">
      <c r="M9007" s="21"/>
    </row>
    <row r="9008" spans="13:13" x14ac:dyDescent="0.25">
      <c r="M9008" s="21"/>
    </row>
    <row r="9009" spans="13:13" x14ac:dyDescent="0.25">
      <c r="M9009" s="21"/>
    </row>
    <row r="9010" spans="13:13" x14ac:dyDescent="0.25">
      <c r="M9010" s="21"/>
    </row>
    <row r="9011" spans="13:13" x14ac:dyDescent="0.25">
      <c r="M9011" s="21"/>
    </row>
    <row r="9012" spans="13:13" x14ac:dyDescent="0.25">
      <c r="M9012" s="21"/>
    </row>
    <row r="9013" spans="13:13" x14ac:dyDescent="0.25">
      <c r="M9013" s="21"/>
    </row>
    <row r="9014" spans="13:13" x14ac:dyDescent="0.25">
      <c r="M9014" s="21"/>
    </row>
    <row r="9015" spans="13:13" x14ac:dyDescent="0.25">
      <c r="M9015" s="21"/>
    </row>
    <row r="9016" spans="13:13" x14ac:dyDescent="0.25">
      <c r="M9016" s="21"/>
    </row>
    <row r="9017" spans="13:13" x14ac:dyDescent="0.25">
      <c r="M9017" s="21"/>
    </row>
    <row r="9018" spans="13:13" x14ac:dyDescent="0.25">
      <c r="M9018" s="21"/>
    </row>
    <row r="9019" spans="13:13" x14ac:dyDescent="0.25">
      <c r="M9019" s="21"/>
    </row>
    <row r="9020" spans="13:13" x14ac:dyDescent="0.25">
      <c r="M9020" s="21"/>
    </row>
    <row r="9021" spans="13:13" x14ac:dyDescent="0.25">
      <c r="M9021" s="21"/>
    </row>
    <row r="9022" spans="13:13" x14ac:dyDescent="0.25">
      <c r="M9022" s="21"/>
    </row>
    <row r="9023" spans="13:13" x14ac:dyDescent="0.25">
      <c r="M9023" s="21"/>
    </row>
    <row r="9024" spans="13:13" x14ac:dyDescent="0.25">
      <c r="M9024" s="21"/>
    </row>
    <row r="9025" spans="13:13" x14ac:dyDescent="0.25">
      <c r="M9025" s="21"/>
    </row>
    <row r="9026" spans="13:13" x14ac:dyDescent="0.25">
      <c r="M9026" s="21"/>
    </row>
    <row r="9027" spans="13:13" x14ac:dyDescent="0.25">
      <c r="M9027" s="21"/>
    </row>
    <row r="9028" spans="13:13" x14ac:dyDescent="0.25">
      <c r="M9028" s="21"/>
    </row>
    <row r="9029" spans="13:13" x14ac:dyDescent="0.25">
      <c r="M9029" s="21"/>
    </row>
    <row r="9030" spans="13:13" x14ac:dyDescent="0.25">
      <c r="M9030" s="21"/>
    </row>
    <row r="9031" spans="13:13" x14ac:dyDescent="0.25">
      <c r="M9031" s="21"/>
    </row>
    <row r="9032" spans="13:13" x14ac:dyDescent="0.25">
      <c r="M9032" s="21"/>
    </row>
    <row r="9033" spans="13:13" x14ac:dyDescent="0.25">
      <c r="M9033" s="21"/>
    </row>
    <row r="9034" spans="13:13" x14ac:dyDescent="0.25">
      <c r="M9034" s="21"/>
    </row>
    <row r="9035" spans="13:13" x14ac:dyDescent="0.25">
      <c r="M9035" s="21"/>
    </row>
    <row r="9036" spans="13:13" x14ac:dyDescent="0.25">
      <c r="M9036" s="21"/>
    </row>
    <row r="9037" spans="13:13" x14ac:dyDescent="0.25">
      <c r="M9037" s="21"/>
    </row>
    <row r="9038" spans="13:13" x14ac:dyDescent="0.25">
      <c r="M9038" s="21"/>
    </row>
    <row r="9039" spans="13:13" x14ac:dyDescent="0.25">
      <c r="M9039" s="21"/>
    </row>
    <row r="9040" spans="13:13" x14ac:dyDescent="0.25">
      <c r="M9040" s="21"/>
    </row>
    <row r="9041" spans="13:13" x14ac:dyDescent="0.25">
      <c r="M9041" s="21"/>
    </row>
    <row r="9042" spans="13:13" x14ac:dyDescent="0.25">
      <c r="M9042" s="21"/>
    </row>
    <row r="9043" spans="13:13" x14ac:dyDescent="0.25">
      <c r="M9043" s="21"/>
    </row>
    <row r="9044" spans="13:13" x14ac:dyDescent="0.25">
      <c r="M9044" s="21"/>
    </row>
    <row r="9045" spans="13:13" x14ac:dyDescent="0.25">
      <c r="M9045" s="21"/>
    </row>
    <row r="9046" spans="13:13" x14ac:dyDescent="0.25">
      <c r="M9046" s="21"/>
    </row>
    <row r="9047" spans="13:13" x14ac:dyDescent="0.25">
      <c r="M9047" s="21"/>
    </row>
    <row r="9048" spans="13:13" x14ac:dyDescent="0.25">
      <c r="M9048" s="21"/>
    </row>
    <row r="9049" spans="13:13" x14ac:dyDescent="0.25">
      <c r="M9049" s="21"/>
    </row>
    <row r="9050" spans="13:13" x14ac:dyDescent="0.25">
      <c r="M9050" s="21"/>
    </row>
    <row r="9051" spans="13:13" x14ac:dyDescent="0.25">
      <c r="M9051" s="21"/>
    </row>
    <row r="9052" spans="13:13" x14ac:dyDescent="0.25">
      <c r="M9052" s="21"/>
    </row>
    <row r="9053" spans="13:13" x14ac:dyDescent="0.25">
      <c r="M9053" s="21"/>
    </row>
    <row r="9054" spans="13:13" x14ac:dyDescent="0.25">
      <c r="M9054" s="21"/>
    </row>
    <row r="9055" spans="13:13" x14ac:dyDescent="0.25">
      <c r="M9055" s="21"/>
    </row>
    <row r="9056" spans="13:13" x14ac:dyDescent="0.25">
      <c r="M9056" s="21"/>
    </row>
    <row r="9057" spans="13:13" x14ac:dyDescent="0.25">
      <c r="M9057" s="21"/>
    </row>
    <row r="9058" spans="13:13" x14ac:dyDescent="0.25">
      <c r="M9058" s="21"/>
    </row>
    <row r="9059" spans="13:13" x14ac:dyDescent="0.25">
      <c r="M9059" s="21"/>
    </row>
    <row r="9060" spans="13:13" x14ac:dyDescent="0.25">
      <c r="M9060" s="21"/>
    </row>
    <row r="9061" spans="13:13" x14ac:dyDescent="0.25">
      <c r="M9061" s="21"/>
    </row>
    <row r="9062" spans="13:13" x14ac:dyDescent="0.25">
      <c r="M9062" s="21"/>
    </row>
    <row r="9063" spans="13:13" x14ac:dyDescent="0.25">
      <c r="M9063" s="21"/>
    </row>
    <row r="9064" spans="13:13" x14ac:dyDescent="0.25">
      <c r="M9064" s="21"/>
    </row>
    <row r="9065" spans="13:13" x14ac:dyDescent="0.25">
      <c r="M9065" s="21"/>
    </row>
    <row r="9066" spans="13:13" x14ac:dyDescent="0.25">
      <c r="M9066" s="21"/>
    </row>
    <row r="9067" spans="13:13" x14ac:dyDescent="0.25">
      <c r="M9067" s="21"/>
    </row>
    <row r="9068" spans="13:13" x14ac:dyDescent="0.25">
      <c r="M9068" s="21"/>
    </row>
    <row r="9069" spans="13:13" x14ac:dyDescent="0.25">
      <c r="M9069" s="21"/>
    </row>
    <row r="9070" spans="13:13" x14ac:dyDescent="0.25">
      <c r="M9070" s="21"/>
    </row>
    <row r="9071" spans="13:13" x14ac:dyDescent="0.25">
      <c r="M9071" s="21"/>
    </row>
    <row r="9072" spans="13:13" x14ac:dyDescent="0.25">
      <c r="M9072" s="21"/>
    </row>
    <row r="9073" spans="13:13" x14ac:dyDescent="0.25">
      <c r="M9073" s="21"/>
    </row>
    <row r="9074" spans="13:13" x14ac:dyDescent="0.25">
      <c r="M9074" s="21"/>
    </row>
    <row r="9075" spans="13:13" x14ac:dyDescent="0.25">
      <c r="M9075" s="21"/>
    </row>
    <row r="9076" spans="13:13" x14ac:dyDescent="0.25">
      <c r="M9076" s="21"/>
    </row>
    <row r="9077" spans="13:13" x14ac:dyDescent="0.25">
      <c r="M9077" s="21"/>
    </row>
    <row r="9078" spans="13:13" x14ac:dyDescent="0.25">
      <c r="M9078" s="21"/>
    </row>
    <row r="9079" spans="13:13" x14ac:dyDescent="0.25">
      <c r="M9079" s="21"/>
    </row>
    <row r="9080" spans="13:13" x14ac:dyDescent="0.25">
      <c r="M9080" s="21"/>
    </row>
    <row r="9081" spans="13:13" x14ac:dyDescent="0.25">
      <c r="M9081" s="21"/>
    </row>
    <row r="9082" spans="13:13" x14ac:dyDescent="0.25">
      <c r="M9082" s="21"/>
    </row>
    <row r="9083" spans="13:13" x14ac:dyDescent="0.25">
      <c r="M9083" s="21"/>
    </row>
    <row r="9084" spans="13:13" x14ac:dyDescent="0.25">
      <c r="M9084" s="21"/>
    </row>
    <row r="9085" spans="13:13" x14ac:dyDescent="0.25">
      <c r="M9085" s="21"/>
    </row>
    <row r="9086" spans="13:13" x14ac:dyDescent="0.25">
      <c r="M9086" s="21"/>
    </row>
    <row r="9087" spans="13:13" x14ac:dyDescent="0.25">
      <c r="M9087" s="21"/>
    </row>
    <row r="9088" spans="13:13" x14ac:dyDescent="0.25">
      <c r="M9088" s="21"/>
    </row>
    <row r="9089" spans="13:13" x14ac:dyDescent="0.25">
      <c r="M9089" s="21"/>
    </row>
    <row r="9090" spans="13:13" x14ac:dyDescent="0.25">
      <c r="M9090" s="21"/>
    </row>
    <row r="9091" spans="13:13" x14ac:dyDescent="0.25">
      <c r="M9091" s="21"/>
    </row>
    <row r="9092" spans="13:13" x14ac:dyDescent="0.25">
      <c r="M9092" s="21"/>
    </row>
    <row r="9093" spans="13:13" x14ac:dyDescent="0.25">
      <c r="M9093" s="21"/>
    </row>
    <row r="9094" spans="13:13" x14ac:dyDescent="0.25">
      <c r="M9094" s="21"/>
    </row>
    <row r="9095" spans="13:13" x14ac:dyDescent="0.25">
      <c r="M9095" s="21"/>
    </row>
    <row r="9096" spans="13:13" x14ac:dyDescent="0.25">
      <c r="M9096" s="21"/>
    </row>
    <row r="9097" spans="13:13" x14ac:dyDescent="0.25">
      <c r="M9097" s="21"/>
    </row>
    <row r="9098" spans="13:13" x14ac:dyDescent="0.25">
      <c r="M9098" s="21"/>
    </row>
    <row r="9099" spans="13:13" x14ac:dyDescent="0.25">
      <c r="M9099" s="21"/>
    </row>
    <row r="9100" spans="13:13" x14ac:dyDescent="0.25">
      <c r="M9100" s="21"/>
    </row>
    <row r="9101" spans="13:13" x14ac:dyDescent="0.25">
      <c r="M9101" s="21"/>
    </row>
    <row r="9102" spans="13:13" x14ac:dyDescent="0.25">
      <c r="M9102" s="21"/>
    </row>
    <row r="9103" spans="13:13" x14ac:dyDescent="0.25">
      <c r="M9103" s="21"/>
    </row>
    <row r="9104" spans="13:13" x14ac:dyDescent="0.25">
      <c r="M9104" s="21"/>
    </row>
    <row r="9105" spans="13:13" x14ac:dyDescent="0.25">
      <c r="M9105" s="21"/>
    </row>
    <row r="9106" spans="13:13" x14ac:dyDescent="0.25">
      <c r="M9106" s="21"/>
    </row>
    <row r="9107" spans="13:13" x14ac:dyDescent="0.25">
      <c r="M9107" s="21"/>
    </row>
    <row r="9108" spans="13:13" x14ac:dyDescent="0.25">
      <c r="M9108" s="21"/>
    </row>
    <row r="9109" spans="13:13" x14ac:dyDescent="0.25">
      <c r="M9109" s="21"/>
    </row>
    <row r="9110" spans="13:13" x14ac:dyDescent="0.25">
      <c r="M9110" s="21"/>
    </row>
    <row r="9111" spans="13:13" x14ac:dyDescent="0.25">
      <c r="M9111" s="21"/>
    </row>
    <row r="9112" spans="13:13" x14ac:dyDescent="0.25">
      <c r="M9112" s="21"/>
    </row>
    <row r="9113" spans="13:13" x14ac:dyDescent="0.25">
      <c r="M9113" s="21"/>
    </row>
    <row r="9114" spans="13:13" x14ac:dyDescent="0.25">
      <c r="M9114" s="21"/>
    </row>
    <row r="9115" spans="13:13" x14ac:dyDescent="0.25">
      <c r="M9115" s="21"/>
    </row>
    <row r="9116" spans="13:13" x14ac:dyDescent="0.25">
      <c r="M9116" s="21"/>
    </row>
    <row r="9117" spans="13:13" x14ac:dyDescent="0.25">
      <c r="M9117" s="21"/>
    </row>
    <row r="9118" spans="13:13" x14ac:dyDescent="0.25">
      <c r="M9118" s="21"/>
    </row>
    <row r="9119" spans="13:13" x14ac:dyDescent="0.25">
      <c r="M9119" s="21"/>
    </row>
    <row r="9120" spans="13:13" x14ac:dyDescent="0.25">
      <c r="M9120" s="21"/>
    </row>
    <row r="9121" spans="13:13" x14ac:dyDescent="0.25">
      <c r="M9121" s="21"/>
    </row>
    <row r="9122" spans="13:13" x14ac:dyDescent="0.25">
      <c r="M9122" s="21"/>
    </row>
    <row r="9123" spans="13:13" x14ac:dyDescent="0.25">
      <c r="M9123" s="21"/>
    </row>
    <row r="9124" spans="13:13" x14ac:dyDescent="0.25">
      <c r="M9124" s="21"/>
    </row>
    <row r="9125" spans="13:13" x14ac:dyDescent="0.25">
      <c r="M9125" s="21"/>
    </row>
    <row r="9126" spans="13:13" x14ac:dyDescent="0.25">
      <c r="M9126" s="21"/>
    </row>
    <row r="9127" spans="13:13" x14ac:dyDescent="0.25">
      <c r="M9127" s="21"/>
    </row>
    <row r="9128" spans="13:13" x14ac:dyDescent="0.25">
      <c r="M9128" s="21"/>
    </row>
    <row r="9129" spans="13:13" x14ac:dyDescent="0.25">
      <c r="M9129" s="21"/>
    </row>
    <row r="9130" spans="13:13" x14ac:dyDescent="0.25">
      <c r="M9130" s="21"/>
    </row>
    <row r="9131" spans="13:13" x14ac:dyDescent="0.25">
      <c r="M9131" s="21"/>
    </row>
    <row r="9132" spans="13:13" x14ac:dyDescent="0.25">
      <c r="M9132" s="21"/>
    </row>
    <row r="9133" spans="13:13" x14ac:dyDescent="0.25">
      <c r="M9133" s="21"/>
    </row>
    <row r="9134" spans="13:13" x14ac:dyDescent="0.25">
      <c r="M9134" s="21"/>
    </row>
    <row r="9135" spans="13:13" x14ac:dyDescent="0.25">
      <c r="M9135" s="21"/>
    </row>
    <row r="9136" spans="13:13" x14ac:dyDescent="0.25">
      <c r="M9136" s="21"/>
    </row>
    <row r="9137" spans="13:13" x14ac:dyDescent="0.25">
      <c r="M9137" s="21"/>
    </row>
    <row r="9138" spans="13:13" x14ac:dyDescent="0.25">
      <c r="M9138" s="21"/>
    </row>
    <row r="9139" spans="13:13" x14ac:dyDescent="0.25">
      <c r="M9139" s="21"/>
    </row>
    <row r="9140" spans="13:13" x14ac:dyDescent="0.25">
      <c r="M9140" s="21"/>
    </row>
    <row r="9141" spans="13:13" x14ac:dyDescent="0.25">
      <c r="M9141" s="21"/>
    </row>
    <row r="9142" spans="13:13" x14ac:dyDescent="0.25">
      <c r="M9142" s="21"/>
    </row>
    <row r="9143" spans="13:13" x14ac:dyDescent="0.25">
      <c r="M9143" s="21"/>
    </row>
    <row r="9144" spans="13:13" x14ac:dyDescent="0.25">
      <c r="M9144" s="21"/>
    </row>
    <row r="9145" spans="13:13" x14ac:dyDescent="0.25">
      <c r="M9145" s="21"/>
    </row>
    <row r="9146" spans="13:13" x14ac:dyDescent="0.25">
      <c r="M9146" s="21"/>
    </row>
    <row r="9147" spans="13:13" x14ac:dyDescent="0.25">
      <c r="M9147" s="21"/>
    </row>
    <row r="9148" spans="13:13" x14ac:dyDescent="0.25">
      <c r="M9148" s="21"/>
    </row>
    <row r="9149" spans="13:13" x14ac:dyDescent="0.25">
      <c r="M9149" s="21"/>
    </row>
    <row r="9150" spans="13:13" x14ac:dyDescent="0.25">
      <c r="M9150" s="21"/>
    </row>
    <row r="9151" spans="13:13" x14ac:dyDescent="0.25">
      <c r="M9151" s="21"/>
    </row>
    <row r="9152" spans="13:13" x14ac:dyDescent="0.25">
      <c r="M9152" s="21"/>
    </row>
    <row r="9153" spans="13:13" x14ac:dyDescent="0.25">
      <c r="M9153" s="21"/>
    </row>
    <row r="9154" spans="13:13" x14ac:dyDescent="0.25">
      <c r="M9154" s="21"/>
    </row>
    <row r="9155" spans="13:13" x14ac:dyDescent="0.25">
      <c r="M9155" s="21"/>
    </row>
    <row r="9156" spans="13:13" x14ac:dyDescent="0.25">
      <c r="M9156" s="21"/>
    </row>
    <row r="9157" spans="13:13" x14ac:dyDescent="0.25">
      <c r="M9157" s="21"/>
    </row>
    <row r="9158" spans="13:13" x14ac:dyDescent="0.25">
      <c r="M9158" s="21"/>
    </row>
    <row r="9159" spans="13:13" x14ac:dyDescent="0.25">
      <c r="M9159" s="21"/>
    </row>
    <row r="9160" spans="13:13" x14ac:dyDescent="0.25">
      <c r="M9160" s="21"/>
    </row>
    <row r="9161" spans="13:13" x14ac:dyDescent="0.25">
      <c r="M9161" s="21"/>
    </row>
    <row r="9162" spans="13:13" x14ac:dyDescent="0.25">
      <c r="M9162" s="21"/>
    </row>
    <row r="9163" spans="13:13" x14ac:dyDescent="0.25">
      <c r="M9163" s="21"/>
    </row>
    <row r="9164" spans="13:13" x14ac:dyDescent="0.25">
      <c r="M9164" s="21"/>
    </row>
    <row r="9165" spans="13:13" x14ac:dyDescent="0.25">
      <c r="M9165" s="21"/>
    </row>
    <row r="9166" spans="13:13" x14ac:dyDescent="0.25">
      <c r="M9166" s="21"/>
    </row>
    <row r="9167" spans="13:13" x14ac:dyDescent="0.25">
      <c r="M9167" s="21"/>
    </row>
    <row r="9168" spans="13:13" x14ac:dyDescent="0.25">
      <c r="M9168" s="21"/>
    </row>
    <row r="9169" spans="13:13" x14ac:dyDescent="0.25">
      <c r="M9169" s="21"/>
    </row>
    <row r="9170" spans="13:13" x14ac:dyDescent="0.25">
      <c r="M9170" s="21"/>
    </row>
    <row r="9171" spans="13:13" x14ac:dyDescent="0.25">
      <c r="M9171" s="21"/>
    </row>
    <row r="9172" spans="13:13" x14ac:dyDescent="0.25">
      <c r="M9172" s="21"/>
    </row>
    <row r="9173" spans="13:13" x14ac:dyDescent="0.25">
      <c r="M9173" s="21"/>
    </row>
    <row r="9174" spans="13:13" x14ac:dyDescent="0.25">
      <c r="M9174" s="21"/>
    </row>
    <row r="9175" spans="13:13" x14ac:dyDescent="0.25">
      <c r="M9175" s="21"/>
    </row>
    <row r="9176" spans="13:13" x14ac:dyDescent="0.25">
      <c r="M9176" s="21"/>
    </row>
    <row r="9177" spans="13:13" x14ac:dyDescent="0.25">
      <c r="M9177" s="21"/>
    </row>
    <row r="9178" spans="13:13" x14ac:dyDescent="0.25">
      <c r="M9178" s="21"/>
    </row>
    <row r="9179" spans="13:13" x14ac:dyDescent="0.25">
      <c r="M9179" s="21"/>
    </row>
    <row r="9180" spans="13:13" x14ac:dyDescent="0.25">
      <c r="M9180" s="21"/>
    </row>
    <row r="9181" spans="13:13" x14ac:dyDescent="0.25">
      <c r="M9181" s="21"/>
    </row>
    <row r="9182" spans="13:13" x14ac:dyDescent="0.25">
      <c r="M9182" s="21"/>
    </row>
    <row r="9183" spans="13:13" x14ac:dyDescent="0.25">
      <c r="M9183" s="21"/>
    </row>
    <row r="9184" spans="13:13" x14ac:dyDescent="0.25">
      <c r="M9184" s="21"/>
    </row>
    <row r="9185" spans="13:13" x14ac:dyDescent="0.25">
      <c r="M9185" s="21"/>
    </row>
    <row r="9186" spans="13:13" x14ac:dyDescent="0.25">
      <c r="M9186" s="21"/>
    </row>
    <row r="9187" spans="13:13" x14ac:dyDescent="0.25">
      <c r="M9187" s="21"/>
    </row>
    <row r="9188" spans="13:13" x14ac:dyDescent="0.25">
      <c r="M9188" s="21"/>
    </row>
    <row r="9189" spans="13:13" x14ac:dyDescent="0.25">
      <c r="M9189" s="21"/>
    </row>
    <row r="9190" spans="13:13" x14ac:dyDescent="0.25">
      <c r="M9190" s="21"/>
    </row>
    <row r="9191" spans="13:13" x14ac:dyDescent="0.25">
      <c r="M9191" s="21"/>
    </row>
    <row r="9192" spans="13:13" x14ac:dyDescent="0.25">
      <c r="M9192" s="21"/>
    </row>
    <row r="9193" spans="13:13" x14ac:dyDescent="0.25">
      <c r="M9193" s="21"/>
    </row>
    <row r="9194" spans="13:13" x14ac:dyDescent="0.25">
      <c r="M9194" s="21"/>
    </row>
    <row r="9195" spans="13:13" x14ac:dyDescent="0.25">
      <c r="M9195" s="21"/>
    </row>
    <row r="9196" spans="13:13" x14ac:dyDescent="0.25">
      <c r="M9196" s="21"/>
    </row>
    <row r="9197" spans="13:13" x14ac:dyDescent="0.25">
      <c r="M9197" s="21"/>
    </row>
    <row r="9198" spans="13:13" x14ac:dyDescent="0.25">
      <c r="M9198" s="21"/>
    </row>
    <row r="9199" spans="13:13" x14ac:dyDescent="0.25">
      <c r="M9199" s="21"/>
    </row>
    <row r="9200" spans="13:13" x14ac:dyDescent="0.25">
      <c r="M9200" s="21"/>
    </row>
    <row r="9201" spans="13:13" x14ac:dyDescent="0.25">
      <c r="M9201" s="21"/>
    </row>
    <row r="9202" spans="13:13" x14ac:dyDescent="0.25">
      <c r="M9202" s="21"/>
    </row>
    <row r="9203" spans="13:13" x14ac:dyDescent="0.25">
      <c r="M9203" s="21"/>
    </row>
    <row r="9204" spans="13:13" x14ac:dyDescent="0.25">
      <c r="M9204" s="21"/>
    </row>
    <row r="9205" spans="13:13" x14ac:dyDescent="0.25">
      <c r="M9205" s="21"/>
    </row>
    <row r="9206" spans="13:13" x14ac:dyDescent="0.25">
      <c r="M9206" s="21"/>
    </row>
    <row r="9207" spans="13:13" x14ac:dyDescent="0.25">
      <c r="M9207" s="21"/>
    </row>
    <row r="9208" spans="13:13" x14ac:dyDescent="0.25">
      <c r="M9208" s="21"/>
    </row>
    <row r="9209" spans="13:13" x14ac:dyDescent="0.25">
      <c r="M9209" s="21"/>
    </row>
    <row r="9210" spans="13:13" x14ac:dyDescent="0.25">
      <c r="M9210" s="21"/>
    </row>
    <row r="9211" spans="13:13" x14ac:dyDescent="0.25">
      <c r="M9211" s="21"/>
    </row>
    <row r="9212" spans="13:13" x14ac:dyDescent="0.25">
      <c r="M9212" s="21"/>
    </row>
    <row r="9213" spans="13:13" x14ac:dyDescent="0.25">
      <c r="M9213" s="21"/>
    </row>
    <row r="9214" spans="13:13" x14ac:dyDescent="0.25">
      <c r="M9214" s="21"/>
    </row>
    <row r="9215" spans="13:13" x14ac:dyDescent="0.25">
      <c r="M9215" s="21"/>
    </row>
    <row r="9216" spans="13:13" x14ac:dyDescent="0.25">
      <c r="M9216" s="21"/>
    </row>
    <row r="9217" spans="13:13" x14ac:dyDescent="0.25">
      <c r="M9217" s="21"/>
    </row>
    <row r="9218" spans="13:13" x14ac:dyDescent="0.25">
      <c r="M9218" s="21"/>
    </row>
    <row r="9219" spans="13:13" x14ac:dyDescent="0.25">
      <c r="M9219" s="21"/>
    </row>
    <row r="9220" spans="13:13" x14ac:dyDescent="0.25">
      <c r="M9220" s="21"/>
    </row>
    <row r="9221" spans="13:13" x14ac:dyDescent="0.25">
      <c r="M9221" s="21"/>
    </row>
    <row r="9222" spans="13:13" x14ac:dyDescent="0.25">
      <c r="M9222" s="21"/>
    </row>
    <row r="9223" spans="13:13" x14ac:dyDescent="0.25">
      <c r="M9223" s="21"/>
    </row>
    <row r="9224" spans="13:13" x14ac:dyDescent="0.25">
      <c r="M9224" s="21"/>
    </row>
    <row r="9225" spans="13:13" x14ac:dyDescent="0.25">
      <c r="M9225" s="21"/>
    </row>
    <row r="9226" spans="13:13" x14ac:dyDescent="0.25">
      <c r="M9226" s="21"/>
    </row>
    <row r="9227" spans="13:13" x14ac:dyDescent="0.25">
      <c r="M9227" s="21"/>
    </row>
    <row r="9228" spans="13:13" x14ac:dyDescent="0.25">
      <c r="M9228" s="21"/>
    </row>
    <row r="9229" spans="13:13" x14ac:dyDescent="0.25">
      <c r="M9229" s="21"/>
    </row>
    <row r="9230" spans="13:13" x14ac:dyDescent="0.25">
      <c r="M9230" s="21"/>
    </row>
    <row r="9231" spans="13:13" x14ac:dyDescent="0.25">
      <c r="M9231" s="21"/>
    </row>
    <row r="9232" spans="13:13" x14ac:dyDescent="0.25">
      <c r="M9232" s="21"/>
    </row>
    <row r="9233" spans="13:13" x14ac:dyDescent="0.25">
      <c r="M9233" s="21"/>
    </row>
    <row r="9234" spans="13:13" x14ac:dyDescent="0.25">
      <c r="M9234" s="21"/>
    </row>
    <row r="9235" spans="13:13" x14ac:dyDescent="0.25">
      <c r="M9235" s="21"/>
    </row>
    <row r="9236" spans="13:13" x14ac:dyDescent="0.25">
      <c r="M9236" s="21"/>
    </row>
    <row r="9237" spans="13:13" x14ac:dyDescent="0.25">
      <c r="M9237" s="21"/>
    </row>
    <row r="9238" spans="13:13" x14ac:dyDescent="0.25">
      <c r="M9238" s="21"/>
    </row>
    <row r="9239" spans="13:13" x14ac:dyDescent="0.25">
      <c r="M9239" s="21"/>
    </row>
    <row r="9240" spans="13:13" x14ac:dyDescent="0.25">
      <c r="M9240" s="21"/>
    </row>
    <row r="9241" spans="13:13" x14ac:dyDescent="0.25">
      <c r="M9241" s="21"/>
    </row>
    <row r="9242" spans="13:13" x14ac:dyDescent="0.25">
      <c r="M9242" s="21"/>
    </row>
    <row r="9243" spans="13:13" x14ac:dyDescent="0.25">
      <c r="M9243" s="21"/>
    </row>
    <row r="9244" spans="13:13" x14ac:dyDescent="0.25">
      <c r="M9244" s="21"/>
    </row>
    <row r="9245" spans="13:13" x14ac:dyDescent="0.25">
      <c r="M9245" s="21"/>
    </row>
    <row r="9246" spans="13:13" x14ac:dyDescent="0.25">
      <c r="M9246" s="21"/>
    </row>
    <row r="9247" spans="13:13" x14ac:dyDescent="0.25">
      <c r="M9247" s="21"/>
    </row>
    <row r="9248" spans="13:13" x14ac:dyDescent="0.25">
      <c r="M9248" s="21"/>
    </row>
    <row r="9249" spans="13:13" x14ac:dyDescent="0.25">
      <c r="M9249" s="21"/>
    </row>
    <row r="9250" spans="13:13" x14ac:dyDescent="0.25">
      <c r="M9250" s="21"/>
    </row>
    <row r="9251" spans="13:13" x14ac:dyDescent="0.25">
      <c r="M9251" s="21"/>
    </row>
    <row r="9252" spans="13:13" x14ac:dyDescent="0.25">
      <c r="M9252" s="21"/>
    </row>
    <row r="9253" spans="13:13" x14ac:dyDescent="0.25">
      <c r="M9253" s="21"/>
    </row>
    <row r="9254" spans="13:13" x14ac:dyDescent="0.25">
      <c r="M9254" s="21"/>
    </row>
    <row r="9255" spans="13:13" x14ac:dyDescent="0.25">
      <c r="M9255" s="21"/>
    </row>
    <row r="9256" spans="13:13" x14ac:dyDescent="0.25">
      <c r="M9256" s="21"/>
    </row>
    <row r="9257" spans="13:13" x14ac:dyDescent="0.25">
      <c r="M9257" s="21"/>
    </row>
    <row r="9258" spans="13:13" x14ac:dyDescent="0.25">
      <c r="M9258" s="21"/>
    </row>
    <row r="9259" spans="13:13" x14ac:dyDescent="0.25">
      <c r="M9259" s="21"/>
    </row>
    <row r="9260" spans="13:13" x14ac:dyDescent="0.25">
      <c r="M9260" s="21"/>
    </row>
    <row r="9261" spans="13:13" x14ac:dyDescent="0.25">
      <c r="M9261" s="21"/>
    </row>
    <row r="9262" spans="13:13" x14ac:dyDescent="0.25">
      <c r="M9262" s="21"/>
    </row>
    <row r="9263" spans="13:13" x14ac:dyDescent="0.25">
      <c r="M9263" s="21"/>
    </row>
    <row r="9264" spans="13:13" x14ac:dyDescent="0.25">
      <c r="M9264" s="21"/>
    </row>
    <row r="9265" spans="13:13" x14ac:dyDescent="0.25">
      <c r="M9265" s="21"/>
    </row>
    <row r="9266" spans="13:13" x14ac:dyDescent="0.25">
      <c r="M9266" s="21"/>
    </row>
    <row r="9267" spans="13:13" x14ac:dyDescent="0.25">
      <c r="M9267" s="21"/>
    </row>
    <row r="9268" spans="13:13" x14ac:dyDescent="0.25">
      <c r="M9268" s="21"/>
    </row>
    <row r="9269" spans="13:13" x14ac:dyDescent="0.25">
      <c r="M9269" s="21"/>
    </row>
    <row r="9270" spans="13:13" x14ac:dyDescent="0.25">
      <c r="M9270" s="21"/>
    </row>
    <row r="9271" spans="13:13" x14ac:dyDescent="0.25">
      <c r="M9271" s="21"/>
    </row>
    <row r="9272" spans="13:13" x14ac:dyDescent="0.25">
      <c r="M9272" s="21"/>
    </row>
    <row r="9273" spans="13:13" x14ac:dyDescent="0.25">
      <c r="M9273" s="21"/>
    </row>
    <row r="9274" spans="13:13" x14ac:dyDescent="0.25">
      <c r="M9274" s="21"/>
    </row>
    <row r="9275" spans="13:13" x14ac:dyDescent="0.25">
      <c r="M9275" s="21"/>
    </row>
    <row r="9276" spans="13:13" x14ac:dyDescent="0.25">
      <c r="M9276" s="21"/>
    </row>
    <row r="9277" spans="13:13" x14ac:dyDescent="0.25">
      <c r="M9277" s="21"/>
    </row>
    <row r="9278" spans="13:13" x14ac:dyDescent="0.25">
      <c r="M9278" s="21"/>
    </row>
    <row r="9279" spans="13:13" x14ac:dyDescent="0.25">
      <c r="M9279" s="21"/>
    </row>
    <row r="9280" spans="13:13" x14ac:dyDescent="0.25">
      <c r="M9280" s="21"/>
    </row>
    <row r="9281" spans="13:13" x14ac:dyDescent="0.25">
      <c r="M9281" s="21"/>
    </row>
    <row r="9282" spans="13:13" x14ac:dyDescent="0.25">
      <c r="M9282" s="21"/>
    </row>
    <row r="9283" spans="13:13" x14ac:dyDescent="0.25">
      <c r="M9283" s="21"/>
    </row>
    <row r="9284" spans="13:13" x14ac:dyDescent="0.25">
      <c r="M9284" s="21"/>
    </row>
    <row r="9285" spans="13:13" x14ac:dyDescent="0.25">
      <c r="M9285" s="21"/>
    </row>
    <row r="9286" spans="13:13" x14ac:dyDescent="0.25">
      <c r="M9286" s="21"/>
    </row>
    <row r="9287" spans="13:13" x14ac:dyDescent="0.25">
      <c r="M9287" s="21"/>
    </row>
    <row r="9288" spans="13:13" x14ac:dyDescent="0.25">
      <c r="M9288" s="21"/>
    </row>
    <row r="9289" spans="13:13" x14ac:dyDescent="0.25">
      <c r="M9289" s="21"/>
    </row>
    <row r="9290" spans="13:13" x14ac:dyDescent="0.25">
      <c r="M9290" s="21"/>
    </row>
    <row r="9291" spans="13:13" x14ac:dyDescent="0.25">
      <c r="M9291" s="21"/>
    </row>
    <row r="9292" spans="13:13" x14ac:dyDescent="0.25">
      <c r="M9292" s="21"/>
    </row>
    <row r="9293" spans="13:13" x14ac:dyDescent="0.25">
      <c r="M9293" s="21"/>
    </row>
    <row r="9294" spans="13:13" x14ac:dyDescent="0.25">
      <c r="M9294" s="21"/>
    </row>
    <row r="9295" spans="13:13" x14ac:dyDescent="0.25">
      <c r="M9295" s="21"/>
    </row>
    <row r="9296" spans="13:13" x14ac:dyDescent="0.25">
      <c r="M9296" s="21"/>
    </row>
    <row r="9297" spans="13:13" x14ac:dyDescent="0.25">
      <c r="M9297" s="21"/>
    </row>
    <row r="9298" spans="13:13" x14ac:dyDescent="0.25">
      <c r="M9298" s="21"/>
    </row>
    <row r="9299" spans="13:13" x14ac:dyDescent="0.25">
      <c r="M9299" s="21"/>
    </row>
    <row r="9300" spans="13:13" x14ac:dyDescent="0.25">
      <c r="M9300" s="21"/>
    </row>
    <row r="9301" spans="13:13" x14ac:dyDescent="0.25">
      <c r="M9301" s="21"/>
    </row>
    <row r="9302" spans="13:13" x14ac:dyDescent="0.25">
      <c r="M9302" s="21"/>
    </row>
    <row r="9303" spans="13:13" x14ac:dyDescent="0.25">
      <c r="M9303" s="21"/>
    </row>
    <row r="9304" spans="13:13" x14ac:dyDescent="0.25">
      <c r="M9304" s="21"/>
    </row>
    <row r="9305" spans="13:13" x14ac:dyDescent="0.25">
      <c r="M9305" s="21"/>
    </row>
    <row r="9306" spans="13:13" x14ac:dyDescent="0.25">
      <c r="M9306" s="21"/>
    </row>
    <row r="9307" spans="13:13" x14ac:dyDescent="0.25">
      <c r="M9307" s="21"/>
    </row>
    <row r="9308" spans="13:13" x14ac:dyDescent="0.25">
      <c r="M9308" s="21"/>
    </row>
    <row r="9309" spans="13:13" x14ac:dyDescent="0.25">
      <c r="M9309" s="21"/>
    </row>
    <row r="9310" spans="13:13" x14ac:dyDescent="0.25">
      <c r="M9310" s="21"/>
    </row>
    <row r="9311" spans="13:13" x14ac:dyDescent="0.25">
      <c r="M9311" s="21"/>
    </row>
    <row r="9312" spans="13:13" x14ac:dyDescent="0.25">
      <c r="M9312" s="21"/>
    </row>
    <row r="9313" spans="13:13" x14ac:dyDescent="0.25">
      <c r="M9313" s="21"/>
    </row>
    <row r="9314" spans="13:13" x14ac:dyDescent="0.25">
      <c r="M9314" s="21"/>
    </row>
    <row r="9315" spans="13:13" x14ac:dyDescent="0.25">
      <c r="M9315" s="21"/>
    </row>
    <row r="9316" spans="13:13" x14ac:dyDescent="0.25">
      <c r="M9316" s="21"/>
    </row>
    <row r="9317" spans="13:13" x14ac:dyDescent="0.25">
      <c r="M9317" s="21"/>
    </row>
    <row r="9318" spans="13:13" x14ac:dyDescent="0.25">
      <c r="M9318" s="21"/>
    </row>
    <row r="9319" spans="13:13" x14ac:dyDescent="0.25">
      <c r="M9319" s="21"/>
    </row>
    <row r="9320" spans="13:13" x14ac:dyDescent="0.25">
      <c r="M9320" s="21"/>
    </row>
    <row r="9321" spans="13:13" x14ac:dyDescent="0.25">
      <c r="M9321" s="21"/>
    </row>
    <row r="9322" spans="13:13" x14ac:dyDescent="0.25">
      <c r="M9322" s="21"/>
    </row>
    <row r="9323" spans="13:13" x14ac:dyDescent="0.25">
      <c r="M9323" s="21"/>
    </row>
    <row r="9324" spans="13:13" x14ac:dyDescent="0.25">
      <c r="M9324" s="21"/>
    </row>
    <row r="9325" spans="13:13" x14ac:dyDescent="0.25">
      <c r="M9325" s="21"/>
    </row>
    <row r="9326" spans="13:13" x14ac:dyDescent="0.25">
      <c r="M9326" s="21"/>
    </row>
    <row r="9327" spans="13:13" x14ac:dyDescent="0.25">
      <c r="M9327" s="21"/>
    </row>
    <row r="9328" spans="13:13" x14ac:dyDescent="0.25">
      <c r="M9328" s="21"/>
    </row>
    <row r="9329" spans="13:13" x14ac:dyDescent="0.25">
      <c r="M9329" s="21"/>
    </row>
    <row r="9330" spans="13:13" x14ac:dyDescent="0.25">
      <c r="M9330" s="21"/>
    </row>
    <row r="9331" spans="13:13" x14ac:dyDescent="0.25">
      <c r="M9331" s="21"/>
    </row>
    <row r="9332" spans="13:13" x14ac:dyDescent="0.25">
      <c r="M9332" s="21"/>
    </row>
    <row r="9333" spans="13:13" x14ac:dyDescent="0.25">
      <c r="M9333" s="21"/>
    </row>
    <row r="9334" spans="13:13" x14ac:dyDescent="0.25">
      <c r="M9334" s="21"/>
    </row>
    <row r="9335" spans="13:13" x14ac:dyDescent="0.25">
      <c r="M9335" s="21"/>
    </row>
    <row r="9336" spans="13:13" x14ac:dyDescent="0.25">
      <c r="M9336" s="21"/>
    </row>
    <row r="9337" spans="13:13" x14ac:dyDescent="0.25">
      <c r="M9337" s="21"/>
    </row>
    <row r="9338" spans="13:13" x14ac:dyDescent="0.25">
      <c r="M9338" s="21"/>
    </row>
    <row r="9339" spans="13:13" x14ac:dyDescent="0.25">
      <c r="M9339" s="21"/>
    </row>
    <row r="9340" spans="13:13" x14ac:dyDescent="0.25">
      <c r="M9340" s="21"/>
    </row>
    <row r="9341" spans="13:13" x14ac:dyDescent="0.25">
      <c r="M9341" s="21"/>
    </row>
    <row r="9342" spans="13:13" x14ac:dyDescent="0.25">
      <c r="M9342" s="21"/>
    </row>
    <row r="9343" spans="13:13" x14ac:dyDescent="0.25">
      <c r="M9343" s="21"/>
    </row>
    <row r="9344" spans="13:13" x14ac:dyDescent="0.25">
      <c r="M9344" s="21"/>
    </row>
    <row r="9345" spans="13:13" x14ac:dyDescent="0.25">
      <c r="M9345" s="21"/>
    </row>
    <row r="9346" spans="13:13" x14ac:dyDescent="0.25">
      <c r="M9346" s="21"/>
    </row>
    <row r="9347" spans="13:13" x14ac:dyDescent="0.25">
      <c r="M9347" s="21"/>
    </row>
    <row r="9348" spans="13:13" x14ac:dyDescent="0.25">
      <c r="M9348" s="21"/>
    </row>
    <row r="9349" spans="13:13" x14ac:dyDescent="0.25">
      <c r="M9349" s="21"/>
    </row>
    <row r="9350" spans="13:13" x14ac:dyDescent="0.25">
      <c r="M9350" s="21"/>
    </row>
    <row r="9351" spans="13:13" x14ac:dyDescent="0.25">
      <c r="M9351" s="21"/>
    </row>
    <row r="9352" spans="13:13" x14ac:dyDescent="0.25">
      <c r="M9352" s="21"/>
    </row>
    <row r="9353" spans="13:13" x14ac:dyDescent="0.25">
      <c r="M9353" s="21"/>
    </row>
    <row r="9354" spans="13:13" x14ac:dyDescent="0.25">
      <c r="M9354" s="21"/>
    </row>
    <row r="9355" spans="13:13" x14ac:dyDescent="0.25">
      <c r="M9355" s="21"/>
    </row>
    <row r="9356" spans="13:13" x14ac:dyDescent="0.25">
      <c r="M9356" s="21"/>
    </row>
    <row r="9357" spans="13:13" x14ac:dyDescent="0.25">
      <c r="M9357" s="21"/>
    </row>
    <row r="9358" spans="13:13" x14ac:dyDescent="0.25">
      <c r="M9358" s="21"/>
    </row>
    <row r="9359" spans="13:13" x14ac:dyDescent="0.25">
      <c r="M9359" s="21"/>
    </row>
    <row r="9360" spans="13:13" x14ac:dyDescent="0.25">
      <c r="M9360" s="21"/>
    </row>
    <row r="9361" spans="13:13" x14ac:dyDescent="0.25">
      <c r="M9361" s="21"/>
    </row>
    <row r="9362" spans="13:13" x14ac:dyDescent="0.25">
      <c r="M9362" s="21"/>
    </row>
    <row r="9363" spans="13:13" x14ac:dyDescent="0.25">
      <c r="M9363" s="21"/>
    </row>
    <row r="9364" spans="13:13" x14ac:dyDescent="0.25">
      <c r="M9364" s="21"/>
    </row>
    <row r="9365" spans="13:13" x14ac:dyDescent="0.25">
      <c r="M9365" s="21"/>
    </row>
    <row r="9366" spans="13:13" x14ac:dyDescent="0.25">
      <c r="M9366" s="21"/>
    </row>
    <row r="9367" spans="13:13" x14ac:dyDescent="0.25">
      <c r="M9367" s="21"/>
    </row>
    <row r="9368" spans="13:13" x14ac:dyDescent="0.25">
      <c r="M9368" s="21"/>
    </row>
    <row r="9369" spans="13:13" x14ac:dyDescent="0.25">
      <c r="M9369" s="21"/>
    </row>
    <row r="9370" spans="13:13" x14ac:dyDescent="0.25">
      <c r="M9370" s="21"/>
    </row>
    <row r="9371" spans="13:13" x14ac:dyDescent="0.25">
      <c r="M9371" s="21"/>
    </row>
    <row r="9372" spans="13:13" x14ac:dyDescent="0.25">
      <c r="M9372" s="21"/>
    </row>
    <row r="9373" spans="13:13" x14ac:dyDescent="0.25">
      <c r="M9373" s="21"/>
    </row>
    <row r="9374" spans="13:13" x14ac:dyDescent="0.25">
      <c r="M9374" s="21"/>
    </row>
    <row r="9375" spans="13:13" x14ac:dyDescent="0.25">
      <c r="M9375" s="21"/>
    </row>
    <row r="9376" spans="13:13" x14ac:dyDescent="0.25">
      <c r="M9376" s="21"/>
    </row>
    <row r="9377" spans="13:13" x14ac:dyDescent="0.25">
      <c r="M9377" s="21"/>
    </row>
    <row r="9378" spans="13:13" x14ac:dyDescent="0.25">
      <c r="M9378" s="21"/>
    </row>
    <row r="9379" spans="13:13" x14ac:dyDescent="0.25">
      <c r="M9379" s="21"/>
    </row>
    <row r="9380" spans="13:13" x14ac:dyDescent="0.25">
      <c r="M9380" s="21"/>
    </row>
    <row r="9381" spans="13:13" x14ac:dyDescent="0.25">
      <c r="M9381" s="21"/>
    </row>
    <row r="9382" spans="13:13" x14ac:dyDescent="0.25">
      <c r="M9382" s="21"/>
    </row>
    <row r="9383" spans="13:13" x14ac:dyDescent="0.25">
      <c r="M9383" s="21"/>
    </row>
    <row r="9384" spans="13:13" x14ac:dyDescent="0.25">
      <c r="M9384" s="21"/>
    </row>
    <row r="9385" spans="13:13" x14ac:dyDescent="0.25">
      <c r="M9385" s="21"/>
    </row>
    <row r="9386" spans="13:13" x14ac:dyDescent="0.25">
      <c r="M9386" s="21"/>
    </row>
    <row r="9387" spans="13:13" x14ac:dyDescent="0.25">
      <c r="M9387" s="21"/>
    </row>
    <row r="9388" spans="13:13" x14ac:dyDescent="0.25">
      <c r="M9388" s="21"/>
    </row>
    <row r="9389" spans="13:13" x14ac:dyDescent="0.25">
      <c r="M9389" s="21"/>
    </row>
    <row r="9390" spans="13:13" x14ac:dyDescent="0.25">
      <c r="M9390" s="21"/>
    </row>
    <row r="9391" spans="13:13" x14ac:dyDescent="0.25">
      <c r="M9391" s="21"/>
    </row>
    <row r="9392" spans="13:13" x14ac:dyDescent="0.25">
      <c r="M9392" s="21"/>
    </row>
    <row r="9393" spans="13:13" x14ac:dyDescent="0.25">
      <c r="M9393" s="21"/>
    </row>
    <row r="9394" spans="13:13" x14ac:dyDescent="0.25">
      <c r="M9394" s="21"/>
    </row>
    <row r="9395" spans="13:13" x14ac:dyDescent="0.25">
      <c r="M9395" s="21"/>
    </row>
    <row r="9396" spans="13:13" x14ac:dyDescent="0.25">
      <c r="M9396" s="21"/>
    </row>
    <row r="9397" spans="13:13" x14ac:dyDescent="0.25">
      <c r="M9397" s="21"/>
    </row>
    <row r="9398" spans="13:13" x14ac:dyDescent="0.25">
      <c r="M9398" s="21"/>
    </row>
    <row r="9399" spans="13:13" x14ac:dyDescent="0.25">
      <c r="M9399" s="21"/>
    </row>
    <row r="9400" spans="13:13" x14ac:dyDescent="0.25">
      <c r="M9400" s="21"/>
    </row>
    <row r="9401" spans="13:13" x14ac:dyDescent="0.25">
      <c r="M9401" s="21"/>
    </row>
    <row r="9402" spans="13:13" x14ac:dyDescent="0.25">
      <c r="M9402" s="21"/>
    </row>
    <row r="9403" spans="13:13" x14ac:dyDescent="0.25">
      <c r="M9403" s="21"/>
    </row>
    <row r="9404" spans="13:13" x14ac:dyDescent="0.25">
      <c r="M9404" s="21"/>
    </row>
    <row r="9405" spans="13:13" x14ac:dyDescent="0.25">
      <c r="M9405" s="21"/>
    </row>
    <row r="9406" spans="13:13" x14ac:dyDescent="0.25">
      <c r="M9406" s="21"/>
    </row>
    <row r="9407" spans="13:13" x14ac:dyDescent="0.25">
      <c r="M9407" s="21"/>
    </row>
    <row r="9408" spans="13:13" x14ac:dyDescent="0.25">
      <c r="M9408" s="21"/>
    </row>
    <row r="9409" spans="13:13" x14ac:dyDescent="0.25">
      <c r="M9409" s="21"/>
    </row>
    <row r="9410" spans="13:13" x14ac:dyDescent="0.25">
      <c r="M9410" s="21"/>
    </row>
    <row r="9411" spans="13:13" x14ac:dyDescent="0.25">
      <c r="M9411" s="21"/>
    </row>
    <row r="9412" spans="13:13" x14ac:dyDescent="0.25">
      <c r="M9412" s="21"/>
    </row>
    <row r="9413" spans="13:13" x14ac:dyDescent="0.25">
      <c r="M9413" s="21"/>
    </row>
    <row r="9414" spans="13:13" x14ac:dyDescent="0.25">
      <c r="M9414" s="21"/>
    </row>
    <row r="9415" spans="13:13" x14ac:dyDescent="0.25">
      <c r="M9415" s="21"/>
    </row>
    <row r="9416" spans="13:13" x14ac:dyDescent="0.25">
      <c r="M9416" s="21"/>
    </row>
    <row r="9417" spans="13:13" x14ac:dyDescent="0.25">
      <c r="M9417" s="21"/>
    </row>
    <row r="9418" spans="13:13" x14ac:dyDescent="0.25">
      <c r="M9418" s="21"/>
    </row>
    <row r="9419" spans="13:13" x14ac:dyDescent="0.25">
      <c r="M9419" s="21"/>
    </row>
    <row r="9420" spans="13:13" x14ac:dyDescent="0.25">
      <c r="M9420" s="21"/>
    </row>
    <row r="9421" spans="13:13" x14ac:dyDescent="0.25">
      <c r="M9421" s="21"/>
    </row>
    <row r="9422" spans="13:13" x14ac:dyDescent="0.25">
      <c r="M9422" s="21"/>
    </row>
    <row r="9423" spans="13:13" x14ac:dyDescent="0.25">
      <c r="M9423" s="21"/>
    </row>
    <row r="9424" spans="13:13" x14ac:dyDescent="0.25">
      <c r="M9424" s="21"/>
    </row>
    <row r="9425" spans="13:13" x14ac:dyDescent="0.25">
      <c r="M9425" s="21"/>
    </row>
    <row r="9426" spans="13:13" x14ac:dyDescent="0.25">
      <c r="M9426" s="21"/>
    </row>
    <row r="9427" spans="13:13" x14ac:dyDescent="0.25">
      <c r="M9427" s="21"/>
    </row>
    <row r="9428" spans="13:13" x14ac:dyDescent="0.25">
      <c r="M9428" s="21"/>
    </row>
    <row r="9429" spans="13:13" x14ac:dyDescent="0.25">
      <c r="M9429" s="21"/>
    </row>
    <row r="9430" spans="13:13" x14ac:dyDescent="0.25">
      <c r="M9430" s="21"/>
    </row>
    <row r="9431" spans="13:13" x14ac:dyDescent="0.25">
      <c r="M9431" s="21"/>
    </row>
    <row r="9432" spans="13:13" x14ac:dyDescent="0.25">
      <c r="M9432" s="21"/>
    </row>
    <row r="9433" spans="13:13" x14ac:dyDescent="0.25">
      <c r="M9433" s="21"/>
    </row>
    <row r="9434" spans="13:13" x14ac:dyDescent="0.25">
      <c r="M9434" s="21"/>
    </row>
    <row r="9435" spans="13:13" x14ac:dyDescent="0.25">
      <c r="M9435" s="21"/>
    </row>
    <row r="9436" spans="13:13" x14ac:dyDescent="0.25">
      <c r="M9436" s="21"/>
    </row>
    <row r="9437" spans="13:13" x14ac:dyDescent="0.25">
      <c r="M9437" s="21"/>
    </row>
    <row r="9438" spans="13:13" x14ac:dyDescent="0.25">
      <c r="M9438" s="21"/>
    </row>
    <row r="9439" spans="13:13" x14ac:dyDescent="0.25">
      <c r="M9439" s="21"/>
    </row>
    <row r="9440" spans="13:13" x14ac:dyDescent="0.25">
      <c r="M9440" s="21"/>
    </row>
    <row r="9441" spans="13:13" x14ac:dyDescent="0.25">
      <c r="M9441" s="21"/>
    </row>
    <row r="9442" spans="13:13" x14ac:dyDescent="0.25">
      <c r="M9442" s="21"/>
    </row>
    <row r="9443" spans="13:13" x14ac:dyDescent="0.25">
      <c r="M9443" s="21"/>
    </row>
    <row r="9444" spans="13:13" x14ac:dyDescent="0.25">
      <c r="M9444" s="21"/>
    </row>
    <row r="9445" spans="13:13" x14ac:dyDescent="0.25">
      <c r="M9445" s="21"/>
    </row>
    <row r="9446" spans="13:13" x14ac:dyDescent="0.25">
      <c r="M9446" s="21"/>
    </row>
    <row r="9447" spans="13:13" x14ac:dyDescent="0.25">
      <c r="M9447" s="21"/>
    </row>
    <row r="9448" spans="13:13" x14ac:dyDescent="0.25">
      <c r="M9448" s="21"/>
    </row>
    <row r="9449" spans="13:13" x14ac:dyDescent="0.25">
      <c r="M9449" s="21"/>
    </row>
    <row r="9450" spans="13:13" x14ac:dyDescent="0.25">
      <c r="M9450" s="21"/>
    </row>
    <row r="9451" spans="13:13" x14ac:dyDescent="0.25">
      <c r="M9451" s="21"/>
    </row>
    <row r="9452" spans="13:13" x14ac:dyDescent="0.25">
      <c r="M9452" s="21"/>
    </row>
    <row r="9453" spans="13:13" x14ac:dyDescent="0.25">
      <c r="M9453" s="21"/>
    </row>
    <row r="9454" spans="13:13" x14ac:dyDescent="0.25">
      <c r="M9454" s="21"/>
    </row>
    <row r="9455" spans="13:13" x14ac:dyDescent="0.25">
      <c r="M9455" s="21"/>
    </row>
    <row r="9456" spans="13:13" x14ac:dyDescent="0.25">
      <c r="M9456" s="21"/>
    </row>
    <row r="9457" spans="13:13" x14ac:dyDescent="0.25">
      <c r="M9457" s="21"/>
    </row>
    <row r="9458" spans="13:13" x14ac:dyDescent="0.25">
      <c r="M9458" s="21"/>
    </row>
    <row r="9459" spans="13:13" x14ac:dyDescent="0.25">
      <c r="M9459" s="21"/>
    </row>
    <row r="9460" spans="13:13" x14ac:dyDescent="0.25">
      <c r="M9460" s="21"/>
    </row>
    <row r="9461" spans="13:13" x14ac:dyDescent="0.25">
      <c r="M9461" s="21"/>
    </row>
    <row r="9462" spans="13:13" x14ac:dyDescent="0.25">
      <c r="M9462" s="21"/>
    </row>
    <row r="9463" spans="13:13" x14ac:dyDescent="0.25">
      <c r="M9463" s="21"/>
    </row>
    <row r="9464" spans="13:13" x14ac:dyDescent="0.25">
      <c r="M9464" s="21"/>
    </row>
    <row r="9465" spans="13:13" x14ac:dyDescent="0.25">
      <c r="M9465" s="21"/>
    </row>
    <row r="9466" spans="13:13" x14ac:dyDescent="0.25">
      <c r="M9466" s="21"/>
    </row>
    <row r="9467" spans="13:13" x14ac:dyDescent="0.25">
      <c r="M9467" s="21"/>
    </row>
    <row r="9468" spans="13:13" x14ac:dyDescent="0.25">
      <c r="M9468" s="21"/>
    </row>
    <row r="9469" spans="13:13" x14ac:dyDescent="0.25">
      <c r="M9469" s="21"/>
    </row>
    <row r="9470" spans="13:13" x14ac:dyDescent="0.25">
      <c r="M9470" s="21"/>
    </row>
    <row r="9471" spans="13:13" x14ac:dyDescent="0.25">
      <c r="M9471" s="21"/>
    </row>
    <row r="9472" spans="13:13" x14ac:dyDescent="0.25">
      <c r="M9472" s="21"/>
    </row>
    <row r="9473" spans="13:13" x14ac:dyDescent="0.25">
      <c r="M9473" s="21"/>
    </row>
    <row r="9474" spans="13:13" x14ac:dyDescent="0.25">
      <c r="M9474" s="21"/>
    </row>
    <row r="9475" spans="13:13" x14ac:dyDescent="0.25">
      <c r="M9475" s="21"/>
    </row>
    <row r="9476" spans="13:13" x14ac:dyDescent="0.25">
      <c r="M9476" s="21"/>
    </row>
    <row r="9477" spans="13:13" x14ac:dyDescent="0.25">
      <c r="M9477" s="21"/>
    </row>
    <row r="9478" spans="13:13" x14ac:dyDescent="0.25">
      <c r="M9478" s="21"/>
    </row>
    <row r="9479" spans="13:13" x14ac:dyDescent="0.25">
      <c r="M9479" s="21"/>
    </row>
    <row r="9480" spans="13:13" x14ac:dyDescent="0.25">
      <c r="M9480" s="21"/>
    </row>
    <row r="9481" spans="13:13" x14ac:dyDescent="0.25">
      <c r="M9481" s="21"/>
    </row>
    <row r="9482" spans="13:13" x14ac:dyDescent="0.25">
      <c r="M9482" s="21"/>
    </row>
    <row r="9483" spans="13:13" x14ac:dyDescent="0.25">
      <c r="M9483" s="21"/>
    </row>
    <row r="9484" spans="13:13" x14ac:dyDescent="0.25">
      <c r="M9484" s="21"/>
    </row>
    <row r="9485" spans="13:13" x14ac:dyDescent="0.25">
      <c r="M9485" s="21"/>
    </row>
    <row r="9486" spans="13:13" x14ac:dyDescent="0.25">
      <c r="M9486" s="21"/>
    </row>
    <row r="9487" spans="13:13" x14ac:dyDescent="0.25">
      <c r="M9487" s="21"/>
    </row>
    <row r="9488" spans="13:13" x14ac:dyDescent="0.25">
      <c r="M9488" s="21"/>
    </row>
    <row r="9489" spans="13:13" x14ac:dyDescent="0.25">
      <c r="M9489" s="21"/>
    </row>
    <row r="9490" spans="13:13" x14ac:dyDescent="0.25">
      <c r="M9490" s="21"/>
    </row>
    <row r="9491" spans="13:13" x14ac:dyDescent="0.25">
      <c r="M9491" s="21"/>
    </row>
    <row r="9492" spans="13:13" x14ac:dyDescent="0.25">
      <c r="M9492" s="21"/>
    </row>
    <row r="9493" spans="13:13" x14ac:dyDescent="0.25">
      <c r="M9493" s="21"/>
    </row>
    <row r="9494" spans="13:13" x14ac:dyDescent="0.25">
      <c r="M9494" s="21"/>
    </row>
    <row r="9495" spans="13:13" x14ac:dyDescent="0.25">
      <c r="M9495" s="21"/>
    </row>
    <row r="9496" spans="13:13" x14ac:dyDescent="0.25">
      <c r="M9496" s="21"/>
    </row>
    <row r="9497" spans="13:13" x14ac:dyDescent="0.25">
      <c r="M9497" s="21"/>
    </row>
    <row r="9498" spans="13:13" x14ac:dyDescent="0.25">
      <c r="M9498" s="21"/>
    </row>
    <row r="9499" spans="13:13" x14ac:dyDescent="0.25">
      <c r="M9499" s="21"/>
    </row>
    <row r="9500" spans="13:13" x14ac:dyDescent="0.25">
      <c r="M9500" s="21"/>
    </row>
    <row r="9501" spans="13:13" x14ac:dyDescent="0.25">
      <c r="M9501" s="21"/>
    </row>
    <row r="9502" spans="13:13" x14ac:dyDescent="0.25">
      <c r="M9502" s="21"/>
    </row>
    <row r="9503" spans="13:13" x14ac:dyDescent="0.25">
      <c r="M9503" s="21"/>
    </row>
    <row r="9504" spans="13:13" x14ac:dyDescent="0.25">
      <c r="M9504" s="21"/>
    </row>
    <row r="9505" spans="13:13" x14ac:dyDescent="0.25">
      <c r="M9505" s="21"/>
    </row>
    <row r="9506" spans="13:13" x14ac:dyDescent="0.25">
      <c r="M9506" s="21"/>
    </row>
    <row r="9507" spans="13:13" x14ac:dyDescent="0.25">
      <c r="M9507" s="21"/>
    </row>
    <row r="9508" spans="13:13" x14ac:dyDescent="0.25">
      <c r="M9508" s="21"/>
    </row>
    <row r="9509" spans="13:13" x14ac:dyDescent="0.25">
      <c r="M9509" s="21"/>
    </row>
    <row r="9510" spans="13:13" x14ac:dyDescent="0.25">
      <c r="M9510" s="21"/>
    </row>
    <row r="9511" spans="13:13" x14ac:dyDescent="0.25">
      <c r="M9511" s="21"/>
    </row>
    <row r="9512" spans="13:13" x14ac:dyDescent="0.25">
      <c r="M9512" s="21"/>
    </row>
    <row r="9513" spans="13:13" x14ac:dyDescent="0.25">
      <c r="M9513" s="21"/>
    </row>
    <row r="9514" spans="13:13" x14ac:dyDescent="0.25">
      <c r="M9514" s="21"/>
    </row>
    <row r="9515" spans="13:13" x14ac:dyDescent="0.25">
      <c r="M9515" s="21"/>
    </row>
    <row r="9516" spans="13:13" x14ac:dyDescent="0.25">
      <c r="M9516" s="21"/>
    </row>
    <row r="9517" spans="13:13" x14ac:dyDescent="0.25">
      <c r="M9517" s="21"/>
    </row>
    <row r="9518" spans="13:13" x14ac:dyDescent="0.25">
      <c r="M9518" s="21"/>
    </row>
    <row r="9519" spans="13:13" x14ac:dyDescent="0.25">
      <c r="M9519" s="21"/>
    </row>
    <row r="9520" spans="13:13" x14ac:dyDescent="0.25">
      <c r="M9520" s="21"/>
    </row>
    <row r="9521" spans="13:13" x14ac:dyDescent="0.25">
      <c r="M9521" s="21"/>
    </row>
    <row r="9522" spans="13:13" x14ac:dyDescent="0.25">
      <c r="M9522" s="21"/>
    </row>
    <row r="9523" spans="13:13" x14ac:dyDescent="0.25">
      <c r="M9523" s="21"/>
    </row>
    <row r="9524" spans="13:13" x14ac:dyDescent="0.25">
      <c r="M9524" s="21"/>
    </row>
    <row r="9525" spans="13:13" x14ac:dyDescent="0.25">
      <c r="M9525" s="21"/>
    </row>
    <row r="9526" spans="13:13" x14ac:dyDescent="0.25">
      <c r="M9526" s="21"/>
    </row>
    <row r="9527" spans="13:13" x14ac:dyDescent="0.25">
      <c r="M9527" s="21"/>
    </row>
    <row r="9528" spans="13:13" x14ac:dyDescent="0.25">
      <c r="M9528" s="21"/>
    </row>
    <row r="9529" spans="13:13" x14ac:dyDescent="0.25">
      <c r="M9529" s="21"/>
    </row>
    <row r="9530" spans="13:13" x14ac:dyDescent="0.25">
      <c r="M9530" s="21"/>
    </row>
    <row r="9531" spans="13:13" x14ac:dyDescent="0.25">
      <c r="M9531" s="21"/>
    </row>
    <row r="9532" spans="13:13" x14ac:dyDescent="0.25">
      <c r="M9532" s="21"/>
    </row>
    <row r="9533" spans="13:13" x14ac:dyDescent="0.25">
      <c r="M9533" s="21"/>
    </row>
    <row r="9534" spans="13:13" x14ac:dyDescent="0.25">
      <c r="M9534" s="21"/>
    </row>
    <row r="9535" spans="13:13" x14ac:dyDescent="0.25">
      <c r="M9535" s="21"/>
    </row>
    <row r="9536" spans="13:13" x14ac:dyDescent="0.25">
      <c r="M9536" s="21"/>
    </row>
    <row r="9537" spans="13:13" x14ac:dyDescent="0.25">
      <c r="M9537" s="21"/>
    </row>
    <row r="9538" spans="13:13" x14ac:dyDescent="0.25">
      <c r="M9538" s="21"/>
    </row>
    <row r="9539" spans="13:13" x14ac:dyDescent="0.25">
      <c r="M9539" s="21"/>
    </row>
    <row r="9540" spans="13:13" x14ac:dyDescent="0.25">
      <c r="M9540" s="21"/>
    </row>
    <row r="9541" spans="13:13" x14ac:dyDescent="0.25">
      <c r="M9541" s="21"/>
    </row>
    <row r="9542" spans="13:13" x14ac:dyDescent="0.25">
      <c r="M9542" s="21"/>
    </row>
    <row r="9543" spans="13:13" x14ac:dyDescent="0.25">
      <c r="M9543" s="21"/>
    </row>
    <row r="9544" spans="13:13" x14ac:dyDescent="0.25">
      <c r="M9544" s="21"/>
    </row>
    <row r="9545" spans="13:13" x14ac:dyDescent="0.25">
      <c r="M9545" s="21"/>
    </row>
    <row r="9546" spans="13:13" x14ac:dyDescent="0.25">
      <c r="M9546" s="21"/>
    </row>
    <row r="9547" spans="13:13" x14ac:dyDescent="0.25">
      <c r="M9547" s="21"/>
    </row>
    <row r="9548" spans="13:13" x14ac:dyDescent="0.25">
      <c r="M9548" s="21"/>
    </row>
    <row r="9549" spans="13:13" x14ac:dyDescent="0.25">
      <c r="M9549" s="21"/>
    </row>
    <row r="9550" spans="13:13" x14ac:dyDescent="0.25">
      <c r="M9550" s="21"/>
    </row>
    <row r="9551" spans="13:13" x14ac:dyDescent="0.25">
      <c r="M9551" s="21"/>
    </row>
    <row r="9552" spans="13:13" x14ac:dyDescent="0.25">
      <c r="M9552" s="21"/>
    </row>
    <row r="9553" spans="13:13" x14ac:dyDescent="0.25">
      <c r="M9553" s="21"/>
    </row>
    <row r="9554" spans="13:13" x14ac:dyDescent="0.25">
      <c r="M9554" s="21"/>
    </row>
    <row r="9555" spans="13:13" x14ac:dyDescent="0.25">
      <c r="M9555" s="21"/>
    </row>
    <row r="9556" spans="13:13" x14ac:dyDescent="0.25">
      <c r="M9556" s="21"/>
    </row>
    <row r="9557" spans="13:13" x14ac:dyDescent="0.25">
      <c r="M9557" s="21"/>
    </row>
    <row r="9558" spans="13:13" x14ac:dyDescent="0.25">
      <c r="M9558" s="21"/>
    </row>
    <row r="9559" spans="13:13" x14ac:dyDescent="0.25">
      <c r="M9559" s="21"/>
    </row>
    <row r="9560" spans="13:13" x14ac:dyDescent="0.25">
      <c r="M9560" s="21"/>
    </row>
    <row r="9561" spans="13:13" x14ac:dyDescent="0.25">
      <c r="M9561" s="21"/>
    </row>
    <row r="9562" spans="13:13" x14ac:dyDescent="0.25">
      <c r="M9562" s="21"/>
    </row>
    <row r="9563" spans="13:13" x14ac:dyDescent="0.25">
      <c r="M9563" s="21"/>
    </row>
    <row r="9564" spans="13:13" x14ac:dyDescent="0.25">
      <c r="M9564" s="21"/>
    </row>
    <row r="9565" spans="13:13" x14ac:dyDescent="0.25">
      <c r="M9565" s="21"/>
    </row>
    <row r="9566" spans="13:13" x14ac:dyDescent="0.25">
      <c r="M9566" s="21"/>
    </row>
    <row r="9567" spans="13:13" x14ac:dyDescent="0.25">
      <c r="M9567" s="21"/>
    </row>
    <row r="9568" spans="13:13" x14ac:dyDescent="0.25">
      <c r="M9568" s="21"/>
    </row>
    <row r="9569" spans="13:13" x14ac:dyDescent="0.25">
      <c r="M9569" s="21"/>
    </row>
    <row r="9570" spans="13:13" x14ac:dyDescent="0.25">
      <c r="M9570" s="21"/>
    </row>
    <row r="9571" spans="13:13" x14ac:dyDescent="0.25">
      <c r="M9571" s="21"/>
    </row>
    <row r="9572" spans="13:13" x14ac:dyDescent="0.25">
      <c r="M9572" s="21"/>
    </row>
    <row r="9573" spans="13:13" x14ac:dyDescent="0.25">
      <c r="M9573" s="21"/>
    </row>
    <row r="9574" spans="13:13" x14ac:dyDescent="0.25">
      <c r="M9574" s="21"/>
    </row>
    <row r="9575" spans="13:13" x14ac:dyDescent="0.25">
      <c r="M9575" s="21"/>
    </row>
    <row r="9576" spans="13:13" x14ac:dyDescent="0.25">
      <c r="M9576" s="21"/>
    </row>
    <row r="9577" spans="13:13" x14ac:dyDescent="0.25">
      <c r="M9577" s="21"/>
    </row>
    <row r="9578" spans="13:13" x14ac:dyDescent="0.25">
      <c r="M9578" s="21"/>
    </row>
    <row r="9579" spans="13:13" x14ac:dyDescent="0.25">
      <c r="M9579" s="21"/>
    </row>
    <row r="9580" spans="13:13" x14ac:dyDescent="0.25">
      <c r="M9580" s="21"/>
    </row>
    <row r="9581" spans="13:13" x14ac:dyDescent="0.25">
      <c r="M9581" s="21"/>
    </row>
    <row r="9582" spans="13:13" x14ac:dyDescent="0.25">
      <c r="M9582" s="21"/>
    </row>
    <row r="9583" spans="13:13" x14ac:dyDescent="0.25">
      <c r="M9583" s="21"/>
    </row>
    <row r="9584" spans="13:13" x14ac:dyDescent="0.25">
      <c r="M9584" s="21"/>
    </row>
    <row r="9585" spans="13:13" x14ac:dyDescent="0.25">
      <c r="M9585" s="21"/>
    </row>
    <row r="9586" spans="13:13" x14ac:dyDescent="0.25">
      <c r="M9586" s="21"/>
    </row>
    <row r="9587" spans="13:13" x14ac:dyDescent="0.25">
      <c r="M9587" s="21"/>
    </row>
    <row r="9588" spans="13:13" x14ac:dyDescent="0.25">
      <c r="M9588" s="21"/>
    </row>
    <row r="9589" spans="13:13" x14ac:dyDescent="0.25">
      <c r="M9589" s="21"/>
    </row>
    <row r="9590" spans="13:13" x14ac:dyDescent="0.25">
      <c r="M9590" s="21"/>
    </row>
    <row r="9591" spans="13:13" x14ac:dyDescent="0.25">
      <c r="M9591" s="21"/>
    </row>
    <row r="9592" spans="13:13" x14ac:dyDescent="0.25">
      <c r="M9592" s="21"/>
    </row>
    <row r="9593" spans="13:13" x14ac:dyDescent="0.25">
      <c r="M9593" s="21"/>
    </row>
    <row r="9594" spans="13:13" x14ac:dyDescent="0.25">
      <c r="M9594" s="21"/>
    </row>
    <row r="9595" spans="13:13" x14ac:dyDescent="0.25">
      <c r="M9595" s="21"/>
    </row>
    <row r="9596" spans="13:13" x14ac:dyDescent="0.25">
      <c r="M9596" s="21"/>
    </row>
    <row r="9597" spans="13:13" x14ac:dyDescent="0.25">
      <c r="M9597" s="21"/>
    </row>
    <row r="9598" spans="13:13" x14ac:dyDescent="0.25">
      <c r="M9598" s="21"/>
    </row>
    <row r="9599" spans="13:13" x14ac:dyDescent="0.25">
      <c r="M9599" s="21"/>
    </row>
    <row r="9600" spans="13:13" x14ac:dyDescent="0.25">
      <c r="M9600" s="21"/>
    </row>
    <row r="9601" spans="13:13" x14ac:dyDescent="0.25">
      <c r="M9601" s="21"/>
    </row>
    <row r="9602" spans="13:13" x14ac:dyDescent="0.25">
      <c r="M9602" s="21"/>
    </row>
    <row r="9603" spans="13:13" x14ac:dyDescent="0.25">
      <c r="M9603" s="21"/>
    </row>
    <row r="9604" spans="13:13" x14ac:dyDescent="0.25">
      <c r="M9604" s="21"/>
    </row>
    <row r="9605" spans="13:13" x14ac:dyDescent="0.25">
      <c r="M9605" s="21"/>
    </row>
    <row r="9606" spans="13:13" x14ac:dyDescent="0.25">
      <c r="M9606" s="21"/>
    </row>
    <row r="9607" spans="13:13" x14ac:dyDescent="0.25">
      <c r="M9607" s="21"/>
    </row>
    <row r="9608" spans="13:13" x14ac:dyDescent="0.25">
      <c r="M9608" s="21"/>
    </row>
    <row r="9609" spans="13:13" x14ac:dyDescent="0.25">
      <c r="M9609" s="21"/>
    </row>
    <row r="9610" spans="13:13" x14ac:dyDescent="0.25">
      <c r="M9610" s="21"/>
    </row>
    <row r="9611" spans="13:13" x14ac:dyDescent="0.25">
      <c r="M9611" s="21"/>
    </row>
    <row r="9612" spans="13:13" x14ac:dyDescent="0.25">
      <c r="M9612" s="21"/>
    </row>
    <row r="9613" spans="13:13" x14ac:dyDescent="0.25">
      <c r="M9613" s="21"/>
    </row>
    <row r="9614" spans="13:13" x14ac:dyDescent="0.25">
      <c r="M9614" s="21"/>
    </row>
    <row r="9615" spans="13:13" x14ac:dyDescent="0.25">
      <c r="M9615" s="21"/>
    </row>
    <row r="9616" spans="13:13" x14ac:dyDescent="0.25">
      <c r="M9616" s="21"/>
    </row>
    <row r="9617" spans="13:13" x14ac:dyDescent="0.25">
      <c r="M9617" s="21"/>
    </row>
    <row r="9618" spans="13:13" x14ac:dyDescent="0.25">
      <c r="M9618" s="21"/>
    </row>
    <row r="9619" spans="13:13" x14ac:dyDescent="0.25">
      <c r="M9619" s="21"/>
    </row>
    <row r="9620" spans="13:13" x14ac:dyDescent="0.25">
      <c r="M9620" s="21"/>
    </row>
    <row r="9621" spans="13:13" x14ac:dyDescent="0.25">
      <c r="M9621" s="21"/>
    </row>
    <row r="9622" spans="13:13" x14ac:dyDescent="0.25">
      <c r="M9622" s="21"/>
    </row>
    <row r="9623" spans="13:13" x14ac:dyDescent="0.25">
      <c r="M9623" s="21"/>
    </row>
    <row r="9624" spans="13:13" x14ac:dyDescent="0.25">
      <c r="M9624" s="21"/>
    </row>
    <row r="9625" spans="13:13" x14ac:dyDescent="0.25">
      <c r="M9625" s="21"/>
    </row>
    <row r="9626" spans="13:13" x14ac:dyDescent="0.25">
      <c r="M9626" s="21"/>
    </row>
    <row r="9627" spans="13:13" x14ac:dyDescent="0.25">
      <c r="M9627" s="21"/>
    </row>
    <row r="9628" spans="13:13" x14ac:dyDescent="0.25">
      <c r="M9628" s="21"/>
    </row>
    <row r="9629" spans="13:13" x14ac:dyDescent="0.25">
      <c r="M9629" s="21"/>
    </row>
    <row r="9630" spans="13:13" x14ac:dyDescent="0.25">
      <c r="M9630" s="21"/>
    </row>
    <row r="9631" spans="13:13" x14ac:dyDescent="0.25">
      <c r="M9631" s="21"/>
    </row>
    <row r="9632" spans="13:13" x14ac:dyDescent="0.25">
      <c r="M9632" s="21"/>
    </row>
    <row r="9633" spans="13:13" x14ac:dyDescent="0.25">
      <c r="M9633" s="21"/>
    </row>
    <row r="9634" spans="13:13" x14ac:dyDescent="0.25">
      <c r="M9634" s="21"/>
    </row>
    <row r="9635" spans="13:13" x14ac:dyDescent="0.25">
      <c r="M9635" s="21"/>
    </row>
    <row r="9636" spans="13:13" x14ac:dyDescent="0.25">
      <c r="M9636" s="21"/>
    </row>
    <row r="9637" spans="13:13" x14ac:dyDescent="0.25">
      <c r="M9637" s="21"/>
    </row>
    <row r="9638" spans="13:13" x14ac:dyDescent="0.25">
      <c r="M9638" s="21"/>
    </row>
    <row r="9639" spans="13:13" x14ac:dyDescent="0.25">
      <c r="M9639" s="21"/>
    </row>
    <row r="9640" spans="13:13" x14ac:dyDescent="0.25">
      <c r="M9640" s="21"/>
    </row>
    <row r="9641" spans="13:13" x14ac:dyDescent="0.25">
      <c r="M9641" s="21"/>
    </row>
    <row r="9642" spans="13:13" x14ac:dyDescent="0.25">
      <c r="M9642" s="21"/>
    </row>
    <row r="9643" spans="13:13" x14ac:dyDescent="0.25">
      <c r="M9643" s="21"/>
    </row>
    <row r="9644" spans="13:13" x14ac:dyDescent="0.25">
      <c r="M9644" s="21"/>
    </row>
    <row r="9645" spans="13:13" x14ac:dyDescent="0.25">
      <c r="M9645" s="21"/>
    </row>
    <row r="9646" spans="13:13" x14ac:dyDescent="0.25">
      <c r="M9646" s="21"/>
    </row>
    <row r="9647" spans="13:13" x14ac:dyDescent="0.25">
      <c r="M9647" s="21"/>
    </row>
    <row r="9648" spans="13:13" x14ac:dyDescent="0.25">
      <c r="M9648" s="21"/>
    </row>
    <row r="9649" spans="13:13" x14ac:dyDescent="0.25">
      <c r="M9649" s="21"/>
    </row>
    <row r="9650" spans="13:13" x14ac:dyDescent="0.25">
      <c r="M9650" s="21"/>
    </row>
    <row r="9651" spans="13:13" x14ac:dyDescent="0.25">
      <c r="M9651" s="21"/>
    </row>
    <row r="9652" spans="13:13" x14ac:dyDescent="0.25">
      <c r="M9652" s="21"/>
    </row>
    <row r="9653" spans="13:13" x14ac:dyDescent="0.25">
      <c r="M9653" s="21"/>
    </row>
    <row r="9654" spans="13:13" x14ac:dyDescent="0.25">
      <c r="M9654" s="21"/>
    </row>
    <row r="9655" spans="13:13" x14ac:dyDescent="0.25">
      <c r="M9655" s="21"/>
    </row>
    <row r="9656" spans="13:13" x14ac:dyDescent="0.25">
      <c r="M9656" s="21"/>
    </row>
    <row r="9657" spans="13:13" x14ac:dyDescent="0.25">
      <c r="M9657" s="21"/>
    </row>
    <row r="9658" spans="13:13" x14ac:dyDescent="0.25">
      <c r="M9658" s="21"/>
    </row>
    <row r="9659" spans="13:13" x14ac:dyDescent="0.25">
      <c r="M9659" s="21"/>
    </row>
    <row r="9660" spans="13:13" x14ac:dyDescent="0.25">
      <c r="M9660" s="21"/>
    </row>
    <row r="9661" spans="13:13" x14ac:dyDescent="0.25">
      <c r="M9661" s="21"/>
    </row>
    <row r="9662" spans="13:13" x14ac:dyDescent="0.25">
      <c r="M9662" s="21"/>
    </row>
    <row r="9663" spans="13:13" x14ac:dyDescent="0.25">
      <c r="M9663" s="21"/>
    </row>
    <row r="9664" spans="13:13" x14ac:dyDescent="0.25">
      <c r="M9664" s="21"/>
    </row>
    <row r="9665" spans="13:13" x14ac:dyDescent="0.25">
      <c r="M9665" s="21"/>
    </row>
    <row r="9666" spans="13:13" x14ac:dyDescent="0.25">
      <c r="M9666" s="21"/>
    </row>
    <row r="9667" spans="13:13" x14ac:dyDescent="0.25">
      <c r="M9667" s="21"/>
    </row>
    <row r="9668" spans="13:13" x14ac:dyDescent="0.25">
      <c r="M9668" s="21"/>
    </row>
    <row r="9669" spans="13:13" x14ac:dyDescent="0.25">
      <c r="M9669" s="21"/>
    </row>
    <row r="9670" spans="13:13" x14ac:dyDescent="0.25">
      <c r="M9670" s="21"/>
    </row>
    <row r="9671" spans="13:13" x14ac:dyDescent="0.25">
      <c r="M9671" s="21"/>
    </row>
    <row r="9672" spans="13:13" x14ac:dyDescent="0.25">
      <c r="M9672" s="21"/>
    </row>
    <row r="9673" spans="13:13" x14ac:dyDescent="0.25">
      <c r="M9673" s="21"/>
    </row>
    <row r="9674" spans="13:13" x14ac:dyDescent="0.25">
      <c r="M9674" s="21"/>
    </row>
    <row r="9675" spans="13:13" x14ac:dyDescent="0.25">
      <c r="M9675" s="21"/>
    </row>
    <row r="9676" spans="13:13" x14ac:dyDescent="0.25">
      <c r="M9676" s="21"/>
    </row>
    <row r="9677" spans="13:13" x14ac:dyDescent="0.25">
      <c r="M9677" s="21"/>
    </row>
    <row r="9678" spans="13:13" x14ac:dyDescent="0.25">
      <c r="M9678" s="21"/>
    </row>
    <row r="9679" spans="13:13" x14ac:dyDescent="0.25">
      <c r="M9679" s="21"/>
    </row>
    <row r="9680" spans="13:13" x14ac:dyDescent="0.25">
      <c r="M9680" s="21"/>
    </row>
    <row r="9681" spans="13:13" x14ac:dyDescent="0.25">
      <c r="M9681" s="21"/>
    </row>
    <row r="9682" spans="13:13" x14ac:dyDescent="0.25">
      <c r="M9682" s="21"/>
    </row>
    <row r="9683" spans="13:13" x14ac:dyDescent="0.25">
      <c r="M9683" s="21"/>
    </row>
    <row r="9684" spans="13:13" x14ac:dyDescent="0.25">
      <c r="M9684" s="21"/>
    </row>
    <row r="9685" spans="13:13" x14ac:dyDescent="0.25">
      <c r="M9685" s="21"/>
    </row>
    <row r="9686" spans="13:13" x14ac:dyDescent="0.25">
      <c r="M9686" s="21"/>
    </row>
    <row r="9687" spans="13:13" x14ac:dyDescent="0.25">
      <c r="M9687" s="21"/>
    </row>
    <row r="9688" spans="13:13" x14ac:dyDescent="0.25">
      <c r="M9688" s="21"/>
    </row>
    <row r="9689" spans="13:13" x14ac:dyDescent="0.25">
      <c r="M9689" s="21"/>
    </row>
    <row r="9690" spans="13:13" x14ac:dyDescent="0.25">
      <c r="M9690" s="21"/>
    </row>
    <row r="9691" spans="13:13" x14ac:dyDescent="0.25">
      <c r="M9691" s="21"/>
    </row>
    <row r="9692" spans="13:13" x14ac:dyDescent="0.25">
      <c r="M9692" s="21"/>
    </row>
    <row r="9693" spans="13:13" x14ac:dyDescent="0.25">
      <c r="M9693" s="21"/>
    </row>
    <row r="9694" spans="13:13" x14ac:dyDescent="0.25">
      <c r="M9694" s="21"/>
    </row>
    <row r="9695" spans="13:13" x14ac:dyDescent="0.25">
      <c r="M9695" s="21"/>
    </row>
    <row r="9696" spans="13:13" x14ac:dyDescent="0.25">
      <c r="M9696" s="21"/>
    </row>
    <row r="9697" spans="13:13" x14ac:dyDescent="0.25">
      <c r="M9697" s="21"/>
    </row>
    <row r="9698" spans="13:13" x14ac:dyDescent="0.25">
      <c r="M9698" s="21"/>
    </row>
    <row r="9699" spans="13:13" x14ac:dyDescent="0.25">
      <c r="M9699" s="21"/>
    </row>
    <row r="9700" spans="13:13" x14ac:dyDescent="0.25">
      <c r="M9700" s="21"/>
    </row>
    <row r="9701" spans="13:13" x14ac:dyDescent="0.25">
      <c r="M9701" s="21"/>
    </row>
    <row r="9702" spans="13:13" x14ac:dyDescent="0.25">
      <c r="M9702" s="21"/>
    </row>
    <row r="9703" spans="13:13" x14ac:dyDescent="0.25">
      <c r="M9703" s="21"/>
    </row>
    <row r="9704" spans="13:13" x14ac:dyDescent="0.25">
      <c r="M9704" s="21"/>
    </row>
    <row r="9705" spans="13:13" x14ac:dyDescent="0.25">
      <c r="M9705" s="21"/>
    </row>
    <row r="9706" spans="13:13" x14ac:dyDescent="0.25">
      <c r="M9706" s="21"/>
    </row>
    <row r="9707" spans="13:13" x14ac:dyDescent="0.25">
      <c r="M9707" s="21"/>
    </row>
    <row r="9708" spans="13:13" x14ac:dyDescent="0.25">
      <c r="M9708" s="21"/>
    </row>
    <row r="9709" spans="13:13" x14ac:dyDescent="0.25">
      <c r="M9709" s="21"/>
    </row>
    <row r="9710" spans="13:13" x14ac:dyDescent="0.25">
      <c r="M9710" s="21"/>
    </row>
    <row r="9711" spans="13:13" x14ac:dyDescent="0.25">
      <c r="M9711" s="21"/>
    </row>
    <row r="9712" spans="13:13" x14ac:dyDescent="0.25">
      <c r="M9712" s="21"/>
    </row>
    <row r="9713" spans="13:13" x14ac:dyDescent="0.25">
      <c r="M9713" s="21"/>
    </row>
    <row r="9714" spans="13:13" x14ac:dyDescent="0.25">
      <c r="M9714" s="21"/>
    </row>
    <row r="9715" spans="13:13" x14ac:dyDescent="0.25">
      <c r="M9715" s="21"/>
    </row>
    <row r="9716" spans="13:13" x14ac:dyDescent="0.25">
      <c r="M9716" s="21"/>
    </row>
    <row r="9717" spans="13:13" x14ac:dyDescent="0.25">
      <c r="M9717" s="21"/>
    </row>
    <row r="9718" spans="13:13" x14ac:dyDescent="0.25">
      <c r="M9718" s="21"/>
    </row>
    <row r="9719" spans="13:13" x14ac:dyDescent="0.25">
      <c r="M9719" s="21"/>
    </row>
    <row r="9720" spans="13:13" x14ac:dyDescent="0.25">
      <c r="M9720" s="21"/>
    </row>
    <row r="9721" spans="13:13" x14ac:dyDescent="0.25">
      <c r="M9721" s="21"/>
    </row>
    <row r="9722" spans="13:13" x14ac:dyDescent="0.25">
      <c r="M9722" s="21"/>
    </row>
    <row r="9723" spans="13:13" x14ac:dyDescent="0.25">
      <c r="M9723" s="21"/>
    </row>
    <row r="9724" spans="13:13" x14ac:dyDescent="0.25">
      <c r="M9724" s="21"/>
    </row>
    <row r="9725" spans="13:13" x14ac:dyDescent="0.25">
      <c r="M9725" s="21"/>
    </row>
    <row r="9726" spans="13:13" x14ac:dyDescent="0.25">
      <c r="M9726" s="21"/>
    </row>
    <row r="9727" spans="13:13" x14ac:dyDescent="0.25">
      <c r="M9727" s="21"/>
    </row>
    <row r="9728" spans="13:13" x14ac:dyDescent="0.25">
      <c r="M9728" s="21"/>
    </row>
    <row r="9729" spans="13:13" x14ac:dyDescent="0.25">
      <c r="M9729" s="21"/>
    </row>
    <row r="9730" spans="13:13" x14ac:dyDescent="0.25">
      <c r="M9730" s="21"/>
    </row>
    <row r="9731" spans="13:13" x14ac:dyDescent="0.25">
      <c r="M9731" s="21"/>
    </row>
    <row r="9732" spans="13:13" x14ac:dyDescent="0.25">
      <c r="M9732" s="21"/>
    </row>
    <row r="9733" spans="13:13" x14ac:dyDescent="0.25">
      <c r="M9733" s="21"/>
    </row>
    <row r="9734" spans="13:13" x14ac:dyDescent="0.25">
      <c r="M9734" s="21"/>
    </row>
    <row r="9735" spans="13:13" x14ac:dyDescent="0.25">
      <c r="M9735" s="21"/>
    </row>
    <row r="9736" spans="13:13" x14ac:dyDescent="0.25">
      <c r="M9736" s="21"/>
    </row>
    <row r="9737" spans="13:13" x14ac:dyDescent="0.25">
      <c r="M9737" s="21"/>
    </row>
    <row r="9738" spans="13:13" x14ac:dyDescent="0.25">
      <c r="M9738" s="21"/>
    </row>
    <row r="9739" spans="13:13" x14ac:dyDescent="0.25">
      <c r="M9739" s="21"/>
    </row>
    <row r="9740" spans="13:13" x14ac:dyDescent="0.25">
      <c r="M9740" s="21"/>
    </row>
    <row r="9741" spans="13:13" x14ac:dyDescent="0.25">
      <c r="M9741" s="21"/>
    </row>
    <row r="9742" spans="13:13" x14ac:dyDescent="0.25">
      <c r="M9742" s="21"/>
    </row>
    <row r="9743" spans="13:13" x14ac:dyDescent="0.25">
      <c r="M9743" s="21"/>
    </row>
    <row r="9744" spans="13:13" x14ac:dyDescent="0.25">
      <c r="M9744" s="21"/>
    </row>
    <row r="9745" spans="13:13" x14ac:dyDescent="0.25">
      <c r="M9745" s="21"/>
    </row>
    <row r="9746" spans="13:13" x14ac:dyDescent="0.25">
      <c r="M9746" s="21"/>
    </row>
    <row r="9747" spans="13:13" x14ac:dyDescent="0.25">
      <c r="M9747" s="21"/>
    </row>
    <row r="9748" spans="13:13" x14ac:dyDescent="0.25">
      <c r="M9748" s="21"/>
    </row>
    <row r="9749" spans="13:13" x14ac:dyDescent="0.25">
      <c r="M9749" s="21"/>
    </row>
    <row r="9750" spans="13:13" x14ac:dyDescent="0.25">
      <c r="M9750" s="21"/>
    </row>
    <row r="9751" spans="13:13" x14ac:dyDescent="0.25">
      <c r="M9751" s="21"/>
    </row>
    <row r="9752" spans="13:13" x14ac:dyDescent="0.25">
      <c r="M9752" s="21"/>
    </row>
    <row r="9753" spans="13:13" x14ac:dyDescent="0.25">
      <c r="M9753" s="21"/>
    </row>
    <row r="9754" spans="13:13" x14ac:dyDescent="0.25">
      <c r="M9754" s="21"/>
    </row>
    <row r="9755" spans="13:13" x14ac:dyDescent="0.25">
      <c r="M9755" s="21"/>
    </row>
    <row r="9756" spans="13:13" x14ac:dyDescent="0.25">
      <c r="M9756" s="21"/>
    </row>
    <row r="9757" spans="13:13" x14ac:dyDescent="0.25">
      <c r="M9757" s="21"/>
    </row>
    <row r="9758" spans="13:13" x14ac:dyDescent="0.25">
      <c r="M9758" s="21"/>
    </row>
    <row r="9759" spans="13:13" x14ac:dyDescent="0.25">
      <c r="M9759" s="21"/>
    </row>
    <row r="9760" spans="13:13" x14ac:dyDescent="0.25">
      <c r="M9760" s="21"/>
    </row>
    <row r="9761" spans="13:13" x14ac:dyDescent="0.25">
      <c r="M9761" s="21"/>
    </row>
    <row r="9762" spans="13:13" x14ac:dyDescent="0.25">
      <c r="M9762" s="21"/>
    </row>
    <row r="9763" spans="13:13" x14ac:dyDescent="0.25">
      <c r="M9763" s="21"/>
    </row>
    <row r="9764" spans="13:13" x14ac:dyDescent="0.25">
      <c r="M9764" s="21"/>
    </row>
    <row r="9765" spans="13:13" x14ac:dyDescent="0.25">
      <c r="M9765" s="21"/>
    </row>
    <row r="9766" spans="13:13" x14ac:dyDescent="0.25">
      <c r="M9766" s="21"/>
    </row>
    <row r="9767" spans="13:13" x14ac:dyDescent="0.25">
      <c r="M9767" s="21"/>
    </row>
    <row r="9768" spans="13:13" x14ac:dyDescent="0.25">
      <c r="M9768" s="21"/>
    </row>
    <row r="9769" spans="13:13" x14ac:dyDescent="0.25">
      <c r="M9769" s="21"/>
    </row>
    <row r="9770" spans="13:13" x14ac:dyDescent="0.25">
      <c r="M9770" s="21"/>
    </row>
    <row r="9771" spans="13:13" x14ac:dyDescent="0.25">
      <c r="M9771" s="21"/>
    </row>
    <row r="9772" spans="13:13" x14ac:dyDescent="0.25">
      <c r="M9772" s="21"/>
    </row>
    <row r="9773" spans="13:13" x14ac:dyDescent="0.25">
      <c r="M9773" s="21"/>
    </row>
    <row r="9774" spans="13:13" x14ac:dyDescent="0.25">
      <c r="M9774" s="21"/>
    </row>
    <row r="9775" spans="13:13" x14ac:dyDescent="0.25">
      <c r="M9775" s="21"/>
    </row>
    <row r="9776" spans="13:13" x14ac:dyDescent="0.25">
      <c r="M9776" s="21"/>
    </row>
    <row r="9777" spans="13:13" x14ac:dyDescent="0.25">
      <c r="M9777" s="21"/>
    </row>
    <row r="9778" spans="13:13" x14ac:dyDescent="0.25">
      <c r="M9778" s="21"/>
    </row>
    <row r="9779" spans="13:13" x14ac:dyDescent="0.25">
      <c r="M9779" s="21"/>
    </row>
    <row r="9780" spans="13:13" x14ac:dyDescent="0.25">
      <c r="M9780" s="21"/>
    </row>
    <row r="9781" spans="13:13" x14ac:dyDescent="0.25">
      <c r="M9781" s="21"/>
    </row>
    <row r="9782" spans="13:13" x14ac:dyDescent="0.25">
      <c r="M9782" s="21"/>
    </row>
    <row r="9783" spans="13:13" x14ac:dyDescent="0.25">
      <c r="M9783" s="21"/>
    </row>
    <row r="9784" spans="13:13" x14ac:dyDescent="0.25">
      <c r="M9784" s="21"/>
    </row>
    <row r="9785" spans="13:13" x14ac:dyDescent="0.25">
      <c r="M9785" s="21"/>
    </row>
    <row r="9786" spans="13:13" x14ac:dyDescent="0.25">
      <c r="M9786" s="21"/>
    </row>
    <row r="9787" spans="13:13" x14ac:dyDescent="0.25">
      <c r="M9787" s="21"/>
    </row>
    <row r="9788" spans="13:13" x14ac:dyDescent="0.25">
      <c r="M9788" s="21"/>
    </row>
    <row r="9789" spans="13:13" x14ac:dyDescent="0.25">
      <c r="M9789" s="21"/>
    </row>
    <row r="9790" spans="13:13" x14ac:dyDescent="0.25">
      <c r="M9790" s="21"/>
    </row>
    <row r="9791" spans="13:13" x14ac:dyDescent="0.25">
      <c r="M9791" s="21"/>
    </row>
    <row r="9792" spans="13:13" x14ac:dyDescent="0.25">
      <c r="M9792" s="21"/>
    </row>
    <row r="9793" spans="13:13" x14ac:dyDescent="0.25">
      <c r="M9793" s="21"/>
    </row>
    <row r="9794" spans="13:13" x14ac:dyDescent="0.25">
      <c r="M9794" s="21"/>
    </row>
    <row r="9795" spans="13:13" x14ac:dyDescent="0.25">
      <c r="M9795" s="21"/>
    </row>
    <row r="9796" spans="13:13" x14ac:dyDescent="0.25">
      <c r="M9796" s="21"/>
    </row>
    <row r="9797" spans="13:13" x14ac:dyDescent="0.25">
      <c r="M9797" s="21"/>
    </row>
    <row r="9798" spans="13:13" x14ac:dyDescent="0.25">
      <c r="M9798" s="21"/>
    </row>
    <row r="9799" spans="13:13" x14ac:dyDescent="0.25">
      <c r="M9799" s="21"/>
    </row>
    <row r="9800" spans="13:13" x14ac:dyDescent="0.25">
      <c r="M9800" s="21"/>
    </row>
    <row r="9801" spans="13:13" x14ac:dyDescent="0.25">
      <c r="M9801" s="21"/>
    </row>
    <row r="9802" spans="13:13" x14ac:dyDescent="0.25">
      <c r="M9802" s="21"/>
    </row>
    <row r="9803" spans="13:13" x14ac:dyDescent="0.25">
      <c r="M9803" s="21"/>
    </row>
    <row r="9804" spans="13:13" x14ac:dyDescent="0.25">
      <c r="M9804" s="21"/>
    </row>
    <row r="9805" spans="13:13" x14ac:dyDescent="0.25">
      <c r="M9805" s="21"/>
    </row>
    <row r="9806" spans="13:13" x14ac:dyDescent="0.25">
      <c r="M9806" s="21"/>
    </row>
    <row r="9807" spans="13:13" x14ac:dyDescent="0.25">
      <c r="M9807" s="21"/>
    </row>
    <row r="9808" spans="13:13" x14ac:dyDescent="0.25">
      <c r="M9808" s="21"/>
    </row>
    <row r="9809" spans="13:13" x14ac:dyDescent="0.25">
      <c r="M9809" s="21"/>
    </row>
    <row r="9810" spans="13:13" x14ac:dyDescent="0.25">
      <c r="M9810" s="21"/>
    </row>
    <row r="9811" spans="13:13" x14ac:dyDescent="0.25">
      <c r="M9811" s="21"/>
    </row>
    <row r="9812" spans="13:13" x14ac:dyDescent="0.25">
      <c r="M9812" s="21"/>
    </row>
    <row r="9813" spans="13:13" x14ac:dyDescent="0.25">
      <c r="M9813" s="21"/>
    </row>
    <row r="9814" spans="13:13" x14ac:dyDescent="0.25">
      <c r="M9814" s="21"/>
    </row>
    <row r="9815" spans="13:13" x14ac:dyDescent="0.25">
      <c r="M9815" s="21"/>
    </row>
    <row r="9816" spans="13:13" x14ac:dyDescent="0.25">
      <c r="M9816" s="21"/>
    </row>
    <row r="9817" spans="13:13" x14ac:dyDescent="0.25">
      <c r="M9817" s="21"/>
    </row>
    <row r="9818" spans="13:13" x14ac:dyDescent="0.25">
      <c r="M9818" s="21"/>
    </row>
    <row r="9819" spans="13:13" x14ac:dyDescent="0.25">
      <c r="M9819" s="21"/>
    </row>
    <row r="9820" spans="13:13" x14ac:dyDescent="0.25">
      <c r="M9820" s="21"/>
    </row>
    <row r="9821" spans="13:13" x14ac:dyDescent="0.25">
      <c r="M9821" s="21"/>
    </row>
    <row r="9822" spans="13:13" x14ac:dyDescent="0.25">
      <c r="M9822" s="21"/>
    </row>
    <row r="9823" spans="13:13" x14ac:dyDescent="0.25">
      <c r="M9823" s="21"/>
    </row>
    <row r="9824" spans="13:13" x14ac:dyDescent="0.25">
      <c r="M9824" s="21"/>
    </row>
    <row r="9825" spans="13:13" x14ac:dyDescent="0.25">
      <c r="M9825" s="21"/>
    </row>
    <row r="9826" spans="13:13" x14ac:dyDescent="0.25">
      <c r="M9826" s="21"/>
    </row>
    <row r="9827" spans="13:13" x14ac:dyDescent="0.25">
      <c r="M9827" s="21"/>
    </row>
    <row r="9828" spans="13:13" x14ac:dyDescent="0.25">
      <c r="M9828" s="21"/>
    </row>
    <row r="9829" spans="13:13" x14ac:dyDescent="0.25">
      <c r="M9829" s="21"/>
    </row>
    <row r="9830" spans="13:13" x14ac:dyDescent="0.25">
      <c r="M9830" s="21"/>
    </row>
    <row r="9831" spans="13:13" x14ac:dyDescent="0.25">
      <c r="M9831" s="21"/>
    </row>
    <row r="9832" spans="13:13" x14ac:dyDescent="0.25">
      <c r="M9832" s="21"/>
    </row>
    <row r="9833" spans="13:13" x14ac:dyDescent="0.25">
      <c r="M9833" s="21"/>
    </row>
    <row r="9834" spans="13:13" x14ac:dyDescent="0.25">
      <c r="M9834" s="21"/>
    </row>
    <row r="9835" spans="13:13" x14ac:dyDescent="0.25">
      <c r="M9835" s="21"/>
    </row>
    <row r="9836" spans="13:13" x14ac:dyDescent="0.25">
      <c r="M9836" s="21"/>
    </row>
    <row r="9837" spans="13:13" x14ac:dyDescent="0.25">
      <c r="M9837" s="21"/>
    </row>
    <row r="9838" spans="13:13" x14ac:dyDescent="0.25">
      <c r="M9838" s="21"/>
    </row>
    <row r="9839" spans="13:13" x14ac:dyDescent="0.25">
      <c r="M9839" s="21"/>
    </row>
    <row r="9840" spans="13:13" x14ac:dyDescent="0.25">
      <c r="M9840" s="21"/>
    </row>
    <row r="9841" spans="13:13" x14ac:dyDescent="0.25">
      <c r="M9841" s="21"/>
    </row>
    <row r="9842" spans="13:13" x14ac:dyDescent="0.25">
      <c r="M9842" s="21"/>
    </row>
    <row r="9843" spans="13:13" x14ac:dyDescent="0.25">
      <c r="M9843" s="21"/>
    </row>
    <row r="9844" spans="13:13" x14ac:dyDescent="0.25">
      <c r="M9844" s="21"/>
    </row>
    <row r="9845" spans="13:13" x14ac:dyDescent="0.25">
      <c r="M9845" s="21"/>
    </row>
    <row r="9846" spans="13:13" x14ac:dyDescent="0.25">
      <c r="M9846" s="21"/>
    </row>
    <row r="9847" spans="13:13" x14ac:dyDescent="0.25">
      <c r="M9847" s="21"/>
    </row>
    <row r="9848" spans="13:13" x14ac:dyDescent="0.25">
      <c r="M9848" s="21"/>
    </row>
    <row r="9849" spans="13:13" x14ac:dyDescent="0.25">
      <c r="M9849" s="21"/>
    </row>
    <row r="9850" spans="13:13" x14ac:dyDescent="0.25">
      <c r="M9850" s="21"/>
    </row>
    <row r="9851" spans="13:13" x14ac:dyDescent="0.25">
      <c r="M9851" s="21"/>
    </row>
    <row r="9852" spans="13:13" x14ac:dyDescent="0.25">
      <c r="M9852" s="21"/>
    </row>
    <row r="9853" spans="13:13" x14ac:dyDescent="0.25">
      <c r="M9853" s="21"/>
    </row>
    <row r="9854" spans="13:13" x14ac:dyDescent="0.25">
      <c r="M9854" s="21"/>
    </row>
    <row r="9855" spans="13:13" x14ac:dyDescent="0.25">
      <c r="M9855" s="21"/>
    </row>
    <row r="9856" spans="13:13" x14ac:dyDescent="0.25">
      <c r="M9856" s="21"/>
    </row>
    <row r="9857" spans="13:13" x14ac:dyDescent="0.25">
      <c r="M9857" s="21"/>
    </row>
    <row r="9858" spans="13:13" x14ac:dyDescent="0.25">
      <c r="M9858" s="21"/>
    </row>
    <row r="9859" spans="13:13" x14ac:dyDescent="0.25">
      <c r="M9859" s="21"/>
    </row>
    <row r="9860" spans="13:13" x14ac:dyDescent="0.25">
      <c r="M9860" s="21"/>
    </row>
    <row r="9861" spans="13:13" x14ac:dyDescent="0.25">
      <c r="M9861" s="21"/>
    </row>
    <row r="9862" spans="13:13" x14ac:dyDescent="0.25">
      <c r="M9862" s="21"/>
    </row>
    <row r="9863" spans="13:13" x14ac:dyDescent="0.25">
      <c r="M9863" s="21"/>
    </row>
    <row r="9864" spans="13:13" x14ac:dyDescent="0.25">
      <c r="M9864" s="21"/>
    </row>
    <row r="9865" spans="13:13" x14ac:dyDescent="0.25">
      <c r="M9865" s="21"/>
    </row>
    <row r="9866" spans="13:13" x14ac:dyDescent="0.25">
      <c r="M9866" s="21"/>
    </row>
    <row r="9867" spans="13:13" x14ac:dyDescent="0.25">
      <c r="M9867" s="21"/>
    </row>
    <row r="9868" spans="13:13" x14ac:dyDescent="0.25">
      <c r="M9868" s="21"/>
    </row>
    <row r="9869" spans="13:13" x14ac:dyDescent="0.25">
      <c r="M9869" s="21"/>
    </row>
    <row r="9870" spans="13:13" x14ac:dyDescent="0.25">
      <c r="M9870" s="21"/>
    </row>
    <row r="9871" spans="13:13" x14ac:dyDescent="0.25">
      <c r="M9871" s="21"/>
    </row>
    <row r="9872" spans="13:13" x14ac:dyDescent="0.25">
      <c r="M9872" s="21"/>
    </row>
    <row r="9873" spans="13:13" x14ac:dyDescent="0.25">
      <c r="M9873" s="21"/>
    </row>
    <row r="9874" spans="13:13" x14ac:dyDescent="0.25">
      <c r="M9874" s="21"/>
    </row>
    <row r="9875" spans="13:13" x14ac:dyDescent="0.25">
      <c r="M9875" s="21"/>
    </row>
    <row r="9876" spans="13:13" x14ac:dyDescent="0.25">
      <c r="M9876" s="21"/>
    </row>
    <row r="9877" spans="13:13" x14ac:dyDescent="0.25">
      <c r="M9877" s="21"/>
    </row>
    <row r="9878" spans="13:13" x14ac:dyDescent="0.25">
      <c r="M9878" s="21"/>
    </row>
    <row r="9879" spans="13:13" x14ac:dyDescent="0.25">
      <c r="M9879" s="21"/>
    </row>
    <row r="9880" spans="13:13" x14ac:dyDescent="0.25">
      <c r="M9880" s="21"/>
    </row>
    <row r="9881" spans="13:13" x14ac:dyDescent="0.25">
      <c r="M9881" s="21"/>
    </row>
    <row r="9882" spans="13:13" x14ac:dyDescent="0.25">
      <c r="M9882" s="21"/>
    </row>
    <row r="9883" spans="13:13" x14ac:dyDescent="0.25">
      <c r="M9883" s="21"/>
    </row>
    <row r="9884" spans="13:13" x14ac:dyDescent="0.25">
      <c r="M9884" s="21"/>
    </row>
    <row r="9885" spans="13:13" x14ac:dyDescent="0.25">
      <c r="M9885" s="21"/>
    </row>
    <row r="9886" spans="13:13" x14ac:dyDescent="0.25">
      <c r="M9886" s="21"/>
    </row>
    <row r="9887" spans="13:13" x14ac:dyDescent="0.25">
      <c r="M9887" s="21"/>
    </row>
    <row r="9888" spans="13:13" x14ac:dyDescent="0.25">
      <c r="M9888" s="21"/>
    </row>
    <row r="9889" spans="13:13" x14ac:dyDescent="0.25">
      <c r="M9889" s="21"/>
    </row>
    <row r="9890" spans="13:13" x14ac:dyDescent="0.25">
      <c r="M9890" s="21"/>
    </row>
    <row r="9891" spans="13:13" x14ac:dyDescent="0.25">
      <c r="M9891" s="21"/>
    </row>
    <row r="9892" spans="13:13" x14ac:dyDescent="0.25">
      <c r="M9892" s="21"/>
    </row>
    <row r="9893" spans="13:13" x14ac:dyDescent="0.25">
      <c r="M9893" s="21"/>
    </row>
    <row r="9894" spans="13:13" x14ac:dyDescent="0.25">
      <c r="M9894" s="21"/>
    </row>
    <row r="9895" spans="13:13" x14ac:dyDescent="0.25">
      <c r="M9895" s="21"/>
    </row>
    <row r="9896" spans="13:13" x14ac:dyDescent="0.25">
      <c r="M9896" s="21"/>
    </row>
    <row r="9897" spans="13:13" x14ac:dyDescent="0.25">
      <c r="M9897" s="21"/>
    </row>
    <row r="9898" spans="13:13" x14ac:dyDescent="0.25">
      <c r="M9898" s="21"/>
    </row>
    <row r="9899" spans="13:13" x14ac:dyDescent="0.25">
      <c r="M9899" s="21"/>
    </row>
    <row r="9900" spans="13:13" x14ac:dyDescent="0.25">
      <c r="M9900" s="21"/>
    </row>
    <row r="9901" spans="13:13" x14ac:dyDescent="0.25">
      <c r="M9901" s="21"/>
    </row>
    <row r="9902" spans="13:13" x14ac:dyDescent="0.25">
      <c r="M9902" s="21"/>
    </row>
    <row r="9903" spans="13:13" x14ac:dyDescent="0.25">
      <c r="M9903" s="21"/>
    </row>
    <row r="9904" spans="13:13" x14ac:dyDescent="0.25">
      <c r="M9904" s="21"/>
    </row>
    <row r="9905" spans="13:13" x14ac:dyDescent="0.25">
      <c r="M9905" s="21"/>
    </row>
    <row r="9906" spans="13:13" x14ac:dyDescent="0.25">
      <c r="M9906" s="21"/>
    </row>
    <row r="9907" spans="13:13" x14ac:dyDescent="0.25">
      <c r="M9907" s="21"/>
    </row>
    <row r="9908" spans="13:13" x14ac:dyDescent="0.25">
      <c r="M9908" s="21"/>
    </row>
    <row r="9909" spans="13:13" x14ac:dyDescent="0.25">
      <c r="M9909" s="21"/>
    </row>
    <row r="9910" spans="13:13" x14ac:dyDescent="0.25">
      <c r="M9910" s="21"/>
    </row>
    <row r="9911" spans="13:13" x14ac:dyDescent="0.25">
      <c r="M9911" s="21"/>
    </row>
    <row r="9912" spans="13:13" x14ac:dyDescent="0.25">
      <c r="M9912" s="21"/>
    </row>
    <row r="9913" spans="13:13" x14ac:dyDescent="0.25">
      <c r="M9913" s="21"/>
    </row>
    <row r="9914" spans="13:13" x14ac:dyDescent="0.25">
      <c r="M9914" s="21"/>
    </row>
    <row r="9915" spans="13:13" x14ac:dyDescent="0.25">
      <c r="M9915" s="21"/>
    </row>
    <row r="9916" spans="13:13" x14ac:dyDescent="0.25">
      <c r="M9916" s="21"/>
    </row>
    <row r="9917" spans="13:13" x14ac:dyDescent="0.25">
      <c r="M9917" s="21"/>
    </row>
    <row r="9918" spans="13:13" x14ac:dyDescent="0.25">
      <c r="M9918" s="21"/>
    </row>
    <row r="9919" spans="13:13" x14ac:dyDescent="0.25">
      <c r="M9919" s="21"/>
    </row>
    <row r="9920" spans="13:13" x14ac:dyDescent="0.25">
      <c r="M9920" s="21"/>
    </row>
    <row r="9921" spans="13:13" x14ac:dyDescent="0.25">
      <c r="M9921" s="21"/>
    </row>
    <row r="9922" spans="13:13" x14ac:dyDescent="0.25">
      <c r="M9922" s="21"/>
    </row>
    <row r="9923" spans="13:13" x14ac:dyDescent="0.25">
      <c r="M9923" s="21"/>
    </row>
    <row r="9924" spans="13:13" x14ac:dyDescent="0.25">
      <c r="M9924" s="21"/>
    </row>
    <row r="9925" spans="13:13" x14ac:dyDescent="0.25">
      <c r="M9925" s="21"/>
    </row>
    <row r="9926" spans="13:13" x14ac:dyDescent="0.25">
      <c r="M9926" s="21"/>
    </row>
    <row r="9927" spans="13:13" x14ac:dyDescent="0.25">
      <c r="M9927" s="21"/>
    </row>
    <row r="9928" spans="13:13" x14ac:dyDescent="0.25">
      <c r="M9928" s="21"/>
    </row>
    <row r="9929" spans="13:13" x14ac:dyDescent="0.25">
      <c r="M9929" s="21"/>
    </row>
    <row r="9930" spans="13:13" x14ac:dyDescent="0.25">
      <c r="M9930" s="21"/>
    </row>
    <row r="9931" spans="13:13" x14ac:dyDescent="0.25">
      <c r="M9931" s="21"/>
    </row>
    <row r="9932" spans="13:13" x14ac:dyDescent="0.25">
      <c r="M9932" s="21"/>
    </row>
    <row r="9933" spans="13:13" x14ac:dyDescent="0.25">
      <c r="M9933" s="21"/>
    </row>
    <row r="9934" spans="13:13" x14ac:dyDescent="0.25">
      <c r="M9934" s="21"/>
    </row>
    <row r="9935" spans="13:13" x14ac:dyDescent="0.25">
      <c r="M9935" s="21"/>
    </row>
    <row r="9936" spans="13:13" x14ac:dyDescent="0.25">
      <c r="M9936" s="21"/>
    </row>
    <row r="9937" spans="13:13" x14ac:dyDescent="0.25">
      <c r="M9937" s="21"/>
    </row>
    <row r="9938" spans="13:13" x14ac:dyDescent="0.25">
      <c r="M9938" s="21"/>
    </row>
    <row r="9939" spans="13:13" x14ac:dyDescent="0.25">
      <c r="M9939" s="21"/>
    </row>
    <row r="9940" spans="13:13" x14ac:dyDescent="0.25">
      <c r="M9940" s="21"/>
    </row>
    <row r="9941" spans="13:13" x14ac:dyDescent="0.25">
      <c r="M9941" s="21"/>
    </row>
    <row r="9942" spans="13:13" x14ac:dyDescent="0.25">
      <c r="M9942" s="21"/>
    </row>
    <row r="9943" spans="13:13" x14ac:dyDescent="0.25">
      <c r="M9943" s="21"/>
    </row>
    <row r="9944" spans="13:13" x14ac:dyDescent="0.25">
      <c r="M9944" s="21"/>
    </row>
    <row r="9945" spans="13:13" x14ac:dyDescent="0.25">
      <c r="M9945" s="21"/>
    </row>
    <row r="9946" spans="13:13" x14ac:dyDescent="0.25">
      <c r="M9946" s="21"/>
    </row>
    <row r="9947" spans="13:13" x14ac:dyDescent="0.25">
      <c r="M9947" s="21"/>
    </row>
    <row r="9948" spans="13:13" x14ac:dyDescent="0.25">
      <c r="M9948" s="21"/>
    </row>
    <row r="9949" spans="13:13" x14ac:dyDescent="0.25">
      <c r="M9949" s="21"/>
    </row>
    <row r="9950" spans="13:13" x14ac:dyDescent="0.25">
      <c r="M9950" s="21"/>
    </row>
    <row r="9951" spans="13:13" x14ac:dyDescent="0.25">
      <c r="M9951" s="21"/>
    </row>
    <row r="9952" spans="13:13" x14ac:dyDescent="0.25">
      <c r="M9952" s="21"/>
    </row>
    <row r="9953" spans="13:13" x14ac:dyDescent="0.25">
      <c r="M9953" s="21"/>
    </row>
    <row r="9954" spans="13:13" x14ac:dyDescent="0.25">
      <c r="M9954" s="21"/>
    </row>
    <row r="9955" spans="13:13" x14ac:dyDescent="0.25">
      <c r="M9955" s="21"/>
    </row>
    <row r="9956" spans="13:13" x14ac:dyDescent="0.25">
      <c r="M9956" s="21"/>
    </row>
    <row r="9957" spans="13:13" x14ac:dyDescent="0.25">
      <c r="M9957" s="21"/>
    </row>
    <row r="9958" spans="13:13" x14ac:dyDescent="0.25">
      <c r="M9958" s="21"/>
    </row>
    <row r="9959" spans="13:13" x14ac:dyDescent="0.25">
      <c r="M9959" s="21"/>
    </row>
    <row r="9960" spans="13:13" x14ac:dyDescent="0.25">
      <c r="M9960" s="21"/>
    </row>
    <row r="9961" spans="13:13" x14ac:dyDescent="0.25">
      <c r="M9961" s="21"/>
    </row>
    <row r="9962" spans="13:13" x14ac:dyDescent="0.25">
      <c r="M9962" s="21"/>
    </row>
    <row r="9963" spans="13:13" x14ac:dyDescent="0.25">
      <c r="M9963" s="21"/>
    </row>
    <row r="9964" spans="13:13" x14ac:dyDescent="0.25">
      <c r="M9964" s="21"/>
    </row>
    <row r="9965" spans="13:13" x14ac:dyDescent="0.25">
      <c r="M9965" s="21"/>
    </row>
    <row r="9966" spans="13:13" x14ac:dyDescent="0.25">
      <c r="M9966" s="21"/>
    </row>
    <row r="9967" spans="13:13" x14ac:dyDescent="0.25">
      <c r="M9967" s="21"/>
    </row>
    <row r="9968" spans="13:13" x14ac:dyDescent="0.25">
      <c r="M9968" s="21"/>
    </row>
    <row r="9969" spans="13:13" x14ac:dyDescent="0.25">
      <c r="M9969" s="21"/>
    </row>
    <row r="9970" spans="13:13" x14ac:dyDescent="0.25">
      <c r="M9970" s="21"/>
    </row>
    <row r="9971" spans="13:13" x14ac:dyDescent="0.25">
      <c r="M9971" s="21"/>
    </row>
    <row r="9972" spans="13:13" x14ac:dyDescent="0.25">
      <c r="M9972" s="21"/>
    </row>
    <row r="9973" spans="13:13" x14ac:dyDescent="0.25">
      <c r="M9973" s="21"/>
    </row>
    <row r="9974" spans="13:13" x14ac:dyDescent="0.25">
      <c r="M9974" s="21"/>
    </row>
    <row r="9975" spans="13:13" x14ac:dyDescent="0.25">
      <c r="M9975" s="21"/>
    </row>
    <row r="9976" spans="13:13" x14ac:dyDescent="0.25">
      <c r="M9976" s="21"/>
    </row>
    <row r="9977" spans="13:13" x14ac:dyDescent="0.25">
      <c r="M9977" s="21"/>
    </row>
    <row r="9978" spans="13:13" x14ac:dyDescent="0.25">
      <c r="M9978" s="21"/>
    </row>
    <row r="9979" spans="13:13" x14ac:dyDescent="0.25">
      <c r="M9979" s="21"/>
    </row>
    <row r="9980" spans="13:13" x14ac:dyDescent="0.25">
      <c r="M9980" s="21"/>
    </row>
    <row r="9981" spans="13:13" x14ac:dyDescent="0.25">
      <c r="M9981" s="21"/>
    </row>
    <row r="9982" spans="13:13" x14ac:dyDescent="0.25">
      <c r="M9982" s="21"/>
    </row>
    <row r="9983" spans="13:13" x14ac:dyDescent="0.25">
      <c r="M9983" s="21"/>
    </row>
    <row r="9984" spans="13:13" x14ac:dyDescent="0.25">
      <c r="M9984" s="21"/>
    </row>
    <row r="9985" spans="13:13" x14ac:dyDescent="0.25">
      <c r="M9985" s="21"/>
    </row>
    <row r="9986" spans="13:13" x14ac:dyDescent="0.25">
      <c r="M9986" s="21"/>
    </row>
    <row r="9987" spans="13:13" x14ac:dyDescent="0.25">
      <c r="M9987" s="21"/>
    </row>
    <row r="9988" spans="13:13" x14ac:dyDescent="0.25">
      <c r="M9988" s="21"/>
    </row>
    <row r="9989" spans="13:13" x14ac:dyDescent="0.25">
      <c r="M9989" s="21"/>
    </row>
    <row r="9990" spans="13:13" x14ac:dyDescent="0.25">
      <c r="M9990" s="21"/>
    </row>
    <row r="9991" spans="13:13" x14ac:dyDescent="0.25">
      <c r="M9991" s="21"/>
    </row>
    <row r="9992" spans="13:13" x14ac:dyDescent="0.25">
      <c r="M9992" s="21"/>
    </row>
    <row r="9993" spans="13:13" x14ac:dyDescent="0.25">
      <c r="M9993" s="21"/>
    </row>
    <row r="9994" spans="13:13" x14ac:dyDescent="0.25">
      <c r="M9994" s="21"/>
    </row>
    <row r="9995" spans="13:13" x14ac:dyDescent="0.25">
      <c r="M9995" s="21"/>
    </row>
    <row r="9996" spans="13:13" x14ac:dyDescent="0.25">
      <c r="M9996" s="21"/>
    </row>
    <row r="9997" spans="13:13" x14ac:dyDescent="0.25">
      <c r="M9997" s="21"/>
    </row>
    <row r="9998" spans="13:13" x14ac:dyDescent="0.25">
      <c r="M9998" s="21"/>
    </row>
    <row r="9999" spans="13:13" x14ac:dyDescent="0.25">
      <c r="M9999" s="21"/>
    </row>
    <row r="10000" spans="13:13" x14ac:dyDescent="0.25">
      <c r="M10000" s="21"/>
    </row>
    <row r="10001" spans="13:13" x14ac:dyDescent="0.25">
      <c r="M10001" s="21"/>
    </row>
    <row r="10002" spans="13:13" x14ac:dyDescent="0.25">
      <c r="M10002" s="21"/>
    </row>
    <row r="10003" spans="13:13" x14ac:dyDescent="0.25">
      <c r="M10003" s="21"/>
    </row>
    <row r="10004" spans="13:13" x14ac:dyDescent="0.25">
      <c r="M10004" s="2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M29"/>
  <sheetViews>
    <sheetView topLeftCell="A12" workbookViewId="0">
      <selection activeCell="G9" sqref="G9:I14"/>
    </sheetView>
  </sheetViews>
  <sheetFormatPr defaultColWidth="8.90625" defaultRowHeight="14.5" x14ac:dyDescent="0.35"/>
  <cols>
    <col min="1" max="16384" width="8.90625" style="41"/>
  </cols>
  <sheetData>
    <row r="1" spans="1:13" x14ac:dyDescent="0.35">
      <c r="B1" s="42">
        <v>2020</v>
      </c>
    </row>
    <row r="2" spans="1:13" x14ac:dyDescent="0.35">
      <c r="B2" s="43" t="s">
        <v>64</v>
      </c>
      <c r="C2" s="43" t="s">
        <v>65</v>
      </c>
      <c r="D2" s="43" t="s">
        <v>111</v>
      </c>
      <c r="E2" s="43" t="s">
        <v>112</v>
      </c>
      <c r="F2" s="43" t="s">
        <v>113</v>
      </c>
      <c r="G2" s="43" t="s">
        <v>114</v>
      </c>
      <c r="H2" s="44" t="s">
        <v>70</v>
      </c>
      <c r="I2" s="43"/>
      <c r="J2" s="43"/>
      <c r="K2" s="43"/>
      <c r="L2" s="43"/>
      <c r="M2" s="43"/>
    </row>
    <row r="3" spans="1:13" ht="15" thickBot="1" x14ac:dyDescent="0.4">
      <c r="A3" s="41" t="s">
        <v>115</v>
      </c>
      <c r="B3" s="45">
        <v>13</v>
      </c>
      <c r="C3" s="45">
        <v>3</v>
      </c>
      <c r="D3" s="45">
        <v>0</v>
      </c>
      <c r="E3" s="45">
        <v>0.81299999999999994</v>
      </c>
      <c r="F3" s="43" t="s">
        <v>116</v>
      </c>
      <c r="G3" s="43" t="s">
        <v>117</v>
      </c>
      <c r="H3" s="44" t="s">
        <v>118</v>
      </c>
      <c r="I3" s="43" t="s">
        <v>119</v>
      </c>
      <c r="J3" s="45">
        <v>501</v>
      </c>
      <c r="K3" s="45">
        <v>375</v>
      </c>
      <c r="L3" s="46">
        <v>126</v>
      </c>
      <c r="M3" s="45" t="s">
        <v>76</v>
      </c>
    </row>
    <row r="4" spans="1:13" ht="15" thickBot="1" x14ac:dyDescent="0.4">
      <c r="A4" s="41" t="s">
        <v>120</v>
      </c>
      <c r="B4" s="45">
        <v>10</v>
      </c>
      <c r="C4" s="45">
        <v>6</v>
      </c>
      <c r="D4" s="45">
        <v>0</v>
      </c>
      <c r="E4" s="45">
        <v>0.625</v>
      </c>
      <c r="F4" s="43" t="s">
        <v>121</v>
      </c>
      <c r="G4" s="43" t="s">
        <v>121</v>
      </c>
      <c r="H4" s="44" t="s">
        <v>122</v>
      </c>
      <c r="I4" s="43" t="s">
        <v>123</v>
      </c>
      <c r="J4" s="45">
        <v>404</v>
      </c>
      <c r="K4" s="45">
        <v>338</v>
      </c>
      <c r="L4" s="46">
        <v>66</v>
      </c>
      <c r="M4" s="45" t="s">
        <v>77</v>
      </c>
    </row>
    <row r="5" spans="1:13" ht="15" thickBot="1" x14ac:dyDescent="0.4">
      <c r="A5" s="41" t="s">
        <v>124</v>
      </c>
      <c r="B5" s="45">
        <v>7</v>
      </c>
      <c r="C5" s="45">
        <v>9</v>
      </c>
      <c r="D5" s="45">
        <v>0</v>
      </c>
      <c r="E5" s="45">
        <v>0.438</v>
      </c>
      <c r="F5" s="43" t="s">
        <v>121</v>
      </c>
      <c r="G5" s="43" t="s">
        <v>125</v>
      </c>
      <c r="H5" s="44" t="s">
        <v>122</v>
      </c>
      <c r="I5" s="43" t="s">
        <v>126</v>
      </c>
      <c r="J5" s="45">
        <v>326</v>
      </c>
      <c r="K5" s="45">
        <v>353</v>
      </c>
      <c r="L5" s="47">
        <v>-27</v>
      </c>
      <c r="M5" s="45" t="s">
        <v>78</v>
      </c>
    </row>
    <row r="6" spans="1:13" ht="15" thickBot="1" x14ac:dyDescent="0.4">
      <c r="A6" s="41" t="s">
        <v>26</v>
      </c>
      <c r="B6" s="45">
        <v>2</v>
      </c>
      <c r="C6" s="45">
        <v>14</v>
      </c>
      <c r="D6" s="45">
        <v>0</v>
      </c>
      <c r="E6" s="45">
        <v>0.125</v>
      </c>
      <c r="F6" s="43" t="s">
        <v>127</v>
      </c>
      <c r="G6" s="43" t="s">
        <v>127</v>
      </c>
      <c r="H6" s="44" t="s">
        <v>79</v>
      </c>
      <c r="I6" s="43" t="s">
        <v>128</v>
      </c>
      <c r="J6" s="45">
        <v>243</v>
      </c>
      <c r="K6" s="45">
        <v>457</v>
      </c>
      <c r="L6" s="47">
        <v>-214</v>
      </c>
      <c r="M6" s="45" t="s">
        <v>77</v>
      </c>
    </row>
    <row r="8" spans="1:13" ht="15" thickBot="1" x14ac:dyDescent="0.4"/>
    <row r="9" spans="1:13" x14ac:dyDescent="0.35">
      <c r="G9" s="48" t="s">
        <v>129</v>
      </c>
      <c r="H9" s="49"/>
      <c r="I9" s="50"/>
    </row>
    <row r="10" spans="1:13" x14ac:dyDescent="0.35">
      <c r="G10" s="51" t="s">
        <v>130</v>
      </c>
      <c r="H10" s="52" t="s">
        <v>131</v>
      </c>
      <c r="I10" s="53"/>
    </row>
    <row r="11" spans="1:13" x14ac:dyDescent="0.35">
      <c r="G11" s="54">
        <v>6</v>
      </c>
      <c r="H11" s="52">
        <v>3</v>
      </c>
      <c r="I11" s="53"/>
    </row>
    <row r="12" spans="1:13" x14ac:dyDescent="0.35">
      <c r="G12" s="54">
        <v>3</v>
      </c>
      <c r="H12" s="52">
        <v>3</v>
      </c>
      <c r="I12" s="53"/>
    </row>
    <row r="13" spans="1:13" x14ac:dyDescent="0.35">
      <c r="G13" s="54">
        <v>3</v>
      </c>
      <c r="H13" s="52">
        <v>3</v>
      </c>
      <c r="I13" s="53"/>
    </row>
    <row r="14" spans="1:13" ht="15" thickBot="1" x14ac:dyDescent="0.4">
      <c r="G14" s="55">
        <v>0</v>
      </c>
      <c r="H14" s="56">
        <v>3</v>
      </c>
      <c r="I14" s="57">
        <f>CHITEST(G11:G14,H11:H14)</f>
        <v>0.11161022509471255</v>
      </c>
    </row>
    <row r="15" spans="1:13" ht="15" thickBot="1" x14ac:dyDescent="0.4"/>
    <row r="16" spans="1:13" x14ac:dyDescent="0.35">
      <c r="B16" s="42">
        <v>2019</v>
      </c>
      <c r="J16" s="58" t="s">
        <v>132</v>
      </c>
      <c r="K16" s="59"/>
      <c r="L16" s="49"/>
      <c r="M16" s="50"/>
    </row>
    <row r="17" spans="1:13" x14ac:dyDescent="0.35">
      <c r="B17" s="43" t="s">
        <v>64</v>
      </c>
      <c r="C17" s="43" t="s">
        <v>65</v>
      </c>
      <c r="D17" s="43" t="s">
        <v>111</v>
      </c>
      <c r="E17" s="43" t="s">
        <v>112</v>
      </c>
      <c r="F17" s="43" t="s">
        <v>113</v>
      </c>
      <c r="G17" s="43" t="s">
        <v>114</v>
      </c>
      <c r="H17" s="44" t="s">
        <v>70</v>
      </c>
      <c r="J17" s="54" t="s">
        <v>115</v>
      </c>
      <c r="K17" s="52">
        <v>9</v>
      </c>
      <c r="L17" s="52">
        <v>6</v>
      </c>
      <c r="M17" s="53"/>
    </row>
    <row r="18" spans="1:13" ht="15" thickBot="1" x14ac:dyDescent="0.4">
      <c r="A18" s="41" t="s">
        <v>124</v>
      </c>
      <c r="B18" s="45">
        <v>10</v>
      </c>
      <c r="C18" s="45">
        <v>6</v>
      </c>
      <c r="D18" s="45">
        <v>0</v>
      </c>
      <c r="E18" s="45">
        <v>0.81299999999999994</v>
      </c>
      <c r="F18" s="64">
        <v>44378</v>
      </c>
      <c r="G18" s="43" t="s">
        <v>117</v>
      </c>
      <c r="H18" s="44" t="s">
        <v>118</v>
      </c>
      <c r="J18" s="54" t="s">
        <v>120</v>
      </c>
      <c r="K18" s="52">
        <v>3</v>
      </c>
      <c r="L18" s="52">
        <v>6</v>
      </c>
      <c r="M18" s="53"/>
    </row>
    <row r="19" spans="1:13" ht="15" thickBot="1" x14ac:dyDescent="0.4">
      <c r="A19" s="41" t="s">
        <v>115</v>
      </c>
      <c r="B19" s="45">
        <v>5</v>
      </c>
      <c r="C19" s="45">
        <v>11</v>
      </c>
      <c r="D19" s="45">
        <v>0</v>
      </c>
      <c r="E19" s="45">
        <v>0.625</v>
      </c>
      <c r="F19" s="43" t="s">
        <v>121</v>
      </c>
      <c r="G19" s="43" t="s">
        <v>121</v>
      </c>
      <c r="H19" s="44" t="s">
        <v>122</v>
      </c>
      <c r="J19" s="54" t="s">
        <v>124</v>
      </c>
      <c r="K19" s="52">
        <v>9</v>
      </c>
      <c r="L19" s="52">
        <v>6</v>
      </c>
      <c r="M19" s="53"/>
    </row>
    <row r="20" spans="1:13" ht="15" thickBot="1" x14ac:dyDescent="0.4">
      <c r="A20" s="41" t="s">
        <v>26</v>
      </c>
      <c r="B20" s="45">
        <v>12</v>
      </c>
      <c r="C20" s="45">
        <v>4</v>
      </c>
      <c r="D20" s="45">
        <v>0</v>
      </c>
      <c r="E20" s="45">
        <v>0.438</v>
      </c>
      <c r="F20" s="43" t="s">
        <v>121</v>
      </c>
      <c r="G20" s="43" t="s">
        <v>125</v>
      </c>
      <c r="H20" s="44" t="s">
        <v>122</v>
      </c>
      <c r="J20" s="54" t="s">
        <v>26</v>
      </c>
      <c r="K20" s="52">
        <v>3</v>
      </c>
      <c r="L20" s="52">
        <v>6</v>
      </c>
      <c r="M20" s="53"/>
    </row>
    <row r="21" spans="1:13" ht="15" thickBot="1" x14ac:dyDescent="0.4">
      <c r="A21" s="41" t="s">
        <v>120</v>
      </c>
      <c r="B21" s="45">
        <v>7</v>
      </c>
      <c r="C21" s="45">
        <v>9</v>
      </c>
      <c r="D21" s="45">
        <v>0</v>
      </c>
      <c r="E21" s="45">
        <v>0.125</v>
      </c>
      <c r="F21" s="43" t="s">
        <v>127</v>
      </c>
      <c r="G21" s="43" t="s">
        <v>127</v>
      </c>
      <c r="H21" s="44" t="s">
        <v>79</v>
      </c>
      <c r="J21" s="55"/>
      <c r="K21" s="56"/>
      <c r="L21" s="56"/>
      <c r="M21" s="57">
        <f>CHITEST(K17:K20,L17:L20)</f>
        <v>0.11161022509471255</v>
      </c>
    </row>
    <row r="22" spans="1:13" ht="15" thickBot="1" x14ac:dyDescent="0.4"/>
    <row r="23" spans="1:13" x14ac:dyDescent="0.35">
      <c r="G23" s="48" t="s">
        <v>129</v>
      </c>
      <c r="H23" s="49"/>
      <c r="I23" s="50"/>
    </row>
    <row r="24" spans="1:13" ht="15" thickBot="1" x14ac:dyDescent="0.4">
      <c r="G24" s="51" t="s">
        <v>130</v>
      </c>
      <c r="H24" s="52" t="s">
        <v>131</v>
      </c>
      <c r="I24" s="53"/>
    </row>
    <row r="25" spans="1:13" x14ac:dyDescent="0.35">
      <c r="B25" s="48">
        <f>B3+B18</f>
        <v>23</v>
      </c>
      <c r="C25" s="49">
        <v>16</v>
      </c>
      <c r="D25" s="49"/>
      <c r="E25" s="50"/>
      <c r="G25" s="54">
        <v>3</v>
      </c>
      <c r="H25" s="52">
        <v>3</v>
      </c>
      <c r="I25" s="53"/>
    </row>
    <row r="26" spans="1:13" x14ac:dyDescent="0.35">
      <c r="B26" s="54">
        <f t="shared" ref="B26:B28" si="0">B4+B19</f>
        <v>15</v>
      </c>
      <c r="C26" s="52">
        <v>16</v>
      </c>
      <c r="D26" s="52"/>
      <c r="E26" s="53"/>
      <c r="G26" s="54">
        <v>2</v>
      </c>
      <c r="H26" s="52">
        <v>3</v>
      </c>
      <c r="I26" s="53"/>
    </row>
    <row r="27" spans="1:13" x14ac:dyDescent="0.35">
      <c r="B27" s="54">
        <f t="shared" si="0"/>
        <v>19</v>
      </c>
      <c r="C27" s="52">
        <v>16</v>
      </c>
      <c r="D27" s="52"/>
      <c r="E27" s="53"/>
      <c r="G27" s="54">
        <v>5</v>
      </c>
      <c r="H27" s="52">
        <v>3</v>
      </c>
      <c r="I27" s="53"/>
    </row>
    <row r="28" spans="1:13" x14ac:dyDescent="0.35">
      <c r="B28" s="54">
        <f t="shared" si="0"/>
        <v>9</v>
      </c>
      <c r="C28" s="52">
        <v>16</v>
      </c>
      <c r="D28" s="52"/>
      <c r="E28" s="53"/>
      <c r="G28" s="54">
        <v>2</v>
      </c>
      <c r="H28" s="52">
        <v>3</v>
      </c>
      <c r="I28" s="53"/>
    </row>
    <row r="29" spans="1:13" ht="15" thickBot="1" x14ac:dyDescent="0.4">
      <c r="B29" s="55"/>
      <c r="C29" s="56"/>
      <c r="D29" s="56">
        <f>CHITEST(B25:B28,C25:C28)</f>
        <v>8.030772655502641E-2</v>
      </c>
      <c r="E29" s="57" t="s">
        <v>133</v>
      </c>
      <c r="G29" s="55"/>
      <c r="H29" s="56"/>
      <c r="I29" s="57">
        <f>CHITEST(G25:G28,H25:H28)</f>
        <v>0.57240670447087982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113"/>
  <sheetViews>
    <sheetView topLeftCell="A32" workbookViewId="0">
      <selection activeCell="I33" sqref="I33"/>
    </sheetView>
  </sheetViews>
  <sheetFormatPr defaultRowHeight="12.5" x14ac:dyDescent="0.25"/>
  <sheetData>
    <row r="1" spans="1:1" ht="13" thickBot="1" x14ac:dyDescent="0.3">
      <c r="A1" s="26" t="s">
        <v>40</v>
      </c>
    </row>
    <row r="2" spans="1:1" x14ac:dyDescent="0.25">
      <c r="A2" s="27" t="s">
        <v>41</v>
      </c>
    </row>
    <row r="3" spans="1:1" ht="13" thickBot="1" x14ac:dyDescent="0.3">
      <c r="A3" s="28" t="s">
        <v>42</v>
      </c>
    </row>
    <row r="4" spans="1:1" x14ac:dyDescent="0.25">
      <c r="A4" s="27" t="s">
        <v>43</v>
      </c>
    </row>
    <row r="5" spans="1:1" ht="13" thickBot="1" x14ac:dyDescent="0.3">
      <c r="A5" s="28" t="s">
        <v>44</v>
      </c>
    </row>
    <row r="6" spans="1:1" x14ac:dyDescent="0.25">
      <c r="A6" s="27" t="s">
        <v>43</v>
      </c>
    </row>
    <row r="7" spans="1:1" ht="13" thickBot="1" x14ac:dyDescent="0.3">
      <c r="A7" s="28" t="s">
        <v>45</v>
      </c>
    </row>
    <row r="8" spans="1:1" x14ac:dyDescent="0.25">
      <c r="A8" s="27" t="s">
        <v>43</v>
      </c>
    </row>
    <row r="9" spans="1:1" ht="13" thickBot="1" x14ac:dyDescent="0.3">
      <c r="A9" s="28" t="s">
        <v>46</v>
      </c>
    </row>
    <row r="10" spans="1:1" ht="13" thickBot="1" x14ac:dyDescent="0.3">
      <c r="A10" s="26" t="s">
        <v>47</v>
      </c>
    </row>
    <row r="11" spans="1:1" x14ac:dyDescent="0.25">
      <c r="A11" s="27" t="s">
        <v>41</v>
      </c>
    </row>
    <row r="12" spans="1:1" ht="13" thickBot="1" x14ac:dyDescent="0.3">
      <c r="A12" s="28" t="s">
        <v>48</v>
      </c>
    </row>
    <row r="13" spans="1:1" x14ac:dyDescent="0.25">
      <c r="A13" s="27" t="s">
        <v>49</v>
      </c>
    </row>
    <row r="14" spans="1:1" ht="13" thickBot="1" x14ac:dyDescent="0.3">
      <c r="A14" s="28" t="s">
        <v>50</v>
      </c>
    </row>
    <row r="15" spans="1:1" x14ac:dyDescent="0.25">
      <c r="A15" s="27" t="s">
        <v>49</v>
      </c>
    </row>
    <row r="16" spans="1:1" ht="13" thickBot="1" x14ac:dyDescent="0.3">
      <c r="A16" s="28" t="s">
        <v>51</v>
      </c>
    </row>
    <row r="17" spans="1:1" x14ac:dyDescent="0.25">
      <c r="A17" s="27" t="s">
        <v>43</v>
      </c>
    </row>
    <row r="18" spans="1:1" ht="13" thickBot="1" x14ac:dyDescent="0.3">
      <c r="A18" s="28" t="s">
        <v>52</v>
      </c>
    </row>
    <row r="19" spans="1:1" ht="13" thickBot="1" x14ac:dyDescent="0.3">
      <c r="A19" s="26" t="s">
        <v>53</v>
      </c>
    </row>
    <row r="20" spans="1:1" x14ac:dyDescent="0.25">
      <c r="A20" s="27" t="s">
        <v>41</v>
      </c>
    </row>
    <row r="21" spans="1:1" ht="13" thickBot="1" x14ac:dyDescent="0.3">
      <c r="A21" s="28" t="s">
        <v>54</v>
      </c>
    </row>
    <row r="22" spans="1:1" x14ac:dyDescent="0.25">
      <c r="A22" s="27" t="s">
        <v>49</v>
      </c>
    </row>
    <row r="23" spans="1:1" ht="13" thickBot="1" x14ac:dyDescent="0.3">
      <c r="A23" s="28" t="s">
        <v>55</v>
      </c>
    </row>
    <row r="24" spans="1:1" x14ac:dyDescent="0.25">
      <c r="A24" s="27" t="s">
        <v>43</v>
      </c>
    </row>
    <row r="25" spans="1:1" ht="13" thickBot="1" x14ac:dyDescent="0.3">
      <c r="A25" s="28" t="s">
        <v>56</v>
      </c>
    </row>
    <row r="26" spans="1:1" x14ac:dyDescent="0.25">
      <c r="A26" s="27" t="s">
        <v>43</v>
      </c>
    </row>
    <row r="27" spans="1:1" ht="13" thickBot="1" x14ac:dyDescent="0.3">
      <c r="A27" s="28" t="s">
        <v>57</v>
      </c>
    </row>
    <row r="28" spans="1:1" ht="13" thickBot="1" x14ac:dyDescent="0.3">
      <c r="A28" s="26" t="s">
        <v>58</v>
      </c>
    </row>
    <row r="29" spans="1:1" x14ac:dyDescent="0.25">
      <c r="A29" s="27" t="s">
        <v>59</v>
      </c>
    </row>
    <row r="30" spans="1:1" ht="13" thickBot="1" x14ac:dyDescent="0.3">
      <c r="A30" s="28" t="s">
        <v>60</v>
      </c>
    </row>
    <row r="31" spans="1:1" x14ac:dyDescent="0.25">
      <c r="A31" s="27" t="s">
        <v>43</v>
      </c>
    </row>
    <row r="32" spans="1:1" ht="13" thickBot="1" x14ac:dyDescent="0.3">
      <c r="A32" s="28" t="s">
        <v>61</v>
      </c>
    </row>
    <row r="33" spans="1:12" x14ac:dyDescent="0.25">
      <c r="A33" s="27" t="s">
        <v>43</v>
      </c>
    </row>
    <row r="34" spans="1:12" ht="13" thickBot="1" x14ac:dyDescent="0.3">
      <c r="A34" s="28" t="s">
        <v>62</v>
      </c>
    </row>
    <row r="35" spans="1:12" x14ac:dyDescent="0.25">
      <c r="A35" s="27" t="s">
        <v>43</v>
      </c>
    </row>
    <row r="36" spans="1:12" ht="13" thickBot="1" x14ac:dyDescent="0.3">
      <c r="A36" s="28" t="s">
        <v>63</v>
      </c>
    </row>
    <row r="37" spans="1:12" ht="13" thickBot="1" x14ac:dyDescent="0.3">
      <c r="A37" s="30" t="s">
        <v>64</v>
      </c>
      <c r="B37" s="30" t="s">
        <v>65</v>
      </c>
      <c r="C37" s="30" t="s">
        <v>66</v>
      </c>
      <c r="D37" s="30" t="s">
        <v>67</v>
      </c>
      <c r="E37" s="29" t="s">
        <v>68</v>
      </c>
      <c r="F37" s="29" t="s">
        <v>69</v>
      </c>
      <c r="G37" s="29" t="s">
        <v>70</v>
      </c>
      <c r="H37" s="29" t="s">
        <v>71</v>
      </c>
      <c r="I37" s="30" t="s">
        <v>72</v>
      </c>
      <c r="J37" s="30" t="s">
        <v>73</v>
      </c>
      <c r="K37" s="30" t="s">
        <v>74</v>
      </c>
      <c r="L37" s="30" t="s">
        <v>75</v>
      </c>
    </row>
    <row r="38" spans="1:12" ht="13" thickBot="1" x14ac:dyDescent="0.3">
      <c r="A38" s="31">
        <v>13</v>
      </c>
      <c r="B38" s="31">
        <v>3</v>
      </c>
      <c r="C38" s="31">
        <v>0</v>
      </c>
      <c r="D38" s="31">
        <v>0.81299999999999994</v>
      </c>
      <c r="E38" s="38">
        <v>44378</v>
      </c>
      <c r="F38" s="38">
        <v>44349</v>
      </c>
      <c r="G38" s="38">
        <v>36678</v>
      </c>
      <c r="H38" s="32">
        <v>44471</v>
      </c>
      <c r="I38" s="31">
        <v>501</v>
      </c>
      <c r="J38" s="31">
        <v>375</v>
      </c>
      <c r="K38" s="34">
        <v>126</v>
      </c>
      <c r="L38" s="31" t="s">
        <v>76</v>
      </c>
    </row>
    <row r="39" spans="1:12" ht="13" thickBot="1" x14ac:dyDescent="0.3">
      <c r="A39" s="31">
        <v>10</v>
      </c>
      <c r="B39" s="31">
        <v>6</v>
      </c>
      <c r="C39" s="31">
        <v>0</v>
      </c>
      <c r="D39" s="31">
        <v>0.625</v>
      </c>
      <c r="E39" s="38">
        <v>44319</v>
      </c>
      <c r="F39" s="38">
        <v>44319</v>
      </c>
      <c r="G39" s="38">
        <v>44258</v>
      </c>
      <c r="H39" s="32">
        <v>44382</v>
      </c>
      <c r="I39" s="31">
        <v>404</v>
      </c>
      <c r="J39" s="31">
        <v>338</v>
      </c>
      <c r="K39" s="34">
        <v>66</v>
      </c>
      <c r="L39" s="31" t="s">
        <v>77</v>
      </c>
    </row>
    <row r="40" spans="1:12" ht="13" thickBot="1" x14ac:dyDescent="0.3">
      <c r="A40" s="31">
        <v>7</v>
      </c>
      <c r="B40" s="31">
        <v>9</v>
      </c>
      <c r="C40" s="31">
        <v>0</v>
      </c>
      <c r="D40" s="31">
        <v>0.438</v>
      </c>
      <c r="E40" s="38">
        <v>44319</v>
      </c>
      <c r="F40" s="38">
        <v>44233</v>
      </c>
      <c r="G40" s="38">
        <v>44258</v>
      </c>
      <c r="H40" s="32">
        <v>44353</v>
      </c>
      <c r="I40" s="31">
        <v>326</v>
      </c>
      <c r="J40" s="31">
        <v>353</v>
      </c>
      <c r="K40" s="35">
        <v>-27</v>
      </c>
      <c r="L40" s="31" t="s">
        <v>78</v>
      </c>
    </row>
    <row r="41" spans="1:12" ht="13" thickBot="1" x14ac:dyDescent="0.3">
      <c r="A41" s="31">
        <v>2</v>
      </c>
      <c r="B41" s="31">
        <v>14</v>
      </c>
      <c r="C41" s="31">
        <v>0</v>
      </c>
      <c r="D41" s="31">
        <v>0.125</v>
      </c>
      <c r="E41" s="38">
        <v>44203</v>
      </c>
      <c r="F41" s="38">
        <v>44203</v>
      </c>
      <c r="G41" s="38" t="s">
        <v>79</v>
      </c>
      <c r="H41" s="32">
        <v>44207</v>
      </c>
      <c r="I41" s="31">
        <v>243</v>
      </c>
      <c r="J41" s="31">
        <v>457</v>
      </c>
      <c r="K41" s="35">
        <v>-214</v>
      </c>
      <c r="L41" s="31" t="s">
        <v>77</v>
      </c>
    </row>
    <row r="42" spans="1:12" ht="13" thickBot="1" x14ac:dyDescent="0.3">
      <c r="A42" s="30" t="s">
        <v>64</v>
      </c>
      <c r="B42" s="30" t="s">
        <v>65</v>
      </c>
      <c r="C42" s="30" t="s">
        <v>66</v>
      </c>
      <c r="D42" s="30" t="s">
        <v>67</v>
      </c>
      <c r="E42" s="39" t="s">
        <v>68</v>
      </c>
      <c r="F42" s="39" t="s">
        <v>69</v>
      </c>
      <c r="G42" s="39" t="s">
        <v>70</v>
      </c>
      <c r="H42" s="29" t="s">
        <v>71</v>
      </c>
      <c r="I42" s="30" t="s">
        <v>72</v>
      </c>
      <c r="J42" s="30" t="s">
        <v>73</v>
      </c>
      <c r="K42" s="30" t="s">
        <v>74</v>
      </c>
      <c r="L42" s="30" t="s">
        <v>75</v>
      </c>
    </row>
    <row r="43" spans="1:12" ht="13" thickBot="1" x14ac:dyDescent="0.3">
      <c r="A43" s="31">
        <v>12</v>
      </c>
      <c r="B43" s="31">
        <v>4</v>
      </c>
      <c r="C43" s="31">
        <v>0</v>
      </c>
      <c r="D43" s="31">
        <v>0.75</v>
      </c>
      <c r="E43" s="38">
        <v>44378</v>
      </c>
      <c r="F43" s="38">
        <v>44319</v>
      </c>
      <c r="G43" s="38">
        <v>44288</v>
      </c>
      <c r="H43" s="32">
        <v>44442</v>
      </c>
      <c r="I43" s="31">
        <v>416</v>
      </c>
      <c r="J43" s="31">
        <v>312</v>
      </c>
      <c r="K43" s="34">
        <v>104</v>
      </c>
      <c r="L43" s="31" t="s">
        <v>77</v>
      </c>
    </row>
    <row r="44" spans="1:12" ht="13" thickBot="1" x14ac:dyDescent="0.3">
      <c r="A44" s="31">
        <v>11</v>
      </c>
      <c r="B44" s="31">
        <v>5</v>
      </c>
      <c r="C44" s="31">
        <v>0</v>
      </c>
      <c r="D44" s="31">
        <v>0.68799999999999994</v>
      </c>
      <c r="E44" s="38">
        <v>44319</v>
      </c>
      <c r="F44" s="38">
        <v>44349</v>
      </c>
      <c r="G44" s="38">
        <v>44288</v>
      </c>
      <c r="H44" s="32">
        <v>44382</v>
      </c>
      <c r="I44" s="31">
        <v>468</v>
      </c>
      <c r="J44" s="31">
        <v>303</v>
      </c>
      <c r="K44" s="34">
        <v>165</v>
      </c>
      <c r="L44" s="31" t="s">
        <v>80</v>
      </c>
    </row>
    <row r="45" spans="1:12" ht="13" thickBot="1" x14ac:dyDescent="0.3">
      <c r="A45" s="31">
        <v>11</v>
      </c>
      <c r="B45" s="31">
        <v>5</v>
      </c>
      <c r="C45" s="31">
        <v>0</v>
      </c>
      <c r="D45" s="31">
        <v>0.68799999999999994</v>
      </c>
      <c r="E45" s="38">
        <v>44349</v>
      </c>
      <c r="F45" s="38">
        <v>44319</v>
      </c>
      <c r="G45" s="38">
        <v>44258</v>
      </c>
      <c r="H45" s="32">
        <v>44382</v>
      </c>
      <c r="I45" s="31">
        <v>408</v>
      </c>
      <c r="J45" s="31">
        <v>419</v>
      </c>
      <c r="K45" s="35">
        <v>-11</v>
      </c>
      <c r="L45" s="31" t="s">
        <v>78</v>
      </c>
    </row>
    <row r="46" spans="1:12" ht="13" thickBot="1" x14ac:dyDescent="0.3">
      <c r="A46" s="31">
        <v>4</v>
      </c>
      <c r="B46" s="31">
        <v>11</v>
      </c>
      <c r="C46" s="31">
        <v>1</v>
      </c>
      <c r="D46" s="31">
        <v>0.28100000000000003</v>
      </c>
      <c r="E46" s="38">
        <v>44260</v>
      </c>
      <c r="F46" s="38">
        <v>36897</v>
      </c>
      <c r="G46" s="38">
        <v>44201</v>
      </c>
      <c r="H46" s="32">
        <v>44294</v>
      </c>
      <c r="I46" s="31">
        <v>311</v>
      </c>
      <c r="J46" s="31">
        <v>424</v>
      </c>
      <c r="K46" s="35">
        <v>-113</v>
      </c>
      <c r="L46" s="31" t="s">
        <v>77</v>
      </c>
    </row>
    <row r="47" spans="1:12" ht="13" thickBot="1" x14ac:dyDescent="0.3">
      <c r="A47" s="30" t="s">
        <v>64</v>
      </c>
      <c r="B47" s="30" t="s">
        <v>65</v>
      </c>
      <c r="C47" s="30" t="s">
        <v>66</v>
      </c>
      <c r="D47" s="30" t="s">
        <v>67</v>
      </c>
      <c r="E47" s="39" t="s">
        <v>68</v>
      </c>
      <c r="F47" s="39" t="s">
        <v>69</v>
      </c>
      <c r="G47" s="39" t="s">
        <v>70</v>
      </c>
      <c r="H47" s="29" t="s">
        <v>71</v>
      </c>
      <c r="I47" s="30" t="s">
        <v>72</v>
      </c>
      <c r="J47" s="30" t="s">
        <v>73</v>
      </c>
      <c r="K47" s="30" t="s">
        <v>74</v>
      </c>
      <c r="L47" s="30" t="s">
        <v>75</v>
      </c>
    </row>
    <row r="48" spans="1:12" ht="13" thickBot="1" x14ac:dyDescent="0.3">
      <c r="A48" s="31">
        <v>11</v>
      </c>
      <c r="B48" s="31">
        <v>5</v>
      </c>
      <c r="C48" s="31">
        <v>0</v>
      </c>
      <c r="D48" s="31">
        <v>0.68799999999999994</v>
      </c>
      <c r="E48" s="38">
        <v>44319</v>
      </c>
      <c r="F48" s="38">
        <v>44349</v>
      </c>
      <c r="G48" s="38">
        <v>44317</v>
      </c>
      <c r="H48" s="32">
        <v>44412</v>
      </c>
      <c r="I48" s="31">
        <v>491</v>
      </c>
      <c r="J48" s="31">
        <v>439</v>
      </c>
      <c r="K48" s="34">
        <v>52</v>
      </c>
      <c r="L48" s="31" t="s">
        <v>78</v>
      </c>
    </row>
    <row r="49" spans="1:12" ht="13" thickBot="1" x14ac:dyDescent="0.3">
      <c r="A49" s="31">
        <v>11</v>
      </c>
      <c r="B49" s="31">
        <v>5</v>
      </c>
      <c r="C49" s="31">
        <v>0</v>
      </c>
      <c r="D49" s="31">
        <v>0.68799999999999994</v>
      </c>
      <c r="E49" s="38">
        <v>44349</v>
      </c>
      <c r="F49" s="38">
        <v>44319</v>
      </c>
      <c r="G49" s="38">
        <v>44288</v>
      </c>
      <c r="H49" s="32">
        <v>44382</v>
      </c>
      <c r="I49" s="31">
        <v>451</v>
      </c>
      <c r="J49" s="31">
        <v>362</v>
      </c>
      <c r="K49" s="34">
        <v>89</v>
      </c>
      <c r="L49" s="31" t="s">
        <v>78</v>
      </c>
    </row>
    <row r="50" spans="1:12" ht="13" thickBot="1" x14ac:dyDescent="0.3">
      <c r="A50" s="31">
        <v>4</v>
      </c>
      <c r="B50" s="31">
        <v>12</v>
      </c>
      <c r="C50" s="31">
        <v>0</v>
      </c>
      <c r="D50" s="31">
        <v>0.25</v>
      </c>
      <c r="E50" s="38">
        <v>44233</v>
      </c>
      <c r="F50" s="38">
        <v>44233</v>
      </c>
      <c r="G50" s="38">
        <v>44231</v>
      </c>
      <c r="H50" s="32">
        <v>44264</v>
      </c>
      <c r="I50" s="31">
        <v>384</v>
      </c>
      <c r="J50" s="31">
        <v>464</v>
      </c>
      <c r="K50" s="35">
        <v>-80</v>
      </c>
      <c r="L50" s="31" t="s">
        <v>81</v>
      </c>
    </row>
    <row r="51" spans="1:12" ht="13" thickBot="1" x14ac:dyDescent="0.3">
      <c r="A51" s="31">
        <v>1</v>
      </c>
      <c r="B51" s="31">
        <v>15</v>
      </c>
      <c r="C51" s="31">
        <v>0</v>
      </c>
      <c r="D51" s="31">
        <v>6.3E-2</v>
      </c>
      <c r="E51" s="38">
        <v>44203</v>
      </c>
      <c r="F51" s="38" t="s">
        <v>82</v>
      </c>
      <c r="G51" s="38">
        <v>44201</v>
      </c>
      <c r="H51" s="32">
        <v>44207</v>
      </c>
      <c r="I51" s="31">
        <v>306</v>
      </c>
      <c r="J51" s="31">
        <v>492</v>
      </c>
      <c r="K51" s="35">
        <v>-186</v>
      </c>
      <c r="L51" s="31" t="s">
        <v>83</v>
      </c>
    </row>
    <row r="52" spans="1:12" ht="13" thickBot="1" x14ac:dyDescent="0.3">
      <c r="A52" s="30" t="s">
        <v>64</v>
      </c>
      <c r="B52" s="30" t="s">
        <v>65</v>
      </c>
      <c r="C52" s="30" t="s">
        <v>66</v>
      </c>
      <c r="D52" s="30" t="s">
        <v>67</v>
      </c>
      <c r="E52" s="39" t="s">
        <v>68</v>
      </c>
      <c r="F52" s="39" t="s">
        <v>69</v>
      </c>
      <c r="G52" s="39" t="s">
        <v>70</v>
      </c>
      <c r="H52" s="29" t="s">
        <v>71</v>
      </c>
      <c r="I52" s="30" t="s">
        <v>72</v>
      </c>
      <c r="J52" s="30" t="s">
        <v>73</v>
      </c>
      <c r="K52" s="30" t="s">
        <v>74</v>
      </c>
      <c r="L52" s="30" t="s">
        <v>75</v>
      </c>
    </row>
    <row r="53" spans="1:12" ht="13" thickBot="1" x14ac:dyDescent="0.3">
      <c r="A53" s="31">
        <v>14</v>
      </c>
      <c r="B53" s="31">
        <v>2</v>
      </c>
      <c r="C53" s="31">
        <v>0</v>
      </c>
      <c r="D53" s="31">
        <v>0.875</v>
      </c>
      <c r="E53" s="38">
        <v>44349</v>
      </c>
      <c r="F53" s="38">
        <v>36739</v>
      </c>
      <c r="G53" s="38">
        <v>44288</v>
      </c>
      <c r="H53" s="32">
        <v>44471</v>
      </c>
      <c r="I53" s="31">
        <v>473</v>
      </c>
      <c r="J53" s="31">
        <v>362</v>
      </c>
      <c r="K53" s="34">
        <v>111</v>
      </c>
      <c r="L53" s="31" t="s">
        <v>77</v>
      </c>
    </row>
    <row r="54" spans="1:12" ht="13" thickBot="1" x14ac:dyDescent="0.3">
      <c r="A54" s="31">
        <v>8</v>
      </c>
      <c r="B54" s="31">
        <v>8</v>
      </c>
      <c r="C54" s="31">
        <v>0</v>
      </c>
      <c r="D54" s="31">
        <v>0.5</v>
      </c>
      <c r="E54" s="38">
        <v>44233</v>
      </c>
      <c r="F54" s="38">
        <v>44349</v>
      </c>
      <c r="G54" s="38">
        <v>44288</v>
      </c>
      <c r="H54" s="32">
        <v>44353</v>
      </c>
      <c r="I54" s="31">
        <v>434</v>
      </c>
      <c r="J54" s="31">
        <v>478</v>
      </c>
      <c r="K54" s="35">
        <v>-44</v>
      </c>
      <c r="L54" s="31" t="s">
        <v>78</v>
      </c>
    </row>
    <row r="55" spans="1:12" ht="13" thickBot="1" x14ac:dyDescent="0.3">
      <c r="A55" s="31">
        <v>7</v>
      </c>
      <c r="B55" s="31">
        <v>9</v>
      </c>
      <c r="C55" s="31">
        <v>0</v>
      </c>
      <c r="D55" s="31">
        <v>0.438</v>
      </c>
      <c r="E55" s="38">
        <v>44290</v>
      </c>
      <c r="F55" s="38">
        <v>44260</v>
      </c>
      <c r="G55" s="38">
        <v>44258</v>
      </c>
      <c r="H55" s="32">
        <v>44353</v>
      </c>
      <c r="I55" s="31">
        <v>384</v>
      </c>
      <c r="J55" s="31">
        <v>426</v>
      </c>
      <c r="K55" s="35">
        <v>-42</v>
      </c>
      <c r="L55" s="31" t="s">
        <v>84</v>
      </c>
    </row>
    <row r="56" spans="1:12" ht="13" thickBot="1" x14ac:dyDescent="0.3">
      <c r="A56" s="31">
        <v>5</v>
      </c>
      <c r="B56" s="31">
        <v>11</v>
      </c>
      <c r="C56" s="31">
        <v>0</v>
      </c>
      <c r="D56" s="31">
        <v>0.313</v>
      </c>
      <c r="E56" s="38">
        <v>44233</v>
      </c>
      <c r="F56" s="38">
        <v>44260</v>
      </c>
      <c r="G56" s="38">
        <v>44201</v>
      </c>
      <c r="H56" s="32">
        <v>44294</v>
      </c>
      <c r="I56" s="31">
        <v>323</v>
      </c>
      <c r="J56" s="31">
        <v>446</v>
      </c>
      <c r="K56" s="35">
        <v>-123</v>
      </c>
      <c r="L56" s="31" t="s">
        <v>85</v>
      </c>
    </row>
    <row r="57" spans="1:12" ht="50.5" thickBot="1" x14ac:dyDescent="0.3">
      <c r="A57" s="37" t="s">
        <v>86</v>
      </c>
      <c r="E57" s="40"/>
      <c r="F57" s="40"/>
      <c r="G57" s="40"/>
    </row>
    <row r="58" spans="1:12" ht="13" thickBot="1" x14ac:dyDescent="0.3">
      <c r="A58" s="26" t="s">
        <v>87</v>
      </c>
      <c r="E58" s="40"/>
      <c r="F58" s="40"/>
      <c r="G58" s="40"/>
    </row>
    <row r="59" spans="1:12" x14ac:dyDescent="0.25">
      <c r="A59" s="27" t="s">
        <v>41</v>
      </c>
      <c r="E59" s="40"/>
      <c r="F59" s="40"/>
      <c r="G59" s="40"/>
    </row>
    <row r="60" spans="1:12" ht="13" thickBot="1" x14ac:dyDescent="0.3">
      <c r="A60" s="28" t="s">
        <v>88</v>
      </c>
    </row>
    <row r="61" spans="1:12" x14ac:dyDescent="0.25">
      <c r="A61" s="27" t="s">
        <v>43</v>
      </c>
    </row>
    <row r="62" spans="1:12" ht="13" thickBot="1" x14ac:dyDescent="0.3">
      <c r="A62" s="28" t="s">
        <v>89</v>
      </c>
    </row>
    <row r="63" spans="1:12" x14ac:dyDescent="0.25">
      <c r="A63" s="27" t="s">
        <v>43</v>
      </c>
    </row>
    <row r="64" spans="1:12" ht="13" thickBot="1" x14ac:dyDescent="0.3">
      <c r="A64" s="28" t="s">
        <v>90</v>
      </c>
    </row>
    <row r="65" spans="1:1" x14ac:dyDescent="0.25">
      <c r="A65" s="27" t="s">
        <v>43</v>
      </c>
    </row>
    <row r="66" spans="1:1" ht="13" thickBot="1" x14ac:dyDescent="0.3">
      <c r="A66" s="28" t="s">
        <v>91</v>
      </c>
    </row>
    <row r="67" spans="1:1" ht="13" thickBot="1" x14ac:dyDescent="0.3">
      <c r="A67" s="26" t="s">
        <v>92</v>
      </c>
    </row>
    <row r="68" spans="1:1" x14ac:dyDescent="0.25">
      <c r="A68" s="27" t="s">
        <v>59</v>
      </c>
    </row>
    <row r="69" spans="1:1" ht="13" thickBot="1" x14ac:dyDescent="0.3">
      <c r="A69" s="28" t="s">
        <v>93</v>
      </c>
    </row>
    <row r="70" spans="1:1" x14ac:dyDescent="0.25">
      <c r="A70" s="27" t="s">
        <v>49</v>
      </c>
    </row>
    <row r="71" spans="1:1" ht="13" thickBot="1" x14ac:dyDescent="0.3">
      <c r="A71" s="28" t="s">
        <v>94</v>
      </c>
    </row>
    <row r="72" spans="1:1" x14ac:dyDescent="0.25">
      <c r="A72" s="27" t="s">
        <v>43</v>
      </c>
    </row>
    <row r="73" spans="1:1" ht="13" thickBot="1" x14ac:dyDescent="0.3">
      <c r="A73" s="28" t="s">
        <v>95</v>
      </c>
    </row>
    <row r="74" spans="1:1" x14ac:dyDescent="0.25">
      <c r="A74" s="27" t="s">
        <v>43</v>
      </c>
    </row>
    <row r="75" spans="1:1" ht="13" thickBot="1" x14ac:dyDescent="0.3">
      <c r="A75" s="28" t="s">
        <v>96</v>
      </c>
    </row>
    <row r="76" spans="1:1" ht="13" thickBot="1" x14ac:dyDescent="0.3">
      <c r="A76" s="26" t="s">
        <v>97</v>
      </c>
    </row>
    <row r="77" spans="1:1" x14ac:dyDescent="0.25">
      <c r="A77" s="27" t="s">
        <v>41</v>
      </c>
    </row>
    <row r="78" spans="1:1" ht="13" thickBot="1" x14ac:dyDescent="0.3">
      <c r="A78" s="28" t="s">
        <v>98</v>
      </c>
    </row>
    <row r="79" spans="1:1" x14ac:dyDescent="0.25">
      <c r="A79" s="27" t="s">
        <v>49</v>
      </c>
    </row>
    <row r="80" spans="1:1" ht="13" thickBot="1" x14ac:dyDescent="0.3">
      <c r="A80" s="28" t="s">
        <v>99</v>
      </c>
    </row>
    <row r="81" spans="1:12" x14ac:dyDescent="0.25">
      <c r="A81" s="27" t="s">
        <v>43</v>
      </c>
    </row>
    <row r="82" spans="1:12" ht="13" thickBot="1" x14ac:dyDescent="0.3">
      <c r="A82" s="28" t="s">
        <v>100</v>
      </c>
    </row>
    <row r="83" spans="1:12" x14ac:dyDescent="0.25">
      <c r="A83" s="27" t="s">
        <v>43</v>
      </c>
    </row>
    <row r="84" spans="1:12" ht="13" thickBot="1" x14ac:dyDescent="0.3">
      <c r="A84" s="28" t="s">
        <v>101</v>
      </c>
    </row>
    <row r="85" spans="1:12" ht="13" thickBot="1" x14ac:dyDescent="0.3">
      <c r="A85" s="26" t="s">
        <v>102</v>
      </c>
    </row>
    <row r="86" spans="1:12" x14ac:dyDescent="0.25">
      <c r="A86" s="27" t="s">
        <v>41</v>
      </c>
    </row>
    <row r="87" spans="1:12" ht="13" thickBot="1" x14ac:dyDescent="0.3">
      <c r="A87" s="28" t="s">
        <v>103</v>
      </c>
    </row>
    <row r="88" spans="1:12" x14ac:dyDescent="0.25">
      <c r="A88" s="27" t="s">
        <v>49</v>
      </c>
    </row>
    <row r="89" spans="1:12" ht="13" thickBot="1" x14ac:dyDescent="0.3">
      <c r="A89" s="28" t="s">
        <v>104</v>
      </c>
    </row>
    <row r="90" spans="1:12" x14ac:dyDescent="0.25">
      <c r="A90" s="27" t="s">
        <v>43</v>
      </c>
    </row>
    <row r="91" spans="1:12" ht="13" thickBot="1" x14ac:dyDescent="0.3">
      <c r="A91" s="28" t="s">
        <v>105</v>
      </c>
    </row>
    <row r="92" spans="1:12" x14ac:dyDescent="0.25">
      <c r="A92" s="27" t="s">
        <v>43</v>
      </c>
    </row>
    <row r="93" spans="1:12" ht="13" thickBot="1" x14ac:dyDescent="0.3">
      <c r="A93" s="28" t="s">
        <v>106</v>
      </c>
    </row>
    <row r="94" spans="1:12" ht="13" thickBot="1" x14ac:dyDescent="0.3">
      <c r="A94" s="30" t="s">
        <v>64</v>
      </c>
      <c r="B94" s="30" t="s">
        <v>65</v>
      </c>
      <c r="C94" s="30" t="s">
        <v>66</v>
      </c>
      <c r="D94" s="30" t="s">
        <v>67</v>
      </c>
      <c r="E94" s="29" t="s">
        <v>68</v>
      </c>
      <c r="F94" s="29" t="s">
        <v>69</v>
      </c>
      <c r="G94" s="29" t="s">
        <v>70</v>
      </c>
      <c r="H94" s="29" t="s">
        <v>71</v>
      </c>
      <c r="I94" s="30" t="s">
        <v>72</v>
      </c>
      <c r="J94" s="30" t="s">
        <v>73</v>
      </c>
      <c r="K94" s="30" t="s">
        <v>74</v>
      </c>
      <c r="L94" s="30" t="s">
        <v>75</v>
      </c>
    </row>
    <row r="95" spans="1:12" ht="13" thickBot="1" x14ac:dyDescent="0.3">
      <c r="A95" s="31">
        <v>7</v>
      </c>
      <c r="B95" s="31">
        <v>9</v>
      </c>
      <c r="C95" s="31">
        <v>0</v>
      </c>
      <c r="D95" s="31">
        <v>0.438</v>
      </c>
      <c r="E95" s="32">
        <v>44260</v>
      </c>
      <c r="F95" s="32">
        <v>44290</v>
      </c>
      <c r="G95" s="32">
        <v>44288</v>
      </c>
      <c r="H95" s="32">
        <v>44323</v>
      </c>
      <c r="I95" s="31">
        <v>335</v>
      </c>
      <c r="J95" s="31">
        <v>329</v>
      </c>
      <c r="K95" s="34">
        <v>6</v>
      </c>
      <c r="L95" s="31" t="s">
        <v>78</v>
      </c>
    </row>
    <row r="96" spans="1:12" ht="13" thickBot="1" x14ac:dyDescent="0.3">
      <c r="A96" s="31">
        <v>6</v>
      </c>
      <c r="B96" s="31">
        <v>10</v>
      </c>
      <c r="C96" s="31">
        <v>0</v>
      </c>
      <c r="D96" s="31">
        <v>0.375</v>
      </c>
      <c r="E96" s="32">
        <v>44260</v>
      </c>
      <c r="F96" s="32">
        <v>44260</v>
      </c>
      <c r="G96" s="32">
        <v>44288</v>
      </c>
      <c r="H96" s="32">
        <v>44323</v>
      </c>
      <c r="I96" s="31">
        <v>280</v>
      </c>
      <c r="J96" s="31">
        <v>357</v>
      </c>
      <c r="K96" s="35">
        <v>-77</v>
      </c>
      <c r="L96" s="31" t="s">
        <v>78</v>
      </c>
    </row>
    <row r="97" spans="1:12" ht="13" thickBot="1" x14ac:dyDescent="0.3">
      <c r="A97" s="31">
        <v>6</v>
      </c>
      <c r="B97" s="31">
        <v>10</v>
      </c>
      <c r="C97" s="31">
        <v>0</v>
      </c>
      <c r="D97" s="31">
        <v>0.375</v>
      </c>
      <c r="E97" s="32">
        <v>44290</v>
      </c>
      <c r="F97" s="32">
        <v>44233</v>
      </c>
      <c r="G97" s="32">
        <v>44231</v>
      </c>
      <c r="H97" s="32">
        <v>44323</v>
      </c>
      <c r="I97" s="31">
        <v>395</v>
      </c>
      <c r="J97" s="31">
        <v>473</v>
      </c>
      <c r="K97" s="35">
        <v>-78</v>
      </c>
      <c r="L97" s="31" t="s">
        <v>77</v>
      </c>
    </row>
    <row r="98" spans="1:12" ht="13" thickBot="1" x14ac:dyDescent="0.3">
      <c r="A98" s="31">
        <v>4</v>
      </c>
      <c r="B98" s="31">
        <v>11</v>
      </c>
      <c r="C98" s="31">
        <v>1</v>
      </c>
      <c r="D98" s="31">
        <v>0.28100000000000003</v>
      </c>
      <c r="E98" s="36">
        <v>36954</v>
      </c>
      <c r="F98" s="32">
        <v>44203</v>
      </c>
      <c r="G98" s="32">
        <v>44231</v>
      </c>
      <c r="H98" s="32">
        <v>44294</v>
      </c>
      <c r="I98" s="31">
        <v>334</v>
      </c>
      <c r="J98" s="31">
        <v>418</v>
      </c>
      <c r="K98" s="35">
        <v>-84</v>
      </c>
      <c r="L98" s="31" t="s">
        <v>85</v>
      </c>
    </row>
    <row r="99" spans="1:12" ht="13" thickBot="1" x14ac:dyDescent="0.3">
      <c r="A99" s="30" t="s">
        <v>64</v>
      </c>
      <c r="B99" s="30" t="s">
        <v>65</v>
      </c>
      <c r="C99" s="30" t="s">
        <v>66</v>
      </c>
      <c r="D99" s="30" t="s">
        <v>67</v>
      </c>
      <c r="E99" s="29" t="s">
        <v>68</v>
      </c>
      <c r="F99" s="29" t="s">
        <v>69</v>
      </c>
      <c r="G99" s="29" t="s">
        <v>70</v>
      </c>
      <c r="H99" s="29" t="s">
        <v>71</v>
      </c>
      <c r="I99" s="30" t="s">
        <v>72</v>
      </c>
      <c r="J99" s="30" t="s">
        <v>73</v>
      </c>
      <c r="K99" s="30" t="s">
        <v>74</v>
      </c>
      <c r="L99" s="30" t="s">
        <v>75</v>
      </c>
    </row>
    <row r="100" spans="1:12" ht="13" thickBot="1" x14ac:dyDescent="0.3">
      <c r="A100" s="31">
        <v>13</v>
      </c>
      <c r="B100" s="31">
        <v>3</v>
      </c>
      <c r="C100" s="31">
        <v>0</v>
      </c>
      <c r="D100" s="31">
        <v>0.81299999999999994</v>
      </c>
      <c r="E100" s="32">
        <v>44378</v>
      </c>
      <c r="F100" s="32">
        <v>44349</v>
      </c>
      <c r="G100" s="32">
        <v>44317</v>
      </c>
      <c r="H100" s="32">
        <v>44471</v>
      </c>
      <c r="I100" s="31">
        <v>509</v>
      </c>
      <c r="J100" s="31">
        <v>369</v>
      </c>
      <c r="K100" s="34">
        <v>140</v>
      </c>
      <c r="L100" s="31" t="s">
        <v>76</v>
      </c>
    </row>
    <row r="101" spans="1:12" ht="13" thickBot="1" x14ac:dyDescent="0.3">
      <c r="A101" s="31">
        <v>8</v>
      </c>
      <c r="B101" s="31">
        <v>8</v>
      </c>
      <c r="C101" s="31">
        <v>0</v>
      </c>
      <c r="D101" s="31">
        <v>0.5</v>
      </c>
      <c r="E101" s="32">
        <v>44260</v>
      </c>
      <c r="F101" s="32">
        <v>44319</v>
      </c>
      <c r="G101" s="32">
        <v>44231</v>
      </c>
      <c r="H101" s="32">
        <v>44353</v>
      </c>
      <c r="I101" s="31">
        <v>372</v>
      </c>
      <c r="J101" s="31">
        <v>370</v>
      </c>
      <c r="K101" s="34">
        <v>2</v>
      </c>
      <c r="L101" s="31" t="s">
        <v>77</v>
      </c>
    </row>
    <row r="102" spans="1:12" ht="13" thickBot="1" x14ac:dyDescent="0.3">
      <c r="A102" s="31">
        <v>7</v>
      </c>
      <c r="B102" s="31">
        <v>9</v>
      </c>
      <c r="C102" s="31">
        <v>0</v>
      </c>
      <c r="D102" s="31">
        <v>0.438</v>
      </c>
      <c r="E102" s="32">
        <v>44260</v>
      </c>
      <c r="F102" s="32">
        <v>44290</v>
      </c>
      <c r="G102" s="32">
        <v>44288</v>
      </c>
      <c r="H102" s="32">
        <v>44323</v>
      </c>
      <c r="I102" s="31">
        <v>430</v>
      </c>
      <c r="J102" s="31">
        <v>475</v>
      </c>
      <c r="K102" s="35">
        <v>-45</v>
      </c>
      <c r="L102" s="31" t="s">
        <v>78</v>
      </c>
    </row>
    <row r="103" spans="1:12" ht="13" thickBot="1" x14ac:dyDescent="0.3">
      <c r="A103" s="31">
        <v>5</v>
      </c>
      <c r="B103" s="31">
        <v>11</v>
      </c>
      <c r="C103" s="31">
        <v>0</v>
      </c>
      <c r="D103" s="31">
        <v>0.313</v>
      </c>
      <c r="E103" s="32">
        <v>44203</v>
      </c>
      <c r="F103" s="32">
        <v>44290</v>
      </c>
      <c r="G103" s="32">
        <v>44201</v>
      </c>
      <c r="H103" s="32">
        <v>44294</v>
      </c>
      <c r="I103" s="31">
        <v>377</v>
      </c>
      <c r="J103" s="31">
        <v>519</v>
      </c>
      <c r="K103" s="35">
        <v>-142</v>
      </c>
      <c r="L103" s="31" t="s">
        <v>107</v>
      </c>
    </row>
    <row r="104" spans="1:12" ht="13" thickBot="1" x14ac:dyDescent="0.3">
      <c r="A104" s="30" t="s">
        <v>64</v>
      </c>
      <c r="B104" s="30" t="s">
        <v>65</v>
      </c>
      <c r="C104" s="30" t="s">
        <v>66</v>
      </c>
      <c r="D104" s="30" t="s">
        <v>67</v>
      </c>
      <c r="E104" s="29" t="s">
        <v>68</v>
      </c>
      <c r="F104" s="29" t="s">
        <v>69</v>
      </c>
      <c r="G104" s="29" t="s">
        <v>70</v>
      </c>
      <c r="H104" s="29" t="s">
        <v>71</v>
      </c>
      <c r="I104" s="30" t="s">
        <v>72</v>
      </c>
      <c r="J104" s="30" t="s">
        <v>73</v>
      </c>
      <c r="K104" s="30" t="s">
        <v>74</v>
      </c>
      <c r="L104" s="30" t="s">
        <v>75</v>
      </c>
    </row>
    <row r="105" spans="1:12" ht="13" thickBot="1" x14ac:dyDescent="0.3">
      <c r="A105" s="31">
        <v>12</v>
      </c>
      <c r="B105" s="31">
        <v>4</v>
      </c>
      <c r="C105" s="31">
        <v>0</v>
      </c>
      <c r="D105" s="31">
        <v>0.75</v>
      </c>
      <c r="E105" s="32">
        <v>44349</v>
      </c>
      <c r="F105" s="32">
        <v>44349</v>
      </c>
      <c r="G105" s="33">
        <v>36678</v>
      </c>
      <c r="H105" s="32">
        <v>44471</v>
      </c>
      <c r="I105" s="31">
        <v>482</v>
      </c>
      <c r="J105" s="31">
        <v>337</v>
      </c>
      <c r="K105" s="34">
        <v>145</v>
      </c>
      <c r="L105" s="31" t="s">
        <v>108</v>
      </c>
    </row>
    <row r="106" spans="1:12" ht="13" thickBot="1" x14ac:dyDescent="0.3">
      <c r="A106" s="31">
        <v>11</v>
      </c>
      <c r="B106" s="31">
        <v>5</v>
      </c>
      <c r="C106" s="31">
        <v>0</v>
      </c>
      <c r="D106" s="31">
        <v>0.68799999999999994</v>
      </c>
      <c r="E106" s="32">
        <v>44319</v>
      </c>
      <c r="F106" s="32">
        <v>44349</v>
      </c>
      <c r="G106" s="32">
        <v>44288</v>
      </c>
      <c r="H106" s="32">
        <v>44412</v>
      </c>
      <c r="I106" s="31">
        <v>492</v>
      </c>
      <c r="J106" s="31">
        <v>355</v>
      </c>
      <c r="K106" s="34">
        <v>137</v>
      </c>
      <c r="L106" s="31" t="s">
        <v>84</v>
      </c>
    </row>
    <row r="107" spans="1:12" ht="13" thickBot="1" x14ac:dyDescent="0.3">
      <c r="A107" s="31">
        <v>5</v>
      </c>
      <c r="B107" s="31">
        <v>11</v>
      </c>
      <c r="C107" s="31">
        <v>0</v>
      </c>
      <c r="D107" s="31">
        <v>0.313</v>
      </c>
      <c r="E107" s="32">
        <v>44233</v>
      </c>
      <c r="F107" s="32">
        <v>44260</v>
      </c>
      <c r="G107" s="32">
        <v>44201</v>
      </c>
      <c r="H107" s="32">
        <v>44294</v>
      </c>
      <c r="I107" s="31">
        <v>350</v>
      </c>
      <c r="J107" s="31">
        <v>402</v>
      </c>
      <c r="K107" s="35">
        <v>-52</v>
      </c>
      <c r="L107" s="31" t="s">
        <v>77</v>
      </c>
    </row>
    <row r="108" spans="1:12" ht="13" thickBot="1" x14ac:dyDescent="0.3">
      <c r="A108" s="31">
        <v>4</v>
      </c>
      <c r="B108" s="31">
        <v>12</v>
      </c>
      <c r="C108" s="31">
        <v>0</v>
      </c>
      <c r="D108" s="31">
        <v>0.25</v>
      </c>
      <c r="E108" s="32">
        <v>44233</v>
      </c>
      <c r="F108" s="32">
        <v>44233</v>
      </c>
      <c r="G108" s="32">
        <v>44201</v>
      </c>
      <c r="H108" s="32">
        <v>44237</v>
      </c>
      <c r="I108" s="31">
        <v>396</v>
      </c>
      <c r="J108" s="31">
        <v>414</v>
      </c>
      <c r="K108" s="35">
        <v>-18</v>
      </c>
      <c r="L108" s="31" t="s">
        <v>81</v>
      </c>
    </row>
    <row r="109" spans="1:12" ht="13" thickBot="1" x14ac:dyDescent="0.3">
      <c r="A109" s="30" t="s">
        <v>64</v>
      </c>
      <c r="B109" s="30" t="s">
        <v>65</v>
      </c>
      <c r="C109" s="30" t="s">
        <v>66</v>
      </c>
      <c r="D109" s="30" t="s">
        <v>67</v>
      </c>
      <c r="E109" s="29" t="s">
        <v>68</v>
      </c>
      <c r="F109" s="29" t="s">
        <v>69</v>
      </c>
      <c r="G109" s="29" t="s">
        <v>70</v>
      </c>
      <c r="H109" s="29" t="s">
        <v>71</v>
      </c>
      <c r="I109" s="30" t="s">
        <v>72</v>
      </c>
      <c r="J109" s="30" t="s">
        <v>73</v>
      </c>
      <c r="K109" s="30" t="s">
        <v>74</v>
      </c>
      <c r="L109" s="30" t="s">
        <v>75</v>
      </c>
    </row>
    <row r="110" spans="1:12" ht="13" thickBot="1" x14ac:dyDescent="0.3">
      <c r="A110" s="31">
        <v>12</v>
      </c>
      <c r="B110" s="31">
        <v>4</v>
      </c>
      <c r="C110" s="31">
        <v>0</v>
      </c>
      <c r="D110" s="31">
        <v>0.75</v>
      </c>
      <c r="E110" s="32">
        <v>44378</v>
      </c>
      <c r="F110" s="32">
        <v>44319</v>
      </c>
      <c r="G110" s="32">
        <v>44288</v>
      </c>
      <c r="H110" s="32">
        <v>44442</v>
      </c>
      <c r="I110" s="31">
        <v>459</v>
      </c>
      <c r="J110" s="31">
        <v>371</v>
      </c>
      <c r="K110" s="34">
        <v>88</v>
      </c>
      <c r="L110" s="31" t="s">
        <v>84</v>
      </c>
    </row>
    <row r="111" spans="1:12" ht="13" thickBot="1" x14ac:dyDescent="0.3">
      <c r="A111" s="31">
        <v>10</v>
      </c>
      <c r="B111" s="31">
        <v>6</v>
      </c>
      <c r="C111" s="31">
        <v>0</v>
      </c>
      <c r="D111" s="31">
        <v>0.625</v>
      </c>
      <c r="E111" s="32">
        <v>44349</v>
      </c>
      <c r="F111" s="32">
        <v>44290</v>
      </c>
      <c r="G111" s="32">
        <v>44258</v>
      </c>
      <c r="H111" s="32">
        <v>44442</v>
      </c>
      <c r="I111" s="31">
        <v>372</v>
      </c>
      <c r="J111" s="31">
        <v>296</v>
      </c>
      <c r="K111" s="34">
        <v>76</v>
      </c>
      <c r="L111" s="31" t="s">
        <v>78</v>
      </c>
    </row>
    <row r="112" spans="1:12" ht="13" thickBot="1" x14ac:dyDescent="0.3">
      <c r="A112" s="31">
        <v>8</v>
      </c>
      <c r="B112" s="31">
        <v>8</v>
      </c>
      <c r="C112" s="31">
        <v>0</v>
      </c>
      <c r="D112" s="31">
        <v>0.5</v>
      </c>
      <c r="E112" s="32">
        <v>44290</v>
      </c>
      <c r="F112" s="32">
        <v>44290</v>
      </c>
      <c r="G112" s="32">
        <v>44231</v>
      </c>
      <c r="H112" s="32">
        <v>44353</v>
      </c>
      <c r="I112" s="31">
        <v>410</v>
      </c>
      <c r="J112" s="31">
        <v>367</v>
      </c>
      <c r="K112" s="34">
        <v>43</v>
      </c>
      <c r="L112" s="31" t="s">
        <v>109</v>
      </c>
    </row>
    <row r="113" spans="1:12" ht="13" thickBot="1" x14ac:dyDescent="0.3">
      <c r="A113" s="31">
        <v>6</v>
      </c>
      <c r="B113" s="31">
        <v>10</v>
      </c>
      <c r="C113" s="31">
        <v>0</v>
      </c>
      <c r="D113" s="31">
        <v>0.375</v>
      </c>
      <c r="E113" s="32">
        <v>44203</v>
      </c>
      <c r="F113" s="32">
        <v>44319</v>
      </c>
      <c r="G113" s="32">
        <v>44258</v>
      </c>
      <c r="H113" s="32">
        <v>44294</v>
      </c>
      <c r="I113" s="31">
        <v>376</v>
      </c>
      <c r="J113" s="31">
        <v>390</v>
      </c>
      <c r="K113" s="35">
        <v>-14</v>
      </c>
      <c r="L113" s="31" t="s">
        <v>77</v>
      </c>
    </row>
  </sheetData>
  <hyperlinks>
    <hyperlink ref="A2" r:id="rId1" display="https://www.espn.com/nfl/team/_/name/buf/buffalo-bills" xr:uid="{00000000-0004-0000-0400-000000000000}"/>
    <hyperlink ref="A4" r:id="rId2" display="https://www.espn.com/nfl/team/_/name/mia/miami-dolphins" xr:uid="{00000000-0004-0000-0400-000001000000}"/>
    <hyperlink ref="A6" r:id="rId3" display="https://www.espn.com/nfl/team/_/name/ne/new-england-patriots" xr:uid="{00000000-0004-0000-0400-000002000000}"/>
    <hyperlink ref="A8" r:id="rId4" display="https://www.espn.com/nfl/team/_/name/nyj/new-york-jets" xr:uid="{00000000-0004-0000-0400-000003000000}"/>
    <hyperlink ref="A11" r:id="rId5" display="https://www.espn.com/nfl/team/_/name/pit/pittsburgh-steelers" xr:uid="{00000000-0004-0000-0400-000004000000}"/>
    <hyperlink ref="A13" r:id="rId6" display="https://www.espn.com/nfl/team/_/name/bal/baltimore-ravens" xr:uid="{00000000-0004-0000-0400-000005000000}"/>
    <hyperlink ref="A15" r:id="rId7" display="https://www.espn.com/nfl/team/_/name/cle/cleveland-browns" xr:uid="{00000000-0004-0000-0400-000006000000}"/>
    <hyperlink ref="A17" r:id="rId8" display="https://www.espn.com/nfl/team/_/name/cin/cincinnati-bengals" xr:uid="{00000000-0004-0000-0400-000007000000}"/>
    <hyperlink ref="A20" r:id="rId9" display="https://www.espn.com/nfl/team/_/name/ten/tennessee-titans" xr:uid="{00000000-0004-0000-0400-000008000000}"/>
    <hyperlink ref="A22" r:id="rId10" display="https://www.espn.com/nfl/team/_/name/ind/indianapolis-colts" xr:uid="{00000000-0004-0000-0400-000009000000}"/>
    <hyperlink ref="A24" r:id="rId11" display="https://www.espn.com/nfl/team/_/name/hou/houston-texans" xr:uid="{00000000-0004-0000-0400-00000A000000}"/>
    <hyperlink ref="A26" r:id="rId12" display="https://www.espn.com/nfl/team/_/name/jax/jacksonville-jaguars" xr:uid="{00000000-0004-0000-0400-00000B000000}"/>
    <hyperlink ref="A29" r:id="rId13" display="https://www.espn.com/nfl/team/_/name/kc/kansas-city-chiefs" xr:uid="{00000000-0004-0000-0400-00000C000000}"/>
    <hyperlink ref="A31" r:id="rId14" display="https://www.espn.com/nfl/team/_/name/lv/las-vegas-raiders" xr:uid="{00000000-0004-0000-0400-00000D000000}"/>
    <hyperlink ref="A33" r:id="rId15" display="https://www.espn.com/nfl/team/_/name/lac/los-angeles-chargers" xr:uid="{00000000-0004-0000-0400-00000E000000}"/>
    <hyperlink ref="A35" r:id="rId16" display="https://www.espn.com/nfl/team/_/name/den/denver-broncos" xr:uid="{00000000-0004-0000-0400-00000F000000}"/>
    <hyperlink ref="A37" r:id="rId17" display="https://www.espn.com/nfl/standings/_/sort/wins/dir/desc" xr:uid="{00000000-0004-0000-0400-000010000000}"/>
    <hyperlink ref="B37" r:id="rId18" display="https://www.espn.com/nfl/standings/_/sort/losses/dir/asc" xr:uid="{00000000-0004-0000-0400-000011000000}"/>
    <hyperlink ref="C37" r:id="rId19" display="https://www.espn.com/nfl/standings/_/sort/ties/dir/desc" xr:uid="{00000000-0004-0000-0400-000012000000}"/>
    <hyperlink ref="D37" r:id="rId20" display="https://www.espn.com/nfl/standings/_/sort/winpercent/dir/asc" xr:uid="{00000000-0004-0000-0400-000013000000}"/>
    <hyperlink ref="I37" r:id="rId21" display="https://www.espn.com/nfl/standings/_/sort/pointsfor/dir/desc" xr:uid="{00000000-0004-0000-0400-000014000000}"/>
    <hyperlink ref="J37" r:id="rId22" display="https://www.espn.com/nfl/standings/_/sort/pointsagainst/dir/asc" xr:uid="{00000000-0004-0000-0400-000015000000}"/>
    <hyperlink ref="K37" r:id="rId23" display="https://www.espn.com/nfl/standings/_/sort/differential/dir/desc" xr:uid="{00000000-0004-0000-0400-000016000000}"/>
    <hyperlink ref="L37" r:id="rId24" display="https://www.espn.com/nfl/standings/_/sort/streak/dir/desc" xr:uid="{00000000-0004-0000-0400-000017000000}"/>
    <hyperlink ref="A42" r:id="rId25" display="https://www.espn.com/nfl/standings/_/sort/wins/dir/desc" xr:uid="{00000000-0004-0000-0400-000018000000}"/>
    <hyperlink ref="B42" r:id="rId26" display="https://www.espn.com/nfl/standings/_/sort/losses/dir/asc" xr:uid="{00000000-0004-0000-0400-000019000000}"/>
    <hyperlink ref="C42" r:id="rId27" display="https://www.espn.com/nfl/standings/_/sort/ties/dir/desc" xr:uid="{00000000-0004-0000-0400-00001A000000}"/>
    <hyperlink ref="D42" r:id="rId28" display="https://www.espn.com/nfl/standings/_/sort/winpercent/dir/asc" xr:uid="{00000000-0004-0000-0400-00001B000000}"/>
    <hyperlink ref="I42" r:id="rId29" display="https://www.espn.com/nfl/standings/_/sort/pointsfor/dir/desc" xr:uid="{00000000-0004-0000-0400-00001C000000}"/>
    <hyperlink ref="J42" r:id="rId30" display="https://www.espn.com/nfl/standings/_/sort/pointsagainst/dir/asc" xr:uid="{00000000-0004-0000-0400-00001D000000}"/>
    <hyperlink ref="K42" r:id="rId31" display="https://www.espn.com/nfl/standings/_/sort/differential/dir/desc" xr:uid="{00000000-0004-0000-0400-00001E000000}"/>
    <hyperlink ref="L42" r:id="rId32" display="https://www.espn.com/nfl/standings/_/sort/streak/dir/desc" xr:uid="{00000000-0004-0000-0400-00001F000000}"/>
    <hyperlink ref="A47" r:id="rId33" display="https://www.espn.com/nfl/standings/_/sort/wins/dir/desc" xr:uid="{00000000-0004-0000-0400-000020000000}"/>
    <hyperlink ref="B47" r:id="rId34" display="https://www.espn.com/nfl/standings/_/sort/losses/dir/asc" xr:uid="{00000000-0004-0000-0400-000021000000}"/>
    <hyperlink ref="C47" r:id="rId35" display="https://www.espn.com/nfl/standings/_/sort/ties/dir/desc" xr:uid="{00000000-0004-0000-0400-000022000000}"/>
    <hyperlink ref="D47" r:id="rId36" display="https://www.espn.com/nfl/standings/_/sort/winpercent/dir/asc" xr:uid="{00000000-0004-0000-0400-000023000000}"/>
    <hyperlink ref="I47" r:id="rId37" display="https://www.espn.com/nfl/standings/_/sort/pointsfor/dir/desc" xr:uid="{00000000-0004-0000-0400-000024000000}"/>
    <hyperlink ref="J47" r:id="rId38" display="https://www.espn.com/nfl/standings/_/sort/pointsagainst/dir/asc" xr:uid="{00000000-0004-0000-0400-000025000000}"/>
    <hyperlink ref="K47" r:id="rId39" display="https://www.espn.com/nfl/standings/_/sort/differential/dir/desc" xr:uid="{00000000-0004-0000-0400-000026000000}"/>
    <hyperlink ref="L47" r:id="rId40" display="https://www.espn.com/nfl/standings/_/sort/streak/dir/desc" xr:uid="{00000000-0004-0000-0400-000027000000}"/>
    <hyperlink ref="A52" r:id="rId41" display="https://www.espn.com/nfl/standings/_/sort/wins/dir/desc" xr:uid="{00000000-0004-0000-0400-000028000000}"/>
    <hyperlink ref="B52" r:id="rId42" display="https://www.espn.com/nfl/standings/_/sort/losses/dir/asc" xr:uid="{00000000-0004-0000-0400-000029000000}"/>
    <hyperlink ref="C52" r:id="rId43" display="https://www.espn.com/nfl/standings/_/sort/ties/dir/desc" xr:uid="{00000000-0004-0000-0400-00002A000000}"/>
    <hyperlink ref="D52" r:id="rId44" display="https://www.espn.com/nfl/standings/_/sort/winpercent/dir/asc" xr:uid="{00000000-0004-0000-0400-00002B000000}"/>
    <hyperlink ref="I52" r:id="rId45" display="https://www.espn.com/nfl/standings/_/sort/pointsfor/dir/desc" xr:uid="{00000000-0004-0000-0400-00002C000000}"/>
    <hyperlink ref="J52" r:id="rId46" display="https://www.espn.com/nfl/standings/_/sort/pointsagainst/dir/asc" xr:uid="{00000000-0004-0000-0400-00002D000000}"/>
    <hyperlink ref="K52" r:id="rId47" display="https://www.espn.com/nfl/standings/_/sort/differential/dir/desc" xr:uid="{00000000-0004-0000-0400-00002E000000}"/>
    <hyperlink ref="L52" r:id="rId48" display="https://www.espn.com/nfl/standings/_/sort/streak/dir/desc" xr:uid="{00000000-0004-0000-0400-00002F000000}"/>
    <hyperlink ref="A59" r:id="rId49" display="https://www.espn.com/nfl/team/_/name/wsh/washington" xr:uid="{00000000-0004-0000-0400-000030000000}"/>
    <hyperlink ref="A61" r:id="rId50" display="https://www.espn.com/nfl/team/_/name/nyg/new-york-giants" xr:uid="{00000000-0004-0000-0400-000031000000}"/>
    <hyperlink ref="A63" r:id="rId51" display="https://www.espn.com/nfl/team/_/name/dal/dallas-cowboys" xr:uid="{00000000-0004-0000-0400-000032000000}"/>
    <hyperlink ref="A65" r:id="rId52" display="https://www.espn.com/nfl/team/_/name/phi/philadelphia-eagles" xr:uid="{00000000-0004-0000-0400-000033000000}"/>
    <hyperlink ref="A68" r:id="rId53" display="https://www.espn.com/nfl/team/_/name/gb/green-bay-packers" xr:uid="{00000000-0004-0000-0400-000034000000}"/>
    <hyperlink ref="A70" r:id="rId54" display="https://www.espn.com/nfl/team/_/name/chi/chicago-bears" xr:uid="{00000000-0004-0000-0400-000035000000}"/>
    <hyperlink ref="A72" r:id="rId55" display="https://www.espn.com/nfl/team/_/name/min/minnesota-vikings" xr:uid="{00000000-0004-0000-0400-000036000000}"/>
    <hyperlink ref="A74" r:id="rId56" display="https://www.espn.com/nfl/team/_/name/det/detroit-lions" xr:uid="{00000000-0004-0000-0400-000037000000}"/>
    <hyperlink ref="A77" r:id="rId57" display="https://www.espn.com/nfl/team/_/name/no/new-orleans-saints" xr:uid="{00000000-0004-0000-0400-000038000000}"/>
    <hyperlink ref="A79" r:id="rId58" display="https://www.espn.com/nfl/team/_/name/tb/tampa-bay-buccaneers" xr:uid="{00000000-0004-0000-0400-000039000000}"/>
    <hyperlink ref="A81" r:id="rId59" display="https://www.espn.com/nfl/team/_/name/car/carolina-panthers" xr:uid="{00000000-0004-0000-0400-00003A000000}"/>
    <hyperlink ref="A83" r:id="rId60" display="https://www.espn.com/nfl/team/_/name/atl/atlanta-falcons" xr:uid="{00000000-0004-0000-0400-00003B000000}"/>
    <hyperlink ref="A86" r:id="rId61" display="https://www.espn.com/nfl/team/_/name/sea/seattle-seahawks" xr:uid="{00000000-0004-0000-0400-00003C000000}"/>
    <hyperlink ref="A88" r:id="rId62" display="https://www.espn.com/nfl/team/_/name/lar/los-angeles-rams" xr:uid="{00000000-0004-0000-0400-00003D000000}"/>
    <hyperlink ref="A90" r:id="rId63" display="https://www.espn.com/nfl/team/_/name/ari/arizona-cardinals" xr:uid="{00000000-0004-0000-0400-00003E000000}"/>
    <hyperlink ref="A92" r:id="rId64" display="https://www.espn.com/nfl/team/_/name/sf/san-francisco-49ers" xr:uid="{00000000-0004-0000-0400-00003F000000}"/>
    <hyperlink ref="A94" r:id="rId65" display="https://www.espn.com/nfl/standings/_/sort/wins/dir/desc" xr:uid="{00000000-0004-0000-0400-000040000000}"/>
    <hyperlink ref="B94" r:id="rId66" display="https://www.espn.com/nfl/standings/_/sort/losses/dir/asc" xr:uid="{00000000-0004-0000-0400-000041000000}"/>
    <hyperlink ref="C94" r:id="rId67" display="https://www.espn.com/nfl/standings/_/sort/ties/dir/desc" xr:uid="{00000000-0004-0000-0400-000042000000}"/>
    <hyperlink ref="D94" r:id="rId68" display="https://www.espn.com/nfl/standings/_/sort/winpercent/dir/asc" xr:uid="{00000000-0004-0000-0400-000043000000}"/>
    <hyperlink ref="I94" r:id="rId69" display="https://www.espn.com/nfl/standings/_/sort/pointsfor/dir/desc" xr:uid="{00000000-0004-0000-0400-000044000000}"/>
    <hyperlink ref="J94" r:id="rId70" display="https://www.espn.com/nfl/standings/_/sort/pointsagainst/dir/asc" xr:uid="{00000000-0004-0000-0400-000045000000}"/>
    <hyperlink ref="K94" r:id="rId71" display="https://www.espn.com/nfl/standings/_/sort/differential/dir/desc" xr:uid="{00000000-0004-0000-0400-000046000000}"/>
    <hyperlink ref="L94" r:id="rId72" display="https://www.espn.com/nfl/standings/_/sort/streak/dir/desc" xr:uid="{00000000-0004-0000-0400-000047000000}"/>
    <hyperlink ref="A99" r:id="rId73" display="https://www.espn.com/nfl/standings/_/sort/wins/dir/desc" xr:uid="{00000000-0004-0000-0400-000048000000}"/>
    <hyperlink ref="B99" r:id="rId74" display="https://www.espn.com/nfl/standings/_/sort/losses/dir/asc" xr:uid="{00000000-0004-0000-0400-000049000000}"/>
    <hyperlink ref="C99" r:id="rId75" display="https://www.espn.com/nfl/standings/_/sort/ties/dir/desc" xr:uid="{00000000-0004-0000-0400-00004A000000}"/>
    <hyperlink ref="D99" r:id="rId76" display="https://www.espn.com/nfl/standings/_/sort/winpercent/dir/asc" xr:uid="{00000000-0004-0000-0400-00004B000000}"/>
    <hyperlink ref="I99" r:id="rId77" display="https://www.espn.com/nfl/standings/_/sort/pointsfor/dir/desc" xr:uid="{00000000-0004-0000-0400-00004C000000}"/>
    <hyperlink ref="J99" r:id="rId78" display="https://www.espn.com/nfl/standings/_/sort/pointsagainst/dir/asc" xr:uid="{00000000-0004-0000-0400-00004D000000}"/>
    <hyperlink ref="K99" r:id="rId79" display="https://www.espn.com/nfl/standings/_/sort/differential/dir/desc" xr:uid="{00000000-0004-0000-0400-00004E000000}"/>
    <hyperlink ref="L99" r:id="rId80" display="https://www.espn.com/nfl/standings/_/sort/streak/dir/desc" xr:uid="{00000000-0004-0000-0400-00004F000000}"/>
    <hyperlink ref="A104" r:id="rId81" display="https://www.espn.com/nfl/standings/_/sort/wins/dir/desc" xr:uid="{00000000-0004-0000-0400-000050000000}"/>
    <hyperlink ref="B104" r:id="rId82" display="https://www.espn.com/nfl/standings/_/sort/losses/dir/asc" xr:uid="{00000000-0004-0000-0400-000051000000}"/>
    <hyperlink ref="C104" r:id="rId83" display="https://www.espn.com/nfl/standings/_/sort/ties/dir/desc" xr:uid="{00000000-0004-0000-0400-000052000000}"/>
    <hyperlink ref="D104" r:id="rId84" display="https://www.espn.com/nfl/standings/_/sort/winpercent/dir/asc" xr:uid="{00000000-0004-0000-0400-000053000000}"/>
    <hyperlink ref="I104" r:id="rId85" display="https://www.espn.com/nfl/standings/_/sort/pointsfor/dir/desc" xr:uid="{00000000-0004-0000-0400-000054000000}"/>
    <hyperlink ref="J104" r:id="rId86" display="https://www.espn.com/nfl/standings/_/sort/pointsagainst/dir/asc" xr:uid="{00000000-0004-0000-0400-000055000000}"/>
    <hyperlink ref="K104" r:id="rId87" display="https://www.espn.com/nfl/standings/_/sort/differential/dir/desc" xr:uid="{00000000-0004-0000-0400-000056000000}"/>
    <hyperlink ref="L104" r:id="rId88" display="https://www.espn.com/nfl/standings/_/sort/streak/dir/desc" xr:uid="{00000000-0004-0000-0400-000057000000}"/>
    <hyperlink ref="A109" r:id="rId89" display="https://www.espn.com/nfl/standings/_/sort/wins/dir/desc" xr:uid="{00000000-0004-0000-0400-000058000000}"/>
    <hyperlink ref="B109" r:id="rId90" display="https://www.espn.com/nfl/standings/_/sort/losses/dir/asc" xr:uid="{00000000-0004-0000-0400-000059000000}"/>
    <hyperlink ref="C109" r:id="rId91" display="https://www.espn.com/nfl/standings/_/sort/ties/dir/desc" xr:uid="{00000000-0004-0000-0400-00005A000000}"/>
    <hyperlink ref="D109" r:id="rId92" display="https://www.espn.com/nfl/standings/_/sort/winpercent/dir/asc" xr:uid="{00000000-0004-0000-0400-00005B000000}"/>
    <hyperlink ref="I109" r:id="rId93" display="https://www.espn.com/nfl/standings/_/sort/pointsfor/dir/desc" xr:uid="{00000000-0004-0000-0400-00005C000000}"/>
    <hyperlink ref="J109" r:id="rId94" display="https://www.espn.com/nfl/standings/_/sort/pointsagainst/dir/asc" xr:uid="{00000000-0004-0000-0400-00005D000000}"/>
    <hyperlink ref="K109" r:id="rId95" display="https://www.espn.com/nfl/standings/_/sort/differential/dir/desc" xr:uid="{00000000-0004-0000-0400-00005E000000}"/>
    <hyperlink ref="L109" r:id="rId96" display="https://www.espn.com/nfl/standings/_/sort/streak/dir/desc" xr:uid="{00000000-0004-0000-0400-00005F000000}"/>
  </hyperlinks>
  <pageMargins left="0.7" right="0.7" top="0.75" bottom="0.75" header="0.3" footer="0.3"/>
  <pageSetup orientation="portrait" r:id="rId97"/>
  <drawing r:id="rId9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HW</vt:lpstr>
      <vt:lpstr>AFCnorth_div_0</vt:lpstr>
      <vt:lpstr>AFCnorth_div_2</vt:lpstr>
      <vt:lpstr>AFCnorth_div_4</vt:lpstr>
      <vt:lpstr>AFCnorth</vt:lpstr>
      <vt:lpstr>Atlantics_East_div_8</vt:lpstr>
      <vt:lpstr>Atlantics_East_div_4</vt:lpstr>
      <vt:lpstr>Atlantics_East_div_0</vt:lpstr>
      <vt:lpstr>NBA_Atlantic_East</vt:lpstr>
      <vt:lpstr>AFCeast_div_0</vt:lpstr>
      <vt:lpstr>AFCeast_div_2</vt:lpstr>
      <vt:lpstr>AFCeast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helpdesk</dc:creator>
  <cp:lastModifiedBy>student</cp:lastModifiedBy>
  <dcterms:created xsi:type="dcterms:W3CDTF">2016-02-18T16:43:41Z</dcterms:created>
  <dcterms:modified xsi:type="dcterms:W3CDTF">2021-03-04T14:20:48Z</dcterms:modified>
</cp:coreProperties>
</file>